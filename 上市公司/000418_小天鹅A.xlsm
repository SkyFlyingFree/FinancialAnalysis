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6C29D36-38A3-4FD1-A64B-C9176297AF45}" xr6:coauthVersionLast="40" xr6:coauthVersionMax="40" xr10:uidLastSave="{00000000-0000-0000-0000-000000000000}"/>
  <bookViews>
    <workbookView xWindow="480" yWindow="48" windowWidth="24792" windowHeight="11676" tabRatio="898" firstSheet="3" activeTab="8"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AC27" i="12" s="1"/>
  <c r="BA26" i="12"/>
  <c r="BA27" i="12" s="1"/>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J9" i="10" l="1"/>
  <c r="AC8" i="10"/>
  <c r="AJ74" i="1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<sst xmlns="http://schemas.openxmlformats.org/spreadsheetml/2006/main" count="1031" uniqueCount="749">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</sst>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 fontId="0" fillId="0" borderId="0" xfId="0" applyNumberFormat="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9.4268446598398448E-2</c:v>
                </c:pt>
                <c:pt idx="1">
                  <c:v>0.10036218108704442</c:v>
                </c:pt>
                <c:pt idx="2">
                  <c:v>9.7742065135070763E-2</c:v>
                </c:pt>
                <c:pt idx="3">
                  <c:v>8.7683328846004507E-2</c:v>
                </c:pt>
                <c:pt idx="4">
                  <c:v>6.3345231510032046E-2</c:v>
                </c:pt>
                <c:pt idx="5">
                  <c:v>6.5839068339428472E-2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7.6173334841175819E-2</c:v>
                </c:pt>
                <c:pt idx="1">
                  <c:v>8.6214380744095889E-2</c:v>
                </c:pt>
                <c:pt idx="2">
                  <c:v>8.5366913688743357E-2</c:v>
                </c:pt>
                <c:pt idx="3">
                  <c:v>7.4212363674035844E-2</c:v>
                </c:pt>
                <c:pt idx="4">
                  <c:v>5.4164958387516345E-2</c:v>
                </c:pt>
                <c:pt idx="5">
                  <c:v>5.5690642461248933E-2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8.8487448173455149E-2</c:v>
                </c:pt>
                <c:pt idx="1">
                  <c:v>0.10230478897622051</c:v>
                </c:pt>
                <c:pt idx="2">
                  <c:v>9.9732007309368015E-2</c:v>
                </c:pt>
                <c:pt idx="3">
                  <c:v>8.6293002705873117E-2</c:v>
                </c:pt>
                <c:pt idx="4">
                  <c:v>5.8504222271992291E-2</c:v>
                </c:pt>
                <c:pt idx="5">
                  <c:v>6.2778224383080464E-2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7.1827187660413044E-2</c:v>
                </c:pt>
                <c:pt idx="1">
                  <c:v>8.7511214936699291E-2</c:v>
                </c:pt>
                <c:pt idx="2">
                  <c:v>8.6611254437965413E-2</c:v>
                </c:pt>
                <c:pt idx="3">
                  <c:v>7.3041087721613052E-2</c:v>
                </c:pt>
                <c:pt idx="4">
                  <c:v>5.004134644579631E-2</c:v>
                </c:pt>
                <c:pt idx="5">
                  <c:v>5.3106228868691582E-2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2064694943.3599999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1584427028.99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1225421617.9300001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934002673.28999996</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548621308.00999999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445571620.41000003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878538952.59680128</c:v>
                </c:pt>
                <c:pt idx="1">
                  <c:v>872760608.53799987</c:v>
                </c:pt>
                <c:pt idx="2">
                  <c:v>658328514.46200001</c:v>
                </c:pt>
                <c:pt idx="3">
                  <c:v>377576095.16320097</c:v>
                </c:pt>
                <c:pt idx="4">
                  <c:v>74012321.327201128</c:v>
                </c:pt>
                <c:pt idx="5">
                  <c:v>26382306.769600868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8218298013.04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6959095067.3999996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5987727087.1000004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5144696094.71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4534329385.6599998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4250543076.1300001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1,557,920,213.70 </c:v>
                </c:pt>
                <c:pt idx="5">
                  <c:v>1,574,265,096.83 </c:v>
                </c:pt>
                <c:pt idx="6">
                  <c:v>1,575,099,880.21 </c:v>
                </c:pt>
                <c:pt idx="7">
                  <c:v>1,592,738,527.13 </c:v>
                </c:pt>
                <c:pt idx="8">
                  <c:v>1,574,975,654.32 </c:v>
                </c:pt>
                <c:pt idx="9">
                  <c:v>1,549,326,111.99 </c:v>
                </c:pt>
                <c:pt idx="10">
                  <c:v>1,547,280,231.32 </c:v>
                </c:pt>
                <c:pt idx="11">
                  <c:v>1,582,797,070.19 </c:v>
                </c:pt>
                <c:pt idx="12">
                  <c:v>1,581,754,599.97 </c:v>
                </c:pt>
                <c:pt idx="13">
                  <c:v>1,611,648,797.77 </c:v>
                </c:pt>
                <c:pt idx="14">
                  <c:v>1,587,641,776.73 </c:v>
                </c:pt>
                <c:pt idx="15">
                  <c:v>1,611,269,167.27 </c:v>
                </c:pt>
                <c:pt idx="16">
                  <c:v>1,605,874,552.12 </c:v>
                </c:pt>
                <c:pt idx="17">
                  <c:v>1,611,279,806.41 </c:v>
                </c:pt>
                <c:pt idx="18">
                  <c:v>1,600,898,347.98 </c:v>
                </c:pt>
                <c:pt idx="19">
                  <c:v>1,644,449,852.63 </c:v>
                </c:pt>
                <c:pt idx="20">
                  <c:v>1,744,796,834.01 </c:v>
                </c:pt>
              </c:strCache>
            </c:strRef>
          </c:tx>
          <c:invertIfNegative val="0"/>
          <c:cat>
            <c:numRef>
              <c:f>投资和筹资活动现金流表!$E$12</c:f>
              <c:numCache>
                <c:formatCode>#,##0.00_ </c:formatCode>
                <c:ptCount val="1"/>
                <c:pt idx="0">
                  <c:v>1557920213.7</c:v>
                </c:pt>
              </c:numCache>
            </c:numRef>
          </c:cat>
          <c:val>
            <c:numRef>
              <c:f>投资和筹资活动现金流表!$E$12:$U$12</c:f>
              <c:numCache>
                <c:formatCode>#,##0.00_ </c:formatCode>
                <c:ptCount val="5"/>
                <c:pt idx="0">
                  <c:v>1557920213.7</c:v>
                </c:pt>
                <c:pt idx="1">
                  <c:v>1574975654.3199999</c:v>
                </c:pt>
                <c:pt idx="2">
                  <c:v>1581754599.97</c:v>
                </c:pt>
                <c:pt idx="3">
                  <c:v>1605874552.1199999</c:v>
                </c:pt>
                <c:pt idx="4">
                  <c:v>1744796834.01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3.8633637435806507E-2</c:v>
                </c:pt>
                <c:pt idx="1">
                  <c:v>-4.7002370371217982E-2</c:v>
                </c:pt>
                <c:pt idx="2">
                  <c:v>-1.3060231277589963E-2</c:v>
                </c:pt>
                <c:pt idx="3">
                  <c:v>-4.3073640440147644E-2</c:v>
                </c:pt>
                <c:pt idx="4">
                  <c:v>-0.10822066549492479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9.8689751548702134</c:v>
                </c:pt>
                <c:pt idx="1">
                  <c:v>67.33851008853253</c:v>
                </c:pt>
                <c:pt idx="2">
                  <c:v>33.507707045827608</c:v>
                </c:pt>
                <c:pt idx="3">
                  <c:v>23.39402551332045</c:v>
                </c:pt>
                <c:pt idx="4">
                  <c:v>-21.941135846242265</c:v>
                </c:pt>
                <c:pt idx="5">
                  <c:v>4.1815674027468051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204251585.06</c:v>
                </c:pt>
                <c:pt idx="1">
                  <c:v>57858018.869999997</c:v>
                </c:pt>
                <c:pt idx="2">
                  <c:v>107399037</c:v>
                </c:pt>
                <c:pt idx="3">
                  <c:v>70834936.739999995</c:v>
                </c:pt>
                <c:pt idx="4">
                  <c:v>-41241351.74000001</c:v>
                </c:pt>
                <c:pt idx="5">
                  <c:v>82447002.50999999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2015753818.3</c:v>
                </c:pt>
                <c:pt idx="1">
                  <c:v>3896072787.3800001</c:v>
                </c:pt>
                <c:pt idx="2">
                  <c:v>3598695468.8000002</c:v>
                </c:pt>
                <c:pt idx="3">
                  <c:v>1657114317.3299999</c:v>
                </c:pt>
                <c:pt idx="4">
                  <c:v>904882101.00999999</c:v>
                </c:pt>
                <c:pt idx="5">
                  <c:v>344757698.14999998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-587583335.11000001</c:v>
                </c:pt>
                <c:pt idx="1">
                  <c:v>-280741910.69999999</c:v>
                </c:pt>
                <c:pt idx="2">
                  <c:v>-286688438.01999998</c:v>
                </c:pt>
                <c:pt idx="3">
                  <c:v>-193287158.13999999</c:v>
                </c:pt>
                <c:pt idx="4">
                  <c:v>-189716383.08000001</c:v>
                </c:pt>
                <c:pt idx="5">
                  <c:v>-132586903.59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-474365823</c:v>
                </c:pt>
                <c:pt idx="1">
                  <c:v>-379492658.39999998</c:v>
                </c:pt>
                <c:pt idx="2">
                  <c:v>-284619493.80000001</c:v>
                </c:pt>
                <c:pt idx="3">
                  <c:v>-189746329.19999999</c:v>
                </c:pt>
                <c:pt idx="4">
                  <c:v>-189746329.19999999</c:v>
                </c:pt>
                <c:pt idx="5">
                  <c:v>-126497552.8</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-145891391.20999992</c:v>
                </c:pt>
                <c:pt idx="1">
                  <c:v>170049234.45000002</c:v>
                </c:pt>
                <c:pt idx="2">
                  <c:v>-9536939</c:v>
                </c:pt>
                <c:pt idx="3">
                  <c:v>-13417678.560000002</c:v>
                </c:pt>
                <c:pt idx="4">
                  <c:v>-5169679.7</c:v>
                </c:pt>
                <c:pt idx="5">
                  <c:v>-15745048.330000002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680166782.34000003</c:v>
                </c:pt>
                <c:pt idx="1">
                  <c:v>183813064.12</c:v>
                </c:pt>
                <c:pt idx="2">
                  <c:v>215915154.66</c:v>
                </c:pt>
                <c:pt idx="3">
                  <c:v>100360740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4348983636.6700001</c:v>
                </c:pt>
                <c:pt idx="1">
                  <c:v>2473000000</c:v>
                </c:pt>
                <c:pt idx="2">
                  <c:v>2181651092.2399998</c:v>
                </c:pt>
                <c:pt idx="3">
                  <c:v>1605100000</c:v>
                </c:pt>
                <c:pt idx="4">
                  <c:v>607060000</c:v>
                </c:pt>
                <c:pt idx="5">
                  <c:v>1123298338.8899994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43471999.43</c:v>
                </c:pt>
                <c:pt idx="1">
                  <c:v>13763829.67</c:v>
                </c:pt>
                <c:pt idx="2">
                  <c:v>9536939</c:v>
                </c:pt>
                <c:pt idx="3">
                  <c:v>13417678.560000001</c:v>
                </c:pt>
                <c:pt idx="4">
                  <c:v>5169679.7</c:v>
                </c:pt>
                <c:pt idx="5">
                  <c:v>8783561.9700000007</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81393672.340000004</c:v>
                </c:pt>
                <c:pt idx="1">
                  <c:v>183813064.12</c:v>
                </c:pt>
                <c:pt idx="2">
                  <c:v>0</c:v>
                </c:pt>
                <c:pt idx="3">
                  <c:v>0</c:v>
                </c:pt>
                <c:pt idx="4">
                  <c:v>568600</c:v>
                </c:pt>
                <c:pt idx="5">
                  <c:v>1271800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0.18746822405323726</c:v>
                </c:pt>
                <c:pt idx="1">
                  <c:v>0.20317096467913831</c:v>
                </c:pt>
                <c:pt idx="2">
                  <c:v>0.18945961614000881</c:v>
                </c:pt>
                <c:pt idx="3">
                  <c:v>0.15297359619606937</c:v>
                </c:pt>
                <c:pt idx="4">
                  <c:v>9.6592514617511976E-2</c:v>
                </c:pt>
                <c:pt idx="5">
                  <c:v>8.6120705478743398E-2</c:v>
                </c:pt>
                <c:pt idx="6">
                  <c:v>0.12734151061320195</c:v>
                </c:pt>
                <c:pt idx="7">
                  <c:v>0.17391126428047382</c:v>
                </c:pt>
                <c:pt idx="8">
                  <c:v>0.110906574751707</c:v>
                </c:pt>
                <c:pt idx="9">
                  <c:v>4.9418211051375392E-3</c:v>
                </c:pt>
                <c:pt idx="10">
                  <c:v>0.17325722617658867</c:v>
                </c:pt>
                <c:pt idx="11">
                  <c:v>2.0574253261278989E-2</c:v>
                </c:pt>
                <c:pt idx="12">
                  <c:v>7.3431565609487118E-2</c:v>
                </c:pt>
                <c:pt idx="13">
                  <c:v>9.6356193433871687E-5</c:v>
                </c:pt>
                <c:pt idx="14">
                  <c:v>2.2016980004056209E-2</c:v>
                </c:pt>
                <c:pt idx="15">
                  <c:v>-0.3518148271012031</c:v>
                </c:pt>
                <c:pt idx="16">
                  <c:v>9.9357054255752204E-3</c:v>
                </c:pt>
                <c:pt idx="17">
                  <c:v>-3.911950304170133E-2</c:v>
                </c:pt>
                <c:pt idx="18">
                  <c:v>6.4932194232089943E-2</c:v>
                </c:pt>
                <c:pt idx="19">
                  <c:v>3.8516763953525289E-2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-0.60668685402498557</c:v>
                </c:pt>
                <c:pt idx="1">
                  <c:v>0.39206988374524099</c:v>
                </c:pt>
                <c:pt idx="2">
                  <c:v>3.914144478124008E-4</c:v>
                </c:pt>
                <c:pt idx="3">
                  <c:v>0.90820325860584772</c:v>
                </c:pt>
                <c:pt idx="4">
                  <c:v>0.16395573101034502</c:v>
                </c:pt>
                <c:pt idx="5">
                  <c:v>-0.41827012314815337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-1</c:v>
                </c:pt>
                <c:pt idx="3">
                  <c:v>-0.37760476352976752</c:v>
                </c:pt>
                <c:pt idx="4">
                  <c:v>-0.19605533206733575</c:v>
                </c:pt>
                <c:pt idx="5">
                  <c:v>-2.4491279471173452E-2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2.7696104134636106</c:v>
                </c:pt>
                <c:pt idx="1">
                  <c:v>-4.9424313761909956E-2</c:v>
                </c:pt>
                <c:pt idx="2">
                  <c:v>1.6364460727311196</c:v>
                </c:pt>
                <c:pt idx="3">
                  <c:v>-0.60669765622517935</c:v>
                </c:pt>
                <c:pt idx="4">
                  <c:v>0.17376777546346242</c:v>
                </c:pt>
                <c:pt idx="5">
                  <c:v>-5.1675698841257836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0.37466030944090556</c:v>
                </c:pt>
                <c:pt idx="1">
                  <c:v>0.34504313359149991</c:v>
                </c:pt>
                <c:pt idx="2">
                  <c:v>0.43833258712881895</c:v>
                </c:pt>
                <c:pt idx="3">
                  <c:v>0.12545647232362489</c:v>
                </c:pt>
                <c:pt idx="4">
                  <c:v>0.13912611056865665</c:v>
                </c:pt>
                <c:pt idx="5">
                  <c:v>7.7700170337255722E-2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0.11038493767100351</c:v>
                </c:pt>
                <c:pt idx="1">
                  <c:v>0.40959036408210625</c:v>
                </c:pt>
                <c:pt idx="2">
                  <c:v>0.33877953653441778</c:v>
                </c:pt>
                <c:pt idx="3">
                  <c:v>0.33139607450139857</c:v>
                </c:pt>
                <c:pt idx="4">
                  <c:v>0.12974756823770092</c:v>
                </c:pt>
                <c:pt idx="5">
                  <c:v>-0.19618929787348882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0.14633390543656075</c:v>
                </c:pt>
                <c:pt idx="1">
                  <c:v>-8.6760596583612213E-3</c:v>
                </c:pt>
                <c:pt idx="2">
                  <c:v>3.2847267732539332E-4</c:v>
                </c:pt>
                <c:pt idx="3">
                  <c:v>-5.2786320699886383E-2</c:v>
                </c:pt>
                <c:pt idx="4">
                  <c:v>-8.3223121223797034E-2</c:v>
                </c:pt>
                <c:pt idx="5">
                  <c:v>-5.7202894247060126E-2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-0.55719321295431323</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-0.55291712533417203</c:v>
                </c:pt>
                <c:pt idx="5">
                  <c:v>-0.80792146498017747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0.2065695704299301</c:v>
                </c:pt>
                <c:pt idx="1">
                  <c:v>0.61018154429605342</c:v>
                </c:pt>
                <c:pt idx="2">
                  <c:v>0.52219936371045861</c:v>
                </c:pt>
                <c:pt idx="3">
                  <c:v>0.60743320493531272</c:v>
                </c:pt>
                <c:pt idx="4">
                  <c:v>0.36092042872188052</c:v>
                </c:pt>
                <c:pt idx="5">
                  <c:v>0.33044388650872852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5.5246778436842856E-4</c:v>
                </c:pt>
                <c:pt idx="4">
                  <c:v>1.0064177028340051E-3</c:v>
                </c:pt>
                <c:pt idx="5">
                  <c:v>1.3340583581590273E-3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0.20598909954443939</c:v>
                </c:pt>
                <c:pt idx="1">
                  <c:v>0.20876817032613179</c:v>
                </c:pt>
                <c:pt idx="2">
                  <c:v>0.25089210721703886</c:v>
                </c:pt>
                <c:pt idx="3">
                  <c:v>0.29186130156364459</c:v>
                </c:pt>
                <c:pt idx="4">
                  <c:v>0.34935432374483549</c:v>
                </c:pt>
                <c:pt idx="5">
                  <c:v>0.40609270759050486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1.3349673353196083</c:v>
                </c:pt>
                <c:pt idx="1">
                  <c:v>4.2282735308368835</c:v>
                </c:pt>
                <c:pt idx="2">
                  <c:v>3.3013650736046323</c:v>
                </c:pt>
                <c:pt idx="3">
                  <c:v>7.0650509616523873</c:v>
                </c:pt>
                <c:pt idx="4">
                  <c:v>2.2500758226743676</c:v>
                </c:pt>
                <c:pt idx="5">
                  <c:v>2.2606138519267351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1716374487.0599999</c:v>
                </c:pt>
                <c:pt idx="1">
                  <c:v>4363887921.4300003</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1711551388.3999999</c:v>
                </c:pt>
                <c:pt idx="1">
                  <c:v>1493065310.4500003</c:v>
                </c:pt>
                <c:pt idx="2">
                  <c:v>1506132606.8000002</c:v>
                </c:pt>
                <c:pt idx="3">
                  <c:v>1505638045.8400002</c:v>
                </c:pt>
                <c:pt idx="4">
                  <c:v>1589544237.7400002</c:v>
                </c:pt>
                <c:pt idx="5">
                  <c:v>1733839797.3799996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81393672.340000004</c:v>
                </c:pt>
                <c:pt idx="1">
                  <c:v>183813064.12</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568600</c:v>
                </c:pt>
                <c:pt idx="5">
                  <c:v>1271800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1634980814.7199991</c:v>
                </c:pt>
                <c:pt idx="1">
                  <c:v>4180074857.3100009</c:v>
                </c:pt>
                <c:pt idx="2">
                  <c:v>3134819575.0699997</c:v>
                </c:pt>
                <c:pt idx="3">
                  <c:v>3133593041.4799995</c:v>
                </c:pt>
                <c:pt idx="4">
                  <c:v>1642169421.5999999</c:v>
                </c:pt>
                <c:pt idx="5">
                  <c:v>1410852129.3799996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-1634980814.72</c:v>
                </c:pt>
                <c:pt idx="1">
                  <c:v>-4180074857.3100004</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0.7473985769709407</c:v>
                </c:pt>
                <c:pt idx="1">
                  <c:v>0.74143107911749284</c:v>
                </c:pt>
                <c:pt idx="2">
                  <c:v>0.73459220810864101</c:v>
                </c:pt>
                <c:pt idx="3">
                  <c:v>0.74114505519423912</c:v>
                </c:pt>
                <c:pt idx="4">
                  <c:v>0.75041875859639062</c:v>
                </c:pt>
                <c:pt idx="5">
                  <c:v>0.77391592278092813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6.1628866811552843E-3</c:v>
                </c:pt>
                <c:pt idx="1">
                  <c:v>6.073153218508512E-3</c:v>
                </c:pt>
                <c:pt idx="2">
                  <c:v>5.0840368694204854E-3</c:v>
                </c:pt>
                <c:pt idx="3">
                  <c:v>6.2410609661792066E-3</c:v>
                </c:pt>
                <c:pt idx="4">
                  <c:v>6.0727425436783149E-3</c:v>
                </c:pt>
                <c:pt idx="5">
                  <c:v>4.4177451169087924E-3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0.13434136135574012</c:v>
                </c:pt>
                <c:pt idx="1">
                  <c:v>0.14237268964030331</c:v>
                </c:pt>
                <c:pt idx="2">
                  <c:v>0.14909300868222372</c:v>
                </c:pt>
                <c:pt idx="3">
                  <c:v>0.1406378924240326</c:v>
                </c:pt>
                <c:pt idx="4">
                  <c:v>0.14517928490455212</c:v>
                </c:pt>
                <c:pt idx="5">
                  <c:v>0.12182276222345946</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3.4058140126239027E-2</c:v>
                </c:pt>
                <c:pt idx="1">
                  <c:v>3.0935032264032956E-2</c:v>
                </c:pt>
                <c:pt idx="2">
                  <c:v>4.110284373573115E-2</c:v>
                </c:pt>
                <c:pt idx="3">
                  <c:v>4.0839648442240417E-2</c:v>
                </c:pt>
                <c:pt idx="4">
                  <c:v>4.5082857750391225E-2</c:v>
                </c:pt>
                <c:pt idx="5">
                  <c:v>4.8028028447397134E-2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3.3012330637415327E-3</c:v>
                </c:pt>
                <c:pt idx="1">
                  <c:v>5.7894181974577144E-3</c:v>
                </c:pt>
                <c:pt idx="2">
                  <c:v>1.7097604101541579E-3</c:v>
                </c:pt>
                <c:pt idx="3">
                  <c:v>3.5376076395953943E-3</c:v>
                </c:pt>
                <c:pt idx="4">
                  <c:v>5.6524023584906824E-3</c:v>
                </c:pt>
                <c:pt idx="5">
                  <c:v>1.2567433592866534E-3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4.405624309339537E-4</c:v>
                </c:pt>
                <c:pt idx="1">
                  <c:v>7.4004215563842272E-4</c:v>
                </c:pt>
                <c:pt idx="2">
                  <c:v>3.4425734398776524E-4</c:v>
                </c:pt>
                <c:pt idx="3">
                  <c:v>2.628307987656145E-4</c:v>
                </c:pt>
                <c:pt idx="4">
                  <c:v>2.9056481805220361E-4</c:v>
                </c:pt>
                <c:pt idx="5">
                  <c:v>4.4109220446715157E-4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7.4016504993904041E-4</c:v>
                </c:pt>
                <c:pt idx="1">
                  <c:v>1.8611492761014857E-3</c:v>
                </c:pt>
                <c:pt idx="2">
                  <c:v>1.1512386513702899E-3</c:v>
                </c:pt>
                <c:pt idx="3">
                  <c:v>2.3688774601937344E-3</c:v>
                </c:pt>
                <c:pt idx="4">
                  <c:v>3.1140148600464026E-3</c:v>
                </c:pt>
                <c:pt idx="5">
                  <c:v>5.9588783497950548E-3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0.17904434870774896</c:v>
                </c:pt>
                <c:pt idx="1">
                  <c:v>0.18777148475204239</c:v>
                </c:pt>
                <c:pt idx="2">
                  <c:v>0.19848514569288758</c:v>
                </c:pt>
                <c:pt idx="3">
                  <c:v>0.19388791773100697</c:v>
                </c:pt>
                <c:pt idx="4">
                  <c:v>0.20539186723521094</c:v>
                </c:pt>
                <c:pt idx="5">
                  <c:v>0.18192524970131427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7.1827187660413044E-2</c:v>
                </c:pt>
                <c:pt idx="1">
                  <c:v>8.7511214936699291E-2</c:v>
                </c:pt>
                <c:pt idx="2">
                  <c:v>8.6611254437965413E-2</c:v>
                </c:pt>
                <c:pt idx="3">
                  <c:v>7.3041087721613052E-2</c:v>
                </c:pt>
                <c:pt idx="4">
                  <c:v>5.004134644579631E-2</c:v>
                </c:pt>
                <c:pt idx="5">
                  <c:v>5.3106228868691582E-2</c:v>
                </c:pt>
                <c:pt idx="6">
                  <c:v>4.5724651814787465E-2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0.79599703961243873</c:v>
                </c:pt>
                <c:pt idx="1">
                  <c:v>0.74250812283599643</c:v>
                </c:pt>
                <c:pt idx="2">
                  <c:v>0.70824289834217269</c:v>
                </c:pt>
                <c:pt idx="3">
                  <c:v>0.79496048921182905</c:v>
                </c:pt>
                <c:pt idx="4">
                  <c:v>0.7959147466452412</c:v>
                </c:pt>
                <c:pt idx="5">
                  <c:v>0.85172201903357847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-2.0490807360117524E-4</c:v>
                </c:pt>
                <c:pt idx="3">
                  <c:v>-3.3684331919732046E-4</c:v>
                </c:pt>
                <c:pt idx="4">
                  <c:v>-2.1108215680391181E-4</c:v>
                </c:pt>
                <c:pt idx="5">
                  <c:v>-3.1478550048264127E-4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0.20400296038756116</c:v>
                </c:pt>
                <c:pt idx="1">
                  <c:v>0.25749187716400362</c:v>
                </c:pt>
                <c:pt idx="2">
                  <c:v>0.29196200973142838</c:v>
                </c:pt>
                <c:pt idx="3">
                  <c:v>0.20537635410736829</c:v>
                </c:pt>
                <c:pt idx="4">
                  <c:v>0.20429633551156282</c:v>
                </c:pt>
                <c:pt idx="5">
                  <c:v>0.14859276646690411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6.132485082279393E-2</c:v>
                </c:pt>
                <c:pt idx="1">
                  <c:v>-1.9355975210336052E-2</c:v>
                </c:pt>
                <c:pt idx="2">
                  <c:v>-2.0359117351851808E-2</c:v>
                </c:pt>
                <c:pt idx="3">
                  <c:v>1.5856219858773501E-2</c:v>
                </c:pt>
                <c:pt idx="4">
                  <c:v>7.6422630759082066E-2</c:v>
                </c:pt>
                <c:pt idx="5">
                  <c:v>4.6489782336652352E-2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15982893658.84</c:v>
                </c:pt>
                <c:pt idx="1">
                  <c:v>12111213286.280001</c:v>
                </c:pt>
                <c:pt idx="2">
                  <c:v>9646390824.3600006</c:v>
                </c:pt>
                <c:pt idx="3">
                  <c:v>8007492218.6899996</c:v>
                </c:pt>
                <c:pt idx="4">
                  <c:v>6549621939.8999996</c:v>
                </c:pt>
                <c:pt idx="5">
                  <c:v>5339914557.9799995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5401805417.8100014</c:v>
                </c:pt>
                <c:pt idx="1">
                  <c:v>4223701215.4099998</c:v>
                </c:pt>
                <c:pt idx="2">
                  <c:v>3485236108.0799999</c:v>
                </c:pt>
                <c:pt idx="3">
                  <c:v>2796725069.9100008</c:v>
                </c:pt>
                <c:pt idx="4">
                  <c:v>2178334104.4700012</c:v>
                </c:pt>
                <c:pt idx="5">
                  <c:v>1559949368.8300009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-0.11196628103997611</c:v>
                </c:pt>
                <c:pt idx="4">
                  <c:v>-2.5485504633778144E-2</c:v>
                </c:pt>
                <c:pt idx="5">
                  <c:v>-2.510616148864012E-2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0.19017565051731783</c:v>
                </c:pt>
                <c:pt idx="1">
                  <c:v>8.4111321262704625E-2</c:v>
                </c:pt>
                <c:pt idx="2">
                  <c:v>0.10585112044545178</c:v>
                </c:pt>
                <c:pt idx="3">
                  <c:v>5.28040771640714E-2</c:v>
                </c:pt>
                <c:pt idx="4">
                  <c:v>5.8794732611694954E-2</c:v>
                </c:pt>
                <c:pt idx="5">
                  <c:v>4.0589407369881238E-2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4.3811986060178203</c:v>
                </c:pt>
                <c:pt idx="1">
                  <c:v>12.615461185359001</c:v>
                </c:pt>
                <c:pt idx="2">
                  <c:v>9.6403211917701945</c:v>
                </c:pt>
                <c:pt idx="3">
                  <c:v>20.911499224282093</c:v>
                </c:pt>
                <c:pt idx="4">
                  <c:v>6.6440202143096272</c:v>
                </c:pt>
                <c:pt idx="5">
                  <c:v>6.1651138779289756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12.494336554300565</c:v>
                </c:pt>
                <c:pt idx="1">
                  <c:v>10.940522418786063</c:v>
                </c:pt>
                <c:pt idx="2">
                  <c:v>8.7187720876318249</c:v>
                </c:pt>
                <c:pt idx="3">
                  <c:v>7.1758397168904526</c:v>
                </c:pt>
                <c:pt idx="4">
                  <c:v>5.4908544456613111</c:v>
                </c:pt>
                <c:pt idx="5">
                  <c:v>3.9795279455670385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12.459226839988824</c:v>
                </c:pt>
                <c:pt idx="1">
                  <c:v>3.7432021160472932</c:v>
                </c:pt>
                <c:pt idx="2">
                  <c:v>4.1889578069725992</c:v>
                </c:pt>
                <c:pt idx="3">
                  <c:v>3.447868675218003</c:v>
                </c:pt>
                <c:pt idx="4">
                  <c:v>5.314893779879406</c:v>
                </c:pt>
                <c:pt idx="5">
                  <c:v>4.8905649168507477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3790.8996304245434</c:v>
                </c:pt>
                <c:pt idx="4">
                  <c:v>1906.0214623050215</c:v>
                </c:pt>
                <c:pt idx="5">
                  <c:v>1211.3842460216831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12.059626494857008</c:v>
                </c:pt>
                <c:pt idx="1">
                  <c:v>10.48507770683276</c:v>
                </c:pt>
                <c:pt idx="2">
                  <c:v>8.3376697896385057</c:v>
                </c:pt>
                <c:pt idx="3">
                  <c:v>6.8305268647898458</c:v>
                </c:pt>
                <c:pt idx="4">
                  <c:v>5.4350173448154866</c:v>
                </c:pt>
                <c:pt idx="5">
                  <c:v>7.2979308518979416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20.768530911299528</c:v>
                </c:pt>
                <c:pt idx="1">
                  <c:v>16.825213141195807</c:v>
                </c:pt>
                <c:pt idx="2">
                  <c:v>12.88010057262054</c:v>
                </c:pt>
                <c:pt idx="3">
                  <c:v>10.13699140473314</c:v>
                </c:pt>
                <c:pt idx="4">
                  <c:v>7.3083506786691208</c:v>
                </c:pt>
                <c:pt idx="5">
                  <c:v>5.3186400715614646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563.16646004430095</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114.32895492332767</c:v>
                </c:pt>
                <c:pt idx="1">
                  <c:v>84.952248519912743</c:v>
                </c:pt>
                <c:pt idx="2">
                  <c:v>66.481970925692522</c:v>
                </c:pt>
                <c:pt idx="3">
                  <c:v>53.285591366708765</c:v>
                </c:pt>
                <c:pt idx="4">
                  <c:v>39.772766983324559</c:v>
                </c:pt>
                <c:pt idx="5">
                  <c:v>22.350334799477874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-144.01310418120312</c:v>
                </c:pt>
                <c:pt idx="1">
                  <c:v>27.286889442562224</c:v>
                </c:pt>
                <c:pt idx="2">
                  <c:v>5.7090803113556312</c:v>
                </c:pt>
                <c:pt idx="3">
                  <c:v>4.060617092631249</c:v>
                </c:pt>
                <c:pt idx="4">
                  <c:v>4.0127302358822101</c:v>
                </c:pt>
                <c:pt idx="5">
                  <c:v>2.5639897437715211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8.6263362471632341</c:v>
                </c:pt>
                <c:pt idx="1">
                  <c:v>9.8056543377164491</c:v>
                </c:pt>
                <c:pt idx="2">
                  <c:v>14.280054631597038</c:v>
                </c:pt>
                <c:pt idx="3">
                  <c:v>11.408643760055408</c:v>
                </c:pt>
                <c:pt idx="4">
                  <c:v>7.4814786364533949</c:v>
                </c:pt>
                <c:pt idx="5">
                  <c:v>6.0606859027822582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2.583593063675615</c:v>
                </c:pt>
                <c:pt idx="1">
                  <c:v>2.3984097238223478</c:v>
                </c:pt>
                <c:pt idx="2">
                  <c:v>2.1628205058246786</c:v>
                </c:pt>
                <c:pt idx="3">
                  <c:v>2.091321843891234</c:v>
                </c:pt>
                <c:pt idx="4">
                  <c:v>2.1656084511840157</c:v>
                </c:pt>
                <c:pt idx="5">
                  <c:v>1.4956408429389902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0.24340325965725471</c:v>
                </c:pt>
                <c:pt idx="1">
                  <c:v>0.43662766432094507</c:v>
                </c:pt>
                <c:pt idx="2">
                  <c:v>0.31692707302873602</c:v>
                </c:pt>
                <c:pt idx="3">
                  <c:v>0.37240017623574218</c:v>
                </c:pt>
                <c:pt idx="4">
                  <c:v>0.15157098071158889</c:v>
                </c:pt>
                <c:pt idx="5">
                  <c:v>0.13561804997779253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7.5037404421188433E-2</c:v>
                </c:pt>
                <c:pt idx="1">
                  <c:v>7.451973468266769E-2</c:v>
                </c:pt>
                <c:pt idx="2">
                  <c:v>6.9225123501211946E-2</c:v>
                </c:pt>
                <c:pt idx="3">
                  <c:v>6.9704781995141421E-2</c:v>
                </c:pt>
                <c:pt idx="4">
                  <c:v>5.0417403888491301E-2</c:v>
                </c:pt>
                <c:pt idx="5">
                  <c:v>5.607658421734777E-2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1604652313.0400012</c:v>
                </c:pt>
                <c:pt idx="1">
                  <c:v>1217273494.7299998</c:v>
                </c:pt>
                <c:pt idx="2">
                  <c:v>909038496.17000008</c:v>
                </c:pt>
                <c:pt idx="3">
                  <c:v>753105610.73000097</c:v>
                </c:pt>
                <c:pt idx="4">
                  <c:v>440040885.01000124</c:v>
                </c:pt>
                <c:pt idx="5">
                  <c:v>386920800.58000088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-263002.03999999998</c:v>
                </c:pt>
                <c:pt idx="3">
                  <c:v>-319108.43</c:v>
                </c:pt>
                <c:pt idx="4">
                  <c:v>-116701.92</c:v>
                </c:pt>
                <c:pt idx="5">
                  <c:v>-143000.95000000001</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0.70176455622577416</c:v>
                </c:pt>
                <c:pt idx="1">
                  <c:v>0.84884773841366723</c:v>
                </c:pt>
                <c:pt idx="2">
                  <c:v>0.82922140319650706</c:v>
                </c:pt>
                <c:pt idx="3">
                  <c:v>0.69602268073562312</c:v>
                </c:pt>
                <c:pt idx="4">
                  <c:v>0.70046983957651976</c:v>
                </c:pt>
                <c:pt idx="5">
                  <c:v>0.84950254639539691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0.63690159279936576</c:v>
                </c:pt>
                <c:pt idx="1">
                  <c:v>0.65907322190894246</c:v>
                </c:pt>
                <c:pt idx="2">
                  <c:v>0.49908233383713957</c:v>
                </c:pt>
                <c:pt idx="3">
                  <c:v>0.4618673207843445</c:v>
                </c:pt>
                <c:pt idx="4">
                  <c:v>0.50507920746564483</c:v>
                </c:pt>
                <c:pt idx="5">
                  <c:v>0.70955147555492726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1.547566618700587</c:v>
                </c:pt>
                <c:pt idx="1">
                  <c:v>3.7417188068886946</c:v>
                </c:pt>
                <c:pt idx="2">
                  <c:v>4.5585114842691441</c:v>
                </c:pt>
                <c:pt idx="3">
                  <c:v>2.5995904666059833</c:v>
                </c:pt>
                <c:pt idx="4">
                  <c:v>2.4041258164802706</c:v>
                </c:pt>
                <c:pt idx="5">
                  <c:v>1.0533081871105918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1.3123373386080179</c:v>
                </c:pt>
                <c:pt idx="1">
                  <c:v>2.7255018610253372</c:v>
                </c:pt>
                <c:pt idx="2">
                  <c:v>3.1641148011926457</c:v>
                </c:pt>
                <c:pt idx="3">
                  <c:v>2.0998676725741663</c:v>
                </c:pt>
                <c:pt idx="4">
                  <c:v>2.0718125561043728</c:v>
                </c:pt>
                <c:pt idx="5">
                  <c:v>0.94086645236892075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-0.50918741028617376</c:v>
                </c:pt>
                <c:pt idx="1">
                  <c:v>6.4216688573894579E-2</c:v>
                </c:pt>
                <c:pt idx="2">
                  <c:v>1.3316084316484309</c:v>
                </c:pt>
                <c:pt idx="3">
                  <c:v>1.0893320992759932</c:v>
                </c:pt>
                <c:pt idx="4">
                  <c:v>2.8401758244821553</c:v>
                </c:pt>
                <c:pt idx="5">
                  <c:v>0.96391022774939072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2015753818.3</c:v>
                </c:pt>
                <c:pt idx="1">
                  <c:v>3896072787.3800001</c:v>
                </c:pt>
                <c:pt idx="2">
                  <c:v>3598695468.8000002</c:v>
                </c:pt>
                <c:pt idx="3">
                  <c:v>1657114317.3299999</c:v>
                </c:pt>
                <c:pt idx="4">
                  <c:v>904882101.00999999</c:v>
                </c:pt>
                <c:pt idx="5">
                  <c:v>344757698.14999998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1302531208.6354809</c:v>
                </c:pt>
                <c:pt idx="1">
                  <c:v>1041252159.35712</c:v>
                </c:pt>
                <c:pt idx="2">
                  <c:v>789445300.55888867</c:v>
                </c:pt>
                <c:pt idx="3">
                  <c:v>637452067.39949429</c:v>
                </c:pt>
                <c:pt idx="4">
                  <c:v>376387165.26690811</c:v>
                </c:pt>
                <c:pt idx="5">
                  <c:v>327309426.02442932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F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7" width="13.88671875" style="189" hidden="1" customWidth="1"/>
    <col min="28" max="28" width="12.77734375" style="189" hidden="1" customWidth="1"/>
    <col min="29" max="29" width="12.777343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6" width="12.77734375" style="189" hidden="1" customWidth="1"/>
    <col min="47" max="48" width="13.88671875" style="189" hidden="1" customWidth="1"/>
    <col min="49" max="49" width="12.77734375" style="189" bestFit="1" customWidth="1"/>
    <col min="50" max="50" width="12.77734375" style="189" hidden="1" customWidth="1"/>
    <col min="51"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2.77734375" style="189" bestFit="1" customWidth="1"/>
    <col min="62" max="63" width="13.88671875" style="189" hidden="1" customWidth="1"/>
    <col min="64" max="64" width="11.6640625" style="189" hidden="1" customWidth="1"/>
    <col min="65" max="65" width="13.88671875" style="189" bestFit="1" customWidth="1"/>
    <col min="66"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1.6640625" style="189" hidden="1" customWidth="1"/>
    <col min="79" max="79" width="12.77734375" style="189" bestFit="1" customWidth="1"/>
    <col min="80" max="80" width="11.664062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107</v>
      </c>
    </row>
    <row r="4" spans="1:84" x14ac:dyDescent="0.25">
      <c r="A4" s="189" t="s">
        <v>108</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row>
    <row r="5" spans="1:84" x14ac:dyDescent="0.25">
      <c r="A5" s="189" t="s">
        <v>109</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row>
    <row r="6" spans="1:84"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row>
    <row r="7" spans="1:84" x14ac:dyDescent="0.25">
      <c r="A7" s="189" t="s">
        <v>111</v>
      </c>
      <c r="B7" s="189">
        <v>395641656.25</v>
      </c>
      <c r="C7" s="189">
        <v>1176200901.21</v>
      </c>
      <c r="D7" s="189">
        <v>1412435821.52</v>
      </c>
      <c r="E7" s="189">
        <v>1283192684.28</v>
      </c>
      <c r="F7" s="189">
        <v>639968894.57000005</v>
      </c>
      <c r="G7" s="189">
        <v>1878193045.3099999</v>
      </c>
      <c r="H7" s="189">
        <v>1478890302.6700001</v>
      </c>
      <c r="I7" s="189">
        <v>1297609202.29</v>
      </c>
      <c r="J7" s="189">
        <v>1953085588.1400001</v>
      </c>
      <c r="K7" s="189">
        <v>1794679303.47</v>
      </c>
      <c r="L7" s="189">
        <v>1995023518</v>
      </c>
      <c r="M7" s="189">
        <v>2205189379.0999999</v>
      </c>
      <c r="N7" s="189">
        <v>1676419522.76</v>
      </c>
      <c r="O7" s="189">
        <v>2055783435.1700001</v>
      </c>
      <c r="P7" s="189">
        <v>2840015166.9200001</v>
      </c>
      <c r="Q7" s="189">
        <v>3147153535.6100001</v>
      </c>
      <c r="R7" s="189">
        <v>2677582220.9299998</v>
      </c>
      <c r="S7" s="189">
        <v>2376741559.6199999</v>
      </c>
      <c r="T7" s="189">
        <v>2353623960.9899998</v>
      </c>
      <c r="U7" s="189">
        <v>2449770225.4099998</v>
      </c>
      <c r="V7" s="189">
        <v>1731820586.8099999</v>
      </c>
      <c r="W7" s="189">
        <v>1552287876.27</v>
      </c>
      <c r="X7" s="189">
        <v>2443417359.3499999</v>
      </c>
      <c r="Y7" s="189">
        <v>2262814443.8699999</v>
      </c>
      <c r="Z7" s="189">
        <v>1556330441.5799999</v>
      </c>
      <c r="AA7" s="189">
        <v>1001881578.1799999</v>
      </c>
      <c r="AB7" s="189">
        <v>1650131174.52</v>
      </c>
      <c r="AC7" s="189">
        <v>2757923958.9400001</v>
      </c>
      <c r="AD7" s="189">
        <v>3411921401.6300001</v>
      </c>
      <c r="AE7" s="189">
        <v>4223997921.5</v>
      </c>
      <c r="AF7" s="189">
        <v>3467581104.3299999</v>
      </c>
      <c r="AG7" s="189">
        <v>1562503246.8299999</v>
      </c>
      <c r="AH7" s="189">
        <v>2059083744.26</v>
      </c>
      <c r="AI7" s="189">
        <v>1932605807.3199999</v>
      </c>
      <c r="AJ7" s="189">
        <v>1753170705.1099999</v>
      </c>
      <c r="AK7" s="189">
        <v>604499731.14999998</v>
      </c>
      <c r="AL7" s="189">
        <v>392844439.69</v>
      </c>
      <c r="AM7" s="189">
        <v>390661689.12</v>
      </c>
      <c r="AN7" s="189">
        <v>373577966.77999997</v>
      </c>
      <c r="AO7" s="189">
        <v>381032680.57999998</v>
      </c>
      <c r="AP7" s="189">
        <v>484020416.93000001</v>
      </c>
      <c r="AQ7" s="189">
        <v>406469558.06999999</v>
      </c>
      <c r="AR7" s="189">
        <v>434162737.30000001</v>
      </c>
      <c r="AS7" s="189">
        <v>407535738.58999997</v>
      </c>
      <c r="AT7" s="189">
        <v>112405252.03</v>
      </c>
      <c r="AU7" s="189">
        <v>126609881.8</v>
      </c>
      <c r="AV7" s="189">
        <v>258794778.12</v>
      </c>
      <c r="AW7" s="189">
        <v>242213476.97999999</v>
      </c>
      <c r="AX7" s="189">
        <v>218780832.69</v>
      </c>
      <c r="AY7" s="189">
        <v>158769538.78</v>
      </c>
      <c r="AZ7" s="189">
        <v>186952531.55000001</v>
      </c>
      <c r="BA7" s="189">
        <v>199229895.06999999</v>
      </c>
      <c r="BB7" s="189">
        <v>139464272.13999999</v>
      </c>
      <c r="BC7" s="189">
        <v>118439354.15000001</v>
      </c>
      <c r="BD7" s="189">
        <v>139403937.38</v>
      </c>
      <c r="BE7" s="189">
        <v>172630869.78999999</v>
      </c>
      <c r="BF7" s="189">
        <v>77173534.780000001</v>
      </c>
      <c r="BG7" s="189">
        <v>27535175.75</v>
      </c>
      <c r="BH7" s="189">
        <v>40011098.359999999</v>
      </c>
      <c r="BI7" s="189">
        <v>98008314.859999999</v>
      </c>
      <c r="BJ7" s="189">
        <v>113775642.33</v>
      </c>
      <c r="BK7" s="189">
        <v>124258147.56999999</v>
      </c>
      <c r="BL7" s="189">
        <v>0</v>
      </c>
      <c r="BM7" s="189">
        <v>236305062.59999999</v>
      </c>
      <c r="BN7" s="189">
        <v>250087862.03999999</v>
      </c>
      <c r="BO7" s="189">
        <v>115001550.48</v>
      </c>
      <c r="BP7" s="189">
        <v>155261642.05000001</v>
      </c>
      <c r="BQ7" s="189">
        <v>99635381.560000002</v>
      </c>
      <c r="BR7" s="189">
        <v>96726205.129999995</v>
      </c>
      <c r="BS7" s="189">
        <v>181353551.59</v>
      </c>
      <c r="BT7" s="189">
        <v>87219840</v>
      </c>
      <c r="BU7" s="189">
        <v>165904424.93000001</v>
      </c>
      <c r="BV7" s="189">
        <v>109373132.45999999</v>
      </c>
      <c r="BW7" s="189">
        <v>135202805</v>
      </c>
      <c r="BX7" s="189">
        <v>58665564.740000002</v>
      </c>
      <c r="BY7" s="189">
        <v>27330750</v>
      </c>
      <c r="BZ7" s="189">
        <v>0</v>
      </c>
      <c r="CA7" s="189">
        <v>70930943.140000001</v>
      </c>
      <c r="CB7" s="189">
        <v>0</v>
      </c>
      <c r="CC7" s="189">
        <v>0</v>
      </c>
      <c r="CD7" s="189">
        <v>0</v>
      </c>
      <c r="CE7" s="189">
        <v>0</v>
      </c>
      <c r="CF7" s="189">
        <v>0</v>
      </c>
    </row>
    <row r="8" spans="1:84" x14ac:dyDescent="0.25">
      <c r="A8" s="189" t="s">
        <v>112</v>
      </c>
      <c r="B8" s="189">
        <v>2314765948.1100001</v>
      </c>
      <c r="C8" s="189">
        <v>1977970373.74</v>
      </c>
      <c r="D8" s="189">
        <v>1570536470.78</v>
      </c>
      <c r="E8" s="189">
        <v>1736724496.0999999</v>
      </c>
      <c r="F8" s="189">
        <v>1600541720.5599999</v>
      </c>
      <c r="G8" s="189">
        <v>1622290121.4400001</v>
      </c>
      <c r="H8" s="189">
        <v>1400073560.8099999</v>
      </c>
      <c r="I8" s="189">
        <v>1465654497.9000001</v>
      </c>
      <c r="J8" s="189">
        <v>1587691496.49</v>
      </c>
      <c r="K8" s="189">
        <v>1117184734.3299999</v>
      </c>
      <c r="L8" s="189">
        <v>1234419143.9200001</v>
      </c>
      <c r="M8" s="189">
        <v>896075475.63</v>
      </c>
      <c r="N8" s="189">
        <v>1059234557.08</v>
      </c>
      <c r="O8" s="189">
        <v>844704089.66999996</v>
      </c>
      <c r="P8" s="189">
        <v>1068886722.15</v>
      </c>
      <c r="Q8" s="189">
        <v>856343229.70000005</v>
      </c>
      <c r="R8" s="189">
        <v>1041453515.7</v>
      </c>
      <c r="S8" s="189">
        <v>825357689.5</v>
      </c>
      <c r="T8" s="189">
        <v>949532381.02999997</v>
      </c>
      <c r="U8" s="189">
        <v>777744132.32000005</v>
      </c>
      <c r="V8" s="189">
        <v>949251177.84000003</v>
      </c>
      <c r="W8" s="189">
        <v>751477026.48000002</v>
      </c>
      <c r="X8" s="189">
        <v>839678545.64999998</v>
      </c>
      <c r="Y8" s="189">
        <v>722198904.65999997</v>
      </c>
      <c r="Z8" s="189">
        <v>850373366.08000004</v>
      </c>
      <c r="AA8" s="189">
        <v>995885577.80999994</v>
      </c>
      <c r="AB8" s="189">
        <v>1031060791.12</v>
      </c>
      <c r="AC8" s="189">
        <v>929389061.45000005</v>
      </c>
      <c r="AD8" s="189">
        <v>1196703528.8199999</v>
      </c>
      <c r="AE8" s="189">
        <v>946023736.51999998</v>
      </c>
      <c r="AF8" s="189">
        <v>1026318789.74</v>
      </c>
      <c r="AG8" s="189">
        <v>905872836.47000003</v>
      </c>
      <c r="AH8" s="189">
        <v>848504299.83000004</v>
      </c>
      <c r="AI8" s="189">
        <v>798101743.23000002</v>
      </c>
      <c r="AJ8" s="189">
        <v>612846478.95000005</v>
      </c>
      <c r="AK8" s="189">
        <v>874635649.00999999</v>
      </c>
      <c r="AL8" s="189">
        <v>528605578.93000001</v>
      </c>
      <c r="AM8" s="189">
        <v>487082847.94</v>
      </c>
      <c r="AN8" s="189">
        <v>724503729.73000002</v>
      </c>
      <c r="AO8" s="189">
        <v>422669603.61000001</v>
      </c>
      <c r="AP8" s="189">
        <v>543680590.33000004</v>
      </c>
      <c r="AQ8" s="189">
        <v>549531721.44000006</v>
      </c>
      <c r="AR8" s="189">
        <v>449964595.38</v>
      </c>
      <c r="AS8" s="189">
        <v>467160239</v>
      </c>
      <c r="AT8" s="189">
        <v>637551197.01999998</v>
      </c>
      <c r="AU8" s="189">
        <v>617848863.67999995</v>
      </c>
      <c r="AV8" s="189">
        <v>661530427.90999997</v>
      </c>
      <c r="AW8" s="189">
        <v>507288038.27999997</v>
      </c>
      <c r="AX8" s="189">
        <v>715019567.39999998</v>
      </c>
      <c r="AY8" s="189">
        <v>595127595.50999999</v>
      </c>
      <c r="AZ8" s="189">
        <v>558252343.34000003</v>
      </c>
      <c r="BA8" s="189">
        <v>555672843.67999995</v>
      </c>
      <c r="BB8" s="189">
        <v>551197569.12</v>
      </c>
      <c r="BC8" s="189">
        <v>431779208.33999997</v>
      </c>
      <c r="BD8" s="189">
        <v>433416593.74000001</v>
      </c>
      <c r="BE8" s="189">
        <v>404062012.29000002</v>
      </c>
      <c r="BF8" s="189">
        <v>428573798.07999998</v>
      </c>
      <c r="BG8" s="189">
        <v>458894680.95999998</v>
      </c>
      <c r="BH8" s="189">
        <v>428025796.63999999</v>
      </c>
      <c r="BI8" s="189">
        <v>395694072.33999997</v>
      </c>
      <c r="BJ8" s="189">
        <v>435074513.75999999</v>
      </c>
      <c r="BK8" s="189">
        <v>343236740.77999997</v>
      </c>
      <c r="BL8" s="189">
        <v>0</v>
      </c>
      <c r="BM8" s="189">
        <v>403677606.04000002</v>
      </c>
      <c r="BN8" s="189">
        <v>718592625.67999995</v>
      </c>
      <c r="BO8" s="189">
        <v>696248086.71000004</v>
      </c>
      <c r="BP8" s="189">
        <v>830388004.75999999</v>
      </c>
      <c r="BQ8" s="189">
        <v>658084161.76999998</v>
      </c>
      <c r="BR8" s="189">
        <v>878124713.28999996</v>
      </c>
      <c r="BS8" s="189">
        <v>916571515.78999996</v>
      </c>
      <c r="BT8" s="189">
        <v>903773555.53999996</v>
      </c>
      <c r="BU8" s="189">
        <v>891392766.95000005</v>
      </c>
      <c r="BV8" s="189">
        <v>718079478.69000006</v>
      </c>
      <c r="BW8" s="189">
        <v>698122695.20000005</v>
      </c>
      <c r="BX8" s="189">
        <v>598949458.71000004</v>
      </c>
      <c r="BY8" s="189">
        <v>445771732.75</v>
      </c>
      <c r="BZ8" s="189">
        <v>0</v>
      </c>
      <c r="CA8" s="189">
        <v>213312765.50999999</v>
      </c>
      <c r="CB8" s="189">
        <v>0</v>
      </c>
      <c r="CC8" s="189">
        <v>0</v>
      </c>
      <c r="CD8" s="189">
        <v>0</v>
      </c>
      <c r="CE8" s="189">
        <v>0</v>
      </c>
      <c r="CF8" s="189">
        <v>0</v>
      </c>
    </row>
    <row r="9" spans="1:84" x14ac:dyDescent="0.25">
      <c r="A9" s="189" t="s">
        <v>113</v>
      </c>
      <c r="B9" s="189">
        <v>95567736.209999993</v>
      </c>
      <c r="C9" s="189">
        <v>152336504.11000001</v>
      </c>
      <c r="D9" s="189">
        <v>86962767.010000005</v>
      </c>
      <c r="E9" s="189">
        <v>84346792.379999995</v>
      </c>
      <c r="F9" s="189">
        <v>197511513.27000001</v>
      </c>
      <c r="G9" s="189">
        <v>122004474.40000001</v>
      </c>
      <c r="H9" s="189">
        <v>133343509.48</v>
      </c>
      <c r="I9" s="189">
        <v>131513792.18000001</v>
      </c>
      <c r="J9" s="189">
        <v>226620522.71000001</v>
      </c>
      <c r="K9" s="189">
        <v>160965289.08000001</v>
      </c>
      <c r="L9" s="189">
        <v>148918902.49000001</v>
      </c>
      <c r="M9" s="189">
        <v>97628578.170000002</v>
      </c>
      <c r="N9" s="189">
        <v>224830339.24000001</v>
      </c>
      <c r="O9" s="189">
        <v>165286324.83000001</v>
      </c>
      <c r="P9" s="189">
        <v>175541071.09</v>
      </c>
      <c r="Q9" s="189">
        <v>142977522.28</v>
      </c>
      <c r="R9" s="189">
        <v>198216108.62</v>
      </c>
      <c r="S9" s="189">
        <v>163170120.91</v>
      </c>
      <c r="T9" s="189">
        <v>118165028.12</v>
      </c>
      <c r="U9" s="189">
        <v>140841924.06</v>
      </c>
      <c r="V9" s="189">
        <v>167716569.22999999</v>
      </c>
      <c r="W9" s="189">
        <v>113496958.64</v>
      </c>
      <c r="X9" s="189">
        <v>144475006.38</v>
      </c>
      <c r="Y9" s="189">
        <v>97188434.209999993</v>
      </c>
      <c r="Z9" s="189">
        <v>208297862.34</v>
      </c>
      <c r="AA9" s="189">
        <v>216011619.87</v>
      </c>
      <c r="AB9" s="189">
        <v>191389522.65000001</v>
      </c>
      <c r="AC9" s="189">
        <v>250051980.25</v>
      </c>
      <c r="AD9" s="189">
        <v>450007783.07999998</v>
      </c>
      <c r="AE9" s="189">
        <v>386530086.44</v>
      </c>
      <c r="AF9" s="189">
        <v>423074200.79000002</v>
      </c>
      <c r="AG9" s="189">
        <v>357089867.91000003</v>
      </c>
      <c r="AH9" s="189">
        <v>171730346.09999999</v>
      </c>
      <c r="AI9" s="189">
        <v>172108348.25</v>
      </c>
      <c r="AJ9" s="189">
        <v>141887489.34</v>
      </c>
      <c r="AK9" s="189">
        <v>66243273.07</v>
      </c>
      <c r="AL9" s="189">
        <v>92771805.909999996</v>
      </c>
      <c r="AM9" s="189">
        <v>132927168.67</v>
      </c>
      <c r="AN9" s="189">
        <v>158986246.56</v>
      </c>
      <c r="AO9" s="189">
        <v>105361611.66</v>
      </c>
      <c r="AP9" s="189">
        <v>100108647.95</v>
      </c>
      <c r="AQ9" s="189">
        <v>117940132.45999999</v>
      </c>
      <c r="AR9" s="189">
        <v>82567148.030000001</v>
      </c>
      <c r="AS9" s="189">
        <v>99327940.280000001</v>
      </c>
      <c r="AT9" s="189">
        <v>47980225.310000002</v>
      </c>
      <c r="AU9" s="189">
        <v>44239312.780000001</v>
      </c>
      <c r="AV9" s="189">
        <v>92767290.489999995</v>
      </c>
      <c r="AW9" s="189">
        <v>56732876.960000001</v>
      </c>
      <c r="AX9" s="189">
        <v>173364873.09999999</v>
      </c>
      <c r="AY9" s="189">
        <v>192503728</v>
      </c>
      <c r="AZ9" s="189">
        <v>168938150.06999999</v>
      </c>
      <c r="BA9" s="189">
        <v>134042730.04000001</v>
      </c>
      <c r="BB9" s="189">
        <v>206240967.03</v>
      </c>
      <c r="BC9" s="189">
        <v>156735609.44999999</v>
      </c>
      <c r="BD9" s="189">
        <v>104453652.98</v>
      </c>
      <c r="BE9" s="189">
        <v>92537863.120000005</v>
      </c>
      <c r="BF9" s="189">
        <v>95262208.560000002</v>
      </c>
      <c r="BG9" s="189">
        <v>77396181.390000001</v>
      </c>
      <c r="BH9" s="189">
        <v>94967335.730000004</v>
      </c>
      <c r="BI9" s="189">
        <v>96305757.359999999</v>
      </c>
      <c r="BJ9" s="189">
        <v>114696259.08</v>
      </c>
      <c r="BK9" s="189">
        <v>93679826.819999993</v>
      </c>
      <c r="BL9" s="189">
        <v>0</v>
      </c>
      <c r="BM9" s="189">
        <v>90061884.609999999</v>
      </c>
      <c r="BN9" s="189">
        <v>118875706.65000001</v>
      </c>
      <c r="BO9" s="189">
        <v>124382634.23999999</v>
      </c>
      <c r="BP9" s="189">
        <v>104719645.02</v>
      </c>
      <c r="BQ9" s="189">
        <v>144721306.18000001</v>
      </c>
      <c r="BR9" s="189">
        <v>106372317.81</v>
      </c>
      <c r="BS9" s="189">
        <v>129684300.72</v>
      </c>
      <c r="BT9" s="189">
        <v>90174045.129999995</v>
      </c>
      <c r="BU9" s="189">
        <v>114901264.55</v>
      </c>
      <c r="BV9" s="189">
        <v>90495807.299999997</v>
      </c>
      <c r="BW9" s="189">
        <v>97791494.109999999</v>
      </c>
      <c r="BX9" s="189">
        <v>55961345.68</v>
      </c>
      <c r="BY9" s="189">
        <v>71285710.459999993</v>
      </c>
      <c r="BZ9" s="189">
        <v>0</v>
      </c>
      <c r="CA9" s="189">
        <v>81387066.909999996</v>
      </c>
      <c r="CB9" s="189">
        <v>0</v>
      </c>
      <c r="CC9" s="189">
        <v>0</v>
      </c>
      <c r="CD9" s="189">
        <v>0</v>
      </c>
      <c r="CE9" s="189">
        <v>0</v>
      </c>
      <c r="CF9" s="189">
        <v>0</v>
      </c>
    </row>
    <row r="10" spans="1:84" x14ac:dyDescent="0.25">
      <c r="A10" s="189" t="s">
        <v>114</v>
      </c>
      <c r="B10" s="189">
        <v>0</v>
      </c>
      <c r="C10" s="189">
        <v>179688607.69</v>
      </c>
      <c r="D10" s="189">
        <v>144739297.75999999</v>
      </c>
      <c r="E10" s="189">
        <v>60943907.979999997</v>
      </c>
      <c r="F10" s="189">
        <v>42692360.899999999</v>
      </c>
      <c r="G10" s="189">
        <v>55176400.57</v>
      </c>
      <c r="H10" s="189">
        <v>31844191.18</v>
      </c>
      <c r="I10" s="189">
        <v>26755807.07</v>
      </c>
      <c r="J10" s="189">
        <v>22536571.629999999</v>
      </c>
      <c r="K10" s="189">
        <v>28465678.210000001</v>
      </c>
      <c r="L10" s="189">
        <v>24734172.239999998</v>
      </c>
      <c r="M10" s="189">
        <v>22932602.739999998</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9864250.0299999993</v>
      </c>
      <c r="BY10" s="189">
        <v>0</v>
      </c>
      <c r="BZ10" s="189">
        <v>0</v>
      </c>
      <c r="CA10" s="189">
        <v>0</v>
      </c>
      <c r="CB10" s="189">
        <v>0</v>
      </c>
      <c r="CC10" s="189">
        <v>0</v>
      </c>
      <c r="CD10" s="189">
        <v>0</v>
      </c>
      <c r="CE10" s="189">
        <v>0</v>
      </c>
      <c r="CF10" s="189">
        <v>0</v>
      </c>
    </row>
    <row r="11" spans="1:84"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row>
    <row r="12" spans="1:84" x14ac:dyDescent="0.25">
      <c r="A12" s="189" t="s">
        <v>116</v>
      </c>
      <c r="B12" s="189">
        <v>235944692.25999999</v>
      </c>
      <c r="C12" s="189">
        <v>34741255.890000001</v>
      </c>
      <c r="D12" s="189">
        <v>24369209.609999999</v>
      </c>
      <c r="E12" s="189">
        <v>47224454.090000004</v>
      </c>
      <c r="F12" s="189">
        <v>13334545.48</v>
      </c>
      <c r="G12" s="189">
        <v>9542347.9600000009</v>
      </c>
      <c r="H12" s="189">
        <v>16322824.310000001</v>
      </c>
      <c r="I12" s="189">
        <v>23693886.539999999</v>
      </c>
      <c r="J12" s="189">
        <v>14674339.33</v>
      </c>
      <c r="K12" s="189">
        <v>12183354.15</v>
      </c>
      <c r="L12" s="189">
        <v>6019382.1799999997</v>
      </c>
      <c r="M12" s="189">
        <v>9208180.0800000001</v>
      </c>
      <c r="N12" s="189">
        <v>24109952.210000001</v>
      </c>
      <c r="O12" s="189">
        <v>27248397.370000001</v>
      </c>
      <c r="P12" s="189">
        <v>23850112.199999999</v>
      </c>
      <c r="Q12" s="189">
        <v>34611969.219999999</v>
      </c>
      <c r="R12" s="189">
        <v>31680859.489999998</v>
      </c>
      <c r="S12" s="189">
        <v>25557616.449999999</v>
      </c>
      <c r="T12" s="189">
        <v>24792645.109999999</v>
      </c>
      <c r="U12" s="189">
        <v>26163524.129999999</v>
      </c>
      <c r="V12" s="189">
        <v>138787020.66999999</v>
      </c>
      <c r="W12" s="189">
        <v>90081196.640000001</v>
      </c>
      <c r="X12" s="189">
        <v>21252398.219999999</v>
      </c>
      <c r="Y12" s="189">
        <v>16984517.489999998</v>
      </c>
      <c r="Z12" s="189">
        <v>19841041.699999999</v>
      </c>
      <c r="AA12" s="189">
        <v>18887033.609999999</v>
      </c>
      <c r="AB12" s="189">
        <v>13589117.720000001</v>
      </c>
      <c r="AC12" s="189">
        <v>15548447.5</v>
      </c>
      <c r="AD12" s="189">
        <v>133606639.81999999</v>
      </c>
      <c r="AE12" s="189">
        <v>11610066.279999999</v>
      </c>
      <c r="AF12" s="189">
        <v>13671213.1</v>
      </c>
      <c r="AG12" s="189">
        <v>13559014.949999999</v>
      </c>
      <c r="AH12" s="189">
        <v>14504247.76</v>
      </c>
      <c r="AI12" s="189">
        <v>18670194.949999999</v>
      </c>
      <c r="AJ12" s="189">
        <v>27458436.59</v>
      </c>
      <c r="AK12" s="189">
        <v>25361277.23</v>
      </c>
      <c r="AL12" s="189">
        <v>77769077.650000006</v>
      </c>
      <c r="AM12" s="189">
        <v>81022386.069999993</v>
      </c>
      <c r="AN12" s="189">
        <v>102060279.42</v>
      </c>
      <c r="AO12" s="189">
        <v>99682875.670000002</v>
      </c>
      <c r="AP12" s="189">
        <v>101336607.51000001</v>
      </c>
      <c r="AQ12" s="189">
        <v>152381733.16</v>
      </c>
      <c r="AR12" s="189">
        <v>95378334.829999998</v>
      </c>
      <c r="AS12" s="189">
        <v>107557415.81</v>
      </c>
      <c r="AT12" s="189">
        <v>86911098.170000002</v>
      </c>
      <c r="AU12" s="189">
        <v>148943239.16</v>
      </c>
      <c r="AV12" s="189">
        <v>129883812.97</v>
      </c>
      <c r="AW12" s="189">
        <v>118956961.84</v>
      </c>
      <c r="AX12" s="189">
        <v>124749323.16</v>
      </c>
      <c r="AY12" s="189">
        <v>92594976.329999998</v>
      </c>
      <c r="AZ12" s="189">
        <v>49090115.259999998</v>
      </c>
      <c r="BA12" s="189">
        <v>58853236.520000003</v>
      </c>
      <c r="BB12" s="189">
        <v>92032319.609999999</v>
      </c>
      <c r="BC12" s="189">
        <v>73927948.349999994</v>
      </c>
      <c r="BD12" s="189">
        <v>78915468.459999993</v>
      </c>
      <c r="BE12" s="189">
        <v>80265265.780000001</v>
      </c>
      <c r="BF12" s="189">
        <v>145922128.34</v>
      </c>
      <c r="BG12" s="189">
        <v>146913054.30000001</v>
      </c>
      <c r="BH12" s="189">
        <v>114810510.31</v>
      </c>
      <c r="BI12" s="189">
        <v>78769896.189999998</v>
      </c>
      <c r="BJ12" s="189">
        <v>130725511.26000001</v>
      </c>
      <c r="BK12" s="189">
        <v>194674600.31</v>
      </c>
      <c r="BL12" s="189">
        <v>0</v>
      </c>
      <c r="BM12" s="189">
        <v>113930035.66</v>
      </c>
      <c r="BN12" s="189">
        <v>221151791.72</v>
      </c>
      <c r="BO12" s="189">
        <v>333400751.19</v>
      </c>
      <c r="BP12" s="189">
        <v>329536731.51999998</v>
      </c>
      <c r="BQ12" s="189">
        <v>146261572.75</v>
      </c>
      <c r="BR12" s="189">
        <v>202099789.24000001</v>
      </c>
      <c r="BS12" s="189">
        <v>156615737.30000001</v>
      </c>
      <c r="BT12" s="189">
        <v>224046493.86000001</v>
      </c>
      <c r="BU12" s="189">
        <v>211724820.47</v>
      </c>
      <c r="BV12" s="189">
        <v>240526832.96000001</v>
      </c>
      <c r="BW12" s="189">
        <v>216441837.30000001</v>
      </c>
      <c r="BX12" s="189">
        <v>241851470.06</v>
      </c>
      <c r="BY12" s="189">
        <v>203278759.96000001</v>
      </c>
      <c r="BZ12" s="189">
        <v>0</v>
      </c>
      <c r="CA12" s="189">
        <v>170090161.28</v>
      </c>
      <c r="CB12" s="189">
        <v>0</v>
      </c>
      <c r="CC12" s="189">
        <v>0</v>
      </c>
      <c r="CD12" s="189">
        <v>0</v>
      </c>
      <c r="CE12" s="189">
        <v>0</v>
      </c>
      <c r="CF12" s="189">
        <v>0</v>
      </c>
    </row>
    <row r="13" spans="1:84"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row>
    <row r="14" spans="1:84" x14ac:dyDescent="0.25">
      <c r="A14" s="189" t="s">
        <v>118</v>
      </c>
      <c r="B14" s="189">
        <v>911601051.34000003</v>
      </c>
      <c r="C14" s="189">
        <v>586403967.09000003</v>
      </c>
      <c r="D14" s="189">
        <v>939795035.01999998</v>
      </c>
      <c r="E14" s="189">
        <v>1980766196.1400001</v>
      </c>
      <c r="F14" s="189">
        <v>1414074811.5</v>
      </c>
      <c r="G14" s="189">
        <v>1084450981.78</v>
      </c>
      <c r="H14" s="189">
        <v>1252235093.98</v>
      </c>
      <c r="I14" s="189">
        <v>1724837944.6900001</v>
      </c>
      <c r="J14" s="189">
        <v>811050787.54999995</v>
      </c>
      <c r="K14" s="189">
        <v>596940535.67999995</v>
      </c>
      <c r="L14" s="189">
        <v>537014206.48000002</v>
      </c>
      <c r="M14" s="189">
        <v>745412967.51999998</v>
      </c>
      <c r="N14" s="189">
        <v>605989653.98000002</v>
      </c>
      <c r="O14" s="189">
        <v>458234419.10000002</v>
      </c>
      <c r="P14" s="189">
        <v>460044879.93000001</v>
      </c>
      <c r="Q14" s="189">
        <v>605616993.25</v>
      </c>
      <c r="R14" s="189">
        <v>634779029.10000002</v>
      </c>
      <c r="S14" s="189">
        <v>581264111.17999995</v>
      </c>
      <c r="T14" s="189">
        <v>474524361.27999997</v>
      </c>
      <c r="U14" s="189">
        <v>798141838.58000004</v>
      </c>
      <c r="V14" s="189">
        <v>817683242.51999998</v>
      </c>
      <c r="W14" s="189">
        <v>656106685.70000005</v>
      </c>
      <c r="X14" s="189">
        <v>691855231.17999995</v>
      </c>
      <c r="Y14" s="189">
        <v>952747860.67999995</v>
      </c>
      <c r="Z14" s="189">
        <v>1135129579.6300001</v>
      </c>
      <c r="AA14" s="189">
        <v>622818920.09000003</v>
      </c>
      <c r="AB14" s="189">
        <v>618388769.88</v>
      </c>
      <c r="AC14" s="189">
        <v>809400728.98000002</v>
      </c>
      <c r="AD14" s="189">
        <v>782433623.40999997</v>
      </c>
      <c r="AE14" s="189">
        <v>923715591.12</v>
      </c>
      <c r="AF14" s="189">
        <v>635831510.03999996</v>
      </c>
      <c r="AG14" s="189">
        <v>1050674093.84</v>
      </c>
      <c r="AH14" s="189">
        <v>379555364.14999998</v>
      </c>
      <c r="AI14" s="189">
        <v>338413144.22000003</v>
      </c>
      <c r="AJ14" s="189">
        <v>505083307.63</v>
      </c>
      <c r="AK14" s="189">
        <v>440416228.67000002</v>
      </c>
      <c r="AL14" s="189">
        <v>401943634.85000002</v>
      </c>
      <c r="AM14" s="189">
        <v>384052952.50999999</v>
      </c>
      <c r="AN14" s="189">
        <v>413334213.12</v>
      </c>
      <c r="AO14" s="189">
        <v>694973687.17999995</v>
      </c>
      <c r="AP14" s="189">
        <v>847015304.73000002</v>
      </c>
      <c r="AQ14" s="189">
        <v>767322582.78999996</v>
      </c>
      <c r="AR14" s="189">
        <v>746684763.62</v>
      </c>
      <c r="AS14" s="189">
        <v>650399632.38</v>
      </c>
      <c r="AT14" s="189">
        <v>813284944.40999997</v>
      </c>
      <c r="AU14" s="189">
        <v>854538072.97000003</v>
      </c>
      <c r="AV14" s="189">
        <v>841837719.57000005</v>
      </c>
      <c r="AW14" s="189">
        <v>777189758.47000003</v>
      </c>
      <c r="AX14" s="189">
        <v>792817759.00999999</v>
      </c>
      <c r="AY14" s="189">
        <v>662018028.32000005</v>
      </c>
      <c r="AZ14" s="189">
        <v>671795603.36000001</v>
      </c>
      <c r="BA14" s="189">
        <v>629567542.96000004</v>
      </c>
      <c r="BB14" s="189">
        <v>598093979.75999999</v>
      </c>
      <c r="BC14" s="189">
        <v>552355168.33000004</v>
      </c>
      <c r="BD14" s="189">
        <v>545325406.54999995</v>
      </c>
      <c r="BE14" s="189">
        <v>506961970.12</v>
      </c>
      <c r="BF14" s="189">
        <v>421842123.20999998</v>
      </c>
      <c r="BG14" s="189">
        <v>433474382.02999997</v>
      </c>
      <c r="BH14" s="189">
        <v>436632080.23000002</v>
      </c>
      <c r="BI14" s="189">
        <v>407204772.81999999</v>
      </c>
      <c r="BJ14" s="189">
        <v>541724738.20000005</v>
      </c>
      <c r="BK14" s="189">
        <v>566285987.36000001</v>
      </c>
      <c r="BL14" s="189">
        <v>0</v>
      </c>
      <c r="BM14" s="189">
        <v>648427814.48000002</v>
      </c>
      <c r="BN14" s="189">
        <v>577408263.87</v>
      </c>
      <c r="BO14" s="189">
        <v>715104409.88</v>
      </c>
      <c r="BP14" s="189">
        <v>555259368.07000005</v>
      </c>
      <c r="BQ14" s="189">
        <v>411997858.44999999</v>
      </c>
      <c r="BR14" s="189">
        <v>369739946.48000002</v>
      </c>
      <c r="BS14" s="189">
        <v>297177484.02999997</v>
      </c>
      <c r="BT14" s="189">
        <v>224712731.83000001</v>
      </c>
      <c r="BU14" s="189">
        <v>289787446.87</v>
      </c>
      <c r="BV14" s="189">
        <v>270310822.16000003</v>
      </c>
      <c r="BW14" s="189">
        <v>225790713.80000001</v>
      </c>
      <c r="BX14" s="189">
        <v>172816605.24000001</v>
      </c>
      <c r="BY14" s="189">
        <v>144075531.56</v>
      </c>
      <c r="BZ14" s="189">
        <v>0</v>
      </c>
      <c r="CA14" s="189">
        <v>89196813.390000001</v>
      </c>
      <c r="CB14" s="189">
        <v>0</v>
      </c>
      <c r="CC14" s="189">
        <v>0</v>
      </c>
      <c r="CD14" s="189">
        <v>0</v>
      </c>
      <c r="CE14" s="189">
        <v>0</v>
      </c>
      <c r="CF14" s="189">
        <v>0</v>
      </c>
    </row>
    <row r="15" spans="1:84"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row>
    <row r="17" spans="1:84"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14613428.25</v>
      </c>
      <c r="AX17" s="189">
        <v>5773346.2300000004</v>
      </c>
      <c r="AY17" s="189">
        <v>17277144.859999999</v>
      </c>
      <c r="AZ17" s="189">
        <v>8406742.3300000001</v>
      </c>
      <c r="BA17" s="189">
        <v>11317069.43</v>
      </c>
      <c r="BB17" s="189">
        <v>10595997.789999999</v>
      </c>
      <c r="BC17" s="189">
        <v>13903422.359999999</v>
      </c>
      <c r="BD17" s="189">
        <v>2510596.7599999998</v>
      </c>
      <c r="BE17" s="189">
        <v>1525124.04</v>
      </c>
      <c r="BF17" s="189">
        <v>0</v>
      </c>
      <c r="BG17" s="189">
        <v>2578358.98</v>
      </c>
      <c r="BH17" s="189">
        <v>4672080.5999999996</v>
      </c>
      <c r="BI17" s="189">
        <v>413734.59</v>
      </c>
      <c r="BJ17" s="189">
        <v>981570.68</v>
      </c>
      <c r="BK17" s="189">
        <v>1498120.43</v>
      </c>
      <c r="BL17" s="189">
        <v>0</v>
      </c>
      <c r="BM17" s="189">
        <v>2136822.88</v>
      </c>
      <c r="BN17" s="189">
        <v>4306168.74</v>
      </c>
      <c r="BO17" s="189">
        <v>7157298.5499999998</v>
      </c>
      <c r="BP17" s="189">
        <v>3689227.77</v>
      </c>
      <c r="BQ17" s="189">
        <v>1951674.53</v>
      </c>
      <c r="BR17" s="189">
        <v>18652076.34</v>
      </c>
      <c r="BS17" s="189">
        <v>1245440.47</v>
      </c>
      <c r="BT17" s="189">
        <v>4703582.03</v>
      </c>
      <c r="BU17" s="189">
        <v>2024866.7</v>
      </c>
      <c r="BV17" s="189">
        <v>8509928.4499999993</v>
      </c>
      <c r="BW17" s="189">
        <v>427671.22</v>
      </c>
      <c r="BX17" s="189">
        <v>24143806.98</v>
      </c>
      <c r="BY17" s="189">
        <v>44583.54</v>
      </c>
      <c r="BZ17" s="189">
        <v>0</v>
      </c>
      <c r="CA17" s="189">
        <v>104490.82</v>
      </c>
      <c r="CB17" s="189">
        <v>0</v>
      </c>
      <c r="CC17" s="189">
        <v>0</v>
      </c>
      <c r="CD17" s="189">
        <v>0</v>
      </c>
      <c r="CE17" s="189">
        <v>0</v>
      </c>
      <c r="CF17" s="189">
        <v>0</v>
      </c>
    </row>
    <row r="18" spans="1:84"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c r="CF18" s="189">
        <v>0</v>
      </c>
    </row>
    <row r="19" spans="1:84" x14ac:dyDescent="0.25">
      <c r="A19" s="189" t="s">
        <v>123</v>
      </c>
      <c r="B19" s="189">
        <v>12608060657.209999</v>
      </c>
      <c r="C19" s="189">
        <v>11926962399.5</v>
      </c>
      <c r="D19" s="189">
        <v>12958089894.049999</v>
      </c>
      <c r="E19" s="189">
        <v>12778240745.219999</v>
      </c>
      <c r="F19" s="189">
        <v>9880082620.7700005</v>
      </c>
      <c r="G19" s="189">
        <v>8804584056.3500004</v>
      </c>
      <c r="H19" s="189">
        <v>8264728111.4300003</v>
      </c>
      <c r="I19" s="189">
        <v>8385724282.1599998</v>
      </c>
      <c r="J19" s="189">
        <v>8366930158.8699999</v>
      </c>
      <c r="K19" s="189">
        <v>8142145155.2299995</v>
      </c>
      <c r="L19" s="189">
        <v>7095769317.1700001</v>
      </c>
      <c r="M19" s="189">
        <v>5733188604.2299995</v>
      </c>
      <c r="N19" s="189">
        <v>3382458658.0500002</v>
      </c>
      <c r="O19" s="189">
        <v>3314447877.2600002</v>
      </c>
      <c r="P19" s="189">
        <v>3306846269.5799999</v>
      </c>
      <c r="Q19" s="189">
        <v>1947972214.72</v>
      </c>
      <c r="R19" s="189">
        <v>1997278786.5</v>
      </c>
      <c r="S19" s="189">
        <v>1959627280.9200001</v>
      </c>
      <c r="T19" s="189">
        <v>1982328232.5599999</v>
      </c>
      <c r="U19" s="189">
        <v>1791288539.6199999</v>
      </c>
      <c r="V19" s="189">
        <v>1812741395.8199999</v>
      </c>
      <c r="W19" s="189">
        <v>1810548618.45</v>
      </c>
      <c r="X19" s="189">
        <v>1448569524.28</v>
      </c>
      <c r="Y19" s="189">
        <v>1201171819.72</v>
      </c>
      <c r="Z19" s="189">
        <v>44746485.439999998</v>
      </c>
      <c r="AA19" s="189">
        <v>61849729.399999999</v>
      </c>
      <c r="AB19" s="189">
        <v>85825122.980000004</v>
      </c>
      <c r="AC19" s="189">
        <v>112052669.26000001</v>
      </c>
      <c r="AD19" s="189">
        <v>62202981.869999997</v>
      </c>
      <c r="AE19" s="189">
        <v>85340194.629999995</v>
      </c>
      <c r="AF19" s="189">
        <v>114139230.43000001</v>
      </c>
      <c r="AG19" s="189">
        <v>129556121.17</v>
      </c>
      <c r="AH19" s="189">
        <v>38635906.100000001</v>
      </c>
      <c r="AI19" s="189">
        <v>21855233.969999999</v>
      </c>
      <c r="AJ19" s="189">
        <v>14739629.82</v>
      </c>
      <c r="AK19" s="189">
        <v>17326441.890000001</v>
      </c>
      <c r="AL19" s="189">
        <v>0</v>
      </c>
      <c r="AM19" s="189">
        <v>0</v>
      </c>
      <c r="AN19" s="189">
        <v>1254966.1000000001</v>
      </c>
      <c r="AO19" s="189">
        <v>0</v>
      </c>
      <c r="AP19" s="189">
        <v>373438.8</v>
      </c>
      <c r="AQ19" s="189">
        <v>193244.91</v>
      </c>
      <c r="AR19" s="189">
        <v>0</v>
      </c>
      <c r="AS19" s="189">
        <v>0</v>
      </c>
      <c r="AT19" s="189">
        <v>0</v>
      </c>
      <c r="AU19" s="189">
        <v>0</v>
      </c>
      <c r="AV19" s="189">
        <v>1305785.28</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124</v>
      </c>
      <c r="B20" s="189">
        <v>17725446981.700001</v>
      </c>
      <c r="C20" s="189">
        <v>17738534873.470001</v>
      </c>
      <c r="D20" s="189">
        <v>18414314883.32</v>
      </c>
      <c r="E20" s="189">
        <v>19564974030.27</v>
      </c>
      <c r="F20" s="189">
        <v>16899720659.33</v>
      </c>
      <c r="G20" s="189">
        <v>17005258608.709999</v>
      </c>
      <c r="H20" s="189">
        <v>16758554896.889999</v>
      </c>
      <c r="I20" s="189">
        <v>17327866623.939999</v>
      </c>
      <c r="J20" s="189">
        <v>15054916198.85</v>
      </c>
      <c r="K20" s="189">
        <v>13907481756.799999</v>
      </c>
      <c r="L20" s="189">
        <v>13334531576.809999</v>
      </c>
      <c r="M20" s="189">
        <v>12752479712.280001</v>
      </c>
      <c r="N20" s="189">
        <v>11035506970.5</v>
      </c>
      <c r="O20" s="189">
        <v>9682677887.4500008</v>
      </c>
      <c r="P20" s="189">
        <v>10039317913.219999</v>
      </c>
      <c r="Q20" s="189">
        <v>9794839328.7399998</v>
      </c>
      <c r="R20" s="189">
        <v>8963399853</v>
      </c>
      <c r="S20" s="189">
        <v>8098500434.3699999</v>
      </c>
      <c r="T20" s="189">
        <v>7574232224.3699999</v>
      </c>
      <c r="U20" s="189">
        <v>7616340012.6199999</v>
      </c>
      <c r="V20" s="189">
        <v>7103353013.6300001</v>
      </c>
      <c r="W20" s="189">
        <v>6530824302.5</v>
      </c>
      <c r="X20" s="189">
        <v>7011920557.71</v>
      </c>
      <c r="Y20" s="189">
        <v>6658621665.2799997</v>
      </c>
      <c r="Z20" s="189">
        <v>6647101815.9700003</v>
      </c>
      <c r="AA20" s="189">
        <v>6038284079.1099997</v>
      </c>
      <c r="AB20" s="189">
        <v>5912768075.2200003</v>
      </c>
      <c r="AC20" s="189">
        <v>7294109497.6199999</v>
      </c>
      <c r="AD20" s="189">
        <v>9024525057.2399998</v>
      </c>
      <c r="AE20" s="189">
        <v>8276537552.7799997</v>
      </c>
      <c r="AF20" s="189">
        <v>7233824840.7600002</v>
      </c>
      <c r="AG20" s="189">
        <v>6242846274.8900003</v>
      </c>
      <c r="AH20" s="189">
        <v>5298812215.9799995</v>
      </c>
      <c r="AI20" s="189">
        <v>4577600732.3400002</v>
      </c>
      <c r="AJ20" s="189">
        <v>3511519752.04</v>
      </c>
      <c r="AK20" s="189">
        <v>2880931571.8299999</v>
      </c>
      <c r="AL20" s="189">
        <v>2493764431.3899999</v>
      </c>
      <c r="AM20" s="189">
        <v>2226274162.29</v>
      </c>
      <c r="AN20" s="189">
        <v>2413300889.6300001</v>
      </c>
      <c r="AO20" s="189">
        <v>2323517484.5599999</v>
      </c>
      <c r="AP20" s="189">
        <v>2605085943.4699998</v>
      </c>
      <c r="AQ20" s="189">
        <v>2769266282.2399998</v>
      </c>
      <c r="AR20" s="189">
        <v>2542968492.8800001</v>
      </c>
      <c r="AS20" s="189">
        <v>2639594058.1199999</v>
      </c>
      <c r="AT20" s="189">
        <v>2616086077.2800002</v>
      </c>
      <c r="AU20" s="189">
        <v>2420170283.8299999</v>
      </c>
      <c r="AV20" s="189">
        <v>2492753955.1599998</v>
      </c>
      <c r="AW20" s="189">
        <v>2459253345.1300001</v>
      </c>
      <c r="AX20" s="189">
        <v>2779320113.4499998</v>
      </c>
      <c r="AY20" s="189">
        <v>2595589625.23</v>
      </c>
      <c r="AZ20" s="189">
        <v>2553836337.1700001</v>
      </c>
      <c r="BA20" s="189">
        <v>2485518728.8499999</v>
      </c>
      <c r="BB20" s="189">
        <v>2224408202.4699998</v>
      </c>
      <c r="BC20" s="189">
        <v>1918417441.54</v>
      </c>
      <c r="BD20" s="189">
        <v>2066340203.4200001</v>
      </c>
      <c r="BE20" s="189">
        <v>2124973290.4100001</v>
      </c>
      <c r="BF20" s="189">
        <v>1859690177.8199999</v>
      </c>
      <c r="BG20" s="189">
        <v>2050971179.1600001</v>
      </c>
      <c r="BH20" s="189">
        <v>2060083998.6400001</v>
      </c>
      <c r="BI20" s="189">
        <v>2085090583.76</v>
      </c>
      <c r="BJ20" s="189">
        <v>2129129269.8900001</v>
      </c>
      <c r="BK20" s="189">
        <v>2122610440.52</v>
      </c>
      <c r="BL20" s="189">
        <v>0</v>
      </c>
      <c r="BM20" s="189">
        <v>2162632615.0500002</v>
      </c>
      <c r="BN20" s="189">
        <v>2590445908.9400001</v>
      </c>
      <c r="BO20" s="189">
        <v>2738730452.5100002</v>
      </c>
      <c r="BP20" s="189">
        <v>2616188326.4299998</v>
      </c>
      <c r="BQ20" s="189">
        <v>2084779478.28</v>
      </c>
      <c r="BR20" s="189">
        <v>2366591570.5500002</v>
      </c>
      <c r="BS20" s="189">
        <v>2382512664.4899998</v>
      </c>
      <c r="BT20" s="189">
        <v>2556267991.8899999</v>
      </c>
      <c r="BU20" s="189">
        <v>2258898138.7199998</v>
      </c>
      <c r="BV20" s="189">
        <v>2072268082.6300001</v>
      </c>
      <c r="BW20" s="189">
        <v>1899609155</v>
      </c>
      <c r="BX20" s="189">
        <v>1965527365.53</v>
      </c>
      <c r="BY20" s="189">
        <v>1854021226.28</v>
      </c>
      <c r="BZ20" s="189">
        <v>1964413730</v>
      </c>
      <c r="CA20" s="189">
        <v>1091369249.3900001</v>
      </c>
      <c r="CB20" s="189">
        <v>794658000</v>
      </c>
      <c r="CC20" s="189">
        <v>794061177.98000002</v>
      </c>
      <c r="CD20" s="189">
        <v>429560429.85000002</v>
      </c>
      <c r="CE20" s="189">
        <v>311471169.47000003</v>
      </c>
      <c r="CF20" s="189">
        <v>0</v>
      </c>
    </row>
    <row r="21" spans="1:84" x14ac:dyDescent="0.25">
      <c r="A21" s="189" t="s">
        <v>125</v>
      </c>
    </row>
    <row r="22" spans="1:84"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row>
    <row r="23" spans="1:84" x14ac:dyDescent="0.25">
      <c r="A23" s="189" t="s">
        <v>127</v>
      </c>
      <c r="B23" s="189">
        <v>200000</v>
      </c>
      <c r="C23" s="189">
        <v>200000</v>
      </c>
      <c r="D23" s="189">
        <v>200000</v>
      </c>
      <c r="E23" s="189">
        <v>200000</v>
      </c>
      <c r="F23" s="189">
        <v>200000</v>
      </c>
      <c r="G23" s="189">
        <v>200000</v>
      </c>
      <c r="H23" s="189">
        <v>200000</v>
      </c>
      <c r="I23" s="189">
        <v>200000</v>
      </c>
      <c r="J23" s="189">
        <v>200000</v>
      </c>
      <c r="K23" s="189">
        <v>200000</v>
      </c>
      <c r="L23" s="189">
        <v>200000</v>
      </c>
      <c r="M23" s="189">
        <v>200000</v>
      </c>
      <c r="N23" s="189">
        <v>200000</v>
      </c>
      <c r="O23" s="189">
        <v>200000</v>
      </c>
      <c r="P23" s="189">
        <v>200000</v>
      </c>
      <c r="Q23" s="189">
        <v>200000</v>
      </c>
      <c r="R23" s="189">
        <v>501056</v>
      </c>
      <c r="S23" s="189">
        <v>251664</v>
      </c>
      <c r="T23" s="189">
        <v>270480</v>
      </c>
      <c r="U23" s="189">
        <v>312816</v>
      </c>
      <c r="V23" s="189">
        <v>301056</v>
      </c>
      <c r="W23" s="189">
        <v>242256</v>
      </c>
      <c r="X23" s="189">
        <v>348096</v>
      </c>
      <c r="Y23" s="189">
        <v>286944</v>
      </c>
      <c r="Z23" s="189">
        <v>176400</v>
      </c>
      <c r="AA23" s="189">
        <v>228144</v>
      </c>
      <c r="AB23" s="189">
        <v>263424</v>
      </c>
      <c r="AC23" s="189">
        <v>284592</v>
      </c>
      <c r="AD23" s="189">
        <v>258720</v>
      </c>
      <c r="AE23" s="189">
        <v>322224</v>
      </c>
      <c r="AF23" s="189">
        <v>350448</v>
      </c>
      <c r="AG23" s="189">
        <v>312816</v>
      </c>
      <c r="AH23" s="189">
        <v>324576</v>
      </c>
      <c r="AI23" s="189">
        <v>315168</v>
      </c>
      <c r="AJ23" s="189">
        <v>425712</v>
      </c>
      <c r="AK23" s="189">
        <v>312816</v>
      </c>
      <c r="AL23" s="189">
        <v>279888</v>
      </c>
      <c r="AM23" s="189">
        <v>12179282</v>
      </c>
      <c r="AN23" s="189">
        <v>9685386</v>
      </c>
      <c r="AO23" s="189">
        <v>7045326</v>
      </c>
      <c r="AP23" s="189">
        <v>8891976</v>
      </c>
      <c r="AQ23" s="189">
        <v>11128485</v>
      </c>
      <c r="AR23" s="189">
        <v>14495237</v>
      </c>
      <c r="AS23" s="189">
        <v>22474658</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row>
    <row r="24" spans="1:84"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5200</v>
      </c>
      <c r="BN24" s="189">
        <v>5200</v>
      </c>
      <c r="BO24" s="189">
        <v>5200</v>
      </c>
      <c r="BP24" s="189">
        <v>5200</v>
      </c>
      <c r="BQ24" s="189">
        <v>5200</v>
      </c>
      <c r="BR24" s="189">
        <v>10400</v>
      </c>
      <c r="BS24" s="189">
        <v>10400</v>
      </c>
      <c r="BT24" s="189">
        <v>15600</v>
      </c>
      <c r="BU24" s="189">
        <v>15600</v>
      </c>
      <c r="BV24" s="189">
        <v>26000</v>
      </c>
      <c r="BW24" s="189">
        <v>26000</v>
      </c>
      <c r="BX24" s="189">
        <v>58588.800000000003</v>
      </c>
      <c r="BY24" s="189">
        <v>0</v>
      </c>
      <c r="BZ24" s="189">
        <v>0</v>
      </c>
      <c r="CA24" s="189">
        <v>0</v>
      </c>
      <c r="CB24" s="189">
        <v>0</v>
      </c>
      <c r="CC24" s="189">
        <v>0</v>
      </c>
      <c r="CD24" s="189">
        <v>0</v>
      </c>
      <c r="CE24" s="189">
        <v>0</v>
      </c>
      <c r="CF24" s="189">
        <v>0</v>
      </c>
    </row>
    <row r="25" spans="1:84"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row>
    <row r="26" spans="1:84" x14ac:dyDescent="0.25">
      <c r="A26" s="189" t="s">
        <v>130</v>
      </c>
      <c r="B26" s="189">
        <v>0</v>
      </c>
      <c r="C26" s="189">
        <v>0</v>
      </c>
      <c r="D26" s="189">
        <v>0</v>
      </c>
      <c r="E26" s="189">
        <v>0</v>
      </c>
      <c r="F26" s="189">
        <v>0</v>
      </c>
      <c r="G26" s="189">
        <v>0</v>
      </c>
      <c r="H26" s="189">
        <v>0</v>
      </c>
      <c r="I26" s="189">
        <v>0</v>
      </c>
      <c r="J26" s="189">
        <v>0</v>
      </c>
      <c r="K26" s="189">
        <v>0</v>
      </c>
      <c r="L26" s="189">
        <v>0</v>
      </c>
      <c r="M26" s="189">
        <v>0</v>
      </c>
      <c r="N26" s="189">
        <v>2595011.08</v>
      </c>
      <c r="O26" s="189">
        <v>2726599.21</v>
      </c>
      <c r="P26" s="189">
        <v>2774768.17</v>
      </c>
      <c r="Q26" s="189">
        <v>2850040.45</v>
      </c>
      <c r="R26" s="189">
        <v>3169463.53</v>
      </c>
      <c r="S26" s="189">
        <v>4598996.45</v>
      </c>
      <c r="T26" s="189">
        <v>4560311.21</v>
      </c>
      <c r="U26" s="189">
        <v>4579148.88</v>
      </c>
      <c r="V26" s="189">
        <v>4685470.12</v>
      </c>
      <c r="W26" s="189">
        <v>4748975.83</v>
      </c>
      <c r="X26" s="189">
        <v>4726423.12</v>
      </c>
      <c r="Y26" s="189">
        <v>5695850.7999999998</v>
      </c>
      <c r="Z26" s="189">
        <v>5903024.8899999997</v>
      </c>
      <c r="AA26" s="189">
        <v>5889739.2599999998</v>
      </c>
      <c r="AB26" s="189">
        <v>5828373.2800000003</v>
      </c>
      <c r="AC26" s="189">
        <v>5838851.75</v>
      </c>
      <c r="AD26" s="189">
        <v>5877852.4000000004</v>
      </c>
      <c r="AE26" s="189">
        <v>108269047.88</v>
      </c>
      <c r="AF26" s="189">
        <v>109027357.45</v>
      </c>
      <c r="AG26" s="189">
        <v>109347118.51000001</v>
      </c>
      <c r="AH26" s="189">
        <v>122160831.65000001</v>
      </c>
      <c r="AI26" s="189">
        <v>144462637.56</v>
      </c>
      <c r="AJ26" s="189">
        <v>145349076.58000001</v>
      </c>
      <c r="AK26" s="189">
        <v>144060027.63</v>
      </c>
      <c r="AL26" s="189">
        <v>149060450.34999999</v>
      </c>
      <c r="AM26" s="189">
        <v>176971435.46000001</v>
      </c>
      <c r="AN26" s="189">
        <v>223695565.96000001</v>
      </c>
      <c r="AO26" s="189">
        <v>218856545.66999999</v>
      </c>
      <c r="AP26" s="189">
        <v>247642775.75999999</v>
      </c>
      <c r="AQ26" s="189">
        <v>242343156.62</v>
      </c>
      <c r="AR26" s="189">
        <v>269466729.31999999</v>
      </c>
      <c r="AS26" s="189">
        <v>254660465.09</v>
      </c>
      <c r="AT26" s="189">
        <v>252633688.88999999</v>
      </c>
      <c r="AU26" s="189">
        <v>208395070.62</v>
      </c>
      <c r="AV26" s="189">
        <v>269360205.31999999</v>
      </c>
      <c r="AW26" s="189">
        <v>301753067.99000001</v>
      </c>
      <c r="AX26" s="189">
        <v>360948396.23000002</v>
      </c>
      <c r="AY26" s="189">
        <v>461903705.42000002</v>
      </c>
      <c r="AZ26" s="189">
        <v>333793360.38</v>
      </c>
      <c r="BA26" s="189">
        <v>329023098.62</v>
      </c>
      <c r="BB26" s="189">
        <v>359455290.94999999</v>
      </c>
      <c r="BC26" s="189">
        <v>351768956.56</v>
      </c>
      <c r="BD26" s="189">
        <v>348304546.24000001</v>
      </c>
      <c r="BE26" s="189">
        <v>308563922.69</v>
      </c>
      <c r="BF26" s="189">
        <v>301999792.12</v>
      </c>
      <c r="BG26" s="189">
        <v>315030354.95999998</v>
      </c>
      <c r="BH26" s="189">
        <v>253101338.66</v>
      </c>
      <c r="BI26" s="189">
        <v>244783701.88999999</v>
      </c>
      <c r="BJ26" s="189">
        <v>268423137.31999999</v>
      </c>
      <c r="BK26" s="189">
        <v>249996565.91999999</v>
      </c>
      <c r="BL26" s="189">
        <v>0</v>
      </c>
      <c r="BM26" s="189">
        <v>251200945.66999999</v>
      </c>
      <c r="BN26" s="189">
        <v>198611687.94999999</v>
      </c>
      <c r="BO26" s="189">
        <v>186102224.62</v>
      </c>
      <c r="BP26" s="189">
        <v>202515456.40000001</v>
      </c>
      <c r="BQ26" s="189">
        <v>236868936.91</v>
      </c>
      <c r="BR26" s="189">
        <v>192122441.91999999</v>
      </c>
      <c r="BS26" s="189">
        <v>183761267.22</v>
      </c>
      <c r="BT26" s="189">
        <v>159977978.33000001</v>
      </c>
      <c r="BU26" s="189">
        <v>165258630.91</v>
      </c>
      <c r="BV26" s="189">
        <v>190345974.91999999</v>
      </c>
      <c r="BW26" s="189">
        <v>234458173.80000001</v>
      </c>
      <c r="BX26" s="189">
        <v>275764965.38999999</v>
      </c>
      <c r="BY26" s="189">
        <v>220925759.05000001</v>
      </c>
      <c r="BZ26" s="189">
        <v>152594060</v>
      </c>
      <c r="CA26" s="189">
        <v>150172810.05000001</v>
      </c>
      <c r="CB26" s="189">
        <v>128335000</v>
      </c>
      <c r="CC26" s="189">
        <v>58240248.189999998</v>
      </c>
      <c r="CD26" s="189">
        <v>49205300.75</v>
      </c>
      <c r="CE26" s="189">
        <v>38287366.619999997</v>
      </c>
      <c r="CF26" s="189">
        <v>0</v>
      </c>
    </row>
    <row r="27" spans="1:84" x14ac:dyDescent="0.25">
      <c r="A27" s="189" t="s">
        <v>131</v>
      </c>
      <c r="B27" s="189">
        <v>58806744</v>
      </c>
      <c r="C27" s="189">
        <v>59769771</v>
      </c>
      <c r="D27" s="189">
        <v>60732798</v>
      </c>
      <c r="E27" s="189">
        <v>61695825</v>
      </c>
      <c r="F27" s="189">
        <v>61965822.25</v>
      </c>
      <c r="G27" s="189">
        <v>62928849.25</v>
      </c>
      <c r="H27" s="189">
        <v>63891876.25</v>
      </c>
      <c r="I27" s="189">
        <v>64854903.25</v>
      </c>
      <c r="J27" s="189">
        <v>65428381.369999997</v>
      </c>
      <c r="K27" s="189">
        <v>66566603.420000002</v>
      </c>
      <c r="L27" s="189">
        <v>67704825.469999999</v>
      </c>
      <c r="M27" s="189">
        <v>68843047.519999996</v>
      </c>
      <c r="N27" s="189">
        <v>69987243.75</v>
      </c>
      <c r="O27" s="189">
        <v>71109600.25</v>
      </c>
      <c r="P27" s="189">
        <v>72253482.129999995</v>
      </c>
      <c r="Q27" s="189">
        <v>73229177.519999996</v>
      </c>
      <c r="R27" s="189">
        <v>8709058.5999999996</v>
      </c>
      <c r="S27" s="189">
        <v>8961631.4399999995</v>
      </c>
      <c r="T27" s="189">
        <v>9214185.9700000007</v>
      </c>
      <c r="U27" s="189">
        <v>9466777.0999999996</v>
      </c>
      <c r="V27" s="189">
        <v>4904348.7300000004</v>
      </c>
      <c r="W27" s="189">
        <v>4952732.7300000004</v>
      </c>
      <c r="X27" s="189">
        <v>5001116.7300000004</v>
      </c>
      <c r="Y27" s="189">
        <v>5049500.7300000004</v>
      </c>
      <c r="Z27" s="189">
        <v>5097884.7300000004</v>
      </c>
      <c r="AA27" s="189">
        <v>5146268.7300000004</v>
      </c>
      <c r="AB27" s="189">
        <v>5194652.7300000004</v>
      </c>
      <c r="AC27" s="189">
        <v>5242947.4800000004</v>
      </c>
      <c r="AD27" s="189">
        <v>0</v>
      </c>
      <c r="AE27" s="189">
        <v>0</v>
      </c>
      <c r="AF27" s="189">
        <v>0</v>
      </c>
      <c r="AG27" s="189">
        <v>0</v>
      </c>
      <c r="AH27" s="189">
        <v>0</v>
      </c>
      <c r="AI27" s="189">
        <v>0</v>
      </c>
      <c r="AJ27" s="189">
        <v>0</v>
      </c>
      <c r="AK27" s="189">
        <v>0</v>
      </c>
      <c r="AL27" s="189">
        <v>0</v>
      </c>
      <c r="AM27" s="189">
        <v>0</v>
      </c>
      <c r="AN27" s="189">
        <v>0</v>
      </c>
      <c r="AO27" s="189">
        <v>30474370.100000001</v>
      </c>
      <c r="AP27" s="189">
        <v>30984573.98</v>
      </c>
      <c r="AQ27" s="189">
        <v>31239675.920000002</v>
      </c>
      <c r="AR27" s="189">
        <v>32004981.739999998</v>
      </c>
      <c r="AS27" s="189">
        <v>32004981.739999998</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132</v>
      </c>
      <c r="B28" s="189">
        <v>1078246771.48</v>
      </c>
      <c r="C28" s="189">
        <v>1064376016.22</v>
      </c>
      <c r="D28" s="189">
        <v>1023793861.63</v>
      </c>
      <c r="E28" s="189">
        <v>1029668355.84</v>
      </c>
      <c r="F28" s="189">
        <v>1006798867.34</v>
      </c>
      <c r="G28" s="189">
        <v>978083778.86000001</v>
      </c>
      <c r="H28" s="189">
        <v>979174930.67999995</v>
      </c>
      <c r="I28" s="189">
        <v>970859291.02999997</v>
      </c>
      <c r="J28" s="189">
        <v>976470361.90999997</v>
      </c>
      <c r="K28" s="189">
        <v>992560338.03999996</v>
      </c>
      <c r="L28" s="189">
        <v>1011578889.1</v>
      </c>
      <c r="M28" s="189">
        <v>1019528291.6</v>
      </c>
      <c r="N28" s="189">
        <v>1006135467.04</v>
      </c>
      <c r="O28" s="189">
        <v>1026039242.28</v>
      </c>
      <c r="P28" s="189">
        <v>1038145055.66</v>
      </c>
      <c r="Q28" s="189">
        <v>1065820898.65</v>
      </c>
      <c r="R28" s="189">
        <v>1121031153.22</v>
      </c>
      <c r="S28" s="189">
        <v>1131351176.29</v>
      </c>
      <c r="T28" s="189">
        <v>1165403863.8599999</v>
      </c>
      <c r="U28" s="189">
        <v>1194244286.8599999</v>
      </c>
      <c r="V28" s="189">
        <v>1218231681.21</v>
      </c>
      <c r="W28" s="189">
        <v>1242514876.24</v>
      </c>
      <c r="X28" s="189">
        <v>1272773028.55</v>
      </c>
      <c r="Y28" s="189">
        <v>1297298526.3099999</v>
      </c>
      <c r="Z28" s="189">
        <v>1320444706.3599999</v>
      </c>
      <c r="AA28" s="189">
        <v>1328967037.77</v>
      </c>
      <c r="AB28" s="189">
        <v>1341505281.9300001</v>
      </c>
      <c r="AC28" s="189">
        <v>1365332660.3299999</v>
      </c>
      <c r="AD28" s="189">
        <v>1233686814.27</v>
      </c>
      <c r="AE28" s="189">
        <v>1231089205.72</v>
      </c>
      <c r="AF28" s="189">
        <v>1225192549.8299999</v>
      </c>
      <c r="AG28" s="189">
        <v>1196176706.6500001</v>
      </c>
      <c r="AH28" s="189">
        <v>635145776.71000004</v>
      </c>
      <c r="AI28" s="189">
        <v>608502384.62</v>
      </c>
      <c r="AJ28" s="189">
        <v>600346984.88</v>
      </c>
      <c r="AK28" s="189">
        <v>591877098.11000001</v>
      </c>
      <c r="AL28" s="189">
        <v>338435433.11000001</v>
      </c>
      <c r="AM28" s="189">
        <v>341176354.83999997</v>
      </c>
      <c r="AN28" s="189">
        <v>444080120.67000002</v>
      </c>
      <c r="AO28" s="189">
        <v>502382574.00999999</v>
      </c>
      <c r="AP28" s="189">
        <v>549487303.70000005</v>
      </c>
      <c r="AQ28" s="189">
        <v>560278161.63999999</v>
      </c>
      <c r="AR28" s="189">
        <v>537945446.71000004</v>
      </c>
      <c r="AS28" s="189">
        <v>542475231.64999998</v>
      </c>
      <c r="AT28" s="189">
        <v>611432506.63999999</v>
      </c>
      <c r="AU28" s="189">
        <v>594704285.50999999</v>
      </c>
      <c r="AV28" s="189">
        <v>603951041.86000001</v>
      </c>
      <c r="AW28" s="189">
        <v>609313811.38999999</v>
      </c>
      <c r="AX28" s="189">
        <v>626363146.78999996</v>
      </c>
      <c r="AY28" s="189">
        <v>499149483.16000003</v>
      </c>
      <c r="AZ28" s="189">
        <v>511887141.30000001</v>
      </c>
      <c r="BA28" s="189">
        <v>521844995.51999998</v>
      </c>
      <c r="BB28" s="189">
        <v>523723978.04000002</v>
      </c>
      <c r="BC28" s="189">
        <v>522435026.06999999</v>
      </c>
      <c r="BD28" s="189">
        <v>531178411.02999997</v>
      </c>
      <c r="BE28" s="189">
        <v>541899685.54999995</v>
      </c>
      <c r="BF28" s="189">
        <v>541899233.34000003</v>
      </c>
      <c r="BG28" s="189">
        <v>553129104.62</v>
      </c>
      <c r="BH28" s="189">
        <v>630413054.82000005</v>
      </c>
      <c r="BI28" s="189">
        <v>631657940.36000001</v>
      </c>
      <c r="BJ28" s="189">
        <v>472448954.86000001</v>
      </c>
      <c r="BK28" s="189">
        <v>478096995.31999999</v>
      </c>
      <c r="BL28" s="189">
        <v>0</v>
      </c>
      <c r="BM28" s="189">
        <v>649032231.92999995</v>
      </c>
      <c r="BN28" s="189">
        <v>713060504.58000004</v>
      </c>
      <c r="BO28" s="189">
        <v>732184962.82000005</v>
      </c>
      <c r="BP28" s="189">
        <v>740884519.58000004</v>
      </c>
      <c r="BQ28" s="189">
        <v>700619723.42999995</v>
      </c>
      <c r="BR28" s="189">
        <v>669192791.72000003</v>
      </c>
      <c r="BS28" s="189">
        <v>669221106.20000005</v>
      </c>
      <c r="BT28" s="189">
        <v>625628210.89999998</v>
      </c>
      <c r="BU28" s="189">
        <v>606043990.94000006</v>
      </c>
      <c r="BV28" s="189">
        <v>672225726.96000004</v>
      </c>
      <c r="BW28" s="189">
        <v>501027728.80000001</v>
      </c>
      <c r="BX28" s="189">
        <v>312334258.22000003</v>
      </c>
      <c r="BY28" s="189">
        <v>129503552.06</v>
      </c>
      <c r="BZ28" s="189">
        <v>123879010</v>
      </c>
      <c r="CA28" s="189">
        <v>127278013.04000001</v>
      </c>
      <c r="CB28" s="189">
        <v>105225000</v>
      </c>
      <c r="CC28" s="189">
        <v>0</v>
      </c>
      <c r="CD28" s="189">
        <v>0</v>
      </c>
      <c r="CE28" s="189">
        <v>0</v>
      </c>
      <c r="CF28" s="189">
        <v>0</v>
      </c>
    </row>
    <row r="29" spans="1:84" x14ac:dyDescent="0.25">
      <c r="A29" s="189" t="s">
        <v>133</v>
      </c>
      <c r="B29" s="189">
        <v>40331385.079999998</v>
      </c>
      <c r="C29" s="189">
        <v>39728931.020000003</v>
      </c>
      <c r="D29" s="189">
        <v>37972252.600000001</v>
      </c>
      <c r="E29" s="189">
        <v>37972252.600000001</v>
      </c>
      <c r="F29" s="189">
        <v>14733569.060000001</v>
      </c>
      <c r="G29" s="189">
        <v>176579.99</v>
      </c>
      <c r="H29" s="189">
        <v>0</v>
      </c>
      <c r="I29" s="189">
        <v>0</v>
      </c>
      <c r="J29" s="189">
        <v>0</v>
      </c>
      <c r="K29" s="189">
        <v>0</v>
      </c>
      <c r="L29" s="189">
        <v>0</v>
      </c>
      <c r="M29" s="189">
        <v>0</v>
      </c>
      <c r="N29" s="189">
        <v>323748</v>
      </c>
      <c r="O29" s="189">
        <v>0</v>
      </c>
      <c r="P29" s="189">
        <v>0</v>
      </c>
      <c r="Q29" s="189">
        <v>0</v>
      </c>
      <c r="R29" s="189">
        <v>2184273.62</v>
      </c>
      <c r="S29" s="189">
        <v>2957911.82</v>
      </c>
      <c r="T29" s="189">
        <v>2184273.62</v>
      </c>
      <c r="U29" s="189">
        <v>0</v>
      </c>
      <c r="V29" s="189">
        <v>11271.7</v>
      </c>
      <c r="W29" s="189">
        <v>0</v>
      </c>
      <c r="X29" s="189">
        <v>0</v>
      </c>
      <c r="Y29" s="189">
        <v>0</v>
      </c>
      <c r="Z29" s="189">
        <v>4271268.42</v>
      </c>
      <c r="AA29" s="189">
        <v>4954600</v>
      </c>
      <c r="AB29" s="189">
        <v>1231600</v>
      </c>
      <c r="AC29" s="189">
        <v>0</v>
      </c>
      <c r="AD29" s="189">
        <v>138966368.16999999</v>
      </c>
      <c r="AE29" s="189">
        <v>128321081.51000001</v>
      </c>
      <c r="AF29" s="189">
        <v>54515344.68</v>
      </c>
      <c r="AG29" s="189">
        <v>26005677.68</v>
      </c>
      <c r="AH29" s="189">
        <v>29009230.719999999</v>
      </c>
      <c r="AI29" s="189">
        <v>26697578.91</v>
      </c>
      <c r="AJ29" s="189">
        <v>13750456.02</v>
      </c>
      <c r="AK29" s="189">
        <v>23101817.68</v>
      </c>
      <c r="AL29" s="189">
        <v>263019691.78</v>
      </c>
      <c r="AM29" s="189">
        <v>143555141.96000001</v>
      </c>
      <c r="AN29" s="189">
        <v>18171591.760000002</v>
      </c>
      <c r="AO29" s="189">
        <v>14371339.58</v>
      </c>
      <c r="AP29" s="189">
        <v>25880356.350000001</v>
      </c>
      <c r="AQ29" s="189">
        <v>25208391.68</v>
      </c>
      <c r="AR29" s="189">
        <v>28974621.399999999</v>
      </c>
      <c r="AS29" s="189">
        <v>33992492.18</v>
      </c>
      <c r="AT29" s="189">
        <v>32725225.649999999</v>
      </c>
      <c r="AU29" s="189">
        <v>39615587.289999999</v>
      </c>
      <c r="AV29" s="189">
        <v>34457070.009999998</v>
      </c>
      <c r="AW29" s="189">
        <v>24942916.050000001</v>
      </c>
      <c r="AX29" s="189">
        <v>39816505.07</v>
      </c>
      <c r="AY29" s="189">
        <v>25016263.539999999</v>
      </c>
      <c r="AZ29" s="189">
        <v>24259246.710000001</v>
      </c>
      <c r="BA29" s="189">
        <v>26240995.010000002</v>
      </c>
      <c r="BB29" s="189">
        <v>48893980.25</v>
      </c>
      <c r="BC29" s="189">
        <v>54397732.039999999</v>
      </c>
      <c r="BD29" s="189">
        <v>54682931.960000001</v>
      </c>
      <c r="BE29" s="189">
        <v>52942158.859999999</v>
      </c>
      <c r="BF29" s="189">
        <v>33818304.140000001</v>
      </c>
      <c r="BG29" s="189">
        <v>33609338.43</v>
      </c>
      <c r="BH29" s="189">
        <v>34299243.170000002</v>
      </c>
      <c r="BI29" s="189">
        <v>30586551.109999999</v>
      </c>
      <c r="BJ29" s="189">
        <v>27974877.739999998</v>
      </c>
      <c r="BK29" s="189">
        <v>28536334.079999998</v>
      </c>
      <c r="BL29" s="189">
        <v>0</v>
      </c>
      <c r="BM29" s="189">
        <v>26110979.120000001</v>
      </c>
      <c r="BN29" s="189">
        <v>70103857.379999995</v>
      </c>
      <c r="BO29" s="189">
        <v>35219441.380000003</v>
      </c>
      <c r="BP29" s="189">
        <v>23037010.559999999</v>
      </c>
      <c r="BQ29" s="189">
        <v>13418706.720000001</v>
      </c>
      <c r="BR29" s="189">
        <v>78828454.629999995</v>
      </c>
      <c r="BS29" s="189">
        <v>63600182.210000001</v>
      </c>
      <c r="BT29" s="189">
        <v>73226327.180000007</v>
      </c>
      <c r="BU29" s="189">
        <v>84151492.670000002</v>
      </c>
      <c r="BV29" s="189">
        <v>135919685.52000001</v>
      </c>
      <c r="BW29" s="189">
        <v>142365960.19999999</v>
      </c>
      <c r="BX29" s="189">
        <v>197480706.78</v>
      </c>
      <c r="BY29" s="189">
        <v>312647903.72000003</v>
      </c>
      <c r="BZ29" s="189">
        <v>83129400</v>
      </c>
      <c r="CA29" s="189">
        <v>58919166.469999999</v>
      </c>
      <c r="CB29" s="189">
        <v>33571000</v>
      </c>
      <c r="CC29" s="189">
        <v>0</v>
      </c>
      <c r="CD29" s="189">
        <v>0</v>
      </c>
      <c r="CE29" s="189">
        <v>0</v>
      </c>
      <c r="CF29" s="189">
        <v>0</v>
      </c>
    </row>
    <row r="30" spans="1:84"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107983.76</v>
      </c>
      <c r="AS31" s="189">
        <v>0</v>
      </c>
      <c r="AT31" s="189">
        <v>18589472.82</v>
      </c>
      <c r="AU31" s="189">
        <v>23773849.350000001</v>
      </c>
      <c r="AV31" s="189">
        <v>23774219.98</v>
      </c>
      <c r="AW31" s="189">
        <v>23769472.82</v>
      </c>
      <c r="AX31" s="189">
        <v>0</v>
      </c>
      <c r="AY31" s="189">
        <v>0</v>
      </c>
      <c r="AZ31" s="189">
        <v>271426.12</v>
      </c>
      <c r="BA31" s="189">
        <v>0</v>
      </c>
      <c r="BB31" s="189">
        <v>0</v>
      </c>
      <c r="BC31" s="189">
        <v>0</v>
      </c>
      <c r="BD31" s="189">
        <v>0</v>
      </c>
      <c r="BE31" s="189">
        <v>0</v>
      </c>
      <c r="BF31" s="189">
        <v>0</v>
      </c>
      <c r="BG31" s="189">
        <v>0</v>
      </c>
      <c r="BH31" s="189">
        <v>0</v>
      </c>
      <c r="BI31" s="189">
        <v>0</v>
      </c>
      <c r="BJ31" s="189">
        <v>-5213976.13</v>
      </c>
      <c r="BK31" s="189">
        <v>0</v>
      </c>
      <c r="BL31" s="189">
        <v>0</v>
      </c>
      <c r="BM31" s="189">
        <v>0</v>
      </c>
      <c r="BN31" s="189">
        <v>0</v>
      </c>
      <c r="BO31" s="189">
        <v>0</v>
      </c>
      <c r="BP31" s="189">
        <v>0</v>
      </c>
      <c r="BQ31" s="189">
        <v>0</v>
      </c>
      <c r="BR31" s="189">
        <v>167923.35</v>
      </c>
      <c r="BS31" s="189">
        <v>0</v>
      </c>
      <c r="BT31" s="189">
        <v>-2472</v>
      </c>
      <c r="BU31" s="189">
        <v>0</v>
      </c>
      <c r="BV31" s="189">
        <v>390413.52</v>
      </c>
      <c r="BW31" s="189">
        <v>0</v>
      </c>
      <c r="BX31" s="189">
        <v>0</v>
      </c>
      <c r="BY31" s="189">
        <v>0</v>
      </c>
      <c r="BZ31" s="189">
        <v>0</v>
      </c>
      <c r="CA31" s="189">
        <v>-105000</v>
      </c>
      <c r="CB31" s="189">
        <v>0</v>
      </c>
      <c r="CC31" s="189">
        <v>0</v>
      </c>
      <c r="CD31" s="189">
        <v>0</v>
      </c>
      <c r="CE31" s="189">
        <v>0</v>
      </c>
      <c r="CF31" s="189">
        <v>0</v>
      </c>
    </row>
    <row r="32" spans="1:84"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row>
    <row r="33" spans="1:84"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row>
    <row r="34" spans="1:84"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row>
    <row r="35" spans="1:84" x14ac:dyDescent="0.25">
      <c r="A35" s="189" t="s">
        <v>139</v>
      </c>
      <c r="B35" s="189">
        <v>183249989.66</v>
      </c>
      <c r="C35" s="189">
        <v>184434179.99000001</v>
      </c>
      <c r="D35" s="189">
        <v>185735812.56</v>
      </c>
      <c r="E35" s="189">
        <v>187045347.27000001</v>
      </c>
      <c r="F35" s="189">
        <v>188354882.02000001</v>
      </c>
      <c r="G35" s="189">
        <v>189664416.72999999</v>
      </c>
      <c r="H35" s="189">
        <v>190973951.44</v>
      </c>
      <c r="I35" s="189">
        <v>192283486.15000001</v>
      </c>
      <c r="J35" s="189">
        <v>193593020.90000001</v>
      </c>
      <c r="K35" s="189">
        <v>194902555.61000001</v>
      </c>
      <c r="L35" s="189">
        <v>196212090.31999999</v>
      </c>
      <c r="M35" s="189">
        <v>197521625.03</v>
      </c>
      <c r="N35" s="189">
        <v>198831363.18000001</v>
      </c>
      <c r="O35" s="189">
        <v>200141101.34999999</v>
      </c>
      <c r="P35" s="189">
        <v>201450839.52000001</v>
      </c>
      <c r="Q35" s="189">
        <v>202760577.69999999</v>
      </c>
      <c r="R35" s="189">
        <v>219832882.91999999</v>
      </c>
      <c r="S35" s="189">
        <v>216719963.63</v>
      </c>
      <c r="T35" s="189">
        <v>218000617.69</v>
      </c>
      <c r="U35" s="189">
        <v>219445532.87</v>
      </c>
      <c r="V35" s="189">
        <v>223995542.93000001</v>
      </c>
      <c r="W35" s="189">
        <v>225177591.13</v>
      </c>
      <c r="X35" s="189">
        <v>226620169.22</v>
      </c>
      <c r="Y35" s="189">
        <v>308714119.44</v>
      </c>
      <c r="Z35" s="189">
        <v>311042262.54000002</v>
      </c>
      <c r="AA35" s="189">
        <v>312965665.75999999</v>
      </c>
      <c r="AB35" s="189">
        <v>315330607.92000002</v>
      </c>
      <c r="AC35" s="189">
        <v>316860016.07999998</v>
      </c>
      <c r="AD35" s="189">
        <v>235605597.11000001</v>
      </c>
      <c r="AE35" s="189">
        <v>237146005.28</v>
      </c>
      <c r="AF35" s="189">
        <v>238686413.44999999</v>
      </c>
      <c r="AG35" s="189">
        <v>240226821.62</v>
      </c>
      <c r="AH35" s="189">
        <v>138646231.36000001</v>
      </c>
      <c r="AI35" s="189">
        <v>139472385.86000001</v>
      </c>
      <c r="AJ35" s="189">
        <v>140682254.34999999</v>
      </c>
      <c r="AK35" s="189">
        <v>141527568.63</v>
      </c>
      <c r="AL35" s="189">
        <v>125305688.94</v>
      </c>
      <c r="AM35" s="189">
        <v>126453013.45999999</v>
      </c>
      <c r="AN35" s="189">
        <v>136632298.56</v>
      </c>
      <c r="AO35" s="189">
        <v>152351167.31999999</v>
      </c>
      <c r="AP35" s="189">
        <v>177193370.65000001</v>
      </c>
      <c r="AQ35" s="189">
        <v>204410221.65000001</v>
      </c>
      <c r="AR35" s="189">
        <v>192792650.75</v>
      </c>
      <c r="AS35" s="189">
        <v>193627535.50999999</v>
      </c>
      <c r="AT35" s="189">
        <v>219369807.25999999</v>
      </c>
      <c r="AU35" s="189">
        <v>192797906.27000001</v>
      </c>
      <c r="AV35" s="189">
        <v>193806036.75</v>
      </c>
      <c r="AW35" s="189">
        <v>194280109.22999999</v>
      </c>
      <c r="AX35" s="189">
        <v>193864411.69</v>
      </c>
      <c r="AY35" s="189">
        <v>69299783.290000007</v>
      </c>
      <c r="AZ35" s="189">
        <v>70769813.439999998</v>
      </c>
      <c r="BA35" s="189">
        <v>71576591.659999996</v>
      </c>
      <c r="BB35" s="189">
        <v>72778458.879999995</v>
      </c>
      <c r="BC35" s="189">
        <v>74077435.909999996</v>
      </c>
      <c r="BD35" s="189">
        <v>74706664.090000004</v>
      </c>
      <c r="BE35" s="189">
        <v>75760719.189999998</v>
      </c>
      <c r="BF35" s="189">
        <v>77113930.879999995</v>
      </c>
      <c r="BG35" s="189">
        <v>78251315.989999995</v>
      </c>
      <c r="BH35" s="189">
        <v>80906952.900000006</v>
      </c>
      <c r="BI35" s="189">
        <v>80036126.980000004</v>
      </c>
      <c r="BJ35" s="189">
        <v>56449571.43</v>
      </c>
      <c r="BK35" s="189">
        <v>54212726.509999998</v>
      </c>
      <c r="BL35" s="189">
        <v>0</v>
      </c>
      <c r="BM35" s="189">
        <v>81029141.540000007</v>
      </c>
      <c r="BN35" s="189">
        <v>62469250.799999997</v>
      </c>
      <c r="BO35" s="189">
        <v>62096415.049999997</v>
      </c>
      <c r="BP35" s="189">
        <v>66023108.710000001</v>
      </c>
      <c r="BQ35" s="189">
        <v>68917394.900000006</v>
      </c>
      <c r="BR35" s="189">
        <v>61090975.899999999</v>
      </c>
      <c r="BS35" s="189">
        <v>62301682.840000004</v>
      </c>
      <c r="BT35" s="189">
        <v>56418306.109999999</v>
      </c>
      <c r="BU35" s="189">
        <v>57365070.359999999</v>
      </c>
      <c r="BV35" s="189">
        <v>40520371.590000004</v>
      </c>
      <c r="BW35" s="189">
        <v>20820283.829999998</v>
      </c>
      <c r="BX35" s="189">
        <v>10965122.130000001</v>
      </c>
      <c r="BY35" s="189">
        <v>10348591.18</v>
      </c>
      <c r="BZ35" s="189">
        <v>9732310</v>
      </c>
      <c r="CA35" s="189">
        <v>9836062.3100000005</v>
      </c>
      <c r="CB35" s="189">
        <v>12477000</v>
      </c>
      <c r="CC35" s="189">
        <v>0</v>
      </c>
      <c r="CD35" s="189">
        <v>0</v>
      </c>
      <c r="CE35" s="189">
        <v>0</v>
      </c>
      <c r="CF35" s="189">
        <v>0</v>
      </c>
    </row>
    <row r="36" spans="1:84"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row>
    <row r="37" spans="1:84"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row>
    <row r="38" spans="1:84" x14ac:dyDescent="0.25">
      <c r="A38" s="189" t="s">
        <v>142</v>
      </c>
      <c r="B38" s="189">
        <v>25664611.43</v>
      </c>
      <c r="C38" s="189">
        <v>26391575.09</v>
      </c>
      <c r="D38" s="189">
        <v>20298651.93</v>
      </c>
      <c r="E38" s="189">
        <v>22382020.52</v>
      </c>
      <c r="F38" s="189">
        <v>10409765.85</v>
      </c>
      <c r="G38" s="189">
        <v>5100503.1500000004</v>
      </c>
      <c r="H38" s="189">
        <v>4477822.34</v>
      </c>
      <c r="I38" s="189">
        <v>4387728.1399999997</v>
      </c>
      <c r="J38" s="189">
        <v>2466998.75</v>
      </c>
      <c r="K38" s="189">
        <v>3009579.2</v>
      </c>
      <c r="L38" s="189">
        <v>3604078.32</v>
      </c>
      <c r="M38" s="189">
        <v>4238244.38</v>
      </c>
      <c r="N38" s="189">
        <v>4895619.38</v>
      </c>
      <c r="O38" s="189">
        <v>5492490.3899999997</v>
      </c>
      <c r="P38" s="189">
        <v>6264755.5</v>
      </c>
      <c r="Q38" s="189">
        <v>1851978.15</v>
      </c>
      <c r="R38" s="189">
        <v>2578135.48</v>
      </c>
      <c r="S38" s="189">
        <v>3466516.25</v>
      </c>
      <c r="T38" s="189">
        <v>5185794.33</v>
      </c>
      <c r="U38" s="189">
        <v>7147835.7400000002</v>
      </c>
      <c r="V38" s="189">
        <v>11151330.720000001</v>
      </c>
      <c r="W38" s="189">
        <v>15766638.57</v>
      </c>
      <c r="X38" s="189">
        <v>21368837.239999998</v>
      </c>
      <c r="Y38" s="189">
        <v>27729917.870000001</v>
      </c>
      <c r="Z38" s="189">
        <v>34748502.109999999</v>
      </c>
      <c r="AA38" s="189">
        <v>43120404.200000003</v>
      </c>
      <c r="AB38" s="189">
        <v>48098172.579999998</v>
      </c>
      <c r="AC38" s="189">
        <v>52754858.43</v>
      </c>
      <c r="AD38" s="189">
        <v>55005355.549999997</v>
      </c>
      <c r="AE38" s="189">
        <v>61812067.109999999</v>
      </c>
      <c r="AF38" s="189">
        <v>64066270.32</v>
      </c>
      <c r="AG38" s="189">
        <v>63595950.350000001</v>
      </c>
      <c r="AH38" s="189">
        <v>37619606.43</v>
      </c>
      <c r="AI38" s="189">
        <v>27867467.640000001</v>
      </c>
      <c r="AJ38" s="189">
        <v>23830162.030000001</v>
      </c>
      <c r="AK38" s="189">
        <v>16773746.67</v>
      </c>
      <c r="AL38" s="189">
        <v>15528139.880000001</v>
      </c>
      <c r="AM38" s="189">
        <v>13131718.52</v>
      </c>
      <c r="AN38" s="189">
        <v>47743781.579999998</v>
      </c>
      <c r="AO38" s="189">
        <v>16339825.279999999</v>
      </c>
      <c r="AP38" s="189">
        <v>23080750.82</v>
      </c>
      <c r="AQ38" s="189">
        <v>19714453.57</v>
      </c>
      <c r="AR38" s="189">
        <v>19706926.510000002</v>
      </c>
      <c r="AS38" s="189">
        <v>17315277.280000001</v>
      </c>
      <c r="AT38" s="189">
        <v>5486766.5</v>
      </c>
      <c r="AU38" s="189">
        <v>4817919.6399999997</v>
      </c>
      <c r="AV38" s="189">
        <v>5008119.3499999996</v>
      </c>
      <c r="AW38" s="189">
        <v>4233286.45</v>
      </c>
      <c r="AX38" s="189">
        <v>4589931.2699999996</v>
      </c>
      <c r="AY38" s="189">
        <v>4618884.8099999996</v>
      </c>
      <c r="AZ38" s="189">
        <v>4473835.7300000004</v>
      </c>
      <c r="BA38" s="189">
        <v>5096799.8600000003</v>
      </c>
      <c r="BB38" s="189">
        <v>12774601.34</v>
      </c>
      <c r="BC38" s="189">
        <v>22137508.510000002</v>
      </c>
      <c r="BD38" s="189">
        <v>18151662.59</v>
      </c>
      <c r="BE38" s="189">
        <v>13075040.18</v>
      </c>
      <c r="BF38" s="189">
        <v>7663191.7400000002</v>
      </c>
      <c r="BG38" s="189">
        <v>6921687.2800000003</v>
      </c>
      <c r="BH38" s="189">
        <v>7176935.3300000001</v>
      </c>
      <c r="BI38" s="189">
        <v>6908536.3899999997</v>
      </c>
      <c r="BJ38" s="189">
        <v>5783075.9100000001</v>
      </c>
      <c r="BK38" s="189">
        <v>5428274.8099999996</v>
      </c>
      <c r="BL38" s="189">
        <v>0</v>
      </c>
      <c r="BM38" s="189">
        <v>5769635.2199999997</v>
      </c>
      <c r="BN38" s="189">
        <v>12749880.43</v>
      </c>
      <c r="BO38" s="189">
        <v>14519046.380000001</v>
      </c>
      <c r="BP38" s="189">
        <v>15873903.35</v>
      </c>
      <c r="BQ38" s="189">
        <v>16333051.18</v>
      </c>
      <c r="BR38" s="189">
        <v>18234195.800000001</v>
      </c>
      <c r="BS38" s="189">
        <v>30430783.710000001</v>
      </c>
      <c r="BT38" s="189">
        <v>8821940.5600000005</v>
      </c>
      <c r="BU38" s="189">
        <v>8550024.2699999996</v>
      </c>
      <c r="BV38" s="189">
        <v>7765254.3499999996</v>
      </c>
      <c r="BW38" s="189">
        <v>0</v>
      </c>
      <c r="BX38" s="189">
        <v>2399437.86</v>
      </c>
      <c r="BY38" s="189">
        <v>0</v>
      </c>
      <c r="BZ38" s="189">
        <v>0</v>
      </c>
      <c r="CA38" s="189">
        <v>0</v>
      </c>
      <c r="CB38" s="189">
        <v>0</v>
      </c>
      <c r="CC38" s="189">
        <v>0</v>
      </c>
      <c r="CD38" s="189">
        <v>0</v>
      </c>
      <c r="CE38" s="189">
        <v>0</v>
      </c>
      <c r="CF38" s="189">
        <v>0</v>
      </c>
    </row>
    <row r="39" spans="1:84" x14ac:dyDescent="0.25">
      <c r="A39" s="189" t="s">
        <v>143</v>
      </c>
      <c r="B39" s="189">
        <v>405732083.43000001</v>
      </c>
      <c r="C39" s="189">
        <v>380061339.64999998</v>
      </c>
      <c r="D39" s="189">
        <v>401336178.26999998</v>
      </c>
      <c r="E39" s="189">
        <v>407151474.63999999</v>
      </c>
      <c r="F39" s="189">
        <v>363760831.94</v>
      </c>
      <c r="G39" s="189">
        <v>349220299.11000001</v>
      </c>
      <c r="H39" s="189">
        <v>351507376.69</v>
      </c>
      <c r="I39" s="189">
        <v>299879029.23000002</v>
      </c>
      <c r="J39" s="189">
        <v>306719068.56999999</v>
      </c>
      <c r="K39" s="189">
        <v>288709031.33999997</v>
      </c>
      <c r="L39" s="189">
        <v>290303246.88999999</v>
      </c>
      <c r="M39" s="189">
        <v>251881220.88999999</v>
      </c>
      <c r="N39" s="189">
        <v>266557659.56</v>
      </c>
      <c r="O39" s="189">
        <v>241771197.84</v>
      </c>
      <c r="P39" s="189">
        <v>261908169.21000001</v>
      </c>
      <c r="Q39" s="189">
        <v>235241927.5</v>
      </c>
      <c r="R39" s="189">
        <v>254143830.40000001</v>
      </c>
      <c r="S39" s="189">
        <v>219585580.84999999</v>
      </c>
      <c r="T39" s="189">
        <v>206720120.59</v>
      </c>
      <c r="U39" s="189">
        <v>170990970.66999999</v>
      </c>
      <c r="V39" s="189">
        <v>148300161</v>
      </c>
      <c r="W39" s="189">
        <v>107737533.48</v>
      </c>
      <c r="X39" s="189">
        <v>113960277.77</v>
      </c>
      <c r="Y39" s="189">
        <v>100308918.86</v>
      </c>
      <c r="Z39" s="189">
        <v>102814786.84999999</v>
      </c>
      <c r="AA39" s="189">
        <v>86597767.269999996</v>
      </c>
      <c r="AB39" s="189">
        <v>94767666.099999994</v>
      </c>
      <c r="AC39" s="189">
        <v>104762053.25</v>
      </c>
      <c r="AD39" s="189">
        <v>141524947.63999999</v>
      </c>
      <c r="AE39" s="189">
        <v>141547160.43000001</v>
      </c>
      <c r="AF39" s="189">
        <v>165443502.31999999</v>
      </c>
      <c r="AG39" s="189">
        <v>123064955.62</v>
      </c>
      <c r="AH39" s="189">
        <v>99465612.909999996</v>
      </c>
      <c r="AI39" s="189">
        <v>95401093.120000005</v>
      </c>
      <c r="AJ39" s="189">
        <v>97518838.549999997</v>
      </c>
      <c r="AK39" s="189">
        <v>80045127.370000005</v>
      </c>
      <c r="AL39" s="189">
        <v>84920966.140000001</v>
      </c>
      <c r="AM39" s="189">
        <v>73913437.840000004</v>
      </c>
      <c r="AN39" s="189">
        <v>78911685.900000006</v>
      </c>
      <c r="AO39" s="189">
        <v>73949611.439999998</v>
      </c>
      <c r="AP39" s="189">
        <v>46271836.68</v>
      </c>
      <c r="AQ39" s="189">
        <v>43975216.390000001</v>
      </c>
      <c r="AR39" s="189">
        <v>48350207.75</v>
      </c>
      <c r="AS39" s="189">
        <v>48371473.659999996</v>
      </c>
      <c r="AT39" s="189">
        <v>36411150.060000002</v>
      </c>
      <c r="AU39" s="189">
        <v>36411150.060000002</v>
      </c>
      <c r="AV39" s="189">
        <v>52164746.210000001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row>
    <row r="40" spans="1:84" x14ac:dyDescent="0.25">
      <c r="A40" s="189" t="s">
        <v>144</v>
      </c>
      <c r="B40" s="189">
        <v>44721765.609999999</v>
      </c>
      <c r="C40" s="189">
        <v>56029381.549999997</v>
      </c>
      <c r="D40" s="189">
        <v>61777164.490000002</v>
      </c>
      <c r="E40" s="189">
        <v>27331937.530000001</v>
      </c>
      <c r="F40" s="189">
        <v>40057759.450000003</v>
      </c>
      <c r="G40" s="189">
        <v>64654141.020000003</v>
      </c>
      <c r="H40" s="189">
        <v>53717810.799999997</v>
      </c>
      <c r="I40" s="189">
        <v>25655775.899999999</v>
      </c>
      <c r="J40" s="189">
        <v>29587265.329999998</v>
      </c>
      <c r="K40" s="189">
        <v>29351772.600000001</v>
      </c>
      <c r="L40" s="189">
        <v>23335397.030000001</v>
      </c>
      <c r="M40" s="189">
        <v>32963224.899999999</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9754930.2599999998</v>
      </c>
      <c r="BX40" s="189">
        <v>0</v>
      </c>
      <c r="BY40" s="189">
        <v>1771716.14</v>
      </c>
      <c r="BZ40" s="189">
        <v>2088180</v>
      </c>
      <c r="CA40" s="189">
        <v>2164689.54</v>
      </c>
      <c r="CB40" s="189">
        <v>636000</v>
      </c>
      <c r="CC40" s="189">
        <v>0</v>
      </c>
      <c r="CD40" s="189">
        <v>0</v>
      </c>
      <c r="CE40" s="189">
        <v>0</v>
      </c>
      <c r="CF40" s="189">
        <v>0</v>
      </c>
    </row>
    <row r="41" spans="1:84" x14ac:dyDescent="0.25">
      <c r="A41" s="189" t="s">
        <v>145</v>
      </c>
      <c r="B41" s="189">
        <v>1836953350.6900001</v>
      </c>
      <c r="C41" s="189">
        <v>1810991194.52</v>
      </c>
      <c r="D41" s="189">
        <v>1791846719.48</v>
      </c>
      <c r="E41" s="189">
        <v>1773447213.4000001</v>
      </c>
      <c r="F41" s="189">
        <v>1686281497.9100001</v>
      </c>
      <c r="G41" s="189">
        <v>1650028568.1099999</v>
      </c>
      <c r="H41" s="189">
        <v>1643943768.2</v>
      </c>
      <c r="I41" s="189">
        <v>1558120213.7</v>
      </c>
      <c r="J41" s="189">
        <v>1574465096.8299999</v>
      </c>
      <c r="K41" s="189">
        <v>1575299880.21</v>
      </c>
      <c r="L41" s="189">
        <v>1592938527.1300001</v>
      </c>
      <c r="M41" s="189">
        <v>1575175654.3199999</v>
      </c>
      <c r="N41" s="189">
        <v>1549526111.99</v>
      </c>
      <c r="O41" s="189">
        <v>1547480231.3199999</v>
      </c>
      <c r="P41" s="189">
        <v>1582997070.1900001</v>
      </c>
      <c r="Q41" s="189">
        <v>1581954599.97</v>
      </c>
      <c r="R41" s="189">
        <v>1612149853.77</v>
      </c>
      <c r="S41" s="189">
        <v>1587893440.73</v>
      </c>
      <c r="T41" s="189">
        <v>1611539647.27</v>
      </c>
      <c r="U41" s="189">
        <v>1606187368.1199999</v>
      </c>
      <c r="V41" s="189">
        <v>1611580862.4100001</v>
      </c>
      <c r="W41" s="189">
        <v>1601140603.98</v>
      </c>
      <c r="X41" s="189">
        <v>1644797948.6300001</v>
      </c>
      <c r="Y41" s="189">
        <v>1745083778.01</v>
      </c>
      <c r="Z41" s="189">
        <v>1784498835.9000001</v>
      </c>
      <c r="AA41" s="189">
        <v>1787869626.99</v>
      </c>
      <c r="AB41" s="189">
        <v>1812219778.54</v>
      </c>
      <c r="AC41" s="189">
        <v>1851075979.3199999</v>
      </c>
      <c r="AD41" s="189">
        <v>1810925655.1400001</v>
      </c>
      <c r="AE41" s="189">
        <v>1908506791.9300001</v>
      </c>
      <c r="AF41" s="189">
        <v>1857281886.05</v>
      </c>
      <c r="AG41" s="189">
        <v>1758730046.4300001</v>
      </c>
      <c r="AH41" s="189">
        <v>1062371865.78</v>
      </c>
      <c r="AI41" s="189">
        <v>1042718715.71</v>
      </c>
      <c r="AJ41" s="189">
        <v>1021903484.41</v>
      </c>
      <c r="AK41" s="189">
        <v>997698202.09000003</v>
      </c>
      <c r="AL41" s="189">
        <v>976550258.20000005</v>
      </c>
      <c r="AM41" s="189">
        <v>887380384.08000004</v>
      </c>
      <c r="AN41" s="189">
        <v>958920430.42999995</v>
      </c>
      <c r="AO41" s="189">
        <v>1015770759.4</v>
      </c>
      <c r="AP41" s="189">
        <v>1109432943.9400001</v>
      </c>
      <c r="AQ41" s="189">
        <v>1138297762.47</v>
      </c>
      <c r="AR41" s="189">
        <v>1143844784.9400001</v>
      </c>
      <c r="AS41" s="189">
        <v>1144922115.1099999</v>
      </c>
      <c r="AT41" s="189">
        <v>1176648617.8199999</v>
      </c>
      <c r="AU41" s="189">
        <v>1100515768.74</v>
      </c>
      <c r="AV41" s="189">
        <v>1182521439.48</v>
      </c>
      <c r="AW41" s="189">
        <v>1158292663.9300001</v>
      </c>
      <c r="AX41" s="189">
        <v>1225582391.05</v>
      </c>
      <c r="AY41" s="189">
        <v>1059988120.22</v>
      </c>
      <c r="AZ41" s="189">
        <v>945454823.67999995</v>
      </c>
      <c r="BA41" s="189">
        <v>953782480.66999996</v>
      </c>
      <c r="BB41" s="189">
        <v>1017626309.47</v>
      </c>
      <c r="BC41" s="189">
        <v>1024816659.09</v>
      </c>
      <c r="BD41" s="189">
        <v>1027024215.91</v>
      </c>
      <c r="BE41" s="189">
        <v>992241526.47000003</v>
      </c>
      <c r="BF41" s="189">
        <v>962494452.22000003</v>
      </c>
      <c r="BG41" s="189">
        <v>986941801.27999997</v>
      </c>
      <c r="BH41" s="189">
        <v>1005897524.88</v>
      </c>
      <c r="BI41" s="189">
        <v>993972856.73000002</v>
      </c>
      <c r="BJ41" s="189">
        <v>825865641.13</v>
      </c>
      <c r="BK41" s="189">
        <v>816270896.63999999</v>
      </c>
      <c r="BL41" s="189">
        <v>0</v>
      </c>
      <c r="BM41" s="189">
        <v>1013148133.48</v>
      </c>
      <c r="BN41" s="189">
        <v>1057000381.14</v>
      </c>
      <c r="BO41" s="189">
        <v>1030127290.25</v>
      </c>
      <c r="BP41" s="189">
        <v>1048339198.6</v>
      </c>
      <c r="BQ41" s="189">
        <v>1030162896.24</v>
      </c>
      <c r="BR41" s="189">
        <v>1019647183.3200001</v>
      </c>
      <c r="BS41" s="189">
        <v>1009325422.1799999</v>
      </c>
      <c r="BT41" s="189">
        <v>928782573.26999998</v>
      </c>
      <c r="BU41" s="189">
        <v>925104369.62</v>
      </c>
      <c r="BV41" s="189">
        <v>1052544854.59</v>
      </c>
      <c r="BW41" s="189">
        <v>910345752</v>
      </c>
      <c r="BX41" s="189">
        <v>795897412.51999998</v>
      </c>
      <c r="BY41" s="189">
        <v>675197522.14999998</v>
      </c>
      <c r="BZ41" s="189">
        <v>371317960</v>
      </c>
      <c r="CA41" s="189">
        <v>348265741.41000003</v>
      </c>
      <c r="CB41" s="189">
        <v>280244000</v>
      </c>
      <c r="CC41" s="189">
        <v>0</v>
      </c>
      <c r="CD41" s="189">
        <v>0</v>
      </c>
      <c r="CE41" s="189">
        <v>0</v>
      </c>
      <c r="CF41" s="189">
        <v>0</v>
      </c>
    </row>
    <row r="42" spans="1:84" x14ac:dyDescent="0.25">
      <c r="A42" s="189" t="s">
        <v>146</v>
      </c>
      <c r="B42" s="189">
        <v>19562400332.389999</v>
      </c>
      <c r="C42" s="189">
        <v>19549526067.990002</v>
      </c>
      <c r="D42" s="189">
        <v>20206161602.799999</v>
      </c>
      <c r="E42" s="189">
        <v>21338421243.669998</v>
      </c>
      <c r="F42" s="189">
        <v>18586002157.240002</v>
      </c>
      <c r="G42" s="189">
        <v>18655287176.82</v>
      </c>
      <c r="H42" s="189">
        <v>18402498665.09</v>
      </c>
      <c r="I42" s="189">
        <v>18885986837.639999</v>
      </c>
      <c r="J42" s="189">
        <v>16629381295.68</v>
      </c>
      <c r="K42" s="189">
        <v>15482781637.01</v>
      </c>
      <c r="L42" s="189">
        <v>14927470103.940001</v>
      </c>
      <c r="M42" s="189">
        <v>14327655366.6</v>
      </c>
      <c r="N42" s="189">
        <v>12585033082.49</v>
      </c>
      <c r="O42" s="189">
        <v>11230158118.77</v>
      </c>
      <c r="P42" s="189">
        <v>11622314983.41</v>
      </c>
      <c r="Q42" s="189">
        <v>11376793928.709999</v>
      </c>
      <c r="R42" s="189">
        <v>10575549706.77</v>
      </c>
      <c r="S42" s="189">
        <v>9686393875.1000004</v>
      </c>
      <c r="T42" s="189">
        <v>9185771871.6399994</v>
      </c>
      <c r="U42" s="189">
        <v>9222527380.7399998</v>
      </c>
      <c r="V42" s="189">
        <v>8714933876.0400009</v>
      </c>
      <c r="W42" s="189">
        <v>8131964906.4799995</v>
      </c>
      <c r="X42" s="189">
        <v>8656718506.3400002</v>
      </c>
      <c r="Y42" s="189">
        <v>8403705443.29</v>
      </c>
      <c r="Z42" s="189">
        <v>8431600651.8699999</v>
      </c>
      <c r="AA42" s="189">
        <v>7826153706.1000004</v>
      </c>
      <c r="AB42" s="189">
        <v>7724987853.7600002</v>
      </c>
      <c r="AC42" s="189">
        <v>9145185476.9400005</v>
      </c>
      <c r="AD42" s="189">
        <v>10835450712.379999</v>
      </c>
      <c r="AE42" s="189">
        <v>10185044344.709999</v>
      </c>
      <c r="AF42" s="189">
        <v>9091106726.8099995</v>
      </c>
      <c r="AG42" s="189">
        <v>8001576321.3199997</v>
      </c>
      <c r="AH42" s="189">
        <v>6361184081.7600002</v>
      </c>
      <c r="AI42" s="189">
        <v>5620319448.0500002</v>
      </c>
      <c r="AJ42" s="189">
        <v>4533423236.4499998</v>
      </c>
      <c r="AK42" s="189">
        <v>3878629773.9200001</v>
      </c>
      <c r="AL42" s="189">
        <v>3470314689.5900002</v>
      </c>
      <c r="AM42" s="189">
        <v>3113654546.3699999</v>
      </c>
      <c r="AN42" s="189">
        <v>3372221320.0599999</v>
      </c>
      <c r="AO42" s="189">
        <v>3339288243.96</v>
      </c>
      <c r="AP42" s="189">
        <v>3714518887.4099998</v>
      </c>
      <c r="AQ42" s="189">
        <v>3907564044.71</v>
      </c>
      <c r="AR42" s="189">
        <v>3686813277.8200002</v>
      </c>
      <c r="AS42" s="189">
        <v>3784516173.23</v>
      </c>
      <c r="AT42" s="189">
        <v>3792734695.0999999</v>
      </c>
      <c r="AU42" s="189">
        <v>3520686052.5700002</v>
      </c>
      <c r="AV42" s="189">
        <v>3675275394.6399999</v>
      </c>
      <c r="AW42" s="189">
        <v>3617546009.0599999</v>
      </c>
      <c r="AX42" s="189">
        <v>4004902504.5</v>
      </c>
      <c r="AY42" s="189">
        <v>3655577745.4499998</v>
      </c>
      <c r="AZ42" s="189">
        <v>3499291160.8499999</v>
      </c>
      <c r="BA42" s="189">
        <v>3439301209.52</v>
      </c>
      <c r="BB42" s="189">
        <v>3242034511.9400001</v>
      </c>
      <c r="BC42" s="189">
        <v>2943234100.6300001</v>
      </c>
      <c r="BD42" s="189">
        <v>3093364419.3299999</v>
      </c>
      <c r="BE42" s="189">
        <v>3117214816.8800001</v>
      </c>
      <c r="BF42" s="189">
        <v>2822184630.04</v>
      </c>
      <c r="BG42" s="189">
        <v>3037912980.4400001</v>
      </c>
      <c r="BH42" s="189">
        <v>3065981523.52</v>
      </c>
      <c r="BI42" s="189">
        <v>3079063440.4899998</v>
      </c>
      <c r="BJ42" s="189">
        <v>2954994911.02</v>
      </c>
      <c r="BK42" s="189">
        <v>2938881337.1599998</v>
      </c>
      <c r="BL42" s="189">
        <v>3149814016.3600001</v>
      </c>
      <c r="BM42" s="189">
        <v>3175780748.5300002</v>
      </c>
      <c r="BN42" s="189">
        <v>3647446290.0799999</v>
      </c>
      <c r="BO42" s="189">
        <v>3768857742.7600002</v>
      </c>
      <c r="BP42" s="189">
        <v>3664527525.0300002</v>
      </c>
      <c r="BQ42" s="189">
        <v>3114942374.52</v>
      </c>
      <c r="BR42" s="189">
        <v>3386238753.8699999</v>
      </c>
      <c r="BS42" s="189">
        <v>3391838086.6700001</v>
      </c>
      <c r="BT42" s="189">
        <v>3485050565.1599998</v>
      </c>
      <c r="BU42" s="189">
        <v>3184002508.3400002</v>
      </c>
      <c r="BV42" s="189">
        <v>3124812937.2199998</v>
      </c>
      <c r="BW42" s="189">
        <v>2809954907</v>
      </c>
      <c r="BX42" s="189">
        <v>2761424778.0500002</v>
      </c>
      <c r="BY42" s="189">
        <v>2529218748.4299998</v>
      </c>
      <c r="BZ42" s="189">
        <v>2335731690</v>
      </c>
      <c r="CA42" s="189">
        <v>1439634990.8</v>
      </c>
      <c r="CB42" s="189">
        <v>1074902000</v>
      </c>
      <c r="CC42" s="189">
        <v>978591175.80999994</v>
      </c>
      <c r="CD42" s="189">
        <v>589783597.58000004</v>
      </c>
      <c r="CE42" s="189">
        <v>443037417.06999999</v>
      </c>
      <c r="CF42" s="189">
        <v>0</v>
      </c>
    </row>
    <row r="43" spans="1:84" x14ac:dyDescent="0.25">
      <c r="A43" s="189" t="s">
        <v>147</v>
      </c>
    </row>
    <row r="44" spans="1:84" x14ac:dyDescent="0.25">
      <c r="A44" s="189" t="s">
        <v>148</v>
      </c>
      <c r="B44" s="189">
        <v>0</v>
      </c>
      <c r="C44" s="189">
        <v>0</v>
      </c>
      <c r="D44" s="189">
        <v>0</v>
      </c>
      <c r="E44" s="189">
        <v>81393672.340000004</v>
      </c>
      <c r="F44" s="189">
        <v>149470000</v>
      </c>
      <c r="G44" s="189">
        <v>170000000</v>
      </c>
      <c r="H44" s="189">
        <v>123455086.90000001</v>
      </c>
      <c r="I44" s="189">
        <v>183813064.12</v>
      </c>
      <c r="J44" s="189">
        <v>0</v>
      </c>
      <c r="K44" s="189">
        <v>0</v>
      </c>
      <c r="L44" s="189">
        <v>0</v>
      </c>
      <c r="M44" s="189">
        <v>0</v>
      </c>
      <c r="N44" s="189">
        <v>99766633.189999998</v>
      </c>
      <c r="O44" s="189">
        <v>15234122.32</v>
      </c>
      <c r="P44" s="189">
        <v>116148521.47</v>
      </c>
      <c r="Q44" s="189">
        <v>0</v>
      </c>
      <c r="R44" s="189">
        <v>100360740</v>
      </c>
      <c r="S44" s="189">
        <v>50117340</v>
      </c>
      <c r="T44" s="189">
        <v>0</v>
      </c>
      <c r="U44" s="189">
        <v>0</v>
      </c>
      <c r="V44" s="189">
        <v>0</v>
      </c>
      <c r="W44" s="189">
        <v>0</v>
      </c>
      <c r="X44" s="189">
        <v>0</v>
      </c>
      <c r="Y44" s="189">
        <v>0</v>
      </c>
      <c r="Z44" s="189">
        <v>0</v>
      </c>
      <c r="AA44" s="189">
        <v>0</v>
      </c>
      <c r="AB44" s="189">
        <v>6961486.3600000003</v>
      </c>
      <c r="AC44" s="189">
        <v>6961486.3600000003</v>
      </c>
      <c r="AD44" s="189">
        <v>9320968.6300000008</v>
      </c>
      <c r="AE44" s="189">
        <v>39609864.439999998</v>
      </c>
      <c r="AF44" s="189">
        <v>85675125.359999999</v>
      </c>
      <c r="AG44" s="189">
        <v>9039354.8800000008</v>
      </c>
      <c r="AH44" s="189">
        <v>0</v>
      </c>
      <c r="AI44" s="189">
        <v>0</v>
      </c>
      <c r="AJ44" s="189">
        <v>0</v>
      </c>
      <c r="AK44" s="189">
        <v>1000000</v>
      </c>
      <c r="AL44" s="189">
        <v>17900000</v>
      </c>
      <c r="AM44" s="189">
        <v>29900000</v>
      </c>
      <c r="AN44" s="189">
        <v>74910000</v>
      </c>
      <c r="AO44" s="189">
        <v>74930000</v>
      </c>
      <c r="AP44" s="189">
        <v>120920000</v>
      </c>
      <c r="AQ44" s="189">
        <v>194800000</v>
      </c>
      <c r="AR44" s="189">
        <v>212500000</v>
      </c>
      <c r="AS44" s="189">
        <v>190500000</v>
      </c>
      <c r="AT44" s="189">
        <v>367000000</v>
      </c>
      <c r="AU44" s="189">
        <v>401000000</v>
      </c>
      <c r="AV44" s="189">
        <v>454300000</v>
      </c>
      <c r="AW44" s="189">
        <v>559300000</v>
      </c>
      <c r="AX44" s="189">
        <v>712180000</v>
      </c>
      <c r="AY44" s="189">
        <v>721880000</v>
      </c>
      <c r="AZ44" s="189">
        <v>731270000</v>
      </c>
      <c r="BA44" s="189">
        <v>707125100</v>
      </c>
      <c r="BB44" s="189">
        <v>736474630</v>
      </c>
      <c r="BC44" s="189">
        <v>698475025</v>
      </c>
      <c r="BD44" s="189">
        <v>714878250</v>
      </c>
      <c r="BE44" s="189">
        <v>712490000</v>
      </c>
      <c r="BF44" s="189">
        <v>636490000</v>
      </c>
      <c r="BG44" s="189">
        <v>629690000</v>
      </c>
      <c r="BH44" s="189">
        <v>650890000</v>
      </c>
      <c r="BI44" s="189">
        <v>635690000</v>
      </c>
      <c r="BJ44" s="189">
        <v>613890000</v>
      </c>
      <c r="BK44" s="189">
        <v>466890000</v>
      </c>
      <c r="BL44" s="189">
        <v>0</v>
      </c>
      <c r="BM44" s="189">
        <v>621290000</v>
      </c>
      <c r="BN44" s="189">
        <v>696190000</v>
      </c>
      <c r="BO44" s="189">
        <v>700900000</v>
      </c>
      <c r="BP44" s="189">
        <v>675500000</v>
      </c>
      <c r="BQ44" s="189">
        <v>532090000</v>
      </c>
      <c r="BR44" s="189">
        <v>638070000</v>
      </c>
      <c r="BS44" s="189">
        <v>550590000</v>
      </c>
      <c r="BT44" s="189">
        <v>655590000</v>
      </c>
      <c r="BU44" s="189">
        <v>408850000</v>
      </c>
      <c r="BV44" s="189">
        <v>331450800</v>
      </c>
      <c r="BW44" s="189">
        <v>181500000</v>
      </c>
      <c r="BX44" s="189">
        <v>136450000</v>
      </c>
      <c r="BY44" s="189">
        <v>127600000</v>
      </c>
      <c r="BZ44" s="189">
        <v>0</v>
      </c>
      <c r="CA44" s="189">
        <v>69340514</v>
      </c>
      <c r="CB44" s="189">
        <v>0</v>
      </c>
      <c r="CC44" s="189">
        <v>0</v>
      </c>
      <c r="CD44" s="189">
        <v>0</v>
      </c>
      <c r="CE44" s="189">
        <v>0</v>
      </c>
      <c r="CF44" s="189">
        <v>0</v>
      </c>
    </row>
    <row r="45" spans="1:84" x14ac:dyDescent="0.25">
      <c r="A45" s="189" t="s">
        <v>149</v>
      </c>
      <c r="B45" s="189">
        <v>6823112.6500000004</v>
      </c>
      <c r="C45" s="189">
        <v>4800613.47</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row>
    <row r="46" spans="1:84" x14ac:dyDescent="0.25">
      <c r="A46" s="189" t="s">
        <v>150</v>
      </c>
      <c r="B46" s="189">
        <v>0</v>
      </c>
      <c r="C46" s="189">
        <v>3915720273.5300002</v>
      </c>
      <c r="D46" s="189">
        <v>3947712802.3800001</v>
      </c>
      <c r="E46" s="189">
        <v>2805804600.4099998</v>
      </c>
      <c r="F46" s="189">
        <v>2629320974.9299998</v>
      </c>
      <c r="G46" s="189">
        <v>3014675255.3699999</v>
      </c>
      <c r="H46" s="189">
        <v>2812341286.8899999</v>
      </c>
      <c r="I46" s="189">
        <v>2620549815.4699998</v>
      </c>
      <c r="J46" s="189">
        <v>3199800850.1500001</v>
      </c>
      <c r="K46" s="189">
        <v>2892196959.4699998</v>
      </c>
      <c r="L46" s="189">
        <v>2641011480.4899998</v>
      </c>
      <c r="M46" s="189">
        <v>1953065274.0599999</v>
      </c>
      <c r="N46" s="189">
        <v>1588433022.23</v>
      </c>
      <c r="O46" s="189">
        <v>1367635597.24</v>
      </c>
      <c r="P46" s="189">
        <v>1339477601.6700001</v>
      </c>
      <c r="Q46" s="189">
        <v>1173851127.3099999</v>
      </c>
      <c r="R46" s="189">
        <v>932703928.71000004</v>
      </c>
      <c r="S46" s="189">
        <v>868240658.99000001</v>
      </c>
      <c r="T46" s="189">
        <v>581426083.91999996</v>
      </c>
      <c r="U46" s="189">
        <v>385673110.33999997</v>
      </c>
      <c r="V46" s="189">
        <v>417448393.73000002</v>
      </c>
      <c r="W46" s="189">
        <v>876871919.98000002</v>
      </c>
      <c r="X46" s="189">
        <v>1032229855.45</v>
      </c>
      <c r="Y46" s="189">
        <v>1003090693.95</v>
      </c>
      <c r="Z46" s="189">
        <v>1316925529.74</v>
      </c>
      <c r="AA46" s="189">
        <v>1131522411.9200001</v>
      </c>
      <c r="AB46" s="189">
        <v>703198023.29999995</v>
      </c>
      <c r="AC46" s="189">
        <v>1539319483.4400001</v>
      </c>
      <c r="AD46" s="189">
        <v>3070826442.5</v>
      </c>
      <c r="AE46" s="189">
        <v>2293365692.1999998</v>
      </c>
      <c r="AF46" s="189">
        <v>779138866.67999995</v>
      </c>
      <c r="AG46" s="189">
        <v>804597930.44000006</v>
      </c>
      <c r="AH46" s="189">
        <v>1370929157.79</v>
      </c>
      <c r="AI46" s="189">
        <v>839123651.32000005</v>
      </c>
      <c r="AJ46" s="189">
        <v>165336799.55000001</v>
      </c>
      <c r="AK46" s="189">
        <v>14000000</v>
      </c>
      <c r="AL46" s="189">
        <v>21000000</v>
      </c>
      <c r="AM46" s="189">
        <v>30994702.199999999</v>
      </c>
      <c r="AN46" s="189">
        <v>95994702.200000003</v>
      </c>
      <c r="AO46" s="189">
        <v>114000000</v>
      </c>
      <c r="AP46" s="189">
        <v>197010000</v>
      </c>
      <c r="AQ46" s="189">
        <v>277200800</v>
      </c>
      <c r="AR46" s="189">
        <v>291895800</v>
      </c>
      <c r="AS46" s="189">
        <v>419442042.50999999</v>
      </c>
      <c r="AT46" s="189">
        <v>446828987.49000001</v>
      </c>
      <c r="AU46" s="189">
        <v>320110568.13</v>
      </c>
      <c r="AV46" s="189">
        <v>250020000</v>
      </c>
      <c r="AW46" s="189">
        <v>338520000</v>
      </c>
      <c r="AX46" s="189">
        <v>404010000</v>
      </c>
      <c r="AY46" s="189">
        <v>447000000</v>
      </c>
      <c r="AZ46" s="189">
        <v>429755876.48000002</v>
      </c>
      <c r="BA46" s="189">
        <v>313255876.48000002</v>
      </c>
      <c r="BB46" s="189">
        <v>374400000</v>
      </c>
      <c r="BC46" s="189">
        <v>303900000</v>
      </c>
      <c r="BD46" s="189">
        <v>311833200</v>
      </c>
      <c r="BE46" s="189">
        <v>307237913.37</v>
      </c>
      <c r="BF46" s="189">
        <v>328787097.45999998</v>
      </c>
      <c r="BG46" s="189">
        <v>310682140</v>
      </c>
      <c r="BH46" s="189">
        <v>292564798</v>
      </c>
      <c r="BI46" s="189">
        <v>268112078</v>
      </c>
      <c r="BJ46" s="189">
        <v>232955408</v>
      </c>
      <c r="BK46" s="189">
        <v>216140128</v>
      </c>
      <c r="BL46" s="189">
        <v>0</v>
      </c>
      <c r="BM46" s="189">
        <v>222042000</v>
      </c>
      <c r="BN46" s="189">
        <v>238345442.06</v>
      </c>
      <c r="BO46" s="189">
        <v>204353303.93000001</v>
      </c>
      <c r="BP46" s="189">
        <v>82216189.049999997</v>
      </c>
      <c r="BQ46" s="189">
        <v>30960676.050000001</v>
      </c>
      <c r="BR46" s="189">
        <v>53477158.960000001</v>
      </c>
      <c r="BS46" s="189">
        <v>59070370.710000001</v>
      </c>
      <c r="BT46" s="189">
        <v>16370000</v>
      </c>
      <c r="BU46" s="189">
        <v>8510000</v>
      </c>
      <c r="BV46" s="189">
        <v>22669642.199999999</v>
      </c>
      <c r="BW46" s="189">
        <v>2000000</v>
      </c>
      <c r="BX46" s="189">
        <v>3000000</v>
      </c>
      <c r="BY46" s="189">
        <v>0</v>
      </c>
      <c r="BZ46" s="189">
        <v>0</v>
      </c>
      <c r="CA46" s="189">
        <v>0</v>
      </c>
      <c r="CB46" s="189">
        <v>0</v>
      </c>
      <c r="CC46" s="189">
        <v>0</v>
      </c>
      <c r="CD46" s="189">
        <v>0</v>
      </c>
      <c r="CE46" s="189">
        <v>0</v>
      </c>
      <c r="CF46" s="189">
        <v>0</v>
      </c>
    </row>
    <row r="47" spans="1:84" x14ac:dyDescent="0.25">
      <c r="A47" s="189" t="s">
        <v>151</v>
      </c>
      <c r="B47" s="189">
        <v>0</v>
      </c>
      <c r="C47" s="189">
        <v>2809609738.5700002</v>
      </c>
      <c r="D47" s="189">
        <v>2917691285.52</v>
      </c>
      <c r="E47" s="189">
        <v>3827025700.0999999</v>
      </c>
      <c r="F47" s="189">
        <v>3733802682.6300001</v>
      </c>
      <c r="G47" s="189">
        <v>3447470692.8699999</v>
      </c>
      <c r="H47" s="189">
        <v>3283950717.98</v>
      </c>
      <c r="I47" s="189">
        <v>3335089672.0599999</v>
      </c>
      <c r="J47" s="189">
        <v>2675939708.4499998</v>
      </c>
      <c r="K47" s="189">
        <v>2704726262.5599999</v>
      </c>
      <c r="L47" s="189">
        <v>2393355945.3099999</v>
      </c>
      <c r="M47" s="189">
        <v>2419807341.9499998</v>
      </c>
      <c r="N47" s="189">
        <v>2476603810.46</v>
      </c>
      <c r="O47" s="189">
        <v>3474609646.3699999</v>
      </c>
      <c r="P47" s="189">
        <v>3718090880.3400002</v>
      </c>
      <c r="Q47" s="189">
        <v>3614077813.3699999</v>
      </c>
      <c r="R47" s="189">
        <v>3587712503.1999998</v>
      </c>
      <c r="S47" s="189">
        <v>3157373388.21</v>
      </c>
      <c r="T47" s="189">
        <v>2871729647.48</v>
      </c>
      <c r="U47" s="189">
        <v>2768046095.46</v>
      </c>
      <c r="V47" s="189">
        <v>2583906478.0100002</v>
      </c>
      <c r="W47" s="189">
        <v>1973791312.28</v>
      </c>
      <c r="X47" s="189">
        <v>2280383522.6900001</v>
      </c>
      <c r="Y47" s="189">
        <v>2129979583.3</v>
      </c>
      <c r="Z47" s="189">
        <v>2163203817.1300001</v>
      </c>
      <c r="AA47" s="189">
        <v>2023593612.48</v>
      </c>
      <c r="AB47" s="189">
        <v>2029496055.6099999</v>
      </c>
      <c r="AC47" s="189">
        <v>2815488171.3800001</v>
      </c>
      <c r="AD47" s="189">
        <v>3241419115.0900002</v>
      </c>
      <c r="AE47" s="189">
        <v>3695767260.8800001</v>
      </c>
      <c r="AF47" s="189">
        <v>3772273127.98</v>
      </c>
      <c r="AG47" s="189">
        <v>2972319633.4000001</v>
      </c>
      <c r="AH47" s="189">
        <v>2441701364.3899999</v>
      </c>
      <c r="AI47" s="189">
        <v>2245809458.8200002</v>
      </c>
      <c r="AJ47" s="189">
        <v>1663170343.78</v>
      </c>
      <c r="AK47" s="189">
        <v>1552443101.6900001</v>
      </c>
      <c r="AL47" s="189">
        <v>1214917832.02</v>
      </c>
      <c r="AM47" s="189">
        <v>992869205.67999995</v>
      </c>
      <c r="AN47" s="189">
        <v>1009823975.92</v>
      </c>
      <c r="AO47" s="189">
        <v>989965462.97000003</v>
      </c>
      <c r="AP47" s="189">
        <v>978589449.10000002</v>
      </c>
      <c r="AQ47" s="189">
        <v>1083477341.73</v>
      </c>
      <c r="AR47" s="189">
        <v>1116862101.4200001</v>
      </c>
      <c r="AS47" s="189">
        <v>1152683408.75</v>
      </c>
      <c r="AT47" s="189">
        <v>1153263390.76</v>
      </c>
      <c r="AU47" s="189">
        <v>1165581519.3800001</v>
      </c>
      <c r="AV47" s="189">
        <v>1304172342.52</v>
      </c>
      <c r="AW47" s="189">
        <v>927481093.52999997</v>
      </c>
      <c r="AX47" s="189">
        <v>883012652.50999999</v>
      </c>
      <c r="AY47" s="189">
        <v>707993701.98000002</v>
      </c>
      <c r="AZ47" s="189">
        <v>663909985.23000002</v>
      </c>
      <c r="BA47" s="189">
        <v>776726387.57000005</v>
      </c>
      <c r="BB47" s="189">
        <v>385548015.56999999</v>
      </c>
      <c r="BC47" s="189">
        <v>336911158.18000001</v>
      </c>
      <c r="BD47" s="189">
        <v>528799442.06999999</v>
      </c>
      <c r="BE47" s="189">
        <v>595326529.54999995</v>
      </c>
      <c r="BF47" s="189">
        <v>334401022.06</v>
      </c>
      <c r="BG47" s="189">
        <v>582065546.21000004</v>
      </c>
      <c r="BH47" s="189">
        <v>545455278.84000003</v>
      </c>
      <c r="BI47" s="189">
        <v>562973018.60000002</v>
      </c>
      <c r="BJ47" s="189">
        <v>695844406.78999996</v>
      </c>
      <c r="BK47" s="189">
        <v>604935495.35000002</v>
      </c>
      <c r="BL47" s="189">
        <v>0</v>
      </c>
      <c r="BM47" s="189">
        <v>580552200.62</v>
      </c>
      <c r="BN47" s="189">
        <v>394642828.88999999</v>
      </c>
      <c r="BO47" s="189">
        <v>531526566.19</v>
      </c>
      <c r="BP47" s="189">
        <v>409768753.07999998</v>
      </c>
      <c r="BQ47" s="189">
        <v>375774040.43000001</v>
      </c>
      <c r="BR47" s="189">
        <v>279626148.68000001</v>
      </c>
      <c r="BS47" s="189">
        <v>309071058.91000003</v>
      </c>
      <c r="BT47" s="189">
        <v>263558116.88999999</v>
      </c>
      <c r="BU47" s="189">
        <v>370981880.47000003</v>
      </c>
      <c r="BV47" s="189">
        <v>254551325.93000001</v>
      </c>
      <c r="BW47" s="189">
        <v>339524845.5</v>
      </c>
      <c r="BX47" s="189">
        <v>291399094.70999998</v>
      </c>
      <c r="BY47" s="189">
        <v>251148017.66999999</v>
      </c>
      <c r="BZ47" s="189">
        <v>0</v>
      </c>
      <c r="CA47" s="189">
        <v>133030479.81</v>
      </c>
      <c r="CB47" s="189">
        <v>0</v>
      </c>
      <c r="CC47" s="189">
        <v>0</v>
      </c>
      <c r="CD47" s="189">
        <v>0</v>
      </c>
      <c r="CE47" s="189">
        <v>0</v>
      </c>
      <c r="CF47" s="189">
        <v>0</v>
      </c>
    </row>
    <row r="48" spans="1:84" x14ac:dyDescent="0.25">
      <c r="A48" s="189" t="s">
        <v>152</v>
      </c>
      <c r="B48" s="189">
        <v>831925860.39999998</v>
      </c>
      <c r="C48" s="189">
        <v>828133123.71000004</v>
      </c>
      <c r="D48" s="189">
        <v>977599266.51999998</v>
      </c>
      <c r="E48" s="189">
        <v>3065815801.9299998</v>
      </c>
      <c r="F48" s="189">
        <v>1081644947.9300001</v>
      </c>
      <c r="G48" s="189">
        <v>1673007411.95</v>
      </c>
      <c r="H48" s="189">
        <v>1662294599.3</v>
      </c>
      <c r="I48" s="189">
        <v>3014347762.2399998</v>
      </c>
      <c r="J48" s="189">
        <v>1296793781.53</v>
      </c>
      <c r="K48" s="189">
        <v>992809515.40999997</v>
      </c>
      <c r="L48" s="189">
        <v>933131410.57000005</v>
      </c>
      <c r="M48" s="189">
        <v>1652908781.4400001</v>
      </c>
      <c r="N48" s="189">
        <v>622168195.08000004</v>
      </c>
      <c r="O48" s="189">
        <v>514283156.51999998</v>
      </c>
      <c r="P48" s="189">
        <v>364023659.50999999</v>
      </c>
      <c r="Q48" s="189">
        <v>851592826.02999997</v>
      </c>
      <c r="R48" s="189">
        <v>491635454.19999999</v>
      </c>
      <c r="S48" s="189">
        <v>439535919.42000002</v>
      </c>
      <c r="T48" s="189">
        <v>469488073.63</v>
      </c>
      <c r="U48" s="189">
        <v>1057952597.52</v>
      </c>
      <c r="V48" s="189">
        <v>963659588.73000002</v>
      </c>
      <c r="W48" s="189">
        <v>737668513.87</v>
      </c>
      <c r="X48" s="189">
        <v>594024686.45000005</v>
      </c>
      <c r="Y48" s="189">
        <v>804441642.84000003</v>
      </c>
      <c r="Z48" s="189">
        <v>508205936.68000001</v>
      </c>
      <c r="AA48" s="189">
        <v>358450431.48000002</v>
      </c>
      <c r="AB48" s="189">
        <v>523306367.44999999</v>
      </c>
      <c r="AC48" s="189">
        <v>485754049.80000001</v>
      </c>
      <c r="AD48" s="189">
        <v>202674104.12</v>
      </c>
      <c r="AE48" s="189">
        <v>115980512.18000001</v>
      </c>
      <c r="AF48" s="189">
        <v>407233399.95999998</v>
      </c>
      <c r="AG48" s="189">
        <v>467168360.41000003</v>
      </c>
      <c r="AH48" s="189">
        <v>135286697.90000001</v>
      </c>
      <c r="AI48" s="189">
        <v>170850155.44999999</v>
      </c>
      <c r="AJ48" s="189">
        <v>174791433.44999999</v>
      </c>
      <c r="AK48" s="189">
        <v>135076044.68000001</v>
      </c>
      <c r="AL48" s="189">
        <v>163880178.55000001</v>
      </c>
      <c r="AM48" s="189">
        <v>112144210.27</v>
      </c>
      <c r="AN48" s="189">
        <v>229383275.96000001</v>
      </c>
      <c r="AO48" s="189">
        <v>225481656.22999999</v>
      </c>
      <c r="AP48" s="189">
        <v>219788195.31999999</v>
      </c>
      <c r="AQ48" s="189">
        <v>115075037.17</v>
      </c>
      <c r="AR48" s="189">
        <v>127295157.77</v>
      </c>
      <c r="AS48" s="189">
        <v>109214195.98999999</v>
      </c>
      <c r="AT48" s="189">
        <v>86463908.530000001</v>
      </c>
      <c r="AU48" s="189">
        <v>78578832.810000002</v>
      </c>
      <c r="AV48" s="189">
        <v>108234504.38</v>
      </c>
      <c r="AW48" s="189">
        <v>114870456.64</v>
      </c>
      <c r="AX48" s="189">
        <v>128172470.55</v>
      </c>
      <c r="AY48" s="189">
        <v>85447076</v>
      </c>
      <c r="AZ48" s="189">
        <v>97781831.650000006</v>
      </c>
      <c r="BA48" s="189">
        <v>108402429.78</v>
      </c>
      <c r="BB48" s="189">
        <v>140182184.12</v>
      </c>
      <c r="BC48" s="189">
        <v>77416627.650000006</v>
      </c>
      <c r="BD48" s="189">
        <v>79877314.420000002</v>
      </c>
      <c r="BE48" s="189">
        <v>82227301.890000001</v>
      </c>
      <c r="BF48" s="189">
        <v>112940246.52</v>
      </c>
      <c r="BG48" s="189">
        <v>102231993.59999999</v>
      </c>
      <c r="BH48" s="189">
        <v>173661772.65000001</v>
      </c>
      <c r="BI48" s="189">
        <v>194246022.86000001</v>
      </c>
      <c r="BJ48" s="189">
        <v>244962861.59</v>
      </c>
      <c r="BK48" s="189">
        <v>311252975.66000003</v>
      </c>
      <c r="BL48" s="189">
        <v>0</v>
      </c>
      <c r="BM48" s="189">
        <v>373273672.62</v>
      </c>
      <c r="BN48" s="189">
        <v>44829646.619999997</v>
      </c>
      <c r="BO48" s="189">
        <v>46488607.899999999</v>
      </c>
      <c r="BP48" s="189">
        <v>29434431.059999999</v>
      </c>
      <c r="BQ48" s="189">
        <v>17266436.699999999</v>
      </c>
      <c r="BR48" s="189">
        <v>10568013.02</v>
      </c>
      <c r="BS48" s="189">
        <v>25319676.219999999</v>
      </c>
      <c r="BT48" s="189">
        <v>59618641.140000001</v>
      </c>
      <c r="BU48" s="189">
        <v>50293927.560000002</v>
      </c>
      <c r="BV48" s="189">
        <v>2906172.98</v>
      </c>
      <c r="BW48" s="189">
        <v>19535658.969999999</v>
      </c>
      <c r="BX48" s="189">
        <v>17338836</v>
      </c>
      <c r="BY48" s="189">
        <v>17249340.579999998</v>
      </c>
      <c r="BZ48" s="189">
        <v>0</v>
      </c>
      <c r="CA48" s="189">
        <v>49281352.609999999</v>
      </c>
      <c r="CB48" s="189">
        <v>0</v>
      </c>
      <c r="CC48" s="189">
        <v>0</v>
      </c>
      <c r="CD48" s="189">
        <v>0</v>
      </c>
      <c r="CE48" s="189">
        <v>0</v>
      </c>
      <c r="CF48" s="189">
        <v>0</v>
      </c>
    </row>
    <row r="49" spans="1:84"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row>
    <row r="50" spans="1:84" x14ac:dyDescent="0.25">
      <c r="A50" s="189" t="s">
        <v>154</v>
      </c>
      <c r="B50" s="189">
        <v>325999773.55000001</v>
      </c>
      <c r="C50" s="189">
        <v>257127334.88</v>
      </c>
      <c r="D50" s="189">
        <v>239431744.09</v>
      </c>
      <c r="E50" s="189">
        <v>349483844.75999999</v>
      </c>
      <c r="F50" s="189">
        <v>257433831.47999999</v>
      </c>
      <c r="G50" s="189">
        <v>236575040.77000001</v>
      </c>
      <c r="H50" s="189">
        <v>195046514.34999999</v>
      </c>
      <c r="I50" s="189">
        <v>288592163.29000002</v>
      </c>
      <c r="J50" s="189">
        <v>209250904.65000001</v>
      </c>
      <c r="K50" s="189">
        <v>192269790.25999999</v>
      </c>
      <c r="L50" s="189">
        <v>165825125.93000001</v>
      </c>
      <c r="M50" s="189">
        <v>248280716.91999999</v>
      </c>
      <c r="N50" s="189">
        <v>214843945.50999999</v>
      </c>
      <c r="O50" s="189">
        <v>200327168.56</v>
      </c>
      <c r="P50" s="189">
        <v>202382870.86000001</v>
      </c>
      <c r="Q50" s="189">
        <v>250377809.91999999</v>
      </c>
      <c r="R50" s="189">
        <v>189622771.47999999</v>
      </c>
      <c r="S50" s="189">
        <v>165171100.88</v>
      </c>
      <c r="T50" s="189">
        <v>151074583.81999999</v>
      </c>
      <c r="U50" s="189">
        <v>207323619.91999999</v>
      </c>
      <c r="V50" s="189">
        <v>156698339.24000001</v>
      </c>
      <c r="W50" s="189">
        <v>109888309.66</v>
      </c>
      <c r="X50" s="189">
        <v>128792368.70999999</v>
      </c>
      <c r="Y50" s="189">
        <v>125902663.09</v>
      </c>
      <c r="Z50" s="189">
        <v>119684349.95999999</v>
      </c>
      <c r="AA50" s="189">
        <v>97311748.420000002</v>
      </c>
      <c r="AB50" s="189">
        <v>100990330.73999999</v>
      </c>
      <c r="AC50" s="189">
        <v>135480654.25999999</v>
      </c>
      <c r="AD50" s="189">
        <v>133555231.01000001</v>
      </c>
      <c r="AE50" s="189">
        <v>132875213.5</v>
      </c>
      <c r="AF50" s="189">
        <v>145332420.69</v>
      </c>
      <c r="AG50" s="189">
        <v>146946246.72999999</v>
      </c>
      <c r="AH50" s="189">
        <v>74168936.129999995</v>
      </c>
      <c r="AI50" s="189">
        <v>67353736.340000004</v>
      </c>
      <c r="AJ50" s="189">
        <v>61297089.469999999</v>
      </c>
      <c r="AK50" s="189">
        <v>66748481.770000003</v>
      </c>
      <c r="AL50" s="189">
        <v>25914288.300000001</v>
      </c>
      <c r="AM50" s="189">
        <v>25366173.23</v>
      </c>
      <c r="AN50" s="189">
        <v>31049803.649999999</v>
      </c>
      <c r="AO50" s="189">
        <v>43537479.539999999</v>
      </c>
      <c r="AP50" s="189">
        <v>25682327.760000002</v>
      </c>
      <c r="AQ50" s="189">
        <v>28042765.579999998</v>
      </c>
      <c r="AR50" s="189">
        <v>18152835</v>
      </c>
      <c r="AS50" s="189">
        <v>27602044.609999999</v>
      </c>
      <c r="AT50" s="189">
        <v>29372596.140000001</v>
      </c>
      <c r="AU50" s="189">
        <v>26494723.02</v>
      </c>
      <c r="AV50" s="189">
        <v>12303854.880000001</v>
      </c>
      <c r="AW50" s="189">
        <v>18577449.100000001</v>
      </c>
      <c r="AX50" s="189">
        <v>19587970.039999999</v>
      </c>
      <c r="AY50" s="189">
        <v>17813109.879999999</v>
      </c>
      <c r="AZ50" s="189">
        <v>2689444.58</v>
      </c>
      <c r="BA50" s="189">
        <v>24698654.140000001</v>
      </c>
      <c r="BB50" s="189">
        <v>16873662</v>
      </c>
      <c r="BC50" s="189">
        <v>17042883.359999999</v>
      </c>
      <c r="BD50" s="189">
        <v>2242184.12</v>
      </c>
      <c r="BE50" s="189">
        <v>21692589.66</v>
      </c>
      <c r="BF50" s="189">
        <v>8567850.1699999999</v>
      </c>
      <c r="BG50" s="189">
        <v>18157766.789999999</v>
      </c>
      <c r="BH50" s="189">
        <v>13460642.4</v>
      </c>
      <c r="BI50" s="189">
        <v>29399720.640000001</v>
      </c>
      <c r="BJ50" s="189">
        <v>20251297.579999998</v>
      </c>
      <c r="BK50" s="189">
        <v>29412173.440000001</v>
      </c>
      <c r="BL50" s="189">
        <v>0</v>
      </c>
      <c r="BM50" s="189">
        <v>37118808.560000002</v>
      </c>
      <c r="BN50" s="189">
        <v>43539249.649999999</v>
      </c>
      <c r="BO50" s="189">
        <v>43453487.590000004</v>
      </c>
      <c r="BP50" s="189">
        <v>46552582.700000003</v>
      </c>
      <c r="BQ50" s="189">
        <v>50301203.840000004</v>
      </c>
      <c r="BR50" s="189">
        <v>53871822.469999999</v>
      </c>
      <c r="BS50" s="189">
        <v>55533735.100000001</v>
      </c>
      <c r="BT50" s="189">
        <v>53189886.859999999</v>
      </c>
      <c r="BU50" s="189">
        <v>57667753.450000003</v>
      </c>
      <c r="BV50" s="189">
        <v>44241290.850000001</v>
      </c>
      <c r="BW50" s="189">
        <v>55874384.159999996</v>
      </c>
      <c r="BX50" s="189">
        <v>49117510.600000001</v>
      </c>
      <c r="BY50" s="189">
        <v>53125708.229999997</v>
      </c>
      <c r="BZ50" s="189">
        <v>0</v>
      </c>
      <c r="CA50" s="189">
        <v>49185207.380000003</v>
      </c>
      <c r="CB50" s="189">
        <v>0</v>
      </c>
      <c r="CC50" s="189">
        <v>0</v>
      </c>
      <c r="CD50" s="189">
        <v>0</v>
      </c>
      <c r="CE50" s="189">
        <v>0</v>
      </c>
      <c r="CF50" s="189">
        <v>0</v>
      </c>
    </row>
    <row r="51" spans="1:84" x14ac:dyDescent="0.25">
      <c r="A51" s="189" t="s">
        <v>155</v>
      </c>
      <c r="B51" s="189">
        <v>469500143.68000001</v>
      </c>
      <c r="C51" s="189">
        <v>426592631.5</v>
      </c>
      <c r="D51" s="189">
        <v>585241670.62</v>
      </c>
      <c r="E51" s="189">
        <v>638017523.30999994</v>
      </c>
      <c r="F51" s="189">
        <v>405748686.13</v>
      </c>
      <c r="G51" s="189">
        <v>368178286.60000002</v>
      </c>
      <c r="H51" s="189">
        <v>486228300.38</v>
      </c>
      <c r="I51" s="189">
        <v>412238029.95999998</v>
      </c>
      <c r="J51" s="189">
        <v>315052471.75</v>
      </c>
      <c r="K51" s="189">
        <v>303337746.55000001</v>
      </c>
      <c r="L51" s="189">
        <v>368638351.06999999</v>
      </c>
      <c r="M51" s="189">
        <v>325108227.91000003</v>
      </c>
      <c r="N51" s="189">
        <v>278739422.85000002</v>
      </c>
      <c r="O51" s="189">
        <v>221331717.38</v>
      </c>
      <c r="P51" s="189">
        <v>389196199.64999998</v>
      </c>
      <c r="Q51" s="189">
        <v>273648854.63999999</v>
      </c>
      <c r="R51" s="189">
        <v>275896166.92000002</v>
      </c>
      <c r="S51" s="189">
        <v>246020710.21000001</v>
      </c>
      <c r="T51" s="189">
        <v>317463648.66000003</v>
      </c>
      <c r="U51" s="189">
        <v>199203856.56</v>
      </c>
      <c r="V51" s="189">
        <v>96779918.150000006</v>
      </c>
      <c r="W51" s="189">
        <v>56522351.560000002</v>
      </c>
      <c r="X51" s="189">
        <v>140569355.16999999</v>
      </c>
      <c r="Y51" s="189">
        <v>-3821048.41</v>
      </c>
      <c r="Z51" s="189">
        <v>-32762866.739999998</v>
      </c>
      <c r="AA51" s="189">
        <v>-49512188.460000001</v>
      </c>
      <c r="AB51" s="189">
        <v>59986045.189999998</v>
      </c>
      <c r="AC51" s="189">
        <v>1463883.21</v>
      </c>
      <c r="AD51" s="189">
        <v>45540264.920000002</v>
      </c>
      <c r="AE51" s="189">
        <v>16297283.109999999</v>
      </c>
      <c r="AF51" s="189">
        <v>116061857.25</v>
      </c>
      <c r="AG51" s="189">
        <v>-23947043.149999999</v>
      </c>
      <c r="AH51" s="189">
        <v>44923047.159999996</v>
      </c>
      <c r="AI51" s="189">
        <v>118089421.65000001</v>
      </c>
      <c r="AJ51" s="189">
        <v>53286883.289999999</v>
      </c>
      <c r="AK51" s="189">
        <v>116221316.66</v>
      </c>
      <c r="AL51" s="189">
        <v>65866708.119999997</v>
      </c>
      <c r="AM51" s="189">
        <v>16927764.859999999</v>
      </c>
      <c r="AN51" s="189">
        <v>61362168.259999998</v>
      </c>
      <c r="AO51" s="189">
        <v>36310470.229999997</v>
      </c>
      <c r="AP51" s="189">
        <v>30292227.32</v>
      </c>
      <c r="AQ51" s="189">
        <v>14363082.880000001</v>
      </c>
      <c r="AR51" s="189">
        <v>18734512.059999999</v>
      </c>
      <c r="AS51" s="189">
        <v>8422865.4199999999</v>
      </c>
      <c r="AT51" s="189">
        <v>30218415.079999998</v>
      </c>
      <c r="AU51" s="189">
        <v>5728229.2699999996</v>
      </c>
      <c r="AV51" s="189">
        <v>28766169.510000002</v>
      </c>
      <c r="AW51" s="189">
        <v>20517776.07</v>
      </c>
      <c r="AX51" s="189">
        <v>16388418.65</v>
      </c>
      <c r="AY51" s="189">
        <v>9202676.9299999997</v>
      </c>
      <c r="AZ51" s="189">
        <v>13783724.470000001</v>
      </c>
      <c r="BA51" s="189">
        <v>11096177.77</v>
      </c>
      <c r="BB51" s="189">
        <v>10086565.75</v>
      </c>
      <c r="BC51" s="189">
        <v>9621520.6099999994</v>
      </c>
      <c r="BD51" s="189">
        <v>11743933.810000001</v>
      </c>
      <c r="BE51" s="189">
        <v>8717973.5700000003</v>
      </c>
      <c r="BF51" s="189">
        <v>15827643.210000001</v>
      </c>
      <c r="BG51" s="189">
        <v>1056067.9099999999</v>
      </c>
      <c r="BH51" s="189">
        <v>-674882.09</v>
      </c>
      <c r="BI51" s="189">
        <v>36955560.289999999</v>
      </c>
      <c r="BJ51" s="189">
        <v>29510990.899999999</v>
      </c>
      <c r="BK51" s="189">
        <v>7699969.3899999997</v>
      </c>
      <c r="BL51" s="189">
        <v>0</v>
      </c>
      <c r="BM51" s="189">
        <v>-18050448.34</v>
      </c>
      <c r="BN51" s="189">
        <v>-31785873.739999998</v>
      </c>
      <c r="BO51" s="189">
        <v>-62770144.409999996</v>
      </c>
      <c r="BP51" s="189">
        <v>10256022.18</v>
      </c>
      <c r="BQ51" s="189">
        <v>32491843.18</v>
      </c>
      <c r="BR51" s="189">
        <v>23513145.149999999</v>
      </c>
      <c r="BS51" s="189">
        <v>48116442.799999997</v>
      </c>
      <c r="BT51" s="189">
        <v>44388101.939999998</v>
      </c>
      <c r="BU51" s="189">
        <v>37864169.960000001</v>
      </c>
      <c r="BV51" s="189">
        <v>38823511.509999998</v>
      </c>
      <c r="BW51" s="189">
        <v>28855054.75</v>
      </c>
      <c r="BX51" s="189">
        <v>35125898.280000001</v>
      </c>
      <c r="BY51" s="189">
        <v>29672322.66</v>
      </c>
      <c r="BZ51" s="189">
        <v>0</v>
      </c>
      <c r="CA51" s="189">
        <v>13882081.24</v>
      </c>
      <c r="CB51" s="189">
        <v>0</v>
      </c>
      <c r="CC51" s="189">
        <v>0</v>
      </c>
      <c r="CD51" s="189">
        <v>0</v>
      </c>
      <c r="CE51" s="189">
        <v>0</v>
      </c>
      <c r="CF51" s="189">
        <v>0</v>
      </c>
    </row>
    <row r="52" spans="1:84"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442452.66</v>
      </c>
      <c r="AM52" s="189">
        <v>442452.66</v>
      </c>
      <c r="AN52" s="189">
        <v>197360</v>
      </c>
      <c r="AO52" s="189">
        <v>562686.25</v>
      </c>
      <c r="AP52" s="189">
        <v>50000</v>
      </c>
      <c r="AQ52" s="189">
        <v>50000</v>
      </c>
      <c r="AR52" s="189">
        <v>0</v>
      </c>
      <c r="AS52" s="189">
        <v>1708661.5</v>
      </c>
      <c r="AT52" s="189">
        <v>525950.47</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row>
    <row r="53" spans="1:84" x14ac:dyDescent="0.25">
      <c r="A53" s="189" t="s">
        <v>157</v>
      </c>
      <c r="B53" s="189">
        <v>0</v>
      </c>
      <c r="C53" s="189">
        <v>9049503.9199999999</v>
      </c>
      <c r="D53" s="189">
        <v>6996784.0599999996</v>
      </c>
      <c r="E53" s="189">
        <v>6996784.0599999996</v>
      </c>
      <c r="F53" s="189">
        <v>6996784.0599999996</v>
      </c>
      <c r="G53" s="189">
        <v>9338224.0600000005</v>
      </c>
      <c r="H53" s="189">
        <v>7150684.0599999996</v>
      </c>
      <c r="I53" s="189">
        <v>7150684.0599999996</v>
      </c>
      <c r="J53" s="189">
        <v>7150684.0599999996</v>
      </c>
      <c r="K53" s="189">
        <v>7150684.0599999996</v>
      </c>
      <c r="L53" s="189">
        <v>5400652.0599999996</v>
      </c>
      <c r="M53" s="189">
        <v>5400652.0599999996</v>
      </c>
      <c r="N53" s="189">
        <v>5400652.0599999996</v>
      </c>
      <c r="O53" s="189">
        <v>5400652.0599999996</v>
      </c>
      <c r="P53" s="189">
        <v>4088128.36</v>
      </c>
      <c r="Q53" s="189">
        <v>4088128.36</v>
      </c>
      <c r="R53" s="189">
        <v>4088128.36</v>
      </c>
      <c r="S53" s="189">
        <v>4088128.36</v>
      </c>
      <c r="T53" s="189">
        <v>3213112.33</v>
      </c>
      <c r="U53" s="189">
        <v>3740152.33</v>
      </c>
      <c r="V53" s="189">
        <v>4401175.07</v>
      </c>
      <c r="W53" s="189">
        <v>5129542.2300000004</v>
      </c>
      <c r="X53" s="189">
        <v>3710206.21</v>
      </c>
      <c r="Y53" s="189">
        <v>3710206.21</v>
      </c>
      <c r="Z53" s="189">
        <v>3710206.21</v>
      </c>
      <c r="AA53" s="189">
        <v>3710206.21</v>
      </c>
      <c r="AB53" s="189">
        <v>2838070.21</v>
      </c>
      <c r="AC53" s="189">
        <v>2838070.21</v>
      </c>
      <c r="AD53" s="189">
        <v>2838070.21</v>
      </c>
      <c r="AE53" s="189">
        <v>3426410.31</v>
      </c>
      <c r="AF53" s="189">
        <v>18383154.600000001</v>
      </c>
      <c r="AG53" s="189">
        <v>2719702.95</v>
      </c>
      <c r="AH53" s="189">
        <v>2669154.6</v>
      </c>
      <c r="AI53" s="189">
        <v>2669154.6</v>
      </c>
      <c r="AJ53" s="189">
        <v>2719702.95</v>
      </c>
      <c r="AK53" s="189">
        <v>2967922.95</v>
      </c>
      <c r="AL53" s="189">
        <v>2967922.95</v>
      </c>
      <c r="AM53" s="189">
        <v>2967922.95</v>
      </c>
      <c r="AN53" s="189">
        <v>3527937.47</v>
      </c>
      <c r="AO53" s="189">
        <v>3527937.47</v>
      </c>
      <c r="AP53" s="189">
        <v>5284975.83</v>
      </c>
      <c r="AQ53" s="189">
        <v>5286055.83</v>
      </c>
      <c r="AR53" s="189">
        <v>5707192.7800000003</v>
      </c>
      <c r="AS53" s="189">
        <v>5707192.7800000003</v>
      </c>
      <c r="AT53" s="189">
        <v>5269027.67</v>
      </c>
      <c r="AU53" s="189">
        <v>0</v>
      </c>
      <c r="AV53" s="189">
        <v>0</v>
      </c>
      <c r="AW53" s="189">
        <v>3266356.15</v>
      </c>
      <c r="AX53" s="189">
        <v>1301411.77</v>
      </c>
      <c r="AY53" s="189">
        <v>1165408.3999999999</v>
      </c>
      <c r="AZ53" s="189">
        <v>2358116.46</v>
      </c>
      <c r="BA53" s="189">
        <v>2358116.46</v>
      </c>
      <c r="BB53" s="189">
        <v>2682117.7000000002</v>
      </c>
      <c r="BC53" s="189">
        <v>2753325.7</v>
      </c>
      <c r="BD53" s="189">
        <v>2754333.7</v>
      </c>
      <c r="BE53" s="189">
        <v>2810853.7</v>
      </c>
      <c r="BF53" s="189">
        <v>2480660.23</v>
      </c>
      <c r="BG53" s="189">
        <v>23308667.91</v>
      </c>
      <c r="BH53" s="189">
        <v>6835139.3600000003</v>
      </c>
      <c r="BI53" s="189">
        <v>2492741.16</v>
      </c>
      <c r="BJ53" s="189">
        <v>7501205.5499999998</v>
      </c>
      <c r="BK53" s="189">
        <v>22350923.149999999</v>
      </c>
      <c r="BL53" s="189">
        <v>0</v>
      </c>
      <c r="BM53" s="189">
        <v>9518525.0800000001</v>
      </c>
      <c r="BN53" s="189">
        <v>7066374.0300000003</v>
      </c>
      <c r="BO53" s="189">
        <v>11783023.49</v>
      </c>
      <c r="BP53" s="189">
        <v>23493855.32</v>
      </c>
      <c r="BQ53" s="189">
        <v>12629036.779999999</v>
      </c>
      <c r="BR53" s="189">
        <v>50390900.770000003</v>
      </c>
      <c r="BS53" s="189">
        <v>120358214.53</v>
      </c>
      <c r="BT53" s="189">
        <v>93746556</v>
      </c>
      <c r="BU53" s="189">
        <v>115988482</v>
      </c>
      <c r="BV53" s="189">
        <v>136913940</v>
      </c>
      <c r="BW53" s="189">
        <v>150111252</v>
      </c>
      <c r="BX53" s="189">
        <v>143925012</v>
      </c>
      <c r="BY53" s="189">
        <v>143925012</v>
      </c>
      <c r="BZ53" s="189">
        <v>0</v>
      </c>
      <c r="CA53" s="189">
        <v>124569132</v>
      </c>
      <c r="CB53" s="189">
        <v>0</v>
      </c>
      <c r="CC53" s="189">
        <v>0</v>
      </c>
      <c r="CD53" s="189">
        <v>0</v>
      </c>
      <c r="CE53" s="189">
        <v>0</v>
      </c>
      <c r="CF53" s="189">
        <v>0</v>
      </c>
    </row>
    <row r="54" spans="1:84" x14ac:dyDescent="0.25">
      <c r="A54" s="189" t="s">
        <v>158</v>
      </c>
      <c r="B54" s="189">
        <v>181522157.16999999</v>
      </c>
      <c r="C54" s="189">
        <v>185057430.91</v>
      </c>
      <c r="D54" s="189">
        <v>172114674.22</v>
      </c>
      <c r="E54" s="189">
        <v>221120863.47999999</v>
      </c>
      <c r="F54" s="189">
        <v>219230536.72</v>
      </c>
      <c r="G54" s="189">
        <v>224691641.72</v>
      </c>
      <c r="H54" s="189">
        <v>214809660.69</v>
      </c>
      <c r="I54" s="189">
        <v>199926402.03999999</v>
      </c>
      <c r="J54" s="189">
        <v>217172901.19999999</v>
      </c>
      <c r="K54" s="189">
        <v>206605331.90000001</v>
      </c>
      <c r="L54" s="189">
        <v>195592427.06</v>
      </c>
      <c r="M54" s="189">
        <v>171807137.94</v>
      </c>
      <c r="N54" s="189">
        <v>43706497.619999997</v>
      </c>
      <c r="O54" s="189">
        <v>49991787.579999998</v>
      </c>
      <c r="P54" s="189">
        <v>48798275.840000004</v>
      </c>
      <c r="Q54" s="189">
        <v>48540416.840000004</v>
      </c>
      <c r="R54" s="189">
        <v>43225364.880000003</v>
      </c>
      <c r="S54" s="189">
        <v>40154741.170000002</v>
      </c>
      <c r="T54" s="189">
        <v>53731239.810000002</v>
      </c>
      <c r="U54" s="189">
        <v>50021093.659999996</v>
      </c>
      <c r="V54" s="189">
        <v>49855208.43</v>
      </c>
      <c r="W54" s="189">
        <v>56031246.850000001</v>
      </c>
      <c r="X54" s="189">
        <v>87199934.689999998</v>
      </c>
      <c r="Y54" s="189">
        <v>71726352.370000005</v>
      </c>
      <c r="Z54" s="189">
        <v>156627568.24000001</v>
      </c>
      <c r="AA54" s="189">
        <v>161576058.72</v>
      </c>
      <c r="AB54" s="189">
        <v>175973645.78999999</v>
      </c>
      <c r="AC54" s="189">
        <v>165405271.16</v>
      </c>
      <c r="AD54" s="189">
        <v>175093751.31999999</v>
      </c>
      <c r="AE54" s="189">
        <v>93605875.329999998</v>
      </c>
      <c r="AF54" s="189">
        <v>78319574.909999996</v>
      </c>
      <c r="AG54" s="189">
        <v>84178532.280000001</v>
      </c>
      <c r="AH54" s="189">
        <v>78104129.519999996</v>
      </c>
      <c r="AI54" s="189">
        <v>68376834.680000007</v>
      </c>
      <c r="AJ54" s="189">
        <v>396702076.38</v>
      </c>
      <c r="AK54" s="189">
        <v>60542744.719999999</v>
      </c>
      <c r="AL54" s="189">
        <v>115321833.79000001</v>
      </c>
      <c r="AM54" s="189">
        <v>118910110.34</v>
      </c>
      <c r="AN54" s="189">
        <v>112776493.18000001</v>
      </c>
      <c r="AO54" s="189">
        <v>135832343.38999999</v>
      </c>
      <c r="AP54" s="189">
        <v>122912625.5</v>
      </c>
      <c r="AQ54" s="189">
        <v>172961995.72999999</v>
      </c>
      <c r="AR54" s="189">
        <v>126600479.08</v>
      </c>
      <c r="AS54" s="189">
        <v>128176831.47</v>
      </c>
      <c r="AT54" s="189">
        <v>169559774.72</v>
      </c>
      <c r="AU54" s="189">
        <v>180252750.58000001</v>
      </c>
      <c r="AV54" s="189">
        <v>146296119.13999999</v>
      </c>
      <c r="AW54" s="189">
        <v>118746340.44</v>
      </c>
      <c r="AX54" s="189">
        <v>208274575.59999999</v>
      </c>
      <c r="AY54" s="189">
        <v>163263725.72999999</v>
      </c>
      <c r="AZ54" s="189">
        <v>117027147.56</v>
      </c>
      <c r="BA54" s="189">
        <v>114902974.77</v>
      </c>
      <c r="BB54" s="189">
        <v>177361427.16</v>
      </c>
      <c r="BC54" s="189">
        <v>124432245.95</v>
      </c>
      <c r="BD54" s="189">
        <v>76464214.799999997</v>
      </c>
      <c r="BE54" s="189">
        <v>69892862.049999997</v>
      </c>
      <c r="BF54" s="189">
        <v>74710919.569999993</v>
      </c>
      <c r="BG54" s="189">
        <v>60752687.710000001</v>
      </c>
      <c r="BH54" s="189">
        <v>84207399.709999993</v>
      </c>
      <c r="BI54" s="189">
        <v>65584439.119999997</v>
      </c>
      <c r="BJ54" s="189">
        <v>43651092.509999998</v>
      </c>
      <c r="BK54" s="189">
        <v>69778968.659999996</v>
      </c>
      <c r="BL54" s="189">
        <v>0</v>
      </c>
      <c r="BM54" s="189">
        <v>132354632.64</v>
      </c>
      <c r="BN54" s="189">
        <v>97594232.689999998</v>
      </c>
      <c r="BO54" s="189">
        <v>110213607.92</v>
      </c>
      <c r="BP54" s="189">
        <v>203399728.75</v>
      </c>
      <c r="BQ54" s="189">
        <v>85617305.870000005</v>
      </c>
      <c r="BR54" s="189">
        <v>74896710.739999995</v>
      </c>
      <c r="BS54" s="189">
        <v>137138579.93000001</v>
      </c>
      <c r="BT54" s="189">
        <v>138870516.22999999</v>
      </c>
      <c r="BU54" s="189">
        <v>95890074.450000003</v>
      </c>
      <c r="BV54" s="189">
        <v>194759041.36000001</v>
      </c>
      <c r="BW54" s="189">
        <v>100987185.40000001</v>
      </c>
      <c r="BX54" s="189">
        <v>40924714.270000003</v>
      </c>
      <c r="BY54" s="189">
        <v>38359122.079999998</v>
      </c>
      <c r="BZ54" s="189">
        <v>0</v>
      </c>
      <c r="CA54" s="189">
        <v>28381643.260000002</v>
      </c>
      <c r="CB54" s="189">
        <v>0</v>
      </c>
      <c r="CC54" s="189">
        <v>0</v>
      </c>
      <c r="CD54" s="189">
        <v>0</v>
      </c>
      <c r="CE54" s="189">
        <v>0</v>
      </c>
      <c r="CF54" s="189">
        <v>0</v>
      </c>
    </row>
    <row r="55" spans="1:84"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194414890.13999999</v>
      </c>
      <c r="AX55" s="189">
        <v>288861184.87</v>
      </c>
      <c r="AY55" s="189">
        <v>212956516.84</v>
      </c>
      <c r="AZ55" s="189">
        <v>165560607.63</v>
      </c>
      <c r="BA55" s="189">
        <v>117061360.81</v>
      </c>
      <c r="BB55" s="189">
        <v>146606192.72999999</v>
      </c>
      <c r="BC55" s="189">
        <v>121965320.26000001</v>
      </c>
      <c r="BD55" s="189">
        <v>128958157.52</v>
      </c>
      <c r="BE55" s="189">
        <v>92992852.75</v>
      </c>
      <c r="BF55" s="189">
        <v>75642401.079999998</v>
      </c>
      <c r="BG55" s="189">
        <v>84514850.459999993</v>
      </c>
      <c r="BH55" s="189">
        <v>96748691.579999998</v>
      </c>
      <c r="BI55" s="189">
        <v>84969928.150000006</v>
      </c>
      <c r="BJ55" s="189">
        <v>23284711.510000002</v>
      </c>
      <c r="BK55" s="189">
        <v>48818604.909999996</v>
      </c>
      <c r="BL55" s="189">
        <v>0</v>
      </c>
      <c r="BM55" s="189">
        <v>39230093.140000001</v>
      </c>
      <c r="BN55" s="189">
        <v>48926487.149999999</v>
      </c>
      <c r="BO55" s="189">
        <v>70764065.079999998</v>
      </c>
      <c r="BP55" s="189">
        <v>67833733.420000002</v>
      </c>
      <c r="BQ55" s="189">
        <v>288929.53000000003</v>
      </c>
      <c r="BR55" s="189">
        <v>15315952.93</v>
      </c>
      <c r="BS55" s="189">
        <v>2742688.84</v>
      </c>
      <c r="BT55" s="189">
        <v>8973905.1699999999</v>
      </c>
      <c r="BU55" s="189">
        <v>636913.23</v>
      </c>
      <c r="BV55" s="189">
        <v>25092592.260000002</v>
      </c>
      <c r="BW55" s="189">
        <v>15495226.84</v>
      </c>
      <c r="BX55" s="189">
        <v>20233830.719999999</v>
      </c>
      <c r="BY55" s="189">
        <v>3019023</v>
      </c>
      <c r="BZ55" s="189">
        <v>0</v>
      </c>
      <c r="CA55" s="189">
        <v>5697641.5300000003</v>
      </c>
      <c r="CB55" s="189">
        <v>0</v>
      </c>
      <c r="CC55" s="189">
        <v>0</v>
      </c>
      <c r="CD55" s="189">
        <v>0</v>
      </c>
      <c r="CE55" s="189">
        <v>0</v>
      </c>
      <c r="CF55" s="189">
        <v>0</v>
      </c>
    </row>
    <row r="56" spans="1:84"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row>
    <row r="57" spans="1:84"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row>
    <row r="58" spans="1:84"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50888000</v>
      </c>
      <c r="BY58" s="189">
        <v>44240000</v>
      </c>
      <c r="BZ58" s="189">
        <v>0</v>
      </c>
      <c r="CA58" s="189">
        <v>27600000</v>
      </c>
      <c r="CB58" s="189">
        <v>0</v>
      </c>
      <c r="CC58" s="189">
        <v>0</v>
      </c>
      <c r="CD58" s="189">
        <v>0</v>
      </c>
      <c r="CE58" s="189">
        <v>0</v>
      </c>
      <c r="CF58" s="189">
        <v>0</v>
      </c>
    </row>
    <row r="59" spans="1:84" x14ac:dyDescent="0.25">
      <c r="A59" s="189" t="s">
        <v>163</v>
      </c>
      <c r="B59" s="189">
        <v>2473489467.29</v>
      </c>
      <c r="C59" s="189">
        <v>2476199672.1900001</v>
      </c>
      <c r="D59" s="189">
        <v>2533953221.3800001</v>
      </c>
      <c r="E59" s="189">
        <v>2107700604.6099999</v>
      </c>
      <c r="F59" s="189">
        <v>2274382191.77</v>
      </c>
      <c r="G59" s="189">
        <v>2183815015.6399999</v>
      </c>
      <c r="H59" s="189">
        <v>2220797766.5599999</v>
      </c>
      <c r="I59" s="189">
        <v>1844413154.26</v>
      </c>
      <c r="J59" s="189">
        <v>1930899475.9200001</v>
      </c>
      <c r="K59" s="189">
        <v>1820932196.1400001</v>
      </c>
      <c r="L59" s="189">
        <v>1813872599.27</v>
      </c>
      <c r="M59" s="189">
        <v>1521734293.24</v>
      </c>
      <c r="N59" s="189">
        <v>1563232105.54</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172691829.55000001</v>
      </c>
      <c r="AQ59" s="189">
        <v>218759683.31</v>
      </c>
      <c r="AR59" s="189">
        <v>0</v>
      </c>
      <c r="AS59" s="189">
        <v>0</v>
      </c>
      <c r="AT59" s="189">
        <v>0</v>
      </c>
      <c r="AU59" s="189">
        <v>0</v>
      </c>
      <c r="AV59" s="189">
        <v>18059633.239999998</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row>
    <row r="60" spans="1:84" x14ac:dyDescent="0.25">
      <c r="A60" s="189" t="s">
        <v>164</v>
      </c>
      <c r="B60" s="189">
        <v>10436587998.110001</v>
      </c>
      <c r="C60" s="189">
        <v>10912290322.68</v>
      </c>
      <c r="D60" s="189">
        <v>11380741448.790001</v>
      </c>
      <c r="E60" s="189">
        <v>13103359395</v>
      </c>
      <c r="F60" s="189">
        <v>10758030635.65</v>
      </c>
      <c r="G60" s="189">
        <v>11327751568.98</v>
      </c>
      <c r="H60" s="189">
        <v>11006074617.110001</v>
      </c>
      <c r="I60" s="189">
        <v>11906120747.5</v>
      </c>
      <c r="J60" s="189">
        <v>9852060777.7099991</v>
      </c>
      <c r="K60" s="189">
        <v>9120028486.3500004</v>
      </c>
      <c r="L60" s="189">
        <v>8516827991.7600002</v>
      </c>
      <c r="M60" s="189">
        <v>8298112425.5200005</v>
      </c>
      <c r="N60" s="189">
        <v>6892894284.54</v>
      </c>
      <c r="O60" s="189">
        <v>5848813848.0299997</v>
      </c>
      <c r="P60" s="189">
        <v>6182206137.6999998</v>
      </c>
      <c r="Q60" s="189">
        <v>6216176976.4700003</v>
      </c>
      <c r="R60" s="189">
        <v>5625245057.75</v>
      </c>
      <c r="S60" s="189">
        <v>4970701987.2399998</v>
      </c>
      <c r="T60" s="189">
        <v>4448126389.6499996</v>
      </c>
      <c r="U60" s="189">
        <v>4671960525.79</v>
      </c>
      <c r="V60" s="189">
        <v>4272749101.3600001</v>
      </c>
      <c r="W60" s="189">
        <v>3815903196.4299998</v>
      </c>
      <c r="X60" s="189">
        <v>4266909929.3699999</v>
      </c>
      <c r="Y60" s="189">
        <v>4135030093.3499999</v>
      </c>
      <c r="Z60" s="189">
        <v>4235594541.2199998</v>
      </c>
      <c r="AA60" s="189">
        <v>3726652280.77</v>
      </c>
      <c r="AB60" s="189">
        <v>3602750024.6500001</v>
      </c>
      <c r="AC60" s="189">
        <v>5152711069.8199997</v>
      </c>
      <c r="AD60" s="189">
        <v>6881267947.8000002</v>
      </c>
      <c r="AE60" s="189">
        <v>6390928111.9499998</v>
      </c>
      <c r="AF60" s="189">
        <v>5402417527.4300003</v>
      </c>
      <c r="AG60" s="189">
        <v>4463022717.9399996</v>
      </c>
      <c r="AH60" s="189">
        <v>4147782487.4899998</v>
      </c>
      <c r="AI60" s="189">
        <v>3512272412.8600001</v>
      </c>
      <c r="AJ60" s="189">
        <v>2517304328.8699999</v>
      </c>
      <c r="AK60" s="189">
        <v>1948999612.47</v>
      </c>
      <c r="AL60" s="189">
        <v>1628211216.3900001</v>
      </c>
      <c r="AM60" s="189">
        <v>1330522542.1900001</v>
      </c>
      <c r="AN60" s="189">
        <v>1619025716.6400001</v>
      </c>
      <c r="AO60" s="189">
        <v>1624148036.0799999</v>
      </c>
      <c r="AP60" s="189">
        <v>1873221630.3800001</v>
      </c>
      <c r="AQ60" s="189">
        <v>2110016762.23</v>
      </c>
      <c r="AR60" s="189">
        <v>1917748078.1099999</v>
      </c>
      <c r="AS60" s="189">
        <v>2043457243.03</v>
      </c>
      <c r="AT60" s="189">
        <v>2288502050.8600001</v>
      </c>
      <c r="AU60" s="189">
        <v>2177746623.1900001</v>
      </c>
      <c r="AV60" s="189">
        <v>2322152623.6700001</v>
      </c>
      <c r="AW60" s="189">
        <v>2302031723.8499999</v>
      </c>
      <c r="AX60" s="189">
        <v>2667391080.0300002</v>
      </c>
      <c r="AY60" s="189">
        <v>2371144916.2199998</v>
      </c>
      <c r="AZ60" s="189">
        <v>2228475643.29</v>
      </c>
      <c r="BA60" s="189">
        <v>2180299916.04</v>
      </c>
      <c r="BB60" s="189">
        <v>1993666942.55</v>
      </c>
      <c r="BC60" s="189">
        <v>1695655656.1600001</v>
      </c>
      <c r="BD60" s="189">
        <v>1861324701.0599999</v>
      </c>
      <c r="BE60" s="189">
        <v>1897599432.75</v>
      </c>
      <c r="BF60" s="189">
        <v>1599813269.3699999</v>
      </c>
      <c r="BG60" s="189">
        <v>1821201176.4000001</v>
      </c>
      <c r="BH60" s="189">
        <v>1874173615.46</v>
      </c>
      <c r="BI60" s="189">
        <v>1891031447.6400001</v>
      </c>
      <c r="BJ60" s="189">
        <v>1921471994.77</v>
      </c>
      <c r="BK60" s="189">
        <v>1925373854.46</v>
      </c>
      <c r="BL60" s="189">
        <v>0</v>
      </c>
      <c r="BM60" s="189">
        <v>2016898438.97</v>
      </c>
      <c r="BN60" s="189">
        <v>1546557813.48</v>
      </c>
      <c r="BO60" s="189">
        <v>1665313501.5799999</v>
      </c>
      <c r="BP60" s="189">
        <v>1559768740.96</v>
      </c>
      <c r="BQ60" s="189">
        <v>1145941834.5699999</v>
      </c>
      <c r="BR60" s="189">
        <v>1207712177.0599999</v>
      </c>
      <c r="BS60" s="189">
        <v>1316355031.0699999</v>
      </c>
      <c r="BT60" s="189">
        <v>1338163060.53</v>
      </c>
      <c r="BU60" s="189">
        <v>1154042752.5699999</v>
      </c>
      <c r="BV60" s="189">
        <v>1056789872.96</v>
      </c>
      <c r="BW60" s="189">
        <v>897856815.5</v>
      </c>
      <c r="BX60" s="189">
        <v>790728834.76999998</v>
      </c>
      <c r="BY60" s="189">
        <v>711354925.61000001</v>
      </c>
      <c r="BZ60" s="189">
        <v>562074670</v>
      </c>
      <c r="CA60" s="189">
        <v>502326432.87</v>
      </c>
      <c r="CB60" s="189">
        <v>392735000</v>
      </c>
      <c r="CC60" s="189">
        <v>376313964.25999999</v>
      </c>
      <c r="CD60" s="189">
        <v>266263209.09999999</v>
      </c>
      <c r="CE60" s="189">
        <v>196272228.83000001</v>
      </c>
      <c r="CF60" s="189">
        <v>0</v>
      </c>
    </row>
    <row r="61" spans="1:84" x14ac:dyDescent="0.25">
      <c r="A61" s="189" t="s">
        <v>165</v>
      </c>
    </row>
    <row r="62" spans="1:84"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3000000</v>
      </c>
      <c r="AS62" s="189">
        <v>3000000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20000000</v>
      </c>
      <c r="BK62" s="189">
        <v>20000000</v>
      </c>
      <c r="BL62" s="189">
        <v>0</v>
      </c>
      <c r="BM62" s="189">
        <v>20000000</v>
      </c>
      <c r="BN62" s="189">
        <v>0</v>
      </c>
      <c r="BO62" s="189">
        <v>0</v>
      </c>
      <c r="BP62" s="189">
        <v>0</v>
      </c>
      <c r="BQ62" s="189">
        <v>0</v>
      </c>
      <c r="BR62" s="189">
        <v>0</v>
      </c>
      <c r="BS62" s="189">
        <v>0</v>
      </c>
      <c r="BT62" s="189">
        <v>1068064</v>
      </c>
      <c r="BU62" s="189">
        <v>0</v>
      </c>
      <c r="BV62" s="189">
        <v>0</v>
      </c>
      <c r="BW62" s="189">
        <v>0</v>
      </c>
      <c r="BX62" s="189">
        <v>40382200</v>
      </c>
      <c r="BY62" s="189">
        <v>55382200</v>
      </c>
      <c r="BZ62" s="189">
        <v>0</v>
      </c>
      <c r="CA62" s="189">
        <v>29240000</v>
      </c>
      <c r="CB62" s="189">
        <v>0</v>
      </c>
      <c r="CC62" s="189">
        <v>0</v>
      </c>
      <c r="CD62" s="189">
        <v>0</v>
      </c>
      <c r="CE62" s="189">
        <v>0</v>
      </c>
      <c r="CF62" s="189">
        <v>0</v>
      </c>
    </row>
    <row r="63" spans="1:84"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row>
    <row r="64" spans="1:84"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7072111.0899999999</v>
      </c>
      <c r="AQ64" s="189">
        <v>7178626.3899999997</v>
      </c>
      <c r="AR64" s="189">
        <v>7254564.9400000004</v>
      </c>
      <c r="AS64" s="189">
        <v>6940295.54</v>
      </c>
      <c r="AT64" s="189">
        <v>8516033.0800000001</v>
      </c>
      <c r="AU64" s="189">
        <v>1068064</v>
      </c>
      <c r="AV64" s="189">
        <v>1068064</v>
      </c>
      <c r="AW64" s="189">
        <v>1068064</v>
      </c>
      <c r="AX64" s="189">
        <v>1068064</v>
      </c>
      <c r="AY64" s="189">
        <v>1068064</v>
      </c>
      <c r="AZ64" s="189">
        <v>1068064</v>
      </c>
      <c r="BA64" s="189">
        <v>1068064</v>
      </c>
      <c r="BB64" s="189">
        <v>1068064</v>
      </c>
      <c r="BC64" s="189">
        <v>1068064</v>
      </c>
      <c r="BD64" s="189">
        <v>1068064</v>
      </c>
      <c r="BE64" s="189">
        <v>1068064</v>
      </c>
      <c r="BF64" s="189">
        <v>1068064</v>
      </c>
      <c r="BG64" s="189">
        <v>1068064</v>
      </c>
      <c r="BH64" s="189">
        <v>1068064</v>
      </c>
      <c r="BI64" s="189">
        <v>1068064</v>
      </c>
      <c r="BJ64" s="189">
        <v>1068064</v>
      </c>
      <c r="BK64" s="189">
        <v>1068064</v>
      </c>
      <c r="BL64" s="189">
        <v>0</v>
      </c>
      <c r="BM64" s="189">
        <v>1068064</v>
      </c>
      <c r="BN64" s="189">
        <v>1068064</v>
      </c>
      <c r="BO64" s="189">
        <v>1068064</v>
      </c>
      <c r="BP64" s="189">
        <v>1068064</v>
      </c>
      <c r="BQ64" s="189">
        <v>1068064</v>
      </c>
      <c r="BR64" s="189">
        <v>1068064</v>
      </c>
      <c r="BS64" s="189">
        <v>1068064</v>
      </c>
      <c r="BT64" s="189">
        <v>0</v>
      </c>
      <c r="BU64" s="189">
        <v>1068064</v>
      </c>
      <c r="BV64" s="189">
        <v>1276472.67</v>
      </c>
      <c r="BW64" s="189">
        <v>1068064</v>
      </c>
      <c r="BX64" s="189">
        <v>1073187.98</v>
      </c>
      <c r="BY64" s="189">
        <v>0</v>
      </c>
      <c r="BZ64" s="189">
        <v>0</v>
      </c>
      <c r="CA64" s="189">
        <v>0</v>
      </c>
      <c r="CB64" s="189">
        <v>0</v>
      </c>
      <c r="CC64" s="189">
        <v>0</v>
      </c>
      <c r="CD64" s="189">
        <v>0</v>
      </c>
      <c r="CE64" s="189">
        <v>0</v>
      </c>
      <c r="CF64" s="189">
        <v>0</v>
      </c>
    </row>
    <row r="65" spans="1:84" x14ac:dyDescent="0.25">
      <c r="A65" s="189" t="s">
        <v>169</v>
      </c>
      <c r="B65" s="189">
        <v>7427582.25</v>
      </c>
      <c r="C65" s="189">
        <v>10291652.869999999</v>
      </c>
      <c r="D65" s="189">
        <v>10766220.390000001</v>
      </c>
      <c r="E65" s="189">
        <v>12021620.17</v>
      </c>
      <c r="F65" s="189">
        <v>13104735.619999999</v>
      </c>
      <c r="G65" s="189">
        <v>13693727.01</v>
      </c>
      <c r="H65" s="189">
        <v>15511381.91</v>
      </c>
      <c r="I65" s="189">
        <v>16101348.6</v>
      </c>
      <c r="J65" s="189">
        <v>24901715.48</v>
      </c>
      <c r="K65" s="189">
        <v>26025528.059999999</v>
      </c>
      <c r="L65" s="189">
        <v>28439299.25</v>
      </c>
      <c r="M65" s="189">
        <v>28439299.25</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row>
    <row r="66" spans="1:84" x14ac:dyDescent="0.25">
      <c r="A66" s="189" t="s">
        <v>170</v>
      </c>
      <c r="B66" s="189">
        <v>0</v>
      </c>
      <c r="C66" s="189">
        <v>0</v>
      </c>
      <c r="D66" s="189">
        <v>0</v>
      </c>
      <c r="E66" s="189">
        <v>0</v>
      </c>
      <c r="F66" s="189">
        <v>0</v>
      </c>
      <c r="G66" s="189">
        <v>0</v>
      </c>
      <c r="H66" s="189">
        <v>0</v>
      </c>
      <c r="I66" s="189">
        <v>0</v>
      </c>
      <c r="J66" s="189">
        <v>0</v>
      </c>
      <c r="K66" s="189">
        <v>0</v>
      </c>
      <c r="L66" s="189">
        <v>0</v>
      </c>
      <c r="M66" s="189">
        <v>0</v>
      </c>
      <c r="N66" s="189">
        <v>2073957.3</v>
      </c>
      <c r="O66" s="189">
        <v>2073957.3</v>
      </c>
      <c r="P66" s="189">
        <v>2073957.3</v>
      </c>
      <c r="Q66" s="189">
        <v>2073957.3</v>
      </c>
      <c r="R66" s="189">
        <v>2073957.3</v>
      </c>
      <c r="S66" s="189">
        <v>3783957.3</v>
      </c>
      <c r="T66" s="189">
        <v>2073957.3</v>
      </c>
      <c r="U66" s="189">
        <v>2073957.3</v>
      </c>
      <c r="V66" s="189">
        <v>2073957.3</v>
      </c>
      <c r="W66" s="189">
        <v>2549025.2999999998</v>
      </c>
      <c r="X66" s="189">
        <v>2607427.2999999998</v>
      </c>
      <c r="Y66" s="189">
        <v>2607427.2999999998</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row>
    <row r="67" spans="1:84" x14ac:dyDescent="0.25">
      <c r="A67" s="189" t="s">
        <v>171</v>
      </c>
      <c r="B67" s="189">
        <v>1867338.5</v>
      </c>
      <c r="C67" s="189">
        <v>2157992.7599999998</v>
      </c>
      <c r="D67" s="189">
        <v>2253082.25</v>
      </c>
      <c r="E67" s="189">
        <v>2253082.25</v>
      </c>
      <c r="F67" s="189">
        <v>1524217.08</v>
      </c>
      <c r="G67" s="189">
        <v>1675596.14</v>
      </c>
      <c r="H67" s="189">
        <v>1727340.89</v>
      </c>
      <c r="I67" s="189">
        <v>1727340.89</v>
      </c>
      <c r="J67" s="189">
        <v>9784866.4299999997</v>
      </c>
      <c r="K67" s="189">
        <v>9784866.4399999995</v>
      </c>
      <c r="L67" s="189">
        <v>9784866.4399999995</v>
      </c>
      <c r="M67" s="189">
        <v>9981021.4399999995</v>
      </c>
      <c r="N67" s="189">
        <v>9555177.3000000007</v>
      </c>
      <c r="O67" s="189">
        <v>9773637.3800000008</v>
      </c>
      <c r="P67" s="189">
        <v>9956354.3800000008</v>
      </c>
      <c r="Q67" s="189">
        <v>9960830.7400000002</v>
      </c>
      <c r="R67" s="189">
        <v>10133489.48</v>
      </c>
      <c r="S67" s="189">
        <v>10162452.890000001</v>
      </c>
      <c r="T67" s="189">
        <v>11119498.300000001</v>
      </c>
      <c r="U67" s="189">
        <v>11310523.59</v>
      </c>
      <c r="V67" s="189">
        <v>12444043.27</v>
      </c>
      <c r="W67" s="189">
        <v>14652284.359999999</v>
      </c>
      <c r="X67" s="189">
        <v>14580026.15</v>
      </c>
      <c r="Y67" s="189">
        <v>14041361.41</v>
      </c>
      <c r="Z67" s="189">
        <v>25496171.77</v>
      </c>
      <c r="AA67" s="189">
        <v>19418640.399999999</v>
      </c>
      <c r="AB67" s="189">
        <v>19829052.379999999</v>
      </c>
      <c r="AC67" s="189">
        <v>20152637.079999998</v>
      </c>
      <c r="AD67" s="189">
        <v>14535158.52</v>
      </c>
      <c r="AE67" s="189">
        <v>19373414.960000001</v>
      </c>
      <c r="AF67" s="189">
        <v>19012311.18</v>
      </c>
      <c r="AG67" s="189">
        <v>18487799.18</v>
      </c>
      <c r="AH67" s="189">
        <v>21440050.02</v>
      </c>
      <c r="AI67" s="189">
        <v>18040050.02</v>
      </c>
      <c r="AJ67" s="189">
        <v>11213500.02</v>
      </c>
      <c r="AK67" s="189">
        <v>11213500.02</v>
      </c>
      <c r="AL67" s="189">
        <v>8390282.8499999996</v>
      </c>
      <c r="AM67" s="189">
        <v>11806232.85</v>
      </c>
      <c r="AN67" s="189">
        <v>18541858.030000001</v>
      </c>
      <c r="AO67" s="189">
        <v>18541858.030000001</v>
      </c>
      <c r="AP67" s="189">
        <v>7800000</v>
      </c>
      <c r="AQ67" s="189">
        <v>7800000</v>
      </c>
      <c r="AR67" s="189">
        <v>7800000</v>
      </c>
      <c r="AS67" s="189">
        <v>7800000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row>
    <row r="68" spans="1:84"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33086.730000000003</v>
      </c>
      <c r="Q68" s="189">
        <v>37336.160000000003</v>
      </c>
      <c r="R68" s="189">
        <v>273998.40000000002</v>
      </c>
      <c r="S68" s="189">
        <v>245747.1</v>
      </c>
      <c r="T68" s="189">
        <v>1648222.52</v>
      </c>
      <c r="U68" s="189">
        <v>2284388.4</v>
      </c>
      <c r="V68" s="189">
        <v>2306550.9</v>
      </c>
      <c r="W68" s="189">
        <v>1792680.9</v>
      </c>
      <c r="X68" s="189">
        <v>808784.39</v>
      </c>
      <c r="Y68" s="189">
        <v>211685.1</v>
      </c>
      <c r="Z68" s="189">
        <v>53595</v>
      </c>
      <c r="AA68" s="189">
        <v>19176.599999999999</v>
      </c>
      <c r="AB68" s="189">
        <v>237326.1</v>
      </c>
      <c r="AC68" s="189">
        <v>671488.8</v>
      </c>
      <c r="AD68" s="189">
        <v>1626956.55</v>
      </c>
      <c r="AE68" s="189">
        <v>2275158.25</v>
      </c>
      <c r="AF68" s="189">
        <v>2674020.77</v>
      </c>
      <c r="AG68" s="189">
        <v>1198672.3999999999</v>
      </c>
      <c r="AH68" s="189">
        <v>33641.4</v>
      </c>
      <c r="AI68" s="189">
        <v>32230.2</v>
      </c>
      <c r="AJ68" s="189">
        <v>48811.8</v>
      </c>
      <c r="AK68" s="189">
        <v>31877.4</v>
      </c>
      <c r="AL68" s="189">
        <v>26938.2</v>
      </c>
      <c r="AM68" s="189">
        <v>1571202.29</v>
      </c>
      <c r="AN68" s="189">
        <v>1197117.8999999999</v>
      </c>
      <c r="AO68" s="189">
        <v>801108.9</v>
      </c>
      <c r="AP68" s="189">
        <v>4651342.18</v>
      </c>
      <c r="AQ68" s="189">
        <v>5210469.43</v>
      </c>
      <c r="AR68" s="189">
        <v>4828207.6100000003</v>
      </c>
      <c r="AS68" s="189">
        <v>4828207.6100000003</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row>
    <row r="69" spans="1:84" x14ac:dyDescent="0.25">
      <c r="A69" s="189" t="s">
        <v>173</v>
      </c>
      <c r="B69" s="189">
        <v>5775149.8499999996</v>
      </c>
      <c r="C69" s="189">
        <v>2262533.19</v>
      </c>
      <c r="D69" s="189">
        <v>2375833.2000000002</v>
      </c>
      <c r="E69" s="189">
        <v>2489133.21</v>
      </c>
      <c r="F69" s="189">
        <v>2602433.2200000002</v>
      </c>
      <c r="G69" s="189">
        <v>2715733.23</v>
      </c>
      <c r="H69" s="189">
        <v>2829033.24</v>
      </c>
      <c r="I69" s="189">
        <v>2942333.25</v>
      </c>
      <c r="J69" s="189">
        <v>3055633.26</v>
      </c>
      <c r="K69" s="189">
        <v>3168933.27</v>
      </c>
      <c r="L69" s="189">
        <v>3282233.28</v>
      </c>
      <c r="M69" s="189">
        <v>3395533.29</v>
      </c>
      <c r="N69" s="189">
        <v>3508833.3</v>
      </c>
      <c r="O69" s="189">
        <v>3622133.31</v>
      </c>
      <c r="P69" s="189">
        <v>3735433.32</v>
      </c>
      <c r="Q69" s="189">
        <v>3848733.33</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row>
    <row r="70" spans="1:84"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491200</v>
      </c>
      <c r="S70" s="189">
        <v>517000</v>
      </c>
      <c r="T70" s="189">
        <v>542800</v>
      </c>
      <c r="U70" s="189">
        <v>568600</v>
      </c>
      <c r="V70" s="189">
        <v>744400</v>
      </c>
      <c r="W70" s="189">
        <v>920200</v>
      </c>
      <c r="X70" s="189">
        <v>1096000</v>
      </c>
      <c r="Y70" s="189">
        <v>1271800</v>
      </c>
      <c r="Z70" s="189">
        <v>7292450</v>
      </c>
      <c r="AA70" s="189">
        <v>7318250</v>
      </c>
      <c r="AB70" s="189">
        <v>7644050</v>
      </c>
      <c r="AC70" s="189">
        <v>6621250</v>
      </c>
      <c r="AD70" s="189">
        <v>8565050</v>
      </c>
      <c r="AE70" s="189">
        <v>8029750</v>
      </c>
      <c r="AF70" s="189">
        <v>8042350</v>
      </c>
      <c r="AG70" s="189">
        <v>8024850</v>
      </c>
      <c r="AH70" s="189">
        <v>4974950</v>
      </c>
      <c r="AI70" s="189">
        <v>5176300</v>
      </c>
      <c r="AJ70" s="189">
        <v>5338900</v>
      </c>
      <c r="AK70" s="189">
        <v>3679000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7677349.96</v>
      </c>
      <c r="BU70" s="189">
        <v>7279265.6799999997</v>
      </c>
      <c r="BV70" s="189">
        <v>5915211.6699999999</v>
      </c>
      <c r="BW70" s="189">
        <v>7290371.6100000003</v>
      </c>
      <c r="BX70" s="189">
        <v>0</v>
      </c>
      <c r="BY70" s="189">
        <v>0</v>
      </c>
      <c r="BZ70" s="189">
        <v>0</v>
      </c>
      <c r="CA70" s="189">
        <v>2033203.06</v>
      </c>
      <c r="CB70" s="189">
        <v>0</v>
      </c>
      <c r="CC70" s="189">
        <v>0</v>
      </c>
      <c r="CD70" s="189">
        <v>0</v>
      </c>
      <c r="CE70" s="189">
        <v>0</v>
      </c>
      <c r="CF70" s="189">
        <v>0</v>
      </c>
    </row>
    <row r="71" spans="1:84" x14ac:dyDescent="0.25">
      <c r="A71" s="189" t="s">
        <v>175</v>
      </c>
      <c r="B71" s="189">
        <v>15070070.6</v>
      </c>
      <c r="C71" s="189">
        <v>14712178.82</v>
      </c>
      <c r="D71" s="189">
        <v>15395135.84</v>
      </c>
      <c r="E71" s="189">
        <v>16763835.630000001</v>
      </c>
      <c r="F71" s="189">
        <v>17231385.920000002</v>
      </c>
      <c r="G71" s="189">
        <v>18085056.379999999</v>
      </c>
      <c r="H71" s="189">
        <v>20067756.039999999</v>
      </c>
      <c r="I71" s="189">
        <v>20771022.739999998</v>
      </c>
      <c r="J71" s="189">
        <v>37742215.170000002</v>
      </c>
      <c r="K71" s="189">
        <v>38979327.770000003</v>
      </c>
      <c r="L71" s="189">
        <v>41506398.969999999</v>
      </c>
      <c r="M71" s="189">
        <v>41815853.979999997</v>
      </c>
      <c r="N71" s="189">
        <v>15137967.9</v>
      </c>
      <c r="O71" s="189">
        <v>15469727.99</v>
      </c>
      <c r="P71" s="189">
        <v>15798831.73</v>
      </c>
      <c r="Q71" s="189">
        <v>15920857.529999999</v>
      </c>
      <c r="R71" s="189">
        <v>12972645.18</v>
      </c>
      <c r="S71" s="189">
        <v>14709157.289999999</v>
      </c>
      <c r="T71" s="189">
        <v>15384478.119999999</v>
      </c>
      <c r="U71" s="189">
        <v>16237469.289999999</v>
      </c>
      <c r="V71" s="189">
        <v>17568951.469999999</v>
      </c>
      <c r="W71" s="189">
        <v>19914190.559999999</v>
      </c>
      <c r="X71" s="189">
        <v>19092237.84</v>
      </c>
      <c r="Y71" s="189">
        <v>18132273.809999999</v>
      </c>
      <c r="Z71" s="189">
        <v>32842216.77</v>
      </c>
      <c r="AA71" s="189">
        <v>26756067</v>
      </c>
      <c r="AB71" s="189">
        <v>27710428.48</v>
      </c>
      <c r="AC71" s="189">
        <v>27445375.879999999</v>
      </c>
      <c r="AD71" s="189">
        <v>24727165.07</v>
      </c>
      <c r="AE71" s="189">
        <v>29678323.210000001</v>
      </c>
      <c r="AF71" s="189">
        <v>29728681.949999999</v>
      </c>
      <c r="AG71" s="189">
        <v>27711321.579999998</v>
      </c>
      <c r="AH71" s="189">
        <v>26448641.420000002</v>
      </c>
      <c r="AI71" s="189">
        <v>23248580.219999999</v>
      </c>
      <c r="AJ71" s="189">
        <v>16601211.82</v>
      </c>
      <c r="AK71" s="189">
        <v>14924377.42</v>
      </c>
      <c r="AL71" s="189">
        <v>8417221.0500000007</v>
      </c>
      <c r="AM71" s="189">
        <v>13377435.140000001</v>
      </c>
      <c r="AN71" s="189">
        <v>19738975.93</v>
      </c>
      <c r="AO71" s="189">
        <v>19342966.93</v>
      </c>
      <c r="AP71" s="189">
        <v>19523453.27</v>
      </c>
      <c r="AQ71" s="189">
        <v>20189095.82</v>
      </c>
      <c r="AR71" s="189">
        <v>22882772.550000001</v>
      </c>
      <c r="AS71" s="189">
        <v>22568503.149999999</v>
      </c>
      <c r="AT71" s="189">
        <v>8516033.0800000001</v>
      </c>
      <c r="AU71" s="189">
        <v>1068064</v>
      </c>
      <c r="AV71" s="189">
        <v>1068064</v>
      </c>
      <c r="AW71" s="189">
        <v>1068064</v>
      </c>
      <c r="AX71" s="189">
        <v>1068064</v>
      </c>
      <c r="AY71" s="189">
        <v>1068064</v>
      </c>
      <c r="AZ71" s="189">
        <v>1068064</v>
      </c>
      <c r="BA71" s="189">
        <v>1068064</v>
      </c>
      <c r="BB71" s="189">
        <v>1068064</v>
      </c>
      <c r="BC71" s="189">
        <v>1068064</v>
      </c>
      <c r="BD71" s="189">
        <v>1068064</v>
      </c>
      <c r="BE71" s="189">
        <v>1068064</v>
      </c>
      <c r="BF71" s="189">
        <v>1068064</v>
      </c>
      <c r="BG71" s="189">
        <v>1068064</v>
      </c>
      <c r="BH71" s="189">
        <v>1068064</v>
      </c>
      <c r="BI71" s="189">
        <v>1068064</v>
      </c>
      <c r="BJ71" s="189">
        <v>21068064</v>
      </c>
      <c r="BK71" s="189">
        <v>21068064</v>
      </c>
      <c r="BL71" s="189">
        <v>0</v>
      </c>
      <c r="BM71" s="189">
        <v>21068064</v>
      </c>
      <c r="BN71" s="189">
        <v>1068064</v>
      </c>
      <c r="BO71" s="189">
        <v>1068064</v>
      </c>
      <c r="BP71" s="189">
        <v>1068064</v>
      </c>
      <c r="BQ71" s="189">
        <v>1068064</v>
      </c>
      <c r="BR71" s="189">
        <v>1068064</v>
      </c>
      <c r="BS71" s="189">
        <v>1068064</v>
      </c>
      <c r="BT71" s="189">
        <v>8745413.9600000009</v>
      </c>
      <c r="BU71" s="189">
        <v>8347329.6799999997</v>
      </c>
      <c r="BV71" s="189">
        <v>7191684.3399999999</v>
      </c>
      <c r="BW71" s="189">
        <v>8358435.5999999996</v>
      </c>
      <c r="BX71" s="189">
        <v>47219386.329999998</v>
      </c>
      <c r="BY71" s="189">
        <v>59559895.590000004</v>
      </c>
      <c r="BZ71" s="189">
        <v>32010560</v>
      </c>
      <c r="CA71" s="189">
        <v>31273203.059999999</v>
      </c>
      <c r="CB71" s="189">
        <v>43415000</v>
      </c>
      <c r="CC71" s="189">
        <v>62271132.530000001</v>
      </c>
      <c r="CD71" s="189">
        <v>18152549.800000001</v>
      </c>
      <c r="CE71" s="189">
        <v>21985091.59</v>
      </c>
      <c r="CF71" s="189">
        <v>0</v>
      </c>
    </row>
    <row r="72" spans="1:84" x14ac:dyDescent="0.25">
      <c r="A72" s="189" t="s">
        <v>176</v>
      </c>
      <c r="B72" s="189">
        <v>10451658068.709999</v>
      </c>
      <c r="C72" s="189">
        <v>10927002501.5</v>
      </c>
      <c r="D72" s="189">
        <v>11396136584.629999</v>
      </c>
      <c r="E72" s="189">
        <v>13120123230.629999</v>
      </c>
      <c r="F72" s="189">
        <v>10775262021.57</v>
      </c>
      <c r="G72" s="189">
        <v>11345836625.360001</v>
      </c>
      <c r="H72" s="189">
        <v>11026142373.15</v>
      </c>
      <c r="I72" s="189">
        <v>11926891770.24</v>
      </c>
      <c r="J72" s="189">
        <v>9889802992.8799992</v>
      </c>
      <c r="K72" s="189">
        <v>9159007814.1200008</v>
      </c>
      <c r="L72" s="189">
        <v>8558334390.7299995</v>
      </c>
      <c r="M72" s="189">
        <v>8339928279.5</v>
      </c>
      <c r="N72" s="189">
        <v>6908032252.4399996</v>
      </c>
      <c r="O72" s="189">
        <v>5864283576.0200005</v>
      </c>
      <c r="P72" s="189">
        <v>6198004969.4300003</v>
      </c>
      <c r="Q72" s="189">
        <v>6232097834</v>
      </c>
      <c r="R72" s="189">
        <v>5638217702.9300003</v>
      </c>
      <c r="S72" s="189">
        <v>4985411144.5299997</v>
      </c>
      <c r="T72" s="189">
        <v>4463510867.7700005</v>
      </c>
      <c r="U72" s="189">
        <v>4688197995.0799999</v>
      </c>
      <c r="V72" s="189">
        <v>4290318052.8299999</v>
      </c>
      <c r="W72" s="189">
        <v>3835817386.9899998</v>
      </c>
      <c r="X72" s="189">
        <v>4286002167.21</v>
      </c>
      <c r="Y72" s="189">
        <v>4153162367.1599998</v>
      </c>
      <c r="Z72" s="189">
        <v>4268436757.9899998</v>
      </c>
      <c r="AA72" s="189">
        <v>3753408347.77</v>
      </c>
      <c r="AB72" s="189">
        <v>3630460453.1300001</v>
      </c>
      <c r="AC72" s="189">
        <v>5180156445.6999998</v>
      </c>
      <c r="AD72" s="189">
        <v>6905995112.8699999</v>
      </c>
      <c r="AE72" s="189">
        <v>6420606435.1599998</v>
      </c>
      <c r="AF72" s="189">
        <v>5432146209.3800001</v>
      </c>
      <c r="AG72" s="189">
        <v>4490734039.5200005</v>
      </c>
      <c r="AH72" s="189">
        <v>4174231128.9099998</v>
      </c>
      <c r="AI72" s="189">
        <v>3535520993.0799999</v>
      </c>
      <c r="AJ72" s="189">
        <v>2533905540.6900001</v>
      </c>
      <c r="AK72" s="189">
        <v>1963923989.8900001</v>
      </c>
      <c r="AL72" s="189">
        <v>1636628437.4400001</v>
      </c>
      <c r="AM72" s="189">
        <v>1343899977.3299999</v>
      </c>
      <c r="AN72" s="189">
        <v>1638764692.5699999</v>
      </c>
      <c r="AO72" s="189">
        <v>1643491003.01</v>
      </c>
      <c r="AP72" s="189">
        <v>1892745083.6500001</v>
      </c>
      <c r="AQ72" s="189">
        <v>2130205858.05</v>
      </c>
      <c r="AR72" s="189">
        <v>1940630850.6600001</v>
      </c>
      <c r="AS72" s="189">
        <v>2066025746.1800001</v>
      </c>
      <c r="AT72" s="189">
        <v>2297018083.9400001</v>
      </c>
      <c r="AU72" s="189">
        <v>2178814687.1900001</v>
      </c>
      <c r="AV72" s="189">
        <v>2323220687.6700001</v>
      </c>
      <c r="AW72" s="189">
        <v>2303099787.8499999</v>
      </c>
      <c r="AX72" s="189">
        <v>2668459144.0300002</v>
      </c>
      <c r="AY72" s="189">
        <v>2372212980.2199998</v>
      </c>
      <c r="AZ72" s="189">
        <v>2229543707.29</v>
      </c>
      <c r="BA72" s="189">
        <v>2181367980.04</v>
      </c>
      <c r="BB72" s="189">
        <v>1994735006.55</v>
      </c>
      <c r="BC72" s="189">
        <v>1696723720.1600001</v>
      </c>
      <c r="BD72" s="189">
        <v>1862392765.0599999</v>
      </c>
      <c r="BE72" s="189">
        <v>1898667496.75</v>
      </c>
      <c r="BF72" s="189">
        <v>1600881333.3699999</v>
      </c>
      <c r="BG72" s="189">
        <v>1822269240.4000001</v>
      </c>
      <c r="BH72" s="189">
        <v>1875241679.46</v>
      </c>
      <c r="BI72" s="189">
        <v>1892099511.6400001</v>
      </c>
      <c r="BJ72" s="189">
        <v>1942540058.77</v>
      </c>
      <c r="BK72" s="189">
        <v>1946441918.46</v>
      </c>
      <c r="BL72" s="189">
        <v>0</v>
      </c>
      <c r="BM72" s="189">
        <v>2037966502.97</v>
      </c>
      <c r="BN72" s="189">
        <v>1547625877.48</v>
      </c>
      <c r="BO72" s="189">
        <v>1666381565.5799999</v>
      </c>
      <c r="BP72" s="189">
        <v>1560836804.96</v>
      </c>
      <c r="BQ72" s="189">
        <v>1147009898.5699999</v>
      </c>
      <c r="BR72" s="189">
        <v>1208780241.0599999</v>
      </c>
      <c r="BS72" s="189">
        <v>1317423095.0699999</v>
      </c>
      <c r="BT72" s="189">
        <v>1346908474.49</v>
      </c>
      <c r="BU72" s="189">
        <v>1162390082.25</v>
      </c>
      <c r="BV72" s="189">
        <v>1063981557.3</v>
      </c>
      <c r="BW72" s="189">
        <v>906215251.10000002</v>
      </c>
      <c r="BX72" s="189">
        <v>837948221.10000002</v>
      </c>
      <c r="BY72" s="189">
        <v>770914821.20000005</v>
      </c>
      <c r="BZ72" s="189">
        <v>594085230</v>
      </c>
      <c r="CA72" s="189">
        <v>533599635.93000001</v>
      </c>
      <c r="CB72" s="189">
        <v>436150000</v>
      </c>
      <c r="CC72" s="189">
        <v>438585096.79000002</v>
      </c>
      <c r="CD72" s="189">
        <v>284415758.89999998</v>
      </c>
      <c r="CE72" s="189">
        <v>218257320.41999999</v>
      </c>
      <c r="CF72" s="189">
        <v>0</v>
      </c>
    </row>
    <row r="73" spans="1:84" x14ac:dyDescent="0.25">
      <c r="A73" s="189" t="s">
        <v>177</v>
      </c>
    </row>
    <row r="74" spans="1:84" x14ac:dyDescent="0.25">
      <c r="A74" s="189" t="s">
        <v>178</v>
      </c>
      <c r="B74" s="189">
        <v>632487764</v>
      </c>
      <c r="C74" s="189">
        <v>632487764</v>
      </c>
      <c r="D74" s="189">
        <v>632487764</v>
      </c>
      <c r="E74" s="189">
        <v>632487764</v>
      </c>
      <c r="F74" s="189">
        <v>632487764</v>
      </c>
      <c r="G74" s="189">
        <v>632487764</v>
      </c>
      <c r="H74" s="189">
        <v>632487764</v>
      </c>
      <c r="I74" s="189">
        <v>632487764</v>
      </c>
      <c r="J74" s="189">
        <v>632487764</v>
      </c>
      <c r="K74" s="189">
        <v>632487764</v>
      </c>
      <c r="L74" s="189">
        <v>632487764</v>
      </c>
      <c r="M74" s="189">
        <v>632487764</v>
      </c>
      <c r="N74" s="189">
        <v>632487764</v>
      </c>
      <c r="O74" s="189">
        <v>632487764</v>
      </c>
      <c r="P74" s="189">
        <v>632487764</v>
      </c>
      <c r="Q74" s="189">
        <v>632487764</v>
      </c>
      <c r="R74" s="189">
        <v>632487764</v>
      </c>
      <c r="S74" s="189">
        <v>632487764</v>
      </c>
      <c r="T74" s="189">
        <v>632487764</v>
      </c>
      <c r="U74" s="189">
        <v>632487764</v>
      </c>
      <c r="V74" s="189">
        <v>632487764</v>
      </c>
      <c r="W74" s="189">
        <v>632487764</v>
      </c>
      <c r="X74" s="189">
        <v>632487764</v>
      </c>
      <c r="Y74" s="189">
        <v>632487764</v>
      </c>
      <c r="Z74" s="189">
        <v>632487764</v>
      </c>
      <c r="AA74" s="189">
        <v>632487764</v>
      </c>
      <c r="AB74" s="189">
        <v>632487764</v>
      </c>
      <c r="AC74" s="189">
        <v>632487764</v>
      </c>
      <c r="AD74" s="189">
        <v>632487764</v>
      </c>
      <c r="AE74" s="189">
        <v>632487764</v>
      </c>
      <c r="AF74" s="189">
        <v>632487764</v>
      </c>
      <c r="AG74" s="189">
        <v>632487764</v>
      </c>
      <c r="AH74" s="189">
        <v>547655760</v>
      </c>
      <c r="AI74" s="189">
        <v>547655760</v>
      </c>
      <c r="AJ74" s="189">
        <v>547655760</v>
      </c>
      <c r="AK74" s="189">
        <v>547655760</v>
      </c>
      <c r="AL74" s="189">
        <v>547655760</v>
      </c>
      <c r="AM74" s="189">
        <v>547655760</v>
      </c>
      <c r="AN74" s="189">
        <v>547655760</v>
      </c>
      <c r="AO74" s="189">
        <v>547655760</v>
      </c>
      <c r="AP74" s="189">
        <v>547655760</v>
      </c>
      <c r="AQ74" s="189">
        <v>547655760</v>
      </c>
      <c r="AR74" s="189">
        <v>365103840</v>
      </c>
      <c r="AS74" s="189">
        <v>365103840</v>
      </c>
      <c r="AT74" s="189">
        <v>365103840</v>
      </c>
      <c r="AU74" s="189">
        <v>365103840</v>
      </c>
      <c r="AV74" s="189">
        <v>365103840</v>
      </c>
      <c r="AW74" s="189">
        <v>365103840</v>
      </c>
      <c r="AX74" s="189">
        <v>365103840</v>
      </c>
      <c r="AY74" s="189">
        <v>365103840</v>
      </c>
      <c r="AZ74" s="189">
        <v>365103840</v>
      </c>
      <c r="BA74" s="189">
        <v>365103840</v>
      </c>
      <c r="BB74" s="189">
        <v>365103840</v>
      </c>
      <c r="BC74" s="189">
        <v>365103840</v>
      </c>
      <c r="BD74" s="189">
        <v>365103840</v>
      </c>
      <c r="BE74" s="189">
        <v>365103840</v>
      </c>
      <c r="BF74" s="189">
        <v>365103840</v>
      </c>
      <c r="BG74" s="189">
        <v>365103840</v>
      </c>
      <c r="BH74" s="189">
        <v>365103840</v>
      </c>
      <c r="BI74" s="189">
        <v>365103840</v>
      </c>
      <c r="BJ74" s="189">
        <v>365103840</v>
      </c>
      <c r="BK74" s="189">
        <v>365103840</v>
      </c>
      <c r="BL74" s="189">
        <v>365103840</v>
      </c>
      <c r="BM74" s="189">
        <v>365103840</v>
      </c>
      <c r="BN74" s="189">
        <v>365103840</v>
      </c>
      <c r="BO74" s="189">
        <v>365103840</v>
      </c>
      <c r="BP74" s="189">
        <v>365103840</v>
      </c>
      <c r="BQ74" s="189">
        <v>365103840</v>
      </c>
      <c r="BR74" s="189">
        <v>365103840</v>
      </c>
      <c r="BS74" s="189">
        <v>365103840</v>
      </c>
      <c r="BT74" s="189">
        <v>365103840</v>
      </c>
      <c r="BU74" s="189">
        <v>365103840</v>
      </c>
      <c r="BV74" s="189">
        <v>365103840</v>
      </c>
      <c r="BW74" s="189">
        <v>365103840</v>
      </c>
      <c r="BX74" s="189">
        <v>304253200</v>
      </c>
      <c r="BY74" s="189">
        <v>304253200</v>
      </c>
      <c r="BZ74" s="189">
        <v>304253200</v>
      </c>
      <c r="CA74" s="189">
        <v>244253200</v>
      </c>
      <c r="CB74" s="189">
        <v>174253000</v>
      </c>
      <c r="CC74" s="189">
        <v>0</v>
      </c>
      <c r="CD74" s="189">
        <v>174253200</v>
      </c>
      <c r="CE74" s="189">
        <v>0</v>
      </c>
      <c r="CF74" s="189">
        <v>0</v>
      </c>
    </row>
    <row r="75" spans="1:84" x14ac:dyDescent="0.25">
      <c r="A75" s="189" t="s">
        <v>179</v>
      </c>
      <c r="B75" s="189">
        <v>1314361857.47</v>
      </c>
      <c r="C75" s="189">
        <v>1296794069.01</v>
      </c>
      <c r="D75" s="189">
        <v>1273836088.24</v>
      </c>
      <c r="E75" s="189">
        <v>1252947546.8</v>
      </c>
      <c r="F75" s="189">
        <v>1230146749.9400001</v>
      </c>
      <c r="G75" s="189">
        <v>1214971453.8800001</v>
      </c>
      <c r="H75" s="189">
        <v>1202834758.8900001</v>
      </c>
      <c r="I75" s="189">
        <v>1191490133.01</v>
      </c>
      <c r="J75" s="189">
        <v>1189171898.76</v>
      </c>
      <c r="K75" s="189">
        <v>1177617482.1300001</v>
      </c>
      <c r="L75" s="189">
        <v>1171419996.1900001</v>
      </c>
      <c r="M75" s="189">
        <v>1164014947.8499999</v>
      </c>
      <c r="N75" s="189">
        <v>1155986987.73</v>
      </c>
      <c r="O75" s="189">
        <v>1146807620.9200001</v>
      </c>
      <c r="P75" s="189">
        <v>1142123819.28</v>
      </c>
      <c r="Q75" s="189">
        <v>1139956336.03</v>
      </c>
      <c r="R75" s="189">
        <v>1138655354.5799999</v>
      </c>
      <c r="S75" s="189">
        <v>1134752577.5899999</v>
      </c>
      <c r="T75" s="189">
        <v>1129395319.3099999</v>
      </c>
      <c r="U75" s="189">
        <v>1129431304.9100001</v>
      </c>
      <c r="V75" s="189">
        <v>1129421308.9100001</v>
      </c>
      <c r="W75" s="189">
        <v>1129371328.9100001</v>
      </c>
      <c r="X75" s="189">
        <v>1129461292.9100001</v>
      </c>
      <c r="Y75" s="189">
        <v>1129409313.71</v>
      </c>
      <c r="Z75" s="189">
        <v>1096065351.3099999</v>
      </c>
      <c r="AA75" s="189">
        <v>1096109333.71</v>
      </c>
      <c r="AB75" s="189">
        <v>1096139321.71</v>
      </c>
      <c r="AC75" s="189">
        <v>1096157314.51</v>
      </c>
      <c r="AD75" s="189">
        <v>1099919945.5</v>
      </c>
      <c r="AE75" s="189">
        <v>1099973923.9000001</v>
      </c>
      <c r="AF75" s="189">
        <v>1099997914.3</v>
      </c>
      <c r="AG75" s="189">
        <v>1099965927.0999999</v>
      </c>
      <c r="AH75" s="189">
        <v>510428139.76999998</v>
      </c>
      <c r="AI75" s="189">
        <v>510420142.97000003</v>
      </c>
      <c r="AJ75" s="189">
        <v>507628752.33999997</v>
      </c>
      <c r="AK75" s="189">
        <v>507532790.74000001</v>
      </c>
      <c r="AL75" s="189">
        <v>512820696.94</v>
      </c>
      <c r="AM75" s="189">
        <v>521571526.83999997</v>
      </c>
      <c r="AN75" s="189">
        <v>482708754.04000002</v>
      </c>
      <c r="AO75" s="189">
        <v>480464703.04000002</v>
      </c>
      <c r="AP75" s="189">
        <v>482798735.76999998</v>
      </c>
      <c r="AQ75" s="189">
        <v>484476117.51999998</v>
      </c>
      <c r="AR75" s="189">
        <v>670779315.72000003</v>
      </c>
      <c r="AS75" s="189">
        <v>678756472.34000003</v>
      </c>
      <c r="AT75" s="189">
        <v>706626373.34000003</v>
      </c>
      <c r="AU75" s="189">
        <v>704927741.20000005</v>
      </c>
      <c r="AV75" s="189">
        <v>704927741.20000005</v>
      </c>
      <c r="AW75" s="189">
        <v>704927741.20000005</v>
      </c>
      <c r="AX75" s="189">
        <v>702326599.19000006</v>
      </c>
      <c r="AY75" s="189">
        <v>702326599.19000006</v>
      </c>
      <c r="AZ75" s="189">
        <v>702326599.19000006</v>
      </c>
      <c r="BA75" s="189">
        <v>702326599.19000006</v>
      </c>
      <c r="BB75" s="189">
        <v>701279459.75999999</v>
      </c>
      <c r="BC75" s="189">
        <v>701279459.75999999</v>
      </c>
      <c r="BD75" s="189">
        <v>809727876.07000005</v>
      </c>
      <c r="BE75" s="189">
        <v>809727876.07000005</v>
      </c>
      <c r="BF75" s="189">
        <v>808149601.58000004</v>
      </c>
      <c r="BG75" s="189">
        <v>808149601.58000004</v>
      </c>
      <c r="BH75" s="189">
        <v>1107332193.1700001</v>
      </c>
      <c r="BI75" s="189">
        <v>1107332193.1700001</v>
      </c>
      <c r="BJ75" s="189">
        <v>808013101.58000004</v>
      </c>
      <c r="BK75" s="189">
        <v>808013101.58000004</v>
      </c>
      <c r="BL75" s="189">
        <v>0</v>
      </c>
      <c r="BM75" s="189">
        <v>1107230943.1700001</v>
      </c>
      <c r="BN75" s="189">
        <v>1107062877.1800001</v>
      </c>
      <c r="BO75" s="189">
        <v>1107062877.1800001</v>
      </c>
      <c r="BP75" s="189">
        <v>1107062877.1800001</v>
      </c>
      <c r="BQ75" s="189">
        <v>1107062877.1800001</v>
      </c>
      <c r="BR75" s="189">
        <v>1105431937.0999999</v>
      </c>
      <c r="BS75" s="189">
        <v>1105431937.0999999</v>
      </c>
      <c r="BT75" s="189">
        <v>1104570635.1500001</v>
      </c>
      <c r="BU75" s="189">
        <v>1104570635.1500001</v>
      </c>
      <c r="BV75" s="189">
        <v>1104497033.4400001</v>
      </c>
      <c r="BW75" s="189">
        <v>1104497033</v>
      </c>
      <c r="BX75" s="189">
        <v>1175194666.4000001</v>
      </c>
      <c r="BY75" s="189">
        <v>1153929680.6800001</v>
      </c>
      <c r="BZ75" s="189">
        <v>1149511470</v>
      </c>
      <c r="CA75" s="189">
        <v>488549274.19999999</v>
      </c>
      <c r="CB75" s="189">
        <v>250994000</v>
      </c>
      <c r="CC75" s="189">
        <v>0</v>
      </c>
      <c r="CD75" s="189">
        <v>0</v>
      </c>
      <c r="CE75" s="189">
        <v>0</v>
      </c>
      <c r="CF75" s="189">
        <v>0</v>
      </c>
    </row>
    <row r="76" spans="1:84"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row>
    <row r="77" spans="1:84" x14ac:dyDescent="0.25">
      <c r="A77" s="189" t="s">
        <v>181</v>
      </c>
      <c r="B77" s="189">
        <v>5684343.46</v>
      </c>
      <c r="C77" s="189">
        <v>28544268.120000001</v>
      </c>
      <c r="D77" s="189">
        <v>40831578.899999999</v>
      </c>
      <c r="E77" s="189">
        <v>40496366.850000001</v>
      </c>
      <c r="F77" s="189">
        <v>52300046.810000002</v>
      </c>
      <c r="G77" s="189">
        <v>43336488.700000003</v>
      </c>
      <c r="H77" s="189">
        <v>44468922.57</v>
      </c>
      <c r="I77" s="189">
        <v>70757524.609999999</v>
      </c>
      <c r="J77" s="189">
        <v>69714790.969999999</v>
      </c>
      <c r="K77" s="189">
        <v>67750174.569999993</v>
      </c>
      <c r="L77" s="189">
        <v>46137716.479999997</v>
      </c>
      <c r="M77" s="189">
        <v>34813284.640000001</v>
      </c>
      <c r="N77" s="189">
        <v>-2249549.69</v>
      </c>
      <c r="O77" s="189">
        <v>-3476435.26</v>
      </c>
      <c r="P77" s="189">
        <v>-3334503.83</v>
      </c>
      <c r="Q77" s="189">
        <v>-3449689.57</v>
      </c>
      <c r="R77" s="189">
        <v>170642.6</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row>
    <row r="78" spans="1:84"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row>
    <row r="79" spans="1:84" x14ac:dyDescent="0.25">
      <c r="A79" s="189" t="s">
        <v>183</v>
      </c>
      <c r="B79" s="189">
        <v>332594722.29000002</v>
      </c>
      <c r="C79" s="189">
        <v>332594722.29000002</v>
      </c>
      <c r="D79" s="189">
        <v>332594722.29000002</v>
      </c>
      <c r="E79" s="189">
        <v>332594722.29000002</v>
      </c>
      <c r="F79" s="189">
        <v>332594722.29000002</v>
      </c>
      <c r="G79" s="189">
        <v>332594722.29000002</v>
      </c>
      <c r="H79" s="189">
        <v>332594722.29000002</v>
      </c>
      <c r="I79" s="189">
        <v>332594722.29000002</v>
      </c>
      <c r="J79" s="189">
        <v>332594722.29000002</v>
      </c>
      <c r="K79" s="189">
        <v>332594722.29000002</v>
      </c>
      <c r="L79" s="189">
        <v>332594722.29000002</v>
      </c>
      <c r="M79" s="189">
        <v>332594722.29000002</v>
      </c>
      <c r="N79" s="189">
        <v>332594722.29000002</v>
      </c>
      <c r="O79" s="189">
        <v>332594722.29000002</v>
      </c>
      <c r="P79" s="189">
        <v>332594722.29000002</v>
      </c>
      <c r="Q79" s="189">
        <v>332594722.29000002</v>
      </c>
      <c r="R79" s="189">
        <v>290958368.49000001</v>
      </c>
      <c r="S79" s="189">
        <v>290958368.49000001</v>
      </c>
      <c r="T79" s="189">
        <v>290958368.49000001</v>
      </c>
      <c r="U79" s="189">
        <v>290958368.49000001</v>
      </c>
      <c r="V79" s="189">
        <v>270617248.93000001</v>
      </c>
      <c r="W79" s="189">
        <v>270617248.93000001</v>
      </c>
      <c r="X79" s="189">
        <v>270617248.93000001</v>
      </c>
      <c r="Y79" s="189">
        <v>270617248.93000001</v>
      </c>
      <c r="Z79" s="189">
        <v>249433912.28</v>
      </c>
      <c r="AA79" s="189">
        <v>249433912.28</v>
      </c>
      <c r="AB79" s="189">
        <v>249433912.28</v>
      </c>
      <c r="AC79" s="189">
        <v>249433912.28</v>
      </c>
      <c r="AD79" s="189">
        <v>212889613.44</v>
      </c>
      <c r="AE79" s="189">
        <v>212889613.44</v>
      </c>
      <c r="AF79" s="189">
        <v>212889613.44</v>
      </c>
      <c r="AG79" s="189">
        <v>212889613.44</v>
      </c>
      <c r="AH79" s="189">
        <v>177769733.30000001</v>
      </c>
      <c r="AI79" s="189">
        <v>177769733.30000001</v>
      </c>
      <c r="AJ79" s="189">
        <v>177769733.30000001</v>
      </c>
      <c r="AK79" s="189">
        <v>177769733.30000001</v>
      </c>
      <c r="AL79" s="189">
        <v>150833803.30000001</v>
      </c>
      <c r="AM79" s="189">
        <v>150833803.30000001</v>
      </c>
      <c r="AN79" s="189">
        <v>153321373.03</v>
      </c>
      <c r="AO79" s="189">
        <v>153321373.03</v>
      </c>
      <c r="AP79" s="189">
        <v>149551763.24000001</v>
      </c>
      <c r="AQ79" s="189">
        <v>149551763.24000001</v>
      </c>
      <c r="AR79" s="189">
        <v>149551763.24000001</v>
      </c>
      <c r="AS79" s="189">
        <v>149551763.24000001</v>
      </c>
      <c r="AT79" s="189">
        <v>163467683.63999999</v>
      </c>
      <c r="AU79" s="189">
        <v>163467683.63999999</v>
      </c>
      <c r="AV79" s="189">
        <v>163467683.63999999</v>
      </c>
      <c r="AW79" s="189">
        <v>163467683.63999999</v>
      </c>
      <c r="AX79" s="189">
        <v>156574505.84999999</v>
      </c>
      <c r="AY79" s="189">
        <v>154086936.12</v>
      </c>
      <c r="AZ79" s="189">
        <v>154086936.12</v>
      </c>
      <c r="BA79" s="189">
        <v>154086936.12</v>
      </c>
      <c r="BB79" s="189">
        <v>147950127.22999999</v>
      </c>
      <c r="BC79" s="189">
        <v>147950127.22999999</v>
      </c>
      <c r="BD79" s="189">
        <v>147950127.22999999</v>
      </c>
      <c r="BE79" s="189">
        <v>147950127.22999999</v>
      </c>
      <c r="BF79" s="189">
        <v>145758946.69</v>
      </c>
      <c r="BG79" s="189">
        <v>145758946.69</v>
      </c>
      <c r="BH79" s="189">
        <v>515139474.22000003</v>
      </c>
      <c r="BI79" s="189">
        <v>515139474.22000003</v>
      </c>
      <c r="BJ79" s="189">
        <v>141432435.11000001</v>
      </c>
      <c r="BK79" s="189">
        <v>141432435.11000001</v>
      </c>
      <c r="BL79" s="189">
        <v>0</v>
      </c>
      <c r="BM79" s="189">
        <v>514616932.22000003</v>
      </c>
      <c r="BN79" s="189">
        <v>532995116.52999997</v>
      </c>
      <c r="BO79" s="189">
        <v>532995116.52999997</v>
      </c>
      <c r="BP79" s="189">
        <v>532995116.52999997</v>
      </c>
      <c r="BQ79" s="189">
        <v>509141743.60000002</v>
      </c>
      <c r="BR79" s="189">
        <v>523552327.32999998</v>
      </c>
      <c r="BS79" s="189">
        <v>521485306.50999999</v>
      </c>
      <c r="BT79" s="189">
        <v>449217251.44999999</v>
      </c>
      <c r="BU79" s="189">
        <v>441083881.37</v>
      </c>
      <c r="BV79" s="189">
        <v>378462836.27999997</v>
      </c>
      <c r="BW79" s="189">
        <v>376817081</v>
      </c>
      <c r="BX79" s="189">
        <v>281534785.00999999</v>
      </c>
      <c r="BY79" s="189">
        <v>281534785.00999999</v>
      </c>
      <c r="BZ79" s="189">
        <v>163247580</v>
      </c>
      <c r="CA79" s="189">
        <v>163247576.69999999</v>
      </c>
      <c r="CB79" s="189">
        <v>109984000</v>
      </c>
      <c r="CC79" s="189">
        <v>0</v>
      </c>
      <c r="CD79" s="189">
        <v>0</v>
      </c>
      <c r="CE79" s="189">
        <v>0</v>
      </c>
      <c r="CF79" s="189">
        <v>0</v>
      </c>
    </row>
    <row r="80" spans="1:84"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row>
    <row r="81" spans="1:84" x14ac:dyDescent="0.25">
      <c r="A81" s="189" t="s">
        <v>185</v>
      </c>
      <c r="B81" s="189">
        <v>5503143609.8000002</v>
      </c>
      <c r="C81" s="189">
        <v>5058123683.4499998</v>
      </c>
      <c r="D81" s="189">
        <v>5299586641.8900003</v>
      </c>
      <c r="E81" s="189">
        <v>4788564401.0299997</v>
      </c>
      <c r="F81" s="189">
        <v>4425171705.1800003</v>
      </c>
      <c r="G81" s="189">
        <v>4013692398.3000002</v>
      </c>
      <c r="H81" s="189">
        <v>4153721163.6100001</v>
      </c>
      <c r="I81" s="189">
        <v>3756517718.8099999</v>
      </c>
      <c r="J81" s="189">
        <v>3494585358.4000001</v>
      </c>
      <c r="K81" s="189">
        <v>3162289358.54</v>
      </c>
      <c r="L81" s="189">
        <v>3278007665.8099999</v>
      </c>
      <c r="M81" s="189">
        <v>2960955454.3600001</v>
      </c>
      <c r="N81" s="189">
        <v>2727525840.6799998</v>
      </c>
      <c r="O81" s="189">
        <v>2472467754.3299999</v>
      </c>
      <c r="P81" s="189">
        <v>2568707448.3000002</v>
      </c>
      <c r="Q81" s="189">
        <v>2326392979.5799999</v>
      </c>
      <c r="R81" s="189">
        <v>2184035116.96</v>
      </c>
      <c r="S81" s="189">
        <v>1986192134.05</v>
      </c>
      <c r="T81" s="189">
        <v>2030354388.97</v>
      </c>
      <c r="U81" s="189">
        <v>1859579931.0999999</v>
      </c>
      <c r="V81" s="189">
        <v>1790376824.46</v>
      </c>
      <c r="W81" s="189">
        <v>1687532438.05</v>
      </c>
      <c r="X81" s="189">
        <v>1767321006.71</v>
      </c>
      <c r="Y81" s="189">
        <v>1656317300.3199999</v>
      </c>
      <c r="Z81" s="189">
        <v>1650676375.0699999</v>
      </c>
      <c r="AA81" s="189">
        <v>1555341091.53</v>
      </c>
      <c r="AB81" s="189">
        <v>1584191557.5599999</v>
      </c>
      <c r="AC81" s="189">
        <v>1465610508.78</v>
      </c>
      <c r="AD81" s="189">
        <v>1471108399.05</v>
      </c>
      <c r="AE81" s="189">
        <v>1329165326.5899999</v>
      </c>
      <c r="AF81" s="189">
        <v>1247509100.2</v>
      </c>
      <c r="AG81" s="189">
        <v>1112075620.21</v>
      </c>
      <c r="AH81" s="189">
        <v>883299928.85000002</v>
      </c>
      <c r="AI81" s="189">
        <v>790317331</v>
      </c>
      <c r="AJ81" s="189">
        <v>700214091.62</v>
      </c>
      <c r="AK81" s="189">
        <v>621953000.05999994</v>
      </c>
      <c r="AL81" s="189">
        <v>562558256.37</v>
      </c>
      <c r="AM81" s="189">
        <v>494096682.13999999</v>
      </c>
      <c r="AN81" s="189">
        <v>470344140.12</v>
      </c>
      <c r="AO81" s="189">
        <v>426704375.02999997</v>
      </c>
      <c r="AP81" s="189">
        <v>503988154.22000003</v>
      </c>
      <c r="AQ81" s="189">
        <v>457173236.12</v>
      </c>
      <c r="AR81" s="189">
        <v>423619252.69999999</v>
      </c>
      <c r="AS81" s="189">
        <v>390435672.81</v>
      </c>
      <c r="AT81" s="189">
        <v>125612262.03</v>
      </c>
      <c r="AU81" s="189">
        <v>-23294669.48</v>
      </c>
      <c r="AV81" s="189">
        <v>-16127846.33</v>
      </c>
      <c r="AW81" s="189">
        <v>-5189808.24</v>
      </c>
      <c r="AX81" s="189">
        <v>-3136395.02</v>
      </c>
      <c r="AY81" s="189">
        <v>-11132642.84</v>
      </c>
      <c r="AZ81" s="189">
        <v>-23660386.239999998</v>
      </c>
      <c r="BA81" s="189">
        <v>-36022813.759999998</v>
      </c>
      <c r="BB81" s="189">
        <v>-46439845.210000001</v>
      </c>
      <c r="BC81" s="189">
        <v>-50019917.770000003</v>
      </c>
      <c r="BD81" s="189">
        <v>-165466906.83000001</v>
      </c>
      <c r="BE81" s="189">
        <v>-177453616.21000001</v>
      </c>
      <c r="BF81" s="189">
        <v>-182793994.56</v>
      </c>
      <c r="BG81" s="189">
        <v>-184750856.63999999</v>
      </c>
      <c r="BH81" s="189">
        <v>-870796687.08000004</v>
      </c>
      <c r="BI81" s="189">
        <v>-880745041.97000003</v>
      </c>
      <c r="BJ81" s="189">
        <v>81819.11</v>
      </c>
      <c r="BK81" s="189">
        <v>-13827626.960000001</v>
      </c>
      <c r="BL81" s="189">
        <v>0</v>
      </c>
      <c r="BM81" s="189">
        <v>-844702753.35000002</v>
      </c>
      <c r="BN81" s="189">
        <v>23308984.289999999</v>
      </c>
      <c r="BO81" s="189">
        <v>16419357.449999999</v>
      </c>
      <c r="BP81" s="189">
        <v>14625494.76</v>
      </c>
      <c r="BQ81" s="189">
        <v>-96131665.379999995</v>
      </c>
      <c r="BR81" s="189">
        <v>90055038.739999995</v>
      </c>
      <c r="BS81" s="189">
        <v>-7638774.2199999997</v>
      </c>
      <c r="BT81" s="189">
        <v>111880296.84999999</v>
      </c>
      <c r="BU81" s="189">
        <v>5559599.3700000001</v>
      </c>
      <c r="BV81" s="189">
        <v>130516314.52</v>
      </c>
      <c r="BW81" s="189">
        <v>1192309.3700000001</v>
      </c>
      <c r="BX81" s="189">
        <v>139112375.13999999</v>
      </c>
      <c r="BY81" s="189">
        <v>8664960.5399999991</v>
      </c>
      <c r="BZ81" s="189">
        <v>113810140</v>
      </c>
      <c r="CA81" s="189">
        <v>1005645.92</v>
      </c>
      <c r="CB81" s="189">
        <v>97456000</v>
      </c>
      <c r="CC81" s="189">
        <v>0</v>
      </c>
      <c r="CD81" s="189">
        <v>0</v>
      </c>
      <c r="CE81" s="189">
        <v>0</v>
      </c>
      <c r="CF81" s="189">
        <v>0</v>
      </c>
    </row>
    <row r="82" spans="1:84" x14ac:dyDescent="0.25">
      <c r="A82" s="189" t="s">
        <v>186</v>
      </c>
      <c r="B82" s="189">
        <v>7788272297.0200005</v>
      </c>
      <c r="C82" s="189">
        <v>7348544506.8699999</v>
      </c>
      <c r="D82" s="189">
        <v>7579336795.3199997</v>
      </c>
      <c r="E82" s="189">
        <v>7047090800.9700003</v>
      </c>
      <c r="F82" s="189">
        <v>6672700988.2200003</v>
      </c>
      <c r="G82" s="189">
        <v>6237082827.1700001</v>
      </c>
      <c r="H82" s="189">
        <v>6366107331.3599997</v>
      </c>
      <c r="I82" s="189">
        <v>5983847862.7200003</v>
      </c>
      <c r="J82" s="189">
        <v>5718554534.4200001</v>
      </c>
      <c r="K82" s="189">
        <v>5372739501.5299997</v>
      </c>
      <c r="L82" s="189">
        <v>5460647864.7700005</v>
      </c>
      <c r="M82" s="189">
        <v>5124866173.1400003</v>
      </c>
      <c r="N82" s="189">
        <v>4846345765.0100002</v>
      </c>
      <c r="O82" s="189">
        <v>4580881426.2799997</v>
      </c>
      <c r="P82" s="189">
        <v>4672579250.04</v>
      </c>
      <c r="Q82" s="189">
        <v>4427982112.3299999</v>
      </c>
      <c r="R82" s="189">
        <v>4243024026.2199998</v>
      </c>
      <c r="S82" s="189">
        <v>4041109118.3299999</v>
      </c>
      <c r="T82" s="189">
        <v>4079910391.0900002</v>
      </c>
      <c r="U82" s="189">
        <v>3908897654.7399998</v>
      </c>
      <c r="V82" s="189">
        <v>3819597488.6300001</v>
      </c>
      <c r="W82" s="189">
        <v>3716855941.9400001</v>
      </c>
      <c r="X82" s="189">
        <v>3797183537.0900002</v>
      </c>
      <c r="Y82" s="189">
        <v>3686210495.8699999</v>
      </c>
      <c r="Z82" s="189">
        <v>3626318818.1100001</v>
      </c>
      <c r="AA82" s="189">
        <v>3530947207.7399998</v>
      </c>
      <c r="AB82" s="189">
        <v>3559675048.0999999</v>
      </c>
      <c r="AC82" s="189">
        <v>3441144937.4499998</v>
      </c>
      <c r="AD82" s="189">
        <v>3414130762.1799998</v>
      </c>
      <c r="AE82" s="189">
        <v>3272824293.6500001</v>
      </c>
      <c r="AF82" s="189">
        <v>3191615431.2600002</v>
      </c>
      <c r="AG82" s="189">
        <v>3056480975.7600002</v>
      </c>
      <c r="AH82" s="189">
        <v>2118607841.1099999</v>
      </c>
      <c r="AI82" s="189">
        <v>2026162967.27</v>
      </c>
      <c r="AJ82" s="189">
        <v>1933268337.26</v>
      </c>
      <c r="AK82" s="189">
        <v>1854911284.0999999</v>
      </c>
      <c r="AL82" s="189">
        <v>1773868516.6099999</v>
      </c>
      <c r="AM82" s="189">
        <v>1714157772.28</v>
      </c>
      <c r="AN82" s="189">
        <v>1652278937.1700001</v>
      </c>
      <c r="AO82" s="189">
        <v>1606316559.1199999</v>
      </c>
      <c r="AP82" s="189">
        <v>1682760882.3599999</v>
      </c>
      <c r="AQ82" s="189">
        <v>1637718331.72</v>
      </c>
      <c r="AR82" s="189">
        <v>1608118919.01</v>
      </c>
      <c r="AS82" s="189">
        <v>1582912495.74</v>
      </c>
      <c r="AT82" s="189">
        <v>1360810159.01</v>
      </c>
      <c r="AU82" s="189">
        <v>1210204595.3599999</v>
      </c>
      <c r="AV82" s="189">
        <v>1217371418.51</v>
      </c>
      <c r="AW82" s="189">
        <v>1187069743.97</v>
      </c>
      <c r="AX82" s="189">
        <v>1199448304.6400001</v>
      </c>
      <c r="AY82" s="189">
        <v>1190406613.5899999</v>
      </c>
      <c r="AZ82" s="189">
        <v>1179597192.22</v>
      </c>
      <c r="BA82" s="189">
        <v>1168622884.2</v>
      </c>
      <c r="BB82" s="189">
        <v>1159936304.97</v>
      </c>
      <c r="BC82" s="189">
        <v>1158585900.03</v>
      </c>
      <c r="BD82" s="189">
        <v>1152998034.3699999</v>
      </c>
      <c r="BE82" s="189">
        <v>1141820628.3599999</v>
      </c>
      <c r="BF82" s="189">
        <v>1136218393.71</v>
      </c>
      <c r="BG82" s="189">
        <v>1134261531.6300001</v>
      </c>
      <c r="BH82" s="189">
        <v>1112287416.8800001</v>
      </c>
      <c r="BI82" s="189">
        <v>1106830465.4200001</v>
      </c>
      <c r="BJ82" s="189">
        <v>1126085172.97</v>
      </c>
      <c r="BK82" s="189">
        <v>1110480878.21</v>
      </c>
      <c r="BL82" s="189">
        <v>1232986711.73</v>
      </c>
      <c r="BM82" s="189">
        <v>1088684900.8699999</v>
      </c>
      <c r="BN82" s="189">
        <v>2002189786.72</v>
      </c>
      <c r="BO82" s="189">
        <v>2003629182.0799999</v>
      </c>
      <c r="BP82" s="189">
        <v>2008131495.1099999</v>
      </c>
      <c r="BQ82" s="189">
        <v>1885176795.4000001</v>
      </c>
      <c r="BR82" s="189">
        <v>2084143143.1700001</v>
      </c>
      <c r="BS82" s="189">
        <v>1984382309.3900001</v>
      </c>
      <c r="BT82" s="189">
        <v>2030772023.45</v>
      </c>
      <c r="BU82" s="189">
        <v>1916317955.8900001</v>
      </c>
      <c r="BV82" s="189">
        <v>1978580024.24</v>
      </c>
      <c r="BW82" s="189">
        <v>1847610264</v>
      </c>
      <c r="BX82" s="189">
        <v>1900095026.55</v>
      </c>
      <c r="BY82" s="189">
        <v>1748382626.23</v>
      </c>
      <c r="BZ82" s="189">
        <v>1730822380</v>
      </c>
      <c r="CA82" s="189">
        <v>897055696.82000005</v>
      </c>
      <c r="CB82" s="189">
        <v>632687000</v>
      </c>
      <c r="CC82" s="189">
        <v>535868324.89999998</v>
      </c>
      <c r="CD82" s="189">
        <v>302480905.87</v>
      </c>
      <c r="CE82" s="189">
        <v>222188111.08000001</v>
      </c>
      <c r="CF82" s="189">
        <v>0</v>
      </c>
    </row>
    <row r="83" spans="1:84" x14ac:dyDescent="0.25">
      <c r="A83" s="189" t="s">
        <v>187</v>
      </c>
      <c r="B83" s="189">
        <v>1322469966.6600001</v>
      </c>
      <c r="C83" s="189">
        <v>1273979059.6199999</v>
      </c>
      <c r="D83" s="189">
        <v>1230688222.8499999</v>
      </c>
      <c r="E83" s="189">
        <v>1171207212.0699999</v>
      </c>
      <c r="F83" s="189">
        <v>1138039147.45</v>
      </c>
      <c r="G83" s="189">
        <v>1072367724.29</v>
      </c>
      <c r="H83" s="189">
        <v>1010248960.58</v>
      </c>
      <c r="I83" s="189">
        <v>975247204.67999995</v>
      </c>
      <c r="J83" s="189">
        <v>1021023768.38</v>
      </c>
      <c r="K83" s="189">
        <v>951034321.36000001</v>
      </c>
      <c r="L83" s="189">
        <v>908487848.44000006</v>
      </c>
      <c r="M83" s="189">
        <v>862860913.96000004</v>
      </c>
      <c r="N83" s="189">
        <v>830655065.03999996</v>
      </c>
      <c r="O83" s="189">
        <v>784993116.47000003</v>
      </c>
      <c r="P83" s="189">
        <v>751730763.94000006</v>
      </c>
      <c r="Q83" s="189">
        <v>716713982.38</v>
      </c>
      <c r="R83" s="189">
        <v>694307977.62</v>
      </c>
      <c r="S83" s="189">
        <v>659873612.24000001</v>
      </c>
      <c r="T83" s="189">
        <v>642350612.77999997</v>
      </c>
      <c r="U83" s="189">
        <v>625431730.91999996</v>
      </c>
      <c r="V83" s="189">
        <v>605018334.58000004</v>
      </c>
      <c r="W83" s="189">
        <v>579291577.54999995</v>
      </c>
      <c r="X83" s="189">
        <v>573532802.03999996</v>
      </c>
      <c r="Y83" s="189">
        <v>564332580.25999999</v>
      </c>
      <c r="Z83" s="189">
        <v>536845075.76999998</v>
      </c>
      <c r="AA83" s="189">
        <v>541798150.59000003</v>
      </c>
      <c r="AB83" s="189">
        <v>534852352.52999997</v>
      </c>
      <c r="AC83" s="189">
        <v>523884093.79000002</v>
      </c>
      <c r="AD83" s="189">
        <v>515324837.32999998</v>
      </c>
      <c r="AE83" s="189">
        <v>491613615.89999998</v>
      </c>
      <c r="AF83" s="189">
        <v>467345086.17000002</v>
      </c>
      <c r="AG83" s="189">
        <v>454361306.04000002</v>
      </c>
      <c r="AH83" s="189">
        <v>68345111.739999995</v>
      </c>
      <c r="AI83" s="189">
        <v>58635487.700000003</v>
      </c>
      <c r="AJ83" s="189">
        <v>66249358.5</v>
      </c>
      <c r="AK83" s="189">
        <v>59794499.93</v>
      </c>
      <c r="AL83" s="189">
        <v>59817735.539999999</v>
      </c>
      <c r="AM83" s="189">
        <v>55596796.759999998</v>
      </c>
      <c r="AN83" s="189">
        <v>81177690.319999993</v>
      </c>
      <c r="AO83" s="189">
        <v>89480681.829999998</v>
      </c>
      <c r="AP83" s="189">
        <v>139012921.40000001</v>
      </c>
      <c r="AQ83" s="189">
        <v>139639854.94</v>
      </c>
      <c r="AR83" s="189">
        <v>138063508.15000001</v>
      </c>
      <c r="AS83" s="189">
        <v>135577931.31</v>
      </c>
      <c r="AT83" s="189">
        <v>134906452.15000001</v>
      </c>
      <c r="AU83" s="189">
        <v>131666770.02</v>
      </c>
      <c r="AV83" s="189">
        <v>134683288.46000001</v>
      </c>
      <c r="AW83" s="189">
        <v>127376477.23999999</v>
      </c>
      <c r="AX83" s="189">
        <v>136995055.83000001</v>
      </c>
      <c r="AY83" s="189">
        <v>92958151.640000001</v>
      </c>
      <c r="AZ83" s="189">
        <v>90150261.340000004</v>
      </c>
      <c r="BA83" s="189">
        <v>89310345.280000001</v>
      </c>
      <c r="BB83" s="189">
        <v>87363200.420000002</v>
      </c>
      <c r="BC83" s="189">
        <v>87924480.439999998</v>
      </c>
      <c r="BD83" s="189">
        <v>77973619.890000001</v>
      </c>
      <c r="BE83" s="189">
        <v>76726691.769999996</v>
      </c>
      <c r="BF83" s="189">
        <v>85084902.959999993</v>
      </c>
      <c r="BG83" s="189">
        <v>81382208.409999996</v>
      </c>
      <c r="BH83" s="189">
        <v>78452427.180000007</v>
      </c>
      <c r="BI83" s="189">
        <v>80133463.430000007</v>
      </c>
      <c r="BJ83" s="189">
        <v>-113630320.72</v>
      </c>
      <c r="BK83" s="189">
        <v>-118041459.51000001</v>
      </c>
      <c r="BL83" s="189">
        <v>0</v>
      </c>
      <c r="BM83" s="189">
        <v>49129344.689999998</v>
      </c>
      <c r="BN83" s="189">
        <v>97630625.879999995</v>
      </c>
      <c r="BO83" s="189">
        <v>98846995.099999994</v>
      </c>
      <c r="BP83" s="189">
        <v>95559224.959999993</v>
      </c>
      <c r="BQ83" s="189">
        <v>82755680.549999997</v>
      </c>
      <c r="BR83" s="189">
        <v>93315369.640000001</v>
      </c>
      <c r="BS83" s="189">
        <v>90032682.209999993</v>
      </c>
      <c r="BT83" s="189">
        <v>107370067.22</v>
      </c>
      <c r="BU83" s="189">
        <v>105294470.2</v>
      </c>
      <c r="BV83" s="189">
        <v>82251355.680000007</v>
      </c>
      <c r="BW83" s="189">
        <v>56129392.289999999</v>
      </c>
      <c r="BX83" s="189">
        <v>23381530.399999999</v>
      </c>
      <c r="BY83" s="189">
        <v>9921301</v>
      </c>
      <c r="BZ83" s="189">
        <v>10824070</v>
      </c>
      <c r="CA83" s="189">
        <v>8979658.0500000007</v>
      </c>
      <c r="CB83" s="189">
        <v>6066000</v>
      </c>
      <c r="CC83" s="189">
        <v>0</v>
      </c>
      <c r="CD83" s="189">
        <v>0</v>
      </c>
      <c r="CE83" s="189">
        <v>0</v>
      </c>
      <c r="CF83" s="189">
        <v>0</v>
      </c>
    </row>
    <row r="84" spans="1:84" x14ac:dyDescent="0.25">
      <c r="A84" s="189" t="s">
        <v>188</v>
      </c>
      <c r="B84" s="189">
        <v>9110742263.6800003</v>
      </c>
      <c r="C84" s="189">
        <v>8622523566.4899998</v>
      </c>
      <c r="D84" s="189">
        <v>8810025018.1700001</v>
      </c>
      <c r="E84" s="189">
        <v>8218298013.04</v>
      </c>
      <c r="F84" s="189">
        <v>7810740135.6700001</v>
      </c>
      <c r="G84" s="189">
        <v>7309450551.46</v>
      </c>
      <c r="H84" s="189">
        <v>7376356291.9399996</v>
      </c>
      <c r="I84" s="189">
        <v>6959095067.3999996</v>
      </c>
      <c r="J84" s="189">
        <v>6739578302.8000002</v>
      </c>
      <c r="K84" s="189">
        <v>6323773822.8900003</v>
      </c>
      <c r="L84" s="189">
        <v>6369135713.21</v>
      </c>
      <c r="M84" s="189">
        <v>5987727087.1000004</v>
      </c>
      <c r="N84" s="189">
        <v>5677000830.0500002</v>
      </c>
      <c r="O84" s="189">
        <v>5365874542.75</v>
      </c>
      <c r="P84" s="189">
        <v>5424310013.9799995</v>
      </c>
      <c r="Q84" s="189">
        <v>5144696094.71</v>
      </c>
      <c r="R84" s="189">
        <v>4937332003.8400002</v>
      </c>
      <c r="S84" s="189">
        <v>4700982730.5699997</v>
      </c>
      <c r="T84" s="189">
        <v>4722261003.8699999</v>
      </c>
      <c r="U84" s="189">
        <v>4534329385.6599998</v>
      </c>
      <c r="V84" s="189">
        <v>4424615823.21</v>
      </c>
      <c r="W84" s="189">
        <v>4296147519.4899998</v>
      </c>
      <c r="X84" s="189">
        <v>4370716339.1300001</v>
      </c>
      <c r="Y84" s="189">
        <v>4250543076.1300001</v>
      </c>
      <c r="Z84" s="189">
        <v>4163163893.8800001</v>
      </c>
      <c r="AA84" s="189">
        <v>4072745358.3299999</v>
      </c>
      <c r="AB84" s="189">
        <v>4094527400.6300001</v>
      </c>
      <c r="AC84" s="189">
        <v>3965029031.2399998</v>
      </c>
      <c r="AD84" s="189">
        <v>3929455599.5100002</v>
      </c>
      <c r="AE84" s="189">
        <v>3764437909.5500002</v>
      </c>
      <c r="AF84" s="189">
        <v>3658960517.4299998</v>
      </c>
      <c r="AG84" s="189">
        <v>3510842281.8000002</v>
      </c>
      <c r="AH84" s="189">
        <v>2186952952.8499999</v>
      </c>
      <c r="AI84" s="189">
        <v>2084798454.97</v>
      </c>
      <c r="AJ84" s="189">
        <v>1999517695.76</v>
      </c>
      <c r="AK84" s="189">
        <v>1914705784.03</v>
      </c>
      <c r="AL84" s="189">
        <v>1833686252.1500001</v>
      </c>
      <c r="AM84" s="189">
        <v>1769754569.04</v>
      </c>
      <c r="AN84" s="189">
        <v>1733456627.49</v>
      </c>
      <c r="AO84" s="189">
        <v>1695797240.95</v>
      </c>
      <c r="AP84" s="189">
        <v>1821773803.76</v>
      </c>
      <c r="AQ84" s="189">
        <v>1777358186.6600001</v>
      </c>
      <c r="AR84" s="189">
        <v>1746182427.1600001</v>
      </c>
      <c r="AS84" s="189">
        <v>1718490427.05</v>
      </c>
      <c r="AT84" s="189">
        <v>1495716611.1600001</v>
      </c>
      <c r="AU84" s="189">
        <v>1341871365.3800001</v>
      </c>
      <c r="AV84" s="189">
        <v>1352054706.97</v>
      </c>
      <c r="AW84" s="189">
        <v>1314446221.21</v>
      </c>
      <c r="AX84" s="189">
        <v>1336443360.47</v>
      </c>
      <c r="AY84" s="189">
        <v>1283364765.23</v>
      </c>
      <c r="AZ84" s="189">
        <v>1269747453.5599999</v>
      </c>
      <c r="BA84" s="189">
        <v>1257933229.48</v>
      </c>
      <c r="BB84" s="189">
        <v>1247299505.3900001</v>
      </c>
      <c r="BC84" s="189">
        <v>1246510380.47</v>
      </c>
      <c r="BD84" s="189">
        <v>1230971654.26</v>
      </c>
      <c r="BE84" s="189">
        <v>1218547320.1300001</v>
      </c>
      <c r="BF84" s="189">
        <v>1221303296.6700001</v>
      </c>
      <c r="BG84" s="189">
        <v>1215643740.04</v>
      </c>
      <c r="BH84" s="189">
        <v>1190739844.0599999</v>
      </c>
      <c r="BI84" s="189">
        <v>1186963928.8499999</v>
      </c>
      <c r="BJ84" s="189">
        <v>1012454852.25</v>
      </c>
      <c r="BK84" s="189">
        <v>992439418.70000005</v>
      </c>
      <c r="BL84" s="189">
        <v>0</v>
      </c>
      <c r="BM84" s="189">
        <v>1137814245.5599999</v>
      </c>
      <c r="BN84" s="189">
        <v>2099820412.5999999</v>
      </c>
      <c r="BO84" s="189">
        <v>2102476177.1800001</v>
      </c>
      <c r="BP84" s="189">
        <v>2103690720.0699999</v>
      </c>
      <c r="BQ84" s="189">
        <v>1967932475.95</v>
      </c>
      <c r="BR84" s="189">
        <v>2177458512.8099999</v>
      </c>
      <c r="BS84" s="189">
        <v>2074414991.5999999</v>
      </c>
      <c r="BT84" s="189">
        <v>2138142090.6700001</v>
      </c>
      <c r="BU84" s="189">
        <v>2021612426.0899999</v>
      </c>
      <c r="BV84" s="189">
        <v>2060831379.9200001</v>
      </c>
      <c r="BW84" s="189">
        <v>1903739656.29</v>
      </c>
      <c r="BX84" s="189">
        <v>1923476556.95</v>
      </c>
      <c r="BY84" s="189">
        <v>1758303927.23</v>
      </c>
      <c r="BZ84" s="189">
        <v>1741646450</v>
      </c>
      <c r="CA84" s="189">
        <v>906035354.87</v>
      </c>
      <c r="CB84" s="189">
        <v>638753000</v>
      </c>
      <c r="CC84" s="189">
        <v>0</v>
      </c>
      <c r="CD84" s="189">
        <v>0</v>
      </c>
      <c r="CE84" s="189">
        <v>0</v>
      </c>
      <c r="CF84" s="189">
        <v>0</v>
      </c>
    </row>
    <row r="85" spans="1:84" x14ac:dyDescent="0.25">
      <c r="A85" s="189" t="s">
        <v>189</v>
      </c>
      <c r="B85" s="189">
        <v>19562400332.389999</v>
      </c>
      <c r="C85" s="189">
        <v>19549526067.990002</v>
      </c>
      <c r="D85" s="189">
        <v>20206161602.799999</v>
      </c>
      <c r="E85" s="189">
        <v>21338421243.669998</v>
      </c>
      <c r="F85" s="189">
        <v>18586002157.240002</v>
      </c>
      <c r="G85" s="189">
        <v>18655287176.82</v>
      </c>
      <c r="H85" s="189">
        <v>18402498665.09</v>
      </c>
      <c r="I85" s="189">
        <v>18885986837.639999</v>
      </c>
      <c r="J85" s="189">
        <v>16629381295.68</v>
      </c>
      <c r="K85" s="189">
        <v>15482781637.01</v>
      </c>
      <c r="L85" s="189">
        <v>14927470103.940001</v>
      </c>
      <c r="M85" s="189">
        <v>14327655366.6</v>
      </c>
      <c r="N85" s="189">
        <v>12585033082.49</v>
      </c>
      <c r="O85" s="189">
        <v>11230158118.77</v>
      </c>
      <c r="P85" s="189">
        <v>11622314983.41</v>
      </c>
      <c r="Q85" s="189">
        <v>11376793928.709999</v>
      </c>
      <c r="R85" s="189">
        <v>10575549706.77</v>
      </c>
      <c r="S85" s="189">
        <v>9686393875.1000004</v>
      </c>
      <c r="T85" s="189">
        <v>9185771871.6399994</v>
      </c>
      <c r="U85" s="189">
        <v>9222527380.7399998</v>
      </c>
      <c r="V85" s="189">
        <v>8714933876.0400009</v>
      </c>
      <c r="W85" s="189">
        <v>8131964906.4799995</v>
      </c>
      <c r="X85" s="189">
        <v>8656718506.3400002</v>
      </c>
      <c r="Y85" s="189">
        <v>8403705443.29</v>
      </c>
      <c r="Z85" s="189">
        <v>8431600651.8699999</v>
      </c>
      <c r="AA85" s="189">
        <v>7826153706.1000004</v>
      </c>
      <c r="AB85" s="189">
        <v>7724987853.7600002</v>
      </c>
      <c r="AC85" s="189">
        <v>9145185476.9400005</v>
      </c>
      <c r="AD85" s="189">
        <v>10835450712.379999</v>
      </c>
      <c r="AE85" s="189">
        <v>10185044344.709999</v>
      </c>
      <c r="AF85" s="189">
        <v>9091106726.8099995</v>
      </c>
      <c r="AG85" s="189">
        <v>8001576321.3199997</v>
      </c>
      <c r="AH85" s="189">
        <v>6361184081.7600002</v>
      </c>
      <c r="AI85" s="189">
        <v>5620319448.0500002</v>
      </c>
      <c r="AJ85" s="189">
        <v>4533423236.4499998</v>
      </c>
      <c r="AK85" s="189">
        <v>3878629773.9200001</v>
      </c>
      <c r="AL85" s="189">
        <v>3470314689.5900002</v>
      </c>
      <c r="AM85" s="189">
        <v>3113654546.3699999</v>
      </c>
      <c r="AN85" s="189">
        <v>3372221320.0599999</v>
      </c>
      <c r="AO85" s="189">
        <v>3339288243.96</v>
      </c>
      <c r="AP85" s="189">
        <v>3714518887.4099998</v>
      </c>
      <c r="AQ85" s="189">
        <v>3907564044.71</v>
      </c>
      <c r="AR85" s="189">
        <v>3686813277.8200002</v>
      </c>
      <c r="AS85" s="189">
        <v>3784516173.23</v>
      </c>
      <c r="AT85" s="189">
        <v>3792734695.0999999</v>
      </c>
      <c r="AU85" s="189">
        <v>3520686052.5700002</v>
      </c>
      <c r="AV85" s="189">
        <v>3675275394.6399999</v>
      </c>
      <c r="AW85" s="189">
        <v>3617546009.0599999</v>
      </c>
      <c r="AX85" s="189">
        <v>4004902504.5</v>
      </c>
      <c r="AY85" s="189">
        <v>3655577745.4499998</v>
      </c>
      <c r="AZ85" s="189">
        <v>3499291160.8499999</v>
      </c>
      <c r="BA85" s="189">
        <v>3439301209.52</v>
      </c>
      <c r="BB85" s="189">
        <v>3242034511.9400001</v>
      </c>
      <c r="BC85" s="189">
        <v>2943234100.6300001</v>
      </c>
      <c r="BD85" s="189">
        <v>3093364419.3299999</v>
      </c>
      <c r="BE85" s="189">
        <v>3117214816.8800001</v>
      </c>
      <c r="BF85" s="189">
        <v>2822184630.04</v>
      </c>
      <c r="BG85" s="189">
        <v>3037912980.4400001</v>
      </c>
      <c r="BH85" s="189">
        <v>3065981523.52</v>
      </c>
      <c r="BI85" s="189">
        <v>3079063440.4899998</v>
      </c>
      <c r="BJ85" s="189">
        <v>2954994911.02</v>
      </c>
      <c r="BK85" s="189">
        <v>2938881337.1599998</v>
      </c>
      <c r="BL85" s="189">
        <v>3149814016.3600001</v>
      </c>
      <c r="BM85" s="189">
        <v>3175780748.5300002</v>
      </c>
      <c r="BN85" s="189">
        <v>3647446290.0799999</v>
      </c>
      <c r="BO85" s="189">
        <v>3768857742.7600002</v>
      </c>
      <c r="BP85" s="189">
        <v>3664527525.0300002</v>
      </c>
      <c r="BQ85" s="189">
        <v>3114942374.52</v>
      </c>
      <c r="BR85" s="189">
        <v>3386238753.8699999</v>
      </c>
      <c r="BS85" s="189">
        <v>3391838086.6700001</v>
      </c>
      <c r="BT85" s="189">
        <v>3485050565.1599998</v>
      </c>
      <c r="BU85" s="189">
        <v>3184002508.3400002</v>
      </c>
      <c r="BV85" s="189">
        <v>3124812937.2199998</v>
      </c>
      <c r="BW85" s="189">
        <v>2809954907</v>
      </c>
      <c r="BX85" s="189">
        <v>2761424778.0500002</v>
      </c>
      <c r="BY85" s="189">
        <v>2529218748.4299998</v>
      </c>
      <c r="BZ85" s="189">
        <v>2335731690</v>
      </c>
      <c r="CA85" s="189">
        <v>1439634990.8</v>
      </c>
      <c r="CB85" s="189">
        <v>1074902000</v>
      </c>
      <c r="CC85" s="189">
        <v>978591175.80999994</v>
      </c>
      <c r="CD85" s="189">
        <v>589783597.58000004</v>
      </c>
      <c r="CE85" s="189">
        <v>443037417.06999999</v>
      </c>
      <c r="CF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89" bestFit="1" customWidth="1"/>
    <col min="2" max="2" width="13.88671875" style="189" hidden="1" customWidth="1"/>
    <col min="3" max="3" width="12.77734375" style="189" hidden="1" customWidth="1"/>
    <col min="4"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3.88671875" style="189" hidden="1" customWidth="1"/>
    <col min="29" max="29" width="12.77734375" style="189" bestFit="1" customWidth="1"/>
    <col min="30" max="32" width="12.77734375" style="189" hidden="1" customWidth="1"/>
    <col min="33" max="33" width="13.88671875" style="189" bestFit="1" customWidth="1"/>
    <col min="34" max="35" width="12.77734375" style="189" hidden="1" customWidth="1"/>
    <col min="36" max="36" width="13.88671875" style="189" hidden="1" customWidth="1"/>
    <col min="37" max="37" width="12.77734375" style="189" bestFit="1" customWidth="1"/>
    <col min="38" max="38" width="12.77734375" style="189" hidden="1" customWidth="1"/>
    <col min="39" max="39" width="13.88671875" style="189" hidden="1" customWidth="1"/>
    <col min="40" max="40" width="12.77734375" style="189" hidden="1" customWidth="1"/>
    <col min="41" max="41" width="13.886718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3.88671875" style="189" bestFit="1" customWidth="1"/>
    <col min="66" max="66" width="12.77734375" style="189" hidden="1" customWidth="1"/>
    <col min="67"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3.88671875" style="189" hidden="1" customWidth="1"/>
    <col min="77" max="77" width="12.77734375" style="189" bestFit="1" customWidth="1"/>
    <col min="78" max="78" width="10.5546875" style="189" hidden="1" customWidth="1"/>
    <col min="79" max="79" width="13.88671875" style="189" bestFit="1" customWidth="1"/>
    <col min="80" max="80" width="10.554687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190</v>
      </c>
      <c r="B3" s="189">
        <v>17416858672.220001</v>
      </c>
      <c r="C3" s="189">
        <v>12056938286.049999</v>
      </c>
      <c r="D3" s="189">
        <v>6811940933.6800003</v>
      </c>
      <c r="E3" s="189">
        <v>21384699076.650002</v>
      </c>
      <c r="F3" s="189">
        <v>15977114535.049999</v>
      </c>
      <c r="G3" s="189">
        <v>10568060854.209999</v>
      </c>
      <c r="H3" s="189">
        <v>5690391543.4200001</v>
      </c>
      <c r="I3" s="189">
        <v>16334914501.690001</v>
      </c>
      <c r="J3" s="189">
        <v>12055635914.24</v>
      </c>
      <c r="K3" s="189">
        <v>7984787194.9200001</v>
      </c>
      <c r="L3" s="189">
        <v>4239779074.6999998</v>
      </c>
      <c r="M3" s="189">
        <v>13131626932.440001</v>
      </c>
      <c r="N3" s="189">
        <v>9611975965.1399994</v>
      </c>
      <c r="O3" s="189">
        <v>6101903864.6000004</v>
      </c>
      <c r="P3" s="189">
        <v>3293972545.0799999</v>
      </c>
      <c r="Q3" s="189">
        <v>10804217288.6</v>
      </c>
      <c r="R3" s="189">
        <v>7778315404.7200003</v>
      </c>
      <c r="S3" s="189">
        <v>4974057020.5600004</v>
      </c>
      <c r="T3" s="189">
        <v>2576160088.4299998</v>
      </c>
      <c r="U3" s="189">
        <v>8727956044.3700008</v>
      </c>
      <c r="V3" s="189">
        <v>6350114706</v>
      </c>
      <c r="W3" s="189">
        <v>3998224336.3099999</v>
      </c>
      <c r="X3" s="189">
        <v>2359241990.6399999</v>
      </c>
      <c r="Y3" s="189">
        <v>6899863926.8100004</v>
      </c>
      <c r="Z3" s="189">
        <v>4575118340.7200003</v>
      </c>
      <c r="AA3" s="189">
        <v>3101328731.1399999</v>
      </c>
      <c r="AB3" s="189">
        <v>1629565324.8699999</v>
      </c>
      <c r="AC3" s="189">
        <v>10975621704.52</v>
      </c>
      <c r="AD3" s="189">
        <v>9365771616.3799992</v>
      </c>
      <c r="AE3" s="189">
        <v>6747514122.5299997</v>
      </c>
      <c r="AF3" s="189">
        <v>3831419221.9899998</v>
      </c>
      <c r="AG3" s="189">
        <v>11202366806.139999</v>
      </c>
      <c r="AH3" s="189">
        <v>5578524408.5699997</v>
      </c>
      <c r="AI3" s="189">
        <v>3634134845.0599999</v>
      </c>
      <c r="AJ3" s="189">
        <v>1662106246.1400001</v>
      </c>
      <c r="AK3" s="189">
        <v>4375244455.6700001</v>
      </c>
      <c r="AL3" s="189">
        <v>2917972991.5300002</v>
      </c>
      <c r="AM3" s="189">
        <v>1902488624.24</v>
      </c>
      <c r="AN3" s="189">
        <v>974105929.14999998</v>
      </c>
      <c r="AO3" s="189">
        <v>4292987464.9099998</v>
      </c>
      <c r="AP3" s="189">
        <v>3424461057.8000002</v>
      </c>
      <c r="AQ3" s="189">
        <v>2424428981.79</v>
      </c>
      <c r="AR3" s="189">
        <v>1137955453.8800001</v>
      </c>
      <c r="AS3" s="189">
        <v>5000691662.6000004</v>
      </c>
      <c r="AT3" s="189">
        <v>4087399844.5799999</v>
      </c>
      <c r="AU3" s="189">
        <v>2838239098.3600001</v>
      </c>
      <c r="AV3" s="189">
        <v>1448227231.03</v>
      </c>
      <c r="AW3" s="189">
        <v>4286501320.2600002</v>
      </c>
      <c r="AX3" s="189">
        <v>3266266421.5799999</v>
      </c>
      <c r="AY3" s="189">
        <v>2177618157.0100002</v>
      </c>
      <c r="AZ3" s="189">
        <v>976300540.57000005</v>
      </c>
      <c r="BA3" s="189">
        <v>3294334024.7399998</v>
      </c>
      <c r="BB3" s="189">
        <v>2217131151.3499999</v>
      </c>
      <c r="BC3" s="189">
        <v>1418876361.9300001</v>
      </c>
      <c r="BD3" s="189">
        <v>731227808.75</v>
      </c>
      <c r="BE3" s="189">
        <v>2458003752.1399999</v>
      </c>
      <c r="BF3" s="189">
        <v>1644227851.45</v>
      </c>
      <c r="BG3" s="189">
        <v>1110876862.9100001</v>
      </c>
      <c r="BH3" s="189">
        <v>594583448.23000002</v>
      </c>
      <c r="BI3" s="189">
        <v>2907067257.0799999</v>
      </c>
      <c r="BJ3" s="189">
        <v>1981403442.9200001</v>
      </c>
      <c r="BK3" s="189">
        <v>1383490298.1300001</v>
      </c>
      <c r="BL3" s="189">
        <v>847306567.13</v>
      </c>
      <c r="BM3" s="189">
        <v>2947843268.52</v>
      </c>
      <c r="BN3" s="189">
        <v>2415184702.8699999</v>
      </c>
      <c r="BO3" s="189">
        <v>1549269200.05</v>
      </c>
      <c r="BP3" s="189">
        <v>699588247.76999998</v>
      </c>
      <c r="BQ3" s="189">
        <v>1976017965.6600001</v>
      </c>
      <c r="BR3" s="189">
        <v>1134993453.4200001</v>
      </c>
      <c r="BS3" s="189">
        <v>2738267084.0900002</v>
      </c>
      <c r="BT3" s="189">
        <v>1477881796.5899999</v>
      </c>
      <c r="BU3" s="189">
        <v>2669379521.8099999</v>
      </c>
      <c r="BV3" s="189">
        <v>1414759926.04</v>
      </c>
      <c r="BW3" s="189">
        <v>2173716543.3899999</v>
      </c>
      <c r="BX3" s="189">
        <v>1005424911.88</v>
      </c>
      <c r="BY3" s="189">
        <v>1846772121.01</v>
      </c>
      <c r="BZ3" s="189">
        <v>884021880</v>
      </c>
      <c r="CA3" s="189">
        <v>1358735369.1900001</v>
      </c>
      <c r="CB3" s="189">
        <v>661598000</v>
      </c>
      <c r="CC3" s="189">
        <v>1005332560.2</v>
      </c>
      <c r="CD3" s="189">
        <v>764095148.28999996</v>
      </c>
      <c r="CE3" s="189">
        <v>484685682.33999997</v>
      </c>
      <c r="CF3" s="189">
        <v>0</v>
      </c>
    </row>
    <row r="4" spans="1:84" x14ac:dyDescent="0.25">
      <c r="A4" s="189" t="s">
        <v>191</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row>
    <row r="5" spans="1:84" x14ac:dyDescent="0.25">
      <c r="A5" s="189" t="s">
        <v>192</v>
      </c>
      <c r="B5" s="189">
        <v>15779367508.200001</v>
      </c>
      <c r="C5" s="189">
        <v>10930076719.93</v>
      </c>
      <c r="D5" s="189">
        <v>6177665009.5500002</v>
      </c>
      <c r="E5" s="189">
        <v>19714644692.66</v>
      </c>
      <c r="F5" s="189">
        <v>14717291930.91</v>
      </c>
      <c r="G5" s="189">
        <v>9801989312.8700008</v>
      </c>
      <c r="H5" s="189">
        <v>5288019742.7200003</v>
      </c>
      <c r="I5" s="189">
        <v>14981128447.709999</v>
      </c>
      <c r="J5" s="189">
        <v>10948766070.41</v>
      </c>
      <c r="K5" s="189">
        <v>7279128086.8999996</v>
      </c>
      <c r="L5" s="189">
        <v>3845333762.02</v>
      </c>
      <c r="M5" s="189">
        <v>12123072561.83</v>
      </c>
      <c r="N5" s="189">
        <v>8804565769.6499996</v>
      </c>
      <c r="O5" s="189">
        <v>5605657906.3199997</v>
      </c>
      <c r="P5" s="189">
        <v>3002591301.3099999</v>
      </c>
      <c r="Q5" s="189">
        <v>10059005739.129999</v>
      </c>
      <c r="R5" s="189">
        <v>7183578691.2799997</v>
      </c>
      <c r="S5" s="189">
        <v>4606970952.5699997</v>
      </c>
      <c r="T5" s="189">
        <v>2373449895.21</v>
      </c>
      <c r="U5" s="189">
        <v>8337167801.3800001</v>
      </c>
      <c r="V5" s="189">
        <v>6022580316.0799999</v>
      </c>
      <c r="W5" s="189">
        <v>3778696264.8600001</v>
      </c>
      <c r="X5" s="189">
        <v>2240011104.6300001</v>
      </c>
      <c r="Y5" s="189">
        <v>6547962736.5699997</v>
      </c>
      <c r="Z5" s="189">
        <v>4223607892.3899999</v>
      </c>
      <c r="AA5" s="189">
        <v>2849301204.7800002</v>
      </c>
      <c r="AB5" s="189">
        <v>1477366332.71</v>
      </c>
      <c r="AC5" s="189">
        <v>10456237668.379999</v>
      </c>
      <c r="AD5" s="189">
        <v>8873452118.6200008</v>
      </c>
      <c r="AE5" s="189">
        <v>6398355750.9700003</v>
      </c>
      <c r="AF5" s="189">
        <v>3688938370.6799998</v>
      </c>
      <c r="AG5" s="189">
        <v>10545906390.370001</v>
      </c>
      <c r="AH5" s="189">
        <v>5258716807.9200001</v>
      </c>
      <c r="AI5" s="189">
        <v>3415717536.4699998</v>
      </c>
      <c r="AJ5" s="189">
        <v>1562834368.74</v>
      </c>
      <c r="AK5" s="189">
        <v>4168137571.3499999</v>
      </c>
      <c r="AL5" s="189">
        <v>2758011283.5500002</v>
      </c>
      <c r="AM5" s="189">
        <v>1820135703.6400001</v>
      </c>
      <c r="AN5" s="189">
        <v>955306070.42999995</v>
      </c>
      <c r="AO5" s="189">
        <v>4314007153.6700001</v>
      </c>
      <c r="AP5" s="189">
        <v>3313469581.5700002</v>
      </c>
      <c r="AQ5" s="189">
        <v>2362626742.1500001</v>
      </c>
      <c r="AR5" s="189">
        <v>1107364875.79</v>
      </c>
      <c r="AS5" s="189">
        <v>4859100815.1700001</v>
      </c>
      <c r="AT5" s="189">
        <v>4036109890.04</v>
      </c>
      <c r="AU5" s="189">
        <v>2798715100.1700001</v>
      </c>
      <c r="AV5" s="189">
        <v>1434969526.5699999</v>
      </c>
      <c r="AW5" s="189">
        <v>4288756071.6500001</v>
      </c>
      <c r="AX5" s="189">
        <v>3247553949.3499999</v>
      </c>
      <c r="AY5" s="189">
        <v>2153563491.3299999</v>
      </c>
      <c r="AZ5" s="189">
        <v>965015877.28999996</v>
      </c>
      <c r="BA5" s="189">
        <v>3278321291.6999998</v>
      </c>
      <c r="BB5" s="189">
        <v>2209975256.8099999</v>
      </c>
      <c r="BC5" s="189">
        <v>1402703979.49</v>
      </c>
      <c r="BD5" s="189">
        <v>720932094.85000002</v>
      </c>
      <c r="BE5" s="189">
        <v>2446860635.6700001</v>
      </c>
      <c r="BF5" s="189">
        <v>1611826395.5599999</v>
      </c>
      <c r="BG5" s="189">
        <v>1083855730.71</v>
      </c>
      <c r="BH5" s="189">
        <v>590179763.07000005</v>
      </c>
      <c r="BI5" s="189">
        <v>2886456226.2600002</v>
      </c>
      <c r="BJ5" s="189">
        <v>1990883240.51</v>
      </c>
      <c r="BK5" s="189">
        <v>1403829564.6099999</v>
      </c>
      <c r="BL5" s="189">
        <v>839906101.92999995</v>
      </c>
      <c r="BM5" s="189">
        <v>3579457337.8600001</v>
      </c>
      <c r="BN5" s="189">
        <v>2382870787.7800002</v>
      </c>
      <c r="BO5" s="189">
        <v>1497030346.55</v>
      </c>
      <c r="BP5" s="189">
        <v>676696189.15999997</v>
      </c>
      <c r="BQ5" s="189">
        <v>2016792849.28</v>
      </c>
      <c r="BR5" s="189">
        <v>1036411940.12</v>
      </c>
      <c r="BS5" s="189">
        <v>2513905709.6599998</v>
      </c>
      <c r="BT5" s="189">
        <v>1336000104.6600001</v>
      </c>
      <c r="BU5" s="189">
        <v>2373851322.6799998</v>
      </c>
      <c r="BV5" s="189">
        <v>1232602150.4300001</v>
      </c>
      <c r="BW5" s="189">
        <v>1842413531.23</v>
      </c>
      <c r="BX5" s="189">
        <v>825694311.92999995</v>
      </c>
      <c r="BY5" s="189">
        <v>1496508253.3299999</v>
      </c>
      <c r="BZ5" s="189">
        <v>0</v>
      </c>
      <c r="CA5" s="189">
        <v>1125701543.8900001</v>
      </c>
      <c r="CB5" s="189">
        <v>0</v>
      </c>
      <c r="CC5" s="189">
        <v>826491701.85000002</v>
      </c>
      <c r="CD5" s="189">
        <v>0</v>
      </c>
      <c r="CE5" s="189">
        <v>0</v>
      </c>
      <c r="CF5" s="189">
        <v>0</v>
      </c>
    </row>
    <row r="6" spans="1:84" x14ac:dyDescent="0.25">
      <c r="A6" s="189" t="s">
        <v>193</v>
      </c>
      <c r="B6" s="189">
        <v>12855294810.889999</v>
      </c>
      <c r="C6" s="189">
        <v>8849801833.0200005</v>
      </c>
      <c r="D6" s="189">
        <v>4955290678.71</v>
      </c>
      <c r="E6" s="189">
        <v>15982893658.84</v>
      </c>
      <c r="F6" s="189">
        <v>11887084837.76</v>
      </c>
      <c r="G6" s="189">
        <v>7861371811.7799997</v>
      </c>
      <c r="H6" s="189">
        <v>4228707468.8400002</v>
      </c>
      <c r="I6" s="189">
        <v>12111213286.280001</v>
      </c>
      <c r="J6" s="189">
        <v>8829467976.4799995</v>
      </c>
      <c r="K6" s="189">
        <v>5812591773.6700001</v>
      </c>
      <c r="L6" s="189">
        <v>3047294578.2800002</v>
      </c>
      <c r="M6" s="189">
        <v>9646390824.3600006</v>
      </c>
      <c r="N6" s="189">
        <v>7041009821.1199999</v>
      </c>
      <c r="O6" s="189">
        <v>4457541472.6599998</v>
      </c>
      <c r="P6" s="189">
        <v>2379120341.8200002</v>
      </c>
      <c r="Q6" s="189">
        <v>8007492218.6899996</v>
      </c>
      <c r="R6" s="189">
        <v>5747116600.3699999</v>
      </c>
      <c r="S6" s="189">
        <v>3655315076.5900002</v>
      </c>
      <c r="T6" s="189">
        <v>1863580470.1199999</v>
      </c>
      <c r="U6" s="189">
        <v>6549621939.8999996</v>
      </c>
      <c r="V6" s="189">
        <v>4779232584.0600004</v>
      </c>
      <c r="W6" s="189">
        <v>3005810911.1399999</v>
      </c>
      <c r="X6" s="189">
        <v>1782597479.96</v>
      </c>
      <c r="Y6" s="189">
        <v>5339914557.9799995</v>
      </c>
      <c r="Z6" s="189">
        <v>3566854991.7399998</v>
      </c>
      <c r="AA6" s="189">
        <v>2453880581.1900001</v>
      </c>
      <c r="AB6" s="189">
        <v>1312055379.3699999</v>
      </c>
      <c r="AC6" s="189">
        <v>9153133555.9699993</v>
      </c>
      <c r="AD6" s="189">
        <v>7823252342.6199999</v>
      </c>
      <c r="AE6" s="189">
        <v>5611799841.3000002</v>
      </c>
      <c r="AF6" s="189">
        <v>3209055630.29</v>
      </c>
      <c r="AG6" s="189">
        <v>9445348989.1800003</v>
      </c>
      <c r="AH6" s="189">
        <v>4720109340.46</v>
      </c>
      <c r="AI6" s="189">
        <v>3063518891.21</v>
      </c>
      <c r="AJ6" s="189">
        <v>1390576461.6199999</v>
      </c>
      <c r="AK6" s="189">
        <v>3352503034.75</v>
      </c>
      <c r="AL6" s="189">
        <v>2250684996.8600001</v>
      </c>
      <c r="AM6" s="189">
        <v>1496548611.22</v>
      </c>
      <c r="AN6" s="189">
        <v>788361309.11000001</v>
      </c>
      <c r="AO6" s="189">
        <v>3495399864.1100001</v>
      </c>
      <c r="AP6" s="189">
        <v>2789367413.21</v>
      </c>
      <c r="AQ6" s="189">
        <v>1937796658.1500001</v>
      </c>
      <c r="AR6" s="189">
        <v>880605260.80999994</v>
      </c>
      <c r="AS6" s="189">
        <v>4004806298.8600001</v>
      </c>
      <c r="AT6" s="189">
        <v>3314480556.23</v>
      </c>
      <c r="AU6" s="189">
        <v>2308549271.3600001</v>
      </c>
      <c r="AV6" s="189">
        <v>1157412583.5599999</v>
      </c>
      <c r="AW6" s="189">
        <v>3351425492.1199999</v>
      </c>
      <c r="AX6" s="189">
        <v>2577079092.9699998</v>
      </c>
      <c r="AY6" s="189">
        <v>1734629476.5599999</v>
      </c>
      <c r="AZ6" s="189">
        <v>758131304.13</v>
      </c>
      <c r="BA6" s="189">
        <v>2610112328.77</v>
      </c>
      <c r="BB6" s="189">
        <v>1756574969.74</v>
      </c>
      <c r="BC6" s="189">
        <v>1111249484.8199999</v>
      </c>
      <c r="BD6" s="189">
        <v>558788476.47000003</v>
      </c>
      <c r="BE6" s="189">
        <v>1960846156.5799999</v>
      </c>
      <c r="BF6" s="189">
        <v>1291093542.25</v>
      </c>
      <c r="BG6" s="189">
        <v>867878445.94000006</v>
      </c>
      <c r="BH6" s="189">
        <v>468799028.16000003</v>
      </c>
      <c r="BI6" s="189">
        <v>2367701377.6599998</v>
      </c>
      <c r="BJ6" s="189">
        <v>1651739025.7</v>
      </c>
      <c r="BK6" s="189">
        <v>1158683250.95</v>
      </c>
      <c r="BL6" s="189">
        <v>683524653.25</v>
      </c>
      <c r="BM6" s="189">
        <v>2341338051.73</v>
      </c>
      <c r="BN6" s="189">
        <v>1876672125.77</v>
      </c>
      <c r="BO6" s="189">
        <v>1165969607.3599999</v>
      </c>
      <c r="BP6" s="189">
        <v>492769316.82999998</v>
      </c>
      <c r="BQ6" s="189">
        <v>1471398340.8599999</v>
      </c>
      <c r="BR6" s="189">
        <v>826221293.63</v>
      </c>
      <c r="BS6" s="189">
        <v>2007361302.1700001</v>
      </c>
      <c r="BT6" s="189">
        <v>1066828910.61</v>
      </c>
      <c r="BU6" s="189">
        <v>1889920384.8299999</v>
      </c>
      <c r="BV6" s="189">
        <v>1012360881.78</v>
      </c>
      <c r="BW6" s="189">
        <v>1573171315</v>
      </c>
      <c r="BX6" s="189">
        <v>695172733.25999999</v>
      </c>
      <c r="BY6" s="189">
        <v>1291744319.78</v>
      </c>
      <c r="BZ6" s="189">
        <v>0</v>
      </c>
      <c r="CA6" s="189">
        <v>945200780.38999999</v>
      </c>
      <c r="CB6" s="189">
        <v>0</v>
      </c>
      <c r="CC6" s="189">
        <v>689326756.65999997</v>
      </c>
      <c r="CD6" s="189">
        <v>0</v>
      </c>
      <c r="CE6" s="189">
        <v>0</v>
      </c>
      <c r="CF6" s="189">
        <v>0</v>
      </c>
    </row>
    <row r="7" spans="1:84" x14ac:dyDescent="0.25">
      <c r="A7" s="189" t="s">
        <v>194</v>
      </c>
      <c r="B7" s="189">
        <v>95955629.230000004</v>
      </c>
      <c r="C7" s="189">
        <v>66817703.109999999</v>
      </c>
      <c r="D7" s="189">
        <v>31716440.260000002</v>
      </c>
      <c r="E7" s="189">
        <v>131791477.12</v>
      </c>
      <c r="F7" s="189">
        <v>98446618.900000006</v>
      </c>
      <c r="G7" s="189">
        <v>64532273.740000002</v>
      </c>
      <c r="H7" s="189">
        <v>29239701.579999998</v>
      </c>
      <c r="I7" s="189">
        <v>99204438.579999998</v>
      </c>
      <c r="J7" s="189">
        <v>62360730.859999999</v>
      </c>
      <c r="K7" s="189">
        <v>44723877.460000001</v>
      </c>
      <c r="L7" s="189">
        <v>25562733.25</v>
      </c>
      <c r="M7" s="189">
        <v>66761675.479999997</v>
      </c>
      <c r="N7" s="189">
        <v>57452288.109999999</v>
      </c>
      <c r="O7" s="189">
        <v>37697582.259999998</v>
      </c>
      <c r="P7" s="189">
        <v>17128541.02</v>
      </c>
      <c r="Q7" s="189">
        <v>67429778.790000007</v>
      </c>
      <c r="R7" s="189">
        <v>51122619.479999997</v>
      </c>
      <c r="S7" s="189">
        <v>31180668.93</v>
      </c>
      <c r="T7" s="189">
        <v>18158736.210000001</v>
      </c>
      <c r="U7" s="189">
        <v>53002629.990000002</v>
      </c>
      <c r="V7" s="189">
        <v>40669122.030000001</v>
      </c>
      <c r="W7" s="189">
        <v>25957616.210000001</v>
      </c>
      <c r="X7" s="189">
        <v>17327435.34</v>
      </c>
      <c r="Y7" s="189">
        <v>30481840.170000002</v>
      </c>
      <c r="Z7" s="189">
        <v>24274034.120000001</v>
      </c>
      <c r="AA7" s="189">
        <v>15731754.99</v>
      </c>
      <c r="AB7" s="189">
        <v>11841728.85</v>
      </c>
      <c r="AC7" s="189">
        <v>22435896.129999999</v>
      </c>
      <c r="AD7" s="189">
        <v>18817214.73</v>
      </c>
      <c r="AE7" s="189">
        <v>15808434.08</v>
      </c>
      <c r="AF7" s="189">
        <v>9475406.3699999992</v>
      </c>
      <c r="AG7" s="189">
        <v>23799193.190000001</v>
      </c>
      <c r="AH7" s="189">
        <v>13490511.699999999</v>
      </c>
      <c r="AI7" s="189">
        <v>9954984.4000000004</v>
      </c>
      <c r="AJ7" s="189">
        <v>5091868.01</v>
      </c>
      <c r="AK7" s="189">
        <v>19057858.100000001</v>
      </c>
      <c r="AL7" s="189">
        <v>14468653.779999999</v>
      </c>
      <c r="AM7" s="189">
        <v>10960213.77</v>
      </c>
      <c r="AN7" s="189">
        <v>7247483.2300000004</v>
      </c>
      <c r="AO7" s="189">
        <v>17500882.039999999</v>
      </c>
      <c r="AP7" s="189">
        <v>11116954.939999999</v>
      </c>
      <c r="AQ7" s="189">
        <v>7499547.7000000002</v>
      </c>
      <c r="AR7" s="189">
        <v>5119721.3</v>
      </c>
      <c r="AS7" s="189">
        <v>22623370.5</v>
      </c>
      <c r="AT7" s="189">
        <v>15200247.67</v>
      </c>
      <c r="AU7" s="189">
        <v>9962138.1799999997</v>
      </c>
      <c r="AV7" s="189">
        <v>6160000.3099999996</v>
      </c>
      <c r="AW7" s="189">
        <v>14491471.82</v>
      </c>
      <c r="AX7" s="189">
        <v>11154144.18</v>
      </c>
      <c r="AY7" s="189">
        <v>8406724.8900000006</v>
      </c>
      <c r="AZ7" s="189">
        <v>4202084.05</v>
      </c>
      <c r="BA7" s="189">
        <v>10799593.949999999</v>
      </c>
      <c r="BB7" s="189">
        <v>8255445.0300000003</v>
      </c>
      <c r="BC7" s="189">
        <v>5873605.7599999998</v>
      </c>
      <c r="BD7" s="189">
        <v>2851388.8</v>
      </c>
      <c r="BE7" s="189">
        <v>5642078.4100000001</v>
      </c>
      <c r="BF7" s="189">
        <v>4663285.51</v>
      </c>
      <c r="BG7" s="189">
        <v>2595207.86</v>
      </c>
      <c r="BH7" s="189">
        <v>1935011.26</v>
      </c>
      <c r="BI7" s="189">
        <v>11960428.98</v>
      </c>
      <c r="BJ7" s="189">
        <v>5938607.2199999997</v>
      </c>
      <c r="BK7" s="189">
        <v>3220189.63</v>
      </c>
      <c r="BL7" s="189">
        <v>2276290.83</v>
      </c>
      <c r="BM7" s="189">
        <v>9193914.8300000001</v>
      </c>
      <c r="BN7" s="189">
        <v>8252948.3700000001</v>
      </c>
      <c r="BO7" s="189">
        <v>6212946.46</v>
      </c>
      <c r="BP7" s="189">
        <v>4762321.46</v>
      </c>
      <c r="BQ7" s="189">
        <v>12702583.960000001</v>
      </c>
      <c r="BR7" s="189">
        <v>7632378.6399999997</v>
      </c>
      <c r="BS7" s="189">
        <v>14553861.73</v>
      </c>
      <c r="BT7" s="189">
        <v>7009597.2999999998</v>
      </c>
      <c r="BU7" s="189">
        <v>17589703.219999999</v>
      </c>
      <c r="BV7" s="189">
        <v>8384055.7000000002</v>
      </c>
      <c r="BW7" s="189">
        <v>12094071.689999999</v>
      </c>
      <c r="BX7" s="189">
        <v>5731319.0700000003</v>
      </c>
      <c r="BY7" s="189">
        <v>13887109.609999999</v>
      </c>
      <c r="BZ7" s="189">
        <v>0</v>
      </c>
      <c r="CA7" s="189">
        <v>8984585.9100000001</v>
      </c>
      <c r="CB7" s="189">
        <v>0</v>
      </c>
      <c r="CC7" s="189">
        <v>5728193.0599999996</v>
      </c>
      <c r="CD7" s="189">
        <v>0</v>
      </c>
      <c r="CE7" s="189">
        <v>0</v>
      </c>
      <c r="CF7" s="189">
        <v>0</v>
      </c>
    </row>
    <row r="8" spans="1:84" x14ac:dyDescent="0.25">
      <c r="A8" s="189" t="s">
        <v>195</v>
      </c>
      <c r="B8" s="189">
        <v>2521232812.1599998</v>
      </c>
      <c r="C8" s="189">
        <v>1769706658.9400001</v>
      </c>
      <c r="D8" s="189">
        <v>1026609941.05</v>
      </c>
      <c r="E8" s="189">
        <v>2872849586.1399999</v>
      </c>
      <c r="F8" s="189">
        <v>2235935416.9000001</v>
      </c>
      <c r="G8" s="189">
        <v>1533889871.4000001</v>
      </c>
      <c r="H8" s="189">
        <v>862300832.44000006</v>
      </c>
      <c r="I8" s="189">
        <v>2325645712.6500001</v>
      </c>
      <c r="J8" s="189">
        <v>1730895706.04</v>
      </c>
      <c r="K8" s="189">
        <v>1191332056.1199999</v>
      </c>
      <c r="L8" s="189">
        <v>631396475.17999995</v>
      </c>
      <c r="M8" s="189">
        <v>1957833768.25</v>
      </c>
      <c r="N8" s="189">
        <v>1345059132.8</v>
      </c>
      <c r="O8" s="189">
        <v>849993249.29999995</v>
      </c>
      <c r="P8" s="189">
        <v>472357387.27999997</v>
      </c>
      <c r="Q8" s="189">
        <v>1519482348.76</v>
      </c>
      <c r="R8" s="189">
        <v>1080503620.01</v>
      </c>
      <c r="S8" s="189">
        <v>708872153.89999998</v>
      </c>
      <c r="T8" s="189">
        <v>384822055.79000002</v>
      </c>
      <c r="U8" s="189">
        <v>1267118417.2</v>
      </c>
      <c r="V8" s="189">
        <v>873771862.52999997</v>
      </c>
      <c r="W8" s="189">
        <v>539966097.75999999</v>
      </c>
      <c r="X8" s="189">
        <v>328751508.20999998</v>
      </c>
      <c r="Y8" s="189">
        <v>840560482.52999997</v>
      </c>
      <c r="Z8" s="189">
        <v>500220233.73000002</v>
      </c>
      <c r="AA8" s="189">
        <v>283844635.95999998</v>
      </c>
      <c r="AB8" s="189">
        <v>98782478.060000002</v>
      </c>
      <c r="AC8" s="189">
        <v>894035414.82000005</v>
      </c>
      <c r="AD8" s="189">
        <v>693133218.91999996</v>
      </c>
      <c r="AE8" s="189">
        <v>524121604.12</v>
      </c>
      <c r="AF8" s="189">
        <v>265417681.27000001</v>
      </c>
      <c r="AG8" s="189">
        <v>738452660.85000002</v>
      </c>
      <c r="AH8" s="189">
        <v>329656681.36000001</v>
      </c>
      <c r="AI8" s="189">
        <v>211488684.03999999</v>
      </c>
      <c r="AJ8" s="189">
        <v>104366030.09999999</v>
      </c>
      <c r="AK8" s="189">
        <v>504572636.19999999</v>
      </c>
      <c r="AL8" s="189">
        <v>389212140.48000002</v>
      </c>
      <c r="AM8" s="189">
        <v>238060212.18000001</v>
      </c>
      <c r="AN8" s="189">
        <v>117938509.69</v>
      </c>
      <c r="AO8" s="189">
        <v>512655618.88999999</v>
      </c>
      <c r="AP8" s="189">
        <v>345204576.25</v>
      </c>
      <c r="AQ8" s="189">
        <v>299080889.25</v>
      </c>
      <c r="AR8" s="189">
        <v>165154471.44999999</v>
      </c>
      <c r="AS8" s="189">
        <v>593071799.97000003</v>
      </c>
      <c r="AT8" s="189">
        <v>512001878.12</v>
      </c>
      <c r="AU8" s="189">
        <v>345164901.97000003</v>
      </c>
      <c r="AV8" s="189">
        <v>188612863.63</v>
      </c>
      <c r="AW8" s="189">
        <v>593680233.63999999</v>
      </c>
      <c r="AX8" s="189">
        <v>477243142.04000002</v>
      </c>
      <c r="AY8" s="189">
        <v>306401918.17000002</v>
      </c>
      <c r="AZ8" s="189">
        <v>146434291.83000001</v>
      </c>
      <c r="BA8" s="189">
        <v>465466485.70999998</v>
      </c>
      <c r="BB8" s="189">
        <v>330399294.91000003</v>
      </c>
      <c r="BC8" s="189">
        <v>211437126.87</v>
      </c>
      <c r="BD8" s="189">
        <v>117518300.75</v>
      </c>
      <c r="BE8" s="189">
        <v>347325662.87</v>
      </c>
      <c r="BF8" s="189">
        <v>202772865.05000001</v>
      </c>
      <c r="BG8" s="189">
        <v>135830436.28999999</v>
      </c>
      <c r="BH8" s="189">
        <v>76471684.200000003</v>
      </c>
      <c r="BI8" s="189">
        <v>386364358.01999998</v>
      </c>
      <c r="BJ8" s="189">
        <v>256786938.61000001</v>
      </c>
      <c r="BK8" s="189">
        <v>189162277.25999999</v>
      </c>
      <c r="BL8" s="189">
        <v>105268295.23999999</v>
      </c>
      <c r="BM8" s="189">
        <v>543207784.61000001</v>
      </c>
      <c r="BN8" s="189">
        <v>366568194.94</v>
      </c>
      <c r="BO8" s="189">
        <v>247121582.28999999</v>
      </c>
      <c r="BP8" s="189">
        <v>134183200.38</v>
      </c>
      <c r="BQ8" s="189">
        <v>377793992.50999999</v>
      </c>
      <c r="BR8" s="189">
        <v>140010265.78</v>
      </c>
      <c r="BS8" s="189">
        <v>350190690.19999999</v>
      </c>
      <c r="BT8" s="189">
        <v>197586665.75999999</v>
      </c>
      <c r="BU8" s="189">
        <v>335786443.16000003</v>
      </c>
      <c r="BV8" s="189">
        <v>158738505.84</v>
      </c>
      <c r="BW8" s="189">
        <v>187477852.09999999</v>
      </c>
      <c r="BX8" s="189">
        <v>88394820.780000001</v>
      </c>
      <c r="BY8" s="189">
        <v>144982990.06999999</v>
      </c>
      <c r="BZ8" s="189">
        <v>0</v>
      </c>
      <c r="CA8" s="189">
        <v>125467914.55</v>
      </c>
      <c r="CB8" s="189">
        <v>0</v>
      </c>
      <c r="CC8" s="189">
        <v>86816874.099999994</v>
      </c>
      <c r="CD8" s="189">
        <v>0</v>
      </c>
      <c r="CE8" s="189">
        <v>0</v>
      </c>
      <c r="CF8" s="189">
        <v>0</v>
      </c>
    </row>
    <row r="9" spans="1:84" x14ac:dyDescent="0.25">
      <c r="A9" s="189" t="s">
        <v>196</v>
      </c>
      <c r="B9" s="189">
        <v>148230609.99000001</v>
      </c>
      <c r="C9" s="189">
        <v>451163055.68000001</v>
      </c>
      <c r="D9" s="189">
        <v>243532933.75</v>
      </c>
      <c r="E9" s="189">
        <v>728323077.71000004</v>
      </c>
      <c r="F9" s="189">
        <v>480040555.31999999</v>
      </c>
      <c r="G9" s="189">
        <v>328163105.39999998</v>
      </c>
      <c r="H9" s="189">
        <v>189893301.81999999</v>
      </c>
      <c r="I9" s="189">
        <v>505321107.13999999</v>
      </c>
      <c r="J9" s="189">
        <v>367042544.04000002</v>
      </c>
      <c r="K9" s="189">
        <v>265946054.68000001</v>
      </c>
      <c r="L9" s="189">
        <v>153743559.27000001</v>
      </c>
      <c r="M9" s="189">
        <v>539747209.79999995</v>
      </c>
      <c r="N9" s="189">
        <v>434300798.20999998</v>
      </c>
      <c r="O9" s="189">
        <v>272955998.10000002</v>
      </c>
      <c r="P9" s="189">
        <v>136356668.53999999</v>
      </c>
      <c r="Q9" s="189">
        <v>441240435.75999999</v>
      </c>
      <c r="R9" s="189">
        <v>325821024.69</v>
      </c>
      <c r="S9" s="189">
        <v>210082884.69</v>
      </c>
      <c r="T9" s="189">
        <v>99867200.75</v>
      </c>
      <c r="U9" s="189">
        <v>393481200.80000001</v>
      </c>
      <c r="V9" s="189">
        <v>283474894.04000002</v>
      </c>
      <c r="W9" s="189">
        <v>173092190.68000001</v>
      </c>
      <c r="X9" s="189">
        <v>94490588.189999998</v>
      </c>
      <c r="Y9" s="189">
        <v>331386860.95999998</v>
      </c>
      <c r="Z9" s="189">
        <v>188886422.93000001</v>
      </c>
      <c r="AA9" s="189">
        <v>123624901.19</v>
      </c>
      <c r="AB9" s="189">
        <v>65368571.920000002</v>
      </c>
      <c r="AC9" s="189">
        <v>373315207.86000001</v>
      </c>
      <c r="AD9" s="189">
        <v>312420908.49000001</v>
      </c>
      <c r="AE9" s="189">
        <v>239982133.44999999</v>
      </c>
      <c r="AF9" s="189">
        <v>195118432.47</v>
      </c>
      <c r="AG9" s="189">
        <v>325689250.06</v>
      </c>
      <c r="AH9" s="189">
        <v>175834095.5</v>
      </c>
      <c r="AI9" s="189">
        <v>123563218.78</v>
      </c>
      <c r="AJ9" s="189">
        <v>77055101.379999995</v>
      </c>
      <c r="AK9" s="189">
        <v>187592749.28</v>
      </c>
      <c r="AL9" s="189">
        <v>94524104.239999995</v>
      </c>
      <c r="AM9" s="189">
        <v>67681769.629999995</v>
      </c>
      <c r="AN9" s="189">
        <v>40946880.740000002</v>
      </c>
      <c r="AO9" s="189">
        <v>232941380.94999999</v>
      </c>
      <c r="AP9" s="189">
        <v>124914099.52</v>
      </c>
      <c r="AQ9" s="189">
        <v>80164564.810000002</v>
      </c>
      <c r="AR9" s="189">
        <v>44790178.950000003</v>
      </c>
      <c r="AS9" s="189">
        <v>167378329.84999999</v>
      </c>
      <c r="AT9" s="189">
        <v>175237013.13</v>
      </c>
      <c r="AU9" s="189">
        <v>122401881.55</v>
      </c>
      <c r="AV9" s="189">
        <v>77090490.739999995</v>
      </c>
      <c r="AW9" s="189">
        <v>277025651.75</v>
      </c>
      <c r="AX9" s="189">
        <v>148235370.16999999</v>
      </c>
      <c r="AY9" s="189">
        <v>82853881.030000001</v>
      </c>
      <c r="AZ9" s="189">
        <v>46651078.590000004</v>
      </c>
      <c r="BA9" s="189">
        <v>150264621.88</v>
      </c>
      <c r="BB9" s="189">
        <v>86625936.519999996</v>
      </c>
      <c r="BC9" s="189">
        <v>59088222.789999999</v>
      </c>
      <c r="BD9" s="189">
        <v>33911907.210000001</v>
      </c>
      <c r="BE9" s="189">
        <v>121147525.08</v>
      </c>
      <c r="BF9" s="189">
        <v>100474792.8</v>
      </c>
      <c r="BG9" s="189">
        <v>70417566.650000006</v>
      </c>
      <c r="BH9" s="189">
        <v>35591619.689999998</v>
      </c>
      <c r="BI9" s="189">
        <v>107490914.15000001</v>
      </c>
      <c r="BJ9" s="189">
        <v>65883317.350000001</v>
      </c>
      <c r="BK9" s="189">
        <v>45393658.240000002</v>
      </c>
      <c r="BL9" s="189">
        <v>39692052.329999998</v>
      </c>
      <c r="BM9" s="189">
        <v>653016641.34000003</v>
      </c>
      <c r="BN9" s="189">
        <v>109399415.09</v>
      </c>
      <c r="BO9" s="189">
        <v>68484191.090000004</v>
      </c>
      <c r="BP9" s="189">
        <v>37388236.140000001</v>
      </c>
      <c r="BQ9" s="189">
        <v>152645208.46000001</v>
      </c>
      <c r="BR9" s="189">
        <v>59062721.140000001</v>
      </c>
      <c r="BS9" s="189">
        <v>117288907.59999999</v>
      </c>
      <c r="BT9" s="189">
        <v>52497327.719999999</v>
      </c>
      <c r="BU9" s="189">
        <v>105127119.83</v>
      </c>
      <c r="BV9" s="189">
        <v>47051162.049999997</v>
      </c>
      <c r="BW9" s="189">
        <v>85231162.840000004</v>
      </c>
      <c r="BX9" s="189">
        <v>38275896.950000003</v>
      </c>
      <c r="BY9" s="189">
        <v>52603946.979999997</v>
      </c>
      <c r="BZ9" s="189">
        <v>0</v>
      </c>
      <c r="CA9" s="189">
        <v>41027633.560000002</v>
      </c>
      <c r="CB9" s="189">
        <v>0</v>
      </c>
      <c r="CC9" s="189">
        <v>35453932.219999999</v>
      </c>
      <c r="CD9" s="189">
        <v>0</v>
      </c>
      <c r="CE9" s="189">
        <v>0</v>
      </c>
      <c r="CF9" s="189">
        <v>0</v>
      </c>
    </row>
    <row r="10" spans="1:84" x14ac:dyDescent="0.25">
      <c r="A10" s="189" t="s">
        <v>197</v>
      </c>
      <c r="B10" s="189">
        <v>-411575061.93000001</v>
      </c>
      <c r="C10" s="189">
        <v>-231352118.97999999</v>
      </c>
      <c r="D10" s="189">
        <v>-69542219.959999993</v>
      </c>
      <c r="E10" s="189">
        <v>-71808982.799999997</v>
      </c>
      <c r="F10" s="189">
        <v>-26335907.670000002</v>
      </c>
      <c r="G10" s="189">
        <v>-23523197.84</v>
      </c>
      <c r="H10" s="189">
        <v>-18400643.850000001</v>
      </c>
      <c r="I10" s="189">
        <v>-154825748.21000001</v>
      </c>
      <c r="J10" s="189">
        <v>-94016729.519999996</v>
      </c>
      <c r="K10" s="189">
        <v>-63399464.469999999</v>
      </c>
      <c r="L10" s="189">
        <v>-30693728.100000001</v>
      </c>
      <c r="M10" s="189">
        <v>-110112851.91</v>
      </c>
      <c r="N10" s="189">
        <v>-81924696.400000006</v>
      </c>
      <c r="O10" s="189">
        <v>-11205277.58</v>
      </c>
      <c r="P10" s="189">
        <v>-11914487.390000001</v>
      </c>
      <c r="Q10" s="189">
        <v>-14860124.49</v>
      </c>
      <c r="R10" s="189">
        <v>-43416185.100000001</v>
      </c>
      <c r="S10" s="189">
        <v>-9899828.8599999994</v>
      </c>
      <c r="T10" s="189">
        <v>-2706279.81</v>
      </c>
      <c r="U10" s="189">
        <v>24609694.16</v>
      </c>
      <c r="V10" s="189">
        <v>22101561.23</v>
      </c>
      <c r="W10" s="189">
        <v>20143097.739999998</v>
      </c>
      <c r="X10" s="189">
        <v>8861929.1999999993</v>
      </c>
      <c r="Y10" s="189">
        <v>-3052363.24</v>
      </c>
      <c r="Z10" s="189">
        <v>-51906392.020000003</v>
      </c>
      <c r="AA10" s="189">
        <v>-30539990.760000002</v>
      </c>
      <c r="AB10" s="189">
        <v>-16174527.67</v>
      </c>
      <c r="AC10" s="189">
        <v>-1018277.92</v>
      </c>
      <c r="AD10" s="189">
        <v>1975566.89</v>
      </c>
      <c r="AE10" s="189">
        <v>1111770.69</v>
      </c>
      <c r="AF10" s="189">
        <v>3756582.06</v>
      </c>
      <c r="AG10" s="189">
        <v>33838215.659999996</v>
      </c>
      <c r="AH10" s="189">
        <v>21508698.399999999</v>
      </c>
      <c r="AI10" s="189">
        <v>11221531.82</v>
      </c>
      <c r="AJ10" s="189">
        <v>-1171952.69</v>
      </c>
      <c r="AK10" s="189">
        <v>1472283.08</v>
      </c>
      <c r="AL10" s="189">
        <v>2392171.0099999998</v>
      </c>
      <c r="AM10" s="189">
        <v>2212812.2000000002</v>
      </c>
      <c r="AN10" s="189">
        <v>749646.93</v>
      </c>
      <c r="AO10" s="189">
        <v>16888023.620000001</v>
      </c>
      <c r="AP10" s="189">
        <v>34521027.659999996</v>
      </c>
      <c r="AQ10" s="189">
        <v>29739572.25</v>
      </c>
      <c r="AR10" s="189">
        <v>11695243.279999999</v>
      </c>
      <c r="AS10" s="189">
        <v>51577277.229999997</v>
      </c>
      <c r="AT10" s="189">
        <v>19190194.890000001</v>
      </c>
      <c r="AU10" s="189">
        <v>12636907.119999999</v>
      </c>
      <c r="AV10" s="189">
        <v>5693588.3300000001</v>
      </c>
      <c r="AW10" s="189">
        <v>52133222.32</v>
      </c>
      <c r="AX10" s="189">
        <v>33842199.990000002</v>
      </c>
      <c r="AY10" s="189">
        <v>21271490.68</v>
      </c>
      <c r="AZ10" s="189">
        <v>9597118.6899999995</v>
      </c>
      <c r="BA10" s="189">
        <v>41678261.390000001</v>
      </c>
      <c r="BB10" s="189">
        <v>28119610.609999999</v>
      </c>
      <c r="BC10" s="189">
        <v>15055539.25</v>
      </c>
      <c r="BD10" s="189">
        <v>7862021.6200000001</v>
      </c>
      <c r="BE10" s="189">
        <v>11899212.73</v>
      </c>
      <c r="BF10" s="189">
        <v>12821909.949999999</v>
      </c>
      <c r="BG10" s="189">
        <v>7134073.9699999997</v>
      </c>
      <c r="BH10" s="189">
        <v>7382419.7599999998</v>
      </c>
      <c r="BI10" s="189">
        <v>12939147.449999999</v>
      </c>
      <c r="BJ10" s="189">
        <v>10535351.630000001</v>
      </c>
      <c r="BK10" s="189">
        <v>7370188.5300000003</v>
      </c>
      <c r="BL10" s="189">
        <v>9144810.2799999993</v>
      </c>
      <c r="BM10" s="189">
        <v>32700945.350000001</v>
      </c>
      <c r="BN10" s="189">
        <v>21978103.609999999</v>
      </c>
      <c r="BO10" s="189">
        <v>9242019.3499999996</v>
      </c>
      <c r="BP10" s="189">
        <v>7593114.3499999996</v>
      </c>
      <c r="BQ10" s="189">
        <v>2252723.4900000002</v>
      </c>
      <c r="BR10" s="189">
        <v>3485280.93</v>
      </c>
      <c r="BS10" s="189">
        <v>21614983.890000001</v>
      </c>
      <c r="BT10" s="189">
        <v>12077603.27</v>
      </c>
      <c r="BU10" s="189">
        <v>22023607.5</v>
      </c>
      <c r="BV10" s="189">
        <v>6067545.0599999996</v>
      </c>
      <c r="BW10" s="189">
        <v>-15560870.4</v>
      </c>
      <c r="BX10" s="189">
        <v>-1880458.13</v>
      </c>
      <c r="BY10" s="189">
        <v>-6710113.1100000003</v>
      </c>
      <c r="BZ10" s="189">
        <v>0</v>
      </c>
      <c r="CA10" s="189">
        <v>5020629.4800000004</v>
      </c>
      <c r="CB10" s="189">
        <v>0</v>
      </c>
      <c r="CC10" s="189">
        <v>9165945.8100000005</v>
      </c>
      <c r="CD10" s="189">
        <v>0</v>
      </c>
      <c r="CE10" s="189">
        <v>0</v>
      </c>
      <c r="CF10" s="189">
        <v>0</v>
      </c>
    </row>
    <row r="11" spans="1:84" x14ac:dyDescent="0.25">
      <c r="A11" s="189" t="s">
        <v>198</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row>
    <row r="12" spans="1:84" x14ac:dyDescent="0.25">
      <c r="A12" s="189" t="s">
        <v>199</v>
      </c>
      <c r="B12" s="189">
        <v>-12093350.68</v>
      </c>
      <c r="C12" s="189">
        <v>-10070851.5</v>
      </c>
      <c r="D12" s="189">
        <v>342817.9</v>
      </c>
      <c r="E12" s="189">
        <v>5270238.03</v>
      </c>
      <c r="F12" s="189">
        <v>7279041.3300000001</v>
      </c>
      <c r="G12" s="189">
        <v>4917873.13</v>
      </c>
      <c r="H12" s="189">
        <v>0</v>
      </c>
      <c r="I12" s="189">
        <v>0</v>
      </c>
      <c r="J12" s="189">
        <v>0</v>
      </c>
      <c r="K12" s="189">
        <v>0</v>
      </c>
      <c r="L12" s="189">
        <v>0</v>
      </c>
      <c r="M12" s="189">
        <v>0</v>
      </c>
      <c r="N12" s="189">
        <v>-248907.75</v>
      </c>
      <c r="O12" s="189">
        <v>-248907.75</v>
      </c>
      <c r="P12" s="189">
        <v>-28329.51</v>
      </c>
      <c r="Q12" s="189">
        <v>-14767832.25</v>
      </c>
      <c r="R12" s="189">
        <v>-13390840</v>
      </c>
      <c r="S12" s="189">
        <v>-13529790</v>
      </c>
      <c r="T12" s="189">
        <v>-11925800</v>
      </c>
      <c r="U12" s="189">
        <v>13792150</v>
      </c>
      <c r="V12" s="189">
        <v>13951660</v>
      </c>
      <c r="W12" s="189">
        <v>10584660</v>
      </c>
      <c r="X12" s="189">
        <v>3919510</v>
      </c>
      <c r="Y12" s="189">
        <v>-3067710</v>
      </c>
      <c r="Z12" s="189">
        <v>-4011100</v>
      </c>
      <c r="AA12" s="189">
        <v>-4292300</v>
      </c>
      <c r="AB12" s="189">
        <v>-2873250</v>
      </c>
      <c r="AC12" s="189">
        <v>-3486333.32</v>
      </c>
      <c r="AD12" s="189">
        <v>8777385.9000000004</v>
      </c>
      <c r="AE12" s="189">
        <v>11689065.84</v>
      </c>
      <c r="AF12" s="189">
        <v>12226997.48</v>
      </c>
      <c r="AG12" s="189">
        <v>7778633.3200000003</v>
      </c>
      <c r="AH12" s="189">
        <v>0</v>
      </c>
      <c r="AI12" s="189">
        <v>0</v>
      </c>
      <c r="AJ12" s="189">
        <v>0</v>
      </c>
      <c r="AK12" s="189">
        <v>0</v>
      </c>
      <c r="AL12" s="189">
        <v>0</v>
      </c>
      <c r="AM12" s="189">
        <v>0</v>
      </c>
      <c r="AN12" s="189">
        <v>0</v>
      </c>
      <c r="AO12" s="189">
        <v>0</v>
      </c>
      <c r="AP12" s="189">
        <v>0</v>
      </c>
      <c r="AQ12" s="189">
        <v>0</v>
      </c>
      <c r="AR12" s="189">
        <v>0</v>
      </c>
      <c r="AS12" s="189">
        <v>0</v>
      </c>
      <c r="AT12" s="189">
        <v>8134949.6799999997</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row>
    <row r="13" spans="1:84" x14ac:dyDescent="0.25">
      <c r="A13" s="189" t="s">
        <v>200</v>
      </c>
      <c r="B13" s="189">
        <v>113990451.59999999</v>
      </c>
      <c r="C13" s="189">
        <v>76902741.540000007</v>
      </c>
      <c r="D13" s="189">
        <v>39113264.509999998</v>
      </c>
      <c r="E13" s="189">
        <v>320623463.23000002</v>
      </c>
      <c r="F13" s="189">
        <v>238589870.72999999</v>
      </c>
      <c r="G13" s="189">
        <v>181665882.11000001</v>
      </c>
      <c r="H13" s="189">
        <v>103187613.01000001</v>
      </c>
      <c r="I13" s="189">
        <v>200239260.71000001</v>
      </c>
      <c r="J13" s="189">
        <v>130758204.67</v>
      </c>
      <c r="K13" s="189">
        <v>67315479.040000007</v>
      </c>
      <c r="L13" s="189">
        <v>27283315.309999999</v>
      </c>
      <c r="M13" s="189">
        <v>201749610.84</v>
      </c>
      <c r="N13" s="189">
        <v>97684604.609999999</v>
      </c>
      <c r="O13" s="189">
        <v>71820527.819999993</v>
      </c>
      <c r="P13" s="189">
        <v>30964125.82</v>
      </c>
      <c r="Q13" s="189">
        <v>177965089.25999999</v>
      </c>
      <c r="R13" s="189">
        <v>90760162.129999995</v>
      </c>
      <c r="S13" s="189">
        <v>56378070.460000001</v>
      </c>
      <c r="T13" s="189">
        <v>22987140.989999998</v>
      </c>
      <c r="U13" s="189">
        <v>116861930.2</v>
      </c>
      <c r="V13" s="189">
        <v>73812914.090000004</v>
      </c>
      <c r="W13" s="189">
        <v>38581681.439999998</v>
      </c>
      <c r="X13" s="189">
        <v>16406187.35</v>
      </c>
      <c r="Y13" s="189">
        <v>55622690.399999999</v>
      </c>
      <c r="Z13" s="189">
        <v>5356978.26</v>
      </c>
      <c r="AA13" s="189">
        <v>5062792.63</v>
      </c>
      <c r="AB13" s="189">
        <v>3538026.66</v>
      </c>
      <c r="AC13" s="189">
        <v>77371574.280000001</v>
      </c>
      <c r="AD13" s="189">
        <v>65008690.75</v>
      </c>
      <c r="AE13" s="189">
        <v>29611899.969999999</v>
      </c>
      <c r="AF13" s="189">
        <v>21646894.239999998</v>
      </c>
      <c r="AG13" s="189">
        <v>4004480.96</v>
      </c>
      <c r="AH13" s="189">
        <v>84650.72</v>
      </c>
      <c r="AI13" s="189">
        <v>437609.93</v>
      </c>
      <c r="AJ13" s="189">
        <v>1289048.95</v>
      </c>
      <c r="AK13" s="189">
        <v>-7283064.75</v>
      </c>
      <c r="AL13" s="189">
        <v>-5112628.04</v>
      </c>
      <c r="AM13" s="189">
        <v>-22871620.550000001</v>
      </c>
      <c r="AN13" s="189">
        <v>11055072.869999999</v>
      </c>
      <c r="AO13" s="189">
        <v>62913701.07</v>
      </c>
      <c r="AP13" s="189">
        <v>49295350.840000004</v>
      </c>
      <c r="AQ13" s="189">
        <v>40749752.700000003</v>
      </c>
      <c r="AR13" s="189">
        <v>16222974.789999999</v>
      </c>
      <c r="AS13" s="189">
        <v>285100198.74000001</v>
      </c>
      <c r="AT13" s="189">
        <v>176738662.34</v>
      </c>
      <c r="AU13" s="189">
        <v>29295173.719999999</v>
      </c>
      <c r="AV13" s="189">
        <v>13882411.359999999</v>
      </c>
      <c r="AW13" s="189">
        <v>44407031.920000002</v>
      </c>
      <c r="AX13" s="189">
        <v>30964617.920000002</v>
      </c>
      <c r="AY13" s="189">
        <v>12989562.16</v>
      </c>
      <c r="AZ13" s="189">
        <v>4770261.76</v>
      </c>
      <c r="BA13" s="189">
        <v>26058281.710000001</v>
      </c>
      <c r="BB13" s="189">
        <v>22216810.960000001</v>
      </c>
      <c r="BC13" s="189">
        <v>10133181.210000001</v>
      </c>
      <c r="BD13" s="189">
        <v>6743770.8899999997</v>
      </c>
      <c r="BE13" s="189">
        <v>34636461.399999999</v>
      </c>
      <c r="BF13" s="189">
        <v>20534871.050000001</v>
      </c>
      <c r="BG13" s="189">
        <v>13568055.609999999</v>
      </c>
      <c r="BH13" s="189">
        <v>6386110.6600000001</v>
      </c>
      <c r="BI13" s="189">
        <v>56675673.390000001</v>
      </c>
      <c r="BJ13" s="189">
        <v>35962583.600000001</v>
      </c>
      <c r="BK13" s="189">
        <v>23739846.239999998</v>
      </c>
      <c r="BL13" s="189">
        <v>2932907.34</v>
      </c>
      <c r="BM13" s="189">
        <v>27405251.039999999</v>
      </c>
      <c r="BN13" s="189">
        <v>3713381.3</v>
      </c>
      <c r="BO13" s="189">
        <v>-10625718.93</v>
      </c>
      <c r="BP13" s="189">
        <v>4557679.6900000004</v>
      </c>
      <c r="BQ13" s="189">
        <v>21254694.370000001</v>
      </c>
      <c r="BR13" s="189">
        <v>14419224.66</v>
      </c>
      <c r="BS13" s="189">
        <v>17274579.829999998</v>
      </c>
      <c r="BT13" s="189">
        <v>6547700.0800000001</v>
      </c>
      <c r="BU13" s="189">
        <v>-24371562.48</v>
      </c>
      <c r="BV13" s="189">
        <v>-8975034.6300000008</v>
      </c>
      <c r="BW13" s="189">
        <v>-45646454.090000004</v>
      </c>
      <c r="BX13" s="189">
        <v>-11084069.25</v>
      </c>
      <c r="BY13" s="189">
        <v>-22740004.100000001</v>
      </c>
      <c r="BZ13" s="189">
        <v>-3442370</v>
      </c>
      <c r="CA13" s="189">
        <v>-12289828.140000001</v>
      </c>
      <c r="CB13" s="189">
        <v>-1266000</v>
      </c>
      <c r="CC13" s="189">
        <v>745986.91</v>
      </c>
      <c r="CD13" s="189">
        <v>0</v>
      </c>
      <c r="CE13" s="189">
        <v>0</v>
      </c>
      <c r="CF13" s="189">
        <v>0</v>
      </c>
    </row>
    <row r="14" spans="1:84" x14ac:dyDescent="0.25">
      <c r="A14" s="189" t="s">
        <v>201</v>
      </c>
      <c r="B14" s="189">
        <v>0</v>
      </c>
      <c r="C14" s="189">
        <v>0</v>
      </c>
      <c r="D14" s="189">
        <v>0</v>
      </c>
      <c r="E14" s="189">
        <v>0</v>
      </c>
      <c r="F14" s="189">
        <v>0</v>
      </c>
      <c r="G14" s="189">
        <v>0</v>
      </c>
      <c r="H14" s="189">
        <v>0</v>
      </c>
      <c r="I14" s="189">
        <v>0</v>
      </c>
      <c r="J14" s="189">
        <v>0</v>
      </c>
      <c r="K14" s="189">
        <v>0</v>
      </c>
      <c r="L14" s="189">
        <v>0</v>
      </c>
      <c r="M14" s="189">
        <v>-263002.03999999998</v>
      </c>
      <c r="N14" s="189">
        <v>0</v>
      </c>
      <c r="O14" s="189">
        <v>0</v>
      </c>
      <c r="P14" s="189">
        <v>0</v>
      </c>
      <c r="Q14" s="189">
        <v>-319108.43</v>
      </c>
      <c r="R14" s="189">
        <v>0</v>
      </c>
      <c r="S14" s="189">
        <v>0</v>
      </c>
      <c r="T14" s="189">
        <v>0</v>
      </c>
      <c r="U14" s="189">
        <v>-116701.92</v>
      </c>
      <c r="V14" s="189">
        <v>0</v>
      </c>
      <c r="W14" s="189">
        <v>0</v>
      </c>
      <c r="X14" s="189">
        <v>0</v>
      </c>
      <c r="Y14" s="189">
        <v>-143000.95000000001</v>
      </c>
      <c r="Z14" s="189">
        <v>0</v>
      </c>
      <c r="AA14" s="189">
        <v>0</v>
      </c>
      <c r="AB14" s="189">
        <v>0</v>
      </c>
      <c r="AC14" s="189">
        <v>0</v>
      </c>
      <c r="AD14" s="189">
        <v>24693027.379999999</v>
      </c>
      <c r="AE14" s="189">
        <v>-1078070.6299999999</v>
      </c>
      <c r="AF14" s="189">
        <v>-319761.06</v>
      </c>
      <c r="AG14" s="189">
        <v>0</v>
      </c>
      <c r="AH14" s="189">
        <v>0</v>
      </c>
      <c r="AI14" s="189">
        <v>0</v>
      </c>
      <c r="AJ14" s="189">
        <v>0</v>
      </c>
      <c r="AK14" s="189">
        <v>12248086.380000001</v>
      </c>
      <c r="AL14" s="189">
        <v>0</v>
      </c>
      <c r="AM14" s="189">
        <v>0</v>
      </c>
      <c r="AN14" s="189">
        <v>0</v>
      </c>
      <c r="AO14" s="189">
        <v>0</v>
      </c>
      <c r="AP14" s="189">
        <v>48596734.090000004</v>
      </c>
      <c r="AQ14" s="189">
        <v>40159135.950000003</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row>
    <row r="15" spans="1:84"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203</v>
      </c>
      <c r="B16" s="189">
        <v>1787132126.8099999</v>
      </c>
      <c r="C16" s="189">
        <v>1222299564.0599999</v>
      </c>
      <c r="D16" s="189">
        <v>692220744.49000001</v>
      </c>
      <c r="E16" s="189">
        <v>2048866736.5</v>
      </c>
      <c r="F16" s="189">
        <v>1528333853.27</v>
      </c>
      <c r="G16" s="189">
        <v>968461850.35000002</v>
      </c>
      <c r="H16" s="189">
        <v>505559413.70999998</v>
      </c>
      <c r="I16" s="189">
        <v>1554025314.6900001</v>
      </c>
      <c r="J16" s="189">
        <v>1237628048.5</v>
      </c>
      <c r="K16" s="189">
        <v>772974587.05999994</v>
      </c>
      <c r="L16" s="189">
        <v>421728627.99000001</v>
      </c>
      <c r="M16" s="189">
        <v>1210303981.45</v>
      </c>
      <c r="N16" s="189">
        <v>904845892.35000002</v>
      </c>
      <c r="O16" s="189">
        <v>567817578.35000002</v>
      </c>
      <c r="P16" s="189">
        <v>322317040.07999998</v>
      </c>
      <c r="Q16" s="189">
        <v>908408806.48000002</v>
      </c>
      <c r="R16" s="189">
        <v>672106035.57000005</v>
      </c>
      <c r="S16" s="189">
        <v>409934348.44999999</v>
      </c>
      <c r="T16" s="189">
        <v>213771534.21000001</v>
      </c>
      <c r="U16" s="189">
        <v>521442323.19</v>
      </c>
      <c r="V16" s="189">
        <v>415298964.00999999</v>
      </c>
      <c r="W16" s="189">
        <v>268694412.88999999</v>
      </c>
      <c r="X16" s="189">
        <v>139556583.36000001</v>
      </c>
      <c r="Y16" s="189">
        <v>404456170.63999999</v>
      </c>
      <c r="Z16" s="189">
        <v>352856326.58999997</v>
      </c>
      <c r="AA16" s="189">
        <v>252798018.99000001</v>
      </c>
      <c r="AB16" s="189">
        <v>152863768.81999999</v>
      </c>
      <c r="AC16" s="189">
        <v>593269277.10000002</v>
      </c>
      <c r="AD16" s="189">
        <v>566105574.40999997</v>
      </c>
      <c r="AE16" s="189">
        <v>390459337.37</v>
      </c>
      <c r="AF16" s="189">
        <v>176354743.03</v>
      </c>
      <c r="AG16" s="189">
        <v>668243530.04999995</v>
      </c>
      <c r="AH16" s="189">
        <v>319892251.37</v>
      </c>
      <c r="AI16" s="189">
        <v>218854918.52000001</v>
      </c>
      <c r="AJ16" s="189">
        <v>100560926.34999999</v>
      </c>
      <c r="AK16" s="189">
        <v>199823819.56999999</v>
      </c>
      <c r="AL16" s="189">
        <v>154849079.94</v>
      </c>
      <c r="AM16" s="189">
        <v>59481300.049999997</v>
      </c>
      <c r="AN16" s="189">
        <v>29854931.59</v>
      </c>
      <c r="AO16" s="189">
        <v>41894012.310000002</v>
      </c>
      <c r="AP16" s="189">
        <v>160286827.06999999</v>
      </c>
      <c r="AQ16" s="189">
        <v>102551992.34</v>
      </c>
      <c r="AR16" s="189">
        <v>46813552.880000003</v>
      </c>
      <c r="AS16" s="189">
        <v>426691046.17000002</v>
      </c>
      <c r="AT16" s="189">
        <v>236163566.56</v>
      </c>
      <c r="AU16" s="189">
        <v>68819171.909999996</v>
      </c>
      <c r="AV16" s="189">
        <v>27140115.82</v>
      </c>
      <c r="AW16" s="189">
        <v>44229229.229999997</v>
      </c>
      <c r="AX16" s="189">
        <v>51077090.149999999</v>
      </c>
      <c r="AY16" s="189">
        <v>38444227.840000004</v>
      </c>
      <c r="AZ16" s="189">
        <v>17454925.039999999</v>
      </c>
      <c r="BA16" s="189">
        <v>53425021.659999996</v>
      </c>
      <c r="BB16" s="189">
        <v>31026966.27</v>
      </c>
      <c r="BC16" s="189">
        <v>27328206.050000001</v>
      </c>
      <c r="BD16" s="189">
        <v>17039484.789999999</v>
      </c>
      <c r="BE16" s="189">
        <v>50444555.460000001</v>
      </c>
      <c r="BF16" s="189">
        <v>56717920.270000003</v>
      </c>
      <c r="BG16" s="189">
        <v>44370781.140000001</v>
      </c>
      <c r="BH16" s="189">
        <v>12210194.82</v>
      </c>
      <c r="BI16" s="189">
        <v>78226260.209999993</v>
      </c>
      <c r="BJ16" s="189">
        <v>28071843.010000002</v>
      </c>
      <c r="BK16" s="189">
        <v>4161236.76</v>
      </c>
      <c r="BL16" s="189">
        <v>10896399.539999999</v>
      </c>
      <c r="BM16" s="189">
        <v>-600417887.29999995</v>
      </c>
      <c r="BN16" s="189">
        <v>36569834.390000001</v>
      </c>
      <c r="BO16" s="189">
        <v>41787887.57</v>
      </c>
      <c r="BP16" s="189">
        <v>27449738.300000001</v>
      </c>
      <c r="BQ16" s="189">
        <v>479810.75</v>
      </c>
      <c r="BR16" s="189">
        <v>113000737.95999999</v>
      </c>
      <c r="BS16" s="189">
        <v>244531918.33000001</v>
      </c>
      <c r="BT16" s="189">
        <v>148429392.00999999</v>
      </c>
      <c r="BU16" s="189">
        <v>271156636.64999998</v>
      </c>
      <c r="BV16" s="189">
        <v>173182740.97999999</v>
      </c>
      <c r="BW16" s="189">
        <v>285656558.36000001</v>
      </c>
      <c r="BX16" s="189">
        <v>168646530.69999999</v>
      </c>
      <c r="BY16" s="189">
        <v>328000832.73000002</v>
      </c>
      <c r="BZ16" s="189">
        <v>134564860</v>
      </c>
      <c r="CA16" s="189">
        <v>220839950.75</v>
      </c>
      <c r="CB16" s="189">
        <v>115658000</v>
      </c>
      <c r="CC16" s="189">
        <v>179126259.99000001</v>
      </c>
      <c r="CD16" s="189">
        <v>131142193.81999999</v>
      </c>
      <c r="CE16" s="189">
        <v>52857998.969999999</v>
      </c>
      <c r="CF16" s="189">
        <v>0</v>
      </c>
    </row>
    <row r="17" spans="1:84" x14ac:dyDescent="0.25">
      <c r="A17" s="189" t="s">
        <v>204</v>
      </c>
      <c r="B17" s="189">
        <v>12196548.699999999</v>
      </c>
      <c r="C17" s="189">
        <v>7366461.8700000001</v>
      </c>
      <c r="D17" s="189">
        <v>2325811.4500000002</v>
      </c>
      <c r="E17" s="189">
        <v>17448715.84</v>
      </c>
      <c r="F17" s="189">
        <v>23994408.02</v>
      </c>
      <c r="G17" s="189">
        <v>15623753.300000001</v>
      </c>
      <c r="H17" s="189">
        <v>12773084.59</v>
      </c>
      <c r="I17" s="189">
        <v>38975400.740000002</v>
      </c>
      <c r="J17" s="189">
        <v>30937449.390000001</v>
      </c>
      <c r="K17" s="189">
        <v>21485985.760000002</v>
      </c>
      <c r="L17" s="189">
        <v>7684539.4900000002</v>
      </c>
      <c r="M17" s="189">
        <v>63387660.890000001</v>
      </c>
      <c r="N17" s="189">
        <v>36267977.299999997</v>
      </c>
      <c r="O17" s="189">
        <v>14656202.67</v>
      </c>
      <c r="P17" s="189">
        <v>7526310.7000000002</v>
      </c>
      <c r="Q17" s="189">
        <v>39803014.020000003</v>
      </c>
      <c r="R17" s="189">
        <v>27217146.859999999</v>
      </c>
      <c r="S17" s="189">
        <v>11614209.800000001</v>
      </c>
      <c r="T17" s="189">
        <v>6932588.4100000001</v>
      </c>
      <c r="U17" s="189">
        <v>40374853.390000001</v>
      </c>
      <c r="V17" s="189">
        <v>29278637.870000001</v>
      </c>
      <c r="W17" s="189">
        <v>17650895.210000001</v>
      </c>
      <c r="X17" s="189">
        <v>5349057.97</v>
      </c>
      <c r="Y17" s="189">
        <v>52003988.560000002</v>
      </c>
      <c r="Z17" s="189">
        <v>27501683.280000001</v>
      </c>
      <c r="AA17" s="189">
        <v>19060727.43</v>
      </c>
      <c r="AB17" s="189">
        <v>7882917.5700000003</v>
      </c>
      <c r="AC17" s="189">
        <v>97259519.239999995</v>
      </c>
      <c r="AD17" s="189">
        <v>60080831.420000002</v>
      </c>
      <c r="AE17" s="189">
        <v>35813800.82</v>
      </c>
      <c r="AF17" s="189">
        <v>24835208.149999999</v>
      </c>
      <c r="AG17" s="189">
        <v>73874151.620000005</v>
      </c>
      <c r="AH17" s="189">
        <v>30447608.359999999</v>
      </c>
      <c r="AI17" s="189">
        <v>10486261.859999999</v>
      </c>
      <c r="AJ17" s="189">
        <v>2753456.83</v>
      </c>
      <c r="AK17" s="189">
        <v>110412874.45</v>
      </c>
      <c r="AL17" s="189">
        <v>23714039.579999998</v>
      </c>
      <c r="AM17" s="189">
        <v>19428152.670000002</v>
      </c>
      <c r="AN17" s="189">
        <v>16751638.84</v>
      </c>
      <c r="AO17" s="189">
        <v>21839201.23</v>
      </c>
      <c r="AP17" s="189">
        <v>15734243.779999999</v>
      </c>
      <c r="AQ17" s="189">
        <v>8109748.7199999997</v>
      </c>
      <c r="AR17" s="189">
        <v>2722818.91</v>
      </c>
      <c r="AS17" s="189">
        <v>26142858.59</v>
      </c>
      <c r="AT17" s="189">
        <v>6861704.7300000004</v>
      </c>
      <c r="AU17" s="189">
        <v>3460931.42</v>
      </c>
      <c r="AV17" s="189">
        <v>1158286.4099999999</v>
      </c>
      <c r="AW17" s="189">
        <v>4357303.3499999996</v>
      </c>
      <c r="AX17" s="189">
        <v>1853113.63</v>
      </c>
      <c r="AY17" s="189">
        <v>1091093.21</v>
      </c>
      <c r="AZ17" s="189">
        <v>97605.42</v>
      </c>
      <c r="BA17" s="189">
        <v>6043604.6100000003</v>
      </c>
      <c r="BB17" s="189">
        <v>1049610.32</v>
      </c>
      <c r="BC17" s="189">
        <v>732360.26</v>
      </c>
      <c r="BD17" s="189">
        <v>187701.11</v>
      </c>
      <c r="BE17" s="189">
        <v>13271773.77</v>
      </c>
      <c r="BF17" s="189">
        <v>8571048.7400000002</v>
      </c>
      <c r="BG17" s="189">
        <v>5862613.9299999997</v>
      </c>
      <c r="BH17" s="189">
        <v>1292333.6399999999</v>
      </c>
      <c r="BI17" s="189">
        <v>3139781.32</v>
      </c>
      <c r="BJ17" s="189">
        <v>875399.8</v>
      </c>
      <c r="BK17" s="189">
        <v>788620.06</v>
      </c>
      <c r="BL17" s="189">
        <v>165978.84</v>
      </c>
      <c r="BM17" s="189">
        <v>800750.89</v>
      </c>
      <c r="BN17" s="189">
        <v>715205.97</v>
      </c>
      <c r="BO17" s="189">
        <v>235574.92</v>
      </c>
      <c r="BP17" s="189">
        <v>199957.73</v>
      </c>
      <c r="BQ17" s="189">
        <v>934006.23</v>
      </c>
      <c r="BR17" s="189">
        <v>646877.68000000005</v>
      </c>
      <c r="BS17" s="189">
        <v>2325710.39</v>
      </c>
      <c r="BT17" s="189">
        <v>362773.75</v>
      </c>
      <c r="BU17" s="189">
        <v>2362374.6</v>
      </c>
      <c r="BV17" s="189">
        <v>410323.67</v>
      </c>
      <c r="BW17" s="189">
        <v>1945874.99</v>
      </c>
      <c r="BX17" s="189">
        <v>228882.71</v>
      </c>
      <c r="BY17" s="189">
        <v>1740376.11</v>
      </c>
      <c r="BZ17" s="189">
        <v>0</v>
      </c>
      <c r="CA17" s="189">
        <v>28331.79</v>
      </c>
      <c r="CB17" s="189">
        <v>0</v>
      </c>
      <c r="CC17" s="189">
        <v>435469.21</v>
      </c>
      <c r="CD17" s="189">
        <v>0</v>
      </c>
      <c r="CE17" s="189">
        <v>0</v>
      </c>
      <c r="CF17" s="189">
        <v>0</v>
      </c>
    </row>
    <row r="18" spans="1:84" x14ac:dyDescent="0.25">
      <c r="A18" s="189" t="s">
        <v>205</v>
      </c>
      <c r="B18" s="189">
        <v>1487734.84</v>
      </c>
      <c r="C18" s="189">
        <v>790740.84</v>
      </c>
      <c r="D18" s="189">
        <v>174119.84</v>
      </c>
      <c r="E18" s="189">
        <v>1620508.98</v>
      </c>
      <c r="F18" s="189">
        <v>3153092.92</v>
      </c>
      <c r="G18" s="189">
        <v>3079657.86</v>
      </c>
      <c r="H18" s="189">
        <v>331135.40999999997</v>
      </c>
      <c r="I18" s="189">
        <v>8573686.4399999995</v>
      </c>
      <c r="J18" s="189">
        <v>3941368.67</v>
      </c>
      <c r="K18" s="189">
        <v>2234905.37</v>
      </c>
      <c r="L18" s="189">
        <v>2293319.12</v>
      </c>
      <c r="M18" s="189">
        <v>48270024.409999996</v>
      </c>
      <c r="N18" s="189">
        <v>8452933.8800000008</v>
      </c>
      <c r="O18" s="189">
        <v>5048356.25</v>
      </c>
      <c r="P18" s="189">
        <v>3391414.54</v>
      </c>
      <c r="Q18" s="189">
        <v>14209147.210000001</v>
      </c>
      <c r="R18" s="189">
        <v>7628798.7800000003</v>
      </c>
      <c r="S18" s="189">
        <v>4748238.66</v>
      </c>
      <c r="T18" s="189">
        <v>1408605.94</v>
      </c>
      <c r="U18" s="189">
        <v>13195868.57</v>
      </c>
      <c r="V18" s="189">
        <v>14486580.26</v>
      </c>
      <c r="W18" s="189">
        <v>7432491.9400000004</v>
      </c>
      <c r="X18" s="189">
        <v>3254442.84</v>
      </c>
      <c r="Y18" s="189">
        <v>10888538.789999999</v>
      </c>
      <c r="Z18" s="189">
        <v>5399416.2800000003</v>
      </c>
      <c r="AA18" s="189">
        <v>3687447.12</v>
      </c>
      <c r="AB18" s="189">
        <v>7439123.0999999996</v>
      </c>
      <c r="AC18" s="189">
        <v>20155696.079999998</v>
      </c>
      <c r="AD18" s="189">
        <v>11658099.15</v>
      </c>
      <c r="AE18" s="189">
        <v>8532952.8900000006</v>
      </c>
      <c r="AF18" s="189">
        <v>4290049.45</v>
      </c>
      <c r="AG18" s="189">
        <v>20436073.18</v>
      </c>
      <c r="AH18" s="189">
        <v>12259198.810000001</v>
      </c>
      <c r="AI18" s="189">
        <v>11214489.91</v>
      </c>
      <c r="AJ18" s="189">
        <v>3387664.18</v>
      </c>
      <c r="AK18" s="189">
        <v>32614370.879999999</v>
      </c>
      <c r="AL18" s="189">
        <v>19356899.98</v>
      </c>
      <c r="AM18" s="189">
        <v>7246470.3399999999</v>
      </c>
      <c r="AN18" s="189">
        <v>2649092.7599999998</v>
      </c>
      <c r="AO18" s="189">
        <v>24118053.140000001</v>
      </c>
      <c r="AP18" s="189">
        <v>17088878.16</v>
      </c>
      <c r="AQ18" s="189">
        <v>12086035.310000001</v>
      </c>
      <c r="AR18" s="189">
        <v>5720311.4800000004</v>
      </c>
      <c r="AS18" s="189">
        <v>33848137.509999998</v>
      </c>
      <c r="AT18" s="189">
        <v>13080049.59</v>
      </c>
      <c r="AU18" s="189">
        <v>8509781.6799999997</v>
      </c>
      <c r="AV18" s="189">
        <v>5125123.82</v>
      </c>
      <c r="AW18" s="189">
        <v>20858856.379999999</v>
      </c>
      <c r="AX18" s="189">
        <v>13657459.1</v>
      </c>
      <c r="AY18" s="189">
        <v>9008328.3100000005</v>
      </c>
      <c r="AZ18" s="189">
        <v>4885916.18</v>
      </c>
      <c r="BA18" s="189">
        <v>17116290.98</v>
      </c>
      <c r="BB18" s="189">
        <v>9779757.2699999996</v>
      </c>
      <c r="BC18" s="189">
        <v>6457339.6500000004</v>
      </c>
      <c r="BD18" s="189">
        <v>3402849.4</v>
      </c>
      <c r="BE18" s="189">
        <v>15137864.66</v>
      </c>
      <c r="BF18" s="189">
        <v>11513524.15</v>
      </c>
      <c r="BG18" s="189">
        <v>9963923.1600000001</v>
      </c>
      <c r="BH18" s="189">
        <v>7897218.3399999999</v>
      </c>
      <c r="BI18" s="189">
        <v>19130930.899999999</v>
      </c>
      <c r="BJ18" s="189">
        <v>18733882.260000002</v>
      </c>
      <c r="BK18" s="189">
        <v>15730263.359999999</v>
      </c>
      <c r="BL18" s="189">
        <v>3140410.64</v>
      </c>
      <c r="BM18" s="189">
        <v>37351794.340000004</v>
      </c>
      <c r="BN18" s="189">
        <v>8231152.54</v>
      </c>
      <c r="BO18" s="189">
        <v>5311702.17</v>
      </c>
      <c r="BP18" s="189">
        <v>2926065.1</v>
      </c>
      <c r="BQ18" s="189">
        <v>8112096.8099999996</v>
      </c>
      <c r="BR18" s="189">
        <v>2365626.84</v>
      </c>
      <c r="BS18" s="189">
        <v>10319649.119999999</v>
      </c>
      <c r="BT18" s="189">
        <v>5041034.0599999996</v>
      </c>
      <c r="BU18" s="189">
        <v>8997463.0999999996</v>
      </c>
      <c r="BV18" s="189">
        <v>3861132.6</v>
      </c>
      <c r="BW18" s="189">
        <v>5437001.0099999998</v>
      </c>
      <c r="BX18" s="189">
        <v>2498876.46</v>
      </c>
      <c r="BY18" s="189">
        <v>5614032.1500000004</v>
      </c>
      <c r="BZ18" s="189">
        <v>0</v>
      </c>
      <c r="CA18" s="189">
        <v>3694804.75</v>
      </c>
      <c r="CB18" s="189">
        <v>0</v>
      </c>
      <c r="CC18" s="189">
        <v>4987480.99</v>
      </c>
      <c r="CD18" s="189">
        <v>0</v>
      </c>
      <c r="CE18" s="189">
        <v>0</v>
      </c>
      <c r="CF18" s="189">
        <v>0</v>
      </c>
    </row>
    <row r="19" spans="1:84" x14ac:dyDescent="0.25">
      <c r="A19" s="189" t="s">
        <v>206</v>
      </c>
      <c r="B19" s="189">
        <v>0</v>
      </c>
      <c r="C19" s="189">
        <v>0</v>
      </c>
      <c r="D19" s="189">
        <v>0</v>
      </c>
      <c r="E19" s="189">
        <v>0</v>
      </c>
      <c r="F19" s="189">
        <v>2297064.23</v>
      </c>
      <c r="G19" s="189">
        <v>2254629.17</v>
      </c>
      <c r="H19" s="189">
        <v>24360</v>
      </c>
      <c r="I19" s="189">
        <v>2841820.22</v>
      </c>
      <c r="J19" s="189">
        <v>609898.07999999996</v>
      </c>
      <c r="K19" s="189">
        <v>238583.97</v>
      </c>
      <c r="L19" s="189">
        <v>0</v>
      </c>
      <c r="M19" s="189">
        <v>724567.38</v>
      </c>
      <c r="N19" s="189">
        <v>0</v>
      </c>
      <c r="O19" s="189">
        <v>1767090.74</v>
      </c>
      <c r="P19" s="189">
        <v>0</v>
      </c>
      <c r="Q19" s="189">
        <v>6272775.0700000003</v>
      </c>
      <c r="R19" s="189">
        <v>0</v>
      </c>
      <c r="S19" s="189">
        <v>0</v>
      </c>
      <c r="T19" s="189">
        <v>0</v>
      </c>
      <c r="U19" s="189">
        <v>3962772.35</v>
      </c>
      <c r="V19" s="189">
        <v>0</v>
      </c>
      <c r="W19" s="189">
        <v>0</v>
      </c>
      <c r="X19" s="189">
        <v>0</v>
      </c>
      <c r="Y19" s="189">
        <v>5461998.0499999998</v>
      </c>
      <c r="Z19" s="189">
        <v>0</v>
      </c>
      <c r="AA19" s="189">
        <v>0</v>
      </c>
      <c r="AB19" s="189">
        <v>0</v>
      </c>
      <c r="AC19" s="189">
        <v>0</v>
      </c>
      <c r="AD19" s="189">
        <v>2376359.89</v>
      </c>
      <c r="AE19" s="189">
        <v>2017512.26</v>
      </c>
      <c r="AF19" s="189">
        <v>1841560.4</v>
      </c>
      <c r="AG19" s="189">
        <v>0</v>
      </c>
      <c r="AH19" s="189">
        <v>0</v>
      </c>
      <c r="AI19" s="189">
        <v>0</v>
      </c>
      <c r="AJ19" s="189">
        <v>0</v>
      </c>
      <c r="AK19" s="189">
        <v>0</v>
      </c>
      <c r="AL19" s="189">
        <v>0</v>
      </c>
      <c r="AM19" s="189">
        <v>0</v>
      </c>
      <c r="AN19" s="189">
        <v>0</v>
      </c>
      <c r="AO19" s="189">
        <v>0</v>
      </c>
      <c r="AP19" s="189">
        <v>4188427.7</v>
      </c>
      <c r="AQ19" s="189">
        <v>2281435.9300000002</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207</v>
      </c>
      <c r="B20" s="189">
        <v>1797840940.6700001</v>
      </c>
      <c r="C20" s="189">
        <v>1228875285.0899999</v>
      </c>
      <c r="D20" s="189">
        <v>694372436.10000002</v>
      </c>
      <c r="E20" s="189">
        <v>2064694943.3599999</v>
      </c>
      <c r="F20" s="189">
        <v>1549175168.3699999</v>
      </c>
      <c r="G20" s="189">
        <v>981005945.78999996</v>
      </c>
      <c r="H20" s="189">
        <v>518001362.88999999</v>
      </c>
      <c r="I20" s="189">
        <v>1584427028.99</v>
      </c>
      <c r="J20" s="189">
        <v>1264624129.22</v>
      </c>
      <c r="K20" s="189">
        <v>792225667.45000005</v>
      </c>
      <c r="L20" s="189">
        <v>427119848.36000001</v>
      </c>
      <c r="M20" s="189">
        <v>1225421617.9300001</v>
      </c>
      <c r="N20" s="189">
        <v>932660935.76999998</v>
      </c>
      <c r="O20" s="189">
        <v>577425424.76999998</v>
      </c>
      <c r="P20" s="189">
        <v>326451936.24000001</v>
      </c>
      <c r="Q20" s="189">
        <v>934002673.28999996</v>
      </c>
      <c r="R20" s="189">
        <v>691694383.64999998</v>
      </c>
      <c r="S20" s="189">
        <v>416800319.58999997</v>
      </c>
      <c r="T20" s="189">
        <v>219295516.68000001</v>
      </c>
      <c r="U20" s="189">
        <v>548621308.00999999</v>
      </c>
      <c r="V20" s="189">
        <v>430091021.62</v>
      </c>
      <c r="W20" s="189">
        <v>278912816.16000003</v>
      </c>
      <c r="X20" s="189">
        <v>141651198.49000001</v>
      </c>
      <c r="Y20" s="189">
        <v>445571620.41000003</v>
      </c>
      <c r="Z20" s="189">
        <v>374958593.58999997</v>
      </c>
      <c r="AA20" s="189">
        <v>268171299.30000001</v>
      </c>
      <c r="AB20" s="189">
        <v>153307563.28999999</v>
      </c>
      <c r="AC20" s="189">
        <v>670373100.25999999</v>
      </c>
      <c r="AD20" s="189">
        <v>614528306.67999995</v>
      </c>
      <c r="AE20" s="189">
        <v>417740185.30000001</v>
      </c>
      <c r="AF20" s="189">
        <v>196899901.72999999</v>
      </c>
      <c r="AG20" s="189">
        <v>721681608.49000001</v>
      </c>
      <c r="AH20" s="189">
        <v>338080660.92000002</v>
      </c>
      <c r="AI20" s="189">
        <v>218126690.47</v>
      </c>
      <c r="AJ20" s="189">
        <v>99926719</v>
      </c>
      <c r="AK20" s="189">
        <v>277622323.13999999</v>
      </c>
      <c r="AL20" s="189">
        <v>159206219.53999999</v>
      </c>
      <c r="AM20" s="189">
        <v>71662982.379999995</v>
      </c>
      <c r="AN20" s="189">
        <v>43957477.670000002</v>
      </c>
      <c r="AO20" s="189">
        <v>39615160.399999999</v>
      </c>
      <c r="AP20" s="189">
        <v>158932192.69</v>
      </c>
      <c r="AQ20" s="189">
        <v>98575705.75</v>
      </c>
      <c r="AR20" s="189">
        <v>43816060.310000002</v>
      </c>
      <c r="AS20" s="189">
        <v>418985767.25</v>
      </c>
      <c r="AT20" s="189">
        <v>229945221.69999999</v>
      </c>
      <c r="AU20" s="189">
        <v>63770321.649999999</v>
      </c>
      <c r="AV20" s="189">
        <v>23173278.41</v>
      </c>
      <c r="AW20" s="189">
        <v>27727676.199999999</v>
      </c>
      <c r="AX20" s="189">
        <v>39272744.68</v>
      </c>
      <c r="AY20" s="189">
        <v>30526992.739999998</v>
      </c>
      <c r="AZ20" s="189">
        <v>12666614.279999999</v>
      </c>
      <c r="BA20" s="189">
        <v>42352335.289999999</v>
      </c>
      <c r="BB20" s="189">
        <v>22296819.32</v>
      </c>
      <c r="BC20" s="189">
        <v>21603226.66</v>
      </c>
      <c r="BD20" s="189">
        <v>13824336.5</v>
      </c>
      <c r="BE20" s="189">
        <v>48578464.57</v>
      </c>
      <c r="BF20" s="189">
        <v>53775444.859999999</v>
      </c>
      <c r="BG20" s="189">
        <v>40269471.909999996</v>
      </c>
      <c r="BH20" s="189">
        <v>5605310.1200000001</v>
      </c>
      <c r="BI20" s="189">
        <v>62235110.630000003</v>
      </c>
      <c r="BJ20" s="189">
        <v>10213360.550000001</v>
      </c>
      <c r="BK20" s="189">
        <v>-10780406.539999999</v>
      </c>
      <c r="BL20" s="189">
        <v>7921967.7400000002</v>
      </c>
      <c r="BM20" s="189">
        <v>-636968930.75</v>
      </c>
      <c r="BN20" s="189">
        <v>29053887.82</v>
      </c>
      <c r="BO20" s="189">
        <v>36711760.32</v>
      </c>
      <c r="BP20" s="189">
        <v>24723630.93</v>
      </c>
      <c r="BQ20" s="189">
        <v>-6698279.8300000001</v>
      </c>
      <c r="BR20" s="189">
        <v>111281988.8</v>
      </c>
      <c r="BS20" s="189">
        <v>236537979.59999999</v>
      </c>
      <c r="BT20" s="189">
        <v>143751131.69999999</v>
      </c>
      <c r="BU20" s="189">
        <v>264521548.15000001</v>
      </c>
      <c r="BV20" s="189">
        <v>169731932.05000001</v>
      </c>
      <c r="BW20" s="189">
        <v>282165432.33999997</v>
      </c>
      <c r="BX20" s="189">
        <v>166376536.94999999</v>
      </c>
      <c r="BY20" s="189">
        <v>324127176.69</v>
      </c>
      <c r="BZ20" s="189">
        <v>134564860</v>
      </c>
      <c r="CA20" s="189">
        <v>217173477.78999999</v>
      </c>
      <c r="CB20" s="189">
        <v>115658000</v>
      </c>
      <c r="CC20" s="189">
        <v>174574248.21000001</v>
      </c>
      <c r="CD20" s="189">
        <v>131142193.81999999</v>
      </c>
      <c r="CE20" s="189">
        <v>52857998.969999999</v>
      </c>
      <c r="CF20" s="189">
        <v>0</v>
      </c>
    </row>
    <row r="21" spans="1:84" x14ac:dyDescent="0.25">
      <c r="A21" s="189" t="s">
        <v>208</v>
      </c>
      <c r="B21" s="189">
        <v>295616684.07999998</v>
      </c>
      <c r="C21" s="189">
        <v>225410775.47999999</v>
      </c>
      <c r="D21" s="189">
        <v>124973358.33</v>
      </c>
      <c r="E21" s="189">
        <v>356274657.61000001</v>
      </c>
      <c r="F21" s="189">
        <v>235865857.86000001</v>
      </c>
      <c r="G21" s="189">
        <v>148245695.78</v>
      </c>
      <c r="H21" s="189">
        <v>79585643.439999998</v>
      </c>
      <c r="I21" s="189">
        <v>241651767.11000001</v>
      </c>
      <c r="J21" s="189">
        <v>200130598.37</v>
      </c>
      <c r="K21" s="189">
        <v>127302391.75</v>
      </c>
      <c r="L21" s="189">
        <v>66073486.700000003</v>
      </c>
      <c r="M21" s="189">
        <v>172296831.78</v>
      </c>
      <c r="N21" s="189">
        <v>133944603.89</v>
      </c>
      <c r="O21" s="189">
        <v>78916402.709999993</v>
      </c>
      <c r="P21" s="189">
        <v>49288455.119999997</v>
      </c>
      <c r="Q21" s="189">
        <v>143176568.97999999</v>
      </c>
      <c r="R21" s="189">
        <v>109380840.22</v>
      </c>
      <c r="S21" s="189">
        <v>66436602.590000004</v>
      </c>
      <c r="T21" s="189">
        <v>31602176.949999999</v>
      </c>
      <c r="U21" s="189">
        <v>73863608.219999999</v>
      </c>
      <c r="V21" s="189">
        <v>65599413.960000001</v>
      </c>
      <c r="W21" s="189">
        <v>42992351.93</v>
      </c>
      <c r="X21" s="189">
        <v>21447270.34</v>
      </c>
      <c r="Y21" s="189">
        <v>66735452.950000003</v>
      </c>
      <c r="Z21" s="189">
        <v>50434192.5</v>
      </c>
      <c r="AA21" s="189">
        <v>34029106.950000003</v>
      </c>
      <c r="AB21" s="189">
        <v>23758255.75</v>
      </c>
      <c r="AC21" s="189">
        <v>131808348.7</v>
      </c>
      <c r="AD21" s="189">
        <v>115569220.15000001</v>
      </c>
      <c r="AE21" s="189">
        <v>84435392.659999996</v>
      </c>
      <c r="AF21" s="189">
        <v>32768641.609999999</v>
      </c>
      <c r="AG21" s="189">
        <v>111943594.04000001</v>
      </c>
      <c r="AH21" s="189">
        <v>53847767.289999999</v>
      </c>
      <c r="AI21" s="189">
        <v>36586018.719999999</v>
      </c>
      <c r="AJ21" s="189">
        <v>15210768.869999999</v>
      </c>
      <c r="AK21" s="189">
        <v>55928893.549999997</v>
      </c>
      <c r="AL21" s="189">
        <v>23815385.109999999</v>
      </c>
      <c r="AM21" s="189">
        <v>8954660.9600000009</v>
      </c>
      <c r="AN21" s="189">
        <v>8088837.9299999997</v>
      </c>
      <c r="AO21" s="189">
        <v>14607326.939999999</v>
      </c>
      <c r="AP21" s="189">
        <v>41944721.200000003</v>
      </c>
      <c r="AQ21" s="189">
        <v>27776218.809999999</v>
      </c>
      <c r="AR21" s="189">
        <v>8115013.5800000001</v>
      </c>
      <c r="AS21" s="189">
        <v>72074565.709999993</v>
      </c>
      <c r="AT21" s="189">
        <v>18532907.170000002</v>
      </c>
      <c r="AU21" s="189">
        <v>8748547.2599999998</v>
      </c>
      <c r="AV21" s="189">
        <v>5782941.2400000002</v>
      </c>
      <c r="AW21" s="189">
        <v>16250086.6</v>
      </c>
      <c r="AX21" s="189">
        <v>5871341.96</v>
      </c>
      <c r="AY21" s="189">
        <v>5586814.9699999997</v>
      </c>
      <c r="AZ21" s="189">
        <v>852390.2</v>
      </c>
      <c r="BA21" s="189">
        <v>8200839.7300000004</v>
      </c>
      <c r="BB21" s="189">
        <v>1547169.57</v>
      </c>
      <c r="BC21" s="189">
        <v>1670112.12</v>
      </c>
      <c r="BD21" s="189">
        <v>1400002.36</v>
      </c>
      <c r="BE21" s="189">
        <v>8647510.0199999996</v>
      </c>
      <c r="BF21" s="189">
        <v>14149383.75</v>
      </c>
      <c r="BG21" s="189">
        <v>6361492.7800000003</v>
      </c>
      <c r="BH21" s="189">
        <v>1829394.91</v>
      </c>
      <c r="BI21" s="189">
        <v>14648223.16</v>
      </c>
      <c r="BJ21" s="189">
        <v>7723545.4000000004</v>
      </c>
      <c r="BK21" s="189">
        <v>6745211.8600000003</v>
      </c>
      <c r="BL21" s="189">
        <v>2692657.36</v>
      </c>
      <c r="BM21" s="189">
        <v>8567968.0800000001</v>
      </c>
      <c r="BN21" s="189">
        <v>16815097.780000001</v>
      </c>
      <c r="BO21" s="189">
        <v>12126463.49</v>
      </c>
      <c r="BP21" s="189">
        <v>10693541.310000001</v>
      </c>
      <c r="BQ21" s="189">
        <v>48744017.509999998</v>
      </c>
      <c r="BR21" s="189">
        <v>19695816.390000001</v>
      </c>
      <c r="BS21" s="189">
        <v>41976926.869999997</v>
      </c>
      <c r="BT21" s="189">
        <v>24816640.73</v>
      </c>
      <c r="BU21" s="189">
        <v>68361348.510000005</v>
      </c>
      <c r="BV21" s="189">
        <v>36137562.890000001</v>
      </c>
      <c r="BW21" s="189">
        <v>64620217.200000003</v>
      </c>
      <c r="BX21" s="189">
        <v>31910918.52</v>
      </c>
      <c r="BY21" s="189">
        <v>58314806.049999997</v>
      </c>
      <c r="BZ21" s="189">
        <v>19864020</v>
      </c>
      <c r="CA21" s="189">
        <v>36217246.880000003</v>
      </c>
      <c r="CB21" s="189">
        <v>16912000</v>
      </c>
      <c r="CC21" s="189">
        <v>25845369.120000001</v>
      </c>
      <c r="CD21" s="189">
        <v>0</v>
      </c>
      <c r="CE21" s="189">
        <v>0</v>
      </c>
      <c r="CF21" s="189">
        <v>0</v>
      </c>
    </row>
    <row r="22" spans="1:84" x14ac:dyDescent="0.25">
      <c r="A22" s="189" t="s">
        <v>209</v>
      </c>
      <c r="B22" s="189">
        <v>1502224256.5899999</v>
      </c>
      <c r="C22" s="189">
        <v>1003464509.61</v>
      </c>
      <c r="D22" s="189">
        <v>569399077.76999998</v>
      </c>
      <c r="E22" s="189">
        <v>1708420285.75</v>
      </c>
      <c r="F22" s="189">
        <v>1313309310.51</v>
      </c>
      <c r="G22" s="189">
        <v>832760250.00999999</v>
      </c>
      <c r="H22" s="189">
        <v>438415719.44999999</v>
      </c>
      <c r="I22" s="189">
        <v>1342775261.8800001</v>
      </c>
      <c r="J22" s="189">
        <v>1064493530.85</v>
      </c>
      <c r="K22" s="189">
        <v>664923275.70000005</v>
      </c>
      <c r="L22" s="189">
        <v>361046361.66000003</v>
      </c>
      <c r="M22" s="189">
        <v>1053124786.15</v>
      </c>
      <c r="N22" s="189">
        <v>798716331.88</v>
      </c>
      <c r="O22" s="189">
        <v>498509022.06</v>
      </c>
      <c r="P22" s="189">
        <v>277163481.12</v>
      </c>
      <c r="Q22" s="189">
        <v>790826104.30999994</v>
      </c>
      <c r="R22" s="189">
        <v>582313543.42999995</v>
      </c>
      <c r="S22" s="189">
        <v>350363717</v>
      </c>
      <c r="T22" s="189">
        <v>187693339.72999999</v>
      </c>
      <c r="U22" s="189">
        <v>474757699.79000002</v>
      </c>
      <c r="V22" s="189">
        <v>364491607.66000003</v>
      </c>
      <c r="W22" s="189">
        <v>235920464.22999999</v>
      </c>
      <c r="X22" s="189">
        <v>120203928.15000001</v>
      </c>
      <c r="Y22" s="189">
        <v>378836167.45999998</v>
      </c>
      <c r="Z22" s="189">
        <v>324524401.08999997</v>
      </c>
      <c r="AA22" s="189">
        <v>234142192.34999999</v>
      </c>
      <c r="AB22" s="189">
        <v>129549307.54000001</v>
      </c>
      <c r="AC22" s="189">
        <v>538564751.55999994</v>
      </c>
      <c r="AD22" s="189">
        <v>498959086.52999997</v>
      </c>
      <c r="AE22" s="189">
        <v>333304792.63999999</v>
      </c>
      <c r="AF22" s="189">
        <v>164131260.12</v>
      </c>
      <c r="AG22" s="189">
        <v>609738014.45000005</v>
      </c>
      <c r="AH22" s="189">
        <v>284232893.63</v>
      </c>
      <c r="AI22" s="189">
        <v>181540671.75</v>
      </c>
      <c r="AJ22" s="189">
        <v>84715950.129999995</v>
      </c>
      <c r="AK22" s="189">
        <v>221693429.59</v>
      </c>
      <c r="AL22" s="189">
        <v>135390834.43000001</v>
      </c>
      <c r="AM22" s="189">
        <v>62708321.420000002</v>
      </c>
      <c r="AN22" s="189">
        <v>35868639.740000002</v>
      </c>
      <c r="AO22" s="189">
        <v>25007833.460000001</v>
      </c>
      <c r="AP22" s="189">
        <v>116987471.48999999</v>
      </c>
      <c r="AQ22" s="189">
        <v>70799486.939999998</v>
      </c>
      <c r="AR22" s="189">
        <v>35701046.729999997</v>
      </c>
      <c r="AS22" s="189">
        <v>346911201.54000002</v>
      </c>
      <c r="AT22" s="189">
        <v>211412314.53</v>
      </c>
      <c r="AU22" s="189">
        <v>55021774.390000001</v>
      </c>
      <c r="AV22" s="189">
        <v>17390337.170000002</v>
      </c>
      <c r="AW22" s="189">
        <v>35845624.880000003</v>
      </c>
      <c r="AX22" s="189">
        <v>37949970.75</v>
      </c>
      <c r="AY22" s="189">
        <v>28046619.300000001</v>
      </c>
      <c r="AZ22" s="189">
        <v>13202343.58</v>
      </c>
      <c r="BA22" s="189">
        <v>47515574.18</v>
      </c>
      <c r="BB22" s="189">
        <v>24086908.309999999</v>
      </c>
      <c r="BC22" s="189">
        <v>21598122.390000001</v>
      </c>
      <c r="BD22" s="189">
        <v>13233637.5</v>
      </c>
      <c r="BE22" s="189">
        <v>43438553.280000001</v>
      </c>
      <c r="BF22" s="189">
        <v>39626061.109999999</v>
      </c>
      <c r="BG22" s="189">
        <v>33907979.130000003</v>
      </c>
      <c r="BH22" s="189">
        <v>8267318.6399999997</v>
      </c>
      <c r="BI22" s="189">
        <v>47586887.469999999</v>
      </c>
      <c r="BJ22" s="189">
        <v>39003588.039999999</v>
      </c>
      <c r="BK22" s="189">
        <v>20683003.18</v>
      </c>
      <c r="BL22" s="189">
        <v>20078451.52</v>
      </c>
      <c r="BM22" s="189">
        <v>-591972837.65999997</v>
      </c>
      <c r="BN22" s="189">
        <v>28691367.670000002</v>
      </c>
      <c r="BO22" s="189">
        <v>24585296.829999998</v>
      </c>
      <c r="BP22" s="189">
        <v>15857469.33</v>
      </c>
      <c r="BQ22" s="189">
        <v>-55442297.340000004</v>
      </c>
      <c r="BR22" s="189">
        <v>91586172.409999996</v>
      </c>
      <c r="BS22" s="189">
        <v>194561052.72999999</v>
      </c>
      <c r="BT22" s="189">
        <v>118934490.97</v>
      </c>
      <c r="BU22" s="189">
        <v>216613149.28999999</v>
      </c>
      <c r="BV22" s="189">
        <v>133594369.16</v>
      </c>
      <c r="BW22" s="189">
        <v>233275310.97999999</v>
      </c>
      <c r="BX22" s="189">
        <v>134465618.43000001</v>
      </c>
      <c r="BY22" s="189">
        <v>265812370.63999999</v>
      </c>
      <c r="BZ22" s="189">
        <v>114700830</v>
      </c>
      <c r="CA22" s="189">
        <v>180956230.91</v>
      </c>
      <c r="CB22" s="189">
        <v>98746000</v>
      </c>
      <c r="CC22" s="189">
        <v>148728879.09</v>
      </c>
      <c r="CD22" s="189">
        <v>99332807.060000002</v>
      </c>
      <c r="CE22" s="189">
        <v>30353176.780000001</v>
      </c>
      <c r="CF22" s="189">
        <v>0</v>
      </c>
    </row>
    <row r="23" spans="1:84" x14ac:dyDescent="0.25">
      <c r="A23" s="189" t="s">
        <v>210</v>
      </c>
      <c r="B23" s="189">
        <v>1347066972.8099999</v>
      </c>
      <c r="C23" s="189">
        <v>902047046.41999996</v>
      </c>
      <c r="D23" s="189">
        <v>511022240.88999999</v>
      </c>
      <c r="E23" s="189">
        <v>1506412505.22</v>
      </c>
      <c r="F23" s="189">
        <v>1143019809.3399999</v>
      </c>
      <c r="G23" s="189">
        <v>731540502.47000003</v>
      </c>
      <c r="H23" s="189">
        <v>397203444.76999998</v>
      </c>
      <c r="I23" s="189">
        <v>1175054922.8499999</v>
      </c>
      <c r="J23" s="189">
        <v>913122562.45000005</v>
      </c>
      <c r="K23" s="189">
        <v>580826562.58000004</v>
      </c>
      <c r="L23" s="189">
        <v>317052211.45999998</v>
      </c>
      <c r="M23" s="189">
        <v>919181968.58000004</v>
      </c>
      <c r="N23" s="189">
        <v>685752354.90999997</v>
      </c>
      <c r="O23" s="189">
        <v>430694268.55000001</v>
      </c>
      <c r="P23" s="189">
        <v>242314468.72</v>
      </c>
      <c r="Q23" s="189">
        <v>698195731.48000002</v>
      </c>
      <c r="R23" s="189">
        <v>514201515.06</v>
      </c>
      <c r="S23" s="189">
        <v>316358532.13</v>
      </c>
      <c r="T23" s="189">
        <v>170774457.84999999</v>
      </c>
      <c r="U23" s="189">
        <v>413350079.54000002</v>
      </c>
      <c r="V23" s="189">
        <v>323805853.35000002</v>
      </c>
      <c r="W23" s="189">
        <v>220961466.94</v>
      </c>
      <c r="X23" s="189">
        <v>111003706.39</v>
      </c>
      <c r="Y23" s="189">
        <v>338387680.99000001</v>
      </c>
      <c r="Z23" s="189">
        <v>311563419.10000002</v>
      </c>
      <c r="AA23" s="189">
        <v>216228135.55000001</v>
      </c>
      <c r="AB23" s="189">
        <v>118581048.8</v>
      </c>
      <c r="AC23" s="189">
        <v>453327963.81</v>
      </c>
      <c r="AD23" s="189">
        <v>422281555.25</v>
      </c>
      <c r="AE23" s="189">
        <v>280338482.77999997</v>
      </c>
      <c r="AF23" s="189">
        <v>135433479.99000001</v>
      </c>
      <c r="AG23" s="189">
        <v>506917078.13</v>
      </c>
      <c r="AH23" s="189">
        <v>261346928.78999999</v>
      </c>
      <c r="AI23" s="189">
        <v>168364330.94</v>
      </c>
      <c r="AJ23" s="189">
        <v>78261091.560000002</v>
      </c>
      <c r="AK23" s="189">
        <v>222184555.03</v>
      </c>
      <c r="AL23" s="189">
        <v>135853881.33000001</v>
      </c>
      <c r="AM23" s="189">
        <v>67392307.109999999</v>
      </c>
      <c r="AN23" s="189">
        <v>43639765.079999998</v>
      </c>
      <c r="AO23" s="189">
        <v>40038312.009999998</v>
      </c>
      <c r="AP23" s="189">
        <v>113552481.41</v>
      </c>
      <c r="AQ23" s="189">
        <v>66737563.310000002</v>
      </c>
      <c r="AR23" s="189">
        <v>33183579.890000001</v>
      </c>
      <c r="AS23" s="189">
        <v>333393190.55000001</v>
      </c>
      <c r="AT23" s="189">
        <v>201207451.40000001</v>
      </c>
      <c r="AU23" s="189">
        <v>48056593.390000001</v>
      </c>
      <c r="AV23" s="189">
        <v>15219960.539999999</v>
      </c>
      <c r="AW23" s="189">
        <v>41345115.280000001</v>
      </c>
      <c r="AX23" s="189">
        <v>32886418.739999998</v>
      </c>
      <c r="AY23" s="189">
        <v>24890170.920000002</v>
      </c>
      <c r="AZ23" s="189">
        <v>12362427.52</v>
      </c>
      <c r="BA23" s="189">
        <v>40101475.960000001</v>
      </c>
      <c r="BB23" s="189">
        <v>22565354.690000001</v>
      </c>
      <c r="BC23" s="189">
        <v>18985282.129999999</v>
      </c>
      <c r="BD23" s="189">
        <v>11986709.380000001</v>
      </c>
      <c r="BE23" s="189">
        <v>39036607.579999998</v>
      </c>
      <c r="BF23" s="189">
        <v>30509464.079999998</v>
      </c>
      <c r="BG23" s="189">
        <v>28552602.010000002</v>
      </c>
      <c r="BH23" s="189">
        <v>9948354.8900000006</v>
      </c>
      <c r="BI23" s="189">
        <v>35990311.109999999</v>
      </c>
      <c r="BJ23" s="189">
        <v>70393977.060000002</v>
      </c>
      <c r="BK23" s="189">
        <v>56484530.990000002</v>
      </c>
      <c r="BL23" s="189">
        <v>29411045.370000001</v>
      </c>
      <c r="BM23" s="189">
        <v>-564803384.45000005</v>
      </c>
      <c r="BN23" s="189">
        <v>23174681.93</v>
      </c>
      <c r="BO23" s="189">
        <v>16709719.949999999</v>
      </c>
      <c r="BP23" s="189">
        <v>14491192.4</v>
      </c>
      <c r="BQ23" s="189">
        <v>-57502056.93</v>
      </c>
      <c r="BR23" s="189">
        <v>88277384.829999998</v>
      </c>
      <c r="BS23" s="189">
        <v>189636790.19</v>
      </c>
      <c r="BT23" s="189">
        <v>114454067.56</v>
      </c>
      <c r="BU23" s="189">
        <v>209390268.69</v>
      </c>
      <c r="BV23" s="189">
        <v>130969760.44</v>
      </c>
      <c r="BW23" s="189">
        <v>224723584.81</v>
      </c>
      <c r="BX23" s="189">
        <v>130447414.59999999</v>
      </c>
      <c r="BY23" s="189">
        <v>262860462.93000001</v>
      </c>
      <c r="BZ23" s="189">
        <v>112804490</v>
      </c>
      <c r="CA23" s="189">
        <v>178482363.63999999</v>
      </c>
      <c r="CB23" s="189">
        <v>96818000</v>
      </c>
      <c r="CC23" s="189">
        <v>147185102.63999999</v>
      </c>
      <c r="CD23" s="189">
        <v>99332807.060000002</v>
      </c>
      <c r="CE23" s="189">
        <v>30353176.780000001</v>
      </c>
      <c r="CF23" s="189">
        <v>0</v>
      </c>
    </row>
    <row r="24" spans="1:84" x14ac:dyDescent="0.25">
      <c r="A24" s="189" t="s">
        <v>211</v>
      </c>
      <c r="B24" s="189">
        <v>155157283.78</v>
      </c>
      <c r="C24" s="189">
        <v>101417463.19</v>
      </c>
      <c r="D24" s="189">
        <v>58376836.880000003</v>
      </c>
      <c r="E24" s="189">
        <v>202007780.53</v>
      </c>
      <c r="F24" s="189">
        <v>170289501.16999999</v>
      </c>
      <c r="G24" s="189">
        <v>101219747.54000001</v>
      </c>
      <c r="H24" s="189">
        <v>41212274.68</v>
      </c>
      <c r="I24" s="189">
        <v>167720339.03</v>
      </c>
      <c r="J24" s="189">
        <v>151370968.40000001</v>
      </c>
      <c r="K24" s="189">
        <v>84096713.120000005</v>
      </c>
      <c r="L24" s="189">
        <v>43994150.200000003</v>
      </c>
      <c r="M24" s="189">
        <v>133942817.56999999</v>
      </c>
      <c r="N24" s="189">
        <v>112963976.97</v>
      </c>
      <c r="O24" s="189">
        <v>67814753.510000005</v>
      </c>
      <c r="P24" s="189">
        <v>34849012.399999999</v>
      </c>
      <c r="Q24" s="189">
        <v>92630372.829999998</v>
      </c>
      <c r="R24" s="189">
        <v>68112028.370000005</v>
      </c>
      <c r="S24" s="189">
        <v>34005184.869999997</v>
      </c>
      <c r="T24" s="189">
        <v>16918881.879999999</v>
      </c>
      <c r="U24" s="189">
        <v>61407620.25</v>
      </c>
      <c r="V24" s="189">
        <v>40685754.310000002</v>
      </c>
      <c r="W24" s="189">
        <v>14958997.289999999</v>
      </c>
      <c r="X24" s="189">
        <v>9200221.7599999998</v>
      </c>
      <c r="Y24" s="189">
        <v>40448486.469999999</v>
      </c>
      <c r="Z24" s="189">
        <v>12960981.99</v>
      </c>
      <c r="AA24" s="189">
        <v>17914056.800000001</v>
      </c>
      <c r="AB24" s="189">
        <v>10968258.74</v>
      </c>
      <c r="AC24" s="189">
        <v>85236787.75</v>
      </c>
      <c r="AD24" s="189">
        <v>76677531.280000001</v>
      </c>
      <c r="AE24" s="189">
        <v>52966309.859999999</v>
      </c>
      <c r="AF24" s="189">
        <v>28697780.129999999</v>
      </c>
      <c r="AG24" s="189">
        <v>102820936.31999999</v>
      </c>
      <c r="AH24" s="189">
        <v>22885964.84</v>
      </c>
      <c r="AI24" s="189">
        <v>13176340.810000001</v>
      </c>
      <c r="AJ24" s="189">
        <v>6454858.5700000003</v>
      </c>
      <c r="AK24" s="189">
        <v>-491125.44</v>
      </c>
      <c r="AL24" s="189">
        <v>-463046.9</v>
      </c>
      <c r="AM24" s="189">
        <v>-4683985.6900000004</v>
      </c>
      <c r="AN24" s="189">
        <v>-7771125.3399999999</v>
      </c>
      <c r="AO24" s="189">
        <v>-15030478.550000001</v>
      </c>
      <c r="AP24" s="189">
        <v>3434990.09</v>
      </c>
      <c r="AQ24" s="189">
        <v>4061923.63</v>
      </c>
      <c r="AR24" s="189">
        <v>2517466.84</v>
      </c>
      <c r="AS24" s="189">
        <v>13518010.99</v>
      </c>
      <c r="AT24" s="189">
        <v>10204863.130000001</v>
      </c>
      <c r="AU24" s="189">
        <v>6965180.9900000002</v>
      </c>
      <c r="AV24" s="189">
        <v>2170376.63</v>
      </c>
      <c r="AW24" s="189">
        <v>-5499490.4000000004</v>
      </c>
      <c r="AX24" s="189">
        <v>5063552.01</v>
      </c>
      <c r="AY24" s="189">
        <v>3156448.38</v>
      </c>
      <c r="AZ24" s="189">
        <v>839916.06</v>
      </c>
      <c r="BA24" s="189">
        <v>7414098.2199999997</v>
      </c>
      <c r="BB24" s="189">
        <v>1521553.62</v>
      </c>
      <c r="BC24" s="189">
        <v>2612840.2599999998</v>
      </c>
      <c r="BD24" s="189">
        <v>1246928.1200000001</v>
      </c>
      <c r="BE24" s="189">
        <v>4401945.7</v>
      </c>
      <c r="BF24" s="189">
        <v>9116597.0299999993</v>
      </c>
      <c r="BG24" s="189">
        <v>5355377.12</v>
      </c>
      <c r="BH24" s="189">
        <v>-1681036.25</v>
      </c>
      <c r="BI24" s="189">
        <v>11596576.359999999</v>
      </c>
      <c r="BJ24" s="189">
        <v>-31390389.02</v>
      </c>
      <c r="BK24" s="189">
        <v>-35801527.810000002</v>
      </c>
      <c r="BL24" s="189">
        <v>-9332593.8499999996</v>
      </c>
      <c r="BM24" s="189">
        <v>-27169453.210000001</v>
      </c>
      <c r="BN24" s="189">
        <v>5516685.7400000002</v>
      </c>
      <c r="BO24" s="189">
        <v>7875576.8799999999</v>
      </c>
      <c r="BP24" s="189">
        <v>1366276.93</v>
      </c>
      <c r="BQ24" s="189">
        <v>2059759.59</v>
      </c>
      <c r="BR24" s="189">
        <v>3308787.58</v>
      </c>
      <c r="BS24" s="189">
        <v>4924262.54</v>
      </c>
      <c r="BT24" s="189">
        <v>4480423.41</v>
      </c>
      <c r="BU24" s="189">
        <v>7222880.5999999996</v>
      </c>
      <c r="BV24" s="189">
        <v>2624608.7200000002</v>
      </c>
      <c r="BW24" s="189">
        <v>8551726.1699999999</v>
      </c>
      <c r="BX24" s="189">
        <v>4018203.83</v>
      </c>
      <c r="BY24" s="189">
        <v>2951907.71</v>
      </c>
      <c r="BZ24" s="189">
        <v>1896340</v>
      </c>
      <c r="CA24" s="189">
        <v>2473867.27</v>
      </c>
      <c r="CB24" s="189">
        <v>1928000</v>
      </c>
      <c r="CC24" s="189">
        <v>1543776.45</v>
      </c>
      <c r="CD24" s="189">
        <v>0</v>
      </c>
      <c r="CE24" s="189">
        <v>0</v>
      </c>
      <c r="CF24" s="189">
        <v>0</v>
      </c>
    </row>
    <row r="25" spans="1:84" x14ac:dyDescent="0.25">
      <c r="A25" s="189" t="s">
        <v>212</v>
      </c>
    </row>
    <row r="26" spans="1:84" x14ac:dyDescent="0.25">
      <c r="A26" s="189" t="s">
        <v>213</v>
      </c>
      <c r="B26" s="189">
        <v>2.13</v>
      </c>
      <c r="C26" s="189">
        <v>1.43</v>
      </c>
      <c r="D26" s="189">
        <v>0.81</v>
      </c>
      <c r="E26" s="189">
        <v>2.38</v>
      </c>
      <c r="F26" s="189">
        <v>1.81</v>
      </c>
      <c r="G26" s="189">
        <v>1.1599999999999999</v>
      </c>
      <c r="H26" s="189">
        <v>0.63</v>
      </c>
      <c r="I26" s="189">
        <v>1.86</v>
      </c>
      <c r="J26" s="189">
        <v>1.44</v>
      </c>
      <c r="K26" s="189">
        <v>0.92</v>
      </c>
      <c r="L26" s="189">
        <v>0.5</v>
      </c>
      <c r="M26" s="189">
        <v>1.45</v>
      </c>
      <c r="N26" s="189">
        <v>1.08</v>
      </c>
      <c r="O26" s="189">
        <v>0.68</v>
      </c>
      <c r="P26" s="189">
        <v>0.38</v>
      </c>
      <c r="Q26" s="189">
        <v>1.1000000000000001</v>
      </c>
      <c r="R26" s="189">
        <v>0.81</v>
      </c>
      <c r="S26" s="189">
        <v>0.5</v>
      </c>
      <c r="T26" s="189">
        <v>0.27</v>
      </c>
      <c r="U26" s="189">
        <v>0.65</v>
      </c>
      <c r="V26" s="189">
        <v>0.51</v>
      </c>
      <c r="W26" s="189">
        <v>0.35</v>
      </c>
      <c r="X26" s="189">
        <v>0.18</v>
      </c>
      <c r="Y26" s="189">
        <v>0.54</v>
      </c>
      <c r="Z26" s="189">
        <v>0.49</v>
      </c>
      <c r="AA26" s="189">
        <v>0.34</v>
      </c>
      <c r="AB26" s="189">
        <v>0.19</v>
      </c>
      <c r="AC26" s="189">
        <v>0.72</v>
      </c>
      <c r="AD26" s="189">
        <v>0.67</v>
      </c>
      <c r="AE26" s="189">
        <v>0.44</v>
      </c>
      <c r="AF26" s="189">
        <v>0.21</v>
      </c>
      <c r="AG26" s="189">
        <v>0.8</v>
      </c>
      <c r="AH26" s="189">
        <v>0.48</v>
      </c>
      <c r="AI26" s="189">
        <v>0.31</v>
      </c>
      <c r="AJ26" s="189">
        <v>0.14000000000000001</v>
      </c>
      <c r="AK26" s="189">
        <v>0.41</v>
      </c>
      <c r="AL26" s="189">
        <v>0.25</v>
      </c>
      <c r="AM26" s="189">
        <v>0.12</v>
      </c>
      <c r="AN26" s="189">
        <v>0.08</v>
      </c>
      <c r="AO26" s="189">
        <v>7.0000000000000007E-2</v>
      </c>
      <c r="AP26" s="189">
        <v>0.21</v>
      </c>
      <c r="AQ26" s="189">
        <v>0.12</v>
      </c>
      <c r="AR26" s="189">
        <v>9.0899999999999995E-2</v>
      </c>
      <c r="AS26" s="189">
        <v>0.91</v>
      </c>
      <c r="AT26" s="189">
        <v>0.57999999999999996</v>
      </c>
      <c r="AU26" s="189">
        <v>0.15</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row>
    <row r="27" spans="1:84" x14ac:dyDescent="0.25">
      <c r="A27" s="189" t="s">
        <v>214</v>
      </c>
      <c r="B27" s="189">
        <v>2.13</v>
      </c>
      <c r="C27" s="189">
        <v>1.43</v>
      </c>
      <c r="D27" s="189">
        <v>0.81</v>
      </c>
      <c r="E27" s="189">
        <v>2.38</v>
      </c>
      <c r="F27" s="189">
        <v>1.81</v>
      </c>
      <c r="G27" s="189">
        <v>1.1599999999999999</v>
      </c>
      <c r="H27" s="189">
        <v>0.63</v>
      </c>
      <c r="I27" s="189">
        <v>1.86</v>
      </c>
      <c r="J27" s="189">
        <v>1.44</v>
      </c>
      <c r="K27" s="189">
        <v>0.92</v>
      </c>
      <c r="L27" s="189">
        <v>0.5</v>
      </c>
      <c r="M27" s="189">
        <v>1.45</v>
      </c>
      <c r="N27" s="189">
        <v>1.08</v>
      </c>
      <c r="O27" s="189">
        <v>0.68</v>
      </c>
      <c r="P27" s="189">
        <v>0.38</v>
      </c>
      <c r="Q27" s="189">
        <v>1.1000000000000001</v>
      </c>
      <c r="R27" s="189">
        <v>0.81</v>
      </c>
      <c r="S27" s="189">
        <v>0.5</v>
      </c>
      <c r="T27" s="189">
        <v>0.27</v>
      </c>
      <c r="U27" s="189">
        <v>0.65</v>
      </c>
      <c r="V27" s="189">
        <v>0.51</v>
      </c>
      <c r="W27" s="189">
        <v>0.35</v>
      </c>
      <c r="X27" s="189">
        <v>0.18</v>
      </c>
      <c r="Y27" s="189">
        <v>0.54</v>
      </c>
      <c r="Z27" s="189">
        <v>0.49</v>
      </c>
      <c r="AA27" s="189">
        <v>0.34</v>
      </c>
      <c r="AB27" s="189">
        <v>0.19</v>
      </c>
      <c r="AC27" s="189">
        <v>0.72</v>
      </c>
      <c r="AD27" s="189">
        <v>0.67</v>
      </c>
      <c r="AE27" s="189">
        <v>0.44</v>
      </c>
      <c r="AF27" s="189">
        <v>0.21</v>
      </c>
      <c r="AG27" s="189">
        <v>0.8</v>
      </c>
      <c r="AH27" s="189">
        <v>0.48</v>
      </c>
      <c r="AI27" s="189">
        <v>0.31</v>
      </c>
      <c r="AJ27" s="189">
        <v>0.14000000000000001</v>
      </c>
      <c r="AK27" s="189">
        <v>0.41</v>
      </c>
      <c r="AL27" s="189">
        <v>0.25</v>
      </c>
      <c r="AM27" s="189">
        <v>0.12</v>
      </c>
      <c r="AN27" s="189">
        <v>0.08</v>
      </c>
      <c r="AO27" s="189">
        <v>7.0000000000000007E-2</v>
      </c>
      <c r="AP27" s="189">
        <v>0.21</v>
      </c>
      <c r="AQ27" s="189">
        <v>0.12</v>
      </c>
      <c r="AR27" s="189">
        <v>9.0899999999999995E-2</v>
      </c>
      <c r="AS27" s="189">
        <v>0.91</v>
      </c>
      <c r="AT27" s="189">
        <v>0.57999999999999996</v>
      </c>
      <c r="AU27" s="189">
        <v>0.15</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215</v>
      </c>
      <c r="B28" s="189">
        <v>-41290604.990000002</v>
      </c>
      <c r="C28" s="189">
        <v>-12473938.6</v>
      </c>
      <c r="D28" s="189">
        <v>518838.47</v>
      </c>
      <c r="E28" s="189">
        <v>-39345928.609999999</v>
      </c>
      <c r="F28" s="189">
        <v>-28637223.77</v>
      </c>
      <c r="G28" s="189">
        <v>-32416277.719999999</v>
      </c>
      <c r="H28" s="189">
        <v>-32896936.370000001</v>
      </c>
      <c r="I28" s="189">
        <v>41216788.600000001</v>
      </c>
      <c r="J28" s="189">
        <v>40511423.039999999</v>
      </c>
      <c r="K28" s="189">
        <v>36264775.359999999</v>
      </c>
      <c r="L28" s="189">
        <v>12551896.48</v>
      </c>
      <c r="M28" s="189">
        <v>48553778.030000001</v>
      </c>
      <c r="N28" s="189">
        <v>1200139.8799999999</v>
      </c>
      <c r="O28" s="189">
        <v>-26745.69</v>
      </c>
      <c r="P28" s="189">
        <v>115185.74</v>
      </c>
      <c r="Q28" s="189">
        <v>-70614.41</v>
      </c>
      <c r="R28" s="189">
        <v>266497.34999999998</v>
      </c>
      <c r="S28" s="189">
        <v>226008.76</v>
      </c>
      <c r="T28" s="189">
        <v>238278.48</v>
      </c>
      <c r="U28" s="189">
        <v>-916591.47</v>
      </c>
      <c r="V28" s="189">
        <v>-672531.38</v>
      </c>
      <c r="W28" s="189">
        <v>-569691.66</v>
      </c>
      <c r="X28" s="189">
        <v>-30665.17</v>
      </c>
      <c r="Y28" s="189">
        <v>-74569.77</v>
      </c>
      <c r="Z28" s="189">
        <v>108014.36</v>
      </c>
      <c r="AA28" s="189">
        <v>71687.539999999994</v>
      </c>
      <c r="AB28" s="189">
        <v>-50938.13</v>
      </c>
      <c r="AC28" s="189">
        <v>-1630603.53</v>
      </c>
      <c r="AD28" s="189">
        <v>-1382992.42</v>
      </c>
      <c r="AE28" s="189">
        <v>-746388.49</v>
      </c>
      <c r="AF28" s="189">
        <v>-299024.49</v>
      </c>
      <c r="AG28" s="189">
        <v>-937948.99</v>
      </c>
      <c r="AH28" s="189">
        <v>9996</v>
      </c>
      <c r="AI28" s="189">
        <v>1999.2</v>
      </c>
      <c r="AJ28" s="189">
        <v>95961.600000000006</v>
      </c>
      <c r="AK28" s="189">
        <v>-4358978.5</v>
      </c>
      <c r="AL28" s="189">
        <v>105957.6</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row>
    <row r="29" spans="1:84" x14ac:dyDescent="0.25">
      <c r="A29" s="189" t="s">
        <v>216</v>
      </c>
      <c r="B29" s="189">
        <v>1460933651.5999999</v>
      </c>
      <c r="C29" s="189">
        <v>990990571.00999999</v>
      </c>
      <c r="D29" s="189">
        <v>569917916.24000001</v>
      </c>
      <c r="E29" s="189">
        <v>1669074357.1400001</v>
      </c>
      <c r="F29" s="189">
        <v>1284672086.74</v>
      </c>
      <c r="G29" s="189">
        <v>800343972.28999996</v>
      </c>
      <c r="H29" s="189">
        <v>405518783.07999998</v>
      </c>
      <c r="I29" s="189">
        <v>1383992050.48</v>
      </c>
      <c r="J29" s="189">
        <v>1105004953.8900001</v>
      </c>
      <c r="K29" s="189">
        <v>701188051.05999994</v>
      </c>
      <c r="L29" s="189">
        <v>373598258.13999999</v>
      </c>
      <c r="M29" s="189">
        <v>1101678564.1800001</v>
      </c>
      <c r="N29" s="189">
        <v>799916471.75999999</v>
      </c>
      <c r="O29" s="189">
        <v>498482276.37</v>
      </c>
      <c r="P29" s="189">
        <v>277278666.86000001</v>
      </c>
      <c r="Q29" s="189">
        <v>790755489.89999998</v>
      </c>
      <c r="R29" s="189">
        <v>582580040.77999997</v>
      </c>
      <c r="S29" s="189">
        <v>350589725.75999999</v>
      </c>
      <c r="T29" s="189">
        <v>187931618.21000001</v>
      </c>
      <c r="U29" s="189">
        <v>473841108.31999999</v>
      </c>
      <c r="V29" s="189">
        <v>363819076.27999997</v>
      </c>
      <c r="W29" s="189">
        <v>235350772.56999999</v>
      </c>
      <c r="X29" s="189">
        <v>120173262.98</v>
      </c>
      <c r="Y29" s="189">
        <v>378761597.69</v>
      </c>
      <c r="Z29" s="189">
        <v>324632415.44999999</v>
      </c>
      <c r="AA29" s="189">
        <v>234213879.88999999</v>
      </c>
      <c r="AB29" s="189">
        <v>129498369.41</v>
      </c>
      <c r="AC29" s="189">
        <v>536934148.02999997</v>
      </c>
      <c r="AD29" s="189">
        <v>497576094.11000001</v>
      </c>
      <c r="AE29" s="189">
        <v>332558404.14999998</v>
      </c>
      <c r="AF29" s="189">
        <v>163832235.63</v>
      </c>
      <c r="AG29" s="189">
        <v>608800065.46000004</v>
      </c>
      <c r="AH29" s="189">
        <v>284242889.63</v>
      </c>
      <c r="AI29" s="189">
        <v>181542670.94999999</v>
      </c>
      <c r="AJ29" s="189">
        <v>84811911.730000004</v>
      </c>
      <c r="AK29" s="189">
        <v>217334451.09</v>
      </c>
      <c r="AL29" s="189">
        <v>135496792.03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row>
    <row r="30" spans="1:84" x14ac:dyDescent="0.25">
      <c r="A30" s="189" t="s">
        <v>217</v>
      </c>
      <c r="B30" s="189">
        <v>1312254949.45</v>
      </c>
      <c r="C30" s="189">
        <v>890094947.69000006</v>
      </c>
      <c r="D30" s="189">
        <v>511357452.89999998</v>
      </c>
      <c r="E30" s="189">
        <v>1476151347.46</v>
      </c>
      <c r="F30" s="189">
        <v>1124066653.52</v>
      </c>
      <c r="G30" s="189">
        <v>704119466.55999994</v>
      </c>
      <c r="H30" s="189">
        <v>370914842.72000003</v>
      </c>
      <c r="I30" s="189">
        <v>1210999162.8199999</v>
      </c>
      <c r="J30" s="189">
        <v>948024068.76999998</v>
      </c>
      <c r="K30" s="189">
        <v>613763452.50999999</v>
      </c>
      <c r="L30" s="189">
        <v>328376643.30000001</v>
      </c>
      <c r="M30" s="189">
        <v>957444942.78999996</v>
      </c>
      <c r="N30" s="189">
        <v>686952494.77999997</v>
      </c>
      <c r="O30" s="189">
        <v>430667522.86000001</v>
      </c>
      <c r="P30" s="189">
        <v>242429654.46000001</v>
      </c>
      <c r="Q30" s="189">
        <v>698125117.07000005</v>
      </c>
      <c r="R30" s="189">
        <v>514468012.41000003</v>
      </c>
      <c r="S30" s="189">
        <v>316584540.88999999</v>
      </c>
      <c r="T30" s="189">
        <v>171012736.33000001</v>
      </c>
      <c r="U30" s="189">
        <v>412433488.06999999</v>
      </c>
      <c r="V30" s="189">
        <v>323133321.97000003</v>
      </c>
      <c r="W30" s="189">
        <v>220391775.28</v>
      </c>
      <c r="X30" s="189">
        <v>110973041.22</v>
      </c>
      <c r="Y30" s="189">
        <v>338313111.22000003</v>
      </c>
      <c r="Z30" s="189">
        <v>311671433.45999998</v>
      </c>
      <c r="AA30" s="189">
        <v>216299823.09</v>
      </c>
      <c r="AB30" s="189">
        <v>118530110.67</v>
      </c>
      <c r="AC30" s="189">
        <v>451697360.27999997</v>
      </c>
      <c r="AD30" s="189">
        <v>420898562.82999998</v>
      </c>
      <c r="AE30" s="189">
        <v>279592094.29000002</v>
      </c>
      <c r="AF30" s="189">
        <v>135134455.5</v>
      </c>
      <c r="AG30" s="189">
        <v>505979129.13999999</v>
      </c>
      <c r="AH30" s="189">
        <v>261356924.78999999</v>
      </c>
      <c r="AI30" s="189">
        <v>168366330.13999999</v>
      </c>
      <c r="AJ30" s="189">
        <v>78357053.159999996</v>
      </c>
      <c r="AK30" s="189">
        <v>217825576.53</v>
      </c>
      <c r="AL30" s="189">
        <v>135959838.93000001</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218</v>
      </c>
      <c r="B31" s="189">
        <v>148678702.15000001</v>
      </c>
      <c r="C31" s="189">
        <v>100895623.31999999</v>
      </c>
      <c r="D31" s="189">
        <v>58560463.340000004</v>
      </c>
      <c r="E31" s="189">
        <v>192923009.68000001</v>
      </c>
      <c r="F31" s="189">
        <v>160605433.22</v>
      </c>
      <c r="G31" s="189">
        <v>96224505.730000004</v>
      </c>
      <c r="H31" s="189">
        <v>34603940.359999999</v>
      </c>
      <c r="I31" s="189">
        <v>172992887.66</v>
      </c>
      <c r="J31" s="189">
        <v>156980885.12</v>
      </c>
      <c r="K31" s="189">
        <v>87424598.549999997</v>
      </c>
      <c r="L31" s="189">
        <v>45221614.840000004</v>
      </c>
      <c r="M31" s="189">
        <v>144233621.38999999</v>
      </c>
      <c r="N31" s="189">
        <v>112963976.98</v>
      </c>
      <c r="O31" s="189">
        <v>67814753.510000005</v>
      </c>
      <c r="P31" s="189">
        <v>34849012.399999999</v>
      </c>
      <c r="Q31" s="189">
        <v>92630372.829999998</v>
      </c>
      <c r="R31" s="189">
        <v>68112028.370000005</v>
      </c>
      <c r="S31" s="189">
        <v>34005184.869999997</v>
      </c>
      <c r="T31" s="189">
        <v>16918881.879999999</v>
      </c>
      <c r="U31" s="189">
        <v>61407620.25</v>
      </c>
      <c r="V31" s="189">
        <v>40685754.310000002</v>
      </c>
      <c r="W31" s="189">
        <v>14958997.289999999</v>
      </c>
      <c r="X31" s="189">
        <v>9200221.7599999998</v>
      </c>
      <c r="Y31" s="189">
        <v>40448486.469999999</v>
      </c>
      <c r="Z31" s="189">
        <v>12960981.99</v>
      </c>
      <c r="AA31" s="189">
        <v>17914056.800000001</v>
      </c>
      <c r="AB31" s="189">
        <v>10968258.74</v>
      </c>
      <c r="AC31" s="189">
        <v>85236787.75</v>
      </c>
      <c r="AD31" s="189">
        <v>76677531.280000001</v>
      </c>
      <c r="AE31" s="189">
        <v>52966309.859999999</v>
      </c>
      <c r="AF31" s="189">
        <v>28697780.129999999</v>
      </c>
      <c r="AG31" s="189">
        <v>102820936.31999999</v>
      </c>
      <c r="AH31" s="189">
        <v>22885964.84</v>
      </c>
      <c r="AI31" s="189">
        <v>13176340.810000001</v>
      </c>
      <c r="AJ31" s="189">
        <v>6454858.5700000003</v>
      </c>
      <c r="AK31" s="189">
        <v>-491125.44</v>
      </c>
      <c r="AL31" s="189">
        <v>-463046.9</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E7" sqref="E7"/>
    </sheetView>
  </sheetViews>
  <sheetFormatPr defaultRowHeight="14.4" x14ac:dyDescent="0.25"/>
  <cols>
    <col min="1" max="1" width="57.77734375" style="189" bestFit="1" customWidth="1"/>
    <col min="2" max="4" width="13.88671875" style="189" hidden="1" customWidth="1"/>
    <col min="5" max="5" width="20.44140625" style="189" bestFit="1" customWidth="1"/>
    <col min="6" max="8" width="13.88671875" style="189" hidden="1" customWidth="1"/>
    <col min="9" max="9" width="20.44140625" style="189" bestFit="1" customWidth="1"/>
    <col min="10" max="12" width="13.88671875" style="189" hidden="1" customWidth="1"/>
    <col min="13" max="13" width="20.44140625" style="189" bestFit="1" customWidth="1"/>
    <col min="14" max="16" width="13.88671875" style="189" hidden="1" customWidth="1"/>
    <col min="17" max="17" width="20.44140625" style="189" bestFit="1" customWidth="1"/>
    <col min="18" max="20" width="13.88671875" style="189" hidden="1" customWidth="1"/>
    <col min="21" max="21" width="20.44140625" style="189" bestFit="1" customWidth="1"/>
    <col min="22" max="24" width="13.88671875" style="189" hidden="1" customWidth="1"/>
    <col min="25" max="25" width="20.44140625" style="189" bestFit="1" customWidth="1"/>
    <col min="26" max="28" width="13.88671875" style="189" hidden="1" customWidth="1"/>
    <col min="29" max="29" width="20.44140625" style="189" bestFit="1" customWidth="1"/>
    <col min="30" max="32" width="13.88671875" style="189" hidden="1" customWidth="1"/>
    <col min="33" max="33" width="19.33203125" style="189" bestFit="1" customWidth="1"/>
    <col min="34" max="36" width="13.88671875" style="189" hidden="1" customWidth="1"/>
    <col min="37" max="37" width="20.44140625" style="189" bestFit="1" customWidth="1"/>
    <col min="38" max="38" width="13.88671875" style="189" hidden="1" customWidth="1"/>
    <col min="39" max="40" width="12.77734375" style="189" hidden="1" customWidth="1"/>
    <col min="41" max="41" width="19.33203125" style="189" bestFit="1" customWidth="1"/>
    <col min="42" max="44" width="13.88671875" style="189" hidden="1" customWidth="1"/>
    <col min="45" max="45" width="19.33203125" style="189" bestFit="1" customWidth="1"/>
    <col min="46" max="48" width="13.88671875" style="189" hidden="1" customWidth="1"/>
    <col min="49" max="49" width="19.33203125" style="189" bestFit="1" customWidth="1"/>
    <col min="50" max="52" width="13.88671875" style="189" hidden="1" customWidth="1"/>
    <col min="53" max="53" width="19.33203125" style="189" bestFit="1" customWidth="1"/>
    <col min="54" max="56" width="13.88671875" style="189" hidden="1" customWidth="1"/>
    <col min="57" max="57" width="19.33203125" style="189" bestFit="1" customWidth="1"/>
    <col min="58" max="60" width="13.88671875" style="189" hidden="1" customWidth="1"/>
    <col min="61" max="61" width="19.33203125" style="189" bestFit="1" customWidth="1"/>
    <col min="62" max="63" width="13.88671875" style="189" hidden="1" customWidth="1"/>
    <col min="64" max="64" width="12.77734375" style="189" hidden="1" customWidth="1"/>
    <col min="65" max="65" width="19.33203125" style="189" bestFit="1" customWidth="1"/>
    <col min="66" max="66" width="13.88671875" style="189" hidden="1" customWidth="1"/>
    <col min="67" max="67" width="19.33203125" style="189" bestFit="1" customWidth="1"/>
    <col min="68" max="68" width="13.88671875" style="189" hidden="1" customWidth="1"/>
    <col min="69" max="69" width="19.33203125" style="189" bestFit="1" customWidth="1"/>
    <col min="70" max="70" width="13.88671875" style="189" hidden="1" customWidth="1"/>
    <col min="71" max="72" width="19.33203125" style="189" bestFit="1" customWidth="1"/>
    <col min="73" max="73" width="13.88671875" style="189" hidden="1" customWidth="1"/>
    <col min="74" max="74" width="9.5546875" style="189" hidden="1" customWidth="1"/>
    <col min="75" max="16384" width="8.88671875" style="189"/>
  </cols>
  <sheetData>
    <row r="1" spans="1:7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s="192" customFormat="1" x14ac:dyDescent="0.25">
      <c r="A3" s="192" t="s">
        <v>219</v>
      </c>
    </row>
    <row r="4" spans="1:74" s="192" customFormat="1" x14ac:dyDescent="0.25">
      <c r="A4" s="192" t="s">
        <v>220</v>
      </c>
      <c r="B4" s="192">
        <v>13119826375.57</v>
      </c>
      <c r="C4" s="192">
        <v>7969115684.3000002</v>
      </c>
      <c r="D4" s="192">
        <v>4265171195.7600002</v>
      </c>
      <c r="E4" s="192">
        <v>17558217913.330002</v>
      </c>
      <c r="F4" s="192">
        <v>11502461367.120001</v>
      </c>
      <c r="G4" s="192">
        <v>6722546282.7700005</v>
      </c>
      <c r="H4" s="192">
        <v>3956810503.02</v>
      </c>
      <c r="I4" s="192">
        <v>16223050621.370001</v>
      </c>
      <c r="J4" s="192">
        <v>10031334899.280001</v>
      </c>
      <c r="K4" s="192">
        <v>7270388782.8299999</v>
      </c>
      <c r="L4" s="192">
        <v>3078123735.5799999</v>
      </c>
      <c r="M4" s="192">
        <v>12740160550.07</v>
      </c>
      <c r="N4" s="192">
        <v>8539671109.04</v>
      </c>
      <c r="O4" s="192">
        <v>5396428114.25</v>
      </c>
      <c r="P4" s="192">
        <v>2311468394.0799999</v>
      </c>
      <c r="Q4" s="192">
        <v>8798376928.1399994</v>
      </c>
      <c r="R4" s="192">
        <v>5854769921.8599997</v>
      </c>
      <c r="S4" s="192">
        <v>3811640189.96</v>
      </c>
      <c r="T4" s="192">
        <v>1646521888.52</v>
      </c>
      <c r="U4" s="192">
        <v>7152993865.1700001</v>
      </c>
      <c r="V4" s="192">
        <v>5442525374.2399998</v>
      </c>
      <c r="W4" s="192">
        <v>3863185024.8600001</v>
      </c>
      <c r="X4" s="192">
        <v>1900494571.74</v>
      </c>
      <c r="Y4" s="192">
        <v>6857898811.46</v>
      </c>
      <c r="Z4" s="192">
        <v>4726491546.6300001</v>
      </c>
      <c r="AA4" s="192">
        <v>3674745722.6399999</v>
      </c>
      <c r="AB4" s="192">
        <v>2005323736.1300001</v>
      </c>
      <c r="AC4" s="192">
        <v>10215551444.35</v>
      </c>
      <c r="AD4" s="192">
        <v>7072822081.6499996</v>
      </c>
      <c r="AE4" s="192">
        <v>3434839906.6500001</v>
      </c>
      <c r="AF4" s="192">
        <v>1627486981.6600001</v>
      </c>
      <c r="AG4" s="192">
        <v>6475128321.2200003</v>
      </c>
      <c r="AH4" s="192">
        <v>3927579873.0300002</v>
      </c>
      <c r="AI4" s="192">
        <v>2073590067.8099999</v>
      </c>
      <c r="AJ4" s="192">
        <v>411402277.52999997</v>
      </c>
      <c r="AK4" s="192">
        <v>2556622295.6599998</v>
      </c>
      <c r="AL4" s="192">
        <v>2099368450.6700001</v>
      </c>
      <c r="AM4" s="192">
        <v>1208263335.79</v>
      </c>
      <c r="AN4" s="192">
        <v>414241264.39999998</v>
      </c>
      <c r="AO4" s="192">
        <v>3126431039.6799998</v>
      </c>
      <c r="AP4" s="192">
        <v>2090667090.25</v>
      </c>
      <c r="AQ4" s="192">
        <v>1490052847.9400001</v>
      </c>
      <c r="AR4" s="192">
        <v>1538014040.1199999</v>
      </c>
      <c r="AS4" s="192">
        <v>6591772026.1099997</v>
      </c>
      <c r="AT4" s="192">
        <v>4908117699.8900003</v>
      </c>
      <c r="AU4" s="192">
        <v>3161250446.6300001</v>
      </c>
      <c r="AV4" s="192">
        <v>1547379968.55</v>
      </c>
      <c r="AW4" s="192">
        <v>5141107103.2200003</v>
      </c>
      <c r="AX4" s="192">
        <v>3523303807.6300001</v>
      </c>
      <c r="AY4" s="192">
        <v>2322267608.6900001</v>
      </c>
      <c r="AZ4" s="192">
        <v>1139002393.3699999</v>
      </c>
      <c r="BA4" s="192">
        <v>5709985647.7299995</v>
      </c>
      <c r="BB4" s="192">
        <v>2290424601.3299999</v>
      </c>
      <c r="BC4" s="192">
        <v>1398909530</v>
      </c>
      <c r="BD4" s="192">
        <v>1072883493.28</v>
      </c>
      <c r="BE4" s="192">
        <v>2803775590.6300001</v>
      </c>
      <c r="BF4" s="192">
        <v>1853892783.0799999</v>
      </c>
      <c r="BG4" s="192">
        <v>1072373432.01</v>
      </c>
      <c r="BH4" s="192">
        <v>636218535.67999995</v>
      </c>
      <c r="BI4" s="192">
        <v>3506939650.9699998</v>
      </c>
      <c r="BJ4" s="192">
        <v>2229764798.2199998</v>
      </c>
      <c r="BK4" s="192">
        <v>1786947780.0999999</v>
      </c>
      <c r="BL4" s="192">
        <v>0</v>
      </c>
      <c r="BM4" s="192">
        <v>3738380922.5500002</v>
      </c>
      <c r="BN4" s="192">
        <v>2011244867.3399999</v>
      </c>
      <c r="BO4" s="192">
        <v>2746198816.8099999</v>
      </c>
      <c r="BP4" s="192">
        <v>1263906873.4000001</v>
      </c>
      <c r="BQ4" s="192">
        <v>3086127560.6700001</v>
      </c>
      <c r="BR4" s="192">
        <v>1593280486.8900001</v>
      </c>
      <c r="BS4" s="192">
        <v>2969185683.1300001</v>
      </c>
      <c r="BT4" s="192">
        <v>2232371834</v>
      </c>
      <c r="BU4" s="192">
        <v>853629787.11000001</v>
      </c>
      <c r="BV4" s="192">
        <v>0</v>
      </c>
    </row>
    <row r="5" spans="1:74" s="192" customFormat="1" x14ac:dyDescent="0.25">
      <c r="A5" s="192" t="s">
        <v>221</v>
      </c>
      <c r="B5" s="192">
        <v>29970565.120000001</v>
      </c>
      <c r="C5" s="192">
        <v>18677078.350000001</v>
      </c>
      <c r="D5" s="192">
        <v>13193598.890000001</v>
      </c>
      <c r="E5" s="192">
        <v>65523277.520000003</v>
      </c>
      <c r="F5" s="192">
        <v>60061335.710000001</v>
      </c>
      <c r="G5" s="192">
        <v>35550472.93</v>
      </c>
      <c r="H5" s="192">
        <v>16580287.82</v>
      </c>
      <c r="I5" s="192">
        <v>87968408.390000001</v>
      </c>
      <c r="J5" s="192">
        <v>60063076.130000003</v>
      </c>
      <c r="K5" s="192">
        <v>22502456.41</v>
      </c>
      <c r="L5" s="192">
        <v>0</v>
      </c>
      <c r="M5" s="192">
        <v>77145657.150000006</v>
      </c>
      <c r="N5" s="192">
        <v>47592234.869999997</v>
      </c>
      <c r="O5" s="192">
        <v>32534853.370000001</v>
      </c>
      <c r="P5" s="192">
        <v>22306916.59</v>
      </c>
      <c r="Q5" s="192">
        <v>33025802.899999999</v>
      </c>
      <c r="R5" s="192">
        <v>13166555.369999999</v>
      </c>
      <c r="S5" s="192">
        <v>3315534.83</v>
      </c>
      <c r="T5" s="192">
        <v>1379269.7</v>
      </c>
      <c r="U5" s="192">
        <v>108549026.13</v>
      </c>
      <c r="V5" s="192">
        <v>83523076.700000003</v>
      </c>
      <c r="W5" s="192">
        <v>50388592.369999997</v>
      </c>
      <c r="X5" s="192">
        <v>8641019.9199999999</v>
      </c>
      <c r="Y5" s="192">
        <v>176923799.52000001</v>
      </c>
      <c r="Z5" s="192">
        <v>122164028.8</v>
      </c>
      <c r="AA5" s="192">
        <v>79016919.170000002</v>
      </c>
      <c r="AB5" s="192">
        <v>37236238.640000001</v>
      </c>
      <c r="AC5" s="192">
        <v>252601590.13999999</v>
      </c>
      <c r="AD5" s="192">
        <v>133055441.26000001</v>
      </c>
      <c r="AE5" s="192">
        <v>99468275.469999999</v>
      </c>
      <c r="AF5" s="192">
        <v>21527958.690000001</v>
      </c>
      <c r="AG5" s="192">
        <v>134521919.56999999</v>
      </c>
      <c r="AH5" s="192">
        <v>39013755.170000002</v>
      </c>
      <c r="AI5" s="192">
        <v>37151515.189999998</v>
      </c>
      <c r="AJ5" s="192">
        <v>5797837.8200000003</v>
      </c>
      <c r="AK5" s="192">
        <v>31800855.850000001</v>
      </c>
      <c r="AL5" s="192">
        <v>25125994.18</v>
      </c>
      <c r="AM5" s="192">
        <v>16708784.57</v>
      </c>
      <c r="AN5" s="192">
        <v>9293677.8000000007</v>
      </c>
      <c r="AO5" s="192">
        <v>68623559.159999996</v>
      </c>
      <c r="AP5" s="192">
        <v>49884601.43</v>
      </c>
      <c r="AQ5" s="192">
        <v>31625314.370000001</v>
      </c>
      <c r="AR5" s="192">
        <v>8390108.2100000009</v>
      </c>
      <c r="AS5" s="192">
        <v>75639826.780000001</v>
      </c>
      <c r="AT5" s="192">
        <v>61363343.810000002</v>
      </c>
      <c r="AU5" s="192">
        <v>31195289.77</v>
      </c>
      <c r="AV5" s="192">
        <v>15008145.07</v>
      </c>
      <c r="AW5" s="192">
        <v>85866207.989999995</v>
      </c>
      <c r="AX5" s="192">
        <v>64962018.490000002</v>
      </c>
      <c r="AY5" s="192">
        <v>54673431.990000002</v>
      </c>
      <c r="AZ5" s="192">
        <v>28862312.41</v>
      </c>
      <c r="BA5" s="192">
        <v>63315257.119999997</v>
      </c>
      <c r="BB5" s="192">
        <v>34124153.75</v>
      </c>
      <c r="BC5" s="192">
        <v>18634443.550000001</v>
      </c>
      <c r="BD5" s="192">
        <v>11019513.41</v>
      </c>
      <c r="BE5" s="192">
        <v>108719313.54000001</v>
      </c>
      <c r="BF5" s="192">
        <v>85370335.890000001</v>
      </c>
      <c r="BG5" s="192">
        <v>55676904.850000001</v>
      </c>
      <c r="BH5" s="192">
        <v>15283934.57</v>
      </c>
      <c r="BI5" s="192">
        <v>33244778.25</v>
      </c>
      <c r="BJ5" s="192">
        <v>41361205.030000001</v>
      </c>
      <c r="BK5" s="192">
        <v>20065373.09</v>
      </c>
      <c r="BL5" s="192">
        <v>0</v>
      </c>
      <c r="BM5" s="192">
        <v>8647957.5800000001</v>
      </c>
      <c r="BN5" s="192">
        <v>174753</v>
      </c>
      <c r="BO5" s="192">
        <v>23767384.09</v>
      </c>
      <c r="BP5" s="192">
        <v>0</v>
      </c>
      <c r="BQ5" s="192">
        <v>14882220.33</v>
      </c>
      <c r="BR5" s="192">
        <v>240446805.34</v>
      </c>
      <c r="BS5" s="192">
        <v>20551085.27</v>
      </c>
      <c r="BT5" s="192">
        <v>22052101.84</v>
      </c>
      <c r="BU5" s="192">
        <v>184373867.52000001</v>
      </c>
      <c r="BV5" s="192">
        <v>0</v>
      </c>
    </row>
    <row r="6" spans="1:74" s="192" customFormat="1" x14ac:dyDescent="0.25">
      <c r="A6" s="192" t="s">
        <v>222</v>
      </c>
      <c r="B6" s="192">
        <v>113957228.91</v>
      </c>
      <c r="C6" s="192">
        <v>65692959.289999999</v>
      </c>
      <c r="D6" s="192">
        <v>20560607.100000001</v>
      </c>
      <c r="E6" s="192">
        <v>114191110.40000001</v>
      </c>
      <c r="F6" s="192">
        <v>86857031.469999999</v>
      </c>
      <c r="G6" s="192">
        <v>46492111.689999998</v>
      </c>
      <c r="H6" s="192">
        <v>21257432.18</v>
      </c>
      <c r="I6" s="192">
        <v>66833930.420000002</v>
      </c>
      <c r="J6" s="192">
        <v>72368190.310000002</v>
      </c>
      <c r="K6" s="192">
        <v>45513803.229999997</v>
      </c>
      <c r="L6" s="192">
        <v>29195276.02</v>
      </c>
      <c r="M6" s="192">
        <v>56688253.869999997</v>
      </c>
      <c r="N6" s="192">
        <v>88908550.739999995</v>
      </c>
      <c r="O6" s="192">
        <v>21410402.27</v>
      </c>
      <c r="P6" s="192">
        <v>16382898.789999999</v>
      </c>
      <c r="Q6" s="192">
        <v>59695461.200000003</v>
      </c>
      <c r="R6" s="192">
        <v>59179851.130000003</v>
      </c>
      <c r="S6" s="192">
        <v>15703387.98</v>
      </c>
      <c r="T6" s="192">
        <v>8523758.5600000005</v>
      </c>
      <c r="U6" s="192">
        <v>51806677.270000003</v>
      </c>
      <c r="V6" s="192">
        <v>29429979.5</v>
      </c>
      <c r="W6" s="192">
        <v>18947986.23</v>
      </c>
      <c r="X6" s="192">
        <v>8476911.7599999998</v>
      </c>
      <c r="Y6" s="192">
        <v>48968092.609999999</v>
      </c>
      <c r="Z6" s="192">
        <v>81125915.459999993</v>
      </c>
      <c r="AA6" s="192">
        <v>53681539.890000001</v>
      </c>
      <c r="AB6" s="192">
        <v>25733732.670000002</v>
      </c>
      <c r="AC6" s="192">
        <v>116680308.66</v>
      </c>
      <c r="AD6" s="192">
        <v>134107933.76000001</v>
      </c>
      <c r="AE6" s="192">
        <v>22789774.260000002</v>
      </c>
      <c r="AF6" s="192">
        <v>8698553.5800000001</v>
      </c>
      <c r="AG6" s="192">
        <v>65987467.600000001</v>
      </c>
      <c r="AH6" s="192">
        <v>25673875.739999998</v>
      </c>
      <c r="AI6" s="192">
        <v>14335417.560000001</v>
      </c>
      <c r="AJ6" s="192">
        <v>9541818.8000000007</v>
      </c>
      <c r="AK6" s="192">
        <v>19709003.629999999</v>
      </c>
      <c r="AL6" s="192">
        <v>40780052.100000001</v>
      </c>
      <c r="AM6" s="192">
        <v>34550122.140000001</v>
      </c>
      <c r="AN6" s="192">
        <v>11813087.24</v>
      </c>
      <c r="AO6" s="192">
        <v>42245520.789999999</v>
      </c>
      <c r="AP6" s="192">
        <v>88652772.390000001</v>
      </c>
      <c r="AQ6" s="192">
        <v>57044406.369999997</v>
      </c>
      <c r="AR6" s="192">
        <v>63424853.380000003</v>
      </c>
      <c r="AS6" s="192">
        <v>46941404.649999999</v>
      </c>
      <c r="AT6" s="192">
        <v>123558891.56999999</v>
      </c>
      <c r="AU6" s="192">
        <v>82658328.349999994</v>
      </c>
      <c r="AV6" s="192">
        <v>47124067</v>
      </c>
      <c r="AW6" s="192">
        <v>23230981.460000001</v>
      </c>
      <c r="AX6" s="192">
        <v>190861829.34</v>
      </c>
      <c r="AY6" s="192">
        <v>157024350.55000001</v>
      </c>
      <c r="AZ6" s="192">
        <v>47009023.329999998</v>
      </c>
      <c r="BA6" s="192">
        <v>90116700.760000005</v>
      </c>
      <c r="BB6" s="192">
        <v>318120976.41000003</v>
      </c>
      <c r="BC6" s="192">
        <v>216307575.49000001</v>
      </c>
      <c r="BD6" s="192">
        <v>77052013.040000007</v>
      </c>
      <c r="BE6" s="192">
        <v>33895848.630000003</v>
      </c>
      <c r="BF6" s="192">
        <v>57083702.170000002</v>
      </c>
      <c r="BG6" s="192">
        <v>35904437.619999997</v>
      </c>
      <c r="BH6" s="192">
        <v>20403377.760000002</v>
      </c>
      <c r="BI6" s="192">
        <v>55870493.310000002</v>
      </c>
      <c r="BJ6" s="192">
        <v>51993431.189999998</v>
      </c>
      <c r="BK6" s="192">
        <v>32832664.469999999</v>
      </c>
      <c r="BL6" s="192">
        <v>0</v>
      </c>
      <c r="BM6" s="192">
        <v>19793177.600000001</v>
      </c>
      <c r="BN6" s="192">
        <v>6271504.6900000004</v>
      </c>
      <c r="BO6" s="192">
        <v>55639092.43</v>
      </c>
      <c r="BP6" s="192">
        <v>18023915.75</v>
      </c>
      <c r="BQ6" s="192">
        <v>51244783.710000001</v>
      </c>
      <c r="BR6" s="192">
        <v>87099551.439999998</v>
      </c>
      <c r="BS6" s="192">
        <v>75776121.950000003</v>
      </c>
      <c r="BT6" s="192">
        <v>17987973.969999999</v>
      </c>
      <c r="BU6" s="192">
        <v>3217345.82</v>
      </c>
      <c r="BV6" s="192">
        <v>0</v>
      </c>
    </row>
    <row r="7" spans="1:74" s="192" customFormat="1" x14ac:dyDescent="0.25">
      <c r="A7" s="192" t="s">
        <v>223</v>
      </c>
      <c r="B7" s="192">
        <v>13263754169.6</v>
      </c>
      <c r="C7" s="192">
        <v>8053485721.9399996</v>
      </c>
      <c r="D7" s="192">
        <v>4298925401.75</v>
      </c>
      <c r="E7" s="192">
        <v>17737932301.25</v>
      </c>
      <c r="F7" s="192">
        <v>11649379734.299999</v>
      </c>
      <c r="G7" s="192">
        <v>6804588867.3900003</v>
      </c>
      <c r="H7" s="192">
        <v>3994648223.02</v>
      </c>
      <c r="I7" s="192">
        <v>16377852960.18</v>
      </c>
      <c r="J7" s="192">
        <v>10163766165.719999</v>
      </c>
      <c r="K7" s="192">
        <v>7338405042.4700003</v>
      </c>
      <c r="L7" s="192">
        <v>3107319011.5999999</v>
      </c>
      <c r="M7" s="192">
        <v>12873994461.09</v>
      </c>
      <c r="N7" s="192">
        <v>8676171894.6499996</v>
      </c>
      <c r="O7" s="192">
        <v>5450373369.8900003</v>
      </c>
      <c r="P7" s="192">
        <v>2350158209.46</v>
      </c>
      <c r="Q7" s="192">
        <v>8891098192.2399998</v>
      </c>
      <c r="R7" s="192">
        <v>5927116328.3599997</v>
      </c>
      <c r="S7" s="192">
        <v>3830659112.77</v>
      </c>
      <c r="T7" s="192">
        <v>1656424916.78</v>
      </c>
      <c r="U7" s="192">
        <v>7313349568.5699997</v>
      </c>
      <c r="V7" s="192">
        <v>5555478430.4399996</v>
      </c>
      <c r="W7" s="192">
        <v>3932521603.46</v>
      </c>
      <c r="X7" s="192">
        <v>1917612503.4200001</v>
      </c>
      <c r="Y7" s="192">
        <v>7083790703.5900002</v>
      </c>
      <c r="Z7" s="192">
        <v>4929781490.8900003</v>
      </c>
      <c r="AA7" s="192">
        <v>3807444181.6999998</v>
      </c>
      <c r="AB7" s="192">
        <v>2068293707.4400001</v>
      </c>
      <c r="AC7" s="192">
        <v>10584833343.15</v>
      </c>
      <c r="AD7" s="192">
        <v>7339985456.6700001</v>
      </c>
      <c r="AE7" s="192">
        <v>3557097956.3800001</v>
      </c>
      <c r="AF7" s="192">
        <v>1657713493.9300001</v>
      </c>
      <c r="AG7" s="192">
        <v>6675637708.3900003</v>
      </c>
      <c r="AH7" s="192">
        <v>3992267503.9400001</v>
      </c>
      <c r="AI7" s="192">
        <v>2125077000.5599999</v>
      </c>
      <c r="AJ7" s="192">
        <v>426741934.14999998</v>
      </c>
      <c r="AK7" s="192">
        <v>2608132155.1399999</v>
      </c>
      <c r="AL7" s="192">
        <v>2165274496.9499998</v>
      </c>
      <c r="AM7" s="192">
        <v>1259522242.5</v>
      </c>
      <c r="AN7" s="192">
        <v>435348029.44</v>
      </c>
      <c r="AO7" s="192">
        <v>3237300119.6300001</v>
      </c>
      <c r="AP7" s="192">
        <v>2229204464.0700002</v>
      </c>
      <c r="AQ7" s="192">
        <v>1578722568.6800001</v>
      </c>
      <c r="AR7" s="192">
        <v>1609829001.71</v>
      </c>
      <c r="AS7" s="192">
        <v>6714353257.54</v>
      </c>
      <c r="AT7" s="192">
        <v>5093039935.2700005</v>
      </c>
      <c r="AU7" s="192">
        <v>3275104064.75</v>
      </c>
      <c r="AV7" s="192">
        <v>1609512180.6199999</v>
      </c>
      <c r="AW7" s="192">
        <v>5250204292.6700001</v>
      </c>
      <c r="AX7" s="192">
        <v>3779127655.46</v>
      </c>
      <c r="AY7" s="192">
        <v>2533965391.23</v>
      </c>
      <c r="AZ7" s="192">
        <v>1214873729.1099999</v>
      </c>
      <c r="BA7" s="192">
        <v>5863417605.6099997</v>
      </c>
      <c r="BB7" s="192">
        <v>2642669731.4899998</v>
      </c>
      <c r="BC7" s="192">
        <v>1633851549.04</v>
      </c>
      <c r="BD7" s="192">
        <v>1160955019.73</v>
      </c>
      <c r="BE7" s="192">
        <v>2946390752.8000002</v>
      </c>
      <c r="BF7" s="192">
        <v>1996346821.1400001</v>
      </c>
      <c r="BG7" s="192">
        <v>1163954774.48</v>
      </c>
      <c r="BH7" s="192">
        <v>671905848.00999999</v>
      </c>
      <c r="BI7" s="192">
        <v>3596054922.5300002</v>
      </c>
      <c r="BJ7" s="192">
        <v>2323119434.4400001</v>
      </c>
      <c r="BK7" s="192">
        <v>1839845817.6600001</v>
      </c>
      <c r="BL7" s="192">
        <v>0</v>
      </c>
      <c r="BM7" s="192">
        <v>3766822057.73</v>
      </c>
      <c r="BN7" s="192">
        <v>2017691125.03</v>
      </c>
      <c r="BO7" s="192">
        <v>2825605293.3299999</v>
      </c>
      <c r="BP7" s="192">
        <v>1281930789.1500001</v>
      </c>
      <c r="BQ7" s="192">
        <v>3152254564.71</v>
      </c>
      <c r="BR7" s="192">
        <v>1920836843.6700001</v>
      </c>
      <c r="BS7" s="192">
        <v>3065512890.3499999</v>
      </c>
      <c r="BT7" s="192">
        <v>2272411909</v>
      </c>
      <c r="BU7" s="192">
        <v>1041221000.45</v>
      </c>
      <c r="BV7" s="192">
        <v>0</v>
      </c>
    </row>
    <row r="8" spans="1:74" s="192" customFormat="1" x14ac:dyDescent="0.25">
      <c r="A8" s="192" t="s">
        <v>224</v>
      </c>
      <c r="B8" s="192">
        <v>10623045879.77</v>
      </c>
      <c r="C8" s="192">
        <v>6150288344.7600002</v>
      </c>
      <c r="D8" s="192">
        <v>3053498810.4099998</v>
      </c>
      <c r="E8" s="192">
        <v>13209347707.129999</v>
      </c>
      <c r="F8" s="192">
        <v>7437740147.0600004</v>
      </c>
      <c r="G8" s="192">
        <v>4509538095.0699997</v>
      </c>
      <c r="H8" s="192">
        <v>2973752966.0900002</v>
      </c>
      <c r="I8" s="192">
        <v>10455208887.42</v>
      </c>
      <c r="J8" s="192">
        <v>5404416316.25</v>
      </c>
      <c r="K8" s="192">
        <v>3658677508.75</v>
      </c>
      <c r="L8" s="192">
        <v>1460899639.1700001</v>
      </c>
      <c r="M8" s="192">
        <v>6084201536.5699997</v>
      </c>
      <c r="N8" s="192">
        <v>3685447682.8800001</v>
      </c>
      <c r="O8" s="192">
        <v>2425834978.8299999</v>
      </c>
      <c r="P8" s="192">
        <v>1128751660.6800001</v>
      </c>
      <c r="Q8" s="192">
        <v>4594554278.1400003</v>
      </c>
      <c r="R8" s="192">
        <v>2946834967.1300001</v>
      </c>
      <c r="S8" s="192">
        <v>1682161655.0899999</v>
      </c>
      <c r="T8" s="192">
        <v>723257042.69000006</v>
      </c>
      <c r="U8" s="192">
        <v>4150047174.8000002</v>
      </c>
      <c r="V8" s="192">
        <v>2786581207.5</v>
      </c>
      <c r="W8" s="192">
        <v>1835326159.78</v>
      </c>
      <c r="X8" s="192">
        <v>1112603553.8599999</v>
      </c>
      <c r="Y8" s="192">
        <v>4827830777.79</v>
      </c>
      <c r="Z8" s="192">
        <v>3078017111.6599998</v>
      </c>
      <c r="AA8" s="192">
        <v>2160266283.4499998</v>
      </c>
      <c r="AB8" s="192">
        <v>1720211801.04</v>
      </c>
      <c r="AC8" s="192">
        <v>8409341382.3299999</v>
      </c>
      <c r="AD8" s="192">
        <v>5148321416.3699999</v>
      </c>
      <c r="AE8" s="192">
        <v>2993839332.9699998</v>
      </c>
      <c r="AF8" s="192">
        <v>1915993050.3</v>
      </c>
      <c r="AG8" s="192">
        <v>4177323007.29</v>
      </c>
      <c r="AH8" s="192">
        <v>2120092784.47</v>
      </c>
      <c r="AI8" s="192">
        <v>1090436431.55</v>
      </c>
      <c r="AJ8" s="192">
        <v>519856868.25999999</v>
      </c>
      <c r="AK8" s="192">
        <v>1567851845.9400001</v>
      </c>
      <c r="AL8" s="192">
        <v>1202759934.9400001</v>
      </c>
      <c r="AM8" s="192">
        <v>744274270.55999994</v>
      </c>
      <c r="AN8" s="192">
        <v>190471891.91999999</v>
      </c>
      <c r="AO8" s="192">
        <v>2355883982.8800001</v>
      </c>
      <c r="AP8" s="192">
        <v>1726509374.2</v>
      </c>
      <c r="AQ8" s="192">
        <v>1158165951.6600001</v>
      </c>
      <c r="AR8" s="192">
        <v>1285113076.27</v>
      </c>
      <c r="AS8" s="192">
        <v>5257400835.6700001</v>
      </c>
      <c r="AT8" s="192">
        <v>3976279288.8499999</v>
      </c>
      <c r="AU8" s="192">
        <v>2431328500.2199998</v>
      </c>
      <c r="AV8" s="192">
        <v>1075962006.02</v>
      </c>
      <c r="AW8" s="192">
        <v>4037626947.46</v>
      </c>
      <c r="AX8" s="192">
        <v>2843517157.79</v>
      </c>
      <c r="AY8" s="192">
        <v>1866937201.9300001</v>
      </c>
      <c r="AZ8" s="192">
        <v>912493945.75</v>
      </c>
      <c r="BA8" s="192">
        <v>5081608453.8299999</v>
      </c>
      <c r="BB8" s="192">
        <v>2107338436.9200001</v>
      </c>
      <c r="BC8" s="192">
        <v>1374015337.3499999</v>
      </c>
      <c r="BD8" s="192">
        <v>949562570.61000001</v>
      </c>
      <c r="BE8" s="192">
        <v>2524747037.21</v>
      </c>
      <c r="BF8" s="192">
        <v>1669824870</v>
      </c>
      <c r="BG8" s="192">
        <v>799727817.09000003</v>
      </c>
      <c r="BH8" s="192">
        <v>490281469.69999999</v>
      </c>
      <c r="BI8" s="192">
        <v>2823933634.4499998</v>
      </c>
      <c r="BJ8" s="192">
        <v>1862976105.9000001</v>
      </c>
      <c r="BK8" s="192">
        <v>1456543062</v>
      </c>
      <c r="BL8" s="192">
        <v>0</v>
      </c>
      <c r="BM8" s="192">
        <v>2927365163.3499999</v>
      </c>
      <c r="BN8" s="192">
        <v>1433136585.53</v>
      </c>
      <c r="BO8" s="192">
        <v>2052992818.6099999</v>
      </c>
      <c r="BP8" s="192">
        <v>994843787.44000006</v>
      </c>
      <c r="BQ8" s="192">
        <v>2435254390.1399999</v>
      </c>
      <c r="BR8" s="192">
        <v>1143181730.73</v>
      </c>
      <c r="BS8" s="192">
        <v>2289670972.5300002</v>
      </c>
      <c r="BT8" s="192">
        <v>1923496387</v>
      </c>
      <c r="BU8" s="192">
        <v>633637948.79999995</v>
      </c>
      <c r="BV8" s="192">
        <v>0</v>
      </c>
    </row>
    <row r="9" spans="1:74" s="192" customFormat="1" x14ac:dyDescent="0.25">
      <c r="A9" s="192" t="s">
        <v>225</v>
      </c>
      <c r="B9" s="192">
        <v>1125920458.9300001</v>
      </c>
      <c r="C9" s="192">
        <v>782742734.5</v>
      </c>
      <c r="D9" s="192">
        <v>462414920.99000001</v>
      </c>
      <c r="E9" s="192">
        <v>1267020460.78</v>
      </c>
      <c r="F9" s="192">
        <v>918519618.20000005</v>
      </c>
      <c r="G9" s="192">
        <v>620865515.47000003</v>
      </c>
      <c r="H9" s="192">
        <v>368240959.81999999</v>
      </c>
      <c r="I9" s="192">
        <v>977297801.65999997</v>
      </c>
      <c r="J9" s="192">
        <v>679507180.35000002</v>
      </c>
      <c r="K9" s="192">
        <v>524746031.23000002</v>
      </c>
      <c r="L9" s="192">
        <v>298371022.35000002</v>
      </c>
      <c r="M9" s="192">
        <v>893989108.52999997</v>
      </c>
      <c r="N9" s="192">
        <v>658321640.98000002</v>
      </c>
      <c r="O9" s="192">
        <v>476015698.91000003</v>
      </c>
      <c r="P9" s="192">
        <v>283468238.33999997</v>
      </c>
      <c r="Q9" s="192">
        <v>708166899.30999994</v>
      </c>
      <c r="R9" s="192">
        <v>533741998.27999997</v>
      </c>
      <c r="S9" s="192">
        <v>378843499.76999998</v>
      </c>
      <c r="T9" s="192">
        <v>211254229.31999999</v>
      </c>
      <c r="U9" s="192">
        <v>626533856.58000004</v>
      </c>
      <c r="V9" s="192">
        <v>448347381.56999999</v>
      </c>
      <c r="W9" s="192">
        <v>309287589.08999997</v>
      </c>
      <c r="X9" s="192">
        <v>145551958.80000001</v>
      </c>
      <c r="Y9" s="192">
        <v>515778563.33999997</v>
      </c>
      <c r="Z9" s="192">
        <v>336128353.42000002</v>
      </c>
      <c r="AA9" s="192">
        <v>248006127.34999999</v>
      </c>
      <c r="AB9" s="192">
        <v>107912199.5</v>
      </c>
      <c r="AC9" s="192">
        <v>550374769.21000004</v>
      </c>
      <c r="AD9" s="192">
        <v>402277932.01999998</v>
      </c>
      <c r="AE9" s="192">
        <v>292624388.63</v>
      </c>
      <c r="AF9" s="192">
        <v>165423198.86000001</v>
      </c>
      <c r="AG9" s="192">
        <v>446294485.30000001</v>
      </c>
      <c r="AH9" s="192">
        <v>228484739.62</v>
      </c>
      <c r="AI9" s="192">
        <v>153173392.03</v>
      </c>
      <c r="AJ9" s="192">
        <v>89060780.799999997</v>
      </c>
      <c r="AK9" s="192">
        <v>213108158.96000001</v>
      </c>
      <c r="AL9" s="192">
        <v>138645659.34</v>
      </c>
      <c r="AM9" s="192">
        <v>100359470.65000001</v>
      </c>
      <c r="AN9" s="192">
        <v>60764481.969999999</v>
      </c>
      <c r="AO9" s="192">
        <v>298614361.79000002</v>
      </c>
      <c r="AP9" s="192">
        <v>192565031.63999999</v>
      </c>
      <c r="AQ9" s="192">
        <v>134603446.71000001</v>
      </c>
      <c r="AR9" s="192">
        <v>91378078.030000001</v>
      </c>
      <c r="AS9" s="192">
        <v>201633440.53</v>
      </c>
      <c r="AT9" s="192">
        <v>145511612.40000001</v>
      </c>
      <c r="AU9" s="192">
        <v>104388193.02</v>
      </c>
      <c r="AV9" s="192">
        <v>62968972.649999999</v>
      </c>
      <c r="AW9" s="192">
        <v>130256337.62</v>
      </c>
      <c r="AX9" s="192">
        <v>119800530.94</v>
      </c>
      <c r="AY9" s="192">
        <v>85515887.689999998</v>
      </c>
      <c r="AZ9" s="192">
        <v>58837774.18</v>
      </c>
      <c r="BA9" s="192">
        <v>117936571.33</v>
      </c>
      <c r="BB9" s="192">
        <v>103605873.08</v>
      </c>
      <c r="BC9" s="192">
        <v>72625033.599999994</v>
      </c>
      <c r="BD9" s="192">
        <v>46777163.520000003</v>
      </c>
      <c r="BE9" s="192">
        <v>105103721.97</v>
      </c>
      <c r="BF9" s="192">
        <v>81999694</v>
      </c>
      <c r="BG9" s="192">
        <v>60075318.719999999</v>
      </c>
      <c r="BH9" s="192">
        <v>37782867.359999999</v>
      </c>
      <c r="BI9" s="192">
        <v>101461266.08</v>
      </c>
      <c r="BJ9" s="192">
        <v>81576705.329999998</v>
      </c>
      <c r="BK9" s="192">
        <v>54478424.060000002</v>
      </c>
      <c r="BL9" s="192">
        <v>0</v>
      </c>
      <c r="BM9" s="192">
        <v>108756595.38</v>
      </c>
      <c r="BN9" s="192">
        <v>53101203.710000001</v>
      </c>
      <c r="BO9" s="192">
        <v>87470351.319999993</v>
      </c>
      <c r="BP9" s="192">
        <v>36008206.840000004</v>
      </c>
      <c r="BQ9" s="192">
        <v>75017095.510000005</v>
      </c>
      <c r="BR9" s="192">
        <v>38467305.060000002</v>
      </c>
      <c r="BS9" s="192">
        <v>72722354.769999996</v>
      </c>
      <c r="BT9" s="192">
        <v>61996727.299999997</v>
      </c>
      <c r="BU9" s="192">
        <v>46653821.390000001</v>
      </c>
      <c r="BV9" s="192">
        <v>0</v>
      </c>
    </row>
    <row r="10" spans="1:74" s="192" customFormat="1" x14ac:dyDescent="0.25">
      <c r="A10" s="192" t="s">
        <v>226</v>
      </c>
      <c r="B10" s="192">
        <v>801559780.75999999</v>
      </c>
      <c r="C10" s="192">
        <v>676009928.86000001</v>
      </c>
      <c r="D10" s="192">
        <v>314170117.48000002</v>
      </c>
      <c r="E10" s="192">
        <v>721750460.89999998</v>
      </c>
      <c r="F10" s="192">
        <v>634889870.54999995</v>
      </c>
      <c r="G10" s="192">
        <v>472145836.29000002</v>
      </c>
      <c r="H10" s="192">
        <v>173229722.56</v>
      </c>
      <c r="I10" s="192">
        <v>651736882.50999999</v>
      </c>
      <c r="J10" s="192">
        <v>640844887.25999999</v>
      </c>
      <c r="K10" s="192">
        <v>509900003.41000003</v>
      </c>
      <c r="L10" s="192">
        <v>226899499.05000001</v>
      </c>
      <c r="M10" s="192">
        <v>543482333.14999998</v>
      </c>
      <c r="N10" s="192">
        <v>475664243.74000001</v>
      </c>
      <c r="O10" s="192">
        <v>349459845.85000002</v>
      </c>
      <c r="P10" s="192">
        <v>131441100.55</v>
      </c>
      <c r="Q10" s="192">
        <v>608666666.16999996</v>
      </c>
      <c r="R10" s="192">
        <v>501447104.32999998</v>
      </c>
      <c r="S10" s="192">
        <v>332132100.43000001</v>
      </c>
      <c r="T10" s="192">
        <v>148479258.31</v>
      </c>
      <c r="U10" s="192">
        <v>416449377.94999999</v>
      </c>
      <c r="V10" s="192">
        <v>364241388.69999999</v>
      </c>
      <c r="W10" s="192">
        <v>221545520.16999999</v>
      </c>
      <c r="X10" s="192">
        <v>62526204.159999996</v>
      </c>
      <c r="Y10" s="192">
        <v>347521146.70999998</v>
      </c>
      <c r="Z10" s="192">
        <v>262413830.49000001</v>
      </c>
      <c r="AA10" s="192">
        <v>172805301.91</v>
      </c>
      <c r="AB10" s="192">
        <v>87464307.299999997</v>
      </c>
      <c r="AC10" s="192">
        <v>339233527.88</v>
      </c>
      <c r="AD10" s="192">
        <v>295550308.69</v>
      </c>
      <c r="AE10" s="192">
        <v>228116211.41999999</v>
      </c>
      <c r="AF10" s="192">
        <v>111375216.69</v>
      </c>
      <c r="AG10" s="192">
        <v>473908273.67000002</v>
      </c>
      <c r="AH10" s="192">
        <v>283115918.98000002</v>
      </c>
      <c r="AI10" s="192">
        <v>178235319.71000001</v>
      </c>
      <c r="AJ10" s="192">
        <v>126289871.15000001</v>
      </c>
      <c r="AK10" s="192">
        <v>213733968.97</v>
      </c>
      <c r="AL10" s="192">
        <v>156176009.53999999</v>
      </c>
      <c r="AM10" s="192">
        <v>140562476.56</v>
      </c>
      <c r="AN10" s="192">
        <v>68956107.530000001</v>
      </c>
      <c r="AO10" s="192">
        <v>226421477.11000001</v>
      </c>
      <c r="AP10" s="192">
        <v>131598033.65000001</v>
      </c>
      <c r="AQ10" s="192">
        <v>109761772.06</v>
      </c>
      <c r="AR10" s="192">
        <v>61438994.530000001</v>
      </c>
      <c r="AS10" s="192">
        <v>269086629.88999999</v>
      </c>
      <c r="AT10" s="192">
        <v>202467444</v>
      </c>
      <c r="AU10" s="192">
        <v>154293830.43000001</v>
      </c>
      <c r="AV10" s="192">
        <v>73296277.140000001</v>
      </c>
      <c r="AW10" s="192">
        <v>183732158.33000001</v>
      </c>
      <c r="AX10" s="192">
        <v>135089693.22</v>
      </c>
      <c r="AY10" s="192">
        <v>107530539.13</v>
      </c>
      <c r="AZ10" s="192">
        <v>53149632.909999996</v>
      </c>
      <c r="BA10" s="192">
        <v>137954020.53</v>
      </c>
      <c r="BB10" s="192">
        <v>102128621.23</v>
      </c>
      <c r="BC10" s="192">
        <v>71333289.670000002</v>
      </c>
      <c r="BD10" s="192">
        <v>35698743.619999997</v>
      </c>
      <c r="BE10" s="192">
        <v>121596042.98</v>
      </c>
      <c r="BF10" s="192">
        <v>100501584.45999999</v>
      </c>
      <c r="BG10" s="192">
        <v>80943926.780000001</v>
      </c>
      <c r="BH10" s="192">
        <v>62608359.549999997</v>
      </c>
      <c r="BI10" s="192">
        <v>112605770.52</v>
      </c>
      <c r="BJ10" s="192">
        <v>75251623.930000007</v>
      </c>
      <c r="BK10" s="192">
        <v>49143029.200000003</v>
      </c>
      <c r="BL10" s="192">
        <v>0</v>
      </c>
      <c r="BM10" s="192">
        <v>144981940.5</v>
      </c>
      <c r="BN10" s="192">
        <v>102885742.72</v>
      </c>
      <c r="BO10" s="192">
        <v>212482858.53</v>
      </c>
      <c r="BP10" s="192">
        <v>105967242.61</v>
      </c>
      <c r="BQ10" s="192">
        <v>194308695.78999999</v>
      </c>
      <c r="BR10" s="192">
        <v>284148196.14999998</v>
      </c>
      <c r="BS10" s="192">
        <v>263674636.53</v>
      </c>
      <c r="BT10" s="192">
        <v>190573435.66999999</v>
      </c>
      <c r="BU10" s="192">
        <v>241523788.03</v>
      </c>
      <c r="BV10" s="192">
        <v>0</v>
      </c>
    </row>
    <row r="11" spans="1:74" s="192" customFormat="1" x14ac:dyDescent="0.25">
      <c r="A11" s="192" t="s">
        <v>227</v>
      </c>
      <c r="B11" s="192">
        <v>427724292.70999998</v>
      </c>
      <c r="C11" s="192">
        <v>271215691.41000003</v>
      </c>
      <c r="D11" s="192">
        <v>184185693.58000001</v>
      </c>
      <c r="E11" s="192">
        <v>524059854.13999999</v>
      </c>
      <c r="F11" s="192">
        <v>1969007881.0699999</v>
      </c>
      <c r="G11" s="192">
        <v>1344450112.8</v>
      </c>
      <c r="H11" s="192">
        <v>648424186.37</v>
      </c>
      <c r="I11" s="192">
        <v>397536601.20999998</v>
      </c>
      <c r="J11" s="192">
        <v>1511703696.6300001</v>
      </c>
      <c r="K11" s="192">
        <v>1037984106.2</v>
      </c>
      <c r="L11" s="192">
        <v>547600585.13</v>
      </c>
      <c r="M11" s="192">
        <v>1753626014.04</v>
      </c>
      <c r="N11" s="192">
        <v>1283515207.24</v>
      </c>
      <c r="O11" s="192">
        <v>833793362.84000003</v>
      </c>
      <c r="P11" s="192">
        <v>412215075.35000002</v>
      </c>
      <c r="Q11" s="192">
        <v>1322596031.29</v>
      </c>
      <c r="R11" s="192">
        <v>932073325.17999995</v>
      </c>
      <c r="S11" s="192">
        <v>612417421.64999998</v>
      </c>
      <c r="T11" s="192">
        <v>301470073.93000001</v>
      </c>
      <c r="U11" s="192">
        <v>1215437058.23</v>
      </c>
      <c r="V11" s="192">
        <v>1032160321.78</v>
      </c>
      <c r="W11" s="192">
        <v>635240038.60000002</v>
      </c>
      <c r="X11" s="192">
        <v>319104747.12</v>
      </c>
      <c r="Y11" s="192">
        <v>1047902517.6</v>
      </c>
      <c r="Z11" s="192">
        <v>606253355.50999999</v>
      </c>
      <c r="AA11" s="192">
        <v>316928858.25999999</v>
      </c>
      <c r="AB11" s="192">
        <v>154366302.27000001</v>
      </c>
      <c r="AC11" s="192">
        <v>1043352354.66</v>
      </c>
      <c r="AD11" s="192">
        <v>734133558.79999995</v>
      </c>
      <c r="AE11" s="192">
        <v>551518850.99000001</v>
      </c>
      <c r="AF11" s="192">
        <v>200845416.24000001</v>
      </c>
      <c r="AG11" s="192">
        <v>853977670.89999998</v>
      </c>
      <c r="AH11" s="192">
        <v>379566510.25999999</v>
      </c>
      <c r="AI11" s="192">
        <v>200381374.44999999</v>
      </c>
      <c r="AJ11" s="192">
        <v>77985542.480000004</v>
      </c>
      <c r="AK11" s="192">
        <v>474403774.04000002</v>
      </c>
      <c r="AL11" s="192">
        <v>303284837.56999999</v>
      </c>
      <c r="AM11" s="192">
        <v>170456729.43000001</v>
      </c>
      <c r="AN11" s="192">
        <v>90214579.659999996</v>
      </c>
      <c r="AO11" s="192">
        <v>491095968.00999999</v>
      </c>
      <c r="AP11" s="192">
        <v>530901810.57999998</v>
      </c>
      <c r="AQ11" s="192">
        <v>211189927.28</v>
      </c>
      <c r="AR11" s="192">
        <v>340349794</v>
      </c>
      <c r="AS11" s="192">
        <v>613310081</v>
      </c>
      <c r="AT11" s="192">
        <v>568776877.15999997</v>
      </c>
      <c r="AU11" s="192">
        <v>489642508.67000002</v>
      </c>
      <c r="AV11" s="192">
        <v>392082974.54000002</v>
      </c>
      <c r="AW11" s="192">
        <v>631242185.36000001</v>
      </c>
      <c r="AX11" s="192">
        <v>679373872.55999994</v>
      </c>
      <c r="AY11" s="192">
        <v>408003329.04000002</v>
      </c>
      <c r="AZ11" s="192">
        <v>182368743.41999999</v>
      </c>
      <c r="BA11" s="192">
        <v>460089448.98000002</v>
      </c>
      <c r="BB11" s="192">
        <v>570891028.15999997</v>
      </c>
      <c r="BC11" s="192">
        <v>354730275.54000002</v>
      </c>
      <c r="BD11" s="192">
        <v>177276586.40000001</v>
      </c>
      <c r="BE11" s="192">
        <v>374271204.43000001</v>
      </c>
      <c r="BF11" s="192">
        <v>379605803.14999998</v>
      </c>
      <c r="BG11" s="192">
        <v>256222942.66</v>
      </c>
      <c r="BH11" s="192">
        <v>75512350.480000004</v>
      </c>
      <c r="BI11" s="192">
        <v>366602356.66000003</v>
      </c>
      <c r="BJ11" s="192">
        <v>293302285.69999999</v>
      </c>
      <c r="BK11" s="192">
        <v>175796090.30000001</v>
      </c>
      <c r="BL11" s="192">
        <v>0</v>
      </c>
      <c r="BM11" s="192">
        <v>499165003.24000001</v>
      </c>
      <c r="BN11" s="192">
        <v>373720194.24000001</v>
      </c>
      <c r="BO11" s="192">
        <v>376217695.02999997</v>
      </c>
      <c r="BP11" s="192">
        <v>103391542.90000001</v>
      </c>
      <c r="BQ11" s="192">
        <v>251981206.41999999</v>
      </c>
      <c r="BR11" s="192">
        <v>310187600.29000002</v>
      </c>
      <c r="BS11" s="192">
        <v>223858625.97</v>
      </c>
      <c r="BT11" s="192">
        <v>147215812.90000001</v>
      </c>
      <c r="BU11" s="192">
        <v>183441392.02000001</v>
      </c>
      <c r="BV11" s="192">
        <v>0</v>
      </c>
    </row>
    <row r="12" spans="1:74" s="192" customFormat="1" x14ac:dyDescent="0.25">
      <c r="A12" s="192" t="s">
        <v>228</v>
      </c>
      <c r="B12" s="192">
        <v>12978250412.17</v>
      </c>
      <c r="C12" s="192">
        <v>7880256699.5299997</v>
      </c>
      <c r="D12" s="192">
        <v>4014269542.46</v>
      </c>
      <c r="E12" s="192">
        <v>15722178482.950001</v>
      </c>
      <c r="F12" s="192">
        <v>10960157516.879999</v>
      </c>
      <c r="G12" s="192">
        <v>6946999559.6300001</v>
      </c>
      <c r="H12" s="192">
        <v>4163647834.8400002</v>
      </c>
      <c r="I12" s="192">
        <v>12481780172.799999</v>
      </c>
      <c r="J12" s="192">
        <v>8236472080.4899998</v>
      </c>
      <c r="K12" s="192">
        <v>5731307649.5900002</v>
      </c>
      <c r="L12" s="192">
        <v>2533770745.6999998</v>
      </c>
      <c r="M12" s="192">
        <v>9275298992.2900009</v>
      </c>
      <c r="N12" s="192">
        <v>6102948774.8400002</v>
      </c>
      <c r="O12" s="192">
        <v>4085103886.4299998</v>
      </c>
      <c r="P12" s="192">
        <v>1955876074.9200001</v>
      </c>
      <c r="Q12" s="192">
        <v>7233983874.9099998</v>
      </c>
      <c r="R12" s="192">
        <v>4914097394.9200001</v>
      </c>
      <c r="S12" s="192">
        <v>3005554676.9400001</v>
      </c>
      <c r="T12" s="192">
        <v>1384460604.25</v>
      </c>
      <c r="U12" s="192">
        <v>6408467467.5600004</v>
      </c>
      <c r="V12" s="192">
        <v>4631330299.5500002</v>
      </c>
      <c r="W12" s="192">
        <v>3001399307.6399999</v>
      </c>
      <c r="X12" s="192">
        <v>1639786463.9400001</v>
      </c>
      <c r="Y12" s="192">
        <v>6739033005.4399996</v>
      </c>
      <c r="Z12" s="192">
        <v>4282812651.0799999</v>
      </c>
      <c r="AA12" s="192">
        <v>2898006570.9699998</v>
      </c>
      <c r="AB12" s="192">
        <v>2069954610.1099999</v>
      </c>
      <c r="AC12" s="192">
        <v>10342302034.08</v>
      </c>
      <c r="AD12" s="192">
        <v>6580283215.8800001</v>
      </c>
      <c r="AE12" s="192">
        <v>4066098784.0100002</v>
      </c>
      <c r="AF12" s="192">
        <v>2393636882.0900002</v>
      </c>
      <c r="AG12" s="192">
        <v>5951503437.1599998</v>
      </c>
      <c r="AH12" s="192">
        <v>3011259953.3299999</v>
      </c>
      <c r="AI12" s="192">
        <v>1622226517.74</v>
      </c>
      <c r="AJ12" s="192">
        <v>813193062.69000006</v>
      </c>
      <c r="AK12" s="192">
        <v>2469097747.9099998</v>
      </c>
      <c r="AL12" s="192">
        <v>1800866441.3900001</v>
      </c>
      <c r="AM12" s="192">
        <v>1155652947.2</v>
      </c>
      <c r="AN12" s="192">
        <v>410407061.07999998</v>
      </c>
      <c r="AO12" s="192">
        <v>3372015789.79</v>
      </c>
      <c r="AP12" s="192">
        <v>2581574250.0700002</v>
      </c>
      <c r="AQ12" s="192">
        <v>1613721097.71</v>
      </c>
      <c r="AR12" s="192">
        <v>1778279942.8299999</v>
      </c>
      <c r="AS12" s="192">
        <v>6341430987.0900002</v>
      </c>
      <c r="AT12" s="192">
        <v>4893035222.4099998</v>
      </c>
      <c r="AU12" s="192">
        <v>3179653032.3400002</v>
      </c>
      <c r="AV12" s="192">
        <v>1604310230.3499999</v>
      </c>
      <c r="AW12" s="192">
        <v>4982857628.7700005</v>
      </c>
      <c r="AX12" s="192">
        <v>3777781254.5100002</v>
      </c>
      <c r="AY12" s="192">
        <v>2467986957.79</v>
      </c>
      <c r="AZ12" s="192">
        <v>1206850096.26</v>
      </c>
      <c r="BA12" s="192">
        <v>5797588494.6700001</v>
      </c>
      <c r="BB12" s="192">
        <v>2883963959.3899999</v>
      </c>
      <c r="BC12" s="192">
        <v>1872703936.1600001</v>
      </c>
      <c r="BD12" s="192">
        <v>1209315064.1500001</v>
      </c>
      <c r="BE12" s="192">
        <v>3125718006.5900002</v>
      </c>
      <c r="BF12" s="192">
        <v>2231931951.6100001</v>
      </c>
      <c r="BG12" s="192">
        <v>1196970005.25</v>
      </c>
      <c r="BH12" s="192">
        <v>666185047.09000003</v>
      </c>
      <c r="BI12" s="192">
        <v>3404603027.71</v>
      </c>
      <c r="BJ12" s="192">
        <v>2313106720.8600001</v>
      </c>
      <c r="BK12" s="192">
        <v>1735960605.5599999</v>
      </c>
      <c r="BL12" s="192">
        <v>0</v>
      </c>
      <c r="BM12" s="192">
        <v>3680268702.4699998</v>
      </c>
      <c r="BN12" s="192">
        <v>1962843726.2</v>
      </c>
      <c r="BO12" s="192">
        <v>2729163723.4899998</v>
      </c>
      <c r="BP12" s="192">
        <v>1240210779.79</v>
      </c>
      <c r="BQ12" s="192">
        <v>2956561387.8600001</v>
      </c>
      <c r="BR12" s="192">
        <v>1775984832.23</v>
      </c>
      <c r="BS12" s="192">
        <v>2849926589.8000002</v>
      </c>
      <c r="BT12" s="192">
        <v>2323282363</v>
      </c>
      <c r="BU12" s="192">
        <v>1105256950.24</v>
      </c>
      <c r="BV12" s="192">
        <v>0</v>
      </c>
    </row>
    <row r="13" spans="1:74" s="192" customFormat="1" x14ac:dyDescent="0.25">
      <c r="A13" s="192" t="s">
        <v>229</v>
      </c>
      <c r="B13" s="192">
        <v>285503757.43000001</v>
      </c>
      <c r="C13" s="192">
        <v>173229022.41</v>
      </c>
      <c r="D13" s="192">
        <v>284655859.29000002</v>
      </c>
      <c r="E13" s="192">
        <v>2015753818.3</v>
      </c>
      <c r="F13" s="192">
        <v>689222217.41999996</v>
      </c>
      <c r="G13" s="192">
        <v>-142410692.24000001</v>
      </c>
      <c r="H13" s="192">
        <v>-168999611.81999999</v>
      </c>
      <c r="I13" s="192">
        <v>3896072787.3800001</v>
      </c>
      <c r="J13" s="192">
        <v>1927294085.23</v>
      </c>
      <c r="K13" s="192">
        <v>1607097392.8800001</v>
      </c>
      <c r="L13" s="192">
        <v>573548265.89999998</v>
      </c>
      <c r="M13" s="192">
        <v>3598695468.8000002</v>
      </c>
      <c r="N13" s="192">
        <v>2573223119.8099999</v>
      </c>
      <c r="O13" s="192">
        <v>1365269483.46</v>
      </c>
      <c r="P13" s="192">
        <v>394282134.54000002</v>
      </c>
      <c r="Q13" s="192">
        <v>1657114317.3299999</v>
      </c>
      <c r="R13" s="192">
        <v>1013018933.4400001</v>
      </c>
      <c r="S13" s="192">
        <v>825104435.83000004</v>
      </c>
      <c r="T13" s="192">
        <v>271964312.52999997</v>
      </c>
      <c r="U13" s="192">
        <v>904882101.00999999</v>
      </c>
      <c r="V13" s="192">
        <v>924148130.88999999</v>
      </c>
      <c r="W13" s="192">
        <v>931122295.82000005</v>
      </c>
      <c r="X13" s="192">
        <v>277826039.48000002</v>
      </c>
      <c r="Y13" s="192">
        <v>344757698.14999998</v>
      </c>
      <c r="Z13" s="192">
        <v>646968839.80999994</v>
      </c>
      <c r="AA13" s="192">
        <v>909437610.73000002</v>
      </c>
      <c r="AB13" s="192">
        <v>-1660902.67</v>
      </c>
      <c r="AC13" s="192">
        <v>242531309.06999999</v>
      </c>
      <c r="AD13" s="192">
        <v>759702240.78999996</v>
      </c>
      <c r="AE13" s="192">
        <v>-509000827.63</v>
      </c>
      <c r="AF13" s="192">
        <v>-735923388.15999997</v>
      </c>
      <c r="AG13" s="192">
        <v>724134271.23000002</v>
      </c>
      <c r="AH13" s="192">
        <v>981007550.61000001</v>
      </c>
      <c r="AI13" s="192">
        <v>502850482.81999999</v>
      </c>
      <c r="AJ13" s="192">
        <v>-386451128.54000002</v>
      </c>
      <c r="AK13" s="192">
        <v>139034407.22999999</v>
      </c>
      <c r="AL13" s="192">
        <v>364408055.56</v>
      </c>
      <c r="AM13" s="192">
        <v>103869295.3</v>
      </c>
      <c r="AN13" s="192">
        <v>24940968.359999999</v>
      </c>
      <c r="AO13" s="192">
        <v>-134715670.16</v>
      </c>
      <c r="AP13" s="192">
        <v>-352369786</v>
      </c>
      <c r="AQ13" s="192">
        <v>-34998529.030000001</v>
      </c>
      <c r="AR13" s="192">
        <v>-168450941.12</v>
      </c>
      <c r="AS13" s="192">
        <v>372922270.44999999</v>
      </c>
      <c r="AT13" s="192">
        <v>200004712.86000001</v>
      </c>
      <c r="AU13" s="192">
        <v>95451032.409999996</v>
      </c>
      <c r="AV13" s="192">
        <v>5201950.2699999996</v>
      </c>
      <c r="AW13" s="192">
        <v>267346663.90000001</v>
      </c>
      <c r="AX13" s="192">
        <v>1346400.95</v>
      </c>
      <c r="AY13" s="192">
        <v>65978433.439999998</v>
      </c>
      <c r="AZ13" s="192">
        <v>8023632.8499999996</v>
      </c>
      <c r="BA13" s="192">
        <v>65829110.939999998</v>
      </c>
      <c r="BB13" s="192">
        <v>-241294227.90000001</v>
      </c>
      <c r="BC13" s="192">
        <v>-238852387.12</v>
      </c>
      <c r="BD13" s="192">
        <v>-48360044.420000002</v>
      </c>
      <c r="BE13" s="192">
        <v>-179327253.78999999</v>
      </c>
      <c r="BF13" s="192">
        <v>-235585130.47</v>
      </c>
      <c r="BG13" s="192">
        <v>-33015230.77</v>
      </c>
      <c r="BH13" s="192">
        <v>5720800.9199999999</v>
      </c>
      <c r="BI13" s="192">
        <v>191451894.81999999</v>
      </c>
      <c r="BJ13" s="192">
        <v>10012713.58</v>
      </c>
      <c r="BK13" s="192">
        <v>103885212.09999999</v>
      </c>
      <c r="BL13" s="192">
        <v>53739026.68</v>
      </c>
      <c r="BM13" s="192">
        <v>86553355.260000005</v>
      </c>
      <c r="BN13" s="192">
        <v>54847398.829999998</v>
      </c>
      <c r="BO13" s="192">
        <v>96441569.840000004</v>
      </c>
      <c r="BP13" s="192">
        <v>41720009.359999999</v>
      </c>
      <c r="BQ13" s="192">
        <v>195693176.84999999</v>
      </c>
      <c r="BR13" s="192">
        <v>144842011.44</v>
      </c>
      <c r="BS13" s="192">
        <v>215586300.55000001</v>
      </c>
      <c r="BT13" s="192">
        <v>-50870453.439999998</v>
      </c>
      <c r="BU13" s="192">
        <v>-64035949.789999999</v>
      </c>
      <c r="BV13" s="192">
        <v>0</v>
      </c>
    </row>
    <row r="14" spans="1:74" s="192" customFormat="1" x14ac:dyDescent="0.25">
      <c r="A14" s="192" t="s">
        <v>230</v>
      </c>
    </row>
    <row r="15" spans="1:74" s="192" customFormat="1" x14ac:dyDescent="0.25">
      <c r="A15" s="192" t="s">
        <v>231</v>
      </c>
      <c r="B15" s="192">
        <v>12085000000</v>
      </c>
      <c r="C15" s="192">
        <v>7685000000</v>
      </c>
      <c r="D15" s="192">
        <v>2700000000</v>
      </c>
      <c r="E15" s="192">
        <v>11100000000</v>
      </c>
      <c r="F15" s="192">
        <v>6895000000</v>
      </c>
      <c r="G15" s="192">
        <v>2895000000</v>
      </c>
      <c r="H15" s="192">
        <v>1535000000</v>
      </c>
      <c r="I15" s="192">
        <v>8998000000</v>
      </c>
      <c r="J15" s="192">
        <v>6210000000</v>
      </c>
      <c r="K15" s="192">
        <v>3310000000</v>
      </c>
      <c r="L15" s="192">
        <v>1895000000</v>
      </c>
      <c r="M15" s="192">
        <v>8274398907.7600002</v>
      </c>
      <c r="N15" s="192">
        <v>5143950000</v>
      </c>
      <c r="O15" s="192">
        <v>3091000000</v>
      </c>
      <c r="P15" s="192">
        <v>1726000000</v>
      </c>
      <c r="Q15" s="192">
        <v>10101899999.969999</v>
      </c>
      <c r="R15" s="192">
        <v>5440020000</v>
      </c>
      <c r="S15" s="192">
        <v>4001000000</v>
      </c>
      <c r="T15" s="192">
        <v>2298000000</v>
      </c>
      <c r="U15" s="192">
        <v>11187730000</v>
      </c>
      <c r="V15" s="192">
        <v>7593702834.7700005</v>
      </c>
      <c r="W15" s="192">
        <v>4832824376.4200001</v>
      </c>
      <c r="X15" s="192">
        <v>2420499865.02</v>
      </c>
      <c r="Y15" s="192">
        <v>10539392774.02</v>
      </c>
      <c r="Z15" s="192">
        <v>0</v>
      </c>
      <c r="AA15" s="192">
        <v>0</v>
      </c>
      <c r="AB15" s="192">
        <v>0</v>
      </c>
      <c r="AC15" s="192">
        <v>127200000</v>
      </c>
      <c r="AD15" s="192">
        <v>0</v>
      </c>
      <c r="AE15" s="192">
        <v>0</v>
      </c>
      <c r="AF15" s="192">
        <v>0</v>
      </c>
      <c r="AG15" s="192">
        <v>12699593.380000001</v>
      </c>
      <c r="AH15" s="192">
        <v>0</v>
      </c>
      <c r="AI15" s="192">
        <v>0</v>
      </c>
      <c r="AJ15" s="192">
        <v>0</v>
      </c>
      <c r="AK15" s="192">
        <v>14408527.57</v>
      </c>
      <c r="AL15" s="192">
        <v>0</v>
      </c>
      <c r="AM15" s="192">
        <v>0</v>
      </c>
      <c r="AN15" s="192">
        <v>0</v>
      </c>
      <c r="AO15" s="192">
        <v>0</v>
      </c>
      <c r="AP15" s="192">
        <v>0</v>
      </c>
      <c r="AQ15" s="192">
        <v>0</v>
      </c>
      <c r="AR15" s="192">
        <v>0</v>
      </c>
      <c r="AS15" s="192">
        <v>265192945.30000001</v>
      </c>
      <c r="AT15" s="192">
        <v>115264702.63</v>
      </c>
      <c r="AU15" s="192">
        <v>340300</v>
      </c>
      <c r="AV15" s="192">
        <v>0</v>
      </c>
      <c r="AW15" s="192">
        <v>11446227.710000001</v>
      </c>
      <c r="AX15" s="192">
        <v>43195500</v>
      </c>
      <c r="AY15" s="192">
        <v>350000</v>
      </c>
      <c r="AZ15" s="192">
        <v>0</v>
      </c>
      <c r="BA15" s="192">
        <v>1791267.34</v>
      </c>
      <c r="BB15" s="192">
        <v>1791267.34</v>
      </c>
      <c r="BC15" s="192">
        <v>771267.34</v>
      </c>
      <c r="BD15" s="192">
        <v>771267.34</v>
      </c>
      <c r="BE15" s="192">
        <v>333500</v>
      </c>
      <c r="BF15" s="192">
        <v>6235000</v>
      </c>
      <c r="BG15" s="192">
        <v>0</v>
      </c>
      <c r="BH15" s="192">
        <v>0</v>
      </c>
      <c r="BI15" s="192">
        <v>14949291.84</v>
      </c>
      <c r="BJ15" s="192">
        <v>4444631.82</v>
      </c>
      <c r="BK15" s="192">
        <v>2560010.1</v>
      </c>
      <c r="BL15" s="192">
        <v>0</v>
      </c>
      <c r="BM15" s="192">
        <v>3000000</v>
      </c>
      <c r="BN15" s="192">
        <v>3000000</v>
      </c>
      <c r="BO15" s="192">
        <v>24654922.09</v>
      </c>
      <c r="BP15" s="192">
        <v>0</v>
      </c>
      <c r="BQ15" s="192">
        <v>13983640.65</v>
      </c>
      <c r="BR15" s="192">
        <v>28082173.649999999</v>
      </c>
      <c r="BS15" s="192">
        <v>4501919.22</v>
      </c>
      <c r="BT15" s="192">
        <v>32900</v>
      </c>
      <c r="BU15" s="192">
        <v>0</v>
      </c>
      <c r="BV15" s="192">
        <v>0</v>
      </c>
    </row>
    <row r="16" spans="1:74" s="192" customFormat="1" x14ac:dyDescent="0.25">
      <c r="A16" s="192" t="s">
        <v>232</v>
      </c>
      <c r="B16" s="192">
        <v>113990451.59999999</v>
      </c>
      <c r="C16" s="192">
        <v>76902741.540000007</v>
      </c>
      <c r="D16" s="192">
        <v>39113264.509999998</v>
      </c>
      <c r="E16" s="192">
        <v>320623463.24000001</v>
      </c>
      <c r="F16" s="192">
        <v>238758884.13999999</v>
      </c>
      <c r="G16" s="192">
        <v>181837920.52000001</v>
      </c>
      <c r="H16" s="192">
        <v>103187613.01000001</v>
      </c>
      <c r="I16" s="192">
        <v>200239260.71000001</v>
      </c>
      <c r="J16" s="192">
        <v>130758204.67</v>
      </c>
      <c r="K16" s="192">
        <v>67315479.040000007</v>
      </c>
      <c r="L16" s="192">
        <v>27283315.309999999</v>
      </c>
      <c r="M16" s="192">
        <v>202012612.84</v>
      </c>
      <c r="N16" s="192">
        <v>97933583.980000004</v>
      </c>
      <c r="O16" s="192">
        <v>71943969.060000002</v>
      </c>
      <c r="P16" s="192">
        <v>31039398.100000001</v>
      </c>
      <c r="Q16" s="192">
        <v>170532691.69</v>
      </c>
      <c r="R16" s="192">
        <v>83159591.469999999</v>
      </c>
      <c r="S16" s="192">
        <v>56358222.890000001</v>
      </c>
      <c r="T16" s="192">
        <v>23005978.66</v>
      </c>
      <c r="U16" s="192">
        <v>116670162.53</v>
      </c>
      <c r="V16" s="192">
        <v>11120460</v>
      </c>
      <c r="W16" s="192">
        <v>4704180</v>
      </c>
      <c r="X16" s="192">
        <v>415750</v>
      </c>
      <c r="Y16" s="192">
        <v>7124030.2400000002</v>
      </c>
      <c r="Z16" s="192">
        <v>5292805.12</v>
      </c>
      <c r="AA16" s="192">
        <v>5011905.12</v>
      </c>
      <c r="AB16" s="192">
        <v>3548505.12</v>
      </c>
      <c r="AC16" s="192">
        <v>32363941.399999999</v>
      </c>
      <c r="AD16" s="192">
        <v>22767064.5</v>
      </c>
      <c r="AE16" s="192">
        <v>12179078.24</v>
      </c>
      <c r="AF16" s="192">
        <v>6689550</v>
      </c>
      <c r="AG16" s="192">
        <v>21983846.699999999</v>
      </c>
      <c r="AH16" s="192">
        <v>21983846.699999999</v>
      </c>
      <c r="AI16" s="192">
        <v>35000</v>
      </c>
      <c r="AJ16" s="192">
        <v>0</v>
      </c>
      <c r="AK16" s="192">
        <v>43661458.25</v>
      </c>
      <c r="AL16" s="192">
        <v>57823685.399999999</v>
      </c>
      <c r="AM16" s="192">
        <v>43134015.289999999</v>
      </c>
      <c r="AN16" s="192">
        <v>0</v>
      </c>
      <c r="AO16" s="192">
        <v>54783959.420000002</v>
      </c>
      <c r="AP16" s="192">
        <v>54783959.420000002</v>
      </c>
      <c r="AQ16" s="192">
        <v>54723959.420000002</v>
      </c>
      <c r="AR16" s="192">
        <v>6022050</v>
      </c>
      <c r="AS16" s="192">
        <v>50851016.369999997</v>
      </c>
      <c r="AT16" s="192">
        <v>107170661.86</v>
      </c>
      <c r="AU16" s="192">
        <v>66975559.780000001</v>
      </c>
      <c r="AV16" s="192">
        <v>7000000</v>
      </c>
      <c r="AW16" s="192">
        <v>41202793.520000003</v>
      </c>
      <c r="AX16" s="192">
        <v>40942720.07</v>
      </c>
      <c r="AY16" s="192">
        <v>4945706.0999999996</v>
      </c>
      <c r="AZ16" s="192">
        <v>0</v>
      </c>
      <c r="BA16" s="192">
        <v>0</v>
      </c>
      <c r="BB16" s="192">
        <v>0</v>
      </c>
      <c r="BC16" s="192">
        <v>0</v>
      </c>
      <c r="BD16" s="192">
        <v>0</v>
      </c>
      <c r="BE16" s="192">
        <v>40987428.93</v>
      </c>
      <c r="BF16" s="192">
        <v>40987428.93</v>
      </c>
      <c r="BG16" s="192">
        <v>258827.72</v>
      </c>
      <c r="BH16" s="192">
        <v>0</v>
      </c>
      <c r="BI16" s="192">
        <v>53957227.770000003</v>
      </c>
      <c r="BJ16" s="192">
        <v>22946739.260000002</v>
      </c>
      <c r="BK16" s="192">
        <v>533470</v>
      </c>
      <c r="BL16" s="192">
        <v>0</v>
      </c>
      <c r="BM16" s="192">
        <v>91201.5</v>
      </c>
      <c r="BN16" s="192">
        <v>0</v>
      </c>
      <c r="BO16" s="192">
        <v>6058049.96</v>
      </c>
      <c r="BP16" s="192">
        <v>6058049.96</v>
      </c>
      <c r="BQ16" s="192">
        <v>0</v>
      </c>
      <c r="BR16" s="192">
        <v>109224.82</v>
      </c>
      <c r="BS16" s="192">
        <v>113179.5</v>
      </c>
      <c r="BT16" s="192">
        <v>703745.82</v>
      </c>
      <c r="BU16" s="192">
        <v>304300</v>
      </c>
      <c r="BV16" s="192">
        <v>0</v>
      </c>
    </row>
    <row r="17" spans="1:74" s="192" customFormat="1" x14ac:dyDescent="0.25">
      <c r="A17" s="192" t="s">
        <v>233</v>
      </c>
      <c r="B17" s="192">
        <v>4226057.0999999996</v>
      </c>
      <c r="C17" s="192">
        <v>1793467.1</v>
      </c>
      <c r="D17" s="192">
        <v>731585.54</v>
      </c>
      <c r="E17" s="192">
        <v>5269840.7300000004</v>
      </c>
      <c r="F17" s="192">
        <v>840384.69</v>
      </c>
      <c r="G17" s="192">
        <v>723271.02</v>
      </c>
      <c r="H17" s="192">
        <v>425120.74</v>
      </c>
      <c r="I17" s="192">
        <v>5447359.1299999999</v>
      </c>
      <c r="J17" s="192">
        <v>823553.94</v>
      </c>
      <c r="K17" s="192">
        <v>708034.2</v>
      </c>
      <c r="L17" s="192">
        <v>116500</v>
      </c>
      <c r="M17" s="192">
        <v>6561716.5199999996</v>
      </c>
      <c r="N17" s="192">
        <v>462167.75</v>
      </c>
      <c r="O17" s="192">
        <v>32937.800000000003</v>
      </c>
      <c r="P17" s="192">
        <v>4440</v>
      </c>
      <c r="Q17" s="192">
        <v>7650553.5099999998</v>
      </c>
      <c r="R17" s="192">
        <v>844540</v>
      </c>
      <c r="S17" s="192">
        <v>264120</v>
      </c>
      <c r="T17" s="192">
        <v>72000</v>
      </c>
      <c r="U17" s="192">
        <v>100768702.18000001</v>
      </c>
      <c r="V17" s="192">
        <v>21044377.77</v>
      </c>
      <c r="W17" s="192">
        <v>16794737.420000002</v>
      </c>
      <c r="X17" s="192">
        <v>4750805.93</v>
      </c>
      <c r="Y17" s="192">
        <v>8960865.2599999998</v>
      </c>
      <c r="Z17" s="192">
        <v>6614626.2999999998</v>
      </c>
      <c r="AA17" s="192">
        <v>5409242.6500000004</v>
      </c>
      <c r="AB17" s="192">
        <v>111450.08</v>
      </c>
      <c r="AC17" s="192">
        <v>20230813.199999999</v>
      </c>
      <c r="AD17" s="192">
        <v>18151988.899999999</v>
      </c>
      <c r="AE17" s="192">
        <v>18117988.899999999</v>
      </c>
      <c r="AF17" s="192">
        <v>14308988.9</v>
      </c>
      <c r="AG17" s="192">
        <v>32321054.850000001</v>
      </c>
      <c r="AH17" s="192">
        <v>19406700.949999999</v>
      </c>
      <c r="AI17" s="192">
        <v>14480508.130000001</v>
      </c>
      <c r="AJ17" s="192">
        <v>8059249.0999999996</v>
      </c>
      <c r="AK17" s="192">
        <v>156140450.28</v>
      </c>
      <c r="AL17" s="192">
        <v>752190</v>
      </c>
      <c r="AM17" s="192">
        <v>751780</v>
      </c>
      <c r="AN17" s="192">
        <v>1155562.81</v>
      </c>
      <c r="AO17" s="192">
        <v>21949684.73</v>
      </c>
      <c r="AP17" s="192">
        <v>6820193.6500000004</v>
      </c>
      <c r="AQ17" s="192">
        <v>2251212.94</v>
      </c>
      <c r="AR17" s="192">
        <v>2607704.65</v>
      </c>
      <c r="AS17" s="192">
        <v>69464772.280000001</v>
      </c>
      <c r="AT17" s="192">
        <v>9428725.2400000002</v>
      </c>
      <c r="AU17" s="192">
        <v>728600</v>
      </c>
      <c r="AV17" s="192">
        <v>105000</v>
      </c>
      <c r="AW17" s="192">
        <v>31258789.989999998</v>
      </c>
      <c r="AX17" s="192">
        <v>1343342</v>
      </c>
      <c r="AY17" s="192">
        <v>873000</v>
      </c>
      <c r="AZ17" s="192">
        <v>0</v>
      </c>
      <c r="BA17" s="192">
        <v>36822761.039999999</v>
      </c>
      <c r="BB17" s="192">
        <v>31000</v>
      </c>
      <c r="BC17" s="192">
        <v>10000</v>
      </c>
      <c r="BD17" s="192">
        <v>10000</v>
      </c>
      <c r="BE17" s="192">
        <v>55737093.259999998</v>
      </c>
      <c r="BF17" s="192">
        <v>55324855.159999996</v>
      </c>
      <c r="BG17" s="192">
        <v>55324555.159999996</v>
      </c>
      <c r="BH17" s="192">
        <v>449692.57</v>
      </c>
      <c r="BI17" s="192">
        <v>17695909.02</v>
      </c>
      <c r="BJ17" s="192">
        <v>19155126.41</v>
      </c>
      <c r="BK17" s="192">
        <v>10593783.51</v>
      </c>
      <c r="BL17" s="192">
        <v>0</v>
      </c>
      <c r="BM17" s="192">
        <v>369000</v>
      </c>
      <c r="BN17" s="192">
        <v>14770.45</v>
      </c>
      <c r="BO17" s="192">
        <v>0</v>
      </c>
      <c r="BP17" s="192">
        <v>900</v>
      </c>
      <c r="BQ17" s="192">
        <v>19739.54</v>
      </c>
      <c r="BR17" s="192">
        <v>0</v>
      </c>
      <c r="BS17" s="192">
        <v>2800</v>
      </c>
      <c r="BT17" s="192">
        <v>160000</v>
      </c>
      <c r="BU17" s="192">
        <v>0</v>
      </c>
      <c r="BV17" s="192">
        <v>0</v>
      </c>
    </row>
    <row r="18" spans="1:74" s="192" customFormat="1" x14ac:dyDescent="0.25">
      <c r="A18" s="192" t="s">
        <v>234</v>
      </c>
      <c r="B18" s="192">
        <v>0</v>
      </c>
      <c r="C18" s="192">
        <v>0</v>
      </c>
      <c r="D18" s="192">
        <v>0</v>
      </c>
      <c r="E18" s="192">
        <v>0</v>
      </c>
      <c r="F18" s="192">
        <v>2415000</v>
      </c>
      <c r="G18" s="192">
        <v>2415000</v>
      </c>
      <c r="H18" s="192">
        <v>0</v>
      </c>
      <c r="I18" s="192">
        <v>0</v>
      </c>
      <c r="J18" s="192">
        <v>0</v>
      </c>
      <c r="K18" s="192">
        <v>0</v>
      </c>
      <c r="L18" s="192">
        <v>0</v>
      </c>
      <c r="M18" s="192">
        <v>0</v>
      </c>
      <c r="N18" s="192">
        <v>0</v>
      </c>
      <c r="O18" s="192">
        <v>0</v>
      </c>
      <c r="P18" s="192">
        <v>0</v>
      </c>
      <c r="Q18" s="192">
        <v>0</v>
      </c>
      <c r="R18" s="192">
        <v>0</v>
      </c>
      <c r="S18" s="192">
        <v>0</v>
      </c>
      <c r="T18" s="192">
        <v>0</v>
      </c>
      <c r="U18" s="192">
        <v>0</v>
      </c>
      <c r="V18" s="192">
        <v>0</v>
      </c>
      <c r="W18" s="192">
        <v>0</v>
      </c>
      <c r="X18" s="192">
        <v>0</v>
      </c>
      <c r="Y18" s="192">
        <v>0</v>
      </c>
      <c r="Z18" s="192">
        <v>0</v>
      </c>
      <c r="AA18" s="192">
        <v>0</v>
      </c>
      <c r="AB18" s="192">
        <v>0</v>
      </c>
      <c r="AC18" s="192">
        <v>34472210.509999998</v>
      </c>
      <c r="AD18" s="192">
        <v>-3027789.49</v>
      </c>
      <c r="AE18" s="192">
        <v>-3027789.49</v>
      </c>
      <c r="AF18" s="192">
        <v>-3027789.49</v>
      </c>
      <c r="AG18" s="192">
        <v>0</v>
      </c>
      <c r="AH18" s="192">
        <v>0</v>
      </c>
      <c r="AI18" s="192">
        <v>0</v>
      </c>
      <c r="AJ18" s="192">
        <v>0</v>
      </c>
      <c r="AK18" s="192">
        <v>33622525.460000001</v>
      </c>
      <c r="AL18" s="192">
        <v>43081975.82</v>
      </c>
      <c r="AM18" s="192">
        <v>9321975.8200000003</v>
      </c>
      <c r="AN18" s="192">
        <v>0</v>
      </c>
      <c r="AO18" s="192">
        <v>7216043.4800000004</v>
      </c>
      <c r="AP18" s="192">
        <v>343101.75</v>
      </c>
      <c r="AQ18" s="192">
        <v>343101.75</v>
      </c>
      <c r="AR18" s="192">
        <v>480</v>
      </c>
      <c r="AS18" s="192">
        <v>34222738.119999997</v>
      </c>
      <c r="AT18" s="192">
        <v>0</v>
      </c>
      <c r="AU18" s="192">
        <v>0</v>
      </c>
      <c r="AV18" s="192">
        <v>0</v>
      </c>
      <c r="AW18" s="192">
        <v>0</v>
      </c>
      <c r="AX18" s="192">
        <v>0</v>
      </c>
      <c r="AY18" s="192">
        <v>0</v>
      </c>
      <c r="AZ18" s="192">
        <v>0</v>
      </c>
      <c r="BA18" s="192">
        <v>0</v>
      </c>
      <c r="BB18" s="192">
        <v>0</v>
      </c>
      <c r="BC18" s="192">
        <v>0</v>
      </c>
      <c r="BD18" s="192">
        <v>0</v>
      </c>
      <c r="BE18" s="192">
        <v>0</v>
      </c>
      <c r="BF18" s="192">
        <v>0</v>
      </c>
      <c r="BG18" s="192">
        <v>0</v>
      </c>
      <c r="BH18" s="192">
        <v>0</v>
      </c>
      <c r="BI18" s="192">
        <v>0</v>
      </c>
      <c r="BJ18" s="192">
        <v>0</v>
      </c>
      <c r="BK18" s="192">
        <v>0</v>
      </c>
      <c r="BL18" s="192">
        <v>0</v>
      </c>
      <c r="BM18" s="192">
        <v>0</v>
      </c>
      <c r="BN18" s="192">
        <v>0</v>
      </c>
      <c r="BO18" s="192">
        <v>0</v>
      </c>
      <c r="BP18" s="192">
        <v>0</v>
      </c>
      <c r="BQ18" s="192">
        <v>0</v>
      </c>
      <c r="BR18" s="192">
        <v>0</v>
      </c>
      <c r="BS18" s="192">
        <v>0</v>
      </c>
      <c r="BT18" s="192">
        <v>0</v>
      </c>
      <c r="BU18" s="192">
        <v>0</v>
      </c>
      <c r="BV18" s="192">
        <v>0</v>
      </c>
    </row>
    <row r="19" spans="1:74" s="192" customFormat="1" x14ac:dyDescent="0.25">
      <c r="A19" s="192" t="s">
        <v>235</v>
      </c>
      <c r="B19" s="192">
        <v>218207652.97999999</v>
      </c>
      <c r="C19" s="192">
        <v>111282573.06</v>
      </c>
      <c r="D19" s="192">
        <v>27027230.600000001</v>
      </c>
      <c r="E19" s="192">
        <v>91904332.379999995</v>
      </c>
      <c r="F19" s="192">
        <v>57042308.020000003</v>
      </c>
      <c r="G19" s="192">
        <v>16802196.350000001</v>
      </c>
      <c r="H19" s="192">
        <v>14223931.51</v>
      </c>
      <c r="I19" s="192">
        <v>71183080.049999997</v>
      </c>
      <c r="J19" s="192">
        <v>48649720.520000003</v>
      </c>
      <c r="K19" s="192">
        <v>34473639.380000003</v>
      </c>
      <c r="L19" s="192">
        <v>20632286.640000001</v>
      </c>
      <c r="M19" s="192">
        <v>42268968.890000001</v>
      </c>
      <c r="N19" s="192">
        <v>0</v>
      </c>
      <c r="O19" s="192">
        <v>0</v>
      </c>
      <c r="P19" s="192">
        <v>0</v>
      </c>
      <c r="Q19" s="192">
        <v>0</v>
      </c>
      <c r="R19" s="192">
        <v>0</v>
      </c>
      <c r="S19" s="192">
        <v>0</v>
      </c>
      <c r="T19" s="192">
        <v>0</v>
      </c>
      <c r="U19" s="192">
        <v>0</v>
      </c>
      <c r="V19" s="192">
        <v>0</v>
      </c>
      <c r="W19" s="192">
        <v>0</v>
      </c>
      <c r="X19" s="192">
        <v>0</v>
      </c>
      <c r="Y19" s="192">
        <v>0</v>
      </c>
      <c r="Z19" s="192">
        <v>0</v>
      </c>
      <c r="AA19" s="192">
        <v>0</v>
      </c>
      <c r="AB19" s="192">
        <v>0</v>
      </c>
      <c r="AC19" s="192">
        <v>1579033.1</v>
      </c>
      <c r="AD19" s="192">
        <v>0</v>
      </c>
      <c r="AE19" s="192">
        <v>0</v>
      </c>
      <c r="AF19" s="192">
        <v>0</v>
      </c>
      <c r="AG19" s="192">
        <v>4996250</v>
      </c>
      <c r="AH19" s="192">
        <v>0</v>
      </c>
      <c r="AI19" s="192">
        <v>0</v>
      </c>
      <c r="AJ19" s="192">
        <v>0</v>
      </c>
      <c r="AK19" s="192">
        <v>0</v>
      </c>
      <c r="AL19" s="192">
        <v>0</v>
      </c>
      <c r="AM19" s="192">
        <v>0</v>
      </c>
      <c r="AN19" s="192">
        <v>0</v>
      </c>
      <c r="AO19" s="192">
        <v>0</v>
      </c>
      <c r="AP19" s="192">
        <v>0</v>
      </c>
      <c r="AQ19" s="192">
        <v>0</v>
      </c>
      <c r="AR19" s="192">
        <v>111394.5</v>
      </c>
      <c r="AS19" s="192">
        <v>0</v>
      </c>
      <c r="AT19" s="192">
        <v>17150200</v>
      </c>
      <c r="AU19" s="192">
        <v>17150200</v>
      </c>
      <c r="AV19" s="192">
        <v>0</v>
      </c>
      <c r="AW19" s="192">
        <v>0</v>
      </c>
      <c r="AX19" s="192">
        <v>0</v>
      </c>
      <c r="AY19" s="192">
        <v>0</v>
      </c>
      <c r="AZ19" s="192">
        <v>0</v>
      </c>
      <c r="BA19" s="192">
        <v>28012721.870000001</v>
      </c>
      <c r="BB19" s="192">
        <v>0</v>
      </c>
      <c r="BC19" s="192">
        <v>10826279.15</v>
      </c>
      <c r="BD19" s="192">
        <v>9083700.5600000005</v>
      </c>
      <c r="BE19" s="192">
        <v>0</v>
      </c>
      <c r="BF19" s="192">
        <v>41753.58</v>
      </c>
      <c r="BG19" s="192">
        <v>20876.79</v>
      </c>
      <c r="BH19" s="192">
        <v>202781.03</v>
      </c>
      <c r="BI19" s="192">
        <v>0</v>
      </c>
      <c r="BJ19" s="192">
        <v>0</v>
      </c>
      <c r="BK19" s="192">
        <v>21640.49</v>
      </c>
      <c r="BL19" s="192">
        <v>0</v>
      </c>
      <c r="BM19" s="192">
        <v>0</v>
      </c>
      <c r="BN19" s="192">
        <v>19000000</v>
      </c>
      <c r="BO19" s="192">
        <v>0</v>
      </c>
      <c r="BP19" s="192">
        <v>0</v>
      </c>
      <c r="BQ19" s="192">
        <v>9557429.3599999994</v>
      </c>
      <c r="BR19" s="192">
        <v>30629.7</v>
      </c>
      <c r="BS19" s="192">
        <v>0</v>
      </c>
      <c r="BT19" s="192">
        <v>0</v>
      </c>
      <c r="BU19" s="192">
        <v>0</v>
      </c>
      <c r="BV19" s="192">
        <v>0</v>
      </c>
    </row>
    <row r="20" spans="1:74" s="192" customFormat="1" x14ac:dyDescent="0.25">
      <c r="A20" s="192" t="s">
        <v>236</v>
      </c>
      <c r="B20" s="192">
        <v>12421424161.68</v>
      </c>
      <c r="C20" s="192">
        <v>7874978781.6999998</v>
      </c>
      <c r="D20" s="192">
        <v>2766872080.6500001</v>
      </c>
      <c r="E20" s="192">
        <v>11517797636.35</v>
      </c>
      <c r="F20" s="192">
        <v>7194056576.8500004</v>
      </c>
      <c r="G20" s="192">
        <v>3096778387.8899999</v>
      </c>
      <c r="H20" s="192">
        <v>1652836665.26</v>
      </c>
      <c r="I20" s="192">
        <v>9274869699.8899994</v>
      </c>
      <c r="J20" s="192">
        <v>6390231479.1300001</v>
      </c>
      <c r="K20" s="192">
        <v>3412497152.6199999</v>
      </c>
      <c r="L20" s="192">
        <v>1943032101.95</v>
      </c>
      <c r="M20" s="192">
        <v>8525242206.0100002</v>
      </c>
      <c r="N20" s="192">
        <v>5242345751.7299995</v>
      </c>
      <c r="O20" s="192">
        <v>3162976906.8600001</v>
      </c>
      <c r="P20" s="192">
        <v>1757043838.0999999</v>
      </c>
      <c r="Q20" s="192">
        <v>10280083245.17</v>
      </c>
      <c r="R20" s="192">
        <v>5524024131.4700003</v>
      </c>
      <c r="S20" s="192">
        <v>4057622342.8899999</v>
      </c>
      <c r="T20" s="192">
        <v>2321077978.6599998</v>
      </c>
      <c r="U20" s="192">
        <v>11405168864.709999</v>
      </c>
      <c r="V20" s="192">
        <v>7625867672.54</v>
      </c>
      <c r="W20" s="192">
        <v>4854323293.8400002</v>
      </c>
      <c r="X20" s="192">
        <v>2425666420.9499998</v>
      </c>
      <c r="Y20" s="192">
        <v>10555477669.52</v>
      </c>
      <c r="Z20" s="192">
        <v>11907431.42</v>
      </c>
      <c r="AA20" s="192">
        <v>10421147.77</v>
      </c>
      <c r="AB20" s="192">
        <v>3659955.2</v>
      </c>
      <c r="AC20" s="192">
        <v>215845998.21000001</v>
      </c>
      <c r="AD20" s="192">
        <v>37891263.909999996</v>
      </c>
      <c r="AE20" s="192">
        <v>27269277.649999999</v>
      </c>
      <c r="AF20" s="192">
        <v>17970749.41</v>
      </c>
      <c r="AG20" s="192">
        <v>72000744.930000007</v>
      </c>
      <c r="AH20" s="192">
        <v>41390547.649999999</v>
      </c>
      <c r="AI20" s="192">
        <v>14515508.130000001</v>
      </c>
      <c r="AJ20" s="192">
        <v>8059249.0999999996</v>
      </c>
      <c r="AK20" s="192">
        <v>247832961.56</v>
      </c>
      <c r="AL20" s="192">
        <v>101657851.22</v>
      </c>
      <c r="AM20" s="192">
        <v>53207771.109999999</v>
      </c>
      <c r="AN20" s="192">
        <v>1155562.81</v>
      </c>
      <c r="AO20" s="192">
        <v>83949687.629999995</v>
      </c>
      <c r="AP20" s="192">
        <v>61947254.82</v>
      </c>
      <c r="AQ20" s="192">
        <v>57318274.109999999</v>
      </c>
      <c r="AR20" s="192">
        <v>8741629.1500000004</v>
      </c>
      <c r="AS20" s="192">
        <v>419731472.06999999</v>
      </c>
      <c r="AT20" s="192">
        <v>249014289.72999999</v>
      </c>
      <c r="AU20" s="192">
        <v>85194659.780000001</v>
      </c>
      <c r="AV20" s="192">
        <v>7105000</v>
      </c>
      <c r="AW20" s="192">
        <v>83907811.219999999</v>
      </c>
      <c r="AX20" s="192">
        <v>85481562.069999993</v>
      </c>
      <c r="AY20" s="192">
        <v>6168706.0999999996</v>
      </c>
      <c r="AZ20" s="192">
        <v>0</v>
      </c>
      <c r="BA20" s="192">
        <v>66626750.25</v>
      </c>
      <c r="BB20" s="192">
        <v>1822267.34</v>
      </c>
      <c r="BC20" s="192">
        <v>11607546.49</v>
      </c>
      <c r="BD20" s="192">
        <v>9864967.9000000004</v>
      </c>
      <c r="BE20" s="192">
        <v>97058022.189999998</v>
      </c>
      <c r="BF20" s="192">
        <v>102589037.67</v>
      </c>
      <c r="BG20" s="192">
        <v>55604259.670000002</v>
      </c>
      <c r="BH20" s="192">
        <v>652473.59999999998</v>
      </c>
      <c r="BI20" s="192">
        <v>86602428.629999995</v>
      </c>
      <c r="BJ20" s="192">
        <v>46546497.490000002</v>
      </c>
      <c r="BK20" s="192">
        <v>13708904.1</v>
      </c>
      <c r="BL20" s="192">
        <v>0</v>
      </c>
      <c r="BM20" s="192">
        <v>3460201.5</v>
      </c>
      <c r="BN20" s="192">
        <v>22014770.449999999</v>
      </c>
      <c r="BO20" s="192">
        <v>30712972.050000001</v>
      </c>
      <c r="BP20" s="192">
        <v>6058949.96</v>
      </c>
      <c r="BQ20" s="192">
        <v>23560809.550000001</v>
      </c>
      <c r="BR20" s="192">
        <v>28222028.170000002</v>
      </c>
      <c r="BS20" s="192">
        <v>4617898.72</v>
      </c>
      <c r="BT20" s="192">
        <v>896645.82</v>
      </c>
      <c r="BU20" s="192">
        <v>304300</v>
      </c>
      <c r="BV20" s="192">
        <v>0</v>
      </c>
    </row>
    <row r="21" spans="1:74" s="192" customFormat="1" x14ac:dyDescent="0.25">
      <c r="A21" s="192" t="s">
        <v>237</v>
      </c>
      <c r="B21" s="192">
        <v>243267106.03</v>
      </c>
      <c r="C21" s="192">
        <v>190893692.74000001</v>
      </c>
      <c r="D21" s="192">
        <v>127503144.01000001</v>
      </c>
      <c r="E21" s="192">
        <v>209521425.78999999</v>
      </c>
      <c r="F21" s="192">
        <v>104042380.39</v>
      </c>
      <c r="G21" s="192">
        <v>79751100.920000002</v>
      </c>
      <c r="H21" s="192">
        <v>53959515.979999997</v>
      </c>
      <c r="I21" s="192">
        <v>63305378</v>
      </c>
      <c r="J21" s="192">
        <v>17222953.390000001</v>
      </c>
      <c r="K21" s="192">
        <v>10938428.51</v>
      </c>
      <c r="L21" s="192">
        <v>3643548.6</v>
      </c>
      <c r="M21" s="192">
        <v>113960753.52</v>
      </c>
      <c r="N21" s="192">
        <v>63575280.090000004</v>
      </c>
      <c r="O21" s="192">
        <v>39130538.799999997</v>
      </c>
      <c r="P21" s="192">
        <v>21097886.030000001</v>
      </c>
      <c r="Q21" s="192">
        <v>78485490.25</v>
      </c>
      <c r="R21" s="192">
        <v>55907723.729999997</v>
      </c>
      <c r="S21" s="192">
        <v>28747550.399999999</v>
      </c>
      <c r="T21" s="192">
        <v>22942809.960000001</v>
      </c>
      <c r="U21" s="192">
        <v>59527350.439999998</v>
      </c>
      <c r="V21" s="192">
        <v>77524540.480000004</v>
      </c>
      <c r="W21" s="192">
        <v>30407330.539999999</v>
      </c>
      <c r="X21" s="192">
        <v>17033366.399999999</v>
      </c>
      <c r="Y21" s="192">
        <v>91407867.769999996</v>
      </c>
      <c r="Z21" s="192">
        <v>112947355.47</v>
      </c>
      <c r="AA21" s="192">
        <v>86310128.349999994</v>
      </c>
      <c r="AB21" s="192">
        <v>55646111.640000001</v>
      </c>
      <c r="AC21" s="192">
        <v>215268857.19999999</v>
      </c>
      <c r="AD21" s="192">
        <v>195105572.15000001</v>
      </c>
      <c r="AE21" s="192">
        <v>151044435.96000001</v>
      </c>
      <c r="AF21" s="192">
        <v>27090152.149999999</v>
      </c>
      <c r="AG21" s="192">
        <v>200687304.25999999</v>
      </c>
      <c r="AH21" s="192">
        <v>74142881.530000001</v>
      </c>
      <c r="AI21" s="192">
        <v>60482869.950000003</v>
      </c>
      <c r="AJ21" s="192">
        <v>16506899.27</v>
      </c>
      <c r="AK21" s="192">
        <v>108674341.04000001</v>
      </c>
      <c r="AL21" s="192">
        <v>63437310.509999998</v>
      </c>
      <c r="AM21" s="192">
        <v>18336868.120000001</v>
      </c>
      <c r="AN21" s="192">
        <v>4516646.4400000004</v>
      </c>
      <c r="AO21" s="192">
        <v>150627295.75999999</v>
      </c>
      <c r="AP21" s="192">
        <v>104849980.75</v>
      </c>
      <c r="AQ21" s="192">
        <v>50635521.299999997</v>
      </c>
      <c r="AR21" s="192">
        <v>13393754.720000001</v>
      </c>
      <c r="AS21" s="192">
        <v>119406625.48999999</v>
      </c>
      <c r="AT21" s="192">
        <v>46239600.909999996</v>
      </c>
      <c r="AU21" s="192">
        <v>29757714.600000001</v>
      </c>
      <c r="AV21" s="192">
        <v>16161303.640000001</v>
      </c>
      <c r="AW21" s="192">
        <v>209458620.37</v>
      </c>
      <c r="AX21" s="192">
        <v>156861900.34</v>
      </c>
      <c r="AY21" s="192">
        <v>8257540.04</v>
      </c>
      <c r="AZ21" s="192">
        <v>4537381.79</v>
      </c>
      <c r="BA21" s="192">
        <v>36586419.869999997</v>
      </c>
      <c r="BB21" s="192">
        <v>27141339.530000001</v>
      </c>
      <c r="BC21" s="192">
        <v>18765129.469999999</v>
      </c>
      <c r="BD21" s="192">
        <v>10340590.369999999</v>
      </c>
      <c r="BE21" s="192">
        <v>32870162.77</v>
      </c>
      <c r="BF21" s="192">
        <v>16990848.41</v>
      </c>
      <c r="BG21" s="192">
        <v>11326768.779999999</v>
      </c>
      <c r="BH21" s="192">
        <v>23440868.77</v>
      </c>
      <c r="BI21" s="192">
        <v>70684022.5</v>
      </c>
      <c r="BJ21" s="192">
        <v>25305358.43</v>
      </c>
      <c r="BK21" s="192">
        <v>15978509.74</v>
      </c>
      <c r="BL21" s="192">
        <v>0</v>
      </c>
      <c r="BM21" s="192">
        <v>73065685.459999993</v>
      </c>
      <c r="BN21" s="192">
        <v>67122727.099999994</v>
      </c>
      <c r="BO21" s="192">
        <v>65235985.68</v>
      </c>
      <c r="BP21" s="192">
        <v>13502999.359999999</v>
      </c>
      <c r="BQ21" s="192">
        <v>114347430.56</v>
      </c>
      <c r="BR21" s="192">
        <v>24941583.75</v>
      </c>
      <c r="BS21" s="192">
        <v>126906432.29000001</v>
      </c>
      <c r="BT21" s="192">
        <v>233961807.59999999</v>
      </c>
      <c r="BU21" s="192">
        <v>49999784.840000004</v>
      </c>
      <c r="BV21" s="192">
        <v>0</v>
      </c>
    </row>
    <row r="22" spans="1:74" s="192" customFormat="1" x14ac:dyDescent="0.25">
      <c r="A22" s="192" t="s">
        <v>238</v>
      </c>
      <c r="B22" s="192">
        <v>12150000000</v>
      </c>
      <c r="C22" s="192">
        <v>7050000000</v>
      </c>
      <c r="D22" s="192">
        <v>3150000000</v>
      </c>
      <c r="E22" s="192">
        <v>15448983636.67</v>
      </c>
      <c r="F22" s="192">
        <v>8545000000</v>
      </c>
      <c r="G22" s="192">
        <v>3465000000</v>
      </c>
      <c r="H22" s="192">
        <v>1630000000</v>
      </c>
      <c r="I22" s="192">
        <v>11471000000</v>
      </c>
      <c r="J22" s="192">
        <v>8756000000</v>
      </c>
      <c r="K22" s="192">
        <v>5506000000</v>
      </c>
      <c r="L22" s="192">
        <v>3146000000</v>
      </c>
      <c r="M22" s="192">
        <v>10456050000</v>
      </c>
      <c r="N22" s="192">
        <v>7681050000</v>
      </c>
      <c r="O22" s="192">
        <v>4631200000</v>
      </c>
      <c r="P22" s="192">
        <v>2451000000</v>
      </c>
      <c r="Q22" s="192">
        <v>11706999999.969999</v>
      </c>
      <c r="R22" s="192">
        <v>5644120000</v>
      </c>
      <c r="S22" s="192">
        <v>4163370000</v>
      </c>
      <c r="T22" s="192">
        <v>2489370000</v>
      </c>
      <c r="U22" s="192">
        <v>11794790000</v>
      </c>
      <c r="V22" s="192">
        <v>8156060000</v>
      </c>
      <c r="W22" s="192">
        <v>5424060000</v>
      </c>
      <c r="X22" s="192">
        <v>2661080000</v>
      </c>
      <c r="Y22" s="192">
        <v>11662691112.91</v>
      </c>
      <c r="Z22" s="192">
        <v>0</v>
      </c>
      <c r="AA22" s="192">
        <v>0</v>
      </c>
      <c r="AB22" s="192">
        <v>0</v>
      </c>
      <c r="AC22" s="192">
        <v>0</v>
      </c>
      <c r="AD22" s="192">
        <v>0</v>
      </c>
      <c r="AE22" s="192">
        <v>0</v>
      </c>
      <c r="AF22" s="192">
        <v>0</v>
      </c>
      <c r="AG22" s="192">
        <v>0</v>
      </c>
      <c r="AH22" s="192">
        <v>0</v>
      </c>
      <c r="AI22" s="192">
        <v>0</v>
      </c>
      <c r="AJ22" s="192">
        <v>0</v>
      </c>
      <c r="AK22" s="192">
        <v>0</v>
      </c>
      <c r="AL22" s="192">
        <v>0</v>
      </c>
      <c r="AM22" s="192">
        <v>0</v>
      </c>
      <c r="AN22" s="192">
        <v>0</v>
      </c>
      <c r="AO22" s="192">
        <v>0</v>
      </c>
      <c r="AP22" s="192">
        <v>0</v>
      </c>
      <c r="AQ22" s="192">
        <v>0</v>
      </c>
      <c r="AR22" s="192">
        <v>0</v>
      </c>
      <c r="AS22" s="192">
        <v>31233800</v>
      </c>
      <c r="AT22" s="192">
        <v>148500</v>
      </c>
      <c r="AU22" s="192">
        <v>11148500</v>
      </c>
      <c r="AV22" s="192">
        <v>0</v>
      </c>
      <c r="AW22" s="192">
        <v>66573150.369999997</v>
      </c>
      <c r="AX22" s="192">
        <v>123624136.59999999</v>
      </c>
      <c r="AY22" s="192">
        <v>123624136.59999999</v>
      </c>
      <c r="AZ22" s="192">
        <v>0</v>
      </c>
      <c r="BA22" s="192">
        <v>34118120</v>
      </c>
      <c r="BB22" s="192">
        <v>33768120</v>
      </c>
      <c r="BC22" s="192">
        <v>33768120</v>
      </c>
      <c r="BD22" s="192">
        <v>33768120</v>
      </c>
      <c r="BE22" s="192">
        <v>61000000</v>
      </c>
      <c r="BF22" s="192">
        <v>60890000</v>
      </c>
      <c r="BG22" s="192">
        <v>60890000</v>
      </c>
      <c r="BH22" s="192">
        <v>30000000</v>
      </c>
      <c r="BI22" s="192">
        <v>8604025</v>
      </c>
      <c r="BJ22" s="192">
        <v>10702494.6</v>
      </c>
      <c r="BK22" s="192">
        <v>3104025</v>
      </c>
      <c r="BL22" s="192">
        <v>0</v>
      </c>
      <c r="BM22" s="192">
        <v>0</v>
      </c>
      <c r="BN22" s="192">
        <v>0</v>
      </c>
      <c r="BO22" s="192">
        <v>16806200</v>
      </c>
      <c r="BP22" s="192">
        <v>0</v>
      </c>
      <c r="BQ22" s="192">
        <v>75670105.980000004</v>
      </c>
      <c r="BR22" s="192">
        <v>59061821.689999998</v>
      </c>
      <c r="BS22" s="192">
        <v>9620800</v>
      </c>
      <c r="BT22" s="192">
        <v>29150500</v>
      </c>
      <c r="BU22" s="192">
        <v>50963785</v>
      </c>
      <c r="BV22" s="192">
        <v>0</v>
      </c>
    </row>
    <row r="23" spans="1:74" s="192" customFormat="1" x14ac:dyDescent="0.25">
      <c r="A23" s="192" t="s">
        <v>239</v>
      </c>
      <c r="B23" s="192">
        <v>0</v>
      </c>
      <c r="C23" s="192">
        <v>0</v>
      </c>
      <c r="D23" s="192">
        <v>0</v>
      </c>
      <c r="E23" s="192">
        <v>0</v>
      </c>
      <c r="F23" s="192">
        <v>0</v>
      </c>
      <c r="G23" s="192">
        <v>0</v>
      </c>
      <c r="H23" s="192">
        <v>0</v>
      </c>
      <c r="I23" s="192">
        <v>0</v>
      </c>
      <c r="J23" s="192">
        <v>0</v>
      </c>
      <c r="K23" s="192">
        <v>0</v>
      </c>
      <c r="L23" s="192">
        <v>0</v>
      </c>
      <c r="M23" s="192">
        <v>0</v>
      </c>
      <c r="N23" s="192">
        <v>0</v>
      </c>
      <c r="O23" s="192">
        <v>0</v>
      </c>
      <c r="P23" s="192">
        <v>0</v>
      </c>
      <c r="Q23" s="192">
        <v>0</v>
      </c>
      <c r="R23" s="192">
        <v>0</v>
      </c>
      <c r="S23" s="192">
        <v>0</v>
      </c>
      <c r="T23" s="192">
        <v>0</v>
      </c>
      <c r="U23" s="192">
        <v>0</v>
      </c>
      <c r="V23" s="192">
        <v>0</v>
      </c>
      <c r="W23" s="192">
        <v>0</v>
      </c>
      <c r="X23" s="192">
        <v>0</v>
      </c>
      <c r="Y23" s="192">
        <v>0</v>
      </c>
      <c r="Z23" s="192">
        <v>0</v>
      </c>
      <c r="AA23" s="192">
        <v>0</v>
      </c>
      <c r="AB23" s="192">
        <v>0</v>
      </c>
      <c r="AC23" s="192">
        <v>0</v>
      </c>
      <c r="AD23" s="192">
        <v>0</v>
      </c>
      <c r="AE23" s="192">
        <v>0</v>
      </c>
      <c r="AF23" s="192">
        <v>0</v>
      </c>
      <c r="AG23" s="192">
        <v>29450000</v>
      </c>
      <c r="AH23" s="192">
        <v>11819500</v>
      </c>
      <c r="AI23" s="192">
        <v>11450000</v>
      </c>
      <c r="AJ23" s="192">
        <v>0</v>
      </c>
      <c r="AK23" s="192">
        <v>5248520</v>
      </c>
      <c r="AL23" s="192">
        <v>0</v>
      </c>
      <c r="AM23" s="192">
        <v>0</v>
      </c>
      <c r="AN23" s="192">
        <v>0</v>
      </c>
      <c r="AO23" s="192">
        <v>8805437.3000000007</v>
      </c>
      <c r="AP23" s="192">
        <v>0</v>
      </c>
      <c r="AQ23" s="192">
        <v>0</v>
      </c>
      <c r="AR23" s="192">
        <v>0</v>
      </c>
      <c r="AS23" s="192">
        <v>15403867</v>
      </c>
      <c r="AT23" s="192">
        <v>0</v>
      </c>
      <c r="AU23" s="192">
        <v>0</v>
      </c>
      <c r="AV23" s="192">
        <v>0</v>
      </c>
      <c r="AW23" s="192">
        <v>0</v>
      </c>
      <c r="AX23" s="192">
        <v>0</v>
      </c>
      <c r="AY23" s="192">
        <v>0</v>
      </c>
      <c r="AZ23" s="192">
        <v>0</v>
      </c>
      <c r="BA23" s="192">
        <v>0</v>
      </c>
      <c r="BB23" s="192">
        <v>0</v>
      </c>
      <c r="BC23" s="192">
        <v>0</v>
      </c>
      <c r="BD23" s="192">
        <v>0</v>
      </c>
      <c r="BE23" s="192">
        <v>0</v>
      </c>
      <c r="BF23" s="192">
        <v>0</v>
      </c>
      <c r="BG23" s="192">
        <v>0</v>
      </c>
      <c r="BH23" s="192">
        <v>0</v>
      </c>
      <c r="BI23" s="192">
        <v>0</v>
      </c>
      <c r="BJ23" s="192">
        <v>0</v>
      </c>
      <c r="BK23" s="192">
        <v>0</v>
      </c>
      <c r="BL23" s="192">
        <v>0</v>
      </c>
      <c r="BM23" s="192">
        <v>0</v>
      </c>
      <c r="BN23" s="192">
        <v>0</v>
      </c>
      <c r="BO23" s="192">
        <v>0</v>
      </c>
      <c r="BP23" s="192">
        <v>0</v>
      </c>
      <c r="BQ23" s="192">
        <v>0</v>
      </c>
      <c r="BR23" s="192">
        <v>0</v>
      </c>
      <c r="BS23" s="192">
        <v>0</v>
      </c>
      <c r="BT23" s="192">
        <v>0</v>
      </c>
      <c r="BU23" s="192">
        <v>0</v>
      </c>
      <c r="BV23" s="192">
        <v>0</v>
      </c>
    </row>
    <row r="24" spans="1:74" s="192" customFormat="1" x14ac:dyDescent="0.25">
      <c r="A24" s="192" t="s">
        <v>240</v>
      </c>
      <c r="B24" s="192">
        <v>0</v>
      </c>
      <c r="C24" s="192">
        <v>0</v>
      </c>
      <c r="D24" s="192">
        <v>0</v>
      </c>
      <c r="E24" s="192">
        <v>0</v>
      </c>
      <c r="F24" s="192">
        <v>0</v>
      </c>
      <c r="G24" s="192">
        <v>0</v>
      </c>
      <c r="H24" s="192">
        <v>0</v>
      </c>
      <c r="I24" s="192">
        <v>0</v>
      </c>
      <c r="J24" s="192">
        <v>0</v>
      </c>
      <c r="K24" s="192">
        <v>0</v>
      </c>
      <c r="L24" s="192">
        <v>0</v>
      </c>
      <c r="M24" s="192">
        <v>0</v>
      </c>
      <c r="N24" s="192">
        <v>0</v>
      </c>
      <c r="O24" s="192">
        <v>0</v>
      </c>
      <c r="P24" s="192">
        <v>0</v>
      </c>
      <c r="Q24" s="192">
        <v>0</v>
      </c>
      <c r="R24" s="192">
        <v>0</v>
      </c>
      <c r="S24" s="192">
        <v>0</v>
      </c>
      <c r="T24" s="192">
        <v>0</v>
      </c>
      <c r="U24" s="192">
        <v>0</v>
      </c>
      <c r="V24" s="192">
        <v>0</v>
      </c>
      <c r="W24" s="192">
        <v>0</v>
      </c>
      <c r="X24" s="192">
        <v>0</v>
      </c>
      <c r="Y24" s="192">
        <v>0</v>
      </c>
      <c r="Z24" s="192">
        <v>0</v>
      </c>
      <c r="AA24" s="192">
        <v>0</v>
      </c>
      <c r="AB24" s="192">
        <v>0</v>
      </c>
      <c r="AC24" s="192">
        <v>0</v>
      </c>
      <c r="AD24" s="192">
        <v>0</v>
      </c>
      <c r="AE24" s="192">
        <v>0</v>
      </c>
      <c r="AF24" s="192">
        <v>0</v>
      </c>
      <c r="AG24" s="192">
        <v>0</v>
      </c>
      <c r="AH24" s="192">
        <v>0</v>
      </c>
      <c r="AI24" s="192">
        <v>0</v>
      </c>
      <c r="AJ24" s="192">
        <v>0</v>
      </c>
      <c r="AK24" s="192">
        <v>0</v>
      </c>
      <c r="AL24" s="192">
        <v>0</v>
      </c>
      <c r="AM24" s="192">
        <v>0</v>
      </c>
      <c r="AN24" s="192">
        <v>0</v>
      </c>
      <c r="AO24" s="192">
        <v>0</v>
      </c>
      <c r="AP24" s="192">
        <v>0</v>
      </c>
      <c r="AQ24" s="192">
        <v>0</v>
      </c>
      <c r="AR24" s="192">
        <v>0</v>
      </c>
      <c r="AS24" s="192">
        <v>0</v>
      </c>
      <c r="AT24" s="192">
        <v>0</v>
      </c>
      <c r="AU24" s="192">
        <v>0</v>
      </c>
      <c r="AV24" s="192">
        <v>0</v>
      </c>
      <c r="AW24" s="192">
        <v>0</v>
      </c>
      <c r="AX24" s="192">
        <v>0</v>
      </c>
      <c r="AY24" s="192">
        <v>0</v>
      </c>
      <c r="AZ24" s="192">
        <v>0</v>
      </c>
      <c r="BA24" s="192">
        <v>0</v>
      </c>
      <c r="BB24" s="192">
        <v>-6618372.8799999999</v>
      </c>
      <c r="BC24" s="192">
        <v>1047311.59</v>
      </c>
      <c r="BD24" s="192">
        <v>17377995.579999998</v>
      </c>
      <c r="BE24" s="192">
        <v>0</v>
      </c>
      <c r="BF24" s="192">
        <v>0</v>
      </c>
      <c r="BG24" s="192">
        <v>0</v>
      </c>
      <c r="BH24" s="192">
        <v>0</v>
      </c>
      <c r="BI24" s="192">
        <v>0</v>
      </c>
      <c r="BJ24" s="192">
        <v>0</v>
      </c>
      <c r="BK24" s="192">
        <v>0</v>
      </c>
      <c r="BL24" s="192">
        <v>0</v>
      </c>
      <c r="BM24" s="192">
        <v>0</v>
      </c>
      <c r="BN24" s="192">
        <v>0</v>
      </c>
      <c r="BO24" s="192">
        <v>0</v>
      </c>
      <c r="BP24" s="192">
        <v>0</v>
      </c>
      <c r="BQ24" s="192">
        <v>0</v>
      </c>
      <c r="BR24" s="192">
        <v>0</v>
      </c>
      <c r="BS24" s="192">
        <v>0</v>
      </c>
      <c r="BT24" s="192">
        <v>0</v>
      </c>
      <c r="BU24" s="192">
        <v>0</v>
      </c>
      <c r="BV24" s="192">
        <v>0</v>
      </c>
    </row>
    <row r="25" spans="1:74" s="192" customFormat="1" x14ac:dyDescent="0.25">
      <c r="A25" s="192" t="s">
        <v>241</v>
      </c>
      <c r="B25" s="192">
        <v>12393267106.030001</v>
      </c>
      <c r="C25" s="192">
        <v>7240893692.7399998</v>
      </c>
      <c r="D25" s="192">
        <v>3277503144.0100002</v>
      </c>
      <c r="E25" s="192">
        <v>15658505062.459999</v>
      </c>
      <c r="F25" s="192">
        <v>8649042380.3899994</v>
      </c>
      <c r="G25" s="192">
        <v>3544751100.9200001</v>
      </c>
      <c r="H25" s="192">
        <v>1683959515.98</v>
      </c>
      <c r="I25" s="192">
        <v>11534305378</v>
      </c>
      <c r="J25" s="192">
        <v>8773222953.3899994</v>
      </c>
      <c r="K25" s="192">
        <v>5516938428.5100002</v>
      </c>
      <c r="L25" s="192">
        <v>3149643548.5999999</v>
      </c>
      <c r="M25" s="192">
        <v>10570010753.52</v>
      </c>
      <c r="N25" s="192">
        <v>7744625280.0900002</v>
      </c>
      <c r="O25" s="192">
        <v>4670330538.8000002</v>
      </c>
      <c r="P25" s="192">
        <v>2472097886.0300002</v>
      </c>
      <c r="Q25" s="192">
        <v>11785485490.219999</v>
      </c>
      <c r="R25" s="192">
        <v>5700027723.7299995</v>
      </c>
      <c r="S25" s="192">
        <v>4192117550.4000001</v>
      </c>
      <c r="T25" s="192">
        <v>2512312809.96</v>
      </c>
      <c r="U25" s="192">
        <v>11854317350.440001</v>
      </c>
      <c r="V25" s="192">
        <v>8233584540.4799995</v>
      </c>
      <c r="W25" s="192">
        <v>5454467330.54</v>
      </c>
      <c r="X25" s="192">
        <v>2678113366.4000001</v>
      </c>
      <c r="Y25" s="192">
        <v>11754098980.68</v>
      </c>
      <c r="Z25" s="192">
        <v>112947355.47</v>
      </c>
      <c r="AA25" s="192">
        <v>86310128.349999994</v>
      </c>
      <c r="AB25" s="192">
        <v>55646111.640000001</v>
      </c>
      <c r="AC25" s="192">
        <v>215268857.19999999</v>
      </c>
      <c r="AD25" s="192">
        <v>195105572.15000001</v>
      </c>
      <c r="AE25" s="192">
        <v>151044435.96000001</v>
      </c>
      <c r="AF25" s="192">
        <v>27090152.149999999</v>
      </c>
      <c r="AG25" s="192">
        <v>230137304.25999999</v>
      </c>
      <c r="AH25" s="192">
        <v>85962381.530000001</v>
      </c>
      <c r="AI25" s="192">
        <v>71932869.950000003</v>
      </c>
      <c r="AJ25" s="192">
        <v>16506899.27</v>
      </c>
      <c r="AK25" s="192">
        <v>113922861.04000001</v>
      </c>
      <c r="AL25" s="192">
        <v>63437310.509999998</v>
      </c>
      <c r="AM25" s="192">
        <v>18336868.120000001</v>
      </c>
      <c r="AN25" s="192">
        <v>4516646.4400000004</v>
      </c>
      <c r="AO25" s="192">
        <v>159432733.06</v>
      </c>
      <c r="AP25" s="192">
        <v>104849980.75</v>
      </c>
      <c r="AQ25" s="192">
        <v>50635521.299999997</v>
      </c>
      <c r="AR25" s="192">
        <v>13393754.720000001</v>
      </c>
      <c r="AS25" s="192">
        <v>166044292.49000001</v>
      </c>
      <c r="AT25" s="192">
        <v>46388100.909999996</v>
      </c>
      <c r="AU25" s="192">
        <v>40906214.600000001</v>
      </c>
      <c r="AV25" s="192">
        <v>16161303.640000001</v>
      </c>
      <c r="AW25" s="192">
        <v>276031770.74000001</v>
      </c>
      <c r="AX25" s="192">
        <v>280486036.94</v>
      </c>
      <c r="AY25" s="192">
        <v>131881676.64</v>
      </c>
      <c r="AZ25" s="192">
        <v>4537381.79</v>
      </c>
      <c r="BA25" s="192">
        <v>70704539.870000005</v>
      </c>
      <c r="BB25" s="192">
        <v>54291086.649999999</v>
      </c>
      <c r="BC25" s="192">
        <v>53580561.060000002</v>
      </c>
      <c r="BD25" s="192">
        <v>61486705.950000003</v>
      </c>
      <c r="BE25" s="192">
        <v>93870162.769999996</v>
      </c>
      <c r="BF25" s="192">
        <v>77880848.409999996</v>
      </c>
      <c r="BG25" s="192">
        <v>72216768.780000001</v>
      </c>
      <c r="BH25" s="192">
        <v>53440868.770000003</v>
      </c>
      <c r="BI25" s="192">
        <v>79288047.5</v>
      </c>
      <c r="BJ25" s="192">
        <v>36007853.030000001</v>
      </c>
      <c r="BK25" s="192">
        <v>19082534.739999998</v>
      </c>
      <c r="BL25" s="192">
        <v>0</v>
      </c>
      <c r="BM25" s="192">
        <v>73065685.459999993</v>
      </c>
      <c r="BN25" s="192">
        <v>67122727.099999994</v>
      </c>
      <c r="BO25" s="192">
        <v>82042185.680000007</v>
      </c>
      <c r="BP25" s="192">
        <v>13502999.359999999</v>
      </c>
      <c r="BQ25" s="192">
        <v>190017536.53999999</v>
      </c>
      <c r="BR25" s="192">
        <v>84003405.439999998</v>
      </c>
      <c r="BS25" s="192">
        <v>131716832.29000001</v>
      </c>
      <c r="BT25" s="192">
        <v>248537057.59999999</v>
      </c>
      <c r="BU25" s="192">
        <v>75481677.340000004</v>
      </c>
      <c r="BV25" s="192">
        <v>0</v>
      </c>
    </row>
    <row r="26" spans="1:74" s="192" customFormat="1" x14ac:dyDescent="0.25">
      <c r="A26" s="192" t="s">
        <v>242</v>
      </c>
      <c r="B26" s="192">
        <v>28157055.649999999</v>
      </c>
      <c r="C26" s="192">
        <v>634085088.96000004</v>
      </c>
      <c r="D26" s="192">
        <v>-510631063.36000001</v>
      </c>
      <c r="E26" s="192">
        <v>-4140707426.1100001</v>
      </c>
      <c r="F26" s="192">
        <v>-1454985803.54</v>
      </c>
      <c r="G26" s="192">
        <v>-447972713.02999997</v>
      </c>
      <c r="H26" s="192">
        <v>-31122850.719999999</v>
      </c>
      <c r="I26" s="192">
        <v>-2259435678.1100001</v>
      </c>
      <c r="J26" s="192">
        <v>-2382991474.2600002</v>
      </c>
      <c r="K26" s="192">
        <v>-2104441275.8900001</v>
      </c>
      <c r="L26" s="192">
        <v>-1206611446.6500001</v>
      </c>
      <c r="M26" s="192">
        <v>-2044768547.51</v>
      </c>
      <c r="N26" s="192">
        <v>-2502279528.3600001</v>
      </c>
      <c r="O26" s="192">
        <v>-1507353631.9400001</v>
      </c>
      <c r="P26" s="192">
        <v>-715054047.92999995</v>
      </c>
      <c r="Q26" s="192">
        <v>-1505402245.05</v>
      </c>
      <c r="R26" s="192">
        <v>-176003592.25999999</v>
      </c>
      <c r="S26" s="192">
        <v>-134495207.50999999</v>
      </c>
      <c r="T26" s="192">
        <v>-191234831.30000001</v>
      </c>
      <c r="U26" s="192">
        <v>-449148485.73000002</v>
      </c>
      <c r="V26" s="192">
        <v>-607716867.94000006</v>
      </c>
      <c r="W26" s="192">
        <v>-600144036.70000005</v>
      </c>
      <c r="X26" s="192">
        <v>-252446945.44999999</v>
      </c>
      <c r="Y26" s="192">
        <v>-1198621311.1600001</v>
      </c>
      <c r="Z26" s="192">
        <v>-101039924.05</v>
      </c>
      <c r="AA26" s="192">
        <v>-75888980.579999998</v>
      </c>
      <c r="AB26" s="192">
        <v>-51986156.439999998</v>
      </c>
      <c r="AC26" s="192">
        <v>577141.01</v>
      </c>
      <c r="AD26" s="192">
        <v>-157214308.24000001</v>
      </c>
      <c r="AE26" s="192">
        <v>-123775158.31</v>
      </c>
      <c r="AF26" s="192">
        <v>-9119402.7400000002</v>
      </c>
      <c r="AG26" s="192">
        <v>-158136559.33000001</v>
      </c>
      <c r="AH26" s="192">
        <v>-44571833.880000003</v>
      </c>
      <c r="AI26" s="192">
        <v>-57417361.82</v>
      </c>
      <c r="AJ26" s="192">
        <v>-8447650.1699999999</v>
      </c>
      <c r="AK26" s="192">
        <v>133910100.52</v>
      </c>
      <c r="AL26" s="192">
        <v>38220540.710000001</v>
      </c>
      <c r="AM26" s="192">
        <v>34870902.990000002</v>
      </c>
      <c r="AN26" s="192">
        <v>-3361083.63</v>
      </c>
      <c r="AO26" s="192">
        <v>-75483045.430000007</v>
      </c>
      <c r="AP26" s="192">
        <v>-42902725.93</v>
      </c>
      <c r="AQ26" s="192">
        <v>6682752.8099999996</v>
      </c>
      <c r="AR26" s="192">
        <v>-4652125.57</v>
      </c>
      <c r="AS26" s="192">
        <v>253687179.58000001</v>
      </c>
      <c r="AT26" s="192">
        <v>202626188.81999999</v>
      </c>
      <c r="AU26" s="192">
        <v>44288445.18</v>
      </c>
      <c r="AV26" s="192">
        <v>-9056303.6400000006</v>
      </c>
      <c r="AW26" s="192">
        <v>-192123959.52000001</v>
      </c>
      <c r="AX26" s="192">
        <v>-195004474.87</v>
      </c>
      <c r="AY26" s="192">
        <v>-125712970.54000001</v>
      </c>
      <c r="AZ26" s="192">
        <v>-4537381.79</v>
      </c>
      <c r="BA26" s="192">
        <v>-4077789.62</v>
      </c>
      <c r="BB26" s="192">
        <v>-52468819.310000002</v>
      </c>
      <c r="BC26" s="192">
        <v>-41973014.57</v>
      </c>
      <c r="BD26" s="192">
        <v>-51621738.049999997</v>
      </c>
      <c r="BE26" s="192">
        <v>3187859.42</v>
      </c>
      <c r="BF26" s="192">
        <v>24708189.260000002</v>
      </c>
      <c r="BG26" s="192">
        <v>-16612509.109999999</v>
      </c>
      <c r="BH26" s="192">
        <v>-52788395.170000002</v>
      </c>
      <c r="BI26" s="192">
        <v>7314381.1299999999</v>
      </c>
      <c r="BJ26" s="192">
        <v>10538644.460000001</v>
      </c>
      <c r="BK26" s="192">
        <v>-5373630.6399999997</v>
      </c>
      <c r="BL26" s="192">
        <v>0</v>
      </c>
      <c r="BM26" s="192">
        <v>-69605483.959999993</v>
      </c>
      <c r="BN26" s="192">
        <v>-45107956.649999999</v>
      </c>
      <c r="BO26" s="192">
        <v>-51329213.630000003</v>
      </c>
      <c r="BP26" s="192">
        <v>-7444049.4000000004</v>
      </c>
      <c r="BQ26" s="192">
        <v>-166456726.99000001</v>
      </c>
      <c r="BR26" s="192">
        <v>-55781377.270000003</v>
      </c>
      <c r="BS26" s="192">
        <v>-127098933.56999999</v>
      </c>
      <c r="BT26" s="192">
        <v>-247640411.80000001</v>
      </c>
      <c r="BU26" s="192">
        <v>-75177377.340000004</v>
      </c>
      <c r="BV26" s="192">
        <v>0</v>
      </c>
    </row>
    <row r="27" spans="1:74" s="192" customFormat="1" x14ac:dyDescent="0.25">
      <c r="A27" s="192" t="s">
        <v>243</v>
      </c>
    </row>
    <row r="28" spans="1:74" s="192" customFormat="1" x14ac:dyDescent="0.25">
      <c r="A28" s="192" t="s">
        <v>244</v>
      </c>
      <c r="B28" s="192">
        <v>0</v>
      </c>
      <c r="C28" s="192">
        <v>0</v>
      </c>
      <c r="D28" s="192">
        <v>0</v>
      </c>
      <c r="E28" s="192">
        <v>0</v>
      </c>
      <c r="F28" s="192">
        <v>0</v>
      </c>
      <c r="G28" s="192">
        <v>0</v>
      </c>
      <c r="H28" s="192">
        <v>0</v>
      </c>
      <c r="I28" s="192">
        <v>0</v>
      </c>
      <c r="J28" s="192">
        <v>0</v>
      </c>
      <c r="K28" s="192">
        <v>0</v>
      </c>
      <c r="L28" s="192">
        <v>0</v>
      </c>
      <c r="M28" s="192">
        <v>0</v>
      </c>
      <c r="N28" s="192">
        <v>0</v>
      </c>
      <c r="O28" s="192">
        <v>0</v>
      </c>
      <c r="P28" s="192">
        <v>0</v>
      </c>
      <c r="Q28" s="192">
        <v>0</v>
      </c>
      <c r="R28" s="192">
        <v>0</v>
      </c>
      <c r="S28" s="192">
        <v>0</v>
      </c>
      <c r="T28" s="192">
        <v>0</v>
      </c>
      <c r="U28" s="192">
        <v>0</v>
      </c>
      <c r="V28" s="192">
        <v>0</v>
      </c>
      <c r="W28" s="192">
        <v>0</v>
      </c>
      <c r="X28" s="192">
        <v>0</v>
      </c>
      <c r="Y28" s="192">
        <v>0</v>
      </c>
      <c r="Z28" s="192">
        <v>0</v>
      </c>
      <c r="AA28" s="192">
        <v>0</v>
      </c>
      <c r="AB28" s="192">
        <v>0</v>
      </c>
      <c r="AC28" s="192">
        <v>0</v>
      </c>
      <c r="AD28" s="192">
        <v>0</v>
      </c>
      <c r="AE28" s="192">
        <v>0</v>
      </c>
      <c r="AF28" s="192">
        <v>0</v>
      </c>
      <c r="AG28" s="192">
        <v>0</v>
      </c>
      <c r="AH28" s="192">
        <v>0</v>
      </c>
      <c r="AI28" s="192">
        <v>0</v>
      </c>
      <c r="AJ28" s="192">
        <v>0</v>
      </c>
      <c r="AK28" s="192">
        <v>0</v>
      </c>
      <c r="AL28" s="192">
        <v>0</v>
      </c>
      <c r="AM28" s="192">
        <v>0</v>
      </c>
      <c r="AN28" s="192">
        <v>0</v>
      </c>
      <c r="AO28" s="192">
        <v>0</v>
      </c>
      <c r="AP28" s="192">
        <v>0</v>
      </c>
      <c r="AQ28" s="192">
        <v>0</v>
      </c>
      <c r="AR28" s="192">
        <v>0</v>
      </c>
      <c r="AS28" s="192">
        <v>0</v>
      </c>
      <c r="AT28" s="192">
        <v>0</v>
      </c>
      <c r="AU28" s="192">
        <v>0</v>
      </c>
      <c r="AV28" s="192">
        <v>0</v>
      </c>
      <c r="AW28" s="192">
        <v>0</v>
      </c>
      <c r="AX28" s="192">
        <v>0</v>
      </c>
      <c r="AY28" s="192">
        <v>0</v>
      </c>
      <c r="AZ28" s="192">
        <v>0</v>
      </c>
      <c r="BA28" s="192">
        <v>7399472.4000000004</v>
      </c>
      <c r="BB28" s="192">
        <v>7399903.46</v>
      </c>
      <c r="BC28" s="192">
        <v>7399903.8600000003</v>
      </c>
      <c r="BD28" s="192">
        <v>0</v>
      </c>
      <c r="BE28" s="192">
        <v>0</v>
      </c>
      <c r="BF28" s="192">
        <v>0</v>
      </c>
      <c r="BG28" s="192">
        <v>0</v>
      </c>
      <c r="BH28" s="192">
        <v>0</v>
      </c>
      <c r="BI28" s="192">
        <v>7300533.5999999996</v>
      </c>
      <c r="BJ28" s="192">
        <v>0</v>
      </c>
      <c r="BK28" s="192">
        <v>0</v>
      </c>
      <c r="BL28" s="192">
        <v>0</v>
      </c>
      <c r="BM28" s="192">
        <v>0</v>
      </c>
      <c r="BN28" s="192">
        <v>0</v>
      </c>
      <c r="BO28" s="192">
        <v>0</v>
      </c>
      <c r="BP28" s="192">
        <v>0</v>
      </c>
      <c r="BQ28" s="192">
        <v>456000</v>
      </c>
      <c r="BR28" s="192">
        <v>0</v>
      </c>
      <c r="BS28" s="192">
        <v>23895989.850000001</v>
      </c>
      <c r="BT28" s="192">
        <v>14332870.529999999</v>
      </c>
      <c r="BU28" s="192">
        <v>4968310.9800000004</v>
      </c>
      <c r="BV28" s="192">
        <v>0</v>
      </c>
    </row>
    <row r="29" spans="1:74" s="192" customFormat="1" x14ac:dyDescent="0.25">
      <c r="A29" s="192" t="s">
        <v>245</v>
      </c>
      <c r="B29" s="192">
        <v>0</v>
      </c>
      <c r="C29" s="192">
        <v>0</v>
      </c>
      <c r="D29" s="192">
        <v>0</v>
      </c>
      <c r="E29" s="192">
        <v>0</v>
      </c>
      <c r="F29" s="192">
        <v>0</v>
      </c>
      <c r="G29" s="192">
        <v>0</v>
      </c>
      <c r="H29" s="192">
        <v>0</v>
      </c>
      <c r="I29" s="192">
        <v>0</v>
      </c>
      <c r="J29" s="192">
        <v>0</v>
      </c>
      <c r="K29" s="192">
        <v>0</v>
      </c>
      <c r="L29" s="192">
        <v>0</v>
      </c>
      <c r="M29" s="192">
        <v>0</v>
      </c>
      <c r="N29" s="192">
        <v>0</v>
      </c>
      <c r="O29" s="192">
        <v>0</v>
      </c>
      <c r="P29" s="192">
        <v>0</v>
      </c>
      <c r="Q29" s="192">
        <v>0</v>
      </c>
      <c r="R29" s="192">
        <v>0</v>
      </c>
      <c r="S29" s="192">
        <v>0</v>
      </c>
      <c r="T29" s="192">
        <v>0</v>
      </c>
      <c r="U29" s="192">
        <v>0</v>
      </c>
      <c r="V29" s="192">
        <v>0</v>
      </c>
      <c r="W29" s="192">
        <v>0</v>
      </c>
      <c r="X29" s="192">
        <v>0</v>
      </c>
      <c r="Y29" s="192">
        <v>0</v>
      </c>
      <c r="Z29" s="192">
        <v>0</v>
      </c>
      <c r="AA29" s="192">
        <v>0</v>
      </c>
      <c r="AB29" s="192">
        <v>0</v>
      </c>
      <c r="AC29" s="192">
        <v>0</v>
      </c>
      <c r="AD29" s="192">
        <v>0</v>
      </c>
      <c r="AE29" s="192">
        <v>0</v>
      </c>
      <c r="AF29" s="192">
        <v>0</v>
      </c>
      <c r="AG29" s="192">
        <v>0</v>
      </c>
      <c r="AH29" s="192">
        <v>0</v>
      </c>
      <c r="AI29" s="192">
        <v>0</v>
      </c>
      <c r="AJ29" s="192">
        <v>0</v>
      </c>
      <c r="AK29" s="192">
        <v>0</v>
      </c>
      <c r="AL29" s="192">
        <v>0</v>
      </c>
      <c r="AM29" s="192">
        <v>0</v>
      </c>
      <c r="AN29" s="192">
        <v>0</v>
      </c>
      <c r="AO29" s="192">
        <v>0</v>
      </c>
      <c r="AP29" s="192">
        <v>0</v>
      </c>
      <c r="AQ29" s="192">
        <v>0</v>
      </c>
      <c r="AR29" s="192">
        <v>0</v>
      </c>
      <c r="AS29" s="192">
        <v>0</v>
      </c>
      <c r="AT29" s="192">
        <v>0</v>
      </c>
      <c r="AU29" s="192">
        <v>0</v>
      </c>
      <c r="AV29" s="192">
        <v>0</v>
      </c>
      <c r="AW29" s="192">
        <v>0</v>
      </c>
      <c r="AX29" s="192">
        <v>0</v>
      </c>
      <c r="AY29" s="192">
        <v>0</v>
      </c>
      <c r="AZ29" s="192">
        <v>0</v>
      </c>
      <c r="BA29" s="192">
        <v>0</v>
      </c>
      <c r="BB29" s="192">
        <v>0</v>
      </c>
      <c r="BC29" s="192">
        <v>0</v>
      </c>
      <c r="BD29" s="192">
        <v>0</v>
      </c>
      <c r="BE29" s="192">
        <v>0</v>
      </c>
      <c r="BF29" s="192">
        <v>0</v>
      </c>
      <c r="BG29" s="192">
        <v>0</v>
      </c>
      <c r="BH29" s="192">
        <v>0</v>
      </c>
      <c r="BI29" s="192">
        <v>0</v>
      </c>
      <c r="BJ29" s="192">
        <v>0</v>
      </c>
      <c r="BK29" s="192">
        <v>0</v>
      </c>
      <c r="BL29" s="192">
        <v>0</v>
      </c>
      <c r="BM29" s="192">
        <v>0</v>
      </c>
      <c r="BN29" s="192">
        <v>0</v>
      </c>
      <c r="BO29" s="192">
        <v>0</v>
      </c>
      <c r="BP29" s="192">
        <v>0</v>
      </c>
      <c r="BQ29" s="192">
        <v>0</v>
      </c>
      <c r="BR29" s="192">
        <v>0</v>
      </c>
      <c r="BS29" s="192">
        <v>0</v>
      </c>
      <c r="BT29" s="192">
        <v>0</v>
      </c>
      <c r="BU29" s="192">
        <v>0</v>
      </c>
      <c r="BV29" s="192">
        <v>0</v>
      </c>
    </row>
    <row r="30" spans="1:74" s="192" customFormat="1" x14ac:dyDescent="0.25">
      <c r="A30" s="192" t="s">
        <v>246</v>
      </c>
      <c r="B30" s="192">
        <v>0</v>
      </c>
      <c r="C30" s="192">
        <v>0</v>
      </c>
      <c r="D30" s="192">
        <v>0</v>
      </c>
      <c r="E30" s="192">
        <v>680166782.34000003</v>
      </c>
      <c r="F30" s="192">
        <v>429950000</v>
      </c>
      <c r="G30" s="192">
        <v>170000000</v>
      </c>
      <c r="H30" s="192">
        <v>0</v>
      </c>
      <c r="I30" s="192">
        <v>183813064.12</v>
      </c>
      <c r="J30" s="192">
        <v>0</v>
      </c>
      <c r="K30" s="192">
        <v>0</v>
      </c>
      <c r="L30" s="192">
        <v>0</v>
      </c>
      <c r="M30" s="192">
        <v>215915154.66</v>
      </c>
      <c r="N30" s="192">
        <v>214745075.97999999</v>
      </c>
      <c r="O30" s="192">
        <v>114978442.79000001</v>
      </c>
      <c r="P30" s="192">
        <v>116148521.47</v>
      </c>
      <c r="Q30" s="192">
        <v>100360740</v>
      </c>
      <c r="R30" s="192">
        <v>100360740</v>
      </c>
      <c r="S30" s="192">
        <v>50117340</v>
      </c>
      <c r="T30" s="192">
        <v>0</v>
      </c>
      <c r="U30" s="192">
        <v>0</v>
      </c>
      <c r="V30" s="192">
        <v>0</v>
      </c>
      <c r="W30" s="192">
        <v>0</v>
      </c>
      <c r="X30" s="192">
        <v>0</v>
      </c>
      <c r="Y30" s="192">
        <v>0</v>
      </c>
      <c r="Z30" s="192">
        <v>0</v>
      </c>
      <c r="AA30" s="192">
        <v>0</v>
      </c>
      <c r="AB30" s="192">
        <v>0</v>
      </c>
      <c r="AC30" s="192">
        <v>83597256.840000004</v>
      </c>
      <c r="AD30" s="192">
        <v>76635770.480000004</v>
      </c>
      <c r="AE30" s="192">
        <v>76635770.480000004</v>
      </c>
      <c r="AF30" s="192">
        <v>76635770.480000004</v>
      </c>
      <c r="AG30" s="192">
        <v>9039354.8800000008</v>
      </c>
      <c r="AH30" s="192">
        <v>0</v>
      </c>
      <c r="AI30" s="192">
        <v>0</v>
      </c>
      <c r="AJ30" s="192">
        <v>0</v>
      </c>
      <c r="AK30" s="192">
        <v>23900000</v>
      </c>
      <c r="AL30" s="192">
        <v>23900000</v>
      </c>
      <c r="AM30" s="192">
        <v>23900000</v>
      </c>
      <c r="AN30" s="192">
        <v>18900000</v>
      </c>
      <c r="AO30" s="192">
        <v>196910000</v>
      </c>
      <c r="AP30" s="192">
        <v>182900000</v>
      </c>
      <c r="AQ30" s="192">
        <v>182900000</v>
      </c>
      <c r="AR30" s="192">
        <v>133000000</v>
      </c>
      <c r="AS30" s="192">
        <v>410000000</v>
      </c>
      <c r="AT30" s="192">
        <v>372000000</v>
      </c>
      <c r="AU30" s="192">
        <v>215928554.94999999</v>
      </c>
      <c r="AV30" s="192">
        <v>108500000</v>
      </c>
      <c r="AW30" s="192">
        <v>899500000</v>
      </c>
      <c r="AX30" s="192">
        <v>801500000</v>
      </c>
      <c r="AY30" s="192">
        <v>521000000</v>
      </c>
      <c r="AZ30" s="192">
        <v>290500000</v>
      </c>
      <c r="BA30" s="192">
        <v>986034970</v>
      </c>
      <c r="BB30" s="192">
        <v>907749575</v>
      </c>
      <c r="BC30" s="192">
        <v>401582014.5</v>
      </c>
      <c r="BD30" s="192">
        <v>259250000</v>
      </c>
      <c r="BE30" s="192">
        <v>912290000</v>
      </c>
      <c r="BF30" s="192">
        <v>922140000</v>
      </c>
      <c r="BG30" s="192">
        <v>534170000</v>
      </c>
      <c r="BH30" s="192">
        <v>228560000</v>
      </c>
      <c r="BI30" s="192">
        <v>793990000</v>
      </c>
      <c r="BJ30" s="192">
        <v>575490000</v>
      </c>
      <c r="BK30" s="192">
        <v>305090000</v>
      </c>
      <c r="BL30" s="192">
        <v>0</v>
      </c>
      <c r="BM30" s="192">
        <v>858290000</v>
      </c>
      <c r="BN30" s="192">
        <v>571200000</v>
      </c>
      <c r="BO30" s="192">
        <v>629200000</v>
      </c>
      <c r="BP30" s="192">
        <v>620680000</v>
      </c>
      <c r="BQ30" s="192">
        <v>1279400000</v>
      </c>
      <c r="BR30" s="192">
        <v>835150318.66999996</v>
      </c>
      <c r="BS30" s="192">
        <v>1840550000</v>
      </c>
      <c r="BT30" s="192">
        <v>2048145699</v>
      </c>
      <c r="BU30" s="192">
        <v>521350000</v>
      </c>
      <c r="BV30" s="192">
        <v>0</v>
      </c>
    </row>
    <row r="31" spans="1:74" s="192" customFormat="1" x14ac:dyDescent="0.25">
      <c r="A31" s="192" t="s">
        <v>247</v>
      </c>
      <c r="B31" s="192">
        <v>0</v>
      </c>
      <c r="C31" s="192">
        <v>0</v>
      </c>
      <c r="D31" s="192">
        <v>0</v>
      </c>
      <c r="E31" s="192">
        <v>0</v>
      </c>
      <c r="F31" s="192">
        <v>0</v>
      </c>
      <c r="G31" s="192">
        <v>0</v>
      </c>
      <c r="H31" s="192">
        <v>0</v>
      </c>
      <c r="I31" s="192">
        <v>0</v>
      </c>
      <c r="J31" s="192">
        <v>0</v>
      </c>
      <c r="K31" s="192">
        <v>0</v>
      </c>
      <c r="L31" s="192">
        <v>0</v>
      </c>
      <c r="M31" s="192">
        <v>0</v>
      </c>
      <c r="N31" s="192">
        <v>0</v>
      </c>
      <c r="O31" s="192">
        <v>0</v>
      </c>
      <c r="P31" s="192">
        <v>0</v>
      </c>
      <c r="Q31" s="192">
        <v>0</v>
      </c>
      <c r="R31" s="192">
        <v>0</v>
      </c>
      <c r="S31" s="192">
        <v>0</v>
      </c>
      <c r="T31" s="192">
        <v>0</v>
      </c>
      <c r="U31" s="192">
        <v>0</v>
      </c>
      <c r="V31" s="192">
        <v>0</v>
      </c>
      <c r="W31" s="192">
        <v>0</v>
      </c>
      <c r="X31" s="192">
        <v>0</v>
      </c>
      <c r="Y31" s="192">
        <v>0</v>
      </c>
      <c r="Z31" s="192">
        <v>0</v>
      </c>
      <c r="AA31" s="192">
        <v>0</v>
      </c>
      <c r="AB31" s="192">
        <v>0</v>
      </c>
      <c r="AC31" s="192">
        <v>0</v>
      </c>
      <c r="AD31" s="192">
        <v>0</v>
      </c>
      <c r="AE31" s="192">
        <v>0</v>
      </c>
      <c r="AF31" s="192">
        <v>0</v>
      </c>
      <c r="AG31" s="192">
        <v>0</v>
      </c>
      <c r="AH31" s="192">
        <v>0</v>
      </c>
      <c r="AI31" s="192">
        <v>0</v>
      </c>
      <c r="AJ31" s="192">
        <v>0</v>
      </c>
      <c r="AK31" s="192">
        <v>0</v>
      </c>
      <c r="AL31" s="192">
        <v>0</v>
      </c>
      <c r="AM31" s="192">
        <v>0</v>
      </c>
      <c r="AN31" s="192">
        <v>0</v>
      </c>
      <c r="AO31" s="192">
        <v>0</v>
      </c>
      <c r="AP31" s="192">
        <v>0</v>
      </c>
      <c r="AQ31" s="192">
        <v>0</v>
      </c>
      <c r="AR31" s="192">
        <v>0</v>
      </c>
      <c r="AS31" s="192">
        <v>0</v>
      </c>
      <c r="AT31" s="192">
        <v>0</v>
      </c>
      <c r="AU31" s="192">
        <v>0</v>
      </c>
      <c r="AV31" s="192">
        <v>0</v>
      </c>
      <c r="AW31" s="192">
        <v>0</v>
      </c>
      <c r="AX31" s="192">
        <v>0</v>
      </c>
      <c r="AY31" s="192">
        <v>0</v>
      </c>
      <c r="AZ31" s="192">
        <v>0</v>
      </c>
      <c r="BA31" s="192">
        <v>0</v>
      </c>
      <c r="BB31" s="192">
        <v>0</v>
      </c>
      <c r="BC31" s="192">
        <v>0</v>
      </c>
      <c r="BD31" s="192">
        <v>0</v>
      </c>
      <c r="BE31" s="192">
        <v>0</v>
      </c>
      <c r="BF31" s="192">
        <v>0</v>
      </c>
      <c r="BG31" s="192">
        <v>0</v>
      </c>
      <c r="BH31" s="192">
        <v>0</v>
      </c>
      <c r="BI31" s="192">
        <v>0</v>
      </c>
      <c r="BJ31" s="192">
        <v>0</v>
      </c>
      <c r="BK31" s="192">
        <v>0</v>
      </c>
      <c r="BL31" s="192">
        <v>0</v>
      </c>
      <c r="BM31" s="192">
        <v>0</v>
      </c>
      <c r="BN31" s="192">
        <v>0</v>
      </c>
      <c r="BO31" s="192">
        <v>0</v>
      </c>
      <c r="BP31" s="192">
        <v>0</v>
      </c>
      <c r="BQ31" s="192">
        <v>0</v>
      </c>
      <c r="BR31" s="192">
        <v>0</v>
      </c>
      <c r="BS31" s="192">
        <v>0</v>
      </c>
      <c r="BT31" s="192">
        <v>0</v>
      </c>
      <c r="BU31" s="192">
        <v>0</v>
      </c>
      <c r="BV31" s="192">
        <v>0</v>
      </c>
    </row>
    <row r="32" spans="1:74" s="192" customFormat="1" x14ac:dyDescent="0.25">
      <c r="A32" s="192" t="s">
        <v>248</v>
      </c>
      <c r="B32" s="192">
        <v>0</v>
      </c>
      <c r="C32" s="192">
        <v>0</v>
      </c>
      <c r="D32" s="192">
        <v>0</v>
      </c>
      <c r="E32" s="192">
        <v>0</v>
      </c>
      <c r="F32" s="192">
        <v>0</v>
      </c>
      <c r="G32" s="192">
        <v>0</v>
      </c>
      <c r="H32" s="192">
        <v>0</v>
      </c>
      <c r="I32" s="192">
        <v>0</v>
      </c>
      <c r="J32" s="192">
        <v>0</v>
      </c>
      <c r="K32" s="192">
        <v>0</v>
      </c>
      <c r="L32" s="192">
        <v>0</v>
      </c>
      <c r="M32" s="192">
        <v>0</v>
      </c>
      <c r="N32" s="192">
        <v>0</v>
      </c>
      <c r="O32" s="192">
        <v>0</v>
      </c>
      <c r="P32" s="192">
        <v>0</v>
      </c>
      <c r="Q32" s="192">
        <v>3500000</v>
      </c>
      <c r="R32" s="192">
        <v>0</v>
      </c>
      <c r="S32" s="192">
        <v>0</v>
      </c>
      <c r="T32" s="192">
        <v>0</v>
      </c>
      <c r="U32" s="192">
        <v>0</v>
      </c>
      <c r="V32" s="192">
        <v>0</v>
      </c>
      <c r="W32" s="192">
        <v>0</v>
      </c>
      <c r="X32" s="192">
        <v>0</v>
      </c>
      <c r="Y32" s="192">
        <v>0</v>
      </c>
      <c r="Z32" s="192">
        <v>0</v>
      </c>
      <c r="AA32" s="192">
        <v>0</v>
      </c>
      <c r="AB32" s="192">
        <v>0</v>
      </c>
      <c r="AC32" s="192">
        <v>0</v>
      </c>
      <c r="AD32" s="192">
        <v>0</v>
      </c>
      <c r="AE32" s="192">
        <v>0</v>
      </c>
      <c r="AF32" s="192">
        <v>0</v>
      </c>
      <c r="AG32" s="192">
        <v>0</v>
      </c>
      <c r="AH32" s="192">
        <v>0</v>
      </c>
      <c r="AI32" s="192">
        <v>0</v>
      </c>
      <c r="AJ32" s="192">
        <v>0</v>
      </c>
      <c r="AK32" s="192">
        <v>0</v>
      </c>
      <c r="AL32" s="192">
        <v>0</v>
      </c>
      <c r="AM32" s="192">
        <v>0</v>
      </c>
      <c r="AN32" s="192">
        <v>0</v>
      </c>
      <c r="AO32" s="192">
        <v>0</v>
      </c>
      <c r="AP32" s="192">
        <v>0</v>
      </c>
      <c r="AQ32" s="192">
        <v>0</v>
      </c>
      <c r="AR32" s="192">
        <v>321731.76</v>
      </c>
      <c r="AS32" s="192">
        <v>1229294.81</v>
      </c>
      <c r="AT32" s="192">
        <v>1718693.43</v>
      </c>
      <c r="AU32" s="192">
        <v>1508643.44</v>
      </c>
      <c r="AV32" s="192">
        <v>202941.15</v>
      </c>
      <c r="AW32" s="192">
        <v>56749312</v>
      </c>
      <c r="AX32" s="192">
        <v>686856.33</v>
      </c>
      <c r="AY32" s="192">
        <v>4956244.74</v>
      </c>
      <c r="AZ32" s="192">
        <v>226257.99</v>
      </c>
      <c r="BA32" s="192">
        <v>22633188</v>
      </c>
      <c r="BB32" s="192">
        <v>528823.29</v>
      </c>
      <c r="BC32" s="192">
        <v>24730365.670000002</v>
      </c>
      <c r="BD32" s="192">
        <v>4339134.99</v>
      </c>
      <c r="BE32" s="192">
        <v>0</v>
      </c>
      <c r="BF32" s="192">
        <v>622685.24</v>
      </c>
      <c r="BG32" s="192">
        <v>444652.68</v>
      </c>
      <c r="BH32" s="192">
        <v>278358.86</v>
      </c>
      <c r="BI32" s="192">
        <v>0</v>
      </c>
      <c r="BJ32" s="192">
        <v>30240</v>
      </c>
      <c r="BK32" s="192">
        <v>30240</v>
      </c>
      <c r="BL32" s="192">
        <v>0</v>
      </c>
      <c r="BM32" s="192">
        <v>0</v>
      </c>
      <c r="BN32" s="192">
        <v>0</v>
      </c>
      <c r="BO32" s="192">
        <v>0</v>
      </c>
      <c r="BP32" s="192">
        <v>0</v>
      </c>
      <c r="BQ32" s="192">
        <v>0</v>
      </c>
      <c r="BR32" s="192">
        <v>2189925.37</v>
      </c>
      <c r="BS32" s="192">
        <v>9699145.8499999996</v>
      </c>
      <c r="BT32" s="192">
        <v>7063390.1799999997</v>
      </c>
      <c r="BU32" s="192">
        <v>16935347.969999999</v>
      </c>
      <c r="BV32" s="192">
        <v>0</v>
      </c>
    </row>
    <row r="33" spans="1:74" s="192" customFormat="1" x14ac:dyDescent="0.25">
      <c r="A33" s="192" t="s">
        <v>249</v>
      </c>
      <c r="B33" s="192">
        <v>0</v>
      </c>
      <c r="C33" s="192">
        <v>0</v>
      </c>
      <c r="D33" s="192">
        <v>0</v>
      </c>
      <c r="E33" s="192">
        <v>680166782.34000003</v>
      </c>
      <c r="F33" s="192">
        <v>429950000</v>
      </c>
      <c r="G33" s="192">
        <v>170000000</v>
      </c>
      <c r="H33" s="192">
        <v>0</v>
      </c>
      <c r="I33" s="192">
        <v>183813064.12</v>
      </c>
      <c r="J33" s="192">
        <v>0</v>
      </c>
      <c r="K33" s="192">
        <v>0</v>
      </c>
      <c r="L33" s="192">
        <v>0</v>
      </c>
      <c r="M33" s="192">
        <v>215915154.66</v>
      </c>
      <c r="N33" s="192">
        <v>214745075.97999999</v>
      </c>
      <c r="O33" s="192">
        <v>114978442.79000001</v>
      </c>
      <c r="P33" s="192">
        <v>116148521.47</v>
      </c>
      <c r="Q33" s="192">
        <v>103860740</v>
      </c>
      <c r="R33" s="192">
        <v>100360740</v>
      </c>
      <c r="S33" s="192">
        <v>50117340</v>
      </c>
      <c r="T33" s="192">
        <v>0</v>
      </c>
      <c r="U33" s="192">
        <v>0</v>
      </c>
      <c r="V33" s="192">
        <v>0</v>
      </c>
      <c r="W33" s="192">
        <v>0</v>
      </c>
      <c r="X33" s="192">
        <v>0</v>
      </c>
      <c r="Y33" s="192">
        <v>0</v>
      </c>
      <c r="Z33" s="192">
        <v>0</v>
      </c>
      <c r="AA33" s="192">
        <v>0</v>
      </c>
      <c r="AB33" s="192">
        <v>0</v>
      </c>
      <c r="AC33" s="192">
        <v>83597256.840000004</v>
      </c>
      <c r="AD33" s="192">
        <v>76635770.480000004</v>
      </c>
      <c r="AE33" s="192">
        <v>76635770.480000004</v>
      </c>
      <c r="AF33" s="192">
        <v>76635770.480000004</v>
      </c>
      <c r="AG33" s="192">
        <v>9039354.8800000008</v>
      </c>
      <c r="AH33" s="192">
        <v>0</v>
      </c>
      <c r="AI33" s="192">
        <v>0</v>
      </c>
      <c r="AJ33" s="192">
        <v>0</v>
      </c>
      <c r="AK33" s="192">
        <v>23900000</v>
      </c>
      <c r="AL33" s="192">
        <v>23900000</v>
      </c>
      <c r="AM33" s="192">
        <v>23900000</v>
      </c>
      <c r="AN33" s="192">
        <v>18900000</v>
      </c>
      <c r="AO33" s="192">
        <v>196910000</v>
      </c>
      <c r="AP33" s="192">
        <v>182900000</v>
      </c>
      <c r="AQ33" s="192">
        <v>182900000</v>
      </c>
      <c r="AR33" s="192">
        <v>133321731.76000001</v>
      </c>
      <c r="AS33" s="192">
        <v>411229294.81</v>
      </c>
      <c r="AT33" s="192">
        <v>373718693.43000001</v>
      </c>
      <c r="AU33" s="192">
        <v>217437198.38999999</v>
      </c>
      <c r="AV33" s="192">
        <v>108702941.15000001</v>
      </c>
      <c r="AW33" s="192">
        <v>956249312</v>
      </c>
      <c r="AX33" s="192">
        <v>802186856.33000004</v>
      </c>
      <c r="AY33" s="192">
        <v>525956244.74000001</v>
      </c>
      <c r="AZ33" s="192">
        <v>290726257.99000001</v>
      </c>
      <c r="BA33" s="192">
        <v>1016067630.4</v>
      </c>
      <c r="BB33" s="192">
        <v>915678301.75</v>
      </c>
      <c r="BC33" s="192">
        <v>433712284.02999997</v>
      </c>
      <c r="BD33" s="192">
        <v>263589134.99000001</v>
      </c>
      <c r="BE33" s="192">
        <v>912290000</v>
      </c>
      <c r="BF33" s="192">
        <v>922762685.24000001</v>
      </c>
      <c r="BG33" s="192">
        <v>534614652.68000001</v>
      </c>
      <c r="BH33" s="192">
        <v>228838358.86000001</v>
      </c>
      <c r="BI33" s="192">
        <v>801290533.60000002</v>
      </c>
      <c r="BJ33" s="192">
        <v>575520240</v>
      </c>
      <c r="BK33" s="192">
        <v>305120240</v>
      </c>
      <c r="BL33" s="192">
        <v>0</v>
      </c>
      <c r="BM33" s="192">
        <v>858290000</v>
      </c>
      <c r="BN33" s="192">
        <v>571200000</v>
      </c>
      <c r="BO33" s="192">
        <v>629200000</v>
      </c>
      <c r="BP33" s="192">
        <v>620680000</v>
      </c>
      <c r="BQ33" s="192">
        <v>1279856000</v>
      </c>
      <c r="BR33" s="192">
        <v>837340244.03999996</v>
      </c>
      <c r="BS33" s="192">
        <v>1874145135.7</v>
      </c>
      <c r="BT33" s="192">
        <v>2069541959</v>
      </c>
      <c r="BU33" s="192">
        <v>543253658.95000005</v>
      </c>
      <c r="BV33" s="192">
        <v>0</v>
      </c>
    </row>
    <row r="34" spans="1:74" s="192" customFormat="1" x14ac:dyDescent="0.25">
      <c r="A34" s="192" t="s">
        <v>250</v>
      </c>
      <c r="B34" s="192">
        <v>81393672.340000004</v>
      </c>
      <c r="C34" s="192">
        <v>81393672.340000004</v>
      </c>
      <c r="D34" s="192">
        <v>81393672.340000004</v>
      </c>
      <c r="E34" s="192">
        <v>782586174.12</v>
      </c>
      <c r="F34" s="192">
        <v>464293064.12</v>
      </c>
      <c r="G34" s="192">
        <v>183813064.12</v>
      </c>
      <c r="H34" s="192">
        <v>60357981.219999999</v>
      </c>
      <c r="I34" s="192">
        <v>0</v>
      </c>
      <c r="J34" s="192">
        <v>0</v>
      </c>
      <c r="K34" s="192">
        <v>0</v>
      </c>
      <c r="L34" s="192">
        <v>0</v>
      </c>
      <c r="M34" s="192">
        <v>215915154.66</v>
      </c>
      <c r="N34" s="192">
        <v>114978442.79000001</v>
      </c>
      <c r="O34" s="192">
        <v>99744320.469999999</v>
      </c>
      <c r="P34" s="192">
        <v>0</v>
      </c>
      <c r="Q34" s="192">
        <v>100360740</v>
      </c>
      <c r="R34" s="192">
        <v>0</v>
      </c>
      <c r="S34" s="192">
        <v>0</v>
      </c>
      <c r="T34" s="192">
        <v>0</v>
      </c>
      <c r="U34" s="192">
        <v>0</v>
      </c>
      <c r="V34" s="192">
        <v>0</v>
      </c>
      <c r="W34" s="192">
        <v>0</v>
      </c>
      <c r="X34" s="192">
        <v>0</v>
      </c>
      <c r="Y34" s="192">
        <v>6961486.3600000003</v>
      </c>
      <c r="Z34" s="192">
        <v>6961486.3600000003</v>
      </c>
      <c r="AA34" s="192">
        <v>6961486.3600000003</v>
      </c>
      <c r="AB34" s="192">
        <v>0</v>
      </c>
      <c r="AC34" s="192">
        <v>85675125.359999999</v>
      </c>
      <c r="AD34" s="192">
        <v>75246626.25</v>
      </c>
      <c r="AE34" s="192">
        <v>46065260.920000002</v>
      </c>
      <c r="AF34" s="192">
        <v>0</v>
      </c>
      <c r="AG34" s="192">
        <v>1000000</v>
      </c>
      <c r="AH34" s="192">
        <v>1000000</v>
      </c>
      <c r="AI34" s="192">
        <v>1000000</v>
      </c>
      <c r="AJ34" s="192">
        <v>1000000</v>
      </c>
      <c r="AK34" s="192">
        <v>57810000</v>
      </c>
      <c r="AL34" s="192">
        <v>40910000</v>
      </c>
      <c r="AM34" s="192">
        <v>28910000</v>
      </c>
      <c r="AN34" s="192">
        <v>18900000</v>
      </c>
      <c r="AO34" s="192">
        <v>245480000</v>
      </c>
      <c r="AP34" s="192">
        <v>252480000</v>
      </c>
      <c r="AQ34" s="192">
        <v>181600000</v>
      </c>
      <c r="AR34" s="192">
        <v>111000000</v>
      </c>
      <c r="AS34" s="192">
        <v>801040000</v>
      </c>
      <c r="AT34" s="192">
        <v>564300000</v>
      </c>
      <c r="AU34" s="192">
        <v>407594631.95999998</v>
      </c>
      <c r="AV34" s="192">
        <v>303561380</v>
      </c>
      <c r="AW34" s="192">
        <v>1082125100</v>
      </c>
      <c r="AX34" s="192">
        <v>791240400</v>
      </c>
      <c r="AY34" s="192">
        <v>446240400</v>
      </c>
      <c r="AZ34" s="192">
        <v>266350400</v>
      </c>
      <c r="BA34" s="192">
        <v>991399870</v>
      </c>
      <c r="BB34" s="192">
        <v>866564945</v>
      </c>
      <c r="BC34" s="192">
        <v>409890000</v>
      </c>
      <c r="BD34" s="192">
        <v>254142500</v>
      </c>
      <c r="BE34" s="192">
        <v>835490000</v>
      </c>
      <c r="BF34" s="192">
        <v>945240000</v>
      </c>
      <c r="BG34" s="192">
        <v>521655000</v>
      </c>
      <c r="BH34" s="192">
        <v>234300000</v>
      </c>
      <c r="BI34" s="192">
        <v>672690000</v>
      </c>
      <c r="BJ34" s="192">
        <v>509290000</v>
      </c>
      <c r="BK34" s="192">
        <v>321890000</v>
      </c>
      <c r="BL34" s="192">
        <v>0</v>
      </c>
      <c r="BM34" s="192">
        <v>749090000</v>
      </c>
      <c r="BN34" s="192">
        <v>479200000</v>
      </c>
      <c r="BO34" s="192">
        <v>570890000</v>
      </c>
      <c r="BP34" s="192">
        <v>533200000</v>
      </c>
      <c r="BQ34" s="192">
        <v>1137660000</v>
      </c>
      <c r="BR34" s="192">
        <v>493371069.97000003</v>
      </c>
      <c r="BS34" s="192">
        <v>1638700000</v>
      </c>
      <c r="BT34" s="192">
        <v>2064140000</v>
      </c>
      <c r="BU34" s="192">
        <v>523950000</v>
      </c>
      <c r="BV34" s="192">
        <v>0</v>
      </c>
    </row>
    <row r="35" spans="1:74" s="192" customFormat="1" x14ac:dyDescent="0.25">
      <c r="A35" s="192" t="s">
        <v>552</v>
      </c>
      <c r="B35" s="192">
        <v>653894346.90999997</v>
      </c>
      <c r="C35" s="192">
        <v>644659161.07000005</v>
      </c>
      <c r="D35" s="192">
        <v>9275732.9800000004</v>
      </c>
      <c r="E35" s="192">
        <v>485163943.32999998</v>
      </c>
      <c r="F35" s="192">
        <v>499516450.56999999</v>
      </c>
      <c r="G35" s="192">
        <v>470510888.89999998</v>
      </c>
      <c r="H35" s="192">
        <v>0</v>
      </c>
      <c r="I35" s="192">
        <v>395092974.81999999</v>
      </c>
      <c r="J35" s="192">
        <v>376001781.76999998</v>
      </c>
      <c r="K35" s="192">
        <v>376001781.76999998</v>
      </c>
      <c r="L35" s="192">
        <v>0</v>
      </c>
      <c r="M35" s="192">
        <v>286688438.01999998</v>
      </c>
      <c r="N35" s="192">
        <v>285620324.29000002</v>
      </c>
      <c r="O35" s="192">
        <v>285454625.27999997</v>
      </c>
      <c r="P35" s="192">
        <v>0</v>
      </c>
      <c r="Q35" s="192">
        <v>194602667.44999999</v>
      </c>
      <c r="R35" s="192">
        <v>190359596.69999999</v>
      </c>
      <c r="S35" s="192">
        <v>184308280.03</v>
      </c>
      <c r="T35" s="192">
        <v>0</v>
      </c>
      <c r="U35" s="192">
        <v>189716383.08000001</v>
      </c>
      <c r="V35" s="192">
        <v>183312022.63</v>
      </c>
      <c r="W35" s="192">
        <v>182583655.47</v>
      </c>
      <c r="X35" s="192">
        <v>0</v>
      </c>
      <c r="Y35" s="192">
        <v>125625417.23</v>
      </c>
      <c r="Z35" s="192">
        <v>118658592</v>
      </c>
      <c r="AA35" s="192">
        <v>118658592</v>
      </c>
      <c r="AB35" s="192">
        <v>0</v>
      </c>
      <c r="AC35" s="192">
        <v>78793860.790000007</v>
      </c>
      <c r="AD35" s="192">
        <v>76710330.269999996</v>
      </c>
      <c r="AE35" s="192">
        <v>76637741.319999993</v>
      </c>
      <c r="AF35" s="192">
        <v>443860.2</v>
      </c>
      <c r="AG35" s="192">
        <v>251907.5</v>
      </c>
      <c r="AH35" s="192">
        <v>1086379.76</v>
      </c>
      <c r="AI35" s="192">
        <v>1035831.41</v>
      </c>
      <c r="AJ35" s="192">
        <v>216487.5</v>
      </c>
      <c r="AK35" s="192">
        <v>4583747.28</v>
      </c>
      <c r="AL35" s="192">
        <v>3786912.25</v>
      </c>
      <c r="AM35" s="192">
        <v>3000106.17</v>
      </c>
      <c r="AN35" s="192">
        <v>1793422.67</v>
      </c>
      <c r="AO35" s="192">
        <v>30846166.129999999</v>
      </c>
      <c r="AP35" s="192">
        <v>13909642.91</v>
      </c>
      <c r="AQ35" s="192">
        <v>10670705</v>
      </c>
      <c r="AR35" s="192">
        <v>4433220.68</v>
      </c>
      <c r="AS35" s="192">
        <v>66880523.719999999</v>
      </c>
      <c r="AT35" s="192">
        <v>37419730.920000002</v>
      </c>
      <c r="AU35" s="192">
        <v>27506953.5</v>
      </c>
      <c r="AV35" s="192">
        <v>5707930.2000000002</v>
      </c>
      <c r="AW35" s="192">
        <v>52796599.020000003</v>
      </c>
      <c r="AX35" s="192">
        <v>40024009.93</v>
      </c>
      <c r="AY35" s="192">
        <v>25554022.77</v>
      </c>
      <c r="AZ35" s="192">
        <v>13191512.48</v>
      </c>
      <c r="BA35" s="192">
        <v>46274663.07</v>
      </c>
      <c r="BB35" s="192">
        <v>31749265.780000001</v>
      </c>
      <c r="BC35" s="192">
        <v>19926912.379999999</v>
      </c>
      <c r="BD35" s="192">
        <v>9969685.8200000003</v>
      </c>
      <c r="BE35" s="192">
        <v>46221011.390000001</v>
      </c>
      <c r="BF35" s="192">
        <v>32745900.5</v>
      </c>
      <c r="BG35" s="192">
        <v>19343676.640000001</v>
      </c>
      <c r="BH35" s="192">
        <v>9552816.9299999997</v>
      </c>
      <c r="BI35" s="192">
        <v>45747687.450000003</v>
      </c>
      <c r="BJ35" s="192">
        <v>28283602.48</v>
      </c>
      <c r="BK35" s="192">
        <v>23340486.140000001</v>
      </c>
      <c r="BL35" s="192">
        <v>0</v>
      </c>
      <c r="BM35" s="192">
        <v>48919113.700000003</v>
      </c>
      <c r="BN35" s="192">
        <v>22648695.699999999</v>
      </c>
      <c r="BO35" s="192">
        <v>150215628.06</v>
      </c>
      <c r="BP35" s="192">
        <v>91299188.159999996</v>
      </c>
      <c r="BQ35" s="192">
        <v>164150330</v>
      </c>
      <c r="BR35" s="192">
        <v>50476132.07</v>
      </c>
      <c r="BS35" s="192">
        <v>225560164.69</v>
      </c>
      <c r="BT35" s="192">
        <v>121581250.54000001</v>
      </c>
      <c r="BU35" s="192">
        <v>24325402.039999999</v>
      </c>
      <c r="BV35" s="192">
        <v>0</v>
      </c>
    </row>
    <row r="36" spans="1:74" s="192" customFormat="1" x14ac:dyDescent="0.25">
      <c r="A36" s="192" t="s">
        <v>251</v>
      </c>
      <c r="B36" s="192">
        <v>0</v>
      </c>
      <c r="C36" s="192">
        <v>0</v>
      </c>
      <c r="D36" s="192">
        <v>0</v>
      </c>
      <c r="E36" s="192">
        <v>0</v>
      </c>
      <c r="F36" s="192">
        <v>0</v>
      </c>
      <c r="G36" s="192">
        <v>0</v>
      </c>
      <c r="H36" s="192">
        <v>0</v>
      </c>
      <c r="I36" s="192">
        <v>0</v>
      </c>
      <c r="J36" s="192">
        <v>0</v>
      </c>
      <c r="K36" s="192">
        <v>0</v>
      </c>
      <c r="L36" s="192">
        <v>0</v>
      </c>
      <c r="M36" s="192">
        <v>0</v>
      </c>
      <c r="N36" s="192">
        <v>0</v>
      </c>
      <c r="O36" s="192">
        <v>0</v>
      </c>
      <c r="P36" s="192">
        <v>0</v>
      </c>
      <c r="Q36" s="192">
        <v>0</v>
      </c>
      <c r="R36" s="192">
        <v>0</v>
      </c>
      <c r="S36" s="192">
        <v>0</v>
      </c>
      <c r="T36" s="192">
        <v>0</v>
      </c>
      <c r="U36" s="192">
        <v>0</v>
      </c>
      <c r="V36" s="192">
        <v>0</v>
      </c>
      <c r="W36" s="192">
        <v>0</v>
      </c>
      <c r="X36" s="192">
        <v>0</v>
      </c>
      <c r="Y36" s="192">
        <v>0</v>
      </c>
      <c r="Z36" s="192">
        <v>0</v>
      </c>
      <c r="AA36" s="192">
        <v>0</v>
      </c>
      <c r="AB36" s="192">
        <v>0</v>
      </c>
      <c r="AC36" s="192">
        <v>0</v>
      </c>
      <c r="AD36" s="192">
        <v>15714000</v>
      </c>
      <c r="AE36" s="192">
        <v>15714000</v>
      </c>
      <c r="AF36" s="192">
        <v>0</v>
      </c>
      <c r="AG36" s="192">
        <v>0</v>
      </c>
      <c r="AH36" s="192">
        <v>0</v>
      </c>
      <c r="AI36" s="192">
        <v>0</v>
      </c>
      <c r="AJ36" s="192">
        <v>0</v>
      </c>
      <c r="AK36" s="192">
        <v>0</v>
      </c>
      <c r="AL36" s="192">
        <v>0</v>
      </c>
      <c r="AM36" s="192">
        <v>0</v>
      </c>
      <c r="AN36" s="192">
        <v>0</v>
      </c>
      <c r="AO36" s="192">
        <v>0</v>
      </c>
      <c r="AP36" s="192">
        <v>0</v>
      </c>
      <c r="AQ36" s="192">
        <v>0</v>
      </c>
      <c r="AR36" s="192">
        <v>0</v>
      </c>
      <c r="AS36" s="192">
        <v>0</v>
      </c>
      <c r="AT36" s="192">
        <v>0</v>
      </c>
      <c r="AU36" s="192">
        <v>0</v>
      </c>
      <c r="AV36" s="192">
        <v>0</v>
      </c>
      <c r="AW36" s="192">
        <v>0</v>
      </c>
      <c r="AX36" s="192">
        <v>0</v>
      </c>
      <c r="AY36" s="192">
        <v>0</v>
      </c>
      <c r="AZ36" s="192">
        <v>0</v>
      </c>
      <c r="BA36" s="192">
        <v>0</v>
      </c>
      <c r="BB36" s="192">
        <v>0</v>
      </c>
      <c r="BC36" s="192">
        <v>0</v>
      </c>
      <c r="BD36" s="192">
        <v>0</v>
      </c>
      <c r="BE36" s="192">
        <v>0</v>
      </c>
      <c r="BF36" s="192">
        <v>0</v>
      </c>
      <c r="BG36" s="192">
        <v>0</v>
      </c>
      <c r="BH36" s="192">
        <v>0</v>
      </c>
      <c r="BI36" s="192">
        <v>11932589.289999999</v>
      </c>
      <c r="BJ36" s="192">
        <v>0</v>
      </c>
      <c r="BK36" s="192">
        <v>0</v>
      </c>
      <c r="BL36" s="192">
        <v>0</v>
      </c>
      <c r="BM36" s="192">
        <v>0</v>
      </c>
      <c r="BN36" s="192">
        <v>0</v>
      </c>
      <c r="BO36" s="192">
        <v>2430767.1</v>
      </c>
      <c r="BP36" s="192">
        <v>0</v>
      </c>
      <c r="BQ36" s="192">
        <v>4062302.57</v>
      </c>
      <c r="BR36" s="192">
        <v>0</v>
      </c>
      <c r="BS36" s="192">
        <v>0</v>
      </c>
      <c r="BT36" s="192">
        <v>0</v>
      </c>
      <c r="BU36" s="192">
        <v>0</v>
      </c>
      <c r="BV36" s="192">
        <v>0</v>
      </c>
    </row>
    <row r="37" spans="1:74" s="192" customFormat="1" x14ac:dyDescent="0.25">
      <c r="A37" s="192" t="s">
        <v>252</v>
      </c>
      <c r="B37" s="192">
        <v>0</v>
      </c>
      <c r="C37" s="192">
        <v>0</v>
      </c>
      <c r="D37" s="192">
        <v>0</v>
      </c>
      <c r="E37" s="192">
        <v>0</v>
      </c>
      <c r="F37" s="192">
        <v>0</v>
      </c>
      <c r="G37" s="192">
        <v>0</v>
      </c>
      <c r="H37" s="192">
        <v>0</v>
      </c>
      <c r="I37" s="192">
        <v>69462000</v>
      </c>
      <c r="J37" s="192">
        <v>0</v>
      </c>
      <c r="K37" s="192">
        <v>0</v>
      </c>
      <c r="L37" s="192">
        <v>0</v>
      </c>
      <c r="M37" s="192">
        <v>0</v>
      </c>
      <c r="N37" s="192">
        <v>0</v>
      </c>
      <c r="O37" s="192">
        <v>0</v>
      </c>
      <c r="P37" s="192">
        <v>0</v>
      </c>
      <c r="Q37" s="192">
        <v>2184490.69</v>
      </c>
      <c r="R37" s="192">
        <v>0</v>
      </c>
      <c r="S37" s="192">
        <v>0</v>
      </c>
      <c r="T37" s="192">
        <v>0</v>
      </c>
      <c r="U37" s="192">
        <v>0</v>
      </c>
      <c r="V37" s="192">
        <v>0</v>
      </c>
      <c r="W37" s="192">
        <v>0</v>
      </c>
      <c r="X37" s="192">
        <v>0</v>
      </c>
      <c r="Y37" s="192">
        <v>0</v>
      </c>
      <c r="Z37" s="192">
        <v>0</v>
      </c>
      <c r="AA37" s="192">
        <v>0</v>
      </c>
      <c r="AB37" s="192">
        <v>0</v>
      </c>
      <c r="AC37" s="192">
        <v>0</v>
      </c>
      <c r="AD37" s="192">
        <v>0</v>
      </c>
      <c r="AE37" s="192">
        <v>0</v>
      </c>
      <c r="AF37" s="192">
        <v>0</v>
      </c>
      <c r="AG37" s="192">
        <v>0</v>
      </c>
      <c r="AH37" s="192">
        <v>0</v>
      </c>
      <c r="AI37" s="192">
        <v>0</v>
      </c>
      <c r="AJ37" s="192">
        <v>0</v>
      </c>
      <c r="AK37" s="192">
        <v>0</v>
      </c>
      <c r="AL37" s="192">
        <v>0</v>
      </c>
      <c r="AM37" s="192">
        <v>0</v>
      </c>
      <c r="AN37" s="192">
        <v>0</v>
      </c>
      <c r="AO37" s="192">
        <v>0</v>
      </c>
      <c r="AP37" s="192">
        <v>0</v>
      </c>
      <c r="AQ37" s="192">
        <v>0</v>
      </c>
      <c r="AR37" s="192">
        <v>696704.23</v>
      </c>
      <c r="AS37" s="192">
        <v>1586264.14</v>
      </c>
      <c r="AT37" s="192">
        <v>0</v>
      </c>
      <c r="AU37" s="192">
        <v>38272.519999999997</v>
      </c>
      <c r="AV37" s="192">
        <v>3487.73</v>
      </c>
      <c r="AW37" s="192">
        <v>0</v>
      </c>
      <c r="AX37" s="192">
        <v>7983441.4199999999</v>
      </c>
      <c r="AY37" s="192">
        <v>7973599.8899999997</v>
      </c>
      <c r="AZ37" s="192">
        <v>474198.98</v>
      </c>
      <c r="BA37" s="192">
        <v>0</v>
      </c>
      <c r="BB37" s="192">
        <v>211661.48</v>
      </c>
      <c r="BC37" s="192">
        <v>4453120.5599999996</v>
      </c>
      <c r="BD37" s="192">
        <v>4166023.79</v>
      </c>
      <c r="BE37" s="192">
        <v>79382500</v>
      </c>
      <c r="BF37" s="192">
        <v>92978.21</v>
      </c>
      <c r="BG37" s="192">
        <v>15148706.130000001</v>
      </c>
      <c r="BH37" s="192">
        <v>0</v>
      </c>
      <c r="BI37" s="192">
        <v>0</v>
      </c>
      <c r="BJ37" s="192">
        <v>575756.11</v>
      </c>
      <c r="BK37" s="192">
        <v>240251.01</v>
      </c>
      <c r="BL37" s="192">
        <v>0</v>
      </c>
      <c r="BM37" s="192">
        <v>0</v>
      </c>
      <c r="BN37" s="192">
        <v>0</v>
      </c>
      <c r="BO37" s="192">
        <v>0</v>
      </c>
      <c r="BP37" s="192">
        <v>0</v>
      </c>
      <c r="BQ37" s="192">
        <v>0</v>
      </c>
      <c r="BR37" s="192">
        <v>0</v>
      </c>
      <c r="BS37" s="192">
        <v>0</v>
      </c>
      <c r="BT37" s="192">
        <v>300000</v>
      </c>
      <c r="BU37" s="192">
        <v>600181.93999999994</v>
      </c>
      <c r="BV37" s="192">
        <v>0</v>
      </c>
    </row>
    <row r="38" spans="1:74" s="192" customFormat="1" x14ac:dyDescent="0.25">
      <c r="A38" s="192" t="s">
        <v>253</v>
      </c>
      <c r="B38" s="192">
        <v>735288019.25</v>
      </c>
      <c r="C38" s="192">
        <v>726052833.40999997</v>
      </c>
      <c r="D38" s="192">
        <v>90669405.319999993</v>
      </c>
      <c r="E38" s="192">
        <v>1267750117.45</v>
      </c>
      <c r="F38" s="192">
        <v>963809514.69000006</v>
      </c>
      <c r="G38" s="192">
        <v>654323953.01999998</v>
      </c>
      <c r="H38" s="192">
        <v>60357981.219999999</v>
      </c>
      <c r="I38" s="192">
        <v>464554974.81999999</v>
      </c>
      <c r="J38" s="192">
        <v>376001781.76999998</v>
      </c>
      <c r="K38" s="192">
        <v>376001781.76999998</v>
      </c>
      <c r="L38" s="192">
        <v>0</v>
      </c>
      <c r="M38" s="192">
        <v>502603592.68000001</v>
      </c>
      <c r="N38" s="192">
        <v>400598767.07999998</v>
      </c>
      <c r="O38" s="192">
        <v>385198945.75</v>
      </c>
      <c r="P38" s="192">
        <v>0</v>
      </c>
      <c r="Q38" s="192">
        <v>297147898.13999999</v>
      </c>
      <c r="R38" s="192">
        <v>190359596.69999999</v>
      </c>
      <c r="S38" s="192">
        <v>184308280.03</v>
      </c>
      <c r="T38" s="192">
        <v>0</v>
      </c>
      <c r="U38" s="192">
        <v>189716383.08000001</v>
      </c>
      <c r="V38" s="192">
        <v>183312022.63</v>
      </c>
      <c r="W38" s="192">
        <v>182583655.47</v>
      </c>
      <c r="X38" s="192">
        <v>0</v>
      </c>
      <c r="Y38" s="192">
        <v>132586903.59</v>
      </c>
      <c r="Z38" s="192">
        <v>125620078.36</v>
      </c>
      <c r="AA38" s="192">
        <v>125620078.36</v>
      </c>
      <c r="AB38" s="192">
        <v>0</v>
      </c>
      <c r="AC38" s="192">
        <v>164468986.15000001</v>
      </c>
      <c r="AD38" s="192">
        <v>151956956.52000001</v>
      </c>
      <c r="AE38" s="192">
        <v>122703002.23999999</v>
      </c>
      <c r="AF38" s="192">
        <v>443860.2</v>
      </c>
      <c r="AG38" s="192">
        <v>1251907.5</v>
      </c>
      <c r="AH38" s="192">
        <v>2086379.76</v>
      </c>
      <c r="AI38" s="192">
        <v>2035831.41</v>
      </c>
      <c r="AJ38" s="192">
        <v>1216487.5</v>
      </c>
      <c r="AK38" s="192">
        <v>62393747.280000001</v>
      </c>
      <c r="AL38" s="192">
        <v>44696912.25</v>
      </c>
      <c r="AM38" s="192">
        <v>31910106.170000002</v>
      </c>
      <c r="AN38" s="192">
        <v>20693422.670000002</v>
      </c>
      <c r="AO38" s="192">
        <v>276326166.13</v>
      </c>
      <c r="AP38" s="192">
        <v>266389642.91</v>
      </c>
      <c r="AQ38" s="192">
        <v>192270705</v>
      </c>
      <c r="AR38" s="192">
        <v>116129924.91</v>
      </c>
      <c r="AS38" s="192">
        <v>869506787.86000001</v>
      </c>
      <c r="AT38" s="192">
        <v>601719730.91999996</v>
      </c>
      <c r="AU38" s="192">
        <v>435139857.98000002</v>
      </c>
      <c r="AV38" s="192">
        <v>309272797.93000001</v>
      </c>
      <c r="AW38" s="192">
        <v>1134921699.02</v>
      </c>
      <c r="AX38" s="192">
        <v>839247851.35000002</v>
      </c>
      <c r="AY38" s="192">
        <v>479768022.66000003</v>
      </c>
      <c r="AZ38" s="192">
        <v>280016111.45999998</v>
      </c>
      <c r="BA38" s="192">
        <v>1037674533.0700001</v>
      </c>
      <c r="BB38" s="192">
        <v>898525872.25999999</v>
      </c>
      <c r="BC38" s="192">
        <v>434270032.94</v>
      </c>
      <c r="BD38" s="192">
        <v>268278209.61000001</v>
      </c>
      <c r="BE38" s="192">
        <v>961093511.38999999</v>
      </c>
      <c r="BF38" s="192">
        <v>978078878.71000004</v>
      </c>
      <c r="BG38" s="192">
        <v>556147382.76999998</v>
      </c>
      <c r="BH38" s="192">
        <v>243852816.93000001</v>
      </c>
      <c r="BI38" s="192">
        <v>718437687.45000005</v>
      </c>
      <c r="BJ38" s="192">
        <v>538149358.59000003</v>
      </c>
      <c r="BK38" s="192">
        <v>345470737.14999998</v>
      </c>
      <c r="BL38" s="192">
        <v>0</v>
      </c>
      <c r="BM38" s="192">
        <v>798009113.70000005</v>
      </c>
      <c r="BN38" s="192">
        <v>501848695.69999999</v>
      </c>
      <c r="BO38" s="192">
        <v>721105628.05999994</v>
      </c>
      <c r="BP38" s="192">
        <v>624499188.15999997</v>
      </c>
      <c r="BQ38" s="192">
        <v>1301810330</v>
      </c>
      <c r="BR38" s="192">
        <v>543847202.03999996</v>
      </c>
      <c r="BS38" s="192">
        <v>1864260164.6900001</v>
      </c>
      <c r="BT38" s="192">
        <v>2186021251</v>
      </c>
      <c r="BU38" s="192">
        <v>548875583.98000002</v>
      </c>
      <c r="BV38" s="192">
        <v>0</v>
      </c>
    </row>
    <row r="39" spans="1:74" s="192" customFormat="1" x14ac:dyDescent="0.25">
      <c r="A39" s="192" t="s">
        <v>254</v>
      </c>
      <c r="B39" s="192">
        <v>-735288019.25</v>
      </c>
      <c r="C39" s="192">
        <v>-726052833.40999997</v>
      </c>
      <c r="D39" s="192">
        <v>-90669405.319999993</v>
      </c>
      <c r="E39" s="192">
        <v>-587583335.11000001</v>
      </c>
      <c r="F39" s="192">
        <v>-533859514.69</v>
      </c>
      <c r="G39" s="192">
        <v>-484323953.01999998</v>
      </c>
      <c r="H39" s="192">
        <v>-60357981.219999999</v>
      </c>
      <c r="I39" s="192">
        <v>-280741910.69999999</v>
      </c>
      <c r="J39" s="192">
        <v>-376001781.76999998</v>
      </c>
      <c r="K39" s="192">
        <v>-376001781.76999998</v>
      </c>
      <c r="L39" s="192">
        <v>0</v>
      </c>
      <c r="M39" s="192">
        <v>-286688438.01999998</v>
      </c>
      <c r="N39" s="192">
        <v>-185853691.09999999</v>
      </c>
      <c r="O39" s="192">
        <v>-270220502.95999998</v>
      </c>
      <c r="P39" s="192">
        <v>116148521.47</v>
      </c>
      <c r="Q39" s="192">
        <v>-193287158.13999999</v>
      </c>
      <c r="R39" s="192">
        <v>-89998856.700000003</v>
      </c>
      <c r="S39" s="192">
        <v>-134190940.03</v>
      </c>
      <c r="T39" s="192">
        <v>0</v>
      </c>
      <c r="U39" s="192">
        <v>-189716383.08000001</v>
      </c>
      <c r="V39" s="192">
        <v>-183312022.63</v>
      </c>
      <c r="W39" s="192">
        <v>-182583655.47</v>
      </c>
      <c r="X39" s="192">
        <v>0</v>
      </c>
      <c r="Y39" s="192">
        <v>-132586903.59</v>
      </c>
      <c r="Z39" s="192">
        <v>-125620078.36</v>
      </c>
      <c r="AA39" s="192">
        <v>-125620078.36</v>
      </c>
      <c r="AB39" s="192">
        <v>0</v>
      </c>
      <c r="AC39" s="192">
        <v>-80871729.310000002</v>
      </c>
      <c r="AD39" s="192">
        <v>-75321186.040000007</v>
      </c>
      <c r="AE39" s="192">
        <v>-46067231.759999998</v>
      </c>
      <c r="AF39" s="192">
        <v>76191910.280000001</v>
      </c>
      <c r="AG39" s="192">
        <v>7787447.3799999999</v>
      </c>
      <c r="AH39" s="192">
        <v>-2086379.76</v>
      </c>
      <c r="AI39" s="192">
        <v>-2035831.41</v>
      </c>
      <c r="AJ39" s="192">
        <v>-1216487.5</v>
      </c>
      <c r="AK39" s="192">
        <v>-38493747.280000001</v>
      </c>
      <c r="AL39" s="192">
        <v>-20796912.25</v>
      </c>
      <c r="AM39" s="192">
        <v>-8010106.1699999999</v>
      </c>
      <c r="AN39" s="192">
        <v>-1793422.67</v>
      </c>
      <c r="AO39" s="192">
        <v>-79416166.129999995</v>
      </c>
      <c r="AP39" s="192">
        <v>-83489642.909999996</v>
      </c>
      <c r="AQ39" s="192">
        <v>-9370705</v>
      </c>
      <c r="AR39" s="192">
        <v>17191806.850000001</v>
      </c>
      <c r="AS39" s="192">
        <v>-458277493.05000001</v>
      </c>
      <c r="AT39" s="192">
        <v>-228001037.49000001</v>
      </c>
      <c r="AU39" s="192">
        <v>-217702659.59</v>
      </c>
      <c r="AV39" s="192">
        <v>-200569856.78</v>
      </c>
      <c r="AW39" s="192">
        <v>-178672387.02000001</v>
      </c>
      <c r="AX39" s="192">
        <v>-37060995.020000003</v>
      </c>
      <c r="AY39" s="192">
        <v>46188222.079999998</v>
      </c>
      <c r="AZ39" s="192">
        <v>10710146.529999999</v>
      </c>
      <c r="BA39" s="192">
        <v>-21606902.670000002</v>
      </c>
      <c r="BB39" s="192">
        <v>17152429.489999998</v>
      </c>
      <c r="BC39" s="192">
        <v>-557748.91</v>
      </c>
      <c r="BD39" s="192">
        <v>-4689074.62</v>
      </c>
      <c r="BE39" s="192">
        <v>-48803511.390000001</v>
      </c>
      <c r="BF39" s="192">
        <v>-55316193.469999999</v>
      </c>
      <c r="BG39" s="192">
        <v>-21532730.09</v>
      </c>
      <c r="BH39" s="192">
        <v>-15014458.07</v>
      </c>
      <c r="BI39" s="192">
        <v>82852846.150000006</v>
      </c>
      <c r="BJ39" s="192">
        <v>37370881.409999996</v>
      </c>
      <c r="BK39" s="192">
        <v>-40350497.149999999</v>
      </c>
      <c r="BL39" s="192">
        <v>0</v>
      </c>
      <c r="BM39" s="192">
        <v>60280886.299999997</v>
      </c>
      <c r="BN39" s="192">
        <v>69351304.299999997</v>
      </c>
      <c r="BO39" s="192">
        <v>-91905628.060000002</v>
      </c>
      <c r="BP39" s="192">
        <v>-3819188.16</v>
      </c>
      <c r="BQ39" s="192">
        <v>-21954330</v>
      </c>
      <c r="BR39" s="192">
        <v>293493042</v>
      </c>
      <c r="BS39" s="192">
        <v>9884971.0099999998</v>
      </c>
      <c r="BT39" s="192">
        <v>-116479291.3</v>
      </c>
      <c r="BU39" s="192">
        <v>-5621925.0300000003</v>
      </c>
      <c r="BV39" s="192">
        <v>0</v>
      </c>
    </row>
    <row r="40" spans="1:74" s="192" customFormat="1" x14ac:dyDescent="0.25">
      <c r="A40" s="192" t="s">
        <v>255</v>
      </c>
      <c r="B40" s="192">
        <v>283110.3</v>
      </c>
      <c r="C40" s="192">
        <v>-2843992.2</v>
      </c>
      <c r="D40" s="192">
        <v>-6380666.7800000003</v>
      </c>
      <c r="E40" s="192">
        <v>-41663902.579999998</v>
      </c>
      <c r="F40" s="192">
        <v>0</v>
      </c>
      <c r="G40" s="192">
        <v>0</v>
      </c>
      <c r="H40" s="192">
        <v>0</v>
      </c>
      <c r="I40" s="192">
        <v>23109389.949999999</v>
      </c>
      <c r="J40" s="192">
        <v>0</v>
      </c>
      <c r="K40" s="192">
        <v>0</v>
      </c>
      <c r="L40" s="192">
        <v>0</v>
      </c>
      <c r="M40" s="192">
        <v>8707040.5600000005</v>
      </c>
      <c r="N40" s="192">
        <v>0</v>
      </c>
      <c r="O40" s="192">
        <v>0</v>
      </c>
      <c r="P40" s="192">
        <v>0</v>
      </c>
      <c r="Q40" s="192">
        <v>110024.19</v>
      </c>
      <c r="R40" s="192">
        <v>0</v>
      </c>
      <c r="S40" s="192">
        <v>0</v>
      </c>
      <c r="T40" s="192">
        <v>0</v>
      </c>
      <c r="U40" s="192">
        <v>-938582.67</v>
      </c>
      <c r="V40" s="192">
        <v>0</v>
      </c>
      <c r="W40" s="192">
        <v>0</v>
      </c>
      <c r="X40" s="192">
        <v>0</v>
      </c>
      <c r="Y40" s="192">
        <v>-76568.97</v>
      </c>
      <c r="Z40" s="192">
        <v>0</v>
      </c>
      <c r="AA40" s="192">
        <v>0</v>
      </c>
      <c r="AB40" s="192">
        <v>0</v>
      </c>
      <c r="AC40" s="192">
        <v>-1606613.13</v>
      </c>
      <c r="AD40" s="192">
        <v>0</v>
      </c>
      <c r="AE40" s="192">
        <v>0</v>
      </c>
      <c r="AF40" s="192">
        <v>0</v>
      </c>
      <c r="AG40" s="192">
        <v>-761500</v>
      </c>
      <c r="AH40" s="192">
        <v>0</v>
      </c>
      <c r="AI40" s="192">
        <v>0</v>
      </c>
      <c r="AJ40" s="192">
        <v>0</v>
      </c>
      <c r="AK40" s="192">
        <v>0</v>
      </c>
      <c r="AL40" s="192">
        <v>0</v>
      </c>
      <c r="AM40" s="192">
        <v>0</v>
      </c>
      <c r="AN40" s="192">
        <v>0</v>
      </c>
      <c r="AO40" s="192">
        <v>0</v>
      </c>
      <c r="AP40" s="192">
        <v>-4000000</v>
      </c>
      <c r="AQ40" s="192">
        <v>-4000000</v>
      </c>
      <c r="AR40" s="192">
        <v>-3040918.5</v>
      </c>
      <c r="AS40" s="192">
        <v>-7040231.7999999998</v>
      </c>
      <c r="AT40" s="192">
        <v>-2306994.71</v>
      </c>
      <c r="AU40" s="192">
        <v>-2365891.85</v>
      </c>
      <c r="AV40" s="192">
        <v>143422.82999999999</v>
      </c>
      <c r="AW40" s="192">
        <v>-11303328.699999999</v>
      </c>
      <c r="AX40" s="192">
        <v>-2778359.28</v>
      </c>
      <c r="AY40" s="192">
        <v>-938079</v>
      </c>
      <c r="AZ40" s="192">
        <v>273280.65000000002</v>
      </c>
      <c r="BA40" s="192">
        <v>-6605958.5999999996</v>
      </c>
      <c r="BB40" s="192">
        <v>-3483479.96</v>
      </c>
      <c r="BC40" s="192">
        <v>307280.52</v>
      </c>
      <c r="BD40" s="192">
        <v>159546.78</v>
      </c>
      <c r="BE40" s="192">
        <v>586385.55000000005</v>
      </c>
      <c r="BF40" s="192">
        <v>228716</v>
      </c>
      <c r="BG40" s="192">
        <v>161055.01</v>
      </c>
      <c r="BH40" s="192">
        <v>128253.75</v>
      </c>
      <c r="BI40" s="192">
        <v>-60484.81</v>
      </c>
      <c r="BJ40" s="192">
        <v>383742.21</v>
      </c>
      <c r="BK40" s="192">
        <v>359357.19</v>
      </c>
      <c r="BL40" s="192">
        <v>0</v>
      </c>
      <c r="BM40" s="192">
        <v>184029.52</v>
      </c>
      <c r="BN40" s="192">
        <v>445907.8</v>
      </c>
      <c r="BO40" s="192">
        <v>-64534.22</v>
      </c>
      <c r="BP40" s="192">
        <v>0</v>
      </c>
      <c r="BQ40" s="192">
        <v>291447.09000000003</v>
      </c>
      <c r="BR40" s="192">
        <v>142780.37</v>
      </c>
      <c r="BS40" s="192">
        <v>-104939.72</v>
      </c>
      <c r="BT40" s="192">
        <v>-438300.97</v>
      </c>
      <c r="BU40" s="192">
        <v>-2892224.81</v>
      </c>
      <c r="BV40" s="192">
        <v>0</v>
      </c>
    </row>
    <row r="41" spans="1:74" s="192" customFormat="1" x14ac:dyDescent="0.25">
      <c r="A41" s="192" t="s">
        <v>256</v>
      </c>
      <c r="B41" s="192">
        <v>-421344095.87</v>
      </c>
      <c r="C41" s="192">
        <v>78417285.760000005</v>
      </c>
      <c r="D41" s="192">
        <v>-323025276.17000002</v>
      </c>
      <c r="E41" s="192">
        <v>-2754200845.5</v>
      </c>
      <c r="F41" s="192">
        <v>-1299623100.8099999</v>
      </c>
      <c r="G41" s="192">
        <v>-1074707358.29</v>
      </c>
      <c r="H41" s="192">
        <v>-260480443.75999999</v>
      </c>
      <c r="I41" s="192">
        <v>1379004588.52</v>
      </c>
      <c r="J41" s="192">
        <v>-831699170.79999995</v>
      </c>
      <c r="K41" s="192">
        <v>-873345664.77999997</v>
      </c>
      <c r="L41" s="192">
        <v>-633063180.75</v>
      </c>
      <c r="M41" s="192">
        <v>1275945523.8299999</v>
      </c>
      <c r="N41" s="192">
        <v>-114910099.65000001</v>
      </c>
      <c r="O41" s="192">
        <v>-412304651.44</v>
      </c>
      <c r="P41" s="192">
        <v>-204623391.91999999</v>
      </c>
      <c r="Q41" s="192">
        <v>-41465061.670000002</v>
      </c>
      <c r="R41" s="192">
        <v>747016484.48000002</v>
      </c>
      <c r="S41" s="192">
        <v>556418288.28999996</v>
      </c>
      <c r="T41" s="192">
        <v>80729481.230000004</v>
      </c>
      <c r="U41" s="192">
        <v>265078649.53</v>
      </c>
      <c r="V41" s="192">
        <v>133119240.31999999</v>
      </c>
      <c r="W41" s="192">
        <v>148394603.65000001</v>
      </c>
      <c r="X41" s="192">
        <v>25379094.030000001</v>
      </c>
      <c r="Y41" s="192">
        <v>-986527085.57000005</v>
      </c>
      <c r="Z41" s="192">
        <v>420308837.39999998</v>
      </c>
      <c r="AA41" s="192">
        <v>707928551.78999996</v>
      </c>
      <c r="AB41" s="192">
        <v>-53647059.109999999</v>
      </c>
      <c r="AC41" s="192">
        <v>160630107.63999999</v>
      </c>
      <c r="AD41" s="192">
        <v>527166746.50999999</v>
      </c>
      <c r="AE41" s="192">
        <v>-678843217.70000005</v>
      </c>
      <c r="AF41" s="192">
        <v>-668850880.62</v>
      </c>
      <c r="AG41" s="192">
        <v>573023659.27999997</v>
      </c>
      <c r="AH41" s="192">
        <v>934349336.97000003</v>
      </c>
      <c r="AI41" s="192">
        <v>443397289.58999997</v>
      </c>
      <c r="AJ41" s="192">
        <v>-396115266.20999998</v>
      </c>
      <c r="AK41" s="192">
        <v>234450760.47</v>
      </c>
      <c r="AL41" s="192">
        <v>381831684.01999998</v>
      </c>
      <c r="AM41" s="192">
        <v>130730092.12</v>
      </c>
      <c r="AN41" s="192">
        <v>19786462.059999999</v>
      </c>
      <c r="AO41" s="192">
        <v>-289614881.72000003</v>
      </c>
      <c r="AP41" s="192">
        <v>-482762154.83999997</v>
      </c>
      <c r="AQ41" s="192">
        <v>-41686481.219999999</v>
      </c>
      <c r="AR41" s="192">
        <v>-158952178.34</v>
      </c>
      <c r="AS41" s="192">
        <v>161291725.18000001</v>
      </c>
      <c r="AT41" s="192">
        <v>172322869.47999999</v>
      </c>
      <c r="AU41" s="192">
        <v>-80329073.849999994</v>
      </c>
      <c r="AV41" s="192">
        <v>-204280787.31999999</v>
      </c>
      <c r="AW41" s="192">
        <v>-114753011.34</v>
      </c>
      <c r="AX41" s="192">
        <v>-233497428.22</v>
      </c>
      <c r="AY41" s="192">
        <v>-14484394.02</v>
      </c>
      <c r="AZ41" s="192">
        <v>14469678.24</v>
      </c>
      <c r="BA41" s="192">
        <v>33538460.050000001</v>
      </c>
      <c r="BB41" s="192">
        <v>-280094097.68000001</v>
      </c>
      <c r="BC41" s="192">
        <v>-281075870.07999998</v>
      </c>
      <c r="BD41" s="192">
        <v>-104511310.31</v>
      </c>
      <c r="BE41" s="192">
        <v>-224356520.21000001</v>
      </c>
      <c r="BF41" s="192">
        <v>-265964418.68000001</v>
      </c>
      <c r="BG41" s="192">
        <v>-70999414.959999993</v>
      </c>
      <c r="BH41" s="192">
        <v>-61953798.57</v>
      </c>
      <c r="BI41" s="192">
        <v>281558637.29000002</v>
      </c>
      <c r="BJ41" s="192">
        <v>58305981.659999996</v>
      </c>
      <c r="BK41" s="192">
        <v>58520441.5</v>
      </c>
      <c r="BL41" s="192">
        <v>0</v>
      </c>
      <c r="BM41" s="192">
        <v>77412787.120000005</v>
      </c>
      <c r="BN41" s="192">
        <v>79536654.280000001</v>
      </c>
      <c r="BO41" s="192">
        <v>-46857806.07</v>
      </c>
      <c r="BP41" s="192">
        <v>30456771.800000001</v>
      </c>
      <c r="BQ41" s="192">
        <v>7573566.9500000002</v>
      </c>
      <c r="BR41" s="192">
        <v>382696456.54000002</v>
      </c>
      <c r="BS41" s="192">
        <v>98267398.269999996</v>
      </c>
      <c r="BT41" s="192">
        <v>-415428457.39999998</v>
      </c>
      <c r="BU41" s="192">
        <v>-147727476.97</v>
      </c>
      <c r="BV41" s="192">
        <v>0</v>
      </c>
    </row>
    <row r="42" spans="1:74" s="192" customFormat="1" x14ac:dyDescent="0.25">
      <c r="A42" s="192" t="s">
        <v>257</v>
      </c>
      <c r="B42" s="192">
        <v>1417489071.71</v>
      </c>
      <c r="C42" s="192">
        <v>1417489071.71</v>
      </c>
      <c r="D42" s="192">
        <v>1417489071.71</v>
      </c>
      <c r="E42" s="192">
        <v>4171689917.21</v>
      </c>
      <c r="F42" s="192">
        <v>4171689917.21</v>
      </c>
      <c r="G42" s="192">
        <v>4171689917.21</v>
      </c>
      <c r="H42" s="192">
        <v>4171689917.21</v>
      </c>
      <c r="I42" s="192">
        <v>2792685328.6900001</v>
      </c>
      <c r="J42" s="192">
        <v>2792685328.6900001</v>
      </c>
      <c r="K42" s="192">
        <v>2792685328.6900001</v>
      </c>
      <c r="L42" s="192">
        <v>2792685328.6900001</v>
      </c>
      <c r="M42" s="192">
        <v>1516739804.8599999</v>
      </c>
      <c r="N42" s="192">
        <v>1516739804.8599999</v>
      </c>
      <c r="O42" s="192">
        <v>1516739804.8599999</v>
      </c>
      <c r="P42" s="192">
        <v>1516739804.8599999</v>
      </c>
      <c r="Q42" s="192">
        <v>1558204866.53</v>
      </c>
      <c r="R42" s="192">
        <v>1558204866.53</v>
      </c>
      <c r="S42" s="192">
        <v>1558204866.53</v>
      </c>
      <c r="T42" s="192">
        <v>1543513880.6300001</v>
      </c>
      <c r="U42" s="192">
        <v>1293126217</v>
      </c>
      <c r="V42" s="192">
        <v>1293126217</v>
      </c>
      <c r="W42" s="192">
        <v>1293126217</v>
      </c>
      <c r="X42" s="192">
        <v>1293126217</v>
      </c>
      <c r="Y42" s="192">
        <v>2279653302.5700002</v>
      </c>
      <c r="Z42" s="192">
        <v>2279653302.5700002</v>
      </c>
      <c r="AA42" s="192">
        <v>2279653302.5700002</v>
      </c>
      <c r="AB42" s="192">
        <v>2279653302.5700002</v>
      </c>
      <c r="AC42" s="192">
        <v>2119023194.9300001</v>
      </c>
      <c r="AD42" s="192">
        <v>2119023194.9300001</v>
      </c>
      <c r="AE42" s="192">
        <v>2119023194.9300001</v>
      </c>
      <c r="AF42" s="192">
        <v>2119023194.9300001</v>
      </c>
      <c r="AG42" s="192">
        <v>1545999535.6500001</v>
      </c>
      <c r="AH42" s="192">
        <v>852448970.80999994</v>
      </c>
      <c r="AI42" s="192">
        <v>852448970.80999994</v>
      </c>
      <c r="AJ42" s="192">
        <v>852448970.80999994</v>
      </c>
      <c r="AK42" s="192">
        <v>617998210.34000003</v>
      </c>
      <c r="AL42" s="192">
        <v>617998210.34000003</v>
      </c>
      <c r="AM42" s="192">
        <v>617998210.34000003</v>
      </c>
      <c r="AN42" s="192">
        <v>617998210.34000003</v>
      </c>
      <c r="AO42" s="192">
        <v>907613092.05999994</v>
      </c>
      <c r="AP42" s="192">
        <v>907613092.05999994</v>
      </c>
      <c r="AQ42" s="192">
        <v>715625479.46000004</v>
      </c>
      <c r="AR42" s="192">
        <v>907613092.05999994</v>
      </c>
      <c r="AS42" s="192">
        <v>746321366.88</v>
      </c>
      <c r="AT42" s="192">
        <v>658570906.75999999</v>
      </c>
      <c r="AU42" s="192">
        <v>647790307.28999996</v>
      </c>
      <c r="AV42" s="192">
        <v>671152386.09000003</v>
      </c>
      <c r="AW42" s="192">
        <v>762543318.63</v>
      </c>
      <c r="AX42" s="192">
        <v>762543318.63</v>
      </c>
      <c r="AY42" s="192">
        <v>762543318.63</v>
      </c>
      <c r="AZ42" s="192">
        <v>762543318.63</v>
      </c>
      <c r="BA42" s="192">
        <v>729004858.58000004</v>
      </c>
      <c r="BB42" s="192">
        <v>713263532.11000001</v>
      </c>
      <c r="BC42" s="192">
        <v>713263532.11000001</v>
      </c>
      <c r="BD42" s="192">
        <v>859765858.58000004</v>
      </c>
      <c r="BE42" s="192">
        <v>937620052.32000005</v>
      </c>
      <c r="BF42" s="192">
        <v>944988552.32000005</v>
      </c>
      <c r="BG42" s="192">
        <v>944988552.32000005</v>
      </c>
      <c r="BH42" s="192">
        <v>944988552.32000005</v>
      </c>
      <c r="BI42" s="192">
        <v>677279408.63999999</v>
      </c>
      <c r="BJ42" s="192">
        <v>663429915.02999997</v>
      </c>
      <c r="BK42" s="192">
        <v>663429915.02999997</v>
      </c>
      <c r="BL42" s="192">
        <v>0</v>
      </c>
      <c r="BM42" s="192">
        <v>599866621.51999998</v>
      </c>
      <c r="BN42" s="192">
        <v>637004904.38999999</v>
      </c>
      <c r="BO42" s="192">
        <v>664362710.46000004</v>
      </c>
      <c r="BP42" s="192">
        <v>664362710.46000004</v>
      </c>
      <c r="BQ42" s="192">
        <v>656789143.50999999</v>
      </c>
      <c r="BR42" s="192">
        <v>656789143.50999999</v>
      </c>
      <c r="BS42" s="192">
        <v>558521745.24000001</v>
      </c>
      <c r="BT42" s="192">
        <v>964470015.29999995</v>
      </c>
      <c r="BU42" s="192">
        <v>964470015.25</v>
      </c>
      <c r="BV42" s="192">
        <v>0</v>
      </c>
    </row>
    <row r="43" spans="1:74" s="192" customFormat="1" x14ac:dyDescent="0.25">
      <c r="A43" s="192" t="s">
        <v>258</v>
      </c>
      <c r="B43" s="192">
        <v>996144975.84000003</v>
      </c>
      <c r="C43" s="192">
        <v>1495906357.47</v>
      </c>
      <c r="D43" s="192">
        <v>1094463795.54</v>
      </c>
      <c r="E43" s="192">
        <v>1417489071.71</v>
      </c>
      <c r="F43" s="192">
        <v>2872066816.4000001</v>
      </c>
      <c r="G43" s="192">
        <v>3096982558.9200001</v>
      </c>
      <c r="H43" s="192">
        <v>3911209473.4499998</v>
      </c>
      <c r="I43" s="192">
        <v>4171689917.21</v>
      </c>
      <c r="J43" s="192">
        <v>1960986157.8900001</v>
      </c>
      <c r="K43" s="192">
        <v>1919339663.9100001</v>
      </c>
      <c r="L43" s="192">
        <v>2159622147.9400001</v>
      </c>
      <c r="M43" s="192">
        <v>2792685328.6900001</v>
      </c>
      <c r="N43" s="192">
        <v>1401829705.21</v>
      </c>
      <c r="O43" s="192">
        <v>1104435153.4200001</v>
      </c>
      <c r="P43" s="192">
        <v>1312116412.9400001</v>
      </c>
      <c r="Q43" s="192">
        <v>1516739804.8599999</v>
      </c>
      <c r="R43" s="192">
        <v>2305221351.0100002</v>
      </c>
      <c r="S43" s="192">
        <v>2114623154.8199999</v>
      </c>
      <c r="T43" s="192">
        <v>1624243361.8599999</v>
      </c>
      <c r="U43" s="192">
        <v>1558204866.53</v>
      </c>
      <c r="V43" s="192">
        <v>1426245457.3199999</v>
      </c>
      <c r="W43" s="192">
        <v>1441520820.6500001</v>
      </c>
      <c r="X43" s="192">
        <v>1318505311.03</v>
      </c>
      <c r="Y43" s="192">
        <v>1293126217</v>
      </c>
      <c r="Z43" s="192">
        <v>2699962139.9699998</v>
      </c>
      <c r="AA43" s="192">
        <v>2987581854.3600001</v>
      </c>
      <c r="AB43" s="192">
        <v>2226006243.46</v>
      </c>
      <c r="AC43" s="192">
        <v>2279653302.5700002</v>
      </c>
      <c r="AD43" s="192">
        <v>2646189941.4400001</v>
      </c>
      <c r="AE43" s="192">
        <v>1440179977.23</v>
      </c>
      <c r="AF43" s="192">
        <v>1450172314.3099999</v>
      </c>
      <c r="AG43" s="192">
        <v>2119023194.9300001</v>
      </c>
      <c r="AH43" s="192">
        <v>1786798307.78</v>
      </c>
      <c r="AI43" s="192">
        <v>1295846260.4000001</v>
      </c>
      <c r="AJ43" s="192">
        <v>456333704.60000002</v>
      </c>
      <c r="AK43" s="192">
        <v>852448970.80999994</v>
      </c>
      <c r="AL43" s="192">
        <v>999829894.36000001</v>
      </c>
      <c r="AM43" s="192">
        <v>748728302.46000004</v>
      </c>
      <c r="AN43" s="192">
        <v>637784672.39999998</v>
      </c>
      <c r="AO43" s="192">
        <v>617998210.34000003</v>
      </c>
      <c r="AP43" s="192">
        <v>424850937.22000003</v>
      </c>
      <c r="AQ43" s="192">
        <v>673938998.24000001</v>
      </c>
      <c r="AR43" s="192">
        <v>748660913.72000003</v>
      </c>
      <c r="AS43" s="192">
        <v>907613092.05999994</v>
      </c>
      <c r="AT43" s="192">
        <v>830893776.24000001</v>
      </c>
      <c r="AU43" s="192">
        <v>567461233.44000006</v>
      </c>
      <c r="AV43" s="192">
        <v>466871598.76999998</v>
      </c>
      <c r="AW43" s="192">
        <v>647790307.28999996</v>
      </c>
      <c r="AX43" s="192">
        <v>529045890.41000003</v>
      </c>
      <c r="AY43" s="192">
        <v>748058924.61000001</v>
      </c>
      <c r="AZ43" s="192">
        <v>777012996.87</v>
      </c>
      <c r="BA43" s="192">
        <v>762543318.63</v>
      </c>
      <c r="BB43" s="192">
        <v>433169434.43000001</v>
      </c>
      <c r="BC43" s="192">
        <v>432187662.02999997</v>
      </c>
      <c r="BD43" s="192">
        <v>755254548.26999998</v>
      </c>
      <c r="BE43" s="192">
        <v>713263532.11000001</v>
      </c>
      <c r="BF43" s="192">
        <v>679024133.63999999</v>
      </c>
      <c r="BG43" s="192">
        <v>873989137.36000001</v>
      </c>
      <c r="BH43" s="192">
        <v>883034753.75</v>
      </c>
      <c r="BI43" s="192">
        <v>944988552.32000005</v>
      </c>
      <c r="BJ43" s="192">
        <v>721735896.69000006</v>
      </c>
      <c r="BK43" s="192">
        <v>721950356.52999997</v>
      </c>
      <c r="BL43" s="192">
        <v>0</v>
      </c>
      <c r="BM43" s="192">
        <v>677279408.63999999</v>
      </c>
      <c r="BN43" s="192">
        <v>716541558.66999996</v>
      </c>
      <c r="BO43" s="192">
        <v>617504904.38999999</v>
      </c>
      <c r="BP43" s="192">
        <v>694819482.25999999</v>
      </c>
      <c r="BQ43" s="192">
        <v>664362710.46000004</v>
      </c>
      <c r="BR43" s="192">
        <v>1039485600.05</v>
      </c>
      <c r="BS43" s="192">
        <v>656789143.50999999</v>
      </c>
      <c r="BT43" s="192">
        <v>549041557.79999995</v>
      </c>
      <c r="BU43" s="192">
        <v>816742538.27999997</v>
      </c>
      <c r="BV43" s="192">
        <v>0</v>
      </c>
    </row>
    <row r="44" spans="1:74" s="192" customFormat="1" x14ac:dyDescent="0.25">
      <c r="A44" s="192" t="s">
        <v>259</v>
      </c>
    </row>
    <row r="45" spans="1:74" s="192" customFormat="1" x14ac:dyDescent="0.25">
      <c r="A45" s="192" t="s">
        <v>260</v>
      </c>
      <c r="B45" s="192">
        <v>0</v>
      </c>
      <c r="C45" s="192">
        <v>1003464509.61</v>
      </c>
      <c r="D45" s="192">
        <v>0</v>
      </c>
      <c r="E45" s="192">
        <v>1708420285.75</v>
      </c>
      <c r="F45" s="192">
        <v>0</v>
      </c>
      <c r="G45" s="192">
        <v>832760250.00999999</v>
      </c>
      <c r="H45" s="192">
        <v>0</v>
      </c>
      <c r="I45" s="192">
        <v>1342775261.8800001</v>
      </c>
      <c r="J45" s="192">
        <v>0</v>
      </c>
      <c r="K45" s="192">
        <v>664923275.70000005</v>
      </c>
      <c r="L45" s="192">
        <v>0</v>
      </c>
      <c r="M45" s="192">
        <v>1053124786.15</v>
      </c>
      <c r="N45" s="192">
        <v>0</v>
      </c>
      <c r="O45" s="192">
        <v>498509022.06</v>
      </c>
      <c r="P45" s="192">
        <v>0</v>
      </c>
      <c r="Q45" s="192">
        <v>790826104.30999994</v>
      </c>
      <c r="R45" s="192">
        <v>0</v>
      </c>
      <c r="S45" s="192">
        <v>350363717</v>
      </c>
      <c r="T45" s="192">
        <v>0</v>
      </c>
      <c r="U45" s="192">
        <v>474757699.79000002</v>
      </c>
      <c r="V45" s="192">
        <v>0</v>
      </c>
      <c r="W45" s="192">
        <v>235920464.22999999</v>
      </c>
      <c r="X45" s="192">
        <v>0</v>
      </c>
      <c r="Y45" s="192">
        <v>378836167.45999998</v>
      </c>
      <c r="Z45" s="192">
        <v>0</v>
      </c>
      <c r="AA45" s="192">
        <v>234142192.34999999</v>
      </c>
      <c r="AB45" s="192">
        <v>0</v>
      </c>
      <c r="AC45" s="192">
        <v>538564751.55999994</v>
      </c>
      <c r="AD45" s="192">
        <v>0</v>
      </c>
      <c r="AE45" s="192">
        <v>333304792.63</v>
      </c>
      <c r="AF45" s="192">
        <v>0</v>
      </c>
      <c r="AG45" s="192">
        <v>609738014.45000005</v>
      </c>
      <c r="AH45" s="192">
        <v>0</v>
      </c>
      <c r="AI45" s="192">
        <v>181540671.74000001</v>
      </c>
      <c r="AJ45" s="192">
        <v>0</v>
      </c>
      <c r="AK45" s="192">
        <v>221693429.59</v>
      </c>
      <c r="AL45" s="192">
        <v>0</v>
      </c>
      <c r="AM45" s="192">
        <v>0</v>
      </c>
      <c r="AN45" s="192">
        <v>0</v>
      </c>
      <c r="AO45" s="192">
        <v>0</v>
      </c>
      <c r="AP45" s="192">
        <v>0</v>
      </c>
      <c r="AQ45" s="192">
        <v>70799486.950000003</v>
      </c>
      <c r="AR45" s="192">
        <v>0</v>
      </c>
      <c r="AS45" s="192">
        <v>346911201.54000002</v>
      </c>
      <c r="AT45" s="192">
        <v>0</v>
      </c>
      <c r="AU45" s="192">
        <v>0</v>
      </c>
      <c r="AV45" s="192">
        <v>0</v>
      </c>
      <c r="AW45" s="192">
        <v>41345115.280000001</v>
      </c>
      <c r="AX45" s="192">
        <v>32886418.739999998</v>
      </c>
      <c r="AY45" s="192">
        <v>24890170.920000002</v>
      </c>
      <c r="AZ45" s="192">
        <v>12362427.52</v>
      </c>
      <c r="BA45" s="192">
        <v>40101475.960000001</v>
      </c>
      <c r="BB45" s="192">
        <v>22565354.690000001</v>
      </c>
      <c r="BC45" s="192">
        <v>18985282.129999999</v>
      </c>
      <c r="BD45" s="192">
        <v>11986709.380000001</v>
      </c>
      <c r="BE45" s="192">
        <v>39036607.579999998</v>
      </c>
      <c r="BF45" s="192">
        <v>30509464.09</v>
      </c>
      <c r="BG45" s="192">
        <v>28552602.010000002</v>
      </c>
      <c r="BH45" s="192">
        <v>9948354.8900000006</v>
      </c>
      <c r="BI45" s="192">
        <v>35990311.109999999</v>
      </c>
      <c r="BJ45" s="192">
        <v>70393977.060000002</v>
      </c>
      <c r="BK45" s="192">
        <v>56484530.990000002</v>
      </c>
      <c r="BL45" s="192">
        <v>0</v>
      </c>
      <c r="BM45" s="192">
        <v>-564803384.45000005</v>
      </c>
      <c r="BN45" s="192">
        <v>16285055.09</v>
      </c>
      <c r="BO45" s="192">
        <v>26830095.079999998</v>
      </c>
      <c r="BP45" s="192">
        <v>88277384.829999998</v>
      </c>
      <c r="BQ45" s="192">
        <v>188217652.5</v>
      </c>
      <c r="BR45" s="192">
        <v>114454067.56</v>
      </c>
      <c r="BS45" s="192">
        <v>209390268.69</v>
      </c>
      <c r="BT45" s="192">
        <v>224723584.80000001</v>
      </c>
      <c r="BU45" s="192">
        <v>130447414.59999999</v>
      </c>
      <c r="BV45" s="192">
        <v>0</v>
      </c>
    </row>
    <row r="46" spans="1:74" s="192" customFormat="1" x14ac:dyDescent="0.25">
      <c r="A46" s="192" t="s">
        <v>187</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-5499490.4000000004</v>
      </c>
      <c r="AX46" s="192">
        <v>5063552.01</v>
      </c>
      <c r="AY46" s="192">
        <v>3156448.38</v>
      </c>
      <c r="AZ46" s="192">
        <v>839916.08</v>
      </c>
      <c r="BA46" s="192">
        <v>7414098.2199999997</v>
      </c>
      <c r="BB46" s="192">
        <v>1521553.62</v>
      </c>
      <c r="BC46" s="192">
        <v>2612840.2599999998</v>
      </c>
      <c r="BD46" s="192">
        <v>1246928.1200000001</v>
      </c>
      <c r="BE46" s="192">
        <v>4401945.7</v>
      </c>
      <c r="BF46" s="192">
        <v>9116597.0299999993</v>
      </c>
      <c r="BG46" s="192">
        <v>5355377.12</v>
      </c>
      <c r="BH46" s="192">
        <v>-1681036.25</v>
      </c>
      <c r="BI46" s="192">
        <v>11596576.359999999</v>
      </c>
      <c r="BJ46" s="192">
        <v>-36513772.890000001</v>
      </c>
      <c r="BK46" s="192">
        <v>-35801527.810000002</v>
      </c>
      <c r="BL46" s="192">
        <v>0</v>
      </c>
      <c r="BM46" s="192">
        <v>-27169453.210000001</v>
      </c>
      <c r="BN46" s="192">
        <v>4622315.62</v>
      </c>
      <c r="BO46" s="192">
        <v>1710844.97</v>
      </c>
      <c r="BP46" s="192">
        <v>3308787.58</v>
      </c>
      <c r="BQ46" s="192">
        <v>4924262.54</v>
      </c>
      <c r="BR46" s="192">
        <v>4480423.41</v>
      </c>
      <c r="BS46" s="192">
        <v>7222880.5999999996</v>
      </c>
      <c r="BT46" s="192">
        <v>8551726.1699999999</v>
      </c>
      <c r="BU46" s="192">
        <v>0</v>
      </c>
      <c r="BV46" s="192">
        <v>0</v>
      </c>
    </row>
    <row r="47" spans="1:74" s="192" customFormat="1" x14ac:dyDescent="0.25">
      <c r="A47" s="192" t="s">
        <v>261</v>
      </c>
      <c r="B47" s="192">
        <v>0</v>
      </c>
      <c r="C47" s="192">
        <v>0</v>
      </c>
      <c r="D47" s="192">
        <v>0</v>
      </c>
      <c r="E47" s="192">
        <v>0</v>
      </c>
      <c r="F47" s="192">
        <v>0</v>
      </c>
      <c r="G47" s="192">
        <v>0</v>
      </c>
      <c r="H47" s="192">
        <v>0</v>
      </c>
      <c r="I47" s="192">
        <v>0</v>
      </c>
      <c r="J47" s="192">
        <v>0</v>
      </c>
      <c r="K47" s="192">
        <v>0</v>
      </c>
      <c r="L47" s="192">
        <v>0</v>
      </c>
      <c r="M47" s="192">
        <v>0</v>
      </c>
      <c r="N47" s="192">
        <v>0</v>
      </c>
      <c r="O47" s="192">
        <v>0</v>
      </c>
      <c r="P47" s="192">
        <v>0</v>
      </c>
      <c r="Q47" s="192">
        <v>0</v>
      </c>
      <c r="R47" s="192">
        <v>0</v>
      </c>
      <c r="S47" s="192">
        <v>0</v>
      </c>
      <c r="T47" s="192">
        <v>0</v>
      </c>
      <c r="U47" s="192">
        <v>0</v>
      </c>
      <c r="V47" s="192">
        <v>0</v>
      </c>
      <c r="W47" s="192">
        <v>0</v>
      </c>
      <c r="X47" s="192">
        <v>0</v>
      </c>
      <c r="Y47" s="192">
        <v>0</v>
      </c>
      <c r="Z47" s="192">
        <v>0</v>
      </c>
      <c r="AA47" s="192">
        <v>0</v>
      </c>
      <c r="AB47" s="192">
        <v>0</v>
      </c>
      <c r="AC47" s="192">
        <v>0</v>
      </c>
      <c r="AD47" s="192">
        <v>0</v>
      </c>
      <c r="AE47" s="192">
        <v>0</v>
      </c>
      <c r="AF47" s="192">
        <v>0</v>
      </c>
      <c r="AG47" s="192">
        <v>0</v>
      </c>
      <c r="AH47" s="192">
        <v>0</v>
      </c>
      <c r="AI47" s="192">
        <v>0</v>
      </c>
      <c r="AJ47" s="192">
        <v>0</v>
      </c>
      <c r="AK47" s="192">
        <v>0</v>
      </c>
      <c r="AL47" s="192">
        <v>0</v>
      </c>
      <c r="AM47" s="192">
        <v>0</v>
      </c>
      <c r="AN47" s="192">
        <v>0</v>
      </c>
      <c r="AO47" s="192">
        <v>0</v>
      </c>
      <c r="AP47" s="192">
        <v>0</v>
      </c>
      <c r="AQ47" s="192">
        <v>0</v>
      </c>
      <c r="AR47" s="192">
        <v>0</v>
      </c>
      <c r="AS47" s="192">
        <v>0</v>
      </c>
      <c r="AT47" s="192">
        <v>0</v>
      </c>
      <c r="AU47" s="192">
        <v>0</v>
      </c>
      <c r="AV47" s="192">
        <v>0</v>
      </c>
      <c r="AW47" s="192">
        <v>24368035.280000001</v>
      </c>
      <c r="AX47" s="192">
        <v>4548568.03</v>
      </c>
      <c r="AY47" s="192">
        <v>3106441.53</v>
      </c>
      <c r="AZ47" s="192">
        <v>1388119.5</v>
      </c>
      <c r="BA47" s="192">
        <v>13364078.619999999</v>
      </c>
      <c r="BB47" s="192">
        <v>-3337258.56</v>
      </c>
      <c r="BC47" s="192">
        <v>-1665007.85</v>
      </c>
      <c r="BD47" s="192">
        <v>809303.37</v>
      </c>
      <c r="BE47" s="192">
        <v>3507598.73</v>
      </c>
      <c r="BF47" s="192">
        <v>0</v>
      </c>
      <c r="BG47" s="192">
        <v>0</v>
      </c>
      <c r="BH47" s="192">
        <v>4491403.43</v>
      </c>
      <c r="BI47" s="192">
        <v>0</v>
      </c>
      <c r="BJ47" s="192">
        <v>31390389.02</v>
      </c>
      <c r="BK47" s="192">
        <v>38208621.579999998</v>
      </c>
      <c r="BL47" s="192">
        <v>0</v>
      </c>
      <c r="BM47" s="192">
        <v>-53564061.170000002</v>
      </c>
      <c r="BN47" s="192">
        <v>0</v>
      </c>
      <c r="BO47" s="192">
        <v>0</v>
      </c>
      <c r="BP47" s="192">
        <v>0</v>
      </c>
      <c r="BQ47" s="192">
        <v>0</v>
      </c>
      <c r="BR47" s="192">
        <v>0</v>
      </c>
      <c r="BS47" s="192">
        <v>0</v>
      </c>
      <c r="BT47" s="192">
        <v>0</v>
      </c>
      <c r="BU47" s="192">
        <v>0</v>
      </c>
      <c r="BV47" s="192">
        <v>0</v>
      </c>
    </row>
    <row r="48" spans="1:74" s="192" customFormat="1" x14ac:dyDescent="0.25">
      <c r="A48" s="192" t="s">
        <v>262</v>
      </c>
      <c r="B48" s="192">
        <v>0</v>
      </c>
      <c r="C48" s="192">
        <v>23939588.16</v>
      </c>
      <c r="D48" s="192">
        <v>0</v>
      </c>
      <c r="E48" s="192">
        <v>70595875.650000006</v>
      </c>
      <c r="F48" s="192">
        <v>0</v>
      </c>
      <c r="G48" s="192">
        <v>37555448.390000001</v>
      </c>
      <c r="H48" s="192">
        <v>0</v>
      </c>
      <c r="I48" s="192">
        <v>94569651.269999996</v>
      </c>
      <c r="J48" s="192">
        <v>0</v>
      </c>
      <c r="K48" s="192">
        <v>27933789.440000001</v>
      </c>
      <c r="L48" s="192">
        <v>0</v>
      </c>
      <c r="M48" s="192">
        <v>22451935.850000001</v>
      </c>
      <c r="N48" s="192">
        <v>0</v>
      </c>
      <c r="O48" s="192">
        <v>-1325118.42</v>
      </c>
      <c r="P48" s="192">
        <v>0</v>
      </c>
      <c r="Q48" s="192">
        <v>38221081.619999997</v>
      </c>
      <c r="R48" s="192">
        <v>0</v>
      </c>
      <c r="S48" s="192">
        <v>11419997.310000001</v>
      </c>
      <c r="T48" s="192">
        <v>0</v>
      </c>
      <c r="U48" s="192">
        <v>49333919.329999998</v>
      </c>
      <c r="V48" s="192">
        <v>0</v>
      </c>
      <c r="W48" s="192">
        <v>13726351.33</v>
      </c>
      <c r="X48" s="192">
        <v>0</v>
      </c>
      <c r="Y48" s="192">
        <v>8671358.1699999999</v>
      </c>
      <c r="Z48" s="192">
        <v>0</v>
      </c>
      <c r="AA48" s="192">
        <v>2759322.21</v>
      </c>
      <c r="AB48" s="192">
        <v>0</v>
      </c>
      <c r="AC48" s="192">
        <v>14335871.52</v>
      </c>
      <c r="AD48" s="192">
        <v>0</v>
      </c>
      <c r="AE48" s="192">
        <v>5531967.3300000001</v>
      </c>
      <c r="AF48" s="192">
        <v>0</v>
      </c>
      <c r="AG48" s="192">
        <v>-21221918.57</v>
      </c>
      <c r="AH48" s="192">
        <v>0</v>
      </c>
      <c r="AI48" s="192">
        <v>-4029773.78</v>
      </c>
      <c r="AJ48" s="192">
        <v>0</v>
      </c>
      <c r="AK48" s="192">
        <v>102939009.94</v>
      </c>
      <c r="AL48" s="192">
        <v>0</v>
      </c>
      <c r="AM48" s="192">
        <v>0</v>
      </c>
      <c r="AN48" s="192">
        <v>0</v>
      </c>
      <c r="AO48" s="192">
        <v>0</v>
      </c>
      <c r="AP48" s="192">
        <v>0</v>
      </c>
      <c r="AQ48" s="192">
        <v>8345509.9900000002</v>
      </c>
      <c r="AR48" s="192">
        <v>0</v>
      </c>
      <c r="AS48" s="192">
        <v>19643738.760000002</v>
      </c>
      <c r="AT48" s="192">
        <v>0</v>
      </c>
      <c r="AU48" s="192">
        <v>0</v>
      </c>
      <c r="AV48" s="192">
        <v>0</v>
      </c>
      <c r="AW48" s="192">
        <v>127243800.62</v>
      </c>
      <c r="AX48" s="192">
        <v>6585486.2800000003</v>
      </c>
      <c r="AY48" s="192">
        <v>-4690453.72</v>
      </c>
      <c r="AZ48" s="192">
        <v>900000</v>
      </c>
      <c r="BA48" s="192">
        <v>27010520.940000001</v>
      </c>
      <c r="BB48" s="192">
        <v>-15964074.560000001</v>
      </c>
      <c r="BC48" s="192">
        <v>-7192299.8799999999</v>
      </c>
      <c r="BD48" s="192">
        <v>900000</v>
      </c>
      <c r="BE48" s="192">
        <v>26768333.780000001</v>
      </c>
      <c r="BF48" s="192">
        <v>3150000</v>
      </c>
      <c r="BG48" s="192">
        <v>3808717.1</v>
      </c>
      <c r="BH48" s="192">
        <v>1171742.69</v>
      </c>
      <c r="BI48" s="192">
        <v>8488419.4199999999</v>
      </c>
      <c r="BJ48" s="192">
        <v>-16419155.640000001</v>
      </c>
      <c r="BK48" s="192">
        <v>-14520298.59</v>
      </c>
      <c r="BL48" s="192">
        <v>0</v>
      </c>
      <c r="BM48" s="192">
        <v>465351299.66000003</v>
      </c>
      <c r="BN48" s="192">
        <v>8000000</v>
      </c>
      <c r="BO48" s="192">
        <v>72121813.730000004</v>
      </c>
      <c r="BP48" s="192">
        <v>0</v>
      </c>
      <c r="BQ48" s="192">
        <v>11710370.789999999</v>
      </c>
      <c r="BR48" s="192">
        <v>0</v>
      </c>
      <c r="BS48" s="192">
        <v>19191949.5</v>
      </c>
      <c r="BT48" s="192">
        <v>23209619.449999999</v>
      </c>
      <c r="BU48" s="192">
        <v>11231816.949999999</v>
      </c>
      <c r="BV48" s="192">
        <v>0</v>
      </c>
    </row>
    <row r="49" spans="1:74" s="192" customFormat="1" x14ac:dyDescent="0.25">
      <c r="A49" s="192" t="s">
        <v>263</v>
      </c>
      <c r="B49" s="192">
        <v>0</v>
      </c>
      <c r="C49" s="192">
        <v>75295970.760000005</v>
      </c>
      <c r="D49" s="192">
        <v>0</v>
      </c>
      <c r="E49" s="192">
        <v>132722857.51000001</v>
      </c>
      <c r="F49" s="192">
        <v>0</v>
      </c>
      <c r="G49" s="192">
        <v>64952458.100000001</v>
      </c>
      <c r="H49" s="192">
        <v>0</v>
      </c>
      <c r="I49" s="192">
        <v>122429528.37</v>
      </c>
      <c r="J49" s="192">
        <v>0</v>
      </c>
      <c r="K49" s="192">
        <v>63102659.920000002</v>
      </c>
      <c r="L49" s="192">
        <v>0</v>
      </c>
      <c r="M49" s="192">
        <v>119394344.09999999</v>
      </c>
      <c r="N49" s="192">
        <v>0</v>
      </c>
      <c r="O49" s="192">
        <v>57610111.520000003</v>
      </c>
      <c r="P49" s="192">
        <v>0</v>
      </c>
      <c r="Q49" s="192">
        <v>127729309.76000001</v>
      </c>
      <c r="R49" s="192">
        <v>0</v>
      </c>
      <c r="S49" s="192">
        <v>67451231.079999998</v>
      </c>
      <c r="T49" s="192">
        <v>0</v>
      </c>
      <c r="U49" s="192">
        <v>118173198.75</v>
      </c>
      <c r="V49" s="192">
        <v>0</v>
      </c>
      <c r="W49" s="192">
        <v>61997041.149999999</v>
      </c>
      <c r="X49" s="192">
        <v>0</v>
      </c>
      <c r="Y49" s="192">
        <v>118416902.29000001</v>
      </c>
      <c r="Z49" s="192">
        <v>0</v>
      </c>
      <c r="AA49" s="192">
        <v>62992296.640000001</v>
      </c>
      <c r="AB49" s="192">
        <v>0</v>
      </c>
      <c r="AC49" s="192">
        <v>101674248.09</v>
      </c>
      <c r="AD49" s="192">
        <v>0</v>
      </c>
      <c r="AE49" s="192">
        <v>49139540.409999996</v>
      </c>
      <c r="AF49" s="192">
        <v>0</v>
      </c>
      <c r="AG49" s="192">
        <v>73985120.560000002</v>
      </c>
      <c r="AH49" s="192">
        <v>0</v>
      </c>
      <c r="AI49" s="192">
        <v>21235648.120000001</v>
      </c>
      <c r="AJ49" s="192">
        <v>0</v>
      </c>
      <c r="AK49" s="192">
        <v>45747983.530000001</v>
      </c>
      <c r="AL49" s="192">
        <v>0</v>
      </c>
      <c r="AM49" s="192">
        <v>0</v>
      </c>
      <c r="AN49" s="192">
        <v>0</v>
      </c>
      <c r="AO49" s="192">
        <v>0</v>
      </c>
      <c r="AP49" s="192">
        <v>0</v>
      </c>
      <c r="AQ49" s="192">
        <v>43173858.549999997</v>
      </c>
      <c r="AR49" s="192">
        <v>0</v>
      </c>
      <c r="AS49" s="192">
        <v>74019433.780000001</v>
      </c>
      <c r="AT49" s="192">
        <v>0</v>
      </c>
      <c r="AU49" s="192">
        <v>0</v>
      </c>
      <c r="AV49" s="192">
        <v>0</v>
      </c>
      <c r="AW49" s="192">
        <v>64496796.390000001</v>
      </c>
      <c r="AX49" s="192">
        <v>44196353.619999997</v>
      </c>
      <c r="AY49" s="192">
        <v>29971319.100000001</v>
      </c>
      <c r="AZ49" s="192">
        <v>15481299</v>
      </c>
      <c r="BA49" s="192">
        <v>64612079.659999996</v>
      </c>
      <c r="BB49" s="192">
        <v>46736269.789999999</v>
      </c>
      <c r="BC49" s="192">
        <v>31660422.449999999</v>
      </c>
      <c r="BD49" s="192">
        <v>15323595.890000001</v>
      </c>
      <c r="BE49" s="192">
        <v>66524300.740000002</v>
      </c>
      <c r="BF49" s="192">
        <v>82845511.590000004</v>
      </c>
      <c r="BG49" s="192">
        <v>36528281.979999997</v>
      </c>
      <c r="BH49" s="192">
        <v>16199518.619999999</v>
      </c>
      <c r="BI49" s="192">
        <v>74107577.340000004</v>
      </c>
      <c r="BJ49" s="192">
        <v>52973848.18</v>
      </c>
      <c r="BK49" s="192">
        <v>35566960.799999997</v>
      </c>
      <c r="BL49" s="192">
        <v>0</v>
      </c>
      <c r="BM49" s="192">
        <v>104647982.18000001</v>
      </c>
      <c r="BN49" s="192">
        <v>39118076.439999998</v>
      </c>
      <c r="BO49" s="192">
        <v>59567407.759999998</v>
      </c>
      <c r="BP49" s="192">
        <v>27956523.690000001</v>
      </c>
      <c r="BQ49" s="192">
        <v>57663184.75</v>
      </c>
      <c r="BR49" s="192">
        <v>27962043.77</v>
      </c>
      <c r="BS49" s="192">
        <v>47644861.729999997</v>
      </c>
      <c r="BT49" s="192">
        <v>24048938.690000001</v>
      </c>
      <c r="BU49" s="192">
        <v>11181467.130000001</v>
      </c>
      <c r="BV49" s="192">
        <v>0</v>
      </c>
    </row>
    <row r="50" spans="1:74" s="192" customFormat="1" x14ac:dyDescent="0.25">
      <c r="A50" s="192" t="s">
        <v>264</v>
      </c>
      <c r="B50" s="192">
        <v>0</v>
      </c>
      <c r="C50" s="192">
        <v>2619114.4500000002</v>
      </c>
      <c r="D50" s="192">
        <v>0</v>
      </c>
      <c r="E50" s="192">
        <v>5238138.8799999999</v>
      </c>
      <c r="F50" s="192">
        <v>0</v>
      </c>
      <c r="G50" s="192">
        <v>2619069.42</v>
      </c>
      <c r="H50" s="192">
        <v>0</v>
      </c>
      <c r="I50" s="192">
        <v>5238138.8799999999</v>
      </c>
      <c r="J50" s="192">
        <v>0</v>
      </c>
      <c r="K50" s="192">
        <v>2619069.42</v>
      </c>
      <c r="L50" s="192">
        <v>0</v>
      </c>
      <c r="M50" s="192">
        <v>5238952.67</v>
      </c>
      <c r="N50" s="192">
        <v>0</v>
      </c>
      <c r="O50" s="192">
        <v>2619476.35</v>
      </c>
      <c r="P50" s="192">
        <v>0</v>
      </c>
      <c r="Q50" s="192">
        <v>5553777.0599999996</v>
      </c>
      <c r="R50" s="192">
        <v>0</v>
      </c>
      <c r="S50" s="192">
        <v>2893989.24</v>
      </c>
      <c r="T50" s="192">
        <v>0</v>
      </c>
      <c r="U50" s="192">
        <v>5680896.8600000003</v>
      </c>
      <c r="V50" s="192">
        <v>0</v>
      </c>
      <c r="W50" s="192">
        <v>2886528.31</v>
      </c>
      <c r="X50" s="192">
        <v>0</v>
      </c>
      <c r="Y50" s="192">
        <v>7679470.8399999999</v>
      </c>
      <c r="Z50" s="192">
        <v>0</v>
      </c>
      <c r="AA50" s="192">
        <v>3894350.32</v>
      </c>
      <c r="AB50" s="192">
        <v>0</v>
      </c>
      <c r="AC50" s="192">
        <v>6920205.54</v>
      </c>
      <c r="AD50" s="192">
        <v>0</v>
      </c>
      <c r="AE50" s="192">
        <v>3080816.34</v>
      </c>
      <c r="AF50" s="192">
        <v>0</v>
      </c>
      <c r="AG50" s="192">
        <v>6220449.5899999999</v>
      </c>
      <c r="AH50" s="192">
        <v>0</v>
      </c>
      <c r="AI50" s="192">
        <v>2283869.59</v>
      </c>
      <c r="AJ50" s="192">
        <v>0</v>
      </c>
      <c r="AK50" s="192">
        <v>3658819.23</v>
      </c>
      <c r="AL50" s="192">
        <v>0</v>
      </c>
      <c r="AM50" s="192">
        <v>0</v>
      </c>
      <c r="AN50" s="192">
        <v>0</v>
      </c>
      <c r="AO50" s="192">
        <v>0</v>
      </c>
      <c r="AP50" s="192">
        <v>0</v>
      </c>
      <c r="AQ50" s="192">
        <v>2362081.62</v>
      </c>
      <c r="AR50" s="192">
        <v>0</v>
      </c>
      <c r="AS50" s="192">
        <v>8104568.5199999996</v>
      </c>
      <c r="AT50" s="192">
        <v>0</v>
      </c>
      <c r="AU50" s="192">
        <v>0</v>
      </c>
      <c r="AV50" s="192">
        <v>0</v>
      </c>
      <c r="AW50" s="192">
        <v>5111825.95</v>
      </c>
      <c r="AX50" s="192">
        <v>5240215.6100000003</v>
      </c>
      <c r="AY50" s="192">
        <v>2284633.37</v>
      </c>
      <c r="AZ50" s="192">
        <v>1169157.1499999999</v>
      </c>
      <c r="BA50" s="192">
        <v>4641177.53</v>
      </c>
      <c r="BB50" s="192">
        <v>0</v>
      </c>
      <c r="BC50" s="192">
        <v>3434701.46</v>
      </c>
      <c r="BD50" s="192">
        <v>0</v>
      </c>
      <c r="BE50" s="192">
        <v>5807866.8799999999</v>
      </c>
      <c r="BF50" s="192">
        <v>0</v>
      </c>
      <c r="BG50" s="192">
        <v>0</v>
      </c>
      <c r="BH50" s="192">
        <v>0</v>
      </c>
      <c r="BI50" s="192">
        <v>0</v>
      </c>
      <c r="BJ50" s="192">
        <v>0</v>
      </c>
      <c r="BK50" s="192">
        <v>1847233.03</v>
      </c>
      <c r="BL50" s="192">
        <v>0</v>
      </c>
      <c r="BM50" s="192">
        <v>0</v>
      </c>
      <c r="BN50" s="192">
        <v>0</v>
      </c>
      <c r="BO50" s="192">
        <v>19538614.559999999</v>
      </c>
      <c r="BP50" s="192">
        <v>1848489.94</v>
      </c>
      <c r="BQ50" s="192">
        <v>8639473.6600000001</v>
      </c>
      <c r="BR50" s="192">
        <v>196667.67</v>
      </c>
      <c r="BS50" s="192">
        <v>5201971.04</v>
      </c>
      <c r="BT50" s="192">
        <v>1563614.61</v>
      </c>
      <c r="BU50" s="192">
        <v>205697.33</v>
      </c>
      <c r="BV50" s="192">
        <v>0</v>
      </c>
    </row>
    <row r="51" spans="1:74" s="192" customFormat="1" x14ac:dyDescent="0.25">
      <c r="A51" s="192" t="s">
        <v>265</v>
      </c>
      <c r="B51" s="192">
        <v>0</v>
      </c>
      <c r="C51" s="192">
        <v>4936234.8600000003</v>
      </c>
      <c r="D51" s="192">
        <v>0</v>
      </c>
      <c r="E51" s="192">
        <v>5127040.9800000004</v>
      </c>
      <c r="F51" s="192">
        <v>0</v>
      </c>
      <c r="G51" s="192">
        <v>1681848.52</v>
      </c>
      <c r="H51" s="192">
        <v>0</v>
      </c>
      <c r="I51" s="192">
        <v>2384206.2000000002</v>
      </c>
      <c r="J51" s="192">
        <v>0</v>
      </c>
      <c r="K51" s="192">
        <v>1469902.32</v>
      </c>
      <c r="L51" s="192">
        <v>0</v>
      </c>
      <c r="M51" s="192">
        <v>3143625.56</v>
      </c>
      <c r="N51" s="192">
        <v>0</v>
      </c>
      <c r="O51" s="192">
        <v>3014839</v>
      </c>
      <c r="P51" s="192">
        <v>0</v>
      </c>
      <c r="Q51" s="192">
        <v>3239931.94</v>
      </c>
      <c r="R51" s="192">
        <v>0</v>
      </c>
      <c r="S51" s="192">
        <v>6551177.0499999998</v>
      </c>
      <c r="T51" s="192">
        <v>0</v>
      </c>
      <c r="U51" s="192">
        <v>22648837.350000001</v>
      </c>
      <c r="V51" s="192">
        <v>0</v>
      </c>
      <c r="W51" s="192">
        <v>13664749.380000001</v>
      </c>
      <c r="X51" s="192">
        <v>0</v>
      </c>
      <c r="Y51" s="192">
        <v>32813580.280000001</v>
      </c>
      <c r="Z51" s="192">
        <v>0</v>
      </c>
      <c r="AA51" s="192">
        <v>17686233.600000001</v>
      </c>
      <c r="AB51" s="192">
        <v>0</v>
      </c>
      <c r="AC51" s="192">
        <v>34041049.280000001</v>
      </c>
      <c r="AD51" s="192">
        <v>0</v>
      </c>
      <c r="AE51" s="192">
        <v>22566793.190000001</v>
      </c>
      <c r="AF51" s="192">
        <v>0</v>
      </c>
      <c r="AG51" s="192">
        <v>26805170.649999999</v>
      </c>
      <c r="AH51" s="192">
        <v>0</v>
      </c>
      <c r="AI51" s="192">
        <v>8471187.8100000005</v>
      </c>
      <c r="AJ51" s="192">
        <v>0</v>
      </c>
      <c r="AK51" s="192">
        <v>12005805.09</v>
      </c>
      <c r="AL51" s="192">
        <v>0</v>
      </c>
      <c r="AM51" s="192">
        <v>0</v>
      </c>
      <c r="AN51" s="192">
        <v>0</v>
      </c>
      <c r="AO51" s="192">
        <v>0</v>
      </c>
      <c r="AP51" s="192">
        <v>0</v>
      </c>
      <c r="AQ51" s="192">
        <v>5556391.4900000002</v>
      </c>
      <c r="AR51" s="192">
        <v>0</v>
      </c>
      <c r="AS51" s="192">
        <v>21812791.32</v>
      </c>
      <c r="AT51" s="192">
        <v>0</v>
      </c>
      <c r="AU51" s="192">
        <v>0</v>
      </c>
      <c r="AV51" s="192">
        <v>0</v>
      </c>
      <c r="AW51" s="192">
        <v>1627604.79</v>
      </c>
      <c r="AX51" s="192">
        <v>0</v>
      </c>
      <c r="AY51" s="192">
        <v>789055.76</v>
      </c>
      <c r="AZ51" s="192">
        <v>507003.5</v>
      </c>
      <c r="BA51" s="192">
        <v>5443536.4900000002</v>
      </c>
      <c r="BB51" s="192">
        <v>5408523.9900000002</v>
      </c>
      <c r="BC51" s="192">
        <v>-12378298.32</v>
      </c>
      <c r="BD51" s="192">
        <v>1613067.35</v>
      </c>
      <c r="BE51" s="192">
        <v>2055301.43</v>
      </c>
      <c r="BF51" s="192">
        <v>3649154.66</v>
      </c>
      <c r="BG51" s="192">
        <v>3006414.67</v>
      </c>
      <c r="BH51" s="192">
        <v>1641796.74</v>
      </c>
      <c r="BI51" s="192">
        <v>5800793.9500000002</v>
      </c>
      <c r="BJ51" s="192">
        <v>5035270.6399999997</v>
      </c>
      <c r="BK51" s="192">
        <v>0</v>
      </c>
      <c r="BL51" s="192">
        <v>0</v>
      </c>
      <c r="BM51" s="192">
        <v>16564494.83</v>
      </c>
      <c r="BN51" s="192">
        <v>10135362.720000001</v>
      </c>
      <c r="BO51" s="192">
        <v>0</v>
      </c>
      <c r="BP51" s="192">
        <v>12196587.91</v>
      </c>
      <c r="BQ51" s="192">
        <v>0</v>
      </c>
      <c r="BR51" s="192">
        <v>0</v>
      </c>
      <c r="BS51" s="192">
        <v>0</v>
      </c>
      <c r="BT51" s="192">
        <v>0</v>
      </c>
      <c r="BU51" s="192">
        <v>0</v>
      </c>
      <c r="BV51" s="192">
        <v>0</v>
      </c>
    </row>
    <row r="52" spans="1:74" s="192" customFormat="1" x14ac:dyDescent="0.25">
      <c r="A52" s="192" t="s">
        <v>266</v>
      </c>
      <c r="B52" s="192">
        <v>0</v>
      </c>
      <c r="C52" s="192">
        <v>0</v>
      </c>
      <c r="D52" s="192">
        <v>0</v>
      </c>
      <c r="E52" s="192">
        <v>0</v>
      </c>
      <c r="F52" s="192">
        <v>0</v>
      </c>
      <c r="G52" s="192">
        <v>0</v>
      </c>
      <c r="H52" s="192">
        <v>0</v>
      </c>
      <c r="I52" s="192">
        <v>0</v>
      </c>
      <c r="J52" s="192">
        <v>0</v>
      </c>
      <c r="K52" s="192">
        <v>0</v>
      </c>
      <c r="L52" s="192">
        <v>0</v>
      </c>
      <c r="M52" s="192">
        <v>0</v>
      </c>
      <c r="N52" s="192">
        <v>0</v>
      </c>
      <c r="O52" s="192">
        <v>0</v>
      </c>
      <c r="P52" s="192">
        <v>0</v>
      </c>
      <c r="Q52" s="192">
        <v>0</v>
      </c>
      <c r="R52" s="192">
        <v>0</v>
      </c>
      <c r="S52" s="192">
        <v>0</v>
      </c>
      <c r="T52" s="192">
        <v>0</v>
      </c>
      <c r="U52" s="192">
        <v>0</v>
      </c>
      <c r="V52" s="192">
        <v>0</v>
      </c>
      <c r="W52" s="192">
        <v>0</v>
      </c>
      <c r="X52" s="192">
        <v>0</v>
      </c>
      <c r="Y52" s="192">
        <v>0</v>
      </c>
      <c r="Z52" s="192">
        <v>0</v>
      </c>
      <c r="AA52" s="192">
        <v>0</v>
      </c>
      <c r="AB52" s="192">
        <v>0</v>
      </c>
      <c r="AC52" s="192">
        <v>0</v>
      </c>
      <c r="AD52" s="192">
        <v>0</v>
      </c>
      <c r="AE52" s="192">
        <v>0</v>
      </c>
      <c r="AF52" s="192">
        <v>0</v>
      </c>
      <c r="AG52" s="192">
        <v>0</v>
      </c>
      <c r="AH52" s="192">
        <v>0</v>
      </c>
      <c r="AI52" s="192">
        <v>0</v>
      </c>
      <c r="AJ52" s="192">
        <v>0</v>
      </c>
      <c r="AK52" s="192">
        <v>0</v>
      </c>
      <c r="AL52" s="192">
        <v>0</v>
      </c>
      <c r="AM52" s="192">
        <v>0</v>
      </c>
      <c r="AN52" s="192">
        <v>0</v>
      </c>
      <c r="AO52" s="192">
        <v>0</v>
      </c>
      <c r="AP52" s="192">
        <v>0</v>
      </c>
      <c r="AQ52" s="192">
        <v>0</v>
      </c>
      <c r="AR52" s="192">
        <v>0</v>
      </c>
      <c r="AS52" s="192">
        <v>0</v>
      </c>
      <c r="AT52" s="192">
        <v>0</v>
      </c>
      <c r="AU52" s="192">
        <v>0</v>
      </c>
      <c r="AV52" s="192">
        <v>0</v>
      </c>
      <c r="AW52" s="192">
        <v>-3296358.82</v>
      </c>
      <c r="AX52" s="192">
        <v>5543723.2000000002</v>
      </c>
      <c r="AY52" s="192">
        <v>-5960075.4299999997</v>
      </c>
      <c r="AZ52" s="192">
        <v>2910327.1</v>
      </c>
      <c r="BA52" s="192">
        <v>-9791945.3900000006</v>
      </c>
      <c r="BB52" s="192">
        <v>-9070873.75</v>
      </c>
      <c r="BC52" s="192">
        <v>28972467.510000002</v>
      </c>
      <c r="BD52" s="192">
        <v>-887563.3</v>
      </c>
      <c r="BE52" s="192">
        <v>-1111389.45</v>
      </c>
      <c r="BF52" s="192">
        <v>2776774.78</v>
      </c>
      <c r="BG52" s="192">
        <v>-2164624.39</v>
      </c>
      <c r="BH52" s="192">
        <v>-425346.01</v>
      </c>
      <c r="BI52" s="192">
        <v>1005676.78</v>
      </c>
      <c r="BJ52" s="192">
        <v>437840.69</v>
      </c>
      <c r="BK52" s="192">
        <v>-78709.06</v>
      </c>
      <c r="BL52" s="192">
        <v>0</v>
      </c>
      <c r="BM52" s="192">
        <v>-185148.35</v>
      </c>
      <c r="BN52" s="192">
        <v>-5196840.16</v>
      </c>
      <c r="BO52" s="192">
        <v>-715017.92</v>
      </c>
      <c r="BP52" s="192">
        <v>-17406635.969999999</v>
      </c>
      <c r="BQ52" s="192">
        <v>779426.23</v>
      </c>
      <c r="BR52" s="192">
        <v>-2678715.33</v>
      </c>
      <c r="BS52" s="192">
        <v>-1558124.66</v>
      </c>
      <c r="BT52" s="192">
        <v>0</v>
      </c>
      <c r="BU52" s="192">
        <v>0</v>
      </c>
      <c r="BV52" s="192">
        <v>0</v>
      </c>
    </row>
    <row r="53" spans="1:74" s="192" customFormat="1" x14ac:dyDescent="0.25">
      <c r="A53" s="192" t="s">
        <v>267</v>
      </c>
      <c r="B53" s="192">
        <v>0</v>
      </c>
      <c r="C53" s="192">
        <v>0</v>
      </c>
      <c r="D53" s="192">
        <v>0</v>
      </c>
      <c r="E53" s="192">
        <v>0</v>
      </c>
      <c r="F53" s="192">
        <v>0</v>
      </c>
      <c r="G53" s="192">
        <v>0</v>
      </c>
      <c r="H53" s="192">
        <v>0</v>
      </c>
      <c r="I53" s="192">
        <v>0</v>
      </c>
      <c r="J53" s="192">
        <v>0</v>
      </c>
      <c r="K53" s="192">
        <v>0</v>
      </c>
      <c r="L53" s="192">
        <v>0</v>
      </c>
      <c r="M53" s="192">
        <v>0</v>
      </c>
      <c r="N53" s="192">
        <v>0</v>
      </c>
      <c r="O53" s="192">
        <v>0</v>
      </c>
      <c r="P53" s="192">
        <v>0</v>
      </c>
      <c r="Q53" s="192">
        <v>0</v>
      </c>
      <c r="R53" s="192">
        <v>0</v>
      </c>
      <c r="S53" s="192">
        <v>0</v>
      </c>
      <c r="T53" s="192">
        <v>0</v>
      </c>
      <c r="U53" s="192">
        <v>0</v>
      </c>
      <c r="V53" s="192">
        <v>0</v>
      </c>
      <c r="W53" s="192">
        <v>0</v>
      </c>
      <c r="X53" s="192">
        <v>0</v>
      </c>
      <c r="Y53" s="192">
        <v>0</v>
      </c>
      <c r="Z53" s="192">
        <v>0</v>
      </c>
      <c r="AA53" s="192">
        <v>0</v>
      </c>
      <c r="AB53" s="192">
        <v>0</v>
      </c>
      <c r="AC53" s="192">
        <v>0</v>
      </c>
      <c r="AD53" s="192">
        <v>0</v>
      </c>
      <c r="AE53" s="192">
        <v>0</v>
      </c>
      <c r="AF53" s="192">
        <v>0</v>
      </c>
      <c r="AG53" s="192">
        <v>0</v>
      </c>
      <c r="AH53" s="192">
        <v>0</v>
      </c>
      <c r="AI53" s="192">
        <v>0</v>
      </c>
      <c r="AJ53" s="192">
        <v>0</v>
      </c>
      <c r="AK53" s="192">
        <v>0</v>
      </c>
      <c r="AL53" s="192">
        <v>0</v>
      </c>
      <c r="AM53" s="192">
        <v>0</v>
      </c>
      <c r="AN53" s="192">
        <v>0</v>
      </c>
      <c r="AO53" s="192">
        <v>0</v>
      </c>
      <c r="AP53" s="192">
        <v>0</v>
      </c>
      <c r="AQ53" s="192">
        <v>0</v>
      </c>
      <c r="AR53" s="192">
        <v>0</v>
      </c>
      <c r="AS53" s="192">
        <v>0</v>
      </c>
      <c r="AT53" s="192">
        <v>0</v>
      </c>
      <c r="AU53" s="192">
        <v>0</v>
      </c>
      <c r="AV53" s="192">
        <v>0</v>
      </c>
      <c r="AW53" s="192">
        <v>53302818.729999997</v>
      </c>
      <c r="AX53" s="192">
        <v>146966998.58000001</v>
      </c>
      <c r="AY53" s="192">
        <v>87721438.5</v>
      </c>
      <c r="AZ53" s="192">
        <v>48499246.82</v>
      </c>
      <c r="BA53" s="192">
        <v>23547395.289999999</v>
      </c>
      <c r="BB53" s="192">
        <v>53577339.979999997</v>
      </c>
      <c r="BC53" s="192">
        <v>142884.82</v>
      </c>
      <c r="BD53" s="192">
        <v>34733525.490000002</v>
      </c>
      <c r="BE53" s="192">
        <v>7455021.6100000003</v>
      </c>
      <c r="BF53" s="192">
        <v>-1370069.45</v>
      </c>
      <c r="BG53" s="192">
        <v>-455077.69</v>
      </c>
      <c r="BH53" s="192">
        <v>11778763.43</v>
      </c>
      <c r="BI53" s="192">
        <v>37949869.210000001</v>
      </c>
      <c r="BJ53" s="192">
        <v>-15843037.689999999</v>
      </c>
      <c r="BK53" s="192">
        <v>9690855.7100000009</v>
      </c>
      <c r="BL53" s="192">
        <v>0</v>
      </c>
      <c r="BM53" s="192">
        <v>50941163.609999999</v>
      </c>
      <c r="BN53" s="192">
        <v>70402187.670000002</v>
      </c>
      <c r="BO53" s="192">
        <v>-2176811.4300000002</v>
      </c>
      <c r="BP53" s="192">
        <v>12573264.09</v>
      </c>
      <c r="BQ53" s="192">
        <v>2105775.61</v>
      </c>
      <c r="BR53" s="192">
        <v>8336991.9400000004</v>
      </c>
      <c r="BS53" s="192">
        <v>-14858313.609999999</v>
      </c>
      <c r="BT53" s="192">
        <v>0</v>
      </c>
      <c r="BU53" s="192">
        <v>0</v>
      </c>
      <c r="BV53" s="192">
        <v>0</v>
      </c>
    </row>
    <row r="54" spans="1:74" s="192" customFormat="1" x14ac:dyDescent="0.25">
      <c r="A54" s="192" t="s">
        <v>268</v>
      </c>
      <c r="B54" s="192">
        <v>0</v>
      </c>
      <c r="C54" s="192">
        <v>-634455.9</v>
      </c>
      <c r="D54" s="192">
        <v>0</v>
      </c>
      <c r="E54" s="192">
        <v>975423</v>
      </c>
      <c r="F54" s="192">
        <v>0</v>
      </c>
      <c r="G54" s="192">
        <v>-2324085.5299999998</v>
      </c>
      <c r="H54" s="192">
        <v>0</v>
      </c>
      <c r="I54" s="192">
        <v>1833734.45</v>
      </c>
      <c r="J54" s="192">
        <v>0</v>
      </c>
      <c r="K54" s="192">
        <v>121746.3</v>
      </c>
      <c r="L54" s="192">
        <v>0</v>
      </c>
      <c r="M54" s="192">
        <v>280195.57</v>
      </c>
      <c r="N54" s="192">
        <v>0</v>
      </c>
      <c r="O54" s="192">
        <v>16780.87</v>
      </c>
      <c r="P54" s="192">
        <v>0</v>
      </c>
      <c r="Q54" s="192">
        <v>3482781.03</v>
      </c>
      <c r="R54" s="192">
        <v>0</v>
      </c>
      <c r="S54" s="192">
        <v>-591204.6</v>
      </c>
      <c r="T54" s="192">
        <v>0</v>
      </c>
      <c r="U54" s="192">
        <v>940175.27</v>
      </c>
      <c r="V54" s="192">
        <v>0</v>
      </c>
      <c r="W54" s="192">
        <v>-1068313.6000000001</v>
      </c>
      <c r="X54" s="192">
        <v>0</v>
      </c>
      <c r="Y54" s="192">
        <v>-7145341.5700000003</v>
      </c>
      <c r="Z54" s="192">
        <v>0</v>
      </c>
      <c r="AA54" s="192">
        <v>-7549807.5499999998</v>
      </c>
      <c r="AB54" s="192">
        <v>0</v>
      </c>
      <c r="AC54" s="192">
        <v>-8294522.4199999999</v>
      </c>
      <c r="AD54" s="192">
        <v>0</v>
      </c>
      <c r="AE54" s="192">
        <v>-13723704.630000001</v>
      </c>
      <c r="AF54" s="192">
        <v>0</v>
      </c>
      <c r="AG54" s="192">
        <v>-16586270.699999999</v>
      </c>
      <c r="AH54" s="192">
        <v>0</v>
      </c>
      <c r="AI54" s="192">
        <v>2131225.1</v>
      </c>
      <c r="AJ54" s="192">
        <v>0</v>
      </c>
      <c r="AK54" s="192">
        <v>-78320039.719999999</v>
      </c>
      <c r="AL54" s="192">
        <v>0</v>
      </c>
      <c r="AM54" s="192">
        <v>0</v>
      </c>
      <c r="AN54" s="192">
        <v>0</v>
      </c>
      <c r="AO54" s="192">
        <v>0</v>
      </c>
      <c r="AP54" s="192">
        <v>0</v>
      </c>
      <c r="AQ54" s="192">
        <v>-1051530.49</v>
      </c>
      <c r="AR54" s="192">
        <v>0</v>
      </c>
      <c r="AS54" s="192">
        <v>4534752.26</v>
      </c>
      <c r="AT54" s="192">
        <v>0</v>
      </c>
      <c r="AU54" s="192">
        <v>0</v>
      </c>
      <c r="AV54" s="192">
        <v>0</v>
      </c>
      <c r="AW54" s="192">
        <v>-1988125.26</v>
      </c>
      <c r="AX54" s="192">
        <v>-59804.4</v>
      </c>
      <c r="AY54" s="192">
        <v>-59804.4</v>
      </c>
      <c r="AZ54" s="192">
        <v>0</v>
      </c>
      <c r="BA54" s="192">
        <v>-3777191.07</v>
      </c>
      <c r="BB54" s="192">
        <v>137897.32</v>
      </c>
      <c r="BC54" s="192">
        <v>0</v>
      </c>
      <c r="BD54" s="192">
        <v>84043.98</v>
      </c>
      <c r="BE54" s="192">
        <v>-6288512.25</v>
      </c>
      <c r="BF54" s="192">
        <v>-4494386.25</v>
      </c>
      <c r="BG54" s="192">
        <v>-4550821.99</v>
      </c>
      <c r="BH54" s="192">
        <v>-650430.30000000005</v>
      </c>
      <c r="BI54" s="192">
        <v>561673.96</v>
      </c>
      <c r="BJ54" s="192">
        <v>6459910.2199999997</v>
      </c>
      <c r="BK54" s="192">
        <v>6396483.1900000004</v>
      </c>
      <c r="BL54" s="192">
        <v>0</v>
      </c>
      <c r="BM54" s="192">
        <v>2621677.35</v>
      </c>
      <c r="BN54" s="192">
        <v>-12507.54</v>
      </c>
      <c r="BO54" s="192">
        <v>169020.35</v>
      </c>
      <c r="BP54" s="192">
        <v>-900</v>
      </c>
      <c r="BQ54" s="192">
        <v>1402071.71</v>
      </c>
      <c r="BR54" s="192">
        <v>0</v>
      </c>
      <c r="BS54" s="192">
        <v>1148009.55</v>
      </c>
      <c r="BT54" s="192">
        <v>285147</v>
      </c>
      <c r="BU54" s="192">
        <v>0</v>
      </c>
      <c r="BV54" s="192">
        <v>0</v>
      </c>
    </row>
    <row r="55" spans="1:74" s="192" customFormat="1" x14ac:dyDescent="0.25">
      <c r="A55" s="192" t="s">
        <v>269</v>
      </c>
      <c r="B55" s="192">
        <v>0</v>
      </c>
      <c r="C55" s="192">
        <v>0</v>
      </c>
      <c r="D55" s="192">
        <v>0</v>
      </c>
      <c r="E55" s="192">
        <v>0</v>
      </c>
      <c r="F55" s="192">
        <v>0</v>
      </c>
      <c r="G55" s="192">
        <v>0</v>
      </c>
      <c r="H55" s="192">
        <v>0</v>
      </c>
      <c r="I55" s="192">
        <v>0</v>
      </c>
      <c r="J55" s="192">
        <v>0</v>
      </c>
      <c r="K55" s="192">
        <v>0</v>
      </c>
      <c r="L55" s="192">
        <v>0</v>
      </c>
      <c r="M55" s="192">
        <v>0</v>
      </c>
      <c r="N55" s="192">
        <v>0</v>
      </c>
      <c r="O55" s="192">
        <v>0</v>
      </c>
      <c r="P55" s="192">
        <v>0</v>
      </c>
      <c r="Q55" s="192">
        <v>0</v>
      </c>
      <c r="R55" s="192">
        <v>0</v>
      </c>
      <c r="S55" s="192">
        <v>0</v>
      </c>
      <c r="T55" s="192">
        <v>0</v>
      </c>
      <c r="U55" s="192">
        <v>138614.56</v>
      </c>
      <c r="V55" s="192">
        <v>0</v>
      </c>
      <c r="W55" s="192">
        <v>0</v>
      </c>
      <c r="X55" s="192">
        <v>0</v>
      </c>
      <c r="Y55" s="192">
        <v>0</v>
      </c>
      <c r="Z55" s="192">
        <v>0</v>
      </c>
      <c r="AA55" s="192">
        <v>0</v>
      </c>
      <c r="AB55" s="192">
        <v>0</v>
      </c>
      <c r="AC55" s="192">
        <v>0</v>
      </c>
      <c r="AD55" s="192">
        <v>0</v>
      </c>
      <c r="AE55" s="192">
        <v>0</v>
      </c>
      <c r="AF55" s="192">
        <v>0</v>
      </c>
      <c r="AG55" s="192">
        <v>7290907.3399999999</v>
      </c>
      <c r="AH55" s="192">
        <v>0</v>
      </c>
      <c r="AI55" s="192">
        <v>0</v>
      </c>
      <c r="AJ55" s="192">
        <v>0</v>
      </c>
      <c r="AK55" s="192">
        <v>1883727.57</v>
      </c>
      <c r="AL55" s="192">
        <v>0</v>
      </c>
      <c r="AM55" s="192">
        <v>0</v>
      </c>
      <c r="AN55" s="192">
        <v>0</v>
      </c>
      <c r="AO55" s="192">
        <v>0</v>
      </c>
      <c r="AP55" s="192">
        <v>0</v>
      </c>
      <c r="AQ55" s="192">
        <v>0</v>
      </c>
      <c r="AR55" s="192">
        <v>0</v>
      </c>
      <c r="AS55" s="192">
        <v>320974.98</v>
      </c>
      <c r="AT55" s="192">
        <v>0</v>
      </c>
      <c r="AU55" s="192">
        <v>0</v>
      </c>
      <c r="AV55" s="192">
        <v>0</v>
      </c>
      <c r="AW55" s="192">
        <v>0</v>
      </c>
      <c r="AX55" s="192">
        <v>42424.54</v>
      </c>
      <c r="AY55" s="192">
        <v>42424.54</v>
      </c>
      <c r="AZ55" s="192">
        <v>0</v>
      </c>
      <c r="BA55" s="192">
        <v>0</v>
      </c>
      <c r="BB55" s="192">
        <v>517067.89</v>
      </c>
      <c r="BC55" s="192">
        <v>0</v>
      </c>
      <c r="BD55" s="192">
        <v>0</v>
      </c>
      <c r="BE55" s="192">
        <v>0</v>
      </c>
      <c r="BF55" s="192">
        <v>0</v>
      </c>
      <c r="BG55" s="192">
        <v>23000</v>
      </c>
      <c r="BH55" s="192">
        <v>0</v>
      </c>
      <c r="BI55" s="192">
        <v>914696.03</v>
      </c>
      <c r="BJ55" s="192">
        <v>630110.76</v>
      </c>
      <c r="BK55" s="192">
        <v>0</v>
      </c>
      <c r="BL55" s="192">
        <v>0</v>
      </c>
      <c r="BM55" s="192">
        <v>0</v>
      </c>
      <c r="BN55" s="192">
        <v>0</v>
      </c>
      <c r="BO55" s="192">
        <v>0</v>
      </c>
      <c r="BP55" s="192">
        <v>0</v>
      </c>
      <c r="BQ55" s="192">
        <v>0</v>
      </c>
      <c r="BR55" s="192">
        <v>0</v>
      </c>
      <c r="BS55" s="192">
        <v>0</v>
      </c>
      <c r="BT55" s="192">
        <v>0</v>
      </c>
      <c r="BU55" s="192">
        <v>0</v>
      </c>
      <c r="BV55" s="192">
        <v>0</v>
      </c>
    </row>
    <row r="56" spans="1:74" s="192" customFormat="1" x14ac:dyDescent="0.25">
      <c r="A56" s="192" t="s">
        <v>270</v>
      </c>
      <c r="B56" s="192">
        <v>0</v>
      </c>
      <c r="C56" s="192">
        <v>10070851.5</v>
      </c>
      <c r="D56" s="192">
        <v>0</v>
      </c>
      <c r="E56" s="192">
        <v>-5270238.03</v>
      </c>
      <c r="F56" s="192">
        <v>0</v>
      </c>
      <c r="G56" s="192">
        <v>-4917873.13</v>
      </c>
      <c r="H56" s="192">
        <v>0</v>
      </c>
      <c r="I56" s="192">
        <v>0</v>
      </c>
      <c r="J56" s="192">
        <v>0</v>
      </c>
      <c r="K56" s="192">
        <v>0</v>
      </c>
      <c r="L56" s="192">
        <v>0</v>
      </c>
      <c r="M56" s="192">
        <v>0</v>
      </c>
      <c r="N56" s="192">
        <v>0</v>
      </c>
      <c r="O56" s="192">
        <v>248907.75</v>
      </c>
      <c r="P56" s="192">
        <v>0</v>
      </c>
      <c r="Q56" s="192">
        <v>14767832.25</v>
      </c>
      <c r="R56" s="192">
        <v>0</v>
      </c>
      <c r="S56" s="192">
        <v>13529790</v>
      </c>
      <c r="T56" s="192">
        <v>0</v>
      </c>
      <c r="U56" s="192">
        <v>-13792150</v>
      </c>
      <c r="V56" s="192">
        <v>0</v>
      </c>
      <c r="W56" s="192">
        <v>-10584660</v>
      </c>
      <c r="X56" s="192">
        <v>0</v>
      </c>
      <c r="Y56" s="192">
        <v>3067710</v>
      </c>
      <c r="Z56" s="192">
        <v>0</v>
      </c>
      <c r="AA56" s="192">
        <v>4292300</v>
      </c>
      <c r="AB56" s="192">
        <v>0</v>
      </c>
      <c r="AC56" s="192">
        <v>3486333.32</v>
      </c>
      <c r="AD56" s="192">
        <v>0</v>
      </c>
      <c r="AE56" s="192">
        <v>-11689065.84</v>
      </c>
      <c r="AF56" s="192">
        <v>0</v>
      </c>
      <c r="AG56" s="192">
        <v>-7778633.3200000003</v>
      </c>
      <c r="AH56" s="192">
        <v>0</v>
      </c>
      <c r="AI56" s="192">
        <v>0</v>
      </c>
      <c r="AJ56" s="192">
        <v>0</v>
      </c>
      <c r="AK56" s="192">
        <v>0</v>
      </c>
      <c r="AL56" s="192">
        <v>0</v>
      </c>
      <c r="AM56" s="192">
        <v>0</v>
      </c>
      <c r="AN56" s="192">
        <v>0</v>
      </c>
      <c r="AO56" s="192">
        <v>0</v>
      </c>
      <c r="AP56" s="192">
        <v>0</v>
      </c>
      <c r="AQ56" s="192">
        <v>0</v>
      </c>
      <c r="AR56" s="192">
        <v>0</v>
      </c>
      <c r="AS56" s="192">
        <v>0</v>
      </c>
      <c r="AT56" s="192">
        <v>0</v>
      </c>
      <c r="AU56" s="192">
        <v>0</v>
      </c>
      <c r="AV56" s="192">
        <v>0</v>
      </c>
      <c r="AW56" s="192">
        <v>0</v>
      </c>
      <c r="AX56" s="192">
        <v>0</v>
      </c>
      <c r="AY56" s="192">
        <v>0</v>
      </c>
      <c r="AZ56" s="192">
        <v>0</v>
      </c>
      <c r="BA56" s="192">
        <v>0</v>
      </c>
      <c r="BB56" s="192">
        <v>0</v>
      </c>
      <c r="BC56" s="192">
        <v>0</v>
      </c>
      <c r="BD56" s="192">
        <v>0</v>
      </c>
      <c r="BE56" s="192">
        <v>0</v>
      </c>
      <c r="BF56" s="192">
        <v>0</v>
      </c>
      <c r="BG56" s="192">
        <v>0</v>
      </c>
      <c r="BH56" s="192">
        <v>0</v>
      </c>
      <c r="BI56" s="192">
        <v>0</v>
      </c>
      <c r="BJ56" s="192">
        <v>0</v>
      </c>
      <c r="BK56" s="192">
        <v>0</v>
      </c>
      <c r="BL56" s="192">
        <v>0</v>
      </c>
      <c r="BM56" s="192">
        <v>0</v>
      </c>
      <c r="BN56" s="192">
        <v>0</v>
      </c>
      <c r="BO56" s="192">
        <v>0</v>
      </c>
      <c r="BP56" s="192">
        <v>0</v>
      </c>
      <c r="BQ56" s="192">
        <v>0</v>
      </c>
      <c r="BR56" s="192">
        <v>0</v>
      </c>
      <c r="BS56" s="192">
        <v>0</v>
      </c>
      <c r="BT56" s="192">
        <v>0</v>
      </c>
      <c r="BU56" s="192">
        <v>0</v>
      </c>
      <c r="BV56" s="192">
        <v>0</v>
      </c>
    </row>
    <row r="57" spans="1:74" s="192" customFormat="1" x14ac:dyDescent="0.25">
      <c r="A57" s="192" t="s">
        <v>271</v>
      </c>
      <c r="B57" s="192">
        <v>0</v>
      </c>
      <c r="C57" s="192">
        <v>0</v>
      </c>
      <c r="D57" s="192">
        <v>0</v>
      </c>
      <c r="E57" s="192">
        <v>0</v>
      </c>
      <c r="F57" s="192">
        <v>0</v>
      </c>
      <c r="G57" s="192">
        <v>0</v>
      </c>
      <c r="H57" s="192">
        <v>0</v>
      </c>
      <c r="I57" s="192">
        <v>0</v>
      </c>
      <c r="J57" s="192">
        <v>0</v>
      </c>
      <c r="K57" s="192">
        <v>0</v>
      </c>
      <c r="L57" s="192">
        <v>0</v>
      </c>
      <c r="M57" s="192">
        <v>-453200.04</v>
      </c>
      <c r="N57" s="192">
        <v>0</v>
      </c>
      <c r="O57" s="192">
        <v>0</v>
      </c>
      <c r="P57" s="192">
        <v>0</v>
      </c>
      <c r="Q57" s="192">
        <v>0</v>
      </c>
      <c r="R57" s="192">
        <v>0</v>
      </c>
      <c r="S57" s="192">
        <v>0</v>
      </c>
      <c r="T57" s="192">
        <v>0</v>
      </c>
      <c r="U57" s="192">
        <v>0</v>
      </c>
      <c r="V57" s="192">
        <v>0</v>
      </c>
      <c r="W57" s="192">
        <v>0</v>
      </c>
      <c r="X57" s="192">
        <v>0</v>
      </c>
      <c r="Y57" s="192">
        <v>0</v>
      </c>
      <c r="Z57" s="192">
        <v>0</v>
      </c>
      <c r="AA57" s="192">
        <v>0</v>
      </c>
      <c r="AB57" s="192">
        <v>0</v>
      </c>
      <c r="AC57" s="192">
        <v>0</v>
      </c>
      <c r="AD57" s="192">
        <v>0</v>
      </c>
      <c r="AE57" s="192">
        <v>0</v>
      </c>
      <c r="AF57" s="192">
        <v>0</v>
      </c>
      <c r="AG57" s="192">
        <v>0</v>
      </c>
      <c r="AH57" s="192">
        <v>0</v>
      </c>
      <c r="AI57" s="192">
        <v>0</v>
      </c>
      <c r="AJ57" s="192">
        <v>0</v>
      </c>
      <c r="AK57" s="192">
        <v>0</v>
      </c>
      <c r="AL57" s="192">
        <v>0</v>
      </c>
      <c r="AM57" s="192">
        <v>0</v>
      </c>
      <c r="AN57" s="192">
        <v>0</v>
      </c>
      <c r="AO57" s="192">
        <v>0</v>
      </c>
      <c r="AP57" s="192">
        <v>0</v>
      </c>
      <c r="AQ57" s="192">
        <v>0</v>
      </c>
      <c r="AR57" s="192">
        <v>0</v>
      </c>
      <c r="AS57" s="192">
        <v>0</v>
      </c>
      <c r="AT57" s="192">
        <v>0</v>
      </c>
      <c r="AU57" s="192">
        <v>0</v>
      </c>
      <c r="AV57" s="192">
        <v>0</v>
      </c>
      <c r="AW57" s="192">
        <v>0</v>
      </c>
      <c r="AX57" s="192">
        <v>0</v>
      </c>
      <c r="AY57" s="192">
        <v>0</v>
      </c>
      <c r="AZ57" s="192">
        <v>0</v>
      </c>
      <c r="BA57" s="192">
        <v>0</v>
      </c>
      <c r="BB57" s="192">
        <v>0</v>
      </c>
      <c r="BC57" s="192">
        <v>0</v>
      </c>
      <c r="BD57" s="192">
        <v>0</v>
      </c>
      <c r="BE57" s="192">
        <v>0</v>
      </c>
      <c r="BF57" s="192">
        <v>0</v>
      </c>
      <c r="BG57" s="192">
        <v>0</v>
      </c>
      <c r="BH57" s="192">
        <v>0</v>
      </c>
      <c r="BI57" s="192">
        <v>0</v>
      </c>
      <c r="BJ57" s="192">
        <v>0</v>
      </c>
      <c r="BK57" s="192">
        <v>0</v>
      </c>
      <c r="BL57" s="192">
        <v>0</v>
      </c>
      <c r="BM57" s="192">
        <v>0</v>
      </c>
      <c r="BN57" s="192">
        <v>0</v>
      </c>
      <c r="BO57" s="192">
        <v>0</v>
      </c>
      <c r="BP57" s="192">
        <v>0</v>
      </c>
      <c r="BQ57" s="192">
        <v>0</v>
      </c>
      <c r="BR57" s="192">
        <v>0</v>
      </c>
      <c r="BS57" s="192">
        <v>0</v>
      </c>
      <c r="BT57" s="192">
        <v>0</v>
      </c>
      <c r="BU57" s="192">
        <v>0</v>
      </c>
      <c r="BV57" s="192">
        <v>0</v>
      </c>
    </row>
    <row r="58" spans="1:74" s="192" customFormat="1" x14ac:dyDescent="0.25">
      <c r="A58" s="192" t="s">
        <v>272</v>
      </c>
      <c r="B58" s="192">
        <v>0</v>
      </c>
      <c r="C58" s="192">
        <v>0</v>
      </c>
      <c r="D58" s="192">
        <v>0</v>
      </c>
      <c r="E58" s="192">
        <v>0</v>
      </c>
      <c r="F58" s="192">
        <v>0</v>
      </c>
      <c r="G58" s="192">
        <v>0</v>
      </c>
      <c r="H58" s="192">
        <v>0</v>
      </c>
      <c r="I58" s="192">
        <v>0</v>
      </c>
      <c r="J58" s="192">
        <v>0</v>
      </c>
      <c r="K58" s="192">
        <v>0</v>
      </c>
      <c r="L58" s="192">
        <v>0</v>
      </c>
      <c r="M58" s="192">
        <v>0</v>
      </c>
      <c r="N58" s="192">
        <v>0</v>
      </c>
      <c r="O58" s="192">
        <v>0</v>
      </c>
      <c r="P58" s="192">
        <v>0</v>
      </c>
      <c r="Q58" s="192">
        <v>0</v>
      </c>
      <c r="R58" s="192">
        <v>0</v>
      </c>
      <c r="S58" s="192">
        <v>0</v>
      </c>
      <c r="T58" s="192">
        <v>0</v>
      </c>
      <c r="U58" s="192">
        <v>0</v>
      </c>
      <c r="V58" s="192">
        <v>0</v>
      </c>
      <c r="W58" s="192">
        <v>0</v>
      </c>
      <c r="X58" s="192">
        <v>0</v>
      </c>
      <c r="Y58" s="192">
        <v>0</v>
      </c>
      <c r="Z58" s="192">
        <v>0</v>
      </c>
      <c r="AA58" s="192">
        <v>0</v>
      </c>
      <c r="AB58" s="192">
        <v>0</v>
      </c>
      <c r="AC58" s="192">
        <v>0</v>
      </c>
      <c r="AD58" s="192">
        <v>0</v>
      </c>
      <c r="AE58" s="192">
        <v>0</v>
      </c>
      <c r="AF58" s="192">
        <v>0</v>
      </c>
      <c r="AG58" s="192">
        <v>0</v>
      </c>
      <c r="AH58" s="192">
        <v>0</v>
      </c>
      <c r="AI58" s="192">
        <v>0</v>
      </c>
      <c r="AJ58" s="192">
        <v>0</v>
      </c>
      <c r="AK58" s="192">
        <v>0</v>
      </c>
      <c r="AL58" s="192">
        <v>0</v>
      </c>
      <c r="AM58" s="192">
        <v>0</v>
      </c>
      <c r="AN58" s="192">
        <v>0</v>
      </c>
      <c r="AO58" s="192">
        <v>0</v>
      </c>
      <c r="AP58" s="192">
        <v>0</v>
      </c>
      <c r="AQ58" s="192">
        <v>0</v>
      </c>
      <c r="AR58" s="192">
        <v>0</v>
      </c>
      <c r="AS58" s="192">
        <v>0</v>
      </c>
      <c r="AT58" s="192">
        <v>0</v>
      </c>
      <c r="AU58" s="192">
        <v>0</v>
      </c>
      <c r="AV58" s="192">
        <v>0</v>
      </c>
      <c r="AW58" s="192">
        <v>0</v>
      </c>
      <c r="AX58" s="192">
        <v>0</v>
      </c>
      <c r="AY58" s="192">
        <v>0</v>
      </c>
      <c r="AZ58" s="192">
        <v>0</v>
      </c>
      <c r="BA58" s="192">
        <v>0</v>
      </c>
      <c r="BB58" s="192">
        <v>0</v>
      </c>
      <c r="BC58" s="192">
        <v>0</v>
      </c>
      <c r="BD58" s="192">
        <v>0</v>
      </c>
      <c r="BE58" s="192">
        <v>0</v>
      </c>
      <c r="BF58" s="192">
        <v>0</v>
      </c>
      <c r="BG58" s="192">
        <v>0</v>
      </c>
      <c r="BH58" s="192">
        <v>0</v>
      </c>
      <c r="BI58" s="192">
        <v>0</v>
      </c>
      <c r="BJ58" s="192">
        <v>0</v>
      </c>
      <c r="BK58" s="192">
        <v>0</v>
      </c>
      <c r="BL58" s="192">
        <v>0</v>
      </c>
      <c r="BM58" s="192">
        <v>0</v>
      </c>
      <c r="BN58" s="192">
        <v>0</v>
      </c>
      <c r="BO58" s="192">
        <v>0</v>
      </c>
      <c r="BP58" s="192">
        <v>0</v>
      </c>
      <c r="BQ58" s="192">
        <v>0</v>
      </c>
      <c r="BR58" s="192">
        <v>0</v>
      </c>
      <c r="BS58" s="192">
        <v>0</v>
      </c>
      <c r="BT58" s="192">
        <v>0</v>
      </c>
      <c r="BU58" s="192">
        <v>0</v>
      </c>
      <c r="BV58" s="192">
        <v>0</v>
      </c>
    </row>
    <row r="59" spans="1:74" s="192" customFormat="1" x14ac:dyDescent="0.25">
      <c r="A59" s="192" t="s">
        <v>197</v>
      </c>
      <c r="B59" s="192">
        <v>0</v>
      </c>
      <c r="C59" s="192">
        <v>-227392382.22999999</v>
      </c>
      <c r="D59" s="192">
        <v>0</v>
      </c>
      <c r="E59" s="192">
        <v>-76642204.569999993</v>
      </c>
      <c r="F59" s="192">
        <v>0</v>
      </c>
      <c r="G59" s="192">
        <v>-10904243.34</v>
      </c>
      <c r="H59" s="192">
        <v>0</v>
      </c>
      <c r="I59" s="192">
        <v>-80745581.810000002</v>
      </c>
      <c r="J59" s="192">
        <v>0</v>
      </c>
      <c r="K59" s="192">
        <v>-34473639.380000003</v>
      </c>
      <c r="L59" s="192">
        <v>0</v>
      </c>
      <c r="M59" s="192">
        <v>-75219066.769999996</v>
      </c>
      <c r="N59" s="192">
        <v>0</v>
      </c>
      <c r="O59" s="192">
        <v>835131.49</v>
      </c>
      <c r="P59" s="192">
        <v>0</v>
      </c>
      <c r="Q59" s="192">
        <v>5204314.28</v>
      </c>
      <c r="R59" s="192">
        <v>0</v>
      </c>
      <c r="S59" s="192">
        <v>656433.56999999995</v>
      </c>
      <c r="T59" s="192">
        <v>0</v>
      </c>
      <c r="U59" s="192">
        <v>0</v>
      </c>
      <c r="V59" s="192">
        <v>0</v>
      </c>
      <c r="W59" s="192">
        <v>0</v>
      </c>
      <c r="X59" s="192">
        <v>0</v>
      </c>
      <c r="Y59" s="192">
        <v>0</v>
      </c>
      <c r="Z59" s="192">
        <v>0</v>
      </c>
      <c r="AA59" s="192">
        <v>0</v>
      </c>
      <c r="AB59" s="192">
        <v>0</v>
      </c>
      <c r="AC59" s="192">
        <v>0</v>
      </c>
      <c r="AD59" s="192">
        <v>0</v>
      </c>
      <c r="AE59" s="192">
        <v>425127.33</v>
      </c>
      <c r="AF59" s="192">
        <v>0</v>
      </c>
      <c r="AG59" s="192">
        <v>3687.5</v>
      </c>
      <c r="AH59" s="192">
        <v>0</v>
      </c>
      <c r="AI59" s="192">
        <v>787611.41</v>
      </c>
      <c r="AJ59" s="192">
        <v>0</v>
      </c>
      <c r="AK59" s="192">
        <v>4447744.43</v>
      </c>
      <c r="AL59" s="192">
        <v>0</v>
      </c>
      <c r="AM59" s="192">
        <v>0</v>
      </c>
      <c r="AN59" s="192">
        <v>0</v>
      </c>
      <c r="AO59" s="192">
        <v>0</v>
      </c>
      <c r="AP59" s="192">
        <v>0</v>
      </c>
      <c r="AQ59" s="192">
        <v>10670705</v>
      </c>
      <c r="AR59" s="192">
        <v>0</v>
      </c>
      <c r="AS59" s="192">
        <v>55608217.840000004</v>
      </c>
      <c r="AT59" s="192">
        <v>0</v>
      </c>
      <c r="AU59" s="192">
        <v>0</v>
      </c>
      <c r="AV59" s="192">
        <v>0</v>
      </c>
      <c r="AW59" s="192">
        <v>60656065.759999998</v>
      </c>
      <c r="AX59" s="192">
        <v>38443817.030000001</v>
      </c>
      <c r="AY59" s="192">
        <v>24724201.059999999</v>
      </c>
      <c r="AZ59" s="192">
        <v>10972533.83</v>
      </c>
      <c r="BA59" s="192">
        <v>51345847.229999997</v>
      </c>
      <c r="BB59" s="192">
        <v>30972225.280000001</v>
      </c>
      <c r="BC59" s="192">
        <v>17986474.940000001</v>
      </c>
      <c r="BD59" s="192">
        <v>9674889.4100000001</v>
      </c>
      <c r="BE59" s="192">
        <v>36568365.939999998</v>
      </c>
      <c r="BF59" s="192">
        <v>29030023.920000002</v>
      </c>
      <c r="BG59" s="192">
        <v>17283244.379999999</v>
      </c>
      <c r="BH59" s="192">
        <v>7761348.6399999997</v>
      </c>
      <c r="BI59" s="192">
        <v>27517506.940000001</v>
      </c>
      <c r="BJ59" s="192">
        <v>17788174.73</v>
      </c>
      <c r="BK59" s="192">
        <v>15409634.57</v>
      </c>
      <c r="BL59" s="192">
        <v>0</v>
      </c>
      <c r="BM59" s="192">
        <v>44709952.939999998</v>
      </c>
      <c r="BN59" s="192">
        <v>22648695.699999999</v>
      </c>
      <c r="BO59" s="192">
        <v>42079617.509999998</v>
      </c>
      <c r="BP59" s="192">
        <v>18797771.379999999</v>
      </c>
      <c r="BQ59" s="192">
        <v>48508239.079999998</v>
      </c>
      <c r="BR59" s="192">
        <v>27619051.48</v>
      </c>
      <c r="BS59" s="192">
        <v>52975667</v>
      </c>
      <c r="BT59" s="192">
        <v>28030907.379999999</v>
      </c>
      <c r="BU59" s="192">
        <v>-1880458.13</v>
      </c>
      <c r="BV59" s="192">
        <v>0</v>
      </c>
    </row>
    <row r="60" spans="1:74" s="192" customFormat="1" x14ac:dyDescent="0.25">
      <c r="A60" s="192" t="s">
        <v>273</v>
      </c>
      <c r="B60" s="192">
        <v>0</v>
      </c>
      <c r="C60" s="192">
        <v>-76902741.540000007</v>
      </c>
      <c r="D60" s="192">
        <v>0</v>
      </c>
      <c r="E60" s="192">
        <v>-320623463.23000002</v>
      </c>
      <c r="F60" s="192">
        <v>0</v>
      </c>
      <c r="G60" s="192">
        <v>-181665882.11000001</v>
      </c>
      <c r="H60" s="192">
        <v>0</v>
      </c>
      <c r="I60" s="192">
        <v>-200239260.71000001</v>
      </c>
      <c r="J60" s="192">
        <v>0</v>
      </c>
      <c r="K60" s="192">
        <v>-67315479.040000007</v>
      </c>
      <c r="L60" s="192">
        <v>0</v>
      </c>
      <c r="M60" s="192">
        <v>-201749610.84</v>
      </c>
      <c r="N60" s="192">
        <v>0</v>
      </c>
      <c r="O60" s="192">
        <v>-71820527.819999993</v>
      </c>
      <c r="P60" s="192">
        <v>0</v>
      </c>
      <c r="Q60" s="192">
        <v>-177965089.25999999</v>
      </c>
      <c r="R60" s="192">
        <v>0</v>
      </c>
      <c r="S60" s="192">
        <v>-56378070.460000001</v>
      </c>
      <c r="T60" s="192">
        <v>0</v>
      </c>
      <c r="U60" s="192">
        <v>-116861930.2</v>
      </c>
      <c r="V60" s="192">
        <v>0</v>
      </c>
      <c r="W60" s="192">
        <v>-38581681.439999998</v>
      </c>
      <c r="X60" s="192">
        <v>0</v>
      </c>
      <c r="Y60" s="192">
        <v>-55622690.399999999</v>
      </c>
      <c r="Z60" s="192">
        <v>0</v>
      </c>
      <c r="AA60" s="192">
        <v>-5062792.63</v>
      </c>
      <c r="AB60" s="192">
        <v>0</v>
      </c>
      <c r="AC60" s="192">
        <v>-77371574.280000001</v>
      </c>
      <c r="AD60" s="192">
        <v>0</v>
      </c>
      <c r="AE60" s="192">
        <v>-29611899.969999999</v>
      </c>
      <c r="AF60" s="192">
        <v>0</v>
      </c>
      <c r="AG60" s="192">
        <v>-4004480.96</v>
      </c>
      <c r="AH60" s="192">
        <v>0</v>
      </c>
      <c r="AI60" s="192">
        <v>-437609.93</v>
      </c>
      <c r="AJ60" s="192">
        <v>0</v>
      </c>
      <c r="AK60" s="192">
        <v>7283064.75</v>
      </c>
      <c r="AL60" s="192">
        <v>0</v>
      </c>
      <c r="AM60" s="192">
        <v>0</v>
      </c>
      <c r="AN60" s="192">
        <v>0</v>
      </c>
      <c r="AO60" s="192">
        <v>0</v>
      </c>
      <c r="AP60" s="192">
        <v>0</v>
      </c>
      <c r="AQ60" s="192">
        <v>-40749752.700000003</v>
      </c>
      <c r="AR60" s="192">
        <v>0</v>
      </c>
      <c r="AS60" s="192">
        <v>-285100198.74000001</v>
      </c>
      <c r="AT60" s="192">
        <v>0</v>
      </c>
      <c r="AU60" s="192">
        <v>0</v>
      </c>
      <c r="AV60" s="192">
        <v>0</v>
      </c>
      <c r="AW60" s="192">
        <v>-44407031.920000002</v>
      </c>
      <c r="AX60" s="192">
        <v>-30964617.920000002</v>
      </c>
      <c r="AY60" s="192">
        <v>-12989562.16</v>
      </c>
      <c r="AZ60" s="192">
        <v>-4770261.76</v>
      </c>
      <c r="BA60" s="192">
        <v>-26058281.710000001</v>
      </c>
      <c r="BB60" s="192">
        <v>-22216810.960000001</v>
      </c>
      <c r="BC60" s="192">
        <v>-10133181.210000001</v>
      </c>
      <c r="BD60" s="192">
        <v>-6743770.8899999997</v>
      </c>
      <c r="BE60" s="192">
        <v>-34636461.399999999</v>
      </c>
      <c r="BF60" s="192">
        <v>-20534871.050000001</v>
      </c>
      <c r="BG60" s="192">
        <v>-13568055.609999999</v>
      </c>
      <c r="BH60" s="192">
        <v>-6386110.6600000001</v>
      </c>
      <c r="BI60" s="192">
        <v>-56675673.390000001</v>
      </c>
      <c r="BJ60" s="192">
        <v>-35962583.600000001</v>
      </c>
      <c r="BK60" s="192">
        <v>-23739846.239999998</v>
      </c>
      <c r="BL60" s="192">
        <v>0</v>
      </c>
      <c r="BM60" s="192">
        <v>-27405251.039999999</v>
      </c>
      <c r="BN60" s="192">
        <v>8887283.5399999991</v>
      </c>
      <c r="BO60" s="192">
        <v>-14015947.060000001</v>
      </c>
      <c r="BP60" s="192">
        <v>-14419224.66</v>
      </c>
      <c r="BQ60" s="192">
        <v>-17274579.829999998</v>
      </c>
      <c r="BR60" s="192">
        <v>-6547700.0800000001</v>
      </c>
      <c r="BS60" s="192">
        <v>24371562.48</v>
      </c>
      <c r="BT60" s="192">
        <v>45646454.090000004</v>
      </c>
      <c r="BU60" s="192">
        <v>11084069.26</v>
      </c>
      <c r="BV60" s="192">
        <v>0</v>
      </c>
    </row>
    <row r="61" spans="1:74" s="192" customFormat="1" x14ac:dyDescent="0.25">
      <c r="A61" s="192" t="s">
        <v>274</v>
      </c>
      <c r="B61" s="192">
        <v>0</v>
      </c>
      <c r="C61" s="192">
        <v>30082362.690000001</v>
      </c>
      <c r="D61" s="192">
        <v>0</v>
      </c>
      <c r="E61" s="192">
        <v>-100331709.36</v>
      </c>
      <c r="F61" s="192">
        <v>0</v>
      </c>
      <c r="G61" s="192">
        <v>-44359565.359999999</v>
      </c>
      <c r="H61" s="192">
        <v>0</v>
      </c>
      <c r="I61" s="192">
        <v>-55267875.030000001</v>
      </c>
      <c r="J61" s="192">
        <v>0</v>
      </c>
      <c r="K61" s="192">
        <v>-36827810.460000001</v>
      </c>
      <c r="L61" s="192">
        <v>0</v>
      </c>
      <c r="M61" s="192">
        <v>-25027963.550000001</v>
      </c>
      <c r="N61" s="192">
        <v>0</v>
      </c>
      <c r="O61" s="192">
        <v>-6529270.3499999996</v>
      </c>
      <c r="P61" s="192">
        <v>0</v>
      </c>
      <c r="Q61" s="192">
        <v>-64250956.829999998</v>
      </c>
      <c r="R61" s="192">
        <v>0</v>
      </c>
      <c r="S61" s="192">
        <v>-48594610.18</v>
      </c>
      <c r="T61" s="192">
        <v>0</v>
      </c>
      <c r="U61" s="192">
        <v>-70682051.810000002</v>
      </c>
      <c r="V61" s="192">
        <v>0</v>
      </c>
      <c r="W61" s="192">
        <v>-7428614.6200000001</v>
      </c>
      <c r="X61" s="192">
        <v>0</v>
      </c>
      <c r="Y61" s="192">
        <v>4453134.3899999997</v>
      </c>
      <c r="Z61" s="192">
        <v>0</v>
      </c>
      <c r="AA61" s="192">
        <v>18164285.98</v>
      </c>
      <c r="AB61" s="192">
        <v>0</v>
      </c>
      <c r="AC61" s="192">
        <v>17011104.050000001</v>
      </c>
      <c r="AD61" s="192">
        <v>0</v>
      </c>
      <c r="AE61" s="192">
        <v>-18482204.809999999</v>
      </c>
      <c r="AF61" s="192">
        <v>0</v>
      </c>
      <c r="AG61" s="192">
        <v>-8880511.5600000005</v>
      </c>
      <c r="AH61" s="192">
        <v>0</v>
      </c>
      <c r="AI61" s="192">
        <v>-15355965.75</v>
      </c>
      <c r="AJ61" s="192">
        <v>0</v>
      </c>
      <c r="AK61" s="192">
        <v>-8365670.96</v>
      </c>
      <c r="AL61" s="192">
        <v>0</v>
      </c>
      <c r="AM61" s="192">
        <v>0</v>
      </c>
      <c r="AN61" s="192">
        <v>0</v>
      </c>
      <c r="AO61" s="192">
        <v>0</v>
      </c>
      <c r="AP61" s="192">
        <v>0</v>
      </c>
      <c r="AQ61" s="192">
        <v>4396257.2699999996</v>
      </c>
      <c r="AR61" s="192">
        <v>0</v>
      </c>
      <c r="AS61" s="192">
        <v>49183879.670000002</v>
      </c>
      <c r="AT61" s="192">
        <v>0</v>
      </c>
      <c r="AU61" s="192">
        <v>0</v>
      </c>
      <c r="AV61" s="192">
        <v>0</v>
      </c>
      <c r="AW61" s="192">
        <v>0</v>
      </c>
      <c r="AX61" s="192">
        <v>0</v>
      </c>
      <c r="AY61" s="192">
        <v>0</v>
      </c>
      <c r="AZ61" s="192">
        <v>0</v>
      </c>
      <c r="BA61" s="192">
        <v>0</v>
      </c>
      <c r="BB61" s="192">
        <v>0</v>
      </c>
      <c r="BC61" s="192">
        <v>0</v>
      </c>
      <c r="BD61" s="192">
        <v>0</v>
      </c>
      <c r="BE61" s="192">
        <v>0</v>
      </c>
      <c r="BF61" s="192">
        <v>0</v>
      </c>
      <c r="BG61" s="192">
        <v>0</v>
      </c>
      <c r="BH61" s="192">
        <v>0</v>
      </c>
      <c r="BI61" s="192">
        <v>0</v>
      </c>
      <c r="BJ61" s="192">
        <v>0</v>
      </c>
      <c r="BK61" s="192">
        <v>0</v>
      </c>
      <c r="BL61" s="192">
        <v>0</v>
      </c>
      <c r="BM61" s="192">
        <v>0</v>
      </c>
      <c r="BN61" s="192">
        <v>0</v>
      </c>
      <c r="BO61" s="192">
        <v>0</v>
      </c>
      <c r="BP61" s="192">
        <v>0</v>
      </c>
      <c r="BQ61" s="192">
        <v>0</v>
      </c>
      <c r="BR61" s="192">
        <v>0</v>
      </c>
      <c r="BS61" s="192">
        <v>0</v>
      </c>
      <c r="BT61" s="192">
        <v>0</v>
      </c>
      <c r="BU61" s="192">
        <v>0</v>
      </c>
      <c r="BV61" s="192">
        <v>0</v>
      </c>
    </row>
    <row r="62" spans="1:74" s="192" customFormat="1" x14ac:dyDescent="0.25">
      <c r="A62" s="192" t="s">
        <v>275</v>
      </c>
      <c r="B62" s="192">
        <v>0</v>
      </c>
      <c r="C62" s="192">
        <v>-790535.7</v>
      </c>
      <c r="D62" s="192">
        <v>0</v>
      </c>
      <c r="E62" s="192">
        <v>0</v>
      </c>
      <c r="F62" s="192">
        <v>0</v>
      </c>
      <c r="G62" s="192">
        <v>737680.97</v>
      </c>
      <c r="H62" s="192">
        <v>0</v>
      </c>
      <c r="I62" s="192">
        <v>-453200.04</v>
      </c>
      <c r="J62" s="192">
        <v>0</v>
      </c>
      <c r="K62" s="192">
        <v>0</v>
      </c>
      <c r="L62" s="192">
        <v>0</v>
      </c>
      <c r="M62" s="192">
        <v>0</v>
      </c>
      <c r="N62" s="192">
        <v>0</v>
      </c>
      <c r="O62" s="192">
        <v>-37336.160000000003</v>
      </c>
      <c r="P62" s="192">
        <v>0</v>
      </c>
      <c r="Q62" s="192">
        <v>-2215174.84</v>
      </c>
      <c r="R62" s="192">
        <v>0</v>
      </c>
      <c r="S62" s="192">
        <v>-2029468.5</v>
      </c>
      <c r="T62" s="192">
        <v>0</v>
      </c>
      <c r="U62" s="192">
        <v>2068822.5</v>
      </c>
      <c r="V62" s="192">
        <v>0</v>
      </c>
      <c r="W62" s="192">
        <v>1587699</v>
      </c>
      <c r="X62" s="192">
        <v>0</v>
      </c>
      <c r="Y62" s="192">
        <v>-460156.5</v>
      </c>
      <c r="Z62" s="192">
        <v>0</v>
      </c>
      <c r="AA62" s="192">
        <v>-643845</v>
      </c>
      <c r="AB62" s="192">
        <v>0</v>
      </c>
      <c r="AC62" s="192">
        <v>-522950</v>
      </c>
      <c r="AD62" s="192">
        <v>0</v>
      </c>
      <c r="AE62" s="192">
        <v>1075074.6499999999</v>
      </c>
      <c r="AF62" s="192">
        <v>0</v>
      </c>
      <c r="AG62" s="192">
        <v>1166795</v>
      </c>
      <c r="AH62" s="192">
        <v>0</v>
      </c>
      <c r="AI62" s="192">
        <v>0</v>
      </c>
      <c r="AJ62" s="192">
        <v>0</v>
      </c>
      <c r="AK62" s="192">
        <v>0</v>
      </c>
      <c r="AL62" s="192">
        <v>0</v>
      </c>
      <c r="AM62" s="192">
        <v>0</v>
      </c>
      <c r="AN62" s="192">
        <v>0</v>
      </c>
      <c r="AO62" s="192">
        <v>0</v>
      </c>
      <c r="AP62" s="192">
        <v>0</v>
      </c>
      <c r="AQ62" s="192">
        <v>382261.82</v>
      </c>
      <c r="AR62" s="192">
        <v>0</v>
      </c>
      <c r="AS62" s="192">
        <v>0</v>
      </c>
      <c r="AT62" s="192">
        <v>0</v>
      </c>
      <c r="AU62" s="192">
        <v>0</v>
      </c>
      <c r="AV62" s="192">
        <v>0</v>
      </c>
      <c r="AW62" s="192">
        <v>0</v>
      </c>
      <c r="AX62" s="192">
        <v>0</v>
      </c>
      <c r="AY62" s="192">
        <v>0</v>
      </c>
      <c r="AZ62" s="192">
        <v>0</v>
      </c>
      <c r="BA62" s="192">
        <v>0</v>
      </c>
      <c r="BB62" s="192">
        <v>-4719695.16</v>
      </c>
      <c r="BC62" s="192">
        <v>0</v>
      </c>
      <c r="BD62" s="192">
        <v>0</v>
      </c>
      <c r="BE62" s="192">
        <v>0</v>
      </c>
      <c r="BF62" s="192">
        <v>0</v>
      </c>
      <c r="BG62" s="192">
        <v>0</v>
      </c>
      <c r="BH62" s="192">
        <v>0</v>
      </c>
      <c r="BI62" s="192">
        <v>0</v>
      </c>
      <c r="BJ62" s="192">
        <v>0</v>
      </c>
      <c r="BK62" s="192">
        <v>0</v>
      </c>
      <c r="BL62" s="192">
        <v>0</v>
      </c>
      <c r="BM62" s="192">
        <v>0</v>
      </c>
      <c r="BN62" s="192">
        <v>0</v>
      </c>
      <c r="BO62" s="192">
        <v>0</v>
      </c>
      <c r="BP62" s="192">
        <v>0</v>
      </c>
      <c r="BQ62" s="192">
        <v>0</v>
      </c>
      <c r="BR62" s="192">
        <v>0</v>
      </c>
      <c r="BS62" s="192">
        <v>0</v>
      </c>
      <c r="BT62" s="192">
        <v>0</v>
      </c>
      <c r="BU62" s="192">
        <v>0</v>
      </c>
      <c r="BV62" s="192">
        <v>0</v>
      </c>
    </row>
    <row r="63" spans="1:74" s="192" customFormat="1" x14ac:dyDescent="0.25">
      <c r="A63" s="192" t="s">
        <v>276</v>
      </c>
      <c r="B63" s="192">
        <v>0</v>
      </c>
      <c r="C63" s="192">
        <v>1428158048.3599999</v>
      </c>
      <c r="D63" s="192">
        <v>0</v>
      </c>
      <c r="E63" s="192">
        <v>-304748260.10000002</v>
      </c>
      <c r="F63" s="192">
        <v>0</v>
      </c>
      <c r="G63" s="192">
        <v>614201149.51999998</v>
      </c>
      <c r="H63" s="192">
        <v>0</v>
      </c>
      <c r="I63" s="192">
        <v>-1040795912.39</v>
      </c>
      <c r="J63" s="192">
        <v>0</v>
      </c>
      <c r="K63" s="192">
        <v>134845643.09999999</v>
      </c>
      <c r="L63" s="192">
        <v>0</v>
      </c>
      <c r="M63" s="192">
        <v>-163682022.56</v>
      </c>
      <c r="N63" s="192">
        <v>0</v>
      </c>
      <c r="O63" s="192">
        <v>151430212.58000001</v>
      </c>
      <c r="P63" s="192">
        <v>0</v>
      </c>
      <c r="Q63" s="192">
        <v>167236175.84</v>
      </c>
      <c r="R63" s="192">
        <v>0</v>
      </c>
      <c r="S63" s="192">
        <v>218968580.59</v>
      </c>
      <c r="T63" s="192">
        <v>0</v>
      </c>
      <c r="U63" s="192">
        <v>129158756.65000001</v>
      </c>
      <c r="V63" s="192">
        <v>0</v>
      </c>
      <c r="W63" s="192">
        <v>287313554.76999998</v>
      </c>
      <c r="X63" s="192">
        <v>0</v>
      </c>
      <c r="Y63" s="192">
        <v>-154235526.68000001</v>
      </c>
      <c r="Z63" s="192">
        <v>0</v>
      </c>
      <c r="AA63" s="192">
        <v>191820788.31</v>
      </c>
      <c r="AB63" s="192">
        <v>0</v>
      </c>
      <c r="AC63" s="192">
        <v>241508734.53</v>
      </c>
      <c r="AD63" s="192">
        <v>0</v>
      </c>
      <c r="AE63" s="192">
        <v>132708678.56</v>
      </c>
      <c r="AF63" s="192">
        <v>0</v>
      </c>
      <c r="AG63" s="192">
        <v>-339622574.29000002</v>
      </c>
      <c r="AH63" s="192">
        <v>0</v>
      </c>
      <c r="AI63" s="192">
        <v>104529123.59</v>
      </c>
      <c r="AJ63" s="192">
        <v>0</v>
      </c>
      <c r="AK63" s="192">
        <v>146505609.63</v>
      </c>
      <c r="AL63" s="192">
        <v>0</v>
      </c>
      <c r="AM63" s="192">
        <v>0</v>
      </c>
      <c r="AN63" s="192">
        <v>0</v>
      </c>
      <c r="AO63" s="192">
        <v>0</v>
      </c>
      <c r="AP63" s="192">
        <v>0</v>
      </c>
      <c r="AQ63" s="192">
        <v>-109183700.26000001</v>
      </c>
      <c r="AR63" s="192">
        <v>0</v>
      </c>
      <c r="AS63" s="192">
        <v>140779294.28999999</v>
      </c>
      <c r="AT63" s="192">
        <v>0</v>
      </c>
      <c r="AU63" s="192">
        <v>0</v>
      </c>
      <c r="AV63" s="192">
        <v>0</v>
      </c>
      <c r="AW63" s="192">
        <v>-59404004.909999996</v>
      </c>
      <c r="AX63" s="192">
        <v>-43805794.079999998</v>
      </c>
      <c r="AY63" s="192">
        <v>-32450485.359999999</v>
      </c>
      <c r="AZ63" s="192">
        <v>42228060.399999999</v>
      </c>
      <c r="BA63" s="192">
        <v>-139595332.80000001</v>
      </c>
      <c r="BB63" s="192">
        <v>-91132009.640000001</v>
      </c>
      <c r="BC63" s="192">
        <v>-43162022.090000004</v>
      </c>
      <c r="BD63" s="192">
        <v>-27280331.73</v>
      </c>
      <c r="BE63" s="192">
        <v>-110963524.11</v>
      </c>
      <c r="BF63" s="192">
        <v>-36387475.090000004</v>
      </c>
      <c r="BG63" s="192">
        <v>-26269609.210000001</v>
      </c>
      <c r="BH63" s="192">
        <v>-29427307.41</v>
      </c>
      <c r="BI63" s="192">
        <v>254623154.31</v>
      </c>
      <c r="BJ63" s="192">
        <v>51955512.469999999</v>
      </c>
      <c r="BK63" s="192">
        <v>102821527.33</v>
      </c>
      <c r="BL63" s="192">
        <v>0</v>
      </c>
      <c r="BM63" s="192">
        <v>-332006203.33999997</v>
      </c>
      <c r="BN63" s="192">
        <v>-231333526.87</v>
      </c>
      <c r="BO63" s="192">
        <v>-193390757.72999999</v>
      </c>
      <c r="BP63" s="192">
        <v>-72562462.450000003</v>
      </c>
      <c r="BQ63" s="192">
        <v>-7390037.1600000001</v>
      </c>
      <c r="BR63" s="192">
        <v>65074715.039999999</v>
      </c>
      <c r="BS63" s="192">
        <v>-65943858.299999997</v>
      </c>
      <c r="BT63" s="192">
        <v>-81715182.200000003</v>
      </c>
      <c r="BU63" s="192">
        <v>-28741073.68</v>
      </c>
      <c r="BV63" s="192">
        <v>0</v>
      </c>
    </row>
    <row r="64" spans="1:74" s="192" customFormat="1" x14ac:dyDescent="0.25">
      <c r="A64" s="192" t="s">
        <v>277</v>
      </c>
      <c r="B64" s="192">
        <v>0</v>
      </c>
      <c r="C64" s="192">
        <v>-229740644.12</v>
      </c>
      <c r="D64" s="192">
        <v>0</v>
      </c>
      <c r="E64" s="192">
        <v>-339961965.35000002</v>
      </c>
      <c r="F64" s="192">
        <v>0</v>
      </c>
      <c r="G64" s="192">
        <v>-728452220.92999995</v>
      </c>
      <c r="H64" s="192">
        <v>0</v>
      </c>
      <c r="I64" s="192">
        <v>127720638.06999999</v>
      </c>
      <c r="J64" s="192">
        <v>0</v>
      </c>
      <c r="K64" s="192">
        <v>47112616.960000001</v>
      </c>
      <c r="L64" s="192">
        <v>0</v>
      </c>
      <c r="M64" s="192">
        <v>1734355028.9200001</v>
      </c>
      <c r="N64" s="192">
        <v>0</v>
      </c>
      <c r="O64" s="192">
        <v>1090041707.3699999</v>
      </c>
      <c r="P64" s="192">
        <v>0</v>
      </c>
      <c r="Q64" s="192">
        <v>-3846361785.7600002</v>
      </c>
      <c r="R64" s="192">
        <v>0</v>
      </c>
      <c r="S64" s="192">
        <v>34104953.909999996</v>
      </c>
      <c r="T64" s="192">
        <v>0</v>
      </c>
      <c r="U64" s="192">
        <v>-3865072453.9899998</v>
      </c>
      <c r="V64" s="192">
        <v>0</v>
      </c>
      <c r="W64" s="192">
        <v>577251722.96000004</v>
      </c>
      <c r="X64" s="192">
        <v>0</v>
      </c>
      <c r="Y64" s="192">
        <v>937501960.30999994</v>
      </c>
      <c r="Z64" s="192">
        <v>0</v>
      </c>
      <c r="AA64" s="192">
        <v>1659302504.8199999</v>
      </c>
      <c r="AB64" s="192">
        <v>0</v>
      </c>
      <c r="AC64" s="192">
        <v>-1121381670.27</v>
      </c>
      <c r="AD64" s="192">
        <v>0</v>
      </c>
      <c r="AE64" s="192">
        <v>-2709576003.3899999</v>
      </c>
      <c r="AF64" s="192">
        <v>0</v>
      </c>
      <c r="AG64" s="192">
        <v>-588184930.58000004</v>
      </c>
      <c r="AH64" s="192">
        <v>0</v>
      </c>
      <c r="AI64" s="192">
        <v>-1324130685.9000001</v>
      </c>
      <c r="AJ64" s="192">
        <v>0</v>
      </c>
      <c r="AK64" s="192">
        <v>-1029801596.15</v>
      </c>
      <c r="AL64" s="192">
        <v>0</v>
      </c>
      <c r="AM64" s="192">
        <v>0</v>
      </c>
      <c r="AN64" s="192">
        <v>0</v>
      </c>
      <c r="AO64" s="192">
        <v>0</v>
      </c>
      <c r="AP64" s="192">
        <v>0</v>
      </c>
      <c r="AQ64" s="192">
        <v>-156688385.50999999</v>
      </c>
      <c r="AR64" s="192">
        <v>0</v>
      </c>
      <c r="AS64" s="192">
        <v>709326411.19000006</v>
      </c>
      <c r="AT64" s="192">
        <v>0</v>
      </c>
      <c r="AU64" s="192">
        <v>0</v>
      </c>
      <c r="AV64" s="192">
        <v>0</v>
      </c>
      <c r="AW64" s="192">
        <v>-230176320.72999999</v>
      </c>
      <c r="AX64" s="192">
        <v>-230754572.15000001</v>
      </c>
      <c r="AY64" s="192">
        <v>-135912777.37</v>
      </c>
      <c r="AZ64" s="192">
        <v>11460985.119999999</v>
      </c>
      <c r="BA64" s="192">
        <v>-300902751.30000001</v>
      </c>
      <c r="BB64" s="192">
        <v>-286619545.07999998</v>
      </c>
      <c r="BC64" s="192">
        <v>-280280519.41000003</v>
      </c>
      <c r="BD64" s="192">
        <v>-33036873.16</v>
      </c>
      <c r="BE64" s="192">
        <v>-183550989.09</v>
      </c>
      <c r="BF64" s="192">
        <v>-470811496.62</v>
      </c>
      <c r="BG64" s="192">
        <v>-220866659.34</v>
      </c>
      <c r="BH64" s="192">
        <v>-16183524.439999999</v>
      </c>
      <c r="BI64" s="192">
        <v>-150006250.68000001</v>
      </c>
      <c r="BJ64" s="192">
        <v>-375584615.61000001</v>
      </c>
      <c r="BK64" s="192">
        <v>-99087203.329999998</v>
      </c>
      <c r="BL64" s="192">
        <v>0</v>
      </c>
      <c r="BM64" s="192">
        <v>-22657964.09</v>
      </c>
      <c r="BN64" s="192">
        <v>-54333735.590000004</v>
      </c>
      <c r="BO64" s="192">
        <v>51120386.020000003</v>
      </c>
      <c r="BP64" s="192">
        <v>22863955.16</v>
      </c>
      <c r="BQ64" s="192">
        <v>-95929448.609999999</v>
      </c>
      <c r="BR64" s="192">
        <v>8562632.9199999999</v>
      </c>
      <c r="BS64" s="192">
        <v>-121092136.39</v>
      </c>
      <c r="BT64" s="192">
        <v>-384477301.30000001</v>
      </c>
      <c r="BU64" s="192">
        <v>-263826114.83000001</v>
      </c>
      <c r="BV64" s="192">
        <v>0</v>
      </c>
    </row>
    <row r="65" spans="1:74" s="192" customFormat="1" x14ac:dyDescent="0.25">
      <c r="A65" s="192" t="s">
        <v>278</v>
      </c>
      <c r="B65" s="192">
        <v>0</v>
      </c>
      <c r="C65" s="192">
        <v>-1915599644.9000001</v>
      </c>
      <c r="D65" s="192">
        <v>0</v>
      </c>
      <c r="E65" s="192">
        <v>1176210825.71</v>
      </c>
      <c r="F65" s="192">
        <v>0</v>
      </c>
      <c r="G65" s="192">
        <v>-748672061.46000004</v>
      </c>
      <c r="H65" s="192">
        <v>0</v>
      </c>
      <c r="I65" s="192">
        <v>3540292870.02</v>
      </c>
      <c r="J65" s="192">
        <v>0</v>
      </c>
      <c r="K65" s="192">
        <v>789234275.49000001</v>
      </c>
      <c r="L65" s="192">
        <v>0</v>
      </c>
      <c r="M65" s="192">
        <v>1102940765.6600001</v>
      </c>
      <c r="N65" s="192">
        <v>0</v>
      </c>
      <c r="O65" s="192">
        <v>-359344452.77999997</v>
      </c>
      <c r="P65" s="192">
        <v>0</v>
      </c>
      <c r="Q65" s="192">
        <v>4580004224.7200003</v>
      </c>
      <c r="R65" s="192">
        <v>0</v>
      </c>
      <c r="S65" s="192">
        <v>226757919.81999999</v>
      </c>
      <c r="T65" s="192">
        <v>0</v>
      </c>
      <c r="U65" s="192">
        <v>4168389765.9499998</v>
      </c>
      <c r="V65" s="192">
        <v>0</v>
      </c>
      <c r="W65" s="192">
        <v>-205562545.66</v>
      </c>
      <c r="X65" s="192">
        <v>0</v>
      </c>
      <c r="Y65" s="192">
        <v>-962468870.44000006</v>
      </c>
      <c r="Z65" s="192">
        <v>0</v>
      </c>
      <c r="AA65" s="192">
        <v>-1272360218.3199999</v>
      </c>
      <c r="AB65" s="192">
        <v>0</v>
      </c>
      <c r="AC65" s="192">
        <v>492559728.14999998</v>
      </c>
      <c r="AD65" s="192">
        <v>0</v>
      </c>
      <c r="AE65" s="192">
        <v>1726249260.5699999</v>
      </c>
      <c r="AF65" s="192">
        <v>0</v>
      </c>
      <c r="AG65" s="192">
        <v>985203446.12</v>
      </c>
      <c r="AH65" s="192">
        <v>0</v>
      </c>
      <c r="AI65" s="192">
        <v>1525825180.8199999</v>
      </c>
      <c r="AJ65" s="192">
        <v>0</v>
      </c>
      <c r="AK65" s="192">
        <v>709356520.29999995</v>
      </c>
      <c r="AL65" s="192">
        <v>0</v>
      </c>
      <c r="AM65" s="192">
        <v>0</v>
      </c>
      <c r="AN65" s="192">
        <v>0</v>
      </c>
      <c r="AO65" s="192">
        <v>0</v>
      </c>
      <c r="AP65" s="192">
        <v>0</v>
      </c>
      <c r="AQ65" s="192">
        <v>126988287.23</v>
      </c>
      <c r="AR65" s="192">
        <v>0</v>
      </c>
      <c r="AS65" s="192">
        <v>-771683525.09000003</v>
      </c>
      <c r="AT65" s="192">
        <v>0</v>
      </c>
      <c r="AU65" s="192">
        <v>0</v>
      </c>
      <c r="AV65" s="192">
        <v>0</v>
      </c>
      <c r="AW65" s="192">
        <v>282702003.69999999</v>
      </c>
      <c r="AX65" s="192">
        <v>28702327.399999999</v>
      </c>
      <c r="AY65" s="192">
        <v>77334240.709999993</v>
      </c>
      <c r="AZ65" s="192">
        <v>-126842539.27</v>
      </c>
      <c r="BA65" s="192">
        <v>335202560.50999999</v>
      </c>
      <c r="BB65" s="192">
        <v>12798765.01</v>
      </c>
      <c r="BC65" s="192">
        <v>-2443955.0499999998</v>
      </c>
      <c r="BD65" s="192">
        <v>-63272737.409999996</v>
      </c>
      <c r="BE65" s="192">
        <v>-27886522.420000002</v>
      </c>
      <c r="BF65" s="192">
        <v>186719879.69999999</v>
      </c>
      <c r="BG65" s="192">
        <v>140301980.19999999</v>
      </c>
      <c r="BH65" s="192">
        <v>16464434.41</v>
      </c>
      <c r="BI65" s="192">
        <v>-60422436.520000003</v>
      </c>
      <c r="BJ65" s="192">
        <v>316051623.27999997</v>
      </c>
      <c r="BK65" s="192">
        <v>87104193.090000004</v>
      </c>
      <c r="BL65" s="192">
        <v>0</v>
      </c>
      <c r="BM65" s="192">
        <v>383606201</v>
      </c>
      <c r="BN65" s="192">
        <v>165625032.19999999</v>
      </c>
      <c r="BO65" s="192">
        <v>33602304</v>
      </c>
      <c r="BP65" s="192">
        <v>-41713532.140000001</v>
      </c>
      <c r="BQ65" s="192">
        <v>-7663214.4199999999</v>
      </c>
      <c r="BR65" s="192">
        <v>-104402573.98999999</v>
      </c>
      <c r="BS65" s="192">
        <v>48487498.68</v>
      </c>
      <c r="BT65" s="192">
        <v>59262037.899999999</v>
      </c>
      <c r="BU65" s="192">
        <v>63875909.159999996</v>
      </c>
      <c r="BV65" s="192">
        <v>0</v>
      </c>
    </row>
    <row r="66" spans="1:74" s="192" customFormat="1" x14ac:dyDescent="0.25">
      <c r="A66" s="192" t="s">
        <v>279</v>
      </c>
      <c r="B66" s="192">
        <v>0</v>
      </c>
      <c r="C66" s="192">
        <v>0</v>
      </c>
      <c r="D66" s="192">
        <v>0</v>
      </c>
      <c r="E66" s="192">
        <v>0</v>
      </c>
      <c r="F66" s="192">
        <v>0</v>
      </c>
      <c r="G66" s="192">
        <v>0</v>
      </c>
      <c r="H66" s="192">
        <v>0</v>
      </c>
      <c r="I66" s="192">
        <v>0</v>
      </c>
      <c r="J66" s="192">
        <v>0</v>
      </c>
      <c r="K66" s="192">
        <v>0</v>
      </c>
      <c r="L66" s="192">
        <v>0</v>
      </c>
      <c r="M66" s="192">
        <v>0</v>
      </c>
      <c r="N66" s="192">
        <v>0</v>
      </c>
      <c r="O66" s="192">
        <v>0</v>
      </c>
      <c r="P66" s="192">
        <v>0</v>
      </c>
      <c r="Q66" s="192">
        <v>0</v>
      </c>
      <c r="R66" s="192">
        <v>0</v>
      </c>
      <c r="S66" s="192">
        <v>0</v>
      </c>
      <c r="T66" s="192">
        <v>0</v>
      </c>
      <c r="U66" s="192">
        <v>0</v>
      </c>
      <c r="V66" s="192">
        <v>0</v>
      </c>
      <c r="W66" s="192">
        <v>0</v>
      </c>
      <c r="X66" s="192">
        <v>0</v>
      </c>
      <c r="Y66" s="192">
        <v>0</v>
      </c>
      <c r="Z66" s="192">
        <v>0</v>
      </c>
      <c r="AA66" s="192">
        <v>0</v>
      </c>
      <c r="AB66" s="192">
        <v>0</v>
      </c>
      <c r="AC66" s="192">
        <v>0</v>
      </c>
      <c r="AD66" s="192">
        <v>0</v>
      </c>
      <c r="AE66" s="192">
        <v>0</v>
      </c>
      <c r="AF66" s="192">
        <v>0</v>
      </c>
      <c r="AG66" s="192">
        <v>0</v>
      </c>
      <c r="AH66" s="192">
        <v>0</v>
      </c>
      <c r="AI66" s="192">
        <v>0</v>
      </c>
      <c r="AJ66" s="192">
        <v>0</v>
      </c>
      <c r="AK66" s="192">
        <v>0</v>
      </c>
      <c r="AL66" s="192">
        <v>0</v>
      </c>
      <c r="AM66" s="192">
        <v>0</v>
      </c>
      <c r="AN66" s="192">
        <v>0</v>
      </c>
      <c r="AO66" s="192">
        <v>0</v>
      </c>
      <c r="AP66" s="192">
        <v>0</v>
      </c>
      <c r="AQ66" s="192">
        <v>0</v>
      </c>
      <c r="AR66" s="192">
        <v>0</v>
      </c>
      <c r="AS66" s="192">
        <v>0</v>
      </c>
      <c r="AT66" s="192">
        <v>0</v>
      </c>
      <c r="AU66" s="192">
        <v>0</v>
      </c>
      <c r="AV66" s="192">
        <v>0</v>
      </c>
      <c r="AW66" s="192">
        <v>0</v>
      </c>
      <c r="AX66" s="192">
        <v>0</v>
      </c>
      <c r="AY66" s="192">
        <v>0</v>
      </c>
      <c r="AZ66" s="192">
        <v>0</v>
      </c>
      <c r="BA66" s="192">
        <v>0</v>
      </c>
      <c r="BB66" s="192">
        <v>0</v>
      </c>
      <c r="BC66" s="192">
        <v>0</v>
      </c>
      <c r="BD66" s="192">
        <v>0</v>
      </c>
      <c r="BE66" s="192">
        <v>0</v>
      </c>
      <c r="BF66" s="192">
        <v>0</v>
      </c>
      <c r="BG66" s="192">
        <v>0</v>
      </c>
      <c r="BH66" s="192">
        <v>0</v>
      </c>
      <c r="BI66" s="192">
        <v>0</v>
      </c>
      <c r="BJ66" s="192">
        <v>0</v>
      </c>
      <c r="BK66" s="192">
        <v>0</v>
      </c>
      <c r="BL66" s="192">
        <v>0</v>
      </c>
      <c r="BM66" s="192">
        <v>0</v>
      </c>
      <c r="BN66" s="192">
        <v>0</v>
      </c>
      <c r="BO66" s="192">
        <v>0</v>
      </c>
      <c r="BP66" s="192">
        <v>0</v>
      </c>
      <c r="BQ66" s="192">
        <v>0</v>
      </c>
      <c r="BR66" s="192">
        <v>0</v>
      </c>
      <c r="BS66" s="192">
        <v>0</v>
      </c>
      <c r="BT66" s="192">
        <v>0</v>
      </c>
      <c r="BU66" s="192">
        <v>0</v>
      </c>
      <c r="BV66" s="192">
        <v>0</v>
      </c>
    </row>
    <row r="67" spans="1:74" s="192" customFormat="1" x14ac:dyDescent="0.25">
      <c r="A67" s="192" t="s">
        <v>280</v>
      </c>
      <c r="B67" s="192">
        <v>0</v>
      </c>
      <c r="C67" s="192">
        <v>0</v>
      </c>
      <c r="D67" s="192">
        <v>0</v>
      </c>
      <c r="E67" s="192">
        <v>0</v>
      </c>
      <c r="F67" s="192">
        <v>0</v>
      </c>
      <c r="G67" s="192">
        <v>0</v>
      </c>
      <c r="H67" s="192">
        <v>0</v>
      </c>
      <c r="I67" s="192">
        <v>0</v>
      </c>
      <c r="J67" s="192">
        <v>0</v>
      </c>
      <c r="K67" s="192">
        <v>0</v>
      </c>
      <c r="L67" s="192">
        <v>0</v>
      </c>
      <c r="M67" s="192">
        <v>0</v>
      </c>
      <c r="N67" s="192">
        <v>0</v>
      </c>
      <c r="O67" s="192">
        <v>0</v>
      </c>
      <c r="P67" s="192">
        <v>0</v>
      </c>
      <c r="Q67" s="192">
        <v>0</v>
      </c>
      <c r="R67" s="192">
        <v>0</v>
      </c>
      <c r="S67" s="192">
        <v>0</v>
      </c>
      <c r="T67" s="192">
        <v>0</v>
      </c>
      <c r="U67" s="192">
        <v>0</v>
      </c>
      <c r="V67" s="192">
        <v>0</v>
      </c>
      <c r="W67" s="192">
        <v>0</v>
      </c>
      <c r="X67" s="192">
        <v>0</v>
      </c>
      <c r="Y67" s="192">
        <v>0</v>
      </c>
      <c r="Z67" s="192">
        <v>0</v>
      </c>
      <c r="AA67" s="192">
        <v>0</v>
      </c>
      <c r="AB67" s="192">
        <v>0</v>
      </c>
      <c r="AC67" s="192">
        <v>0</v>
      </c>
      <c r="AD67" s="192">
        <v>0</v>
      </c>
      <c r="AE67" s="192">
        <v>0</v>
      </c>
      <c r="AF67" s="192">
        <v>0</v>
      </c>
      <c r="AG67" s="192">
        <v>0</v>
      </c>
      <c r="AH67" s="192">
        <v>0</v>
      </c>
      <c r="AI67" s="192">
        <v>0</v>
      </c>
      <c r="AJ67" s="192">
        <v>0</v>
      </c>
      <c r="AK67" s="192">
        <v>0</v>
      </c>
      <c r="AL67" s="192">
        <v>0</v>
      </c>
      <c r="AM67" s="192">
        <v>0</v>
      </c>
      <c r="AN67" s="192">
        <v>0</v>
      </c>
      <c r="AO67" s="192">
        <v>0</v>
      </c>
      <c r="AP67" s="192">
        <v>0</v>
      </c>
      <c r="AQ67" s="192">
        <v>0</v>
      </c>
      <c r="AR67" s="192">
        <v>0</v>
      </c>
      <c r="AS67" s="192">
        <v>0</v>
      </c>
      <c r="AT67" s="192">
        <v>0</v>
      </c>
      <c r="AU67" s="192">
        <v>0</v>
      </c>
      <c r="AV67" s="192">
        <v>0</v>
      </c>
      <c r="AW67" s="192">
        <v>0</v>
      </c>
      <c r="AX67" s="192">
        <v>0</v>
      </c>
      <c r="AY67" s="192">
        <v>0</v>
      </c>
      <c r="AZ67" s="192">
        <v>0</v>
      </c>
      <c r="BA67" s="192">
        <v>0</v>
      </c>
      <c r="BB67" s="192">
        <v>0</v>
      </c>
      <c r="BC67" s="192">
        <v>0</v>
      </c>
      <c r="BD67" s="192">
        <v>0</v>
      </c>
      <c r="BE67" s="192">
        <v>0</v>
      </c>
      <c r="BF67" s="192">
        <v>0</v>
      </c>
      <c r="BG67" s="192">
        <v>0</v>
      </c>
      <c r="BH67" s="192">
        <v>0</v>
      </c>
      <c r="BI67" s="192">
        <v>0</v>
      </c>
      <c r="BJ67" s="192">
        <v>0</v>
      </c>
      <c r="BK67" s="192">
        <v>0</v>
      </c>
      <c r="BL67" s="192">
        <v>0</v>
      </c>
      <c r="BM67" s="192">
        <v>0</v>
      </c>
      <c r="BN67" s="192">
        <v>0</v>
      </c>
      <c r="BO67" s="192">
        <v>0</v>
      </c>
      <c r="BP67" s="192">
        <v>0</v>
      </c>
      <c r="BQ67" s="192">
        <v>0</v>
      </c>
      <c r="BR67" s="192">
        <v>0</v>
      </c>
      <c r="BS67" s="192">
        <v>0</v>
      </c>
      <c r="BT67" s="192">
        <v>0</v>
      </c>
      <c r="BU67" s="192">
        <v>0</v>
      </c>
      <c r="BV67" s="192">
        <v>0</v>
      </c>
    </row>
    <row r="68" spans="1:74" s="192" customFormat="1" x14ac:dyDescent="0.25">
      <c r="A68" s="192" t="s">
        <v>281</v>
      </c>
      <c r="B68" s="192">
        <v>0</v>
      </c>
      <c r="C68" s="192">
        <v>45722746.409999996</v>
      </c>
      <c r="D68" s="192">
        <v>0</v>
      </c>
      <c r="E68" s="192">
        <v>64041211.460000001</v>
      </c>
      <c r="F68" s="192">
        <v>0</v>
      </c>
      <c r="G68" s="192">
        <v>24377334.690000001</v>
      </c>
      <c r="H68" s="192">
        <v>0</v>
      </c>
      <c r="I68" s="192">
        <v>36330588.219999999</v>
      </c>
      <c r="J68" s="192">
        <v>0</v>
      </c>
      <c r="K68" s="192">
        <v>14351343.109999999</v>
      </c>
      <c r="L68" s="192">
        <v>0</v>
      </c>
      <c r="M68" s="192">
        <v>0</v>
      </c>
      <c r="N68" s="192">
        <v>0</v>
      </c>
      <c r="O68" s="192">
        <v>0</v>
      </c>
      <c r="P68" s="192">
        <v>0</v>
      </c>
      <c r="Q68" s="192">
        <v>11641791.210000001</v>
      </c>
      <c r="R68" s="192">
        <v>0</v>
      </c>
      <c r="S68" s="192">
        <v>0</v>
      </c>
      <c r="T68" s="192">
        <v>0</v>
      </c>
      <c r="U68" s="192">
        <v>0</v>
      </c>
      <c r="V68" s="192">
        <v>0</v>
      </c>
      <c r="W68" s="192">
        <v>0</v>
      </c>
      <c r="X68" s="192">
        <v>0</v>
      </c>
      <c r="Y68" s="192">
        <v>33250000</v>
      </c>
      <c r="Z68" s="192">
        <v>0</v>
      </c>
      <c r="AA68" s="192">
        <v>0</v>
      </c>
      <c r="AB68" s="192">
        <v>0</v>
      </c>
      <c r="AC68" s="192">
        <v>0</v>
      </c>
      <c r="AD68" s="192">
        <v>0</v>
      </c>
      <c r="AE68" s="192">
        <v>0</v>
      </c>
      <c r="AF68" s="192">
        <v>0</v>
      </c>
      <c r="AG68" s="192">
        <v>0</v>
      </c>
      <c r="AH68" s="192">
        <v>0</v>
      </c>
      <c r="AI68" s="192">
        <v>0</v>
      </c>
      <c r="AJ68" s="192">
        <v>0</v>
      </c>
      <c r="AK68" s="192">
        <v>0</v>
      </c>
      <c r="AL68" s="192">
        <v>0</v>
      </c>
      <c r="AM68" s="192">
        <v>0</v>
      </c>
      <c r="AN68" s="192">
        <v>0</v>
      </c>
      <c r="AO68" s="192">
        <v>0</v>
      </c>
      <c r="AP68" s="192">
        <v>0</v>
      </c>
      <c r="AQ68" s="192">
        <v>0</v>
      </c>
      <c r="AR68" s="192">
        <v>0</v>
      </c>
      <c r="AS68" s="192">
        <v>-539269.87</v>
      </c>
      <c r="AT68" s="192">
        <v>0</v>
      </c>
      <c r="AU68" s="192">
        <v>0</v>
      </c>
      <c r="AV68" s="192">
        <v>0</v>
      </c>
      <c r="AW68" s="192">
        <v>0</v>
      </c>
      <c r="AX68" s="192">
        <v>-2191559.48</v>
      </c>
      <c r="AY68" s="192">
        <v>10234101.07</v>
      </c>
      <c r="AZ68" s="192">
        <v>-6306403.1399999997</v>
      </c>
      <c r="BA68" s="192">
        <v>0</v>
      </c>
      <c r="BB68" s="192">
        <v>10856525.109999999</v>
      </c>
      <c r="BC68" s="192">
        <v>11277807.42</v>
      </c>
      <c r="BD68" s="192">
        <v>8107775.8200000003</v>
      </c>
      <c r="BE68" s="192">
        <v>0</v>
      </c>
      <c r="BF68" s="192">
        <v>289005.03000000003</v>
      </c>
      <c r="BG68" s="192">
        <v>0</v>
      </c>
      <c r="BH68" s="192">
        <v>0</v>
      </c>
      <c r="BI68" s="192">
        <v>0</v>
      </c>
      <c r="BJ68" s="192">
        <v>0</v>
      </c>
      <c r="BK68" s="192">
        <v>0</v>
      </c>
      <c r="BL68" s="192">
        <v>0</v>
      </c>
      <c r="BM68" s="192">
        <v>0</v>
      </c>
      <c r="BN68" s="192">
        <v>0</v>
      </c>
      <c r="BO68" s="192">
        <v>0</v>
      </c>
      <c r="BP68" s="192">
        <v>0</v>
      </c>
      <c r="BQ68" s="192">
        <v>0</v>
      </c>
      <c r="BR68" s="192">
        <v>1705864.74</v>
      </c>
      <c r="BS68" s="192">
        <v>3404064.24</v>
      </c>
      <c r="BT68" s="192">
        <v>0</v>
      </c>
      <c r="BU68" s="192">
        <v>9846992.9600000009</v>
      </c>
      <c r="BV68" s="192">
        <v>0</v>
      </c>
    </row>
    <row r="69" spans="1:74" s="192" customFormat="1" x14ac:dyDescent="0.25">
      <c r="A69" s="192" t="s">
        <v>282</v>
      </c>
      <c r="B69" s="192">
        <v>0</v>
      </c>
      <c r="C69" s="192">
        <v>173229022.41</v>
      </c>
      <c r="D69" s="192">
        <v>0</v>
      </c>
      <c r="E69" s="192">
        <v>2015753818.3</v>
      </c>
      <c r="F69" s="192">
        <v>0</v>
      </c>
      <c r="G69" s="192">
        <v>-142410692.24000001</v>
      </c>
      <c r="H69" s="192">
        <v>0</v>
      </c>
      <c r="I69" s="192">
        <v>3896072787.3800001</v>
      </c>
      <c r="J69" s="192">
        <v>0</v>
      </c>
      <c r="K69" s="192">
        <v>1607097392.8800001</v>
      </c>
      <c r="L69" s="192">
        <v>0</v>
      </c>
      <c r="M69" s="192">
        <v>3598695468.8000002</v>
      </c>
      <c r="N69" s="192">
        <v>0</v>
      </c>
      <c r="O69" s="192">
        <v>1365269483.46</v>
      </c>
      <c r="P69" s="192">
        <v>0</v>
      </c>
      <c r="Q69" s="192">
        <v>1657114317.3299999</v>
      </c>
      <c r="R69" s="192">
        <v>0</v>
      </c>
      <c r="S69" s="192">
        <v>825104435.83000004</v>
      </c>
      <c r="T69" s="192">
        <v>0</v>
      </c>
      <c r="U69" s="192">
        <v>904882101.00999999</v>
      </c>
      <c r="V69" s="192">
        <v>0</v>
      </c>
      <c r="W69" s="192">
        <v>931122295.82000005</v>
      </c>
      <c r="X69" s="192">
        <v>0</v>
      </c>
      <c r="Y69" s="192">
        <v>344757698.14999998</v>
      </c>
      <c r="Z69" s="192">
        <v>0</v>
      </c>
      <c r="AA69" s="192">
        <v>909437610.73000002</v>
      </c>
      <c r="AB69" s="192">
        <v>0</v>
      </c>
      <c r="AC69" s="192">
        <v>242531309.06999999</v>
      </c>
      <c r="AD69" s="192">
        <v>0</v>
      </c>
      <c r="AE69" s="192">
        <v>-509000827.63</v>
      </c>
      <c r="AF69" s="192">
        <v>0</v>
      </c>
      <c r="AG69" s="192">
        <v>724134271.23000002</v>
      </c>
      <c r="AH69" s="192">
        <v>0</v>
      </c>
      <c r="AI69" s="192">
        <v>502850482.81999999</v>
      </c>
      <c r="AJ69" s="192">
        <v>0</v>
      </c>
      <c r="AK69" s="192">
        <v>139034407.22999999</v>
      </c>
      <c r="AL69" s="192">
        <v>0</v>
      </c>
      <c r="AM69" s="192">
        <v>0</v>
      </c>
      <c r="AN69" s="192">
        <v>0</v>
      </c>
      <c r="AO69" s="192">
        <v>0</v>
      </c>
      <c r="AP69" s="192">
        <v>0</v>
      </c>
      <c r="AQ69" s="192">
        <v>-34998529.030000001</v>
      </c>
      <c r="AR69" s="192">
        <v>0</v>
      </c>
      <c r="AS69" s="192">
        <v>372922270.44999999</v>
      </c>
      <c r="AT69" s="192">
        <v>0</v>
      </c>
      <c r="AU69" s="192">
        <v>0</v>
      </c>
      <c r="AV69" s="192">
        <v>0</v>
      </c>
      <c r="AW69" s="192">
        <v>267346663.90000001</v>
      </c>
      <c r="AX69" s="192">
        <v>1346400.95</v>
      </c>
      <c r="AY69" s="192">
        <v>65978433.439999998</v>
      </c>
      <c r="AZ69" s="192">
        <v>8023632.8499999996</v>
      </c>
      <c r="BA69" s="192">
        <v>65829110.939999998</v>
      </c>
      <c r="BB69" s="192">
        <v>-241294227.91</v>
      </c>
      <c r="BC69" s="192">
        <v>-238852387.12</v>
      </c>
      <c r="BD69" s="192">
        <v>-48360044.420000002</v>
      </c>
      <c r="BE69" s="192">
        <v>-179327253.78999999</v>
      </c>
      <c r="BF69" s="192">
        <v>-235585130.47</v>
      </c>
      <c r="BG69" s="192">
        <v>-33015230.77</v>
      </c>
      <c r="BH69" s="192">
        <v>5720800.9199999999</v>
      </c>
      <c r="BI69" s="192">
        <v>191451894.81999999</v>
      </c>
      <c r="BJ69" s="192">
        <v>10012713.58</v>
      </c>
      <c r="BK69" s="192">
        <v>103885212.09999999</v>
      </c>
      <c r="BL69" s="192">
        <v>53739026.68</v>
      </c>
      <c r="BM69" s="192">
        <v>86553355.260000005</v>
      </c>
      <c r="BN69" s="192">
        <v>54847398.829999998</v>
      </c>
      <c r="BO69" s="192">
        <v>96441569.840000004</v>
      </c>
      <c r="BP69" s="192">
        <v>41720009.359999999</v>
      </c>
      <c r="BQ69" s="192">
        <v>195693176.84999999</v>
      </c>
      <c r="BR69" s="192">
        <v>144842011.44</v>
      </c>
      <c r="BS69" s="192">
        <v>215586300.55000001</v>
      </c>
      <c r="BT69" s="192">
        <v>-50870453.439999998</v>
      </c>
      <c r="BU69" s="192">
        <v>-64035949.789999999</v>
      </c>
      <c r="BV69" s="192">
        <v>0</v>
      </c>
    </row>
    <row r="70" spans="1:74" s="192" customFormat="1" x14ac:dyDescent="0.25">
      <c r="A70" s="192" t="s">
        <v>283</v>
      </c>
      <c r="B70" s="192">
        <v>0</v>
      </c>
      <c r="C70" s="192">
        <v>0</v>
      </c>
      <c r="D70" s="192">
        <v>0</v>
      </c>
      <c r="E70" s="192">
        <v>0</v>
      </c>
      <c r="F70" s="192">
        <v>0</v>
      </c>
      <c r="G70" s="192">
        <v>0</v>
      </c>
      <c r="H70" s="192">
        <v>0</v>
      </c>
      <c r="I70" s="192">
        <v>0</v>
      </c>
      <c r="J70" s="192">
        <v>0</v>
      </c>
      <c r="K70" s="192">
        <v>0</v>
      </c>
      <c r="L70" s="192">
        <v>0</v>
      </c>
      <c r="M70" s="192">
        <v>0</v>
      </c>
      <c r="N70" s="192">
        <v>0</v>
      </c>
      <c r="O70" s="192">
        <v>0</v>
      </c>
      <c r="P70" s="192">
        <v>0</v>
      </c>
      <c r="Q70" s="192">
        <v>0</v>
      </c>
      <c r="R70" s="192">
        <v>0</v>
      </c>
      <c r="S70" s="192">
        <v>0</v>
      </c>
      <c r="T70" s="192">
        <v>0</v>
      </c>
      <c r="U70" s="192">
        <v>0</v>
      </c>
      <c r="V70" s="192">
        <v>0</v>
      </c>
      <c r="W70" s="192">
        <v>0</v>
      </c>
      <c r="X70" s="192">
        <v>0</v>
      </c>
      <c r="Y70" s="192">
        <v>0</v>
      </c>
      <c r="Z70" s="192">
        <v>0</v>
      </c>
      <c r="AA70" s="192">
        <v>0</v>
      </c>
      <c r="AB70" s="192">
        <v>0</v>
      </c>
      <c r="AC70" s="192">
        <v>0</v>
      </c>
      <c r="AD70" s="192">
        <v>0</v>
      </c>
      <c r="AE70" s="192">
        <v>0</v>
      </c>
      <c r="AF70" s="192">
        <v>0</v>
      </c>
      <c r="AG70" s="192">
        <v>0</v>
      </c>
      <c r="AH70" s="192">
        <v>0</v>
      </c>
      <c r="AI70" s="192">
        <v>0</v>
      </c>
      <c r="AJ70" s="192">
        <v>0</v>
      </c>
      <c r="AK70" s="192">
        <v>0</v>
      </c>
      <c r="AL70" s="192">
        <v>0</v>
      </c>
      <c r="AM70" s="192">
        <v>0</v>
      </c>
      <c r="AN70" s="192">
        <v>0</v>
      </c>
      <c r="AO70" s="192">
        <v>0</v>
      </c>
      <c r="AP70" s="192">
        <v>0</v>
      </c>
      <c r="AQ70" s="192">
        <v>0</v>
      </c>
      <c r="AR70" s="192">
        <v>0</v>
      </c>
      <c r="AS70" s="192">
        <v>0</v>
      </c>
      <c r="AT70" s="192">
        <v>0</v>
      </c>
      <c r="AU70" s="192">
        <v>0</v>
      </c>
      <c r="AV70" s="192">
        <v>0</v>
      </c>
      <c r="AW70" s="192">
        <v>0</v>
      </c>
      <c r="AX70" s="192">
        <v>0</v>
      </c>
      <c r="AY70" s="192">
        <v>0</v>
      </c>
      <c r="AZ70" s="192">
        <v>0</v>
      </c>
      <c r="BA70" s="192">
        <v>0</v>
      </c>
      <c r="BB70" s="192">
        <v>0</v>
      </c>
      <c r="BC70" s="192">
        <v>0</v>
      </c>
      <c r="BD70" s="192">
        <v>0</v>
      </c>
      <c r="BE70" s="192">
        <v>0</v>
      </c>
      <c r="BF70" s="192">
        <v>0</v>
      </c>
      <c r="BG70" s="192">
        <v>0</v>
      </c>
      <c r="BH70" s="192">
        <v>0</v>
      </c>
      <c r="BI70" s="192">
        <v>0</v>
      </c>
      <c r="BJ70" s="192">
        <v>0</v>
      </c>
      <c r="BK70" s="192">
        <v>0</v>
      </c>
      <c r="BL70" s="192">
        <v>0</v>
      </c>
      <c r="BM70" s="192">
        <v>0</v>
      </c>
      <c r="BN70" s="192">
        <v>0</v>
      </c>
      <c r="BO70" s="192">
        <v>0</v>
      </c>
      <c r="BP70" s="192">
        <v>0</v>
      </c>
      <c r="BQ70" s="192">
        <v>0</v>
      </c>
      <c r="BR70" s="192">
        <v>0</v>
      </c>
      <c r="BS70" s="192">
        <v>0</v>
      </c>
      <c r="BT70" s="192">
        <v>0</v>
      </c>
      <c r="BU70" s="192">
        <v>0</v>
      </c>
      <c r="BV70" s="192">
        <v>0</v>
      </c>
    </row>
    <row r="71" spans="1:74" s="192" customFormat="1" x14ac:dyDescent="0.25">
      <c r="A71" s="192" t="s">
        <v>284</v>
      </c>
      <c r="B71" s="192">
        <v>0</v>
      </c>
      <c r="C71" s="192">
        <v>0</v>
      </c>
      <c r="D71" s="192">
        <v>0</v>
      </c>
      <c r="E71" s="192">
        <v>0</v>
      </c>
      <c r="F71" s="192">
        <v>0</v>
      </c>
      <c r="G71" s="192">
        <v>0</v>
      </c>
      <c r="H71" s="192">
        <v>0</v>
      </c>
      <c r="I71" s="192">
        <v>0</v>
      </c>
      <c r="J71" s="192">
        <v>0</v>
      </c>
      <c r="K71" s="192">
        <v>0</v>
      </c>
      <c r="L71" s="192">
        <v>0</v>
      </c>
      <c r="M71" s="192">
        <v>0</v>
      </c>
      <c r="N71" s="192">
        <v>0</v>
      </c>
      <c r="O71" s="192">
        <v>0</v>
      </c>
      <c r="P71" s="192">
        <v>0</v>
      </c>
      <c r="Q71" s="192">
        <v>0</v>
      </c>
      <c r="R71" s="192">
        <v>0</v>
      </c>
      <c r="S71" s="192">
        <v>0</v>
      </c>
      <c r="T71" s="192">
        <v>0</v>
      </c>
      <c r="U71" s="192">
        <v>0</v>
      </c>
      <c r="V71" s="192">
        <v>0</v>
      </c>
      <c r="W71" s="192">
        <v>0</v>
      </c>
      <c r="X71" s="192">
        <v>0</v>
      </c>
      <c r="Y71" s="192">
        <v>0</v>
      </c>
      <c r="Z71" s="192">
        <v>0</v>
      </c>
      <c r="AA71" s="192">
        <v>0</v>
      </c>
      <c r="AB71" s="192">
        <v>0</v>
      </c>
      <c r="AC71" s="192">
        <v>0</v>
      </c>
      <c r="AD71" s="192">
        <v>0</v>
      </c>
      <c r="AE71" s="192">
        <v>0</v>
      </c>
      <c r="AF71" s="192">
        <v>0</v>
      </c>
      <c r="AG71" s="192">
        <v>0</v>
      </c>
      <c r="AH71" s="192">
        <v>0</v>
      </c>
      <c r="AI71" s="192">
        <v>0</v>
      </c>
      <c r="AJ71" s="192">
        <v>0</v>
      </c>
      <c r="AK71" s="192">
        <v>0</v>
      </c>
      <c r="AL71" s="192">
        <v>0</v>
      </c>
      <c r="AM71" s="192">
        <v>0</v>
      </c>
      <c r="AN71" s="192">
        <v>0</v>
      </c>
      <c r="AO71" s="192">
        <v>0</v>
      </c>
      <c r="AP71" s="192">
        <v>0</v>
      </c>
      <c r="AQ71" s="192">
        <v>0</v>
      </c>
      <c r="AR71" s="192">
        <v>0</v>
      </c>
      <c r="AS71" s="192">
        <v>0</v>
      </c>
      <c r="AT71" s="192">
        <v>0</v>
      </c>
      <c r="AU71" s="192">
        <v>0</v>
      </c>
      <c r="AV71" s="192">
        <v>0</v>
      </c>
      <c r="AW71" s="192">
        <v>0</v>
      </c>
      <c r="AX71" s="192">
        <v>0</v>
      </c>
      <c r="AY71" s="192">
        <v>0</v>
      </c>
      <c r="AZ71" s="192">
        <v>0</v>
      </c>
      <c r="BA71" s="192">
        <v>0</v>
      </c>
      <c r="BB71" s="192">
        <v>0</v>
      </c>
      <c r="BC71" s="192">
        <v>0</v>
      </c>
      <c r="BD71" s="192">
        <v>0</v>
      </c>
      <c r="BE71" s="192">
        <v>0</v>
      </c>
      <c r="BF71" s="192">
        <v>0</v>
      </c>
      <c r="BG71" s="192">
        <v>0</v>
      </c>
      <c r="BH71" s="192">
        <v>0</v>
      </c>
      <c r="BI71" s="192">
        <v>0</v>
      </c>
      <c r="BJ71" s="192">
        <v>0</v>
      </c>
      <c r="BK71" s="192">
        <v>0</v>
      </c>
      <c r="BL71" s="192">
        <v>0</v>
      </c>
      <c r="BM71" s="192">
        <v>0</v>
      </c>
      <c r="BN71" s="192">
        <v>0</v>
      </c>
      <c r="BO71" s="192">
        <v>0</v>
      </c>
      <c r="BP71" s="192">
        <v>0</v>
      </c>
      <c r="BQ71" s="192">
        <v>0</v>
      </c>
      <c r="BR71" s="192">
        <v>0</v>
      </c>
      <c r="BS71" s="192">
        <v>0</v>
      </c>
      <c r="BT71" s="192">
        <v>0</v>
      </c>
      <c r="BU71" s="192">
        <v>0</v>
      </c>
      <c r="BV71" s="192">
        <v>0</v>
      </c>
    </row>
    <row r="72" spans="1:74" s="192" customFormat="1" x14ac:dyDescent="0.25">
      <c r="A72" s="192" t="s">
        <v>285</v>
      </c>
      <c r="B72" s="192">
        <v>0</v>
      </c>
      <c r="C72" s="192">
        <v>0</v>
      </c>
      <c r="D72" s="192">
        <v>0</v>
      </c>
      <c r="E72" s="192">
        <v>0</v>
      </c>
      <c r="F72" s="192">
        <v>0</v>
      </c>
      <c r="G72" s="192">
        <v>0</v>
      </c>
      <c r="H72" s="192">
        <v>0</v>
      </c>
      <c r="I72" s="192">
        <v>0</v>
      </c>
      <c r="J72" s="192">
        <v>0</v>
      </c>
      <c r="K72" s="192">
        <v>0</v>
      </c>
      <c r="L72" s="192">
        <v>0</v>
      </c>
      <c r="M72" s="192">
        <v>0</v>
      </c>
      <c r="N72" s="192">
        <v>0</v>
      </c>
      <c r="O72" s="192">
        <v>0</v>
      </c>
      <c r="P72" s="192">
        <v>0</v>
      </c>
      <c r="Q72" s="192">
        <v>0</v>
      </c>
      <c r="R72" s="192">
        <v>0</v>
      </c>
      <c r="S72" s="192">
        <v>0</v>
      </c>
      <c r="T72" s="192">
        <v>0</v>
      </c>
      <c r="U72" s="192">
        <v>0</v>
      </c>
      <c r="V72" s="192">
        <v>0</v>
      </c>
      <c r="W72" s="192">
        <v>0</v>
      </c>
      <c r="X72" s="192">
        <v>0</v>
      </c>
      <c r="Y72" s="192">
        <v>0</v>
      </c>
      <c r="Z72" s="192">
        <v>0</v>
      </c>
      <c r="AA72" s="192">
        <v>0</v>
      </c>
      <c r="AB72" s="192">
        <v>0</v>
      </c>
      <c r="AC72" s="192">
        <v>0</v>
      </c>
      <c r="AD72" s="192">
        <v>0</v>
      </c>
      <c r="AE72" s="192">
        <v>0</v>
      </c>
      <c r="AF72" s="192">
        <v>0</v>
      </c>
      <c r="AG72" s="192">
        <v>0</v>
      </c>
      <c r="AH72" s="192">
        <v>0</v>
      </c>
      <c r="AI72" s="192">
        <v>0</v>
      </c>
      <c r="AJ72" s="192">
        <v>0</v>
      </c>
      <c r="AK72" s="192">
        <v>0</v>
      </c>
      <c r="AL72" s="192">
        <v>0</v>
      </c>
      <c r="AM72" s="192">
        <v>0</v>
      </c>
      <c r="AN72" s="192">
        <v>0</v>
      </c>
      <c r="AO72" s="192">
        <v>0</v>
      </c>
      <c r="AP72" s="192">
        <v>0</v>
      </c>
      <c r="AQ72" s="192">
        <v>0</v>
      </c>
      <c r="AR72" s="192">
        <v>0</v>
      </c>
      <c r="AS72" s="192">
        <v>0</v>
      </c>
      <c r="AT72" s="192">
        <v>0</v>
      </c>
      <c r="AU72" s="192">
        <v>0</v>
      </c>
      <c r="AV72" s="192">
        <v>0</v>
      </c>
      <c r="AW72" s="192">
        <v>0</v>
      </c>
      <c r="AX72" s="192">
        <v>0</v>
      </c>
      <c r="AY72" s="192">
        <v>0</v>
      </c>
      <c r="AZ72" s="192">
        <v>0</v>
      </c>
      <c r="BA72" s="192">
        <v>0</v>
      </c>
      <c r="BB72" s="192">
        <v>0</v>
      </c>
      <c r="BC72" s="192">
        <v>0</v>
      </c>
      <c r="BD72" s="192">
        <v>0</v>
      </c>
      <c r="BE72" s="192">
        <v>0</v>
      </c>
      <c r="BF72" s="192">
        <v>0</v>
      </c>
      <c r="BG72" s="192">
        <v>0</v>
      </c>
      <c r="BH72" s="192">
        <v>0</v>
      </c>
      <c r="BI72" s="192">
        <v>0</v>
      </c>
      <c r="BJ72" s="192">
        <v>0</v>
      </c>
      <c r="BK72" s="192">
        <v>0</v>
      </c>
      <c r="BL72" s="192">
        <v>0</v>
      </c>
      <c r="BM72" s="192">
        <v>0</v>
      </c>
      <c r="BN72" s="192">
        <v>0</v>
      </c>
      <c r="BO72" s="192">
        <v>0</v>
      </c>
      <c r="BP72" s="192">
        <v>0</v>
      </c>
      <c r="BQ72" s="192">
        <v>0</v>
      </c>
      <c r="BR72" s="192">
        <v>0</v>
      </c>
      <c r="BS72" s="192">
        <v>0</v>
      </c>
      <c r="BT72" s="192">
        <v>0</v>
      </c>
      <c r="BU72" s="192">
        <v>0</v>
      </c>
      <c r="BV72" s="192">
        <v>0</v>
      </c>
    </row>
    <row r="73" spans="1:74" s="192" customFormat="1" x14ac:dyDescent="0.25">
      <c r="A73" s="192" t="s">
        <v>286</v>
      </c>
      <c r="B73" s="192">
        <v>0</v>
      </c>
      <c r="C73" s="192">
        <v>1495906357.47</v>
      </c>
      <c r="D73" s="192">
        <v>0</v>
      </c>
      <c r="E73" s="192">
        <v>1417489071.71</v>
      </c>
      <c r="F73" s="192">
        <v>0</v>
      </c>
      <c r="G73" s="192">
        <v>3096982558.9200001</v>
      </c>
      <c r="H73" s="192">
        <v>0</v>
      </c>
      <c r="I73" s="192">
        <v>4171689917.21</v>
      </c>
      <c r="J73" s="192">
        <v>0</v>
      </c>
      <c r="K73" s="192">
        <v>1919339663.9100001</v>
      </c>
      <c r="L73" s="192">
        <v>0</v>
      </c>
      <c r="M73" s="192">
        <v>2792685328.6900001</v>
      </c>
      <c r="N73" s="192">
        <v>0</v>
      </c>
      <c r="O73" s="192">
        <v>1104435153.4200001</v>
      </c>
      <c r="P73" s="192">
        <v>0</v>
      </c>
      <c r="Q73" s="192">
        <v>1516739804.8599999</v>
      </c>
      <c r="R73" s="192">
        <v>0</v>
      </c>
      <c r="S73" s="192">
        <v>2114623154.8199999</v>
      </c>
      <c r="T73" s="192">
        <v>0</v>
      </c>
      <c r="U73" s="192">
        <v>1558204866.53</v>
      </c>
      <c r="V73" s="192">
        <v>0</v>
      </c>
      <c r="W73" s="192">
        <v>1441520820.6500001</v>
      </c>
      <c r="X73" s="192">
        <v>0</v>
      </c>
      <c r="Y73" s="192">
        <v>1293126217</v>
      </c>
      <c r="Z73" s="192">
        <v>0</v>
      </c>
      <c r="AA73" s="192">
        <v>2987581854.3600001</v>
      </c>
      <c r="AB73" s="192">
        <v>0</v>
      </c>
      <c r="AC73" s="192">
        <v>2279653302.5700002</v>
      </c>
      <c r="AD73" s="192">
        <v>0</v>
      </c>
      <c r="AE73" s="192">
        <v>1440179977.23</v>
      </c>
      <c r="AF73" s="192">
        <v>1450172314.3099999</v>
      </c>
      <c r="AG73" s="192">
        <v>2119023194.9300001</v>
      </c>
      <c r="AH73" s="192">
        <v>1786798307.78</v>
      </c>
      <c r="AI73" s="192">
        <v>0</v>
      </c>
      <c r="AJ73" s="192">
        <v>456333704.60000002</v>
      </c>
      <c r="AK73" s="192">
        <v>852448970.80999994</v>
      </c>
      <c r="AL73" s="192">
        <v>999829894.36000001</v>
      </c>
      <c r="AM73" s="192">
        <v>748728302.46000004</v>
      </c>
      <c r="AN73" s="192">
        <v>637784672.39999998</v>
      </c>
      <c r="AO73" s="192">
        <v>617998210.34000003</v>
      </c>
      <c r="AP73" s="192">
        <v>424850937.22000003</v>
      </c>
      <c r="AQ73" s="192">
        <v>673938998.24000001</v>
      </c>
      <c r="AR73" s="192">
        <v>748660913.72000003</v>
      </c>
      <c r="AS73" s="192">
        <v>907613092.05999994</v>
      </c>
      <c r="AT73" s="192">
        <v>830893776.24000001</v>
      </c>
      <c r="AU73" s="192">
        <v>567461233.44000006</v>
      </c>
      <c r="AV73" s="192">
        <v>466871598.76999998</v>
      </c>
      <c r="AW73" s="192">
        <v>647790307.28999996</v>
      </c>
      <c r="AX73" s="192">
        <v>529045890.41000003</v>
      </c>
      <c r="AY73" s="192">
        <v>748058924.61000001</v>
      </c>
      <c r="AZ73" s="192">
        <v>777012996.87</v>
      </c>
      <c r="BA73" s="192">
        <v>762543318.63</v>
      </c>
      <c r="BB73" s="192">
        <v>433169434.43000001</v>
      </c>
      <c r="BC73" s="192">
        <v>432187662.02999997</v>
      </c>
      <c r="BD73" s="192">
        <v>755254548.26999998</v>
      </c>
      <c r="BE73" s="192">
        <v>713263532.11000001</v>
      </c>
      <c r="BF73" s="192">
        <v>679024133.63999999</v>
      </c>
      <c r="BG73" s="192">
        <v>873989137.36000001</v>
      </c>
      <c r="BH73" s="192">
        <v>883034753.75</v>
      </c>
      <c r="BI73" s="192">
        <v>944988552.32000005</v>
      </c>
      <c r="BJ73" s="192">
        <v>721735896.69000006</v>
      </c>
      <c r="BK73" s="192">
        <v>721950356.52999997</v>
      </c>
      <c r="BL73" s="192">
        <v>0</v>
      </c>
      <c r="BM73" s="192">
        <v>677279408.63999999</v>
      </c>
      <c r="BN73" s="192">
        <v>716541558.66999996</v>
      </c>
      <c r="BO73" s="192">
        <v>617504904.38999999</v>
      </c>
      <c r="BP73" s="192">
        <v>694819482.25999999</v>
      </c>
      <c r="BQ73" s="192">
        <v>664362710.46000004</v>
      </c>
      <c r="BR73" s="192">
        <v>1039485600.05</v>
      </c>
      <c r="BS73" s="192">
        <v>656789143.50999999</v>
      </c>
      <c r="BT73" s="192">
        <v>549041557.79999995</v>
      </c>
      <c r="BU73" s="192">
        <v>816742538.27999997</v>
      </c>
      <c r="BV73" s="192">
        <v>0</v>
      </c>
    </row>
    <row r="74" spans="1:74" s="192" customFormat="1" x14ac:dyDescent="0.25">
      <c r="A74" s="192" t="s">
        <v>287</v>
      </c>
      <c r="B74" s="192">
        <v>0</v>
      </c>
      <c r="C74" s="192">
        <v>1417489071.71</v>
      </c>
      <c r="D74" s="192">
        <v>0</v>
      </c>
      <c r="E74" s="192">
        <v>4171689917.21</v>
      </c>
      <c r="F74" s="192">
        <v>0</v>
      </c>
      <c r="G74" s="192">
        <v>4171689917.21</v>
      </c>
      <c r="H74" s="192">
        <v>0</v>
      </c>
      <c r="I74" s="192">
        <v>2792685328.6900001</v>
      </c>
      <c r="J74" s="192">
        <v>0</v>
      </c>
      <c r="K74" s="192">
        <v>2792685328.6900001</v>
      </c>
      <c r="L74" s="192">
        <v>0</v>
      </c>
      <c r="M74" s="192">
        <v>1516739804.8599999</v>
      </c>
      <c r="N74" s="192">
        <v>0</v>
      </c>
      <c r="O74" s="192">
        <v>1516739804.8599999</v>
      </c>
      <c r="P74" s="192">
        <v>0</v>
      </c>
      <c r="Q74" s="192">
        <v>1558204866.53</v>
      </c>
      <c r="R74" s="192">
        <v>0</v>
      </c>
      <c r="S74" s="192">
        <v>1558204866.53</v>
      </c>
      <c r="T74" s="192">
        <v>0</v>
      </c>
      <c r="U74" s="192">
        <v>1293126217</v>
      </c>
      <c r="V74" s="192">
        <v>0</v>
      </c>
      <c r="W74" s="192">
        <v>1293126217</v>
      </c>
      <c r="X74" s="192">
        <v>0</v>
      </c>
      <c r="Y74" s="192">
        <v>2279653302.5700002</v>
      </c>
      <c r="Z74" s="192">
        <v>0</v>
      </c>
      <c r="AA74" s="192">
        <v>1440179977.23</v>
      </c>
      <c r="AB74" s="192">
        <v>0</v>
      </c>
      <c r="AC74" s="192">
        <v>2119023194.9300001</v>
      </c>
      <c r="AD74" s="192">
        <v>0</v>
      </c>
      <c r="AE74" s="192">
        <v>2119023194.9300001</v>
      </c>
      <c r="AF74" s="192">
        <v>2119023194.9300001</v>
      </c>
      <c r="AG74" s="192">
        <v>1545999535.6500001</v>
      </c>
      <c r="AH74" s="192">
        <v>852448970.80999994</v>
      </c>
      <c r="AI74" s="192">
        <v>0</v>
      </c>
      <c r="AJ74" s="192">
        <v>852448970.80999994</v>
      </c>
      <c r="AK74" s="192">
        <v>617998210.34000003</v>
      </c>
      <c r="AL74" s="192">
        <v>617998210.34000003</v>
      </c>
      <c r="AM74" s="192">
        <v>617998210.34000003</v>
      </c>
      <c r="AN74" s="192">
        <v>617998210.34000003</v>
      </c>
      <c r="AO74" s="192">
        <v>907613092.05999994</v>
      </c>
      <c r="AP74" s="192">
        <v>907613092.05999994</v>
      </c>
      <c r="AQ74" s="192">
        <v>715625479.46000004</v>
      </c>
      <c r="AR74" s="192">
        <v>907613092.05999994</v>
      </c>
      <c r="AS74" s="192">
        <v>746321366.88</v>
      </c>
      <c r="AT74" s="192">
        <v>658570906.75999999</v>
      </c>
      <c r="AU74" s="192">
        <v>647790307.28999996</v>
      </c>
      <c r="AV74" s="192">
        <v>671152386.09000003</v>
      </c>
      <c r="AW74" s="192">
        <v>762543318.63</v>
      </c>
      <c r="AX74" s="192">
        <v>762543318.63</v>
      </c>
      <c r="AY74" s="192">
        <v>762543318.63</v>
      </c>
      <c r="AZ74" s="192">
        <v>762543318.63</v>
      </c>
      <c r="BA74" s="192">
        <v>729004858.58000004</v>
      </c>
      <c r="BB74" s="192">
        <v>713263532.11000001</v>
      </c>
      <c r="BC74" s="192">
        <v>713263532.11000001</v>
      </c>
      <c r="BD74" s="192">
        <v>859765858.58000004</v>
      </c>
      <c r="BE74" s="192">
        <v>937620052.32000005</v>
      </c>
      <c r="BF74" s="192">
        <v>944988552.32000005</v>
      </c>
      <c r="BG74" s="192">
        <v>944988552.32000005</v>
      </c>
      <c r="BH74" s="192">
        <v>944988552.32000005</v>
      </c>
      <c r="BI74" s="192">
        <v>677279408.63999999</v>
      </c>
      <c r="BJ74" s="192">
        <v>663429915.02999997</v>
      </c>
      <c r="BK74" s="192">
        <v>663429915.02999997</v>
      </c>
      <c r="BL74" s="192">
        <v>0</v>
      </c>
      <c r="BM74" s="192">
        <v>599866621.51999998</v>
      </c>
      <c r="BN74" s="192">
        <v>637004904.38999999</v>
      </c>
      <c r="BO74" s="192">
        <v>664362710.46000004</v>
      </c>
      <c r="BP74" s="192">
        <v>664362710.46000004</v>
      </c>
      <c r="BQ74" s="192">
        <v>656789143.50999999</v>
      </c>
      <c r="BR74" s="192">
        <v>656789143.50999999</v>
      </c>
      <c r="BS74" s="192">
        <v>558521745.24000001</v>
      </c>
      <c r="BT74" s="192">
        <v>964470015.29999995</v>
      </c>
      <c r="BU74" s="192">
        <v>964470015.25</v>
      </c>
      <c r="BV74" s="192">
        <v>0</v>
      </c>
    </row>
    <row r="75" spans="1:74" s="192" customFormat="1" x14ac:dyDescent="0.25">
      <c r="A75" s="192" t="s">
        <v>288</v>
      </c>
      <c r="B75" s="192">
        <v>0</v>
      </c>
      <c r="C75" s="192">
        <v>0</v>
      </c>
      <c r="D75" s="192">
        <v>0</v>
      </c>
      <c r="E75" s="192">
        <v>0</v>
      </c>
      <c r="F75" s="192">
        <v>0</v>
      </c>
      <c r="G75" s="192">
        <v>0</v>
      </c>
      <c r="H75" s="192">
        <v>0</v>
      </c>
      <c r="I75" s="192">
        <v>0</v>
      </c>
      <c r="J75" s="192">
        <v>0</v>
      </c>
      <c r="K75" s="192">
        <v>0</v>
      </c>
      <c r="L75" s="192">
        <v>0</v>
      </c>
      <c r="M75" s="192">
        <v>0</v>
      </c>
      <c r="N75" s="192">
        <v>0</v>
      </c>
      <c r="O75" s="192">
        <v>0</v>
      </c>
      <c r="P75" s="192">
        <v>0</v>
      </c>
      <c r="Q75" s="192">
        <v>0</v>
      </c>
      <c r="R75" s="192">
        <v>0</v>
      </c>
      <c r="S75" s="192">
        <v>0</v>
      </c>
      <c r="T75" s="192">
        <v>0</v>
      </c>
      <c r="U75" s="192">
        <v>0</v>
      </c>
      <c r="V75" s="192">
        <v>0</v>
      </c>
      <c r="W75" s="192">
        <v>0</v>
      </c>
      <c r="X75" s="192">
        <v>0</v>
      </c>
      <c r="Y75" s="192">
        <v>0</v>
      </c>
      <c r="Z75" s="192">
        <v>0</v>
      </c>
      <c r="AA75" s="192">
        <v>0</v>
      </c>
      <c r="AB75" s="192">
        <v>0</v>
      </c>
      <c r="AC75" s="192">
        <v>0</v>
      </c>
      <c r="AD75" s="192">
        <v>0</v>
      </c>
      <c r="AE75" s="192">
        <v>0</v>
      </c>
      <c r="AF75" s="192">
        <v>0</v>
      </c>
      <c r="AG75" s="192">
        <v>0</v>
      </c>
      <c r="AH75" s="192">
        <v>0</v>
      </c>
      <c r="AI75" s="192">
        <v>1295846260.4000001</v>
      </c>
      <c r="AJ75" s="192">
        <v>0</v>
      </c>
      <c r="AK75" s="192">
        <v>0</v>
      </c>
      <c r="AL75" s="192">
        <v>0</v>
      </c>
      <c r="AM75" s="192">
        <v>0</v>
      </c>
      <c r="AN75" s="192">
        <v>0</v>
      </c>
      <c r="AO75" s="192">
        <v>0</v>
      </c>
      <c r="AP75" s="192">
        <v>0</v>
      </c>
      <c r="AQ75" s="192">
        <v>0</v>
      </c>
      <c r="AR75" s="192">
        <v>0</v>
      </c>
      <c r="AS75" s="192">
        <v>0</v>
      </c>
      <c r="AT75" s="192">
        <v>0</v>
      </c>
      <c r="AU75" s="192">
        <v>0</v>
      </c>
      <c r="AV75" s="192">
        <v>0</v>
      </c>
      <c r="AW75" s="192">
        <v>0</v>
      </c>
      <c r="AX75" s="192">
        <v>0</v>
      </c>
      <c r="AY75" s="192">
        <v>0</v>
      </c>
      <c r="AZ75" s="192">
        <v>0</v>
      </c>
      <c r="BA75" s="192">
        <v>0</v>
      </c>
      <c r="BB75" s="192">
        <v>0</v>
      </c>
      <c r="BC75" s="192">
        <v>0</v>
      </c>
      <c r="BD75" s="192">
        <v>0</v>
      </c>
      <c r="BE75" s="192">
        <v>0</v>
      </c>
      <c r="BF75" s="192">
        <v>0</v>
      </c>
      <c r="BG75" s="192">
        <v>0</v>
      </c>
      <c r="BH75" s="192">
        <v>0</v>
      </c>
      <c r="BI75" s="192">
        <v>0</v>
      </c>
      <c r="BJ75" s="192">
        <v>0</v>
      </c>
      <c r="BK75" s="192">
        <v>0</v>
      </c>
      <c r="BL75" s="192">
        <v>0</v>
      </c>
      <c r="BM75" s="192">
        <v>0</v>
      </c>
      <c r="BN75" s="192">
        <v>0</v>
      </c>
      <c r="BO75" s="192">
        <v>0</v>
      </c>
      <c r="BP75" s="192">
        <v>0</v>
      </c>
      <c r="BQ75" s="192">
        <v>0</v>
      </c>
      <c r="BR75" s="192">
        <v>0</v>
      </c>
      <c r="BS75" s="192">
        <v>0</v>
      </c>
      <c r="BT75" s="192">
        <v>0</v>
      </c>
      <c r="BU75" s="192">
        <v>0</v>
      </c>
      <c r="BV75" s="192">
        <v>0</v>
      </c>
    </row>
    <row r="76" spans="1:74" s="192" customFormat="1" x14ac:dyDescent="0.25">
      <c r="A76" s="192" t="s">
        <v>289</v>
      </c>
      <c r="B76" s="192">
        <v>0</v>
      </c>
      <c r="C76" s="192">
        <v>0</v>
      </c>
      <c r="D76" s="192">
        <v>0</v>
      </c>
      <c r="E76" s="192">
        <v>0</v>
      </c>
      <c r="F76" s="192">
        <v>0</v>
      </c>
      <c r="G76" s="192">
        <v>0</v>
      </c>
      <c r="H76" s="192">
        <v>0</v>
      </c>
      <c r="I76" s="192">
        <v>0</v>
      </c>
      <c r="J76" s="192">
        <v>0</v>
      </c>
      <c r="K76" s="192">
        <v>0</v>
      </c>
      <c r="L76" s="192">
        <v>0</v>
      </c>
      <c r="M76" s="192">
        <v>0</v>
      </c>
      <c r="N76" s="192">
        <v>0</v>
      </c>
      <c r="O76" s="192">
        <v>0</v>
      </c>
      <c r="P76" s="192">
        <v>0</v>
      </c>
      <c r="Q76" s="192">
        <v>0</v>
      </c>
      <c r="R76" s="192">
        <v>0</v>
      </c>
      <c r="S76" s="192">
        <v>0</v>
      </c>
      <c r="T76" s="192">
        <v>0</v>
      </c>
      <c r="U76" s="192">
        <v>0</v>
      </c>
      <c r="V76" s="192">
        <v>0</v>
      </c>
      <c r="W76" s="192">
        <v>0</v>
      </c>
      <c r="X76" s="192">
        <v>0</v>
      </c>
      <c r="Y76" s="192">
        <v>0</v>
      </c>
      <c r="Z76" s="192">
        <v>0</v>
      </c>
      <c r="AA76" s="192">
        <v>0</v>
      </c>
      <c r="AB76" s="192">
        <v>0</v>
      </c>
      <c r="AC76" s="192">
        <v>0</v>
      </c>
      <c r="AD76" s="192">
        <v>0</v>
      </c>
      <c r="AE76" s="192">
        <v>0</v>
      </c>
      <c r="AF76" s="192">
        <v>0</v>
      </c>
      <c r="AG76" s="192">
        <v>0</v>
      </c>
      <c r="AH76" s="192">
        <v>0</v>
      </c>
      <c r="AI76" s="192">
        <v>852448970.80999994</v>
      </c>
      <c r="AJ76" s="192">
        <v>0</v>
      </c>
      <c r="AK76" s="192">
        <v>0</v>
      </c>
      <c r="AL76" s="192">
        <v>0</v>
      </c>
      <c r="AM76" s="192">
        <v>0</v>
      </c>
      <c r="AN76" s="192">
        <v>0</v>
      </c>
      <c r="AO76" s="192">
        <v>0</v>
      </c>
      <c r="AP76" s="192">
        <v>0</v>
      </c>
      <c r="AQ76" s="192">
        <v>0</v>
      </c>
      <c r="AR76" s="192">
        <v>0</v>
      </c>
      <c r="AS76" s="192">
        <v>0</v>
      </c>
      <c r="AT76" s="192">
        <v>0</v>
      </c>
      <c r="AU76" s="192">
        <v>0</v>
      </c>
      <c r="AV76" s="192">
        <v>0</v>
      </c>
      <c r="AW76" s="192">
        <v>0</v>
      </c>
      <c r="AX76" s="192">
        <v>0</v>
      </c>
      <c r="AY76" s="192">
        <v>0</v>
      </c>
      <c r="AZ76" s="192">
        <v>0</v>
      </c>
      <c r="BA76" s="192">
        <v>0</v>
      </c>
      <c r="BB76" s="192">
        <v>0</v>
      </c>
      <c r="BC76" s="192">
        <v>0</v>
      </c>
      <c r="BD76" s="192">
        <v>0</v>
      </c>
      <c r="BE76" s="192">
        <v>0</v>
      </c>
      <c r="BF76" s="192">
        <v>0</v>
      </c>
      <c r="BG76" s="192">
        <v>0</v>
      </c>
      <c r="BH76" s="192">
        <v>0</v>
      </c>
      <c r="BI76" s="192">
        <v>0</v>
      </c>
      <c r="BJ76" s="192">
        <v>0</v>
      </c>
      <c r="BK76" s="192">
        <v>0</v>
      </c>
      <c r="BL76" s="192">
        <v>0</v>
      </c>
      <c r="BM76" s="192">
        <v>0</v>
      </c>
      <c r="BN76" s="192">
        <v>0</v>
      </c>
      <c r="BO76" s="192">
        <v>0</v>
      </c>
      <c r="BP76" s="192">
        <v>0</v>
      </c>
      <c r="BQ76" s="192">
        <v>0</v>
      </c>
      <c r="BR76" s="192">
        <v>0</v>
      </c>
      <c r="BS76" s="192">
        <v>0</v>
      </c>
      <c r="BT76" s="192">
        <v>0</v>
      </c>
      <c r="BU76" s="192">
        <v>0</v>
      </c>
      <c r="BV76" s="192">
        <v>0</v>
      </c>
    </row>
    <row r="77" spans="1:74" s="192" customFormat="1" x14ac:dyDescent="0.25">
      <c r="A77" s="192" t="s">
        <v>290</v>
      </c>
      <c r="B77" s="192">
        <v>0</v>
      </c>
      <c r="C77" s="192">
        <v>78417285.760000005</v>
      </c>
      <c r="D77" s="192">
        <v>0</v>
      </c>
      <c r="E77" s="192">
        <v>-2754200845.5</v>
      </c>
      <c r="F77" s="192">
        <v>0</v>
      </c>
      <c r="G77" s="192">
        <v>-1074707358.29</v>
      </c>
      <c r="H77" s="192">
        <v>0</v>
      </c>
      <c r="I77" s="192">
        <v>1379004588.52</v>
      </c>
      <c r="J77" s="192">
        <v>0</v>
      </c>
      <c r="K77" s="192">
        <v>-873345664.77999997</v>
      </c>
      <c r="L77" s="192">
        <v>0</v>
      </c>
      <c r="M77" s="192">
        <v>1275945523.8299999</v>
      </c>
      <c r="N77" s="192">
        <v>0</v>
      </c>
      <c r="O77" s="192">
        <v>-412304651.44</v>
      </c>
      <c r="P77" s="192">
        <v>0</v>
      </c>
      <c r="Q77" s="192">
        <v>-41465061.670000002</v>
      </c>
      <c r="R77" s="192">
        <v>0</v>
      </c>
      <c r="S77" s="192">
        <v>556418288.28999996</v>
      </c>
      <c r="T77" s="192">
        <v>0</v>
      </c>
      <c r="U77" s="192">
        <v>265078649.53</v>
      </c>
      <c r="V77" s="192">
        <v>0</v>
      </c>
      <c r="W77" s="192">
        <v>148394603.65000001</v>
      </c>
      <c r="X77" s="192">
        <v>0</v>
      </c>
      <c r="Y77" s="192">
        <v>-986527085.57000005</v>
      </c>
      <c r="Z77" s="192">
        <v>0</v>
      </c>
      <c r="AA77" s="192">
        <v>707928551.78999996</v>
      </c>
      <c r="AB77" s="192">
        <v>0</v>
      </c>
      <c r="AC77" s="192">
        <v>160630107.63999999</v>
      </c>
      <c r="AD77" s="192">
        <v>0</v>
      </c>
      <c r="AE77" s="192">
        <v>-678843217.70000005</v>
      </c>
      <c r="AF77" s="192">
        <v>-668850880.62</v>
      </c>
      <c r="AG77" s="192">
        <v>573023659.27999997</v>
      </c>
      <c r="AH77" s="192">
        <v>934349336.97000003</v>
      </c>
      <c r="AI77" s="192">
        <v>443397289.58999997</v>
      </c>
      <c r="AJ77" s="192">
        <v>-396115266.20999998</v>
      </c>
      <c r="AK77" s="192">
        <v>234450760.47</v>
      </c>
      <c r="AL77" s="192">
        <v>381831684.01999998</v>
      </c>
      <c r="AM77" s="192">
        <v>130730092.12</v>
      </c>
      <c r="AN77" s="192">
        <v>19786462.059999999</v>
      </c>
      <c r="AO77" s="192">
        <v>-289614881.72000003</v>
      </c>
      <c r="AP77" s="192">
        <v>-482762154.83999997</v>
      </c>
      <c r="AQ77" s="192">
        <v>-41686481.219999999</v>
      </c>
      <c r="AR77" s="192">
        <v>-158952178.34</v>
      </c>
      <c r="AS77" s="192">
        <v>161291725.18000001</v>
      </c>
      <c r="AT77" s="192">
        <v>172322869.47999999</v>
      </c>
      <c r="AU77" s="192">
        <v>-80329073.849999994</v>
      </c>
      <c r="AV77" s="192">
        <v>-204280787.31999999</v>
      </c>
      <c r="AW77" s="192">
        <v>-114753011.34</v>
      </c>
      <c r="AX77" s="192">
        <v>-233497428.22</v>
      </c>
      <c r="AY77" s="192">
        <v>-14484394.02</v>
      </c>
      <c r="AZ77" s="192">
        <v>14469678.24</v>
      </c>
      <c r="BA77" s="192">
        <v>33538460.050000001</v>
      </c>
      <c r="BB77" s="192">
        <v>-280094097.68000001</v>
      </c>
      <c r="BC77" s="192">
        <v>-281075870.07999998</v>
      </c>
      <c r="BD77" s="192">
        <v>-104511310.31</v>
      </c>
      <c r="BE77" s="192">
        <v>-224356520.21000001</v>
      </c>
      <c r="BF77" s="192">
        <v>-265964418.68000001</v>
      </c>
      <c r="BG77" s="192">
        <v>-70999414.959999993</v>
      </c>
      <c r="BH77" s="192">
        <v>-61953798.57</v>
      </c>
      <c r="BI77" s="192">
        <v>281558637.29000002</v>
      </c>
      <c r="BJ77" s="192">
        <v>58305981.659999996</v>
      </c>
      <c r="BK77" s="192">
        <v>58520441.5</v>
      </c>
      <c r="BL77" s="192">
        <v>0</v>
      </c>
      <c r="BM77" s="192">
        <v>77412787.120000005</v>
      </c>
      <c r="BN77" s="192">
        <v>79536654.280000001</v>
      </c>
      <c r="BO77" s="192">
        <v>-46857806.07</v>
      </c>
      <c r="BP77" s="192">
        <v>30456771.800000001</v>
      </c>
      <c r="BQ77" s="192">
        <v>7573566.9500000002</v>
      </c>
      <c r="BR77" s="192">
        <v>382696456.54000002</v>
      </c>
      <c r="BS77" s="192">
        <v>98267398.269999996</v>
      </c>
      <c r="BT77" s="192">
        <v>-415428457.39999998</v>
      </c>
      <c r="BU77" s="192">
        <v>-147727476.97</v>
      </c>
      <c r="BV77" s="19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3" width="17.21875" bestFit="1" customWidth="1"/>
    <col min="84" max="84" width="9.5546875" hidden="1" customWidth="1"/>
    <col min="85" max="87" width="17.21875" bestFit="1" customWidth="1"/>
    <col min="88" max="89" width="16.109375" bestFit="1" customWidth="1"/>
    <col min="90" max="90" width="7.109375" bestFit="1" customWidth="1"/>
  </cols>
  <sheetData>
    <row r="1" spans="1:90" s="41" customFormat="1" x14ac:dyDescent="0.25">
      <c r="A1" s="41">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c r="CG4" s="189"/>
      <c r="CH4" s="189"/>
      <c r="CI4" s="189"/>
      <c r="CJ4" s="189"/>
      <c r="CK4" s="189"/>
      <c r="CL4" s="189"/>
    </row>
    <row r="5" spans="1:90" x14ac:dyDescent="0.25">
      <c r="A5" s="17" t="s">
        <v>2</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c r="CH7" s="189"/>
      <c r="CI7" s="189"/>
      <c r="CJ7" s="189"/>
      <c r="CK7" s="189"/>
      <c r="CL7" s="189"/>
    </row>
    <row r="8" spans="1:90" x14ac:dyDescent="0.25">
      <c r="A8" s="17" t="s">
        <v>5</v>
      </c>
      <c r="B8" s="189">
        <v>200000</v>
      </c>
      <c r="C8" s="189">
        <v>200000</v>
      </c>
      <c r="D8" s="189">
        <v>200000</v>
      </c>
      <c r="E8" s="189">
        <v>200000</v>
      </c>
      <c r="F8" s="189">
        <v>200000</v>
      </c>
      <c r="G8" s="189">
        <v>200000</v>
      </c>
      <c r="H8" s="189">
        <v>200000</v>
      </c>
      <c r="I8" s="189">
        <v>200000</v>
      </c>
      <c r="J8" s="189">
        <v>200000</v>
      </c>
      <c r="K8" s="189">
        <v>200000</v>
      </c>
      <c r="L8" s="189">
        <v>200000</v>
      </c>
      <c r="M8" s="189">
        <v>200000</v>
      </c>
      <c r="N8" s="189">
        <v>200000</v>
      </c>
      <c r="O8" s="189">
        <v>200000</v>
      </c>
      <c r="P8" s="189">
        <v>200000</v>
      </c>
      <c r="Q8" s="189">
        <v>200000</v>
      </c>
      <c r="R8" s="189">
        <v>501056</v>
      </c>
      <c r="S8" s="189">
        <v>251664</v>
      </c>
      <c r="T8" s="189">
        <v>270480</v>
      </c>
      <c r="U8" s="189">
        <v>312816</v>
      </c>
      <c r="V8" s="189">
        <v>301056</v>
      </c>
      <c r="W8" s="189">
        <v>242256</v>
      </c>
      <c r="X8" s="189">
        <v>348096</v>
      </c>
      <c r="Y8" s="189">
        <v>286944</v>
      </c>
      <c r="Z8" s="189">
        <v>176400</v>
      </c>
      <c r="AA8" s="189">
        <v>228144</v>
      </c>
      <c r="AB8" s="189">
        <v>263424</v>
      </c>
      <c r="AC8" s="189">
        <v>284592</v>
      </c>
      <c r="AD8" s="189">
        <v>258720</v>
      </c>
      <c r="AE8" s="189">
        <v>322224</v>
      </c>
      <c r="AF8" s="189">
        <v>350448</v>
      </c>
      <c r="AG8" s="189">
        <v>312816</v>
      </c>
      <c r="AH8" s="189">
        <v>324576</v>
      </c>
      <c r="AI8" s="189">
        <v>315168</v>
      </c>
      <c r="AJ8" s="189">
        <v>425712</v>
      </c>
      <c r="AK8" s="189">
        <v>312816</v>
      </c>
      <c r="AL8" s="189">
        <v>279888</v>
      </c>
      <c r="AM8" s="189">
        <v>12179282</v>
      </c>
      <c r="AN8" s="189">
        <v>9685386</v>
      </c>
      <c r="AO8" s="189">
        <v>7045326</v>
      </c>
      <c r="AP8" s="189">
        <v>8891976</v>
      </c>
      <c r="AQ8" s="189">
        <v>11128485</v>
      </c>
      <c r="AR8" s="189">
        <v>14495237</v>
      </c>
      <c r="AS8" s="189">
        <v>22474658</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5200</v>
      </c>
      <c r="BN9" s="189">
        <v>5200</v>
      </c>
      <c r="BO9" s="189">
        <v>5200</v>
      </c>
      <c r="BP9" s="189">
        <v>5200</v>
      </c>
      <c r="BQ9" s="189">
        <v>5200</v>
      </c>
      <c r="BR9" s="189">
        <v>10400</v>
      </c>
      <c r="BS9" s="189">
        <v>10400</v>
      </c>
      <c r="BT9" s="189">
        <v>15600</v>
      </c>
      <c r="BU9" s="189">
        <v>15600</v>
      </c>
      <c r="BV9" s="189">
        <v>26000</v>
      </c>
      <c r="BW9" s="189">
        <v>26000</v>
      </c>
      <c r="BX9" s="189">
        <v>58588.800000000003</v>
      </c>
      <c r="BY9" s="189">
        <v>0</v>
      </c>
      <c r="BZ9" s="189">
        <v>0</v>
      </c>
      <c r="CA9" s="189">
        <v>0</v>
      </c>
      <c r="CB9" s="189">
        <v>0</v>
      </c>
      <c r="CC9" s="189">
        <v>0</v>
      </c>
      <c r="CD9" s="189">
        <v>0</v>
      </c>
      <c r="CE9" s="189">
        <v>0</v>
      </c>
      <c r="CF9" s="189">
        <v>0</v>
      </c>
      <c r="CG9" s="189"/>
      <c r="CH9" s="189"/>
      <c r="CI9" s="189"/>
      <c r="CJ9" s="189"/>
      <c r="CK9" s="189"/>
      <c r="CL9" s="189"/>
    </row>
    <row r="10" spans="1:90" x14ac:dyDescent="0.25">
      <c r="A10" s="19" t="s">
        <v>7</v>
      </c>
      <c r="B10" s="189">
        <v>58806744</v>
      </c>
      <c r="C10" s="189">
        <v>59769771</v>
      </c>
      <c r="D10" s="189">
        <v>60732798</v>
      </c>
      <c r="E10" s="189">
        <v>61695825</v>
      </c>
      <c r="F10" s="189">
        <v>61965822.25</v>
      </c>
      <c r="G10" s="189">
        <v>62928849.25</v>
      </c>
      <c r="H10" s="189">
        <v>63891876.25</v>
      </c>
      <c r="I10" s="189">
        <v>64854903.25</v>
      </c>
      <c r="J10" s="189">
        <v>65428381.369999997</v>
      </c>
      <c r="K10" s="189">
        <v>66566603.420000002</v>
      </c>
      <c r="L10" s="189">
        <v>67704825.469999999</v>
      </c>
      <c r="M10" s="189">
        <v>68843047.519999996</v>
      </c>
      <c r="N10" s="189">
        <v>69987243.75</v>
      </c>
      <c r="O10" s="189">
        <v>71109600.25</v>
      </c>
      <c r="P10" s="189">
        <v>72253482.129999995</v>
      </c>
      <c r="Q10" s="189">
        <v>73229177.519999996</v>
      </c>
      <c r="R10" s="189">
        <v>8709058.5999999996</v>
      </c>
      <c r="S10" s="189">
        <v>8961631.4399999995</v>
      </c>
      <c r="T10" s="189">
        <v>9214185.9700000007</v>
      </c>
      <c r="U10" s="189">
        <v>9466777.0999999996</v>
      </c>
      <c r="V10" s="189">
        <v>4904348.7300000004</v>
      </c>
      <c r="W10" s="189">
        <v>4952732.7300000004</v>
      </c>
      <c r="X10" s="189">
        <v>5001116.7300000004</v>
      </c>
      <c r="Y10" s="189">
        <v>5049500.7300000004</v>
      </c>
      <c r="Z10" s="189">
        <v>5097884.7300000004</v>
      </c>
      <c r="AA10" s="189">
        <v>5146268.7300000004</v>
      </c>
      <c r="AB10" s="189">
        <v>5194652.7300000004</v>
      </c>
      <c r="AC10" s="189">
        <v>5242947.4800000004</v>
      </c>
      <c r="AD10" s="189">
        <v>0</v>
      </c>
      <c r="AE10" s="189">
        <v>0</v>
      </c>
      <c r="AF10" s="189">
        <v>0</v>
      </c>
      <c r="AG10" s="189">
        <v>0</v>
      </c>
      <c r="AH10" s="189">
        <v>0</v>
      </c>
      <c r="AI10" s="189">
        <v>0</v>
      </c>
      <c r="AJ10" s="189">
        <v>0</v>
      </c>
      <c r="AK10" s="189">
        <v>0</v>
      </c>
      <c r="AL10" s="189">
        <v>0</v>
      </c>
      <c r="AM10" s="189">
        <v>0</v>
      </c>
      <c r="AN10" s="189">
        <v>0</v>
      </c>
      <c r="AO10" s="189">
        <v>30474370.100000001</v>
      </c>
      <c r="AP10" s="189">
        <v>30984573.98</v>
      </c>
      <c r="AQ10" s="189">
        <v>31239675.920000002</v>
      </c>
      <c r="AR10" s="189">
        <v>32004981.739999998</v>
      </c>
      <c r="AS10" s="189">
        <v>32004981.739999998</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c r="CH12" s="189"/>
      <c r="CI12" s="189"/>
      <c r="CJ12" s="189"/>
      <c r="CK12" s="189"/>
      <c r="CL12" s="189"/>
    </row>
    <row r="13" spans="1:90" x14ac:dyDescent="0.25">
      <c r="A13" s="17" t="s">
        <v>10</v>
      </c>
      <c r="B13" s="189">
        <v>0</v>
      </c>
      <c r="C13" s="189">
        <v>179688607.69</v>
      </c>
      <c r="D13" s="189">
        <v>144739297.75999999</v>
      </c>
      <c r="E13" s="189">
        <v>60943907.979999997</v>
      </c>
      <c r="F13" s="189">
        <v>42692360.899999999</v>
      </c>
      <c r="G13" s="189">
        <v>55176400.57</v>
      </c>
      <c r="H13" s="189">
        <v>31844191.18</v>
      </c>
      <c r="I13" s="189">
        <v>26755807.07</v>
      </c>
      <c r="J13" s="189">
        <v>22536571.629999999</v>
      </c>
      <c r="K13" s="189">
        <v>28465678.210000001</v>
      </c>
      <c r="L13" s="189">
        <v>24734172.239999998</v>
      </c>
      <c r="M13" s="189">
        <v>22932602.739999998</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9864250.0299999993</v>
      </c>
      <c r="BY13" s="189">
        <v>0</v>
      </c>
      <c r="BZ13" s="189">
        <v>0</v>
      </c>
      <c r="CA13" s="189">
        <v>0</v>
      </c>
      <c r="CB13" s="189">
        <v>0</v>
      </c>
      <c r="CC13" s="189">
        <v>0</v>
      </c>
      <c r="CD13" s="189">
        <v>0</v>
      </c>
      <c r="CE13" s="189">
        <v>0</v>
      </c>
      <c r="CF13" s="189">
        <v>0</v>
      </c>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1222871984.3199999</v>
      </c>
      <c r="C17" s="33">
        <f t="shared" ref="C17:BN17" si="0">SUM(C4:C13)</f>
        <v>1943889242.9300001</v>
      </c>
      <c r="D17" s="33">
        <f t="shared" si="0"/>
        <v>1483058483.3300002</v>
      </c>
      <c r="E17" s="33">
        <f t="shared" si="0"/>
        <v>1716374487.0599999</v>
      </c>
      <c r="F17" s="33">
        <f t="shared" si="0"/>
        <v>3216372375.4299998</v>
      </c>
      <c r="G17" s="33">
        <f t="shared" si="0"/>
        <v>3547322430.7200003</v>
      </c>
      <c r="H17" s="33">
        <f t="shared" si="0"/>
        <v>4277053370.46</v>
      </c>
      <c r="I17" s="33">
        <f t="shared" si="0"/>
        <v>4363887921.4300003</v>
      </c>
      <c r="J17" s="33">
        <f t="shared" si="0"/>
        <v>2160491687.1300001</v>
      </c>
      <c r="K17" s="33">
        <f t="shared" si="0"/>
        <v>2150149988.2800002</v>
      </c>
      <c r="L17" s="33">
        <f t="shared" si="0"/>
        <v>2385271932.0399995</v>
      </c>
      <c r="M17" s="33">
        <f t="shared" si="0"/>
        <v>3134819575.0699997</v>
      </c>
      <c r="N17" s="33">
        <f t="shared" si="0"/>
        <v>4132651530.9299998</v>
      </c>
      <c r="O17" s="33">
        <f t="shared" si="0"/>
        <v>2888282944.3000002</v>
      </c>
      <c r="P17" s="33">
        <f t="shared" si="0"/>
        <v>2236587173.48</v>
      </c>
      <c r="Q17" s="33">
        <f t="shared" si="0"/>
        <v>3133593041.48</v>
      </c>
      <c r="R17" s="33">
        <f t="shared" si="0"/>
        <v>2391619447.2599998</v>
      </c>
      <c r="S17" s="33">
        <f t="shared" si="0"/>
        <v>2175995351.23</v>
      </c>
      <c r="T17" s="33">
        <f t="shared" si="0"/>
        <v>1680750281.25</v>
      </c>
      <c r="U17" s="33">
        <f t="shared" si="0"/>
        <v>1642169421.5999999</v>
      </c>
      <c r="V17" s="33">
        <f t="shared" si="0"/>
        <v>1490558425.47</v>
      </c>
      <c r="W17" s="33">
        <f t="shared" si="0"/>
        <v>1562020929.05</v>
      </c>
      <c r="X17" s="33">
        <f t="shared" si="0"/>
        <v>1428021705.3800001</v>
      </c>
      <c r="Y17" s="33">
        <f t="shared" si="0"/>
        <v>1410852129.3800001</v>
      </c>
      <c r="Z17" s="33">
        <f t="shared" si="0"/>
        <v>2837657323.9299998</v>
      </c>
      <c r="AA17" s="33">
        <f t="shared" si="0"/>
        <v>3126324032.8800001</v>
      </c>
      <c r="AB17" s="33">
        <f t="shared" si="0"/>
        <v>2327841653.0799999</v>
      </c>
      <c r="AC17" s="33">
        <f t="shared" si="0"/>
        <v>2425270190.7199998</v>
      </c>
      <c r="AD17" s="33">
        <f t="shared" si="0"/>
        <v>2987907818.6100001</v>
      </c>
      <c r="AE17" s="33">
        <f t="shared" si="0"/>
        <v>1699642180.29</v>
      </c>
      <c r="AF17" s="33">
        <f t="shared" si="0"/>
        <v>1553559240.3299999</v>
      </c>
      <c r="AG17" s="33">
        <f t="shared" si="0"/>
        <v>2223903909.7200003</v>
      </c>
      <c r="AH17" s="33">
        <f t="shared" si="0"/>
        <v>1787122883.78</v>
      </c>
      <c r="AI17" s="33">
        <f t="shared" si="0"/>
        <v>1296161428.4000001</v>
      </c>
      <c r="AJ17" s="33">
        <f t="shared" si="0"/>
        <v>456759416.60000002</v>
      </c>
      <c r="AK17" s="33">
        <f t="shared" si="0"/>
        <v>852761786.80999994</v>
      </c>
      <c r="AL17" s="33">
        <f t="shared" si="0"/>
        <v>1000109782.36</v>
      </c>
      <c r="AM17" s="33">
        <f t="shared" si="0"/>
        <v>762706399.98000002</v>
      </c>
      <c r="AN17" s="33">
        <f t="shared" si="0"/>
        <v>649268873.91999996</v>
      </c>
      <c r="AO17" s="33">
        <f t="shared" si="0"/>
        <v>657316721.96000004</v>
      </c>
      <c r="AP17" s="33">
        <f t="shared" si="0"/>
        <v>568427487.20000005</v>
      </c>
      <c r="AQ17" s="33">
        <f t="shared" si="0"/>
        <v>817795470.32999992</v>
      </c>
      <c r="AR17" s="33">
        <f t="shared" si="0"/>
        <v>780711132.46000004</v>
      </c>
      <c r="AS17" s="33">
        <f t="shared" si="0"/>
        <v>962092731.79999995</v>
      </c>
      <c r="AT17" s="33">
        <f t="shared" si="0"/>
        <v>917953360.34000003</v>
      </c>
      <c r="AU17" s="33">
        <f t="shared" si="0"/>
        <v>627990913.44000006</v>
      </c>
      <c r="AV17" s="33">
        <f t="shared" si="0"/>
        <v>506634140.81999999</v>
      </c>
      <c r="AW17" s="33">
        <f t="shared" si="0"/>
        <v>723390307.28999996</v>
      </c>
      <c r="AX17" s="33">
        <f t="shared" si="0"/>
        <v>728951387.90999997</v>
      </c>
      <c r="AY17" s="33">
        <f t="shared" si="0"/>
        <v>867488924.61000001</v>
      </c>
      <c r="AZ17" s="33">
        <f t="shared" si="0"/>
        <v>897097398.87</v>
      </c>
      <c r="BA17" s="33">
        <f t="shared" si="0"/>
        <v>882627720.63</v>
      </c>
      <c r="BB17" s="33">
        <f t="shared" si="0"/>
        <v>612399434.42999995</v>
      </c>
      <c r="BC17" s="33">
        <f t="shared" si="0"/>
        <v>558867662.02999997</v>
      </c>
      <c r="BD17" s="33">
        <f t="shared" si="0"/>
        <v>755254548.26999998</v>
      </c>
      <c r="BE17" s="33">
        <f t="shared" si="0"/>
        <v>859765858.58000004</v>
      </c>
      <c r="BF17" s="33">
        <f t="shared" si="0"/>
        <v>679024133.63999999</v>
      </c>
      <c r="BG17" s="33">
        <f t="shared" si="0"/>
        <v>873989137.36000001</v>
      </c>
      <c r="BH17" s="33">
        <f t="shared" si="0"/>
        <v>883034753.75</v>
      </c>
      <c r="BI17" s="33">
        <f t="shared" si="0"/>
        <v>944988552.32000005</v>
      </c>
      <c r="BJ17" s="33">
        <f t="shared" si="0"/>
        <v>733461104.13000011</v>
      </c>
      <c r="BK17" s="33">
        <f t="shared" si="0"/>
        <v>738675563.97000003</v>
      </c>
      <c r="BL17" s="33">
        <f t="shared" si="0"/>
        <v>0</v>
      </c>
      <c r="BM17" s="33">
        <f t="shared" si="0"/>
        <v>684570788.87</v>
      </c>
      <c r="BN17" s="33">
        <f t="shared" si="0"/>
        <v>660989962.95000005</v>
      </c>
      <c r="BO17" s="33">
        <f t="shared" ref="BO17:CK17" si="1">SUM(BO4:BO13)</f>
        <v>716546758.66999996</v>
      </c>
      <c r="BP17" s="33">
        <f t="shared" si="1"/>
        <v>615148472.08000004</v>
      </c>
      <c r="BQ17" s="33">
        <f t="shared" si="1"/>
        <v>599871821.51999998</v>
      </c>
      <c r="BR17" s="33">
        <f t="shared" si="1"/>
        <v>694886922.25999999</v>
      </c>
      <c r="BS17" s="33">
        <f t="shared" si="1"/>
        <v>688880036.44000006</v>
      </c>
      <c r="BT17" s="33">
        <f t="shared" si="1"/>
        <v>1096543021.74</v>
      </c>
      <c r="BU17" s="33">
        <f t="shared" si="1"/>
        <v>656804743.50999999</v>
      </c>
      <c r="BV17" s="33">
        <f t="shared" si="1"/>
        <v>659017600.60000002</v>
      </c>
      <c r="BW17" s="33">
        <f t="shared" si="1"/>
        <v>549067557.79999995</v>
      </c>
      <c r="BX17" s="33">
        <f t="shared" si="1"/>
        <v>826665377.1099999</v>
      </c>
      <c r="BY17" s="33">
        <f t="shared" si="1"/>
        <v>964470015.25</v>
      </c>
      <c r="BZ17" s="33">
        <f t="shared" si="1"/>
        <v>0</v>
      </c>
      <c r="CA17" s="33">
        <f t="shared" si="1"/>
        <v>467397035.52999997</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0</v>
      </c>
      <c r="C19" s="189">
        <v>0</v>
      </c>
      <c r="D19" s="189">
        <v>0</v>
      </c>
      <c r="E19" s="189">
        <v>0</v>
      </c>
      <c r="F19" s="189">
        <v>0</v>
      </c>
      <c r="G19" s="189">
        <v>0</v>
      </c>
      <c r="H19" s="189">
        <v>0</v>
      </c>
      <c r="I19" s="189">
        <v>0</v>
      </c>
      <c r="J19" s="189">
        <v>0</v>
      </c>
      <c r="K19" s="189">
        <v>0</v>
      </c>
      <c r="L19" s="189">
        <v>0</v>
      </c>
      <c r="M19" s="189">
        <v>0</v>
      </c>
      <c r="N19" s="189">
        <v>2595011.08</v>
      </c>
      <c r="O19" s="189">
        <v>2726599.21</v>
      </c>
      <c r="P19" s="189">
        <v>2774768.17</v>
      </c>
      <c r="Q19" s="189">
        <v>2850040.45</v>
      </c>
      <c r="R19" s="189">
        <v>3169463.53</v>
      </c>
      <c r="S19" s="189">
        <v>4598996.45</v>
      </c>
      <c r="T19" s="189">
        <v>4560311.21</v>
      </c>
      <c r="U19" s="189">
        <v>4579148.88</v>
      </c>
      <c r="V19" s="189">
        <v>4685470.12</v>
      </c>
      <c r="W19" s="189">
        <v>4748975.83</v>
      </c>
      <c r="X19" s="189">
        <v>4726423.12</v>
      </c>
      <c r="Y19" s="189">
        <v>5695850.7999999998</v>
      </c>
      <c r="Z19" s="189">
        <v>5903024.8899999997</v>
      </c>
      <c r="AA19" s="189">
        <v>5889739.2599999998</v>
      </c>
      <c r="AB19" s="189">
        <v>5828373.2800000003</v>
      </c>
      <c r="AC19" s="189">
        <v>5838851.75</v>
      </c>
      <c r="AD19" s="189">
        <v>5877852.4000000004</v>
      </c>
      <c r="AE19" s="189">
        <v>108269047.88</v>
      </c>
      <c r="AF19" s="189">
        <v>109027357.45</v>
      </c>
      <c r="AG19" s="189">
        <v>109347118.51000001</v>
      </c>
      <c r="AH19" s="189">
        <v>122160831.65000001</v>
      </c>
      <c r="AI19" s="189">
        <v>144462637.56</v>
      </c>
      <c r="AJ19" s="189">
        <v>145349076.58000001</v>
      </c>
      <c r="AK19" s="189">
        <v>144060027.63</v>
      </c>
      <c r="AL19" s="189">
        <v>149060450.34999999</v>
      </c>
      <c r="AM19" s="189">
        <v>176971435.46000001</v>
      </c>
      <c r="AN19" s="189">
        <v>223695565.96000001</v>
      </c>
      <c r="AO19" s="189">
        <v>218856545.66999999</v>
      </c>
      <c r="AP19" s="189">
        <v>247642775.75999999</v>
      </c>
      <c r="AQ19" s="189">
        <v>242343156.62</v>
      </c>
      <c r="AR19" s="189">
        <v>269466729.31999999</v>
      </c>
      <c r="AS19" s="189">
        <v>254660465.09</v>
      </c>
      <c r="AT19" s="189">
        <v>252633688.88999999</v>
      </c>
      <c r="AU19" s="189">
        <v>208395070.62</v>
      </c>
      <c r="AV19" s="189">
        <v>269360205.31999999</v>
      </c>
      <c r="AW19" s="189">
        <v>301753067.99000001</v>
      </c>
      <c r="AX19" s="189">
        <v>360948396.23000002</v>
      </c>
      <c r="AY19" s="189">
        <v>461903705.42000002</v>
      </c>
      <c r="AZ19" s="189">
        <v>333793360.38</v>
      </c>
      <c r="BA19" s="189">
        <v>329023098.62</v>
      </c>
      <c r="BB19" s="189">
        <v>359455290.94999999</v>
      </c>
      <c r="BC19" s="189">
        <v>351768956.56</v>
      </c>
      <c r="BD19" s="189">
        <v>348304546.24000001</v>
      </c>
      <c r="BE19" s="189">
        <v>308563922.69</v>
      </c>
      <c r="BF19" s="189">
        <v>301999792.12</v>
      </c>
      <c r="BG19" s="189">
        <v>315030354.95999998</v>
      </c>
      <c r="BH19" s="189">
        <v>253101338.66</v>
      </c>
      <c r="BI19" s="189">
        <v>244783701.88999999</v>
      </c>
      <c r="BJ19" s="189">
        <v>268423137.31999999</v>
      </c>
      <c r="BK19" s="189">
        <v>249996565.91999999</v>
      </c>
      <c r="BL19" s="189">
        <v>0</v>
      </c>
      <c r="BM19" s="189">
        <v>251200945.66999999</v>
      </c>
      <c r="BN19" s="189">
        <v>198611687.94999999</v>
      </c>
      <c r="BO19" s="189">
        <v>186102224.62</v>
      </c>
      <c r="BP19" s="189">
        <v>202515456.40000001</v>
      </c>
      <c r="BQ19" s="189">
        <v>236868936.91</v>
      </c>
      <c r="BR19" s="189">
        <v>192122441.91999999</v>
      </c>
      <c r="BS19" s="189">
        <v>183761267.22</v>
      </c>
      <c r="BT19" s="189">
        <v>159977978.33000001</v>
      </c>
      <c r="BU19" s="189">
        <v>165258630.91</v>
      </c>
      <c r="BV19" s="189">
        <v>190345974.91999999</v>
      </c>
      <c r="BW19" s="189">
        <v>234458173.80000001</v>
      </c>
      <c r="BX19" s="189">
        <v>275764965.38999999</v>
      </c>
      <c r="BY19" s="189">
        <v>220925759.05000001</v>
      </c>
      <c r="BZ19" s="189">
        <v>152594060</v>
      </c>
      <c r="CA19" s="189">
        <v>150172810.05000001</v>
      </c>
      <c r="CB19" s="189">
        <v>128335000</v>
      </c>
      <c r="CC19" s="189">
        <v>58240248.189999998</v>
      </c>
      <c r="CD19" s="189">
        <v>49205300.75</v>
      </c>
      <c r="CE19" s="189">
        <v>38287366.619999997</v>
      </c>
      <c r="CF19" s="189">
        <v>0</v>
      </c>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395641656.25</v>
      </c>
      <c r="C22" s="189">
        <v>1176200901.21</v>
      </c>
      <c r="D22" s="189">
        <v>1412435821.52</v>
      </c>
      <c r="E22" s="189">
        <v>1283192684.28</v>
      </c>
      <c r="F22" s="189">
        <v>639968894.57000005</v>
      </c>
      <c r="G22" s="189">
        <v>1878193045.3099999</v>
      </c>
      <c r="H22" s="189">
        <v>1478890302.6700001</v>
      </c>
      <c r="I22" s="189">
        <v>1297609202.29</v>
      </c>
      <c r="J22" s="189">
        <v>1953085588.1400001</v>
      </c>
      <c r="K22" s="189">
        <v>1794679303.47</v>
      </c>
      <c r="L22" s="189">
        <v>1995023518</v>
      </c>
      <c r="M22" s="189">
        <v>2205189379.0999999</v>
      </c>
      <c r="N22" s="189">
        <v>1676419522.76</v>
      </c>
      <c r="O22" s="189">
        <v>2055783435.1700001</v>
      </c>
      <c r="P22" s="189">
        <v>2840015166.9200001</v>
      </c>
      <c r="Q22" s="189">
        <v>3147153535.6100001</v>
      </c>
      <c r="R22" s="189">
        <v>2677582220.9299998</v>
      </c>
      <c r="S22" s="189">
        <v>2376741559.6199999</v>
      </c>
      <c r="T22" s="189">
        <v>2353623960.9899998</v>
      </c>
      <c r="U22" s="189">
        <v>2449770225.4099998</v>
      </c>
      <c r="V22" s="189">
        <v>1731820586.8099999</v>
      </c>
      <c r="W22" s="189">
        <v>1552287876.27</v>
      </c>
      <c r="X22" s="189">
        <v>2443417359.3499999</v>
      </c>
      <c r="Y22" s="189">
        <v>2262814443.8699999</v>
      </c>
      <c r="Z22" s="189">
        <v>1556330441.5799999</v>
      </c>
      <c r="AA22" s="189">
        <v>1001881578.1799999</v>
      </c>
      <c r="AB22" s="189">
        <v>1650131174.52</v>
      </c>
      <c r="AC22" s="189">
        <v>2757923958.9400001</v>
      </c>
      <c r="AD22" s="189">
        <v>3411921401.6300001</v>
      </c>
      <c r="AE22" s="189">
        <v>4223997921.5</v>
      </c>
      <c r="AF22" s="189">
        <v>3467581104.3299999</v>
      </c>
      <c r="AG22" s="189">
        <v>1562503246.8299999</v>
      </c>
      <c r="AH22" s="189">
        <v>2059083744.26</v>
      </c>
      <c r="AI22" s="189">
        <v>1932605807.3199999</v>
      </c>
      <c r="AJ22" s="189">
        <v>1753170705.1099999</v>
      </c>
      <c r="AK22" s="189">
        <v>604499731.14999998</v>
      </c>
      <c r="AL22" s="189">
        <v>392844439.69</v>
      </c>
      <c r="AM22" s="189">
        <v>390661689.12</v>
      </c>
      <c r="AN22" s="189">
        <v>373577966.77999997</v>
      </c>
      <c r="AO22" s="189">
        <v>381032680.57999998</v>
      </c>
      <c r="AP22" s="189">
        <v>484020416.93000001</v>
      </c>
      <c r="AQ22" s="189">
        <v>406469558.06999999</v>
      </c>
      <c r="AR22" s="189">
        <v>434162737.30000001</v>
      </c>
      <c r="AS22" s="189">
        <v>407535738.58999997</v>
      </c>
      <c r="AT22" s="189">
        <v>112405252.03</v>
      </c>
      <c r="AU22" s="189">
        <v>126609881.8</v>
      </c>
      <c r="AV22" s="189">
        <v>258794778.12</v>
      </c>
      <c r="AW22" s="189">
        <v>242213476.97999999</v>
      </c>
      <c r="AX22" s="189">
        <v>218780832.69</v>
      </c>
      <c r="AY22" s="189">
        <v>158769538.78</v>
      </c>
      <c r="AZ22" s="189">
        <v>186952531.55000001</v>
      </c>
      <c r="BA22" s="189">
        <v>199229895.06999999</v>
      </c>
      <c r="BB22" s="189">
        <v>139464272.13999999</v>
      </c>
      <c r="BC22" s="189">
        <v>118439354.15000001</v>
      </c>
      <c r="BD22" s="189">
        <v>139403937.38</v>
      </c>
      <c r="BE22" s="189">
        <v>172630869.78999999</v>
      </c>
      <c r="BF22" s="189">
        <v>77173534.780000001</v>
      </c>
      <c r="BG22" s="189">
        <v>27535175.75</v>
      </c>
      <c r="BH22" s="189">
        <v>40011098.359999999</v>
      </c>
      <c r="BI22" s="189">
        <v>98008314.859999999</v>
      </c>
      <c r="BJ22" s="189">
        <v>113775642.33</v>
      </c>
      <c r="BK22" s="189">
        <v>124258147.56999999</v>
      </c>
      <c r="BL22" s="189">
        <v>0</v>
      </c>
      <c r="BM22" s="189">
        <v>236305062.59999999</v>
      </c>
      <c r="BN22" s="189">
        <v>250087862.03999999</v>
      </c>
      <c r="BO22" s="189">
        <v>115001550.48</v>
      </c>
      <c r="BP22" s="189">
        <v>155261642.05000001</v>
      </c>
      <c r="BQ22" s="189">
        <v>99635381.560000002</v>
      </c>
      <c r="BR22" s="189">
        <v>96726205.129999995</v>
      </c>
      <c r="BS22" s="189">
        <v>181353551.59</v>
      </c>
      <c r="BT22" s="189">
        <v>87219840</v>
      </c>
      <c r="BU22" s="189">
        <v>165904424.93000001</v>
      </c>
      <c r="BV22" s="189">
        <v>109373132.45999999</v>
      </c>
      <c r="BW22" s="189">
        <v>135202805</v>
      </c>
      <c r="BX22" s="189">
        <v>58665564.740000002</v>
      </c>
      <c r="BY22" s="189">
        <v>27330750</v>
      </c>
      <c r="BZ22" s="189">
        <v>0</v>
      </c>
      <c r="CA22" s="189">
        <v>70930943.140000001</v>
      </c>
      <c r="CB22" s="189">
        <v>0</v>
      </c>
      <c r="CC22" s="189">
        <v>0</v>
      </c>
      <c r="CD22" s="189">
        <v>0</v>
      </c>
      <c r="CE22" s="189">
        <v>0</v>
      </c>
      <c r="CF22" s="189">
        <v>0</v>
      </c>
      <c r="CG22" s="189"/>
      <c r="CH22" s="189"/>
      <c r="CI22" s="189"/>
      <c r="CJ22" s="189"/>
      <c r="CK22" s="189"/>
      <c r="CL22" s="189"/>
    </row>
    <row r="23" spans="1:90" x14ac:dyDescent="0.25">
      <c r="A23" s="17" t="s">
        <v>15</v>
      </c>
      <c r="B23" s="189">
        <v>2314765948.1100001</v>
      </c>
      <c r="C23" s="189">
        <v>1977970373.74</v>
      </c>
      <c r="D23" s="189">
        <v>1570536470.78</v>
      </c>
      <c r="E23" s="189">
        <v>1736724496.0999999</v>
      </c>
      <c r="F23" s="189">
        <v>1600541720.5599999</v>
      </c>
      <c r="G23" s="189">
        <v>1622290121.4400001</v>
      </c>
      <c r="H23" s="189">
        <v>1400073560.8099999</v>
      </c>
      <c r="I23" s="189">
        <v>1465654497.9000001</v>
      </c>
      <c r="J23" s="189">
        <v>1587691496.49</v>
      </c>
      <c r="K23" s="189">
        <v>1117184734.3299999</v>
      </c>
      <c r="L23" s="189">
        <v>1234419143.9200001</v>
      </c>
      <c r="M23" s="189">
        <v>896075475.63</v>
      </c>
      <c r="N23" s="189">
        <v>1059234557.08</v>
      </c>
      <c r="O23" s="189">
        <v>844704089.66999996</v>
      </c>
      <c r="P23" s="189">
        <v>1068886722.15</v>
      </c>
      <c r="Q23" s="189">
        <v>856343229.70000005</v>
      </c>
      <c r="R23" s="189">
        <v>1041453515.7</v>
      </c>
      <c r="S23" s="189">
        <v>825357689.5</v>
      </c>
      <c r="T23" s="189">
        <v>949532381.02999997</v>
      </c>
      <c r="U23" s="189">
        <v>777744132.32000005</v>
      </c>
      <c r="V23" s="189">
        <v>949251177.84000003</v>
      </c>
      <c r="W23" s="189">
        <v>751477026.48000002</v>
      </c>
      <c r="X23" s="189">
        <v>839678545.64999998</v>
      </c>
      <c r="Y23" s="189">
        <v>722198904.65999997</v>
      </c>
      <c r="Z23" s="189">
        <v>850373366.08000004</v>
      </c>
      <c r="AA23" s="189">
        <v>995885577.80999994</v>
      </c>
      <c r="AB23" s="189">
        <v>1031060791.12</v>
      </c>
      <c r="AC23" s="189">
        <v>929389061.45000005</v>
      </c>
      <c r="AD23" s="189">
        <v>1196703528.8199999</v>
      </c>
      <c r="AE23" s="189">
        <v>946023736.51999998</v>
      </c>
      <c r="AF23" s="189">
        <v>1026318789.74</v>
      </c>
      <c r="AG23" s="189">
        <v>905872836.47000003</v>
      </c>
      <c r="AH23" s="189">
        <v>848504299.83000004</v>
      </c>
      <c r="AI23" s="189">
        <v>798101743.23000002</v>
      </c>
      <c r="AJ23" s="189">
        <v>612846478.95000005</v>
      </c>
      <c r="AK23" s="189">
        <v>874635649.00999999</v>
      </c>
      <c r="AL23" s="189">
        <v>528605578.93000001</v>
      </c>
      <c r="AM23" s="189">
        <v>487082847.94</v>
      </c>
      <c r="AN23" s="189">
        <v>724503729.73000002</v>
      </c>
      <c r="AO23" s="189">
        <v>422669603.61000001</v>
      </c>
      <c r="AP23" s="189">
        <v>543680590.33000004</v>
      </c>
      <c r="AQ23" s="189">
        <v>549531721.44000006</v>
      </c>
      <c r="AR23" s="189">
        <v>449964595.38</v>
      </c>
      <c r="AS23" s="189">
        <v>467160239</v>
      </c>
      <c r="AT23" s="189">
        <v>637551197.01999998</v>
      </c>
      <c r="AU23" s="189">
        <v>617848863.67999995</v>
      </c>
      <c r="AV23" s="189">
        <v>661530427.90999997</v>
      </c>
      <c r="AW23" s="189">
        <v>507288038.27999997</v>
      </c>
      <c r="AX23" s="189">
        <v>715019567.39999998</v>
      </c>
      <c r="AY23" s="189">
        <v>595127595.50999999</v>
      </c>
      <c r="AZ23" s="189">
        <v>558252343.34000003</v>
      </c>
      <c r="BA23" s="189">
        <v>555672843.67999995</v>
      </c>
      <c r="BB23" s="189">
        <v>551197569.12</v>
      </c>
      <c r="BC23" s="189">
        <v>431779208.33999997</v>
      </c>
      <c r="BD23" s="189">
        <v>433416593.74000001</v>
      </c>
      <c r="BE23" s="189">
        <v>404062012.29000002</v>
      </c>
      <c r="BF23" s="189">
        <v>428573798.07999998</v>
      </c>
      <c r="BG23" s="189">
        <v>458894680.95999998</v>
      </c>
      <c r="BH23" s="189">
        <v>428025796.63999999</v>
      </c>
      <c r="BI23" s="189">
        <v>395694072.33999997</v>
      </c>
      <c r="BJ23" s="189">
        <v>435074513.75999999</v>
      </c>
      <c r="BK23" s="189">
        <v>343236740.77999997</v>
      </c>
      <c r="BL23" s="189">
        <v>0</v>
      </c>
      <c r="BM23" s="189">
        <v>403677606.04000002</v>
      </c>
      <c r="BN23" s="189">
        <v>718592625.67999995</v>
      </c>
      <c r="BO23" s="189">
        <v>696248086.71000004</v>
      </c>
      <c r="BP23" s="189">
        <v>830388004.75999999</v>
      </c>
      <c r="BQ23" s="189">
        <v>658084161.76999998</v>
      </c>
      <c r="BR23" s="189">
        <v>878124713.28999996</v>
      </c>
      <c r="BS23" s="189">
        <v>916571515.78999996</v>
      </c>
      <c r="BT23" s="189">
        <v>903773555.53999996</v>
      </c>
      <c r="BU23" s="189">
        <v>891392766.95000005</v>
      </c>
      <c r="BV23" s="189">
        <v>718079478.69000006</v>
      </c>
      <c r="BW23" s="189">
        <v>698122695.20000005</v>
      </c>
      <c r="BX23" s="189">
        <v>598949458.71000004</v>
      </c>
      <c r="BY23" s="189">
        <v>445771732.75</v>
      </c>
      <c r="BZ23" s="189">
        <v>0</v>
      </c>
      <c r="CA23" s="189">
        <v>213312765.50999999</v>
      </c>
      <c r="CB23" s="189">
        <v>0</v>
      </c>
      <c r="CC23" s="189">
        <v>0</v>
      </c>
      <c r="CD23" s="189">
        <v>0</v>
      </c>
      <c r="CE23" s="189">
        <v>0</v>
      </c>
      <c r="CF23" s="189">
        <v>0</v>
      </c>
      <c r="CG23" s="189"/>
      <c r="CH23" s="189"/>
      <c r="CI23" s="189"/>
      <c r="CJ23" s="189"/>
      <c r="CK23" s="189"/>
      <c r="CL23" s="189"/>
    </row>
    <row r="24" spans="1:90" x14ac:dyDescent="0.25">
      <c r="A24" s="17" t="s">
        <v>16</v>
      </c>
      <c r="B24" s="189">
        <v>95567736.209999993</v>
      </c>
      <c r="C24" s="189">
        <v>152336504.11000001</v>
      </c>
      <c r="D24" s="189">
        <v>86962767.010000005</v>
      </c>
      <c r="E24" s="189">
        <v>84346792.379999995</v>
      </c>
      <c r="F24" s="189">
        <v>197511513.27000001</v>
      </c>
      <c r="G24" s="189">
        <v>122004474.40000001</v>
      </c>
      <c r="H24" s="189">
        <v>133343509.48</v>
      </c>
      <c r="I24" s="189">
        <v>131513792.18000001</v>
      </c>
      <c r="J24" s="189">
        <v>226620522.71000001</v>
      </c>
      <c r="K24" s="189">
        <v>160965289.08000001</v>
      </c>
      <c r="L24" s="189">
        <v>148918902.49000001</v>
      </c>
      <c r="M24" s="189">
        <v>97628578.170000002</v>
      </c>
      <c r="N24" s="189">
        <v>224830339.24000001</v>
      </c>
      <c r="O24" s="189">
        <v>165286324.83000001</v>
      </c>
      <c r="P24" s="189">
        <v>175541071.09</v>
      </c>
      <c r="Q24" s="189">
        <v>142977522.28</v>
      </c>
      <c r="R24" s="189">
        <v>198216108.62</v>
      </c>
      <c r="S24" s="189">
        <v>163170120.91</v>
      </c>
      <c r="T24" s="189">
        <v>118165028.12</v>
      </c>
      <c r="U24" s="189">
        <v>140841924.06</v>
      </c>
      <c r="V24" s="189">
        <v>167716569.22999999</v>
      </c>
      <c r="W24" s="189">
        <v>113496958.64</v>
      </c>
      <c r="X24" s="189">
        <v>144475006.38</v>
      </c>
      <c r="Y24" s="189">
        <v>97188434.209999993</v>
      </c>
      <c r="Z24" s="189">
        <v>208297862.34</v>
      </c>
      <c r="AA24" s="189">
        <v>216011619.87</v>
      </c>
      <c r="AB24" s="189">
        <v>191389522.65000001</v>
      </c>
      <c r="AC24" s="189">
        <v>250051980.25</v>
      </c>
      <c r="AD24" s="189">
        <v>450007783.07999998</v>
      </c>
      <c r="AE24" s="189">
        <v>386530086.44</v>
      </c>
      <c r="AF24" s="189">
        <v>423074200.79000002</v>
      </c>
      <c r="AG24" s="189">
        <v>357089867.91000003</v>
      </c>
      <c r="AH24" s="189">
        <v>171730346.09999999</v>
      </c>
      <c r="AI24" s="189">
        <v>172108348.25</v>
      </c>
      <c r="AJ24" s="189">
        <v>141887489.34</v>
      </c>
      <c r="AK24" s="189">
        <v>66243273.07</v>
      </c>
      <c r="AL24" s="189">
        <v>92771805.909999996</v>
      </c>
      <c r="AM24" s="189">
        <v>132927168.67</v>
      </c>
      <c r="AN24" s="189">
        <v>158986246.56</v>
      </c>
      <c r="AO24" s="189">
        <v>105361611.66</v>
      </c>
      <c r="AP24" s="189">
        <v>100108647.95</v>
      </c>
      <c r="AQ24" s="189">
        <v>117940132.45999999</v>
      </c>
      <c r="AR24" s="189">
        <v>82567148.030000001</v>
      </c>
      <c r="AS24" s="189">
        <v>99327940.280000001</v>
      </c>
      <c r="AT24" s="189">
        <v>47980225.310000002</v>
      </c>
      <c r="AU24" s="189">
        <v>44239312.780000001</v>
      </c>
      <c r="AV24" s="189">
        <v>92767290.489999995</v>
      </c>
      <c r="AW24" s="189">
        <v>56732876.960000001</v>
      </c>
      <c r="AX24" s="189">
        <v>173364873.09999999</v>
      </c>
      <c r="AY24" s="189">
        <v>192503728</v>
      </c>
      <c r="AZ24" s="189">
        <v>168938150.06999999</v>
      </c>
      <c r="BA24" s="189">
        <v>134042730.04000001</v>
      </c>
      <c r="BB24" s="189">
        <v>206240967.03</v>
      </c>
      <c r="BC24" s="189">
        <v>156735609.44999999</v>
      </c>
      <c r="BD24" s="189">
        <v>104453652.98</v>
      </c>
      <c r="BE24" s="189">
        <v>92537863.120000005</v>
      </c>
      <c r="BF24" s="189">
        <v>95262208.560000002</v>
      </c>
      <c r="BG24" s="189">
        <v>77396181.390000001</v>
      </c>
      <c r="BH24" s="189">
        <v>94967335.730000004</v>
      </c>
      <c r="BI24" s="189">
        <v>96305757.359999999</v>
      </c>
      <c r="BJ24" s="189">
        <v>114696259.08</v>
      </c>
      <c r="BK24" s="189">
        <v>93679826.819999993</v>
      </c>
      <c r="BL24" s="189">
        <v>0</v>
      </c>
      <c r="BM24" s="189">
        <v>90061884.609999999</v>
      </c>
      <c r="BN24" s="189">
        <v>118875706.65000001</v>
      </c>
      <c r="BO24" s="189">
        <v>124382634.23999999</v>
      </c>
      <c r="BP24" s="189">
        <v>104719645.02</v>
      </c>
      <c r="BQ24" s="189">
        <v>144721306.18000001</v>
      </c>
      <c r="BR24" s="189">
        <v>106372317.81</v>
      </c>
      <c r="BS24" s="189">
        <v>129684300.72</v>
      </c>
      <c r="BT24" s="189">
        <v>90174045.129999995</v>
      </c>
      <c r="BU24" s="189">
        <v>114901264.55</v>
      </c>
      <c r="BV24" s="189">
        <v>90495807.299999997</v>
      </c>
      <c r="BW24" s="189">
        <v>97791494.109999999</v>
      </c>
      <c r="BX24" s="189">
        <v>55961345.68</v>
      </c>
      <c r="BY24" s="189">
        <v>71285710.459999993</v>
      </c>
      <c r="BZ24" s="189">
        <v>0</v>
      </c>
      <c r="CA24" s="189">
        <v>81387066.909999996</v>
      </c>
      <c r="CB24" s="189">
        <v>0</v>
      </c>
      <c r="CC24" s="189">
        <v>0</v>
      </c>
      <c r="CD24" s="189">
        <v>0</v>
      </c>
      <c r="CE24" s="189">
        <v>0</v>
      </c>
      <c r="CF24" s="189">
        <v>0</v>
      </c>
      <c r="CG24" s="189"/>
      <c r="CH24" s="189"/>
      <c r="CI24" s="189"/>
      <c r="CJ24" s="189"/>
      <c r="CK24" s="189"/>
      <c r="CL24" s="189"/>
    </row>
    <row r="25" spans="1:90" x14ac:dyDescent="0.25">
      <c r="A25" s="17" t="s">
        <v>17</v>
      </c>
      <c r="B25" s="189">
        <v>235944692.25999999</v>
      </c>
      <c r="C25" s="189">
        <v>34741255.890000001</v>
      </c>
      <c r="D25" s="189">
        <v>24369209.609999999</v>
      </c>
      <c r="E25" s="189">
        <v>47224454.090000004</v>
      </c>
      <c r="F25" s="189">
        <v>13334545.48</v>
      </c>
      <c r="G25" s="189">
        <v>9542347.9600000009</v>
      </c>
      <c r="H25" s="189">
        <v>16322824.310000001</v>
      </c>
      <c r="I25" s="189">
        <v>23693886.539999999</v>
      </c>
      <c r="J25" s="189">
        <v>14674339.33</v>
      </c>
      <c r="K25" s="189">
        <v>12183354.15</v>
      </c>
      <c r="L25" s="189">
        <v>6019382.1799999997</v>
      </c>
      <c r="M25" s="189">
        <v>9208180.0800000001</v>
      </c>
      <c r="N25" s="189">
        <v>24109952.210000001</v>
      </c>
      <c r="O25" s="189">
        <v>27248397.370000001</v>
      </c>
      <c r="P25" s="189">
        <v>23850112.199999999</v>
      </c>
      <c r="Q25" s="189">
        <v>34611969.219999999</v>
      </c>
      <c r="R25" s="189">
        <v>31680859.489999998</v>
      </c>
      <c r="S25" s="189">
        <v>25557616.449999999</v>
      </c>
      <c r="T25" s="189">
        <v>24792645.109999999</v>
      </c>
      <c r="U25" s="189">
        <v>26163524.129999999</v>
      </c>
      <c r="V25" s="189">
        <v>138787020.66999999</v>
      </c>
      <c r="W25" s="189">
        <v>90081196.640000001</v>
      </c>
      <c r="X25" s="189">
        <v>21252398.219999999</v>
      </c>
      <c r="Y25" s="189">
        <v>16984517.489999998</v>
      </c>
      <c r="Z25" s="189">
        <v>19841041.699999999</v>
      </c>
      <c r="AA25" s="189">
        <v>18887033.609999999</v>
      </c>
      <c r="AB25" s="189">
        <v>13589117.720000001</v>
      </c>
      <c r="AC25" s="189">
        <v>15548447.5</v>
      </c>
      <c r="AD25" s="189">
        <v>133606639.81999999</v>
      </c>
      <c r="AE25" s="189">
        <v>11610066.279999999</v>
      </c>
      <c r="AF25" s="189">
        <v>13671213.1</v>
      </c>
      <c r="AG25" s="189">
        <v>13559014.949999999</v>
      </c>
      <c r="AH25" s="189">
        <v>14504247.76</v>
      </c>
      <c r="AI25" s="189">
        <v>18670194.949999999</v>
      </c>
      <c r="AJ25" s="189">
        <v>27458436.59</v>
      </c>
      <c r="AK25" s="189">
        <v>25361277.23</v>
      </c>
      <c r="AL25" s="189">
        <v>77769077.650000006</v>
      </c>
      <c r="AM25" s="189">
        <v>81022386.069999993</v>
      </c>
      <c r="AN25" s="189">
        <v>102060279.42</v>
      </c>
      <c r="AO25" s="189">
        <v>99682875.670000002</v>
      </c>
      <c r="AP25" s="189">
        <v>101336607.51000001</v>
      </c>
      <c r="AQ25" s="189">
        <v>152381733.16</v>
      </c>
      <c r="AR25" s="189">
        <v>95378334.829999998</v>
      </c>
      <c r="AS25" s="189">
        <v>107557415.81</v>
      </c>
      <c r="AT25" s="189">
        <v>86911098.170000002</v>
      </c>
      <c r="AU25" s="189">
        <v>148943239.16</v>
      </c>
      <c r="AV25" s="189">
        <v>129883812.97</v>
      </c>
      <c r="AW25" s="189">
        <v>118956961.84</v>
      </c>
      <c r="AX25" s="189">
        <v>124749323.16</v>
      </c>
      <c r="AY25" s="189">
        <v>92594976.329999998</v>
      </c>
      <c r="AZ25" s="189">
        <v>49090115.259999998</v>
      </c>
      <c r="BA25" s="189">
        <v>58853236.520000003</v>
      </c>
      <c r="BB25" s="189">
        <v>92032319.609999999</v>
      </c>
      <c r="BC25" s="189">
        <v>73927948.349999994</v>
      </c>
      <c r="BD25" s="189">
        <v>78915468.459999993</v>
      </c>
      <c r="BE25" s="189">
        <v>80265265.780000001</v>
      </c>
      <c r="BF25" s="189">
        <v>145922128.34</v>
      </c>
      <c r="BG25" s="189">
        <v>146913054.30000001</v>
      </c>
      <c r="BH25" s="189">
        <v>114810510.31</v>
      </c>
      <c r="BI25" s="189">
        <v>78769896.189999998</v>
      </c>
      <c r="BJ25" s="189">
        <v>130725511.26000001</v>
      </c>
      <c r="BK25" s="189">
        <v>194674600.31</v>
      </c>
      <c r="BL25" s="189">
        <v>0</v>
      </c>
      <c r="BM25" s="189">
        <v>113930035.66</v>
      </c>
      <c r="BN25" s="189">
        <v>221151791.72</v>
      </c>
      <c r="BO25" s="189">
        <v>333400751.19</v>
      </c>
      <c r="BP25" s="189">
        <v>329536731.51999998</v>
      </c>
      <c r="BQ25" s="189">
        <v>146261572.75</v>
      </c>
      <c r="BR25" s="189">
        <v>202099789.24000001</v>
      </c>
      <c r="BS25" s="189">
        <v>156615737.30000001</v>
      </c>
      <c r="BT25" s="189">
        <v>224046493.86000001</v>
      </c>
      <c r="BU25" s="189">
        <v>211724820.47</v>
      </c>
      <c r="BV25" s="189">
        <v>240526832.96000001</v>
      </c>
      <c r="BW25" s="189">
        <v>216441837.30000001</v>
      </c>
      <c r="BX25" s="189">
        <v>241851470.06</v>
      </c>
      <c r="BY25" s="189">
        <v>203278759.96000001</v>
      </c>
      <c r="BZ25" s="189">
        <v>0</v>
      </c>
      <c r="CA25" s="189">
        <v>170090161.28</v>
      </c>
      <c r="CB25" s="189">
        <v>0</v>
      </c>
      <c r="CC25" s="189">
        <v>0</v>
      </c>
      <c r="CD25" s="189">
        <v>0</v>
      </c>
      <c r="CE25" s="189">
        <v>0</v>
      </c>
      <c r="CF25" s="189">
        <v>0</v>
      </c>
      <c r="CG25" s="189"/>
      <c r="CH25" s="189"/>
      <c r="CI25" s="189"/>
      <c r="CJ25" s="189"/>
      <c r="CK25" s="189"/>
      <c r="CL25" s="189"/>
    </row>
    <row r="26" spans="1:90" x14ac:dyDescent="0.25">
      <c r="A26" s="17" t="s">
        <v>18</v>
      </c>
      <c r="B26" s="189">
        <v>911601051.34000003</v>
      </c>
      <c r="C26" s="189">
        <v>586403967.09000003</v>
      </c>
      <c r="D26" s="189">
        <v>939795035.01999998</v>
      </c>
      <c r="E26" s="189">
        <v>1980766196.1400001</v>
      </c>
      <c r="F26" s="189">
        <v>1414074811.5</v>
      </c>
      <c r="G26" s="189">
        <v>1084450981.78</v>
      </c>
      <c r="H26" s="189">
        <v>1252235093.98</v>
      </c>
      <c r="I26" s="189">
        <v>1724837944.6900001</v>
      </c>
      <c r="J26" s="189">
        <v>811050787.54999995</v>
      </c>
      <c r="K26" s="189">
        <v>596940535.67999995</v>
      </c>
      <c r="L26" s="189">
        <v>537014206.48000002</v>
      </c>
      <c r="M26" s="189">
        <v>745412967.51999998</v>
      </c>
      <c r="N26" s="189">
        <v>605989653.98000002</v>
      </c>
      <c r="O26" s="189">
        <v>458234419.10000002</v>
      </c>
      <c r="P26" s="189">
        <v>460044879.93000001</v>
      </c>
      <c r="Q26" s="189">
        <v>605616993.25</v>
      </c>
      <c r="R26" s="189">
        <v>634779029.10000002</v>
      </c>
      <c r="S26" s="189">
        <v>581264111.17999995</v>
      </c>
      <c r="T26" s="189">
        <v>474524361.27999997</v>
      </c>
      <c r="U26" s="189">
        <v>798141838.58000004</v>
      </c>
      <c r="V26" s="189">
        <v>817683242.51999998</v>
      </c>
      <c r="W26" s="189">
        <v>656106685.70000005</v>
      </c>
      <c r="X26" s="189">
        <v>691855231.17999995</v>
      </c>
      <c r="Y26" s="189">
        <v>952747860.67999995</v>
      </c>
      <c r="Z26" s="189">
        <v>1135129579.6300001</v>
      </c>
      <c r="AA26" s="189">
        <v>622818920.09000003</v>
      </c>
      <c r="AB26" s="189">
        <v>618388769.88</v>
      </c>
      <c r="AC26" s="189">
        <v>809400728.98000002</v>
      </c>
      <c r="AD26" s="189">
        <v>782433623.40999997</v>
      </c>
      <c r="AE26" s="189">
        <v>923715591.12</v>
      </c>
      <c r="AF26" s="189">
        <v>635831510.03999996</v>
      </c>
      <c r="AG26" s="189">
        <v>1050674093.84</v>
      </c>
      <c r="AH26" s="189">
        <v>379555364.14999998</v>
      </c>
      <c r="AI26" s="189">
        <v>338413144.22000003</v>
      </c>
      <c r="AJ26" s="189">
        <v>505083307.63</v>
      </c>
      <c r="AK26" s="189">
        <v>440416228.67000002</v>
      </c>
      <c r="AL26" s="189">
        <v>401943634.85000002</v>
      </c>
      <c r="AM26" s="189">
        <v>384052952.50999999</v>
      </c>
      <c r="AN26" s="189">
        <v>413334213.12</v>
      </c>
      <c r="AO26" s="189">
        <v>694973687.17999995</v>
      </c>
      <c r="AP26" s="189">
        <v>847015304.73000002</v>
      </c>
      <c r="AQ26" s="189">
        <v>767322582.78999996</v>
      </c>
      <c r="AR26" s="189">
        <v>746684763.62</v>
      </c>
      <c r="AS26" s="189">
        <v>650399632.38</v>
      </c>
      <c r="AT26" s="189">
        <v>813284944.40999997</v>
      </c>
      <c r="AU26" s="189">
        <v>854538072.97000003</v>
      </c>
      <c r="AV26" s="189">
        <v>841837719.57000005</v>
      </c>
      <c r="AW26" s="189">
        <v>777189758.47000003</v>
      </c>
      <c r="AX26" s="189">
        <v>792817759.00999999</v>
      </c>
      <c r="AY26" s="189">
        <v>662018028.32000005</v>
      </c>
      <c r="AZ26" s="189">
        <v>671795603.36000001</v>
      </c>
      <c r="BA26" s="189">
        <v>629567542.96000004</v>
      </c>
      <c r="BB26" s="189">
        <v>598093979.75999999</v>
      </c>
      <c r="BC26" s="189">
        <v>552355168.33000004</v>
      </c>
      <c r="BD26" s="189">
        <v>545325406.54999995</v>
      </c>
      <c r="BE26" s="189">
        <v>506961970.12</v>
      </c>
      <c r="BF26" s="189">
        <v>421842123.20999998</v>
      </c>
      <c r="BG26" s="189">
        <v>433474382.02999997</v>
      </c>
      <c r="BH26" s="189">
        <v>436632080.23000002</v>
      </c>
      <c r="BI26" s="189">
        <v>407204772.81999999</v>
      </c>
      <c r="BJ26" s="189">
        <v>541724738.20000005</v>
      </c>
      <c r="BK26" s="189">
        <v>566285987.36000001</v>
      </c>
      <c r="BL26" s="189">
        <v>0</v>
      </c>
      <c r="BM26" s="189">
        <v>648427814.48000002</v>
      </c>
      <c r="BN26" s="189">
        <v>577408263.87</v>
      </c>
      <c r="BO26" s="189">
        <v>715104409.88</v>
      </c>
      <c r="BP26" s="189">
        <v>555259368.07000005</v>
      </c>
      <c r="BQ26" s="189">
        <v>411997858.44999999</v>
      </c>
      <c r="BR26" s="189">
        <v>369739946.48000002</v>
      </c>
      <c r="BS26" s="189">
        <v>297177484.02999997</v>
      </c>
      <c r="BT26" s="189">
        <v>224712731.83000001</v>
      </c>
      <c r="BU26" s="189">
        <v>289787446.87</v>
      </c>
      <c r="BV26" s="189">
        <v>270310822.16000003</v>
      </c>
      <c r="BW26" s="189">
        <v>225790713.80000001</v>
      </c>
      <c r="BX26" s="189">
        <v>172816605.24000001</v>
      </c>
      <c r="BY26" s="189">
        <v>144075531.56</v>
      </c>
      <c r="BZ26" s="189">
        <v>0</v>
      </c>
      <c r="CA26" s="189">
        <v>89196813.390000001</v>
      </c>
      <c r="CB26" s="189">
        <v>0</v>
      </c>
      <c r="CC26" s="189">
        <v>0</v>
      </c>
      <c r="CD26" s="189">
        <v>0</v>
      </c>
      <c r="CE26" s="189">
        <v>0</v>
      </c>
      <c r="CF26" s="189">
        <v>0</v>
      </c>
      <c r="CG26" s="189"/>
      <c r="CH26" s="189"/>
      <c r="CI26" s="189"/>
      <c r="CJ26" s="189"/>
      <c r="CK26" s="189"/>
      <c r="CL26" s="189"/>
    </row>
    <row r="27" spans="1:90" x14ac:dyDescent="0.25">
      <c r="A27" s="17" t="s">
        <v>19</v>
      </c>
      <c r="B27" s="189">
        <v>12608060657.209999</v>
      </c>
      <c r="C27" s="189">
        <v>11926962399.5</v>
      </c>
      <c r="D27" s="189">
        <v>12958089894.049999</v>
      </c>
      <c r="E27" s="189">
        <v>12778240745.219999</v>
      </c>
      <c r="F27" s="189">
        <v>9880082620.7700005</v>
      </c>
      <c r="G27" s="189">
        <v>8804584056.3500004</v>
      </c>
      <c r="H27" s="189">
        <v>8264728111.4300003</v>
      </c>
      <c r="I27" s="189">
        <v>8385724282.1599998</v>
      </c>
      <c r="J27" s="189">
        <v>8366930158.8699999</v>
      </c>
      <c r="K27" s="189">
        <v>8142145155.2299995</v>
      </c>
      <c r="L27" s="189">
        <v>7095769317.1700001</v>
      </c>
      <c r="M27" s="189">
        <v>5733188604.2299995</v>
      </c>
      <c r="N27" s="189">
        <v>3382458658.0500002</v>
      </c>
      <c r="O27" s="189">
        <v>3314447877.2600002</v>
      </c>
      <c r="P27" s="189">
        <v>3306846269.5799999</v>
      </c>
      <c r="Q27" s="189">
        <v>1947972214.72</v>
      </c>
      <c r="R27" s="189">
        <v>1997278786.5</v>
      </c>
      <c r="S27" s="189">
        <v>1959627280.9200001</v>
      </c>
      <c r="T27" s="189">
        <v>1982328232.5599999</v>
      </c>
      <c r="U27" s="189">
        <v>1791288539.6199999</v>
      </c>
      <c r="V27" s="189">
        <v>1812741395.8199999</v>
      </c>
      <c r="W27" s="189">
        <v>1810548618.45</v>
      </c>
      <c r="X27" s="189">
        <v>1448569524.28</v>
      </c>
      <c r="Y27" s="189">
        <v>1201171819.72</v>
      </c>
      <c r="Z27" s="189">
        <v>44746485.439999998</v>
      </c>
      <c r="AA27" s="189">
        <v>61849729.399999999</v>
      </c>
      <c r="AB27" s="189">
        <v>85825122.980000004</v>
      </c>
      <c r="AC27" s="189">
        <v>112052669.26000001</v>
      </c>
      <c r="AD27" s="189">
        <v>62202981.869999997</v>
      </c>
      <c r="AE27" s="189">
        <v>85340194.629999995</v>
      </c>
      <c r="AF27" s="189">
        <v>114139230.43000001</v>
      </c>
      <c r="AG27" s="189">
        <v>129556121.17</v>
      </c>
      <c r="AH27" s="189">
        <v>38635906.100000001</v>
      </c>
      <c r="AI27" s="189">
        <v>21855233.969999999</v>
      </c>
      <c r="AJ27" s="189">
        <v>14739629.82</v>
      </c>
      <c r="AK27" s="189">
        <v>17326441.890000001</v>
      </c>
      <c r="AL27" s="189">
        <v>0</v>
      </c>
      <c r="AM27" s="189">
        <v>0</v>
      </c>
      <c r="AN27" s="189">
        <v>1254966.1000000001</v>
      </c>
      <c r="AO27" s="189">
        <v>0</v>
      </c>
      <c r="AP27" s="189">
        <v>373438.8</v>
      </c>
      <c r="AQ27" s="189">
        <v>193244.91</v>
      </c>
      <c r="AR27" s="189">
        <v>0</v>
      </c>
      <c r="AS27" s="189">
        <v>0</v>
      </c>
      <c r="AT27" s="189">
        <v>0</v>
      </c>
      <c r="AU27" s="189">
        <v>0</v>
      </c>
      <c r="AV27" s="189">
        <v>1305785.28</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16561581741.379999</v>
      </c>
      <c r="C33" s="35">
        <f t="shared" ref="C33:BN33" si="2">SUM(C22:C29)</f>
        <v>15854615401.540001</v>
      </c>
      <c r="D33" s="35">
        <f t="shared" si="2"/>
        <v>16992189197.99</v>
      </c>
      <c r="E33" s="35">
        <f t="shared" si="2"/>
        <v>17910495368.209999</v>
      </c>
      <c r="F33" s="35">
        <f t="shared" si="2"/>
        <v>13745514106.150002</v>
      </c>
      <c r="G33" s="35">
        <f t="shared" si="2"/>
        <v>13521065027.240002</v>
      </c>
      <c r="H33" s="35">
        <f t="shared" si="2"/>
        <v>12545593402.68</v>
      </c>
      <c r="I33" s="35">
        <f t="shared" si="2"/>
        <v>13029033605.76</v>
      </c>
      <c r="J33" s="35">
        <f t="shared" si="2"/>
        <v>12960052893.09</v>
      </c>
      <c r="K33" s="35">
        <f t="shared" si="2"/>
        <v>11824098371.939999</v>
      </c>
      <c r="L33" s="35">
        <f t="shared" si="2"/>
        <v>11017164470.24</v>
      </c>
      <c r="M33" s="35">
        <f t="shared" si="2"/>
        <v>9686703184.7299995</v>
      </c>
      <c r="N33" s="35">
        <f t="shared" si="2"/>
        <v>6973042683.3199997</v>
      </c>
      <c r="O33" s="35">
        <f t="shared" si="2"/>
        <v>6865704543.3999996</v>
      </c>
      <c r="P33" s="35">
        <f t="shared" si="2"/>
        <v>7875184221.8699999</v>
      </c>
      <c r="Q33" s="35">
        <f t="shared" si="2"/>
        <v>6734675464.7800007</v>
      </c>
      <c r="R33" s="35">
        <f t="shared" si="2"/>
        <v>6580990520.3400002</v>
      </c>
      <c r="S33" s="35">
        <f t="shared" si="2"/>
        <v>5931718378.5799999</v>
      </c>
      <c r="T33" s="35">
        <f t="shared" si="2"/>
        <v>5902966609.0900002</v>
      </c>
      <c r="U33" s="35">
        <f t="shared" si="2"/>
        <v>5983950184.1199999</v>
      </c>
      <c r="V33" s="35">
        <f t="shared" si="2"/>
        <v>5617999992.8900003</v>
      </c>
      <c r="W33" s="35">
        <f t="shared" si="2"/>
        <v>4973998362.1799994</v>
      </c>
      <c r="X33" s="35">
        <f t="shared" si="2"/>
        <v>5589248065.0599995</v>
      </c>
      <c r="Y33" s="35">
        <f t="shared" si="2"/>
        <v>5253105980.6299992</v>
      </c>
      <c r="Z33" s="35">
        <f t="shared" si="2"/>
        <v>3814718776.77</v>
      </c>
      <c r="AA33" s="35">
        <f t="shared" si="2"/>
        <v>2917334458.96</v>
      </c>
      <c r="AB33" s="35">
        <f t="shared" si="2"/>
        <v>3590384498.8699999</v>
      </c>
      <c r="AC33" s="35">
        <f t="shared" si="2"/>
        <v>4874366846.3800011</v>
      </c>
      <c r="AD33" s="35">
        <f t="shared" si="2"/>
        <v>6036875958.6299992</v>
      </c>
      <c r="AE33" s="35">
        <f t="shared" si="2"/>
        <v>6577217596.4899998</v>
      </c>
      <c r="AF33" s="35">
        <f t="shared" si="2"/>
        <v>5680616048.4300003</v>
      </c>
      <c r="AG33" s="35">
        <f t="shared" si="2"/>
        <v>4019255181.1700001</v>
      </c>
      <c r="AH33" s="35">
        <f t="shared" si="2"/>
        <v>3512013908.2000003</v>
      </c>
      <c r="AI33" s="35">
        <f t="shared" si="2"/>
        <v>3281754471.9400001</v>
      </c>
      <c r="AJ33" s="35">
        <f t="shared" si="2"/>
        <v>3055186047.4400005</v>
      </c>
      <c r="AK33" s="35">
        <f t="shared" si="2"/>
        <v>2028482601.02</v>
      </c>
      <c r="AL33" s="35">
        <f t="shared" si="2"/>
        <v>1493934537.0300002</v>
      </c>
      <c r="AM33" s="35">
        <f t="shared" si="2"/>
        <v>1475747044.3099999</v>
      </c>
      <c r="AN33" s="35">
        <f t="shared" si="2"/>
        <v>1773717401.71</v>
      </c>
      <c r="AO33" s="35">
        <f t="shared" si="2"/>
        <v>1703720458.6999998</v>
      </c>
      <c r="AP33" s="35">
        <f t="shared" si="2"/>
        <v>2076535006.25</v>
      </c>
      <c r="AQ33" s="35">
        <f t="shared" si="2"/>
        <v>1993838972.8300002</v>
      </c>
      <c r="AR33" s="35">
        <f t="shared" si="2"/>
        <v>1808757579.1600001</v>
      </c>
      <c r="AS33" s="35">
        <f t="shared" si="2"/>
        <v>1731980966.0599999</v>
      </c>
      <c r="AT33" s="35">
        <f t="shared" si="2"/>
        <v>1698132716.9399998</v>
      </c>
      <c r="AU33" s="35">
        <f t="shared" si="2"/>
        <v>1792179370.3899999</v>
      </c>
      <c r="AV33" s="35">
        <f t="shared" si="2"/>
        <v>1986119814.3399999</v>
      </c>
      <c r="AW33" s="35">
        <f t="shared" si="2"/>
        <v>1702381112.5300002</v>
      </c>
      <c r="AX33" s="35">
        <f t="shared" si="2"/>
        <v>2024732355.3599999</v>
      </c>
      <c r="AY33" s="35">
        <f t="shared" si="2"/>
        <v>1701013866.9400001</v>
      </c>
      <c r="AZ33" s="35">
        <f t="shared" si="2"/>
        <v>1635028743.5799999</v>
      </c>
      <c r="BA33" s="35">
        <f t="shared" si="2"/>
        <v>1577366248.27</v>
      </c>
      <c r="BB33" s="35">
        <f t="shared" si="2"/>
        <v>1587029107.6599998</v>
      </c>
      <c r="BC33" s="35">
        <f t="shared" si="2"/>
        <v>1333237288.6200001</v>
      </c>
      <c r="BD33" s="35">
        <f t="shared" si="2"/>
        <v>1301515059.1100001</v>
      </c>
      <c r="BE33" s="35">
        <f t="shared" si="2"/>
        <v>1256457981.0999999</v>
      </c>
      <c r="BF33" s="35">
        <f t="shared" si="2"/>
        <v>1168773792.97</v>
      </c>
      <c r="BG33" s="35">
        <f t="shared" si="2"/>
        <v>1144213474.4300001</v>
      </c>
      <c r="BH33" s="35">
        <f t="shared" si="2"/>
        <v>1114446821.27</v>
      </c>
      <c r="BI33" s="35">
        <f t="shared" si="2"/>
        <v>1075982813.5699999</v>
      </c>
      <c r="BJ33" s="35">
        <f t="shared" si="2"/>
        <v>1335996664.6300001</v>
      </c>
      <c r="BK33" s="35">
        <f t="shared" si="2"/>
        <v>1322135302.8400002</v>
      </c>
      <c r="BL33" s="35">
        <f t="shared" si="2"/>
        <v>0</v>
      </c>
      <c r="BM33" s="35">
        <f t="shared" si="2"/>
        <v>1492402403.3899999</v>
      </c>
      <c r="BN33" s="35">
        <f t="shared" si="2"/>
        <v>1886116249.96</v>
      </c>
      <c r="BO33" s="35">
        <f t="shared" ref="BO33:CK33" si="3">SUM(BO22:BO29)</f>
        <v>1984137432.5</v>
      </c>
      <c r="BP33" s="35">
        <f t="shared" si="3"/>
        <v>1975165391.4200001</v>
      </c>
      <c r="BQ33" s="35">
        <f t="shared" si="3"/>
        <v>1460700280.71</v>
      </c>
      <c r="BR33" s="35">
        <f t="shared" si="3"/>
        <v>1653062971.95</v>
      </c>
      <c r="BS33" s="35">
        <f t="shared" si="3"/>
        <v>1681402589.4299998</v>
      </c>
      <c r="BT33" s="35">
        <f t="shared" si="3"/>
        <v>1529926666.3600001</v>
      </c>
      <c r="BU33" s="35">
        <f t="shared" si="3"/>
        <v>1673710723.77</v>
      </c>
      <c r="BV33" s="35">
        <f t="shared" si="3"/>
        <v>1428786073.5700002</v>
      </c>
      <c r="BW33" s="35">
        <f t="shared" si="3"/>
        <v>1373349545.4100001</v>
      </c>
      <c r="BX33" s="35">
        <f t="shared" si="3"/>
        <v>1128244444.4300001</v>
      </c>
      <c r="BY33" s="35">
        <f t="shared" si="3"/>
        <v>891742484.73000002</v>
      </c>
      <c r="BZ33" s="35">
        <f t="shared" si="3"/>
        <v>0</v>
      </c>
      <c r="CA33" s="35">
        <f t="shared" si="3"/>
        <v>624917750.2299999</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3915720273.5300002</v>
      </c>
      <c r="D35" s="189">
        <v>3947712802.3800001</v>
      </c>
      <c r="E35" s="189">
        <v>2805804600.4099998</v>
      </c>
      <c r="F35" s="189">
        <v>2629320974.9299998</v>
      </c>
      <c r="G35" s="189">
        <v>3014675255.3699999</v>
      </c>
      <c r="H35" s="189">
        <v>2812341286.8899999</v>
      </c>
      <c r="I35" s="189">
        <v>2620549815.4699998</v>
      </c>
      <c r="J35" s="189">
        <v>3199800850.1500001</v>
      </c>
      <c r="K35" s="189">
        <v>2892196959.4699998</v>
      </c>
      <c r="L35" s="189">
        <v>2641011480.4899998</v>
      </c>
      <c r="M35" s="189">
        <v>1953065274.0599999</v>
      </c>
      <c r="N35" s="189">
        <v>1588433022.23</v>
      </c>
      <c r="O35" s="189">
        <v>1367635597.24</v>
      </c>
      <c r="P35" s="189">
        <v>1339477601.6700001</v>
      </c>
      <c r="Q35" s="189">
        <v>1173851127.3099999</v>
      </c>
      <c r="R35" s="189">
        <v>932703928.71000004</v>
      </c>
      <c r="S35" s="189">
        <v>868240658.99000001</v>
      </c>
      <c r="T35" s="189">
        <v>581426083.91999996</v>
      </c>
      <c r="U35" s="189">
        <v>385673110.33999997</v>
      </c>
      <c r="V35" s="189">
        <v>417448393.73000002</v>
      </c>
      <c r="W35" s="189">
        <v>876871919.98000002</v>
      </c>
      <c r="X35" s="189">
        <v>1032229855.45</v>
      </c>
      <c r="Y35" s="189">
        <v>1003090693.95</v>
      </c>
      <c r="Z35" s="189">
        <v>1316925529.74</v>
      </c>
      <c r="AA35" s="189">
        <v>1131522411.9200001</v>
      </c>
      <c r="AB35" s="189">
        <v>703198023.29999995</v>
      </c>
      <c r="AC35" s="189">
        <v>1539319483.4400001</v>
      </c>
      <c r="AD35" s="189">
        <v>3070826442.5</v>
      </c>
      <c r="AE35" s="189">
        <v>2293365692.1999998</v>
      </c>
      <c r="AF35" s="189">
        <v>779138866.67999995</v>
      </c>
      <c r="AG35" s="189">
        <v>804597930.44000006</v>
      </c>
      <c r="AH35" s="189">
        <v>1370929157.79</v>
      </c>
      <c r="AI35" s="189">
        <v>839123651.32000005</v>
      </c>
      <c r="AJ35" s="189">
        <v>165336799.55000001</v>
      </c>
      <c r="AK35" s="189">
        <v>14000000</v>
      </c>
      <c r="AL35" s="189">
        <v>21000000</v>
      </c>
      <c r="AM35" s="189">
        <v>30994702.199999999</v>
      </c>
      <c r="AN35" s="189">
        <v>95994702.200000003</v>
      </c>
      <c r="AO35" s="189">
        <v>114000000</v>
      </c>
      <c r="AP35" s="189">
        <v>197010000</v>
      </c>
      <c r="AQ35" s="189">
        <v>277200800</v>
      </c>
      <c r="AR35" s="189">
        <v>291895800</v>
      </c>
      <c r="AS35" s="189">
        <v>419442042.50999999</v>
      </c>
      <c r="AT35" s="189">
        <v>446828987.49000001</v>
      </c>
      <c r="AU35" s="189">
        <v>320110568.13</v>
      </c>
      <c r="AV35" s="189">
        <v>250020000</v>
      </c>
      <c r="AW35" s="189">
        <v>338520000</v>
      </c>
      <c r="AX35" s="189">
        <v>404010000</v>
      </c>
      <c r="AY35" s="189">
        <v>447000000</v>
      </c>
      <c r="AZ35" s="189">
        <v>429755876.48000002</v>
      </c>
      <c r="BA35" s="189">
        <v>313255876.48000002</v>
      </c>
      <c r="BB35" s="189">
        <v>374400000</v>
      </c>
      <c r="BC35" s="189">
        <v>303900000</v>
      </c>
      <c r="BD35" s="189">
        <v>311833200</v>
      </c>
      <c r="BE35" s="189">
        <v>307237913.37</v>
      </c>
      <c r="BF35" s="189">
        <v>328787097.45999998</v>
      </c>
      <c r="BG35" s="189">
        <v>310682140</v>
      </c>
      <c r="BH35" s="189">
        <v>292564798</v>
      </c>
      <c r="BI35" s="189">
        <v>268112078</v>
      </c>
      <c r="BJ35" s="189">
        <v>232955408</v>
      </c>
      <c r="BK35" s="189">
        <v>216140128</v>
      </c>
      <c r="BL35" s="189">
        <v>0</v>
      </c>
      <c r="BM35" s="189">
        <v>222042000</v>
      </c>
      <c r="BN35" s="189">
        <v>238345442.06</v>
      </c>
      <c r="BO35" s="189">
        <v>204353303.93000001</v>
      </c>
      <c r="BP35" s="189">
        <v>82216189.049999997</v>
      </c>
      <c r="BQ35" s="189">
        <v>30960676.050000001</v>
      </c>
      <c r="BR35" s="189">
        <v>53477158.960000001</v>
      </c>
      <c r="BS35" s="189">
        <v>59070370.710000001</v>
      </c>
      <c r="BT35" s="189">
        <v>16370000</v>
      </c>
      <c r="BU35" s="189">
        <v>8510000</v>
      </c>
      <c r="BV35" s="189">
        <v>22669642.199999999</v>
      </c>
      <c r="BW35" s="189">
        <v>2000000</v>
      </c>
      <c r="BX35" s="189">
        <v>3000000</v>
      </c>
      <c r="BY35" s="189">
        <v>0</v>
      </c>
      <c r="BZ35" s="189">
        <v>0</v>
      </c>
      <c r="CA35" s="189">
        <v>0</v>
      </c>
      <c r="CB35" s="189">
        <v>0</v>
      </c>
      <c r="CC35" s="189">
        <v>0</v>
      </c>
      <c r="CD35" s="189">
        <v>0</v>
      </c>
      <c r="CE35" s="189">
        <v>0</v>
      </c>
      <c r="CF35" s="189">
        <v>0</v>
      </c>
      <c r="CG35" s="189"/>
      <c r="CH35" s="189"/>
      <c r="CI35" s="189"/>
      <c r="CJ35" s="189"/>
      <c r="CK35" s="189"/>
      <c r="CL35" s="189"/>
    </row>
    <row r="36" spans="1:90" x14ac:dyDescent="0.25">
      <c r="A36" s="17" t="s">
        <v>22</v>
      </c>
      <c r="B36" s="189">
        <v>0</v>
      </c>
      <c r="C36" s="189">
        <v>2809609738.5700002</v>
      </c>
      <c r="D36" s="189">
        <v>2917691285.52</v>
      </c>
      <c r="E36" s="189">
        <v>3827025700.0999999</v>
      </c>
      <c r="F36" s="189">
        <v>3733802682.6300001</v>
      </c>
      <c r="G36" s="189">
        <v>3447470692.8699999</v>
      </c>
      <c r="H36" s="189">
        <v>3283950717.98</v>
      </c>
      <c r="I36" s="189">
        <v>3335089672.0599999</v>
      </c>
      <c r="J36" s="189">
        <v>2675939708.4499998</v>
      </c>
      <c r="K36" s="189">
        <v>2704726262.5599999</v>
      </c>
      <c r="L36" s="189">
        <v>2393355945.3099999</v>
      </c>
      <c r="M36" s="189">
        <v>2419807341.9499998</v>
      </c>
      <c r="N36" s="189">
        <v>2476603810.46</v>
      </c>
      <c r="O36" s="189">
        <v>3474609646.3699999</v>
      </c>
      <c r="P36" s="189">
        <v>3718090880.3400002</v>
      </c>
      <c r="Q36" s="189">
        <v>3614077813.3699999</v>
      </c>
      <c r="R36" s="189">
        <v>3587712503.1999998</v>
      </c>
      <c r="S36" s="189">
        <v>3157373388.21</v>
      </c>
      <c r="T36" s="189">
        <v>2871729647.48</v>
      </c>
      <c r="U36" s="189">
        <v>2768046095.46</v>
      </c>
      <c r="V36" s="189">
        <v>2583906478.0100002</v>
      </c>
      <c r="W36" s="189">
        <v>1973791312.28</v>
      </c>
      <c r="X36" s="189">
        <v>2280383522.6900001</v>
      </c>
      <c r="Y36" s="189">
        <v>2129979583.3</v>
      </c>
      <c r="Z36" s="189">
        <v>2163203817.1300001</v>
      </c>
      <c r="AA36" s="189">
        <v>2023593612.48</v>
      </c>
      <c r="AB36" s="189">
        <v>2029496055.6099999</v>
      </c>
      <c r="AC36" s="189">
        <v>2815488171.3800001</v>
      </c>
      <c r="AD36" s="189">
        <v>3241419115.0900002</v>
      </c>
      <c r="AE36" s="189">
        <v>3695767260.8800001</v>
      </c>
      <c r="AF36" s="189">
        <v>3772273127.98</v>
      </c>
      <c r="AG36" s="189">
        <v>2972319633.4000001</v>
      </c>
      <c r="AH36" s="189">
        <v>2441701364.3899999</v>
      </c>
      <c r="AI36" s="189">
        <v>2245809458.8200002</v>
      </c>
      <c r="AJ36" s="189">
        <v>1663170343.78</v>
      </c>
      <c r="AK36" s="189">
        <v>1552443101.6900001</v>
      </c>
      <c r="AL36" s="189">
        <v>1214917832.02</v>
      </c>
      <c r="AM36" s="189">
        <v>992869205.67999995</v>
      </c>
      <c r="AN36" s="189">
        <v>1009823975.92</v>
      </c>
      <c r="AO36" s="189">
        <v>989965462.97000003</v>
      </c>
      <c r="AP36" s="189">
        <v>978589449.10000002</v>
      </c>
      <c r="AQ36" s="189">
        <v>1083477341.73</v>
      </c>
      <c r="AR36" s="189">
        <v>1116862101.4200001</v>
      </c>
      <c r="AS36" s="189">
        <v>1152683408.75</v>
      </c>
      <c r="AT36" s="189">
        <v>1153263390.76</v>
      </c>
      <c r="AU36" s="189">
        <v>1165581519.3800001</v>
      </c>
      <c r="AV36" s="189">
        <v>1304172342.52</v>
      </c>
      <c r="AW36" s="189">
        <v>927481093.52999997</v>
      </c>
      <c r="AX36" s="189">
        <v>883012652.50999999</v>
      </c>
      <c r="AY36" s="189">
        <v>707993701.98000002</v>
      </c>
      <c r="AZ36" s="189">
        <v>663909985.23000002</v>
      </c>
      <c r="BA36" s="189">
        <v>776726387.57000005</v>
      </c>
      <c r="BB36" s="189">
        <v>385548015.56999999</v>
      </c>
      <c r="BC36" s="189">
        <v>336911158.18000001</v>
      </c>
      <c r="BD36" s="189">
        <v>528799442.06999999</v>
      </c>
      <c r="BE36" s="189">
        <v>595326529.54999995</v>
      </c>
      <c r="BF36" s="189">
        <v>334401022.06</v>
      </c>
      <c r="BG36" s="189">
        <v>582065546.21000004</v>
      </c>
      <c r="BH36" s="189">
        <v>545455278.84000003</v>
      </c>
      <c r="BI36" s="189">
        <v>562973018.60000002</v>
      </c>
      <c r="BJ36" s="189">
        <v>695844406.78999996</v>
      </c>
      <c r="BK36" s="189">
        <v>604935495.35000002</v>
      </c>
      <c r="BL36" s="189">
        <v>0</v>
      </c>
      <c r="BM36" s="189">
        <v>580552200.62</v>
      </c>
      <c r="BN36" s="189">
        <v>394642828.88999999</v>
      </c>
      <c r="BO36" s="189">
        <v>531526566.19</v>
      </c>
      <c r="BP36" s="189">
        <v>409768753.07999998</v>
      </c>
      <c r="BQ36" s="189">
        <v>375774040.43000001</v>
      </c>
      <c r="BR36" s="189">
        <v>279626148.68000001</v>
      </c>
      <c r="BS36" s="189">
        <v>309071058.91000003</v>
      </c>
      <c r="BT36" s="189">
        <v>263558116.88999999</v>
      </c>
      <c r="BU36" s="189">
        <v>370981880.47000003</v>
      </c>
      <c r="BV36" s="189">
        <v>254551325.93000001</v>
      </c>
      <c r="BW36" s="189">
        <v>339524845.5</v>
      </c>
      <c r="BX36" s="189">
        <v>291399094.70999998</v>
      </c>
      <c r="BY36" s="189">
        <v>251148017.66999999</v>
      </c>
      <c r="BZ36" s="189">
        <v>0</v>
      </c>
      <c r="CA36" s="189">
        <v>133030479.81</v>
      </c>
      <c r="CB36" s="189">
        <v>0</v>
      </c>
      <c r="CC36" s="189">
        <v>0</v>
      </c>
      <c r="CD36" s="189">
        <v>0</v>
      </c>
      <c r="CE36" s="189">
        <v>0</v>
      </c>
      <c r="CF36" s="189">
        <v>0</v>
      </c>
      <c r="CG36" s="189"/>
      <c r="CH36" s="189"/>
      <c r="CI36" s="189"/>
      <c r="CJ36" s="189"/>
      <c r="CK36" s="189"/>
      <c r="CL36" s="189"/>
    </row>
    <row r="37" spans="1:90" x14ac:dyDescent="0.25">
      <c r="A37" s="17" t="s">
        <v>23</v>
      </c>
      <c r="B37" s="189">
        <v>831925860.39999998</v>
      </c>
      <c r="C37" s="189">
        <v>828133123.71000004</v>
      </c>
      <c r="D37" s="189">
        <v>977599266.51999998</v>
      </c>
      <c r="E37" s="189">
        <v>3065815801.9299998</v>
      </c>
      <c r="F37" s="189">
        <v>1081644947.9300001</v>
      </c>
      <c r="G37" s="189">
        <v>1673007411.95</v>
      </c>
      <c r="H37" s="189">
        <v>1662294599.3</v>
      </c>
      <c r="I37" s="189">
        <v>3014347762.2399998</v>
      </c>
      <c r="J37" s="189">
        <v>1296793781.53</v>
      </c>
      <c r="K37" s="189">
        <v>992809515.40999997</v>
      </c>
      <c r="L37" s="189">
        <v>933131410.57000005</v>
      </c>
      <c r="M37" s="189">
        <v>1652908781.4400001</v>
      </c>
      <c r="N37" s="189">
        <v>622168195.08000004</v>
      </c>
      <c r="O37" s="189">
        <v>514283156.51999998</v>
      </c>
      <c r="P37" s="189">
        <v>364023659.50999999</v>
      </c>
      <c r="Q37" s="189">
        <v>851592826.02999997</v>
      </c>
      <c r="R37" s="189">
        <v>491635454.19999999</v>
      </c>
      <c r="S37" s="189">
        <v>439535919.42000002</v>
      </c>
      <c r="T37" s="189">
        <v>469488073.63</v>
      </c>
      <c r="U37" s="189">
        <v>1057952597.52</v>
      </c>
      <c r="V37" s="189">
        <v>963659588.73000002</v>
      </c>
      <c r="W37" s="189">
        <v>737668513.87</v>
      </c>
      <c r="X37" s="189">
        <v>594024686.45000005</v>
      </c>
      <c r="Y37" s="189">
        <v>804441642.84000003</v>
      </c>
      <c r="Z37" s="189">
        <v>508205936.68000001</v>
      </c>
      <c r="AA37" s="189">
        <v>358450431.48000002</v>
      </c>
      <c r="AB37" s="189">
        <v>523306367.44999999</v>
      </c>
      <c r="AC37" s="189">
        <v>485754049.80000001</v>
      </c>
      <c r="AD37" s="189">
        <v>202674104.12</v>
      </c>
      <c r="AE37" s="189">
        <v>115980512.18000001</v>
      </c>
      <c r="AF37" s="189">
        <v>407233399.95999998</v>
      </c>
      <c r="AG37" s="189">
        <v>467168360.41000003</v>
      </c>
      <c r="AH37" s="189">
        <v>135286697.90000001</v>
      </c>
      <c r="AI37" s="189">
        <v>170850155.44999999</v>
      </c>
      <c r="AJ37" s="189">
        <v>174791433.44999999</v>
      </c>
      <c r="AK37" s="189">
        <v>135076044.68000001</v>
      </c>
      <c r="AL37" s="189">
        <v>163880178.55000001</v>
      </c>
      <c r="AM37" s="189">
        <v>112144210.27</v>
      </c>
      <c r="AN37" s="189">
        <v>229383275.96000001</v>
      </c>
      <c r="AO37" s="189">
        <v>225481656.22999999</v>
      </c>
      <c r="AP37" s="189">
        <v>219788195.31999999</v>
      </c>
      <c r="AQ37" s="189">
        <v>115075037.17</v>
      </c>
      <c r="AR37" s="189">
        <v>127295157.77</v>
      </c>
      <c r="AS37" s="189">
        <v>109214195.98999999</v>
      </c>
      <c r="AT37" s="189">
        <v>86463908.530000001</v>
      </c>
      <c r="AU37" s="189">
        <v>78578832.810000002</v>
      </c>
      <c r="AV37" s="189">
        <v>108234504.38</v>
      </c>
      <c r="AW37" s="189">
        <v>114870456.64</v>
      </c>
      <c r="AX37" s="189">
        <v>128172470.55</v>
      </c>
      <c r="AY37" s="189">
        <v>85447076</v>
      </c>
      <c r="AZ37" s="189">
        <v>97781831.650000006</v>
      </c>
      <c r="BA37" s="189">
        <v>108402429.78</v>
      </c>
      <c r="BB37" s="189">
        <v>140182184.12</v>
      </c>
      <c r="BC37" s="189">
        <v>77416627.650000006</v>
      </c>
      <c r="BD37" s="189">
        <v>79877314.420000002</v>
      </c>
      <c r="BE37" s="189">
        <v>82227301.890000001</v>
      </c>
      <c r="BF37" s="189">
        <v>112940246.52</v>
      </c>
      <c r="BG37" s="189">
        <v>102231993.59999999</v>
      </c>
      <c r="BH37" s="189">
        <v>173661772.65000001</v>
      </c>
      <c r="BI37" s="189">
        <v>194246022.86000001</v>
      </c>
      <c r="BJ37" s="189">
        <v>244962861.59</v>
      </c>
      <c r="BK37" s="189">
        <v>311252975.66000003</v>
      </c>
      <c r="BL37" s="189">
        <v>0</v>
      </c>
      <c r="BM37" s="189">
        <v>373273672.62</v>
      </c>
      <c r="BN37" s="189">
        <v>44829646.619999997</v>
      </c>
      <c r="BO37" s="189">
        <v>46488607.899999999</v>
      </c>
      <c r="BP37" s="189">
        <v>29434431.059999999</v>
      </c>
      <c r="BQ37" s="189">
        <v>17266436.699999999</v>
      </c>
      <c r="BR37" s="189">
        <v>10568013.02</v>
      </c>
      <c r="BS37" s="189">
        <v>25319676.219999999</v>
      </c>
      <c r="BT37" s="189">
        <v>59618641.140000001</v>
      </c>
      <c r="BU37" s="189">
        <v>50293927.560000002</v>
      </c>
      <c r="BV37" s="189">
        <v>2906172.98</v>
      </c>
      <c r="BW37" s="189">
        <v>19535658.969999999</v>
      </c>
      <c r="BX37" s="189">
        <v>17338836</v>
      </c>
      <c r="BY37" s="189">
        <v>17249340.579999998</v>
      </c>
      <c r="BZ37" s="189">
        <v>0</v>
      </c>
      <c r="CA37" s="189">
        <v>49281352.609999999</v>
      </c>
      <c r="CB37" s="189">
        <v>0</v>
      </c>
      <c r="CC37" s="189">
        <v>0</v>
      </c>
      <c r="CD37" s="189">
        <v>0</v>
      </c>
      <c r="CE37" s="189">
        <v>0</v>
      </c>
      <c r="CF37" s="189">
        <v>0</v>
      </c>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c r="CH38" s="189"/>
      <c r="CI38" s="189"/>
      <c r="CJ38" s="189"/>
      <c r="CK38" s="189"/>
      <c r="CL38" s="189"/>
    </row>
    <row r="39" spans="1:90" x14ac:dyDescent="0.25">
      <c r="A39" s="17" t="s">
        <v>25</v>
      </c>
      <c r="B39" s="189">
        <v>325999773.55000001</v>
      </c>
      <c r="C39" s="189">
        <v>257127334.88</v>
      </c>
      <c r="D39" s="189">
        <v>239431744.09</v>
      </c>
      <c r="E39" s="189">
        <v>349483844.75999999</v>
      </c>
      <c r="F39" s="189">
        <v>257433831.47999999</v>
      </c>
      <c r="G39" s="189">
        <v>236575040.77000001</v>
      </c>
      <c r="H39" s="189">
        <v>195046514.34999999</v>
      </c>
      <c r="I39" s="189">
        <v>288592163.29000002</v>
      </c>
      <c r="J39" s="189">
        <v>209250904.65000001</v>
      </c>
      <c r="K39" s="189">
        <v>192269790.25999999</v>
      </c>
      <c r="L39" s="189">
        <v>165825125.93000001</v>
      </c>
      <c r="M39" s="189">
        <v>248280716.91999999</v>
      </c>
      <c r="N39" s="189">
        <v>214843945.50999999</v>
      </c>
      <c r="O39" s="189">
        <v>200327168.56</v>
      </c>
      <c r="P39" s="189">
        <v>202382870.86000001</v>
      </c>
      <c r="Q39" s="189">
        <v>250377809.91999999</v>
      </c>
      <c r="R39" s="189">
        <v>189622771.47999999</v>
      </c>
      <c r="S39" s="189">
        <v>165171100.88</v>
      </c>
      <c r="T39" s="189">
        <v>151074583.81999999</v>
      </c>
      <c r="U39" s="189">
        <v>207323619.91999999</v>
      </c>
      <c r="V39" s="189">
        <v>156698339.24000001</v>
      </c>
      <c r="W39" s="189">
        <v>109888309.66</v>
      </c>
      <c r="X39" s="189">
        <v>128792368.70999999</v>
      </c>
      <c r="Y39" s="189">
        <v>125902663.09</v>
      </c>
      <c r="Z39" s="189">
        <v>119684349.95999999</v>
      </c>
      <c r="AA39" s="189">
        <v>97311748.420000002</v>
      </c>
      <c r="AB39" s="189">
        <v>100990330.73999999</v>
      </c>
      <c r="AC39" s="189">
        <v>135480654.25999999</v>
      </c>
      <c r="AD39" s="189">
        <v>133555231.01000001</v>
      </c>
      <c r="AE39" s="189">
        <v>132875213.5</v>
      </c>
      <c r="AF39" s="189">
        <v>145332420.69</v>
      </c>
      <c r="AG39" s="189">
        <v>146946246.72999999</v>
      </c>
      <c r="AH39" s="189">
        <v>74168936.129999995</v>
      </c>
      <c r="AI39" s="189">
        <v>67353736.340000004</v>
      </c>
      <c r="AJ39" s="189">
        <v>61297089.469999999</v>
      </c>
      <c r="AK39" s="189">
        <v>66748481.770000003</v>
      </c>
      <c r="AL39" s="189">
        <v>25914288.300000001</v>
      </c>
      <c r="AM39" s="189">
        <v>25366173.23</v>
      </c>
      <c r="AN39" s="189">
        <v>31049803.649999999</v>
      </c>
      <c r="AO39" s="189">
        <v>43537479.539999999</v>
      </c>
      <c r="AP39" s="189">
        <v>25682327.760000002</v>
      </c>
      <c r="AQ39" s="189">
        <v>28042765.579999998</v>
      </c>
      <c r="AR39" s="189">
        <v>18152835</v>
      </c>
      <c r="AS39" s="189">
        <v>27602044.609999999</v>
      </c>
      <c r="AT39" s="189">
        <v>29372596.140000001</v>
      </c>
      <c r="AU39" s="189">
        <v>26494723.02</v>
      </c>
      <c r="AV39" s="189">
        <v>12303854.880000001</v>
      </c>
      <c r="AW39" s="189">
        <v>18577449.100000001</v>
      </c>
      <c r="AX39" s="189">
        <v>19587970.039999999</v>
      </c>
      <c r="AY39" s="189">
        <v>17813109.879999999</v>
      </c>
      <c r="AZ39" s="189">
        <v>2689444.58</v>
      </c>
      <c r="BA39" s="189">
        <v>24698654.140000001</v>
      </c>
      <c r="BB39" s="189">
        <v>16873662</v>
      </c>
      <c r="BC39" s="189">
        <v>17042883.359999999</v>
      </c>
      <c r="BD39" s="189">
        <v>2242184.12</v>
      </c>
      <c r="BE39" s="189">
        <v>21692589.66</v>
      </c>
      <c r="BF39" s="189">
        <v>8567850.1699999999</v>
      </c>
      <c r="BG39" s="189">
        <v>18157766.789999999</v>
      </c>
      <c r="BH39" s="189">
        <v>13460642.4</v>
      </c>
      <c r="BI39" s="189">
        <v>29399720.640000001</v>
      </c>
      <c r="BJ39" s="189">
        <v>20251297.579999998</v>
      </c>
      <c r="BK39" s="189">
        <v>29412173.440000001</v>
      </c>
      <c r="BL39" s="189">
        <v>0</v>
      </c>
      <c r="BM39" s="189">
        <v>37118808.560000002</v>
      </c>
      <c r="BN39" s="189">
        <v>43539249.649999999</v>
      </c>
      <c r="BO39" s="189">
        <v>43453487.590000004</v>
      </c>
      <c r="BP39" s="189">
        <v>46552582.700000003</v>
      </c>
      <c r="BQ39" s="189">
        <v>50301203.840000004</v>
      </c>
      <c r="BR39" s="189">
        <v>53871822.469999999</v>
      </c>
      <c r="BS39" s="189">
        <v>55533735.100000001</v>
      </c>
      <c r="BT39" s="189">
        <v>53189886.859999999</v>
      </c>
      <c r="BU39" s="189">
        <v>57667753.450000003</v>
      </c>
      <c r="BV39" s="189">
        <v>44241290.850000001</v>
      </c>
      <c r="BW39" s="189">
        <v>55874384.159999996</v>
      </c>
      <c r="BX39" s="189">
        <v>49117510.600000001</v>
      </c>
      <c r="BY39" s="189">
        <v>53125708.229999997</v>
      </c>
      <c r="BZ39" s="189">
        <v>0</v>
      </c>
      <c r="CA39" s="189">
        <v>49185207.380000003</v>
      </c>
      <c r="CB39" s="189">
        <v>0</v>
      </c>
      <c r="CC39" s="189">
        <v>0</v>
      </c>
      <c r="CD39" s="189">
        <v>0</v>
      </c>
      <c r="CE39" s="189">
        <v>0</v>
      </c>
      <c r="CF39" s="189">
        <v>0</v>
      </c>
      <c r="CG39" s="189"/>
      <c r="CH39" s="189"/>
      <c r="CI39" s="189"/>
      <c r="CJ39" s="189"/>
      <c r="CK39" s="189"/>
      <c r="CL39" s="189"/>
    </row>
    <row r="40" spans="1:90" x14ac:dyDescent="0.25">
      <c r="A40" s="17" t="s">
        <v>26</v>
      </c>
      <c r="B40" s="189">
        <v>469500143.68000001</v>
      </c>
      <c r="C40" s="189">
        <v>426592631.5</v>
      </c>
      <c r="D40" s="189">
        <v>585241670.62</v>
      </c>
      <c r="E40" s="189">
        <v>638017523.30999994</v>
      </c>
      <c r="F40" s="189">
        <v>405748686.13</v>
      </c>
      <c r="G40" s="189">
        <v>368178286.60000002</v>
      </c>
      <c r="H40" s="189">
        <v>486228300.38</v>
      </c>
      <c r="I40" s="189">
        <v>412238029.95999998</v>
      </c>
      <c r="J40" s="189">
        <v>315052471.75</v>
      </c>
      <c r="K40" s="189">
        <v>303337746.55000001</v>
      </c>
      <c r="L40" s="189">
        <v>368638351.06999999</v>
      </c>
      <c r="M40" s="189">
        <v>325108227.91000003</v>
      </c>
      <c r="N40" s="189">
        <v>278739422.85000002</v>
      </c>
      <c r="O40" s="189">
        <v>221331717.38</v>
      </c>
      <c r="P40" s="189">
        <v>389196199.64999998</v>
      </c>
      <c r="Q40" s="189">
        <v>273648854.63999999</v>
      </c>
      <c r="R40" s="189">
        <v>275896166.92000002</v>
      </c>
      <c r="S40" s="189">
        <v>246020710.21000001</v>
      </c>
      <c r="T40" s="189">
        <v>317463648.66000003</v>
      </c>
      <c r="U40" s="189">
        <v>199203856.56</v>
      </c>
      <c r="V40" s="189">
        <v>96779918.150000006</v>
      </c>
      <c r="W40" s="189">
        <v>56522351.560000002</v>
      </c>
      <c r="X40" s="189">
        <v>140569355.16999999</v>
      </c>
      <c r="Y40" s="189">
        <v>-3821048.41</v>
      </c>
      <c r="Z40" s="189">
        <v>-32762866.739999998</v>
      </c>
      <c r="AA40" s="189">
        <v>-49512188.460000001</v>
      </c>
      <c r="AB40" s="189">
        <v>59986045.189999998</v>
      </c>
      <c r="AC40" s="189">
        <v>1463883.21</v>
      </c>
      <c r="AD40" s="189">
        <v>45540264.920000002</v>
      </c>
      <c r="AE40" s="189">
        <v>16297283.109999999</v>
      </c>
      <c r="AF40" s="189">
        <v>116061857.25</v>
      </c>
      <c r="AG40" s="189">
        <v>-23947043.149999999</v>
      </c>
      <c r="AH40" s="189">
        <v>44923047.159999996</v>
      </c>
      <c r="AI40" s="189">
        <v>118089421.65000001</v>
      </c>
      <c r="AJ40" s="189">
        <v>53286883.289999999</v>
      </c>
      <c r="AK40" s="189">
        <v>116221316.66</v>
      </c>
      <c r="AL40" s="189">
        <v>65866708.119999997</v>
      </c>
      <c r="AM40" s="189">
        <v>16927764.859999999</v>
      </c>
      <c r="AN40" s="189">
        <v>61362168.259999998</v>
      </c>
      <c r="AO40" s="189">
        <v>36310470.229999997</v>
      </c>
      <c r="AP40" s="189">
        <v>30292227.32</v>
      </c>
      <c r="AQ40" s="189">
        <v>14363082.880000001</v>
      </c>
      <c r="AR40" s="189">
        <v>18734512.059999999</v>
      </c>
      <c r="AS40" s="189">
        <v>8422865.4199999999</v>
      </c>
      <c r="AT40" s="189">
        <v>30218415.079999998</v>
      </c>
      <c r="AU40" s="189">
        <v>5728229.2699999996</v>
      </c>
      <c r="AV40" s="189">
        <v>28766169.510000002</v>
      </c>
      <c r="AW40" s="189">
        <v>20517776.07</v>
      </c>
      <c r="AX40" s="189">
        <v>16388418.65</v>
      </c>
      <c r="AY40" s="189">
        <v>9202676.9299999997</v>
      </c>
      <c r="AZ40" s="189">
        <v>13783724.470000001</v>
      </c>
      <c r="BA40" s="189">
        <v>11096177.77</v>
      </c>
      <c r="BB40" s="189">
        <v>10086565.75</v>
      </c>
      <c r="BC40" s="189">
        <v>9621520.6099999994</v>
      </c>
      <c r="BD40" s="189">
        <v>11743933.810000001</v>
      </c>
      <c r="BE40" s="189">
        <v>8717973.5700000003</v>
      </c>
      <c r="BF40" s="189">
        <v>15827643.210000001</v>
      </c>
      <c r="BG40" s="189">
        <v>1056067.9099999999</v>
      </c>
      <c r="BH40" s="189">
        <v>-674882.09</v>
      </c>
      <c r="BI40" s="189">
        <v>36955560.289999999</v>
      </c>
      <c r="BJ40" s="189">
        <v>29510990.899999999</v>
      </c>
      <c r="BK40" s="189">
        <v>7699969.3899999997</v>
      </c>
      <c r="BL40" s="189">
        <v>0</v>
      </c>
      <c r="BM40" s="189">
        <v>-18050448.34</v>
      </c>
      <c r="BN40" s="189">
        <v>-31785873.739999998</v>
      </c>
      <c r="BO40" s="189">
        <v>-62770144.409999996</v>
      </c>
      <c r="BP40" s="189">
        <v>10256022.18</v>
      </c>
      <c r="BQ40" s="189">
        <v>32491843.18</v>
      </c>
      <c r="BR40" s="189">
        <v>23513145.149999999</v>
      </c>
      <c r="BS40" s="189">
        <v>48116442.799999997</v>
      </c>
      <c r="BT40" s="189">
        <v>44388101.939999998</v>
      </c>
      <c r="BU40" s="189">
        <v>37864169.960000001</v>
      </c>
      <c r="BV40" s="189">
        <v>38823511.509999998</v>
      </c>
      <c r="BW40" s="189">
        <v>28855054.75</v>
      </c>
      <c r="BX40" s="189">
        <v>35125898.280000001</v>
      </c>
      <c r="BY40" s="189">
        <v>29672322.66</v>
      </c>
      <c r="BZ40" s="189">
        <v>0</v>
      </c>
      <c r="CA40" s="189">
        <v>13882081.24</v>
      </c>
      <c r="CB40" s="189">
        <v>0</v>
      </c>
      <c r="CC40" s="189">
        <v>0</v>
      </c>
      <c r="CD40" s="189">
        <v>0</v>
      </c>
      <c r="CE40" s="189">
        <v>0</v>
      </c>
      <c r="CF40" s="189">
        <v>0</v>
      </c>
      <c r="CG40" s="189"/>
      <c r="CH40" s="189"/>
      <c r="CI40" s="189"/>
      <c r="CJ40" s="189"/>
      <c r="CK40" s="189"/>
      <c r="CL40" s="189"/>
    </row>
    <row r="41" spans="1:90" x14ac:dyDescent="0.25">
      <c r="A41" s="17" t="s">
        <v>27</v>
      </c>
      <c r="B41" s="189">
        <v>181522157.16999999</v>
      </c>
      <c r="C41" s="189">
        <v>185057430.91</v>
      </c>
      <c r="D41" s="189">
        <v>172114674.22</v>
      </c>
      <c r="E41" s="189">
        <v>221120863.47999999</v>
      </c>
      <c r="F41" s="189">
        <v>219230536.72</v>
      </c>
      <c r="G41" s="189">
        <v>224691641.72</v>
      </c>
      <c r="H41" s="189">
        <v>214809660.69</v>
      </c>
      <c r="I41" s="189">
        <v>199926402.03999999</v>
      </c>
      <c r="J41" s="189">
        <v>217172901.19999999</v>
      </c>
      <c r="K41" s="189">
        <v>206605331.90000001</v>
      </c>
      <c r="L41" s="189">
        <v>195592427.06</v>
      </c>
      <c r="M41" s="189">
        <v>171807137.94</v>
      </c>
      <c r="N41" s="189">
        <v>43706497.619999997</v>
      </c>
      <c r="O41" s="189">
        <v>49991787.579999998</v>
      </c>
      <c r="P41" s="189">
        <v>48798275.840000004</v>
      </c>
      <c r="Q41" s="189">
        <v>48540416.840000004</v>
      </c>
      <c r="R41" s="189">
        <v>43225364.880000003</v>
      </c>
      <c r="S41" s="189">
        <v>40154741.170000002</v>
      </c>
      <c r="T41" s="189">
        <v>53731239.810000002</v>
      </c>
      <c r="U41" s="189">
        <v>50021093.659999996</v>
      </c>
      <c r="V41" s="189">
        <v>49855208.43</v>
      </c>
      <c r="W41" s="189">
        <v>56031246.850000001</v>
      </c>
      <c r="X41" s="189">
        <v>87199934.689999998</v>
      </c>
      <c r="Y41" s="189">
        <v>71726352.370000005</v>
      </c>
      <c r="Z41" s="189">
        <v>156627568.24000001</v>
      </c>
      <c r="AA41" s="189">
        <v>161576058.72</v>
      </c>
      <c r="AB41" s="189">
        <v>175973645.78999999</v>
      </c>
      <c r="AC41" s="189">
        <v>165405271.16</v>
      </c>
      <c r="AD41" s="189">
        <v>175093751.31999999</v>
      </c>
      <c r="AE41" s="189">
        <v>93605875.329999998</v>
      </c>
      <c r="AF41" s="189">
        <v>78319574.909999996</v>
      </c>
      <c r="AG41" s="189">
        <v>84178532.280000001</v>
      </c>
      <c r="AH41" s="189">
        <v>78104129.519999996</v>
      </c>
      <c r="AI41" s="189">
        <v>68376834.680000007</v>
      </c>
      <c r="AJ41" s="189">
        <v>396702076.38</v>
      </c>
      <c r="AK41" s="189">
        <v>60542744.719999999</v>
      </c>
      <c r="AL41" s="189">
        <v>115321833.79000001</v>
      </c>
      <c r="AM41" s="189">
        <v>118910110.34</v>
      </c>
      <c r="AN41" s="189">
        <v>112776493.18000001</v>
      </c>
      <c r="AO41" s="189">
        <v>135832343.38999999</v>
      </c>
      <c r="AP41" s="189">
        <v>122912625.5</v>
      </c>
      <c r="AQ41" s="189">
        <v>172961995.72999999</v>
      </c>
      <c r="AR41" s="189">
        <v>126600479.08</v>
      </c>
      <c r="AS41" s="189">
        <v>128176831.47</v>
      </c>
      <c r="AT41" s="189">
        <v>169559774.72</v>
      </c>
      <c r="AU41" s="189">
        <v>180252750.58000001</v>
      </c>
      <c r="AV41" s="189">
        <v>146296119.13999999</v>
      </c>
      <c r="AW41" s="189">
        <v>118746340.44</v>
      </c>
      <c r="AX41" s="189">
        <v>208274575.59999999</v>
      </c>
      <c r="AY41" s="189">
        <v>163263725.72999999</v>
      </c>
      <c r="AZ41" s="189">
        <v>117027147.56</v>
      </c>
      <c r="BA41" s="189">
        <v>114902974.77</v>
      </c>
      <c r="BB41" s="189">
        <v>177361427.16</v>
      </c>
      <c r="BC41" s="189">
        <v>124432245.95</v>
      </c>
      <c r="BD41" s="189">
        <v>76464214.799999997</v>
      </c>
      <c r="BE41" s="189">
        <v>69892862.049999997</v>
      </c>
      <c r="BF41" s="189">
        <v>74710919.569999993</v>
      </c>
      <c r="BG41" s="189">
        <v>60752687.710000001</v>
      </c>
      <c r="BH41" s="189">
        <v>84207399.709999993</v>
      </c>
      <c r="BI41" s="189">
        <v>65584439.119999997</v>
      </c>
      <c r="BJ41" s="189">
        <v>43651092.509999998</v>
      </c>
      <c r="BK41" s="189">
        <v>69778968.659999996</v>
      </c>
      <c r="BL41" s="189">
        <v>0</v>
      </c>
      <c r="BM41" s="189">
        <v>132354632.64</v>
      </c>
      <c r="BN41" s="189">
        <v>97594232.689999998</v>
      </c>
      <c r="BO41" s="189">
        <v>110213607.92</v>
      </c>
      <c r="BP41" s="189">
        <v>203399728.75</v>
      </c>
      <c r="BQ41" s="189">
        <v>85617305.870000005</v>
      </c>
      <c r="BR41" s="189">
        <v>74896710.739999995</v>
      </c>
      <c r="BS41" s="189">
        <v>137138579.93000001</v>
      </c>
      <c r="BT41" s="189">
        <v>138870516.22999999</v>
      </c>
      <c r="BU41" s="189">
        <v>95890074.450000003</v>
      </c>
      <c r="BV41" s="189">
        <v>194759041.36000001</v>
      </c>
      <c r="BW41" s="189">
        <v>100987185.40000001</v>
      </c>
      <c r="BX41" s="189">
        <v>40924714.270000003</v>
      </c>
      <c r="BY41" s="189">
        <v>38359122.079999998</v>
      </c>
      <c r="BZ41" s="189">
        <v>0</v>
      </c>
      <c r="CA41" s="189">
        <v>28381643.260000002</v>
      </c>
      <c r="CB41" s="189">
        <v>0</v>
      </c>
      <c r="CC41" s="189">
        <v>0</v>
      </c>
      <c r="CD41" s="189">
        <v>0</v>
      </c>
      <c r="CE41" s="189">
        <v>0</v>
      </c>
      <c r="CF41" s="189">
        <v>0</v>
      </c>
      <c r="CG41" s="189"/>
      <c r="CH41" s="189"/>
      <c r="CI41" s="189"/>
      <c r="CJ41" s="189"/>
      <c r="CK41" s="189"/>
      <c r="CL41" s="189"/>
    </row>
    <row r="42" spans="1:90" s="39" customFormat="1" x14ac:dyDescent="0.25">
      <c r="A42" s="124" t="s">
        <v>28</v>
      </c>
      <c r="B42" s="189">
        <v>7427582.25</v>
      </c>
      <c r="C42" s="189">
        <v>10291652.869999999</v>
      </c>
      <c r="D42" s="189">
        <v>10766220.390000001</v>
      </c>
      <c r="E42" s="189">
        <v>12021620.17</v>
      </c>
      <c r="F42" s="189">
        <v>13104735.619999999</v>
      </c>
      <c r="G42" s="189">
        <v>13693727.01</v>
      </c>
      <c r="H42" s="189">
        <v>15511381.91</v>
      </c>
      <c r="I42" s="189">
        <v>16101348.6</v>
      </c>
      <c r="J42" s="189">
        <v>24901715.48</v>
      </c>
      <c r="K42" s="189">
        <v>26025528.059999999</v>
      </c>
      <c r="L42" s="189">
        <v>28439299.25</v>
      </c>
      <c r="M42" s="189">
        <v>28439299.25</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c r="CH42" s="189"/>
      <c r="CI42" s="189"/>
      <c r="CJ42" s="189"/>
      <c r="CK42" s="189"/>
      <c r="CL42" s="189"/>
    </row>
    <row r="43" spans="1:90" x14ac:dyDescent="0.25">
      <c r="A43" s="17" t="s">
        <v>29</v>
      </c>
      <c r="B43" s="189">
        <v>5775149.8499999996</v>
      </c>
      <c r="C43" s="189">
        <v>2262533.19</v>
      </c>
      <c r="D43" s="189">
        <v>2375833.2000000002</v>
      </c>
      <c r="E43" s="189">
        <v>2489133.21</v>
      </c>
      <c r="F43" s="189">
        <v>2602433.2200000002</v>
      </c>
      <c r="G43" s="189">
        <v>2715733.23</v>
      </c>
      <c r="H43" s="189">
        <v>2829033.24</v>
      </c>
      <c r="I43" s="189">
        <v>2942333.25</v>
      </c>
      <c r="J43" s="189">
        <v>3055633.26</v>
      </c>
      <c r="K43" s="189">
        <v>3168933.27</v>
      </c>
      <c r="L43" s="189">
        <v>3282233.28</v>
      </c>
      <c r="M43" s="189">
        <v>3395533.29</v>
      </c>
      <c r="N43" s="189">
        <v>3508833.3</v>
      </c>
      <c r="O43" s="189">
        <v>3622133.31</v>
      </c>
      <c r="P43" s="189">
        <v>3735433.32</v>
      </c>
      <c r="Q43" s="189">
        <v>3848733.33</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2073957.3</v>
      </c>
      <c r="O44" s="189">
        <v>2073957.3</v>
      </c>
      <c r="P44" s="189">
        <v>2073957.3</v>
      </c>
      <c r="Q44" s="189">
        <v>2073957.3</v>
      </c>
      <c r="R44" s="189">
        <v>2073957.3</v>
      </c>
      <c r="S44" s="189">
        <v>3783957.3</v>
      </c>
      <c r="T44" s="189">
        <v>2073957.3</v>
      </c>
      <c r="U44" s="189">
        <v>2073957.3</v>
      </c>
      <c r="V44" s="189">
        <v>2073957.3</v>
      </c>
      <c r="W44" s="189">
        <v>2549025.2999999998</v>
      </c>
      <c r="X44" s="189">
        <v>2607427.2999999998</v>
      </c>
      <c r="Y44" s="189">
        <v>2607427.2999999998</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c r="CH44" s="189"/>
      <c r="CI44" s="189"/>
      <c r="CJ44" s="189"/>
      <c r="CK44" s="189"/>
      <c r="CL44" s="189"/>
    </row>
    <row r="45" spans="1:90" x14ac:dyDescent="0.25">
      <c r="A45" s="17" t="s">
        <v>31</v>
      </c>
      <c r="B45" s="189">
        <v>2473489467.29</v>
      </c>
      <c r="C45" s="189">
        <v>2476199672.1900001</v>
      </c>
      <c r="D45" s="189">
        <v>2533953221.3800001</v>
      </c>
      <c r="E45" s="189">
        <v>2107700604.6099999</v>
      </c>
      <c r="F45" s="189">
        <v>2274382191.77</v>
      </c>
      <c r="G45" s="189">
        <v>2183815015.6399999</v>
      </c>
      <c r="H45" s="189">
        <v>2220797766.5599999</v>
      </c>
      <c r="I45" s="189">
        <v>1844413154.26</v>
      </c>
      <c r="J45" s="189">
        <v>1930899475.9200001</v>
      </c>
      <c r="K45" s="189">
        <v>1820932196.1400001</v>
      </c>
      <c r="L45" s="189">
        <v>1813872599.27</v>
      </c>
      <c r="M45" s="189">
        <v>1521734293.24</v>
      </c>
      <c r="N45" s="189">
        <v>1563232105.54</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172691829.55000001</v>
      </c>
      <c r="AQ45" s="189">
        <v>218759683.31</v>
      </c>
      <c r="AR45" s="189">
        <v>0</v>
      </c>
      <c r="AS45" s="189">
        <v>0</v>
      </c>
      <c r="AT45" s="189">
        <v>0</v>
      </c>
      <c r="AU45" s="189">
        <v>0</v>
      </c>
      <c r="AV45" s="189">
        <v>18059633.239999998</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4288212551.9400001</v>
      </c>
      <c r="C49" s="35">
        <f>SUM(C35:C41)+SUM(C43:C45)</f>
        <v>10900702738.48</v>
      </c>
      <c r="D49" s="35">
        <f>SUM(D35:D41)+SUM(D43:D45)</f>
        <v>11376120497.93</v>
      </c>
      <c r="E49" s="35">
        <f>SUM(E35:E45)</f>
        <v>13029479691.98</v>
      </c>
      <c r="F49" s="35">
        <f t="shared" ref="F49:BQ49" si="4">SUM(F35:F45)</f>
        <v>10617271020.43</v>
      </c>
      <c r="G49" s="35">
        <f t="shared" si="4"/>
        <v>11164822805.159998</v>
      </c>
      <c r="H49" s="35">
        <f t="shared" si="4"/>
        <v>10893809261.299999</v>
      </c>
      <c r="I49" s="35">
        <f t="shared" si="4"/>
        <v>11734200681.170002</v>
      </c>
      <c r="J49" s="35">
        <f t="shared" si="4"/>
        <v>9872867442.3899994</v>
      </c>
      <c r="K49" s="35">
        <f t="shared" si="4"/>
        <v>9142072263.6200008</v>
      </c>
      <c r="L49" s="35">
        <f t="shared" si="4"/>
        <v>8543148872.2299995</v>
      </c>
      <c r="M49" s="35">
        <f t="shared" si="4"/>
        <v>8324546606</v>
      </c>
      <c r="N49" s="35">
        <f t="shared" si="4"/>
        <v>6793309789.8900013</v>
      </c>
      <c r="O49" s="35">
        <f t="shared" si="4"/>
        <v>5833875164.2600002</v>
      </c>
      <c r="P49" s="35">
        <f t="shared" si="4"/>
        <v>6067778878.4899998</v>
      </c>
      <c r="Q49" s="35">
        <f t="shared" si="4"/>
        <v>6218011538.7400007</v>
      </c>
      <c r="R49" s="35">
        <f t="shared" si="4"/>
        <v>5522870146.6899996</v>
      </c>
      <c r="S49" s="35">
        <f t="shared" si="4"/>
        <v>4920280476.1800003</v>
      </c>
      <c r="T49" s="35">
        <f t="shared" si="4"/>
        <v>4446987234.6200008</v>
      </c>
      <c r="U49" s="35">
        <f t="shared" si="4"/>
        <v>4670294330.7600002</v>
      </c>
      <c r="V49" s="35">
        <f t="shared" si="4"/>
        <v>4270421883.5900002</v>
      </c>
      <c r="W49" s="35">
        <f t="shared" si="4"/>
        <v>3813322679.5</v>
      </c>
      <c r="X49" s="35">
        <f t="shared" si="4"/>
        <v>4265807150.4600005</v>
      </c>
      <c r="Y49" s="35">
        <f t="shared" si="4"/>
        <v>4133927314.4400005</v>
      </c>
      <c r="Z49" s="35">
        <f t="shared" si="4"/>
        <v>4231884335.0100002</v>
      </c>
      <c r="AA49" s="35">
        <f t="shared" si="4"/>
        <v>3722942074.5599999</v>
      </c>
      <c r="AB49" s="35">
        <f t="shared" si="4"/>
        <v>3592950468.0799994</v>
      </c>
      <c r="AC49" s="35">
        <f t="shared" si="4"/>
        <v>5142911513.25</v>
      </c>
      <c r="AD49" s="35">
        <f t="shared" si="4"/>
        <v>6869108908.96</v>
      </c>
      <c r="AE49" s="35">
        <f t="shared" si="4"/>
        <v>6347891837.1999998</v>
      </c>
      <c r="AF49" s="35">
        <f t="shared" si="4"/>
        <v>5298359247.4699993</v>
      </c>
      <c r="AG49" s="35">
        <f t="shared" si="4"/>
        <v>4451263660.1099997</v>
      </c>
      <c r="AH49" s="35">
        <f t="shared" si="4"/>
        <v>4145113332.8899999</v>
      </c>
      <c r="AI49" s="35">
        <f t="shared" si="4"/>
        <v>3509603258.2600002</v>
      </c>
      <c r="AJ49" s="35">
        <f t="shared" si="4"/>
        <v>2514584625.9200001</v>
      </c>
      <c r="AK49" s="35">
        <f t="shared" si="4"/>
        <v>1945031689.5200002</v>
      </c>
      <c r="AL49" s="35">
        <f t="shared" si="4"/>
        <v>1606900840.7799997</v>
      </c>
      <c r="AM49" s="35">
        <f t="shared" si="4"/>
        <v>1297212166.5799999</v>
      </c>
      <c r="AN49" s="35">
        <f t="shared" si="4"/>
        <v>1540390419.1700001</v>
      </c>
      <c r="AO49" s="35">
        <f t="shared" si="4"/>
        <v>1545127412.3600001</v>
      </c>
      <c r="AP49" s="35">
        <f t="shared" si="4"/>
        <v>1746966654.5499997</v>
      </c>
      <c r="AQ49" s="35">
        <f t="shared" si="4"/>
        <v>1909880706.4000001</v>
      </c>
      <c r="AR49" s="35">
        <f t="shared" si="4"/>
        <v>1699540885.3299999</v>
      </c>
      <c r="AS49" s="35">
        <f t="shared" si="4"/>
        <v>1845541388.75</v>
      </c>
      <c r="AT49" s="35">
        <f t="shared" si="4"/>
        <v>1915707072.72</v>
      </c>
      <c r="AU49" s="35">
        <f t="shared" si="4"/>
        <v>1776746623.1900001</v>
      </c>
      <c r="AV49" s="35">
        <f t="shared" si="4"/>
        <v>1867852623.6700003</v>
      </c>
      <c r="AW49" s="35">
        <f t="shared" si="4"/>
        <v>1538713115.78</v>
      </c>
      <c r="AX49" s="35">
        <f t="shared" si="4"/>
        <v>1659446087.3499999</v>
      </c>
      <c r="AY49" s="35">
        <f t="shared" si="4"/>
        <v>1430720290.5200002</v>
      </c>
      <c r="AZ49" s="35">
        <f t="shared" si="4"/>
        <v>1324948009.97</v>
      </c>
      <c r="BA49" s="35">
        <f t="shared" si="4"/>
        <v>1349082500.5100002</v>
      </c>
      <c r="BB49" s="35">
        <f t="shared" si="4"/>
        <v>1104451854.5999999</v>
      </c>
      <c r="BC49" s="35">
        <f t="shared" si="4"/>
        <v>869324435.75000012</v>
      </c>
      <c r="BD49" s="35">
        <f t="shared" si="4"/>
        <v>1010960289.2199998</v>
      </c>
      <c r="BE49" s="35">
        <f t="shared" si="4"/>
        <v>1085095170.0899999</v>
      </c>
      <c r="BF49" s="35">
        <f t="shared" si="4"/>
        <v>875234778.99000001</v>
      </c>
      <c r="BG49" s="35">
        <f t="shared" si="4"/>
        <v>1074946202.22</v>
      </c>
      <c r="BH49" s="35">
        <f t="shared" si="4"/>
        <v>1108675009.51</v>
      </c>
      <c r="BI49" s="35">
        <f t="shared" si="4"/>
        <v>1157270839.51</v>
      </c>
      <c r="BJ49" s="35">
        <f t="shared" si="4"/>
        <v>1267176057.3699999</v>
      </c>
      <c r="BK49" s="35">
        <f t="shared" si="4"/>
        <v>1239219710.5000002</v>
      </c>
      <c r="BL49" s="35">
        <f t="shared" si="4"/>
        <v>0</v>
      </c>
      <c r="BM49" s="35">
        <f t="shared" si="4"/>
        <v>1327290866.1000001</v>
      </c>
      <c r="BN49" s="35">
        <f t="shared" si="4"/>
        <v>787165526.17000008</v>
      </c>
      <c r="BO49" s="35">
        <f t="shared" si="4"/>
        <v>873265429.12</v>
      </c>
      <c r="BP49" s="35">
        <f t="shared" si="4"/>
        <v>781627706.81999993</v>
      </c>
      <c r="BQ49" s="35">
        <f t="shared" si="4"/>
        <v>592411506.06999993</v>
      </c>
      <c r="BR49" s="35">
        <f t="shared" ref="BR49:CK49" si="5">SUM(BR35:BR45)</f>
        <v>495952999.01999998</v>
      </c>
      <c r="BS49" s="35">
        <f t="shared" si="5"/>
        <v>634249863.67000008</v>
      </c>
      <c r="BT49" s="35">
        <f t="shared" si="5"/>
        <v>575995263.05999994</v>
      </c>
      <c r="BU49" s="35">
        <f t="shared" si="5"/>
        <v>621207805.88999999</v>
      </c>
      <c r="BV49" s="35">
        <f t="shared" si="5"/>
        <v>557950984.83000004</v>
      </c>
      <c r="BW49" s="35">
        <f t="shared" si="5"/>
        <v>546777128.77999997</v>
      </c>
      <c r="BX49" s="35">
        <f t="shared" si="5"/>
        <v>436906053.86000001</v>
      </c>
      <c r="BY49" s="35">
        <f t="shared" si="5"/>
        <v>389554511.22000003</v>
      </c>
      <c r="BZ49" s="35">
        <f t="shared" si="5"/>
        <v>0</v>
      </c>
      <c r="CA49" s="35">
        <f t="shared" si="5"/>
        <v>273760764.30000001</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12273369189.439999</v>
      </c>
      <c r="C50" s="36">
        <f t="shared" ref="C50:BN50" si="6">C33-C49</f>
        <v>4953912663.0600014</v>
      </c>
      <c r="D50" s="36">
        <f t="shared" si="6"/>
        <v>5616068700.0599995</v>
      </c>
      <c r="E50" s="36">
        <f t="shared" si="6"/>
        <v>4881015676.2299995</v>
      </c>
      <c r="F50" s="36">
        <f t="shared" si="6"/>
        <v>3128243085.7200012</v>
      </c>
      <c r="G50" s="36">
        <f t="shared" si="6"/>
        <v>2356242222.0800037</v>
      </c>
      <c r="H50" s="36">
        <f t="shared" si="6"/>
        <v>1651784141.3800011</v>
      </c>
      <c r="I50" s="36">
        <f t="shared" si="6"/>
        <v>1294832924.5899982</v>
      </c>
      <c r="J50" s="36">
        <f t="shared" si="6"/>
        <v>3087185450.7000008</v>
      </c>
      <c r="K50" s="36">
        <f t="shared" si="6"/>
        <v>2682026108.3199978</v>
      </c>
      <c r="L50" s="36">
        <f t="shared" si="6"/>
        <v>2474015598.0100002</v>
      </c>
      <c r="M50" s="36">
        <f t="shared" si="6"/>
        <v>1362156578.7299995</v>
      </c>
      <c r="N50" s="36">
        <f t="shared" si="6"/>
        <v>179732893.4299984</v>
      </c>
      <c r="O50" s="36">
        <f t="shared" si="6"/>
        <v>1031829379.1399994</v>
      </c>
      <c r="P50" s="36">
        <f t="shared" si="6"/>
        <v>1807405343.3800001</v>
      </c>
      <c r="Q50" s="36">
        <f t="shared" si="6"/>
        <v>516663926.03999996</v>
      </c>
      <c r="R50" s="36">
        <f t="shared" si="6"/>
        <v>1058120373.6500006</v>
      </c>
      <c r="S50" s="36">
        <f t="shared" si="6"/>
        <v>1011437902.3999996</v>
      </c>
      <c r="T50" s="36">
        <f t="shared" si="6"/>
        <v>1455979374.4699993</v>
      </c>
      <c r="U50" s="36">
        <f t="shared" si="6"/>
        <v>1313655853.3599997</v>
      </c>
      <c r="V50" s="36">
        <f t="shared" si="6"/>
        <v>1347578109.3000002</v>
      </c>
      <c r="W50" s="36">
        <f t="shared" si="6"/>
        <v>1160675682.6799994</v>
      </c>
      <c r="X50" s="36">
        <f t="shared" si="6"/>
        <v>1323440914.599999</v>
      </c>
      <c r="Y50" s="36">
        <f t="shared" si="6"/>
        <v>1119178666.1899986</v>
      </c>
      <c r="Z50" s="36">
        <f t="shared" si="6"/>
        <v>-417165558.24000025</v>
      </c>
      <c r="AA50" s="36">
        <f t="shared" si="6"/>
        <v>-805607615.5999999</v>
      </c>
      <c r="AB50" s="36">
        <f t="shared" si="6"/>
        <v>-2565969.2099995613</v>
      </c>
      <c r="AC50" s="36">
        <f t="shared" si="6"/>
        <v>-268544666.86999893</v>
      </c>
      <c r="AD50" s="36">
        <f t="shared" si="6"/>
        <v>-832232950.33000088</v>
      </c>
      <c r="AE50" s="36">
        <f t="shared" si="6"/>
        <v>229325759.28999996</v>
      </c>
      <c r="AF50" s="36">
        <f t="shared" si="6"/>
        <v>382256800.96000099</v>
      </c>
      <c r="AG50" s="36">
        <f t="shared" si="6"/>
        <v>-432008478.93999958</v>
      </c>
      <c r="AH50" s="36">
        <f t="shared" si="6"/>
        <v>-633099424.68999958</v>
      </c>
      <c r="AI50" s="36">
        <f t="shared" si="6"/>
        <v>-227848786.32000017</v>
      </c>
      <c r="AJ50" s="36">
        <f t="shared" si="6"/>
        <v>540601421.52000046</v>
      </c>
      <c r="AK50" s="36">
        <f t="shared" si="6"/>
        <v>83450911.499999762</v>
      </c>
      <c r="AL50" s="36">
        <f t="shared" si="6"/>
        <v>-112966303.74999952</v>
      </c>
      <c r="AM50" s="36">
        <f t="shared" si="6"/>
        <v>178534877.73000002</v>
      </c>
      <c r="AN50" s="36">
        <f t="shared" si="6"/>
        <v>233326982.53999996</v>
      </c>
      <c r="AO50" s="36">
        <f t="shared" si="6"/>
        <v>158593046.33999968</v>
      </c>
      <c r="AP50" s="36">
        <f t="shared" si="6"/>
        <v>329568351.70000029</v>
      </c>
      <c r="AQ50" s="36">
        <f t="shared" si="6"/>
        <v>83958266.430000067</v>
      </c>
      <c r="AR50" s="36">
        <f t="shared" si="6"/>
        <v>109216693.83000016</v>
      </c>
      <c r="AS50" s="36">
        <f t="shared" si="6"/>
        <v>-113560422.69000006</v>
      </c>
      <c r="AT50" s="36">
        <f t="shared" si="6"/>
        <v>-217574355.78000021</v>
      </c>
      <c r="AU50" s="36">
        <f t="shared" si="6"/>
        <v>15432747.199999809</v>
      </c>
      <c r="AV50" s="36">
        <f t="shared" si="6"/>
        <v>118267190.6699996</v>
      </c>
      <c r="AW50" s="36">
        <f t="shared" si="6"/>
        <v>163667996.75000024</v>
      </c>
      <c r="AX50" s="36">
        <f t="shared" si="6"/>
        <v>365286268.00999999</v>
      </c>
      <c r="AY50" s="36">
        <f t="shared" si="6"/>
        <v>270293576.41999984</v>
      </c>
      <c r="AZ50" s="36">
        <f t="shared" si="6"/>
        <v>310080733.6099999</v>
      </c>
      <c r="BA50" s="36">
        <f t="shared" si="6"/>
        <v>228283747.75999975</v>
      </c>
      <c r="BB50" s="36">
        <f t="shared" si="6"/>
        <v>482577253.05999994</v>
      </c>
      <c r="BC50" s="36">
        <f t="shared" si="6"/>
        <v>463912852.87</v>
      </c>
      <c r="BD50" s="36">
        <f t="shared" si="6"/>
        <v>290554769.89000034</v>
      </c>
      <c r="BE50" s="36">
        <f t="shared" si="6"/>
        <v>171362811.00999999</v>
      </c>
      <c r="BF50" s="36">
        <f t="shared" si="6"/>
        <v>293539013.98000002</v>
      </c>
      <c r="BG50" s="36">
        <f t="shared" si="6"/>
        <v>69267272.210000038</v>
      </c>
      <c r="BH50" s="36">
        <f t="shared" si="6"/>
        <v>5771811.7599999905</v>
      </c>
      <c r="BI50" s="36">
        <f t="shared" si="6"/>
        <v>-81288025.940000057</v>
      </c>
      <c r="BJ50" s="36">
        <f t="shared" si="6"/>
        <v>68820607.260000229</v>
      </c>
      <c r="BK50" s="36">
        <f t="shared" si="6"/>
        <v>82915592.339999914</v>
      </c>
      <c r="BL50" s="36">
        <f t="shared" si="6"/>
        <v>0</v>
      </c>
      <c r="BM50" s="36">
        <f t="shared" si="6"/>
        <v>165111537.28999972</v>
      </c>
      <c r="BN50" s="36">
        <f t="shared" si="6"/>
        <v>1098950723.79</v>
      </c>
      <c r="BO50" s="36">
        <f t="shared" ref="BO50:CK50" si="7">BO33-BO49</f>
        <v>1110872003.3800001</v>
      </c>
      <c r="BP50" s="36">
        <f t="shared" si="7"/>
        <v>1193537684.6000001</v>
      </c>
      <c r="BQ50" s="36">
        <f t="shared" si="7"/>
        <v>868288774.6400001</v>
      </c>
      <c r="BR50" s="36">
        <f t="shared" si="7"/>
        <v>1157109972.9300001</v>
      </c>
      <c r="BS50" s="36">
        <f t="shared" si="7"/>
        <v>1047152725.7599998</v>
      </c>
      <c r="BT50" s="36">
        <f t="shared" si="7"/>
        <v>953931403.30000019</v>
      </c>
      <c r="BU50" s="36">
        <f t="shared" si="7"/>
        <v>1052502917.88</v>
      </c>
      <c r="BV50" s="36">
        <f t="shared" si="7"/>
        <v>870835088.74000013</v>
      </c>
      <c r="BW50" s="36">
        <f t="shared" si="7"/>
        <v>826572416.63000011</v>
      </c>
      <c r="BX50" s="36">
        <f t="shared" si="7"/>
        <v>691338390.57000005</v>
      </c>
      <c r="BY50" s="36">
        <f t="shared" si="7"/>
        <v>502187973.50999999</v>
      </c>
      <c r="BZ50" s="36">
        <f t="shared" si="7"/>
        <v>0</v>
      </c>
      <c r="CA50" s="36">
        <f t="shared" si="7"/>
        <v>351156985.92999989</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1078246771.48</v>
      </c>
      <c r="C52" s="189">
        <v>1064376016.22</v>
      </c>
      <c r="D52" s="189">
        <v>1023793861.63</v>
      </c>
      <c r="E52" s="189">
        <v>1029668355.84</v>
      </c>
      <c r="F52" s="189">
        <v>1006798867.34</v>
      </c>
      <c r="G52" s="189">
        <v>978083778.86000001</v>
      </c>
      <c r="H52" s="189">
        <v>979174930.67999995</v>
      </c>
      <c r="I52" s="189">
        <v>970859291.02999997</v>
      </c>
      <c r="J52" s="189">
        <v>976470361.90999997</v>
      </c>
      <c r="K52" s="189">
        <v>992560338.03999996</v>
      </c>
      <c r="L52" s="189">
        <v>1011578889.1</v>
      </c>
      <c r="M52" s="189">
        <v>1019528291.6</v>
      </c>
      <c r="N52" s="189">
        <v>1006135467.04</v>
      </c>
      <c r="O52" s="189">
        <v>1026039242.28</v>
      </c>
      <c r="P52" s="189">
        <v>1038145055.66</v>
      </c>
      <c r="Q52" s="189">
        <v>1065820898.65</v>
      </c>
      <c r="R52" s="189">
        <v>1121031153.22</v>
      </c>
      <c r="S52" s="189">
        <v>1131351176.29</v>
      </c>
      <c r="T52" s="189">
        <v>1165403863.8599999</v>
      </c>
      <c r="U52" s="189">
        <v>1194244286.8599999</v>
      </c>
      <c r="V52" s="189">
        <v>1218231681.21</v>
      </c>
      <c r="W52" s="189">
        <v>1242514876.24</v>
      </c>
      <c r="X52" s="189">
        <v>1272773028.55</v>
      </c>
      <c r="Y52" s="189">
        <v>1297298526.3099999</v>
      </c>
      <c r="Z52" s="189">
        <v>1320444706.3599999</v>
      </c>
      <c r="AA52" s="189">
        <v>1328967037.77</v>
      </c>
      <c r="AB52" s="189">
        <v>1341505281.9300001</v>
      </c>
      <c r="AC52" s="189">
        <v>1365332660.3299999</v>
      </c>
      <c r="AD52" s="189">
        <v>1233686814.27</v>
      </c>
      <c r="AE52" s="189">
        <v>1231089205.72</v>
      </c>
      <c r="AF52" s="189">
        <v>1225192549.8299999</v>
      </c>
      <c r="AG52" s="189">
        <v>1196176706.6500001</v>
      </c>
      <c r="AH52" s="189">
        <v>635145776.71000004</v>
      </c>
      <c r="AI52" s="189">
        <v>608502384.62</v>
      </c>
      <c r="AJ52" s="189">
        <v>600346984.88</v>
      </c>
      <c r="AK52" s="189">
        <v>591877098.11000001</v>
      </c>
      <c r="AL52" s="189">
        <v>338435433.11000001</v>
      </c>
      <c r="AM52" s="189">
        <v>341176354.83999997</v>
      </c>
      <c r="AN52" s="189">
        <v>444080120.67000002</v>
      </c>
      <c r="AO52" s="189">
        <v>502382574.00999999</v>
      </c>
      <c r="AP52" s="189">
        <v>549487303.70000005</v>
      </c>
      <c r="AQ52" s="189">
        <v>560278161.63999999</v>
      </c>
      <c r="AR52" s="189">
        <v>537945446.71000004</v>
      </c>
      <c r="AS52" s="189">
        <v>542475231.64999998</v>
      </c>
      <c r="AT52" s="189">
        <v>611432506.63999999</v>
      </c>
      <c r="AU52" s="189">
        <v>594704285.50999999</v>
      </c>
      <c r="AV52" s="189">
        <v>603951041.86000001</v>
      </c>
      <c r="AW52" s="189">
        <v>609313811.38999999</v>
      </c>
      <c r="AX52" s="189">
        <v>626363146.78999996</v>
      </c>
      <c r="AY52" s="189">
        <v>499149483.16000003</v>
      </c>
      <c r="AZ52" s="189">
        <v>511887141.30000001</v>
      </c>
      <c r="BA52" s="189">
        <v>521844995.51999998</v>
      </c>
      <c r="BB52" s="189">
        <v>523723978.04000002</v>
      </c>
      <c r="BC52" s="189">
        <v>522435026.06999999</v>
      </c>
      <c r="BD52" s="189">
        <v>531178411.02999997</v>
      </c>
      <c r="BE52" s="189">
        <v>541899685.54999995</v>
      </c>
      <c r="BF52" s="189">
        <v>541899233.34000003</v>
      </c>
      <c r="BG52" s="189">
        <v>553129104.62</v>
      </c>
      <c r="BH52" s="189">
        <v>630413054.82000005</v>
      </c>
      <c r="BI52" s="189">
        <v>631657940.36000001</v>
      </c>
      <c r="BJ52" s="189">
        <v>472448954.86000001</v>
      </c>
      <c r="BK52" s="189">
        <v>478096995.31999999</v>
      </c>
      <c r="BL52" s="189">
        <v>0</v>
      </c>
      <c r="BM52" s="189">
        <v>649032231.92999995</v>
      </c>
      <c r="BN52" s="189">
        <v>713060504.58000004</v>
      </c>
      <c r="BO52" s="189">
        <v>732184962.82000005</v>
      </c>
      <c r="BP52" s="189">
        <v>740884519.58000004</v>
      </c>
      <c r="BQ52" s="189">
        <v>700619723.42999995</v>
      </c>
      <c r="BR52" s="189">
        <v>669192791.72000003</v>
      </c>
      <c r="BS52" s="189">
        <v>669221106.20000005</v>
      </c>
      <c r="BT52" s="189">
        <v>625628210.89999998</v>
      </c>
      <c r="BU52" s="189">
        <v>606043990.94000006</v>
      </c>
      <c r="BV52" s="189">
        <v>672225726.96000004</v>
      </c>
      <c r="BW52" s="189">
        <v>501027728.80000001</v>
      </c>
      <c r="BX52" s="189">
        <v>312334258.22000003</v>
      </c>
      <c r="BY52" s="189">
        <v>129503552.06</v>
      </c>
      <c r="BZ52" s="189">
        <v>123879010</v>
      </c>
      <c r="CA52" s="189">
        <v>127278013.04000001</v>
      </c>
      <c r="CB52" s="189">
        <v>105225000</v>
      </c>
      <c r="CC52" s="189">
        <v>0</v>
      </c>
      <c r="CD52" s="189">
        <v>0</v>
      </c>
      <c r="CE52" s="189">
        <v>0</v>
      </c>
      <c r="CF52" s="189">
        <v>0</v>
      </c>
      <c r="CG52" s="189"/>
      <c r="CH52" s="189"/>
      <c r="CI52" s="189"/>
      <c r="CJ52" s="189"/>
      <c r="CK52" s="189"/>
      <c r="CL52" s="189"/>
    </row>
    <row r="53" spans="1:90" s="192" customFormat="1" x14ac:dyDescent="0.25">
      <c r="A53" s="192" t="s">
        <v>35</v>
      </c>
      <c r="B53" s="189">
        <v>40331385.079999998</v>
      </c>
      <c r="C53" s="189">
        <v>39728931.020000003</v>
      </c>
      <c r="D53" s="189">
        <v>37972252.600000001</v>
      </c>
      <c r="E53" s="189">
        <v>37972252.600000001</v>
      </c>
      <c r="F53" s="189">
        <v>14733569.060000001</v>
      </c>
      <c r="G53" s="189">
        <v>176579.99</v>
      </c>
      <c r="H53" s="189">
        <v>0</v>
      </c>
      <c r="I53" s="189">
        <v>0</v>
      </c>
      <c r="J53" s="189">
        <v>0</v>
      </c>
      <c r="K53" s="189">
        <v>0</v>
      </c>
      <c r="L53" s="189">
        <v>0</v>
      </c>
      <c r="M53" s="189">
        <v>0</v>
      </c>
      <c r="N53" s="189">
        <v>323748</v>
      </c>
      <c r="O53" s="189">
        <v>0</v>
      </c>
      <c r="P53" s="189">
        <v>0</v>
      </c>
      <c r="Q53" s="189">
        <v>0</v>
      </c>
      <c r="R53" s="189">
        <v>2184273.62</v>
      </c>
      <c r="S53" s="189">
        <v>2957911.82</v>
      </c>
      <c r="T53" s="189">
        <v>2184273.62</v>
      </c>
      <c r="U53" s="189">
        <v>0</v>
      </c>
      <c r="V53" s="189">
        <v>11271.7</v>
      </c>
      <c r="W53" s="189">
        <v>0</v>
      </c>
      <c r="X53" s="189">
        <v>0</v>
      </c>
      <c r="Y53" s="189">
        <v>0</v>
      </c>
      <c r="Z53" s="189">
        <v>4271268.42</v>
      </c>
      <c r="AA53" s="189">
        <v>4954600</v>
      </c>
      <c r="AB53" s="189">
        <v>1231600</v>
      </c>
      <c r="AC53" s="189">
        <v>0</v>
      </c>
      <c r="AD53" s="189">
        <v>138966368.16999999</v>
      </c>
      <c r="AE53" s="189">
        <v>128321081.51000001</v>
      </c>
      <c r="AF53" s="189">
        <v>54515344.68</v>
      </c>
      <c r="AG53" s="189">
        <v>26005677.68</v>
      </c>
      <c r="AH53" s="189">
        <v>29009230.719999999</v>
      </c>
      <c r="AI53" s="189">
        <v>26697578.91</v>
      </c>
      <c r="AJ53" s="189">
        <v>13750456.02</v>
      </c>
      <c r="AK53" s="189">
        <v>23101817.68</v>
      </c>
      <c r="AL53" s="189">
        <v>263019691.78</v>
      </c>
      <c r="AM53" s="189">
        <v>143555141.96000001</v>
      </c>
      <c r="AN53" s="189">
        <v>18171591.760000002</v>
      </c>
      <c r="AO53" s="189">
        <v>14371339.58</v>
      </c>
      <c r="AP53" s="189">
        <v>25880356.350000001</v>
      </c>
      <c r="AQ53" s="189">
        <v>25208391.68</v>
      </c>
      <c r="AR53" s="189">
        <v>28974621.399999999</v>
      </c>
      <c r="AS53" s="189">
        <v>33992492.18</v>
      </c>
      <c r="AT53" s="189">
        <v>32725225.649999999</v>
      </c>
      <c r="AU53" s="189">
        <v>39615587.289999999</v>
      </c>
      <c r="AV53" s="189">
        <v>34457070.009999998</v>
      </c>
      <c r="AW53" s="189">
        <v>24942916.050000001</v>
      </c>
      <c r="AX53" s="189">
        <v>39816505.07</v>
      </c>
      <c r="AY53" s="189">
        <v>25016263.539999999</v>
      </c>
      <c r="AZ53" s="189">
        <v>24259246.710000001</v>
      </c>
      <c r="BA53" s="189">
        <v>26240995.010000002</v>
      </c>
      <c r="BB53" s="189">
        <v>48893980.25</v>
      </c>
      <c r="BC53" s="189">
        <v>54397732.039999999</v>
      </c>
      <c r="BD53" s="189">
        <v>54682931.960000001</v>
      </c>
      <c r="BE53" s="189">
        <v>52942158.859999999</v>
      </c>
      <c r="BF53" s="189">
        <v>33818304.140000001</v>
      </c>
      <c r="BG53" s="189">
        <v>33609338.43</v>
      </c>
      <c r="BH53" s="189">
        <v>34299243.170000002</v>
      </c>
      <c r="BI53" s="189">
        <v>30586551.109999999</v>
      </c>
      <c r="BJ53" s="189">
        <v>27974877.739999998</v>
      </c>
      <c r="BK53" s="189">
        <v>28536334.079999998</v>
      </c>
      <c r="BL53" s="189">
        <v>0</v>
      </c>
      <c r="BM53" s="189">
        <v>26110979.120000001</v>
      </c>
      <c r="BN53" s="189">
        <v>70103857.379999995</v>
      </c>
      <c r="BO53" s="189">
        <v>35219441.380000003</v>
      </c>
      <c r="BP53" s="189">
        <v>23037010.559999999</v>
      </c>
      <c r="BQ53" s="189">
        <v>13418706.720000001</v>
      </c>
      <c r="BR53" s="189">
        <v>78828454.629999995</v>
      </c>
      <c r="BS53" s="189">
        <v>63600182.210000001</v>
      </c>
      <c r="BT53" s="189">
        <v>73226327.180000007</v>
      </c>
      <c r="BU53" s="189">
        <v>84151492.670000002</v>
      </c>
      <c r="BV53" s="189">
        <v>135919685.52000001</v>
      </c>
      <c r="BW53" s="189">
        <v>142365960.19999999</v>
      </c>
      <c r="BX53" s="189">
        <v>197480706.78</v>
      </c>
      <c r="BY53" s="189">
        <v>312647903.72000003</v>
      </c>
      <c r="BZ53" s="189">
        <v>83129400</v>
      </c>
      <c r="CA53" s="189">
        <v>58919166.469999999</v>
      </c>
      <c r="CB53" s="189">
        <v>33571000</v>
      </c>
      <c r="CC53" s="189">
        <v>0</v>
      </c>
      <c r="CD53" s="189">
        <v>0</v>
      </c>
      <c r="CE53" s="189">
        <v>0</v>
      </c>
      <c r="CF53" s="189">
        <v>0</v>
      </c>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107983.76</v>
      </c>
      <c r="AS55" s="189">
        <v>0</v>
      </c>
      <c r="AT55" s="189">
        <v>18589472.82</v>
      </c>
      <c r="AU55" s="189">
        <v>23773849.350000001</v>
      </c>
      <c r="AV55" s="189">
        <v>23774219.98</v>
      </c>
      <c r="AW55" s="189">
        <v>23769472.82</v>
      </c>
      <c r="AX55" s="189">
        <v>0</v>
      </c>
      <c r="AY55" s="189">
        <v>0</v>
      </c>
      <c r="AZ55" s="189">
        <v>271426.12</v>
      </c>
      <c r="BA55" s="189">
        <v>0</v>
      </c>
      <c r="BB55" s="189">
        <v>0</v>
      </c>
      <c r="BC55" s="189">
        <v>0</v>
      </c>
      <c r="BD55" s="189">
        <v>0</v>
      </c>
      <c r="BE55" s="189">
        <v>0</v>
      </c>
      <c r="BF55" s="189">
        <v>0</v>
      </c>
      <c r="BG55" s="189">
        <v>0</v>
      </c>
      <c r="BH55" s="189">
        <v>0</v>
      </c>
      <c r="BI55" s="189">
        <v>0</v>
      </c>
      <c r="BJ55" s="189">
        <v>-5213976.13</v>
      </c>
      <c r="BK55" s="189">
        <v>0</v>
      </c>
      <c r="BL55" s="189">
        <v>0</v>
      </c>
      <c r="BM55" s="189">
        <v>0</v>
      </c>
      <c r="BN55" s="189">
        <v>0</v>
      </c>
      <c r="BO55" s="189">
        <v>0</v>
      </c>
      <c r="BP55" s="189">
        <v>0</v>
      </c>
      <c r="BQ55" s="189">
        <v>0</v>
      </c>
      <c r="BR55" s="189">
        <v>167923.35</v>
      </c>
      <c r="BS55" s="189">
        <v>0</v>
      </c>
      <c r="BT55" s="189">
        <v>-2472</v>
      </c>
      <c r="BU55" s="189">
        <v>0</v>
      </c>
      <c r="BV55" s="189">
        <v>390413.52</v>
      </c>
      <c r="BW55" s="189">
        <v>0</v>
      </c>
      <c r="BX55" s="189">
        <v>0</v>
      </c>
      <c r="BY55" s="189">
        <v>0</v>
      </c>
      <c r="BZ55" s="189">
        <v>0</v>
      </c>
      <c r="CA55" s="189">
        <v>-105000</v>
      </c>
      <c r="CB55" s="189">
        <v>0</v>
      </c>
      <c r="CC55" s="189">
        <v>0</v>
      </c>
      <c r="CD55" s="189">
        <v>0</v>
      </c>
      <c r="CE55" s="189">
        <v>0</v>
      </c>
      <c r="CF55" s="189">
        <v>0</v>
      </c>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c r="CH57" s="189"/>
      <c r="CI57" s="189"/>
      <c r="CJ57" s="189"/>
      <c r="CK57" s="189"/>
      <c r="CL57" s="189"/>
    </row>
    <row r="58" spans="1:90" s="192" customFormat="1" x14ac:dyDescent="0.25">
      <c r="A58" s="192" t="s">
        <v>40</v>
      </c>
      <c r="B58" s="189">
        <v>183249989.66</v>
      </c>
      <c r="C58" s="189">
        <v>184434179.99000001</v>
      </c>
      <c r="D58" s="189">
        <v>185735812.56</v>
      </c>
      <c r="E58" s="189">
        <v>187045347.27000001</v>
      </c>
      <c r="F58" s="189">
        <v>188354882.02000001</v>
      </c>
      <c r="G58" s="189">
        <v>189664416.72999999</v>
      </c>
      <c r="H58" s="189">
        <v>190973951.44</v>
      </c>
      <c r="I58" s="189">
        <v>192283486.15000001</v>
      </c>
      <c r="J58" s="189">
        <v>193593020.90000001</v>
      </c>
      <c r="K58" s="189">
        <v>194902555.61000001</v>
      </c>
      <c r="L58" s="189">
        <v>196212090.31999999</v>
      </c>
      <c r="M58" s="189">
        <v>197521625.03</v>
      </c>
      <c r="N58" s="189">
        <v>198831363.18000001</v>
      </c>
      <c r="O58" s="189">
        <v>200141101.34999999</v>
      </c>
      <c r="P58" s="189">
        <v>201450839.52000001</v>
      </c>
      <c r="Q58" s="189">
        <v>202760577.69999999</v>
      </c>
      <c r="R58" s="189">
        <v>219832882.91999999</v>
      </c>
      <c r="S58" s="189">
        <v>216719963.63</v>
      </c>
      <c r="T58" s="189">
        <v>218000617.69</v>
      </c>
      <c r="U58" s="189">
        <v>219445532.87</v>
      </c>
      <c r="V58" s="189">
        <v>223995542.93000001</v>
      </c>
      <c r="W58" s="189">
        <v>225177591.13</v>
      </c>
      <c r="X58" s="189">
        <v>226620169.22</v>
      </c>
      <c r="Y58" s="189">
        <v>308714119.44</v>
      </c>
      <c r="Z58" s="189">
        <v>311042262.54000002</v>
      </c>
      <c r="AA58" s="189">
        <v>312965665.75999999</v>
      </c>
      <c r="AB58" s="189">
        <v>315330607.92000002</v>
      </c>
      <c r="AC58" s="189">
        <v>316860016.07999998</v>
      </c>
      <c r="AD58" s="189">
        <v>235605597.11000001</v>
      </c>
      <c r="AE58" s="189">
        <v>237146005.28</v>
      </c>
      <c r="AF58" s="189">
        <v>238686413.44999999</v>
      </c>
      <c r="AG58" s="189">
        <v>240226821.62</v>
      </c>
      <c r="AH58" s="189">
        <v>138646231.36000001</v>
      </c>
      <c r="AI58" s="189">
        <v>139472385.86000001</v>
      </c>
      <c r="AJ58" s="189">
        <v>140682254.34999999</v>
      </c>
      <c r="AK58" s="189">
        <v>141527568.63</v>
      </c>
      <c r="AL58" s="189">
        <v>125305688.94</v>
      </c>
      <c r="AM58" s="189">
        <v>126453013.45999999</v>
      </c>
      <c r="AN58" s="189">
        <v>136632298.56</v>
      </c>
      <c r="AO58" s="189">
        <v>152351167.31999999</v>
      </c>
      <c r="AP58" s="189">
        <v>177193370.65000001</v>
      </c>
      <c r="AQ58" s="189">
        <v>204410221.65000001</v>
      </c>
      <c r="AR58" s="189">
        <v>192792650.75</v>
      </c>
      <c r="AS58" s="189">
        <v>193627535.50999999</v>
      </c>
      <c r="AT58" s="189">
        <v>219369807.25999999</v>
      </c>
      <c r="AU58" s="189">
        <v>192797906.27000001</v>
      </c>
      <c r="AV58" s="189">
        <v>193806036.75</v>
      </c>
      <c r="AW58" s="189">
        <v>194280109.22999999</v>
      </c>
      <c r="AX58" s="189">
        <v>193864411.69</v>
      </c>
      <c r="AY58" s="189">
        <v>69299783.290000007</v>
      </c>
      <c r="AZ58" s="189">
        <v>70769813.439999998</v>
      </c>
      <c r="BA58" s="189">
        <v>71576591.659999996</v>
      </c>
      <c r="BB58" s="189">
        <v>72778458.879999995</v>
      </c>
      <c r="BC58" s="189">
        <v>74077435.909999996</v>
      </c>
      <c r="BD58" s="189">
        <v>74706664.090000004</v>
      </c>
      <c r="BE58" s="189">
        <v>75760719.189999998</v>
      </c>
      <c r="BF58" s="189">
        <v>77113930.879999995</v>
      </c>
      <c r="BG58" s="189">
        <v>78251315.989999995</v>
      </c>
      <c r="BH58" s="189">
        <v>80906952.900000006</v>
      </c>
      <c r="BI58" s="189">
        <v>80036126.980000004</v>
      </c>
      <c r="BJ58" s="189">
        <v>56449571.43</v>
      </c>
      <c r="BK58" s="189">
        <v>54212726.509999998</v>
      </c>
      <c r="BL58" s="189">
        <v>0</v>
      </c>
      <c r="BM58" s="189">
        <v>81029141.540000007</v>
      </c>
      <c r="BN58" s="189">
        <v>62469250.799999997</v>
      </c>
      <c r="BO58" s="189">
        <v>62096415.049999997</v>
      </c>
      <c r="BP58" s="189">
        <v>66023108.710000001</v>
      </c>
      <c r="BQ58" s="189">
        <v>68917394.900000006</v>
      </c>
      <c r="BR58" s="189">
        <v>61090975.899999999</v>
      </c>
      <c r="BS58" s="189">
        <v>62301682.840000004</v>
      </c>
      <c r="BT58" s="189">
        <v>56418306.109999999</v>
      </c>
      <c r="BU58" s="189">
        <v>57365070.359999999</v>
      </c>
      <c r="BV58" s="189">
        <v>40520371.590000004</v>
      </c>
      <c r="BW58" s="189">
        <v>20820283.829999998</v>
      </c>
      <c r="BX58" s="189">
        <v>10965122.130000001</v>
      </c>
      <c r="BY58" s="189">
        <v>10348591.18</v>
      </c>
      <c r="BZ58" s="189">
        <v>9732310</v>
      </c>
      <c r="CA58" s="189">
        <v>9836062.3100000005</v>
      </c>
      <c r="CB58" s="189">
        <v>12477000</v>
      </c>
      <c r="CC58" s="189">
        <v>0</v>
      </c>
      <c r="CD58" s="189">
        <v>0</v>
      </c>
      <c r="CE58" s="189">
        <v>0</v>
      </c>
      <c r="CF58" s="189">
        <v>0</v>
      </c>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c r="CH60" s="189"/>
      <c r="CI60" s="189"/>
      <c r="CJ60" s="189"/>
      <c r="CK60" s="189"/>
      <c r="CL60" s="189"/>
    </row>
    <row r="61" spans="1:90" s="192" customFormat="1" x14ac:dyDescent="0.25">
      <c r="A61" s="192" t="s">
        <v>43</v>
      </c>
      <c r="B61" s="189">
        <v>25664611.43</v>
      </c>
      <c r="C61" s="189">
        <v>26391575.09</v>
      </c>
      <c r="D61" s="189">
        <v>20298651.93</v>
      </c>
      <c r="E61" s="189">
        <v>22382020.52</v>
      </c>
      <c r="F61" s="189">
        <v>10409765.85</v>
      </c>
      <c r="G61" s="189">
        <v>5100503.1500000004</v>
      </c>
      <c r="H61" s="189">
        <v>4477822.34</v>
      </c>
      <c r="I61" s="189">
        <v>4387728.1399999997</v>
      </c>
      <c r="J61" s="189">
        <v>2466998.75</v>
      </c>
      <c r="K61" s="189">
        <v>3009579.2</v>
      </c>
      <c r="L61" s="189">
        <v>3604078.32</v>
      </c>
      <c r="M61" s="189">
        <v>4238244.38</v>
      </c>
      <c r="N61" s="189">
        <v>4895619.38</v>
      </c>
      <c r="O61" s="189">
        <v>5492490.3899999997</v>
      </c>
      <c r="P61" s="189">
        <v>6264755.5</v>
      </c>
      <c r="Q61" s="189">
        <v>1851978.15</v>
      </c>
      <c r="R61" s="189">
        <v>2578135.48</v>
      </c>
      <c r="S61" s="189">
        <v>3466516.25</v>
      </c>
      <c r="T61" s="189">
        <v>5185794.33</v>
      </c>
      <c r="U61" s="189">
        <v>7147835.7400000002</v>
      </c>
      <c r="V61" s="189">
        <v>11151330.720000001</v>
      </c>
      <c r="W61" s="189">
        <v>15766638.57</v>
      </c>
      <c r="X61" s="189">
        <v>21368837.239999998</v>
      </c>
      <c r="Y61" s="189">
        <v>27729917.870000001</v>
      </c>
      <c r="Z61" s="189">
        <v>34748502.109999999</v>
      </c>
      <c r="AA61" s="189">
        <v>43120404.200000003</v>
      </c>
      <c r="AB61" s="189">
        <v>48098172.579999998</v>
      </c>
      <c r="AC61" s="189">
        <v>52754858.43</v>
      </c>
      <c r="AD61" s="189">
        <v>55005355.549999997</v>
      </c>
      <c r="AE61" s="189">
        <v>61812067.109999999</v>
      </c>
      <c r="AF61" s="189">
        <v>64066270.32</v>
      </c>
      <c r="AG61" s="189">
        <v>63595950.350000001</v>
      </c>
      <c r="AH61" s="189">
        <v>37619606.43</v>
      </c>
      <c r="AI61" s="189">
        <v>27867467.640000001</v>
      </c>
      <c r="AJ61" s="189">
        <v>23830162.030000001</v>
      </c>
      <c r="AK61" s="189">
        <v>16773746.67</v>
      </c>
      <c r="AL61" s="189">
        <v>15528139.880000001</v>
      </c>
      <c r="AM61" s="189">
        <v>13131718.52</v>
      </c>
      <c r="AN61" s="189">
        <v>47743781.579999998</v>
      </c>
      <c r="AO61" s="189">
        <v>16339825.279999999</v>
      </c>
      <c r="AP61" s="189">
        <v>23080750.82</v>
      </c>
      <c r="AQ61" s="189">
        <v>19714453.57</v>
      </c>
      <c r="AR61" s="189">
        <v>19706926.510000002</v>
      </c>
      <c r="AS61" s="189">
        <v>17315277.280000001</v>
      </c>
      <c r="AT61" s="189">
        <v>5486766.5</v>
      </c>
      <c r="AU61" s="189">
        <v>4817919.6399999997</v>
      </c>
      <c r="AV61" s="189">
        <v>5008119.3499999996</v>
      </c>
      <c r="AW61" s="189">
        <v>4233286.45</v>
      </c>
      <c r="AX61" s="189">
        <v>4589931.2699999996</v>
      </c>
      <c r="AY61" s="189">
        <v>4618884.8099999996</v>
      </c>
      <c r="AZ61" s="189">
        <v>4473835.7300000004</v>
      </c>
      <c r="BA61" s="189">
        <v>5096799.8600000003</v>
      </c>
      <c r="BB61" s="189">
        <v>12774601.34</v>
      </c>
      <c r="BC61" s="189">
        <v>22137508.510000002</v>
      </c>
      <c r="BD61" s="189">
        <v>18151662.59</v>
      </c>
      <c r="BE61" s="189">
        <v>13075040.18</v>
      </c>
      <c r="BF61" s="189">
        <v>7663191.7400000002</v>
      </c>
      <c r="BG61" s="189">
        <v>6921687.2800000003</v>
      </c>
      <c r="BH61" s="189">
        <v>7176935.3300000001</v>
      </c>
      <c r="BI61" s="189">
        <v>6908536.3899999997</v>
      </c>
      <c r="BJ61" s="189">
        <v>5783075.9100000001</v>
      </c>
      <c r="BK61" s="189">
        <v>5428274.8099999996</v>
      </c>
      <c r="BL61" s="189">
        <v>0</v>
      </c>
      <c r="BM61" s="189">
        <v>5769635.2199999997</v>
      </c>
      <c r="BN61" s="189">
        <v>12749880.43</v>
      </c>
      <c r="BO61" s="189">
        <v>14519046.380000001</v>
      </c>
      <c r="BP61" s="189">
        <v>15873903.35</v>
      </c>
      <c r="BQ61" s="189">
        <v>16333051.18</v>
      </c>
      <c r="BR61" s="189">
        <v>18234195.800000001</v>
      </c>
      <c r="BS61" s="189">
        <v>30430783.710000001</v>
      </c>
      <c r="BT61" s="189">
        <v>8821940.5600000005</v>
      </c>
      <c r="BU61" s="189">
        <v>8550024.2699999996</v>
      </c>
      <c r="BV61" s="189">
        <v>7765254.3499999996</v>
      </c>
      <c r="BW61" s="189">
        <v>0</v>
      </c>
      <c r="BX61" s="189">
        <v>2399437.86</v>
      </c>
      <c r="BY61" s="189">
        <v>0</v>
      </c>
      <c r="BZ61" s="189">
        <v>0</v>
      </c>
      <c r="CA61" s="189">
        <v>0</v>
      </c>
      <c r="CB61" s="189">
        <v>0</v>
      </c>
      <c r="CC61" s="189">
        <v>0</v>
      </c>
      <c r="CD61" s="189">
        <v>0</v>
      </c>
      <c r="CE61" s="189">
        <v>0</v>
      </c>
      <c r="CF61" s="189">
        <v>0</v>
      </c>
      <c r="CG61" s="189"/>
      <c r="CH61" s="189"/>
      <c r="CI61" s="189"/>
      <c r="CJ61" s="189"/>
      <c r="CK61" s="189"/>
      <c r="CL61" s="189"/>
    </row>
    <row r="62" spans="1:90" s="192" customFormat="1" x14ac:dyDescent="0.25">
      <c r="A62" s="192" t="s">
        <v>44</v>
      </c>
      <c r="B62" s="189">
        <v>405732083.43000001</v>
      </c>
      <c r="C62" s="189">
        <v>380061339.64999998</v>
      </c>
      <c r="D62" s="189">
        <v>401336178.26999998</v>
      </c>
      <c r="E62" s="189">
        <v>407151474.63999999</v>
      </c>
      <c r="F62" s="189">
        <v>363760831.94</v>
      </c>
      <c r="G62" s="189">
        <v>349220299.11000001</v>
      </c>
      <c r="H62" s="189">
        <v>351507376.69</v>
      </c>
      <c r="I62" s="189">
        <v>299879029.23000002</v>
      </c>
      <c r="J62" s="189">
        <v>306719068.56999999</v>
      </c>
      <c r="K62" s="189">
        <v>288709031.33999997</v>
      </c>
      <c r="L62" s="189">
        <v>290303246.88999999</v>
      </c>
      <c r="M62" s="189">
        <v>251881220.88999999</v>
      </c>
      <c r="N62" s="189">
        <v>266557659.56</v>
      </c>
      <c r="O62" s="189">
        <v>241771197.84</v>
      </c>
      <c r="P62" s="189">
        <v>261908169.21000001</v>
      </c>
      <c r="Q62" s="189">
        <v>235241927.5</v>
      </c>
      <c r="R62" s="189">
        <v>254143830.40000001</v>
      </c>
      <c r="S62" s="189">
        <v>219585580.84999999</v>
      </c>
      <c r="T62" s="189">
        <v>206720120.59</v>
      </c>
      <c r="U62" s="189">
        <v>170990970.66999999</v>
      </c>
      <c r="V62" s="189">
        <v>148300161</v>
      </c>
      <c r="W62" s="189">
        <v>107737533.48</v>
      </c>
      <c r="X62" s="189">
        <v>113960277.77</v>
      </c>
      <c r="Y62" s="189">
        <v>100308918.86</v>
      </c>
      <c r="Z62" s="189">
        <v>102814786.84999999</v>
      </c>
      <c r="AA62" s="189">
        <v>86597767.269999996</v>
      </c>
      <c r="AB62" s="189">
        <v>94767666.099999994</v>
      </c>
      <c r="AC62" s="189">
        <v>104762053.25</v>
      </c>
      <c r="AD62" s="189">
        <v>141524947.63999999</v>
      </c>
      <c r="AE62" s="189">
        <v>141547160.43000001</v>
      </c>
      <c r="AF62" s="189">
        <v>165443502.31999999</v>
      </c>
      <c r="AG62" s="189">
        <v>123064955.62</v>
      </c>
      <c r="AH62" s="189">
        <v>99465612.909999996</v>
      </c>
      <c r="AI62" s="189">
        <v>95401093.120000005</v>
      </c>
      <c r="AJ62" s="189">
        <v>97518838.549999997</v>
      </c>
      <c r="AK62" s="189">
        <v>80045127.370000005</v>
      </c>
      <c r="AL62" s="189">
        <v>84920966.140000001</v>
      </c>
      <c r="AM62" s="189">
        <v>73913437.840000004</v>
      </c>
      <c r="AN62" s="189">
        <v>78911685.900000006</v>
      </c>
      <c r="AO62" s="189">
        <v>73949611.439999998</v>
      </c>
      <c r="AP62" s="189">
        <v>46271836.68</v>
      </c>
      <c r="AQ62" s="189">
        <v>43975216.390000001</v>
      </c>
      <c r="AR62" s="189">
        <v>48350207.75</v>
      </c>
      <c r="AS62" s="189">
        <v>48371473.659999996</v>
      </c>
      <c r="AT62" s="189">
        <v>36411150.060000002</v>
      </c>
      <c r="AU62" s="189">
        <v>36411150.060000002</v>
      </c>
      <c r="AV62" s="189">
        <v>52164746.210000001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33086.730000000003</v>
      </c>
      <c r="Q63" s="189">
        <v>37336.160000000003</v>
      </c>
      <c r="R63" s="189">
        <v>273998.40000000002</v>
      </c>
      <c r="S63" s="189">
        <v>245747.1</v>
      </c>
      <c r="T63" s="189">
        <v>1648222.52</v>
      </c>
      <c r="U63" s="189">
        <v>2284388.4</v>
      </c>
      <c r="V63" s="189">
        <v>2306550.9</v>
      </c>
      <c r="W63" s="189">
        <v>1792680.9</v>
      </c>
      <c r="X63" s="189">
        <v>808784.39</v>
      </c>
      <c r="Y63" s="189">
        <v>211685.1</v>
      </c>
      <c r="Z63" s="189">
        <v>53595</v>
      </c>
      <c r="AA63" s="189">
        <v>19176.599999999999</v>
      </c>
      <c r="AB63" s="189">
        <v>237326.1</v>
      </c>
      <c r="AC63" s="189">
        <v>671488.8</v>
      </c>
      <c r="AD63" s="189">
        <v>1626956.55</v>
      </c>
      <c r="AE63" s="189">
        <v>2275158.25</v>
      </c>
      <c r="AF63" s="189">
        <v>2674020.77</v>
      </c>
      <c r="AG63" s="189">
        <v>1198672.3999999999</v>
      </c>
      <c r="AH63" s="189">
        <v>33641.4</v>
      </c>
      <c r="AI63" s="189">
        <v>32230.2</v>
      </c>
      <c r="AJ63" s="189">
        <v>48811.8</v>
      </c>
      <c r="AK63" s="189">
        <v>31877.4</v>
      </c>
      <c r="AL63" s="189">
        <v>26938.2</v>
      </c>
      <c r="AM63" s="189">
        <v>1571202.29</v>
      </c>
      <c r="AN63" s="189">
        <v>1197117.8999999999</v>
      </c>
      <c r="AO63" s="189">
        <v>801108.9</v>
      </c>
      <c r="AP63" s="189">
        <v>4651342.18</v>
      </c>
      <c r="AQ63" s="189">
        <v>5210469.43</v>
      </c>
      <c r="AR63" s="189">
        <v>4828207.6100000003</v>
      </c>
      <c r="AS63" s="189">
        <v>4828207.6100000003</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c r="CH63" s="189"/>
      <c r="CI63" s="189"/>
      <c r="CJ63" s="189"/>
      <c r="CK63" s="189"/>
      <c r="CL63" s="189"/>
    </row>
    <row r="64" spans="1:90" s="192" customFormat="1" x14ac:dyDescent="0.25">
      <c r="A64" s="192" t="s">
        <v>46</v>
      </c>
      <c r="B64" s="189">
        <v>44721765.609999999</v>
      </c>
      <c r="C64" s="189">
        <v>56029381.549999997</v>
      </c>
      <c r="D64" s="189">
        <v>61777164.490000002</v>
      </c>
      <c r="E64" s="189">
        <v>27331937.530000001</v>
      </c>
      <c r="F64" s="189">
        <v>40057759.450000003</v>
      </c>
      <c r="G64" s="189">
        <v>64654141.020000003</v>
      </c>
      <c r="H64" s="189">
        <v>53717810.799999997</v>
      </c>
      <c r="I64" s="189">
        <v>25655775.899999999</v>
      </c>
      <c r="J64" s="189">
        <v>29587265.329999998</v>
      </c>
      <c r="K64" s="189">
        <v>29351772.600000001</v>
      </c>
      <c r="L64" s="189">
        <v>23335397.030000001</v>
      </c>
      <c r="M64" s="189">
        <v>32963224.899999999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9754930.2599999998</v>
      </c>
      <c r="BX64" s="189">
        <v>0</v>
      </c>
      <c r="BY64" s="189">
        <v>1771716.14</v>
      </c>
      <c r="BZ64" s="189">
        <v>2088180</v>
      </c>
      <c r="CA64" s="189">
        <v>2164689.54</v>
      </c>
      <c r="CB64" s="189">
        <v>636000</v>
      </c>
      <c r="CC64" s="189">
        <v>0</v>
      </c>
      <c r="CD64" s="189">
        <v>0</v>
      </c>
      <c r="CE64" s="189">
        <v>0</v>
      </c>
      <c r="CF64" s="189">
        <v>0</v>
      </c>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1777946606.6900001</v>
      </c>
      <c r="C68" s="36">
        <f t="shared" ref="C68:BN68" si="8">SUM(C52:C64)-2*C63</f>
        <v>1751021423.5199997</v>
      </c>
      <c r="D68" s="36">
        <f t="shared" si="8"/>
        <v>1730913921.48</v>
      </c>
      <c r="E68" s="36">
        <f t="shared" si="8"/>
        <v>1711551388.3999999</v>
      </c>
      <c r="F68" s="36">
        <f t="shared" si="8"/>
        <v>1624115675.6600001</v>
      </c>
      <c r="G68" s="36">
        <f t="shared" si="8"/>
        <v>1586899718.8600001</v>
      </c>
      <c r="H68" s="36">
        <f t="shared" si="8"/>
        <v>1579851891.9499998</v>
      </c>
      <c r="I68" s="36">
        <f t="shared" si="8"/>
        <v>1493065310.4500003</v>
      </c>
      <c r="J68" s="36">
        <f t="shared" si="8"/>
        <v>1508836715.4599998</v>
      </c>
      <c r="K68" s="36">
        <f t="shared" si="8"/>
        <v>1508533276.79</v>
      </c>
      <c r="L68" s="36">
        <f t="shared" si="8"/>
        <v>1525033701.6600001</v>
      </c>
      <c r="M68" s="36">
        <f t="shared" si="8"/>
        <v>1506132606.8000002</v>
      </c>
      <c r="N68" s="36">
        <f t="shared" si="8"/>
        <v>1476743857.1600001</v>
      </c>
      <c r="O68" s="36">
        <f t="shared" si="8"/>
        <v>1473444031.8599999</v>
      </c>
      <c r="P68" s="36">
        <f t="shared" si="8"/>
        <v>1507735733.1600001</v>
      </c>
      <c r="Q68" s="36">
        <f t="shared" si="8"/>
        <v>1505638045.8400002</v>
      </c>
      <c r="R68" s="36">
        <f t="shared" si="8"/>
        <v>1599496277.2400002</v>
      </c>
      <c r="S68" s="36">
        <f t="shared" si="8"/>
        <v>1573835401.7399995</v>
      </c>
      <c r="T68" s="36">
        <f t="shared" si="8"/>
        <v>1595846447.5699997</v>
      </c>
      <c r="U68" s="36">
        <f t="shared" si="8"/>
        <v>1589544237.7400002</v>
      </c>
      <c r="V68" s="36">
        <f t="shared" si="8"/>
        <v>1599383436.6600003</v>
      </c>
      <c r="W68" s="36">
        <f t="shared" si="8"/>
        <v>1589403958.52</v>
      </c>
      <c r="X68" s="36">
        <f t="shared" si="8"/>
        <v>1633913528.3900001</v>
      </c>
      <c r="Y68" s="36">
        <f t="shared" si="8"/>
        <v>1733839797.3799996</v>
      </c>
      <c r="Z68" s="36">
        <f t="shared" si="8"/>
        <v>1773267931.2799997</v>
      </c>
      <c r="AA68" s="36">
        <f t="shared" si="8"/>
        <v>1776586298.3999999</v>
      </c>
      <c r="AB68" s="36">
        <f t="shared" si="8"/>
        <v>1800696002.4299998</v>
      </c>
      <c r="AC68" s="36">
        <f t="shared" si="8"/>
        <v>1839038099.29</v>
      </c>
      <c r="AD68" s="36">
        <f t="shared" si="8"/>
        <v>1803162126.1900003</v>
      </c>
      <c r="AE68" s="36">
        <f t="shared" si="8"/>
        <v>1797640361.8</v>
      </c>
      <c r="AF68" s="36">
        <f t="shared" si="8"/>
        <v>1745230059.8299999</v>
      </c>
      <c r="AG68" s="36">
        <f t="shared" si="8"/>
        <v>1647871439.5200002</v>
      </c>
      <c r="AH68" s="36">
        <f t="shared" si="8"/>
        <v>939852816.73000002</v>
      </c>
      <c r="AI68" s="36">
        <f t="shared" si="8"/>
        <v>897908679.95000005</v>
      </c>
      <c r="AJ68" s="36">
        <f t="shared" si="8"/>
        <v>876079884.02999985</v>
      </c>
      <c r="AK68" s="36">
        <f t="shared" si="8"/>
        <v>853293481.05999994</v>
      </c>
      <c r="AL68" s="36">
        <f t="shared" si="8"/>
        <v>827182981.64999998</v>
      </c>
      <c r="AM68" s="36">
        <f t="shared" si="8"/>
        <v>696658464.32999992</v>
      </c>
      <c r="AN68" s="36">
        <f t="shared" si="8"/>
        <v>724342360.57000005</v>
      </c>
      <c r="AO68" s="36">
        <f t="shared" si="8"/>
        <v>758593408.7299999</v>
      </c>
      <c r="AP68" s="36">
        <f t="shared" si="8"/>
        <v>817262276.01999998</v>
      </c>
      <c r="AQ68" s="36">
        <f t="shared" si="8"/>
        <v>848375975.49999988</v>
      </c>
      <c r="AR68" s="36">
        <f t="shared" si="8"/>
        <v>823049629.26999998</v>
      </c>
      <c r="AS68" s="36">
        <f t="shared" si="8"/>
        <v>830953802.66999984</v>
      </c>
      <c r="AT68" s="36">
        <f t="shared" si="8"/>
        <v>924014928.93000007</v>
      </c>
      <c r="AU68" s="36">
        <f t="shared" si="8"/>
        <v>892120698.11999989</v>
      </c>
      <c r="AV68" s="36">
        <f t="shared" si="8"/>
        <v>913161234.16000009</v>
      </c>
      <c r="AW68" s="36">
        <f t="shared" si="8"/>
        <v>856539595.94000006</v>
      </c>
      <c r="AX68" s="36">
        <f t="shared" si="8"/>
        <v>864633994.81999993</v>
      </c>
      <c r="AY68" s="36">
        <f t="shared" si="8"/>
        <v>598084414.79999995</v>
      </c>
      <c r="AZ68" s="36">
        <f t="shared" si="8"/>
        <v>611661463.29999995</v>
      </c>
      <c r="BA68" s="36">
        <f t="shared" si="8"/>
        <v>624759382.04999995</v>
      </c>
      <c r="BB68" s="36">
        <f t="shared" si="8"/>
        <v>658171018.50999999</v>
      </c>
      <c r="BC68" s="36">
        <f t="shared" si="8"/>
        <v>673047702.52999997</v>
      </c>
      <c r="BD68" s="36">
        <f t="shared" si="8"/>
        <v>678719669.67000008</v>
      </c>
      <c r="BE68" s="36">
        <f t="shared" si="8"/>
        <v>683677603.77999985</v>
      </c>
      <c r="BF68" s="36">
        <f t="shared" si="8"/>
        <v>660494660.10000002</v>
      </c>
      <c r="BG68" s="36">
        <f t="shared" si="8"/>
        <v>671911446.31999993</v>
      </c>
      <c r="BH68" s="36">
        <f t="shared" si="8"/>
        <v>752796186.22000003</v>
      </c>
      <c r="BI68" s="36">
        <f t="shared" si="8"/>
        <v>749189154.84000003</v>
      </c>
      <c r="BJ68" s="36">
        <f t="shared" si="8"/>
        <v>557442503.80999994</v>
      </c>
      <c r="BK68" s="36">
        <f t="shared" si="8"/>
        <v>566274330.71999991</v>
      </c>
      <c r="BL68" s="36">
        <f t="shared" si="8"/>
        <v>0</v>
      </c>
      <c r="BM68" s="36">
        <f t="shared" si="8"/>
        <v>761941987.80999994</v>
      </c>
      <c r="BN68" s="36">
        <f t="shared" si="8"/>
        <v>858383493.18999994</v>
      </c>
      <c r="BO68" s="36">
        <f t="shared" ref="BO68:CK68" si="9">SUM(BO52:BO64)-2*BO63</f>
        <v>844019865.63</v>
      </c>
      <c r="BP68" s="36">
        <f t="shared" si="9"/>
        <v>845818542.20000005</v>
      </c>
      <c r="BQ68" s="36">
        <f t="shared" si="9"/>
        <v>799288876.2299999</v>
      </c>
      <c r="BR68" s="36">
        <f t="shared" si="9"/>
        <v>827514341.39999998</v>
      </c>
      <c r="BS68" s="36">
        <f t="shared" si="9"/>
        <v>825553754.96000016</v>
      </c>
      <c r="BT68" s="36">
        <f t="shared" si="9"/>
        <v>764092312.74999988</v>
      </c>
      <c r="BU68" s="36">
        <f t="shared" si="9"/>
        <v>756110578.24000001</v>
      </c>
      <c r="BV68" s="36">
        <f t="shared" si="9"/>
        <v>856821451.94000006</v>
      </c>
      <c r="BW68" s="36">
        <f t="shared" si="9"/>
        <v>673968903.09000003</v>
      </c>
      <c r="BX68" s="36">
        <f t="shared" si="9"/>
        <v>523179524.99000001</v>
      </c>
      <c r="BY68" s="36">
        <f t="shared" si="9"/>
        <v>454271763.10000002</v>
      </c>
      <c r="BZ68" s="36">
        <f t="shared" si="9"/>
        <v>218828900</v>
      </c>
      <c r="CA68" s="36">
        <f t="shared" si="9"/>
        <v>198092931.35999998</v>
      </c>
      <c r="CB68" s="36">
        <f t="shared" si="9"/>
        <v>151909000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14051315796.129999</v>
      </c>
      <c r="C69" s="33">
        <f t="shared" ref="C69:BN69" si="10">C50+C68</f>
        <v>6704934086.5800009</v>
      </c>
      <c r="D69" s="33">
        <f t="shared" si="10"/>
        <v>7346982621.539999</v>
      </c>
      <c r="E69" s="33">
        <f t="shared" si="10"/>
        <v>6592567064.6299992</v>
      </c>
      <c r="F69" s="33">
        <f t="shared" si="10"/>
        <v>4752358761.3800011</v>
      </c>
      <c r="G69" s="33">
        <f t="shared" si="10"/>
        <v>3943141940.9400039</v>
      </c>
      <c r="H69" s="33">
        <f t="shared" si="10"/>
        <v>3231636033.3300009</v>
      </c>
      <c r="I69" s="33">
        <f t="shared" si="10"/>
        <v>2787898235.0399985</v>
      </c>
      <c r="J69" s="33">
        <f t="shared" si="10"/>
        <v>4596022166.1600008</v>
      </c>
      <c r="K69" s="33">
        <f t="shared" si="10"/>
        <v>4190559385.1099977</v>
      </c>
      <c r="L69" s="33">
        <f t="shared" si="10"/>
        <v>3999049299.6700001</v>
      </c>
      <c r="M69" s="33">
        <f t="shared" si="10"/>
        <v>2868289185.5299997</v>
      </c>
      <c r="N69" s="33">
        <f t="shared" si="10"/>
        <v>1656476750.5899985</v>
      </c>
      <c r="O69" s="33">
        <f t="shared" si="10"/>
        <v>2505273410.999999</v>
      </c>
      <c r="P69" s="33">
        <f t="shared" si="10"/>
        <v>3315141076.54</v>
      </c>
      <c r="Q69" s="33">
        <f t="shared" si="10"/>
        <v>2022301971.8800001</v>
      </c>
      <c r="R69" s="33">
        <f t="shared" si="10"/>
        <v>2657616650.8900008</v>
      </c>
      <c r="S69" s="33">
        <f t="shared" si="10"/>
        <v>2585273304.1399994</v>
      </c>
      <c r="T69" s="33">
        <f t="shared" si="10"/>
        <v>3051825822.039999</v>
      </c>
      <c r="U69" s="33">
        <f t="shared" si="10"/>
        <v>2903200091.0999999</v>
      </c>
      <c r="V69" s="33">
        <f t="shared" si="10"/>
        <v>2946961545.9600005</v>
      </c>
      <c r="W69" s="33">
        <f t="shared" si="10"/>
        <v>2750079641.1999993</v>
      </c>
      <c r="X69" s="33">
        <f t="shared" si="10"/>
        <v>2957354442.9899988</v>
      </c>
      <c r="Y69" s="33">
        <f t="shared" si="10"/>
        <v>2853018463.5699983</v>
      </c>
      <c r="Z69" s="33">
        <f t="shared" si="10"/>
        <v>1356102373.0399995</v>
      </c>
      <c r="AA69" s="33">
        <f t="shared" si="10"/>
        <v>970978682.79999995</v>
      </c>
      <c r="AB69" s="33">
        <f t="shared" si="10"/>
        <v>1798130033.2200003</v>
      </c>
      <c r="AC69" s="33">
        <f t="shared" si="10"/>
        <v>1570493432.420001</v>
      </c>
      <c r="AD69" s="33">
        <f t="shared" si="10"/>
        <v>970929175.85999942</v>
      </c>
      <c r="AE69" s="33">
        <f t="shared" si="10"/>
        <v>2026966121.0899999</v>
      </c>
      <c r="AF69" s="33">
        <f t="shared" si="10"/>
        <v>2127486860.7900009</v>
      </c>
      <c r="AG69" s="33">
        <f t="shared" si="10"/>
        <v>1215862960.5800006</v>
      </c>
      <c r="AH69" s="33">
        <f t="shared" si="10"/>
        <v>306753392.04000044</v>
      </c>
      <c r="AI69" s="33">
        <f t="shared" si="10"/>
        <v>670059893.62999988</v>
      </c>
      <c r="AJ69" s="33">
        <f t="shared" si="10"/>
        <v>1416681305.5500002</v>
      </c>
      <c r="AK69" s="33">
        <f t="shared" si="10"/>
        <v>936744392.5599997</v>
      </c>
      <c r="AL69" s="33">
        <f t="shared" si="10"/>
        <v>714216677.90000045</v>
      </c>
      <c r="AM69" s="33">
        <f t="shared" si="10"/>
        <v>875193342.05999994</v>
      </c>
      <c r="AN69" s="33">
        <f t="shared" si="10"/>
        <v>957669343.11000001</v>
      </c>
      <c r="AO69" s="33">
        <f t="shared" si="10"/>
        <v>917186455.06999958</v>
      </c>
      <c r="AP69" s="33">
        <f t="shared" si="10"/>
        <v>1146830627.7200003</v>
      </c>
      <c r="AQ69" s="33">
        <f t="shared" si="10"/>
        <v>932334241.92999995</v>
      </c>
      <c r="AR69" s="33">
        <f t="shared" si="10"/>
        <v>932266323.10000014</v>
      </c>
      <c r="AS69" s="33">
        <f t="shared" si="10"/>
        <v>717393379.97999978</v>
      </c>
      <c r="AT69" s="33">
        <f t="shared" si="10"/>
        <v>706440573.14999986</v>
      </c>
      <c r="AU69" s="33">
        <f t="shared" si="10"/>
        <v>907553445.31999969</v>
      </c>
      <c r="AV69" s="33">
        <f t="shared" si="10"/>
        <v>1031428424.8299997</v>
      </c>
      <c r="AW69" s="33">
        <f t="shared" si="10"/>
        <v>1020207592.6900003</v>
      </c>
      <c r="AX69" s="33">
        <f t="shared" si="10"/>
        <v>1229920262.8299999</v>
      </c>
      <c r="AY69" s="33">
        <f t="shared" si="10"/>
        <v>868377991.21999979</v>
      </c>
      <c r="AZ69" s="33">
        <f t="shared" si="10"/>
        <v>921742196.90999985</v>
      </c>
      <c r="BA69" s="33">
        <f t="shared" si="10"/>
        <v>853043129.8099997</v>
      </c>
      <c r="BB69" s="33">
        <f t="shared" si="10"/>
        <v>1140748271.5699999</v>
      </c>
      <c r="BC69" s="33">
        <f t="shared" si="10"/>
        <v>1136960555.4000001</v>
      </c>
      <c r="BD69" s="33">
        <f t="shared" si="10"/>
        <v>969274439.56000042</v>
      </c>
      <c r="BE69" s="33">
        <f t="shared" si="10"/>
        <v>855040414.78999984</v>
      </c>
      <c r="BF69" s="33">
        <f t="shared" si="10"/>
        <v>954033674.08000004</v>
      </c>
      <c r="BG69" s="33">
        <f t="shared" si="10"/>
        <v>741178718.52999997</v>
      </c>
      <c r="BH69" s="33">
        <f t="shared" si="10"/>
        <v>758567997.98000002</v>
      </c>
      <c r="BI69" s="33">
        <f t="shared" si="10"/>
        <v>667901128.89999998</v>
      </c>
      <c r="BJ69" s="33">
        <f t="shared" si="10"/>
        <v>626263111.07000017</v>
      </c>
      <c r="BK69" s="33">
        <f t="shared" si="10"/>
        <v>649189923.05999982</v>
      </c>
      <c r="BL69" s="33">
        <f t="shared" si="10"/>
        <v>0</v>
      </c>
      <c r="BM69" s="33">
        <f t="shared" si="10"/>
        <v>927053525.09999967</v>
      </c>
      <c r="BN69" s="33">
        <f t="shared" si="10"/>
        <v>1957334216.98</v>
      </c>
      <c r="BO69" s="33">
        <f t="shared" ref="BO69:CL69" si="11">BO50+BO68</f>
        <v>1954891869.0100002</v>
      </c>
      <c r="BP69" s="33">
        <f t="shared" si="11"/>
        <v>2039356226.8000002</v>
      </c>
      <c r="BQ69" s="33">
        <f t="shared" si="11"/>
        <v>1667577650.8699999</v>
      </c>
      <c r="BR69" s="33">
        <f t="shared" si="11"/>
        <v>1984624314.3299999</v>
      </c>
      <c r="BS69" s="33">
        <f t="shared" si="11"/>
        <v>1872706480.7199998</v>
      </c>
      <c r="BT69" s="33">
        <f t="shared" si="11"/>
        <v>1718023716.0500002</v>
      </c>
      <c r="BU69" s="33">
        <f t="shared" si="11"/>
        <v>1808613496.1199999</v>
      </c>
      <c r="BV69" s="33">
        <f t="shared" si="11"/>
        <v>1727656540.6800003</v>
      </c>
      <c r="BW69" s="33">
        <f t="shared" si="11"/>
        <v>1500541319.7200003</v>
      </c>
      <c r="BX69" s="33">
        <f t="shared" si="11"/>
        <v>1214517915.5599999</v>
      </c>
      <c r="BY69" s="33">
        <f t="shared" si="11"/>
        <v>956459736.61000001</v>
      </c>
      <c r="BZ69" s="33">
        <f t="shared" si="11"/>
        <v>218828900</v>
      </c>
      <c r="CA69" s="33">
        <f t="shared" si="11"/>
        <v>549249917.28999984</v>
      </c>
      <c r="CB69" s="33">
        <f t="shared" si="11"/>
        <v>151909000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15274187780.449999</v>
      </c>
      <c r="C70" s="37">
        <f t="shared" ref="C70:BN70" si="12">C17+C19+C69</f>
        <v>8648823329.5100002</v>
      </c>
      <c r="D70" s="37">
        <f t="shared" si="12"/>
        <v>8830041104.8699989</v>
      </c>
      <c r="E70" s="37">
        <f t="shared" si="12"/>
        <v>8308941551.6899986</v>
      </c>
      <c r="F70" s="37">
        <f t="shared" si="12"/>
        <v>7968731136.8100014</v>
      </c>
      <c r="G70" s="37">
        <f t="shared" si="12"/>
        <v>7490464371.6600037</v>
      </c>
      <c r="H70" s="37">
        <f t="shared" si="12"/>
        <v>7508689403.7900009</v>
      </c>
      <c r="I70" s="37">
        <f t="shared" si="12"/>
        <v>7151786156.4699993</v>
      </c>
      <c r="J70" s="37">
        <f t="shared" si="12"/>
        <v>6756513853.2900009</v>
      </c>
      <c r="K70" s="37">
        <f t="shared" si="12"/>
        <v>6340709373.3899975</v>
      </c>
      <c r="L70" s="37">
        <f t="shared" si="12"/>
        <v>6384321231.7099991</v>
      </c>
      <c r="M70" s="37">
        <f t="shared" si="12"/>
        <v>6003108760.5999994</v>
      </c>
      <c r="N70" s="37">
        <f t="shared" si="12"/>
        <v>5791723292.5999985</v>
      </c>
      <c r="O70" s="37">
        <f t="shared" si="12"/>
        <v>5396282954.5099993</v>
      </c>
      <c r="P70" s="37">
        <f t="shared" si="12"/>
        <v>5554503018.1900005</v>
      </c>
      <c r="Q70" s="37">
        <f t="shared" si="12"/>
        <v>5158745053.8099995</v>
      </c>
      <c r="R70" s="37">
        <f t="shared" si="12"/>
        <v>5052405561.6800003</v>
      </c>
      <c r="S70" s="37">
        <f t="shared" si="12"/>
        <v>4765867651.8199997</v>
      </c>
      <c r="T70" s="37">
        <f t="shared" si="12"/>
        <v>4737136414.499999</v>
      </c>
      <c r="U70" s="37">
        <f t="shared" si="12"/>
        <v>4549948661.5799999</v>
      </c>
      <c r="V70" s="37">
        <f t="shared" si="12"/>
        <v>4442205441.5500002</v>
      </c>
      <c r="W70" s="37">
        <f t="shared" si="12"/>
        <v>4316849546.079999</v>
      </c>
      <c r="X70" s="37">
        <f t="shared" si="12"/>
        <v>4390102571.4899988</v>
      </c>
      <c r="Y70" s="37">
        <f t="shared" si="12"/>
        <v>4269566443.7499981</v>
      </c>
      <c r="Z70" s="37">
        <f t="shared" si="12"/>
        <v>4199662721.8599992</v>
      </c>
      <c r="AA70" s="37">
        <f t="shared" si="12"/>
        <v>4103192454.9400005</v>
      </c>
      <c r="AB70" s="37">
        <f t="shared" si="12"/>
        <v>4131800059.5800004</v>
      </c>
      <c r="AC70" s="37">
        <f t="shared" si="12"/>
        <v>4001602474.8900008</v>
      </c>
      <c r="AD70" s="37">
        <f t="shared" si="12"/>
        <v>3964714846.8699999</v>
      </c>
      <c r="AE70" s="37">
        <f t="shared" si="12"/>
        <v>3834877349.2600002</v>
      </c>
      <c r="AF70" s="37">
        <f t="shared" si="12"/>
        <v>3790073458.5700006</v>
      </c>
      <c r="AG70" s="37">
        <f t="shared" si="12"/>
        <v>3549113988.8100014</v>
      </c>
      <c r="AH70" s="37">
        <f t="shared" si="12"/>
        <v>2216037107.4700003</v>
      </c>
      <c r="AI70" s="37">
        <f t="shared" si="12"/>
        <v>2110683959.5899999</v>
      </c>
      <c r="AJ70" s="37">
        <f t="shared" si="12"/>
        <v>2018789798.7300003</v>
      </c>
      <c r="AK70" s="37">
        <f t="shared" si="12"/>
        <v>1933566206.9999995</v>
      </c>
      <c r="AL70" s="37">
        <f t="shared" si="12"/>
        <v>1863386910.6100006</v>
      </c>
      <c r="AM70" s="37">
        <f t="shared" si="12"/>
        <v>1814871177.5</v>
      </c>
      <c r="AN70" s="37">
        <f t="shared" si="12"/>
        <v>1830633782.99</v>
      </c>
      <c r="AO70" s="37">
        <f t="shared" si="12"/>
        <v>1793359722.6999996</v>
      </c>
      <c r="AP70" s="37">
        <f t="shared" si="12"/>
        <v>1962900890.6800003</v>
      </c>
      <c r="AQ70" s="37">
        <f t="shared" si="12"/>
        <v>1992472868.8799999</v>
      </c>
      <c r="AR70" s="37">
        <f t="shared" si="12"/>
        <v>1982444184.8800001</v>
      </c>
      <c r="AS70" s="37">
        <f t="shared" si="12"/>
        <v>1934146576.8699996</v>
      </c>
      <c r="AT70" s="37">
        <f t="shared" si="12"/>
        <v>1877027622.3799999</v>
      </c>
      <c r="AU70" s="37">
        <f t="shared" si="12"/>
        <v>1743939429.3799996</v>
      </c>
      <c r="AV70" s="37">
        <f t="shared" si="12"/>
        <v>1807422770.9699998</v>
      </c>
      <c r="AW70" s="37">
        <f t="shared" si="12"/>
        <v>2045350967.9700003</v>
      </c>
      <c r="AX70" s="37">
        <f t="shared" si="12"/>
        <v>2319820046.9699998</v>
      </c>
      <c r="AY70" s="37">
        <f t="shared" si="12"/>
        <v>2197770621.25</v>
      </c>
      <c r="AZ70" s="37">
        <f t="shared" si="12"/>
        <v>2152632956.1599998</v>
      </c>
      <c r="BA70" s="37">
        <f t="shared" si="12"/>
        <v>2064693949.0599997</v>
      </c>
      <c r="BB70" s="37">
        <f t="shared" si="12"/>
        <v>2112602996.9499998</v>
      </c>
      <c r="BC70" s="37">
        <f t="shared" si="12"/>
        <v>2047597173.99</v>
      </c>
      <c r="BD70" s="37">
        <f t="shared" si="12"/>
        <v>2072833534.0700004</v>
      </c>
      <c r="BE70" s="37">
        <f t="shared" si="12"/>
        <v>2023370196.0599999</v>
      </c>
      <c r="BF70" s="37">
        <f t="shared" si="12"/>
        <v>1935057599.8400002</v>
      </c>
      <c r="BG70" s="37">
        <f t="shared" si="12"/>
        <v>1930198210.8499999</v>
      </c>
      <c r="BH70" s="37">
        <f t="shared" si="12"/>
        <v>1894704090.3900001</v>
      </c>
      <c r="BI70" s="37">
        <f t="shared" si="12"/>
        <v>1857673383.1100001</v>
      </c>
      <c r="BJ70" s="37">
        <f t="shared" si="12"/>
        <v>1628147352.5200002</v>
      </c>
      <c r="BK70" s="37">
        <f t="shared" si="12"/>
        <v>1637862052.9499998</v>
      </c>
      <c r="BL70" s="37">
        <f t="shared" si="12"/>
        <v>0</v>
      </c>
      <c r="BM70" s="37">
        <f t="shared" si="12"/>
        <v>1862825259.6399996</v>
      </c>
      <c r="BN70" s="37">
        <f t="shared" si="12"/>
        <v>2816935867.8800001</v>
      </c>
      <c r="BO70" s="37">
        <f t="shared" ref="BO70:CL70" si="13">BO17+BO19+BO69</f>
        <v>2857540852.3000002</v>
      </c>
      <c r="BP70" s="37">
        <f t="shared" si="13"/>
        <v>2857020155.2800002</v>
      </c>
      <c r="BQ70" s="37">
        <f t="shared" si="13"/>
        <v>2504318409.2999997</v>
      </c>
      <c r="BR70" s="37">
        <f t="shared" si="13"/>
        <v>2871633678.5099998</v>
      </c>
      <c r="BS70" s="37">
        <f t="shared" si="13"/>
        <v>2745347784.3800001</v>
      </c>
      <c r="BT70" s="37">
        <f t="shared" si="13"/>
        <v>2974544716.1199999</v>
      </c>
      <c r="BU70" s="37">
        <f t="shared" si="13"/>
        <v>2630676870.54</v>
      </c>
      <c r="BV70" s="37">
        <f t="shared" si="13"/>
        <v>2577020116.2000003</v>
      </c>
      <c r="BW70" s="37">
        <f t="shared" si="13"/>
        <v>2284067051.3200002</v>
      </c>
      <c r="BX70" s="37">
        <f t="shared" si="13"/>
        <v>2316948258.0599999</v>
      </c>
      <c r="BY70" s="37">
        <f t="shared" si="13"/>
        <v>2141855510.9099998</v>
      </c>
      <c r="BZ70" s="37">
        <f t="shared" si="13"/>
        <v>371422960</v>
      </c>
      <c r="CA70" s="37">
        <f t="shared" si="13"/>
        <v>1166819762.8699999</v>
      </c>
      <c r="CB70" s="37">
        <f t="shared" si="13"/>
        <v>280244000</v>
      </c>
      <c r="CC70" s="37">
        <f t="shared" si="13"/>
        <v>58240248.189999998</v>
      </c>
      <c r="CD70" s="37">
        <f t="shared" si="13"/>
        <v>49205300.75</v>
      </c>
      <c r="CE70" s="37">
        <f t="shared" si="13"/>
        <v>38287366.619999997</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81393672.340000004</v>
      </c>
      <c r="F72" s="28">
        <f t="shared" ref="F72:BQ72" si="14">SUM(F73:F77)</f>
        <v>149470000</v>
      </c>
      <c r="G72" s="28">
        <f t="shared" si="14"/>
        <v>170000000</v>
      </c>
      <c r="H72" s="28">
        <f t="shared" si="14"/>
        <v>123455086.90000001</v>
      </c>
      <c r="I72" s="28">
        <f t="shared" si="14"/>
        <v>183813064.12</v>
      </c>
      <c r="J72" s="28">
        <f t="shared" si="14"/>
        <v>0</v>
      </c>
      <c r="K72" s="28">
        <f t="shared" si="14"/>
        <v>0</v>
      </c>
      <c r="L72" s="28">
        <f t="shared" si="14"/>
        <v>0</v>
      </c>
      <c r="M72" s="28">
        <f t="shared" si="14"/>
        <v>0</v>
      </c>
      <c r="N72" s="28">
        <f t="shared" si="14"/>
        <v>99766633.189999998</v>
      </c>
      <c r="O72" s="28">
        <f t="shared" si="14"/>
        <v>15234122.32</v>
      </c>
      <c r="P72" s="28">
        <f t="shared" si="14"/>
        <v>116148521.47</v>
      </c>
      <c r="Q72" s="28">
        <f t="shared" si="14"/>
        <v>0</v>
      </c>
      <c r="R72" s="28">
        <f t="shared" si="14"/>
        <v>100360740</v>
      </c>
      <c r="S72" s="28">
        <f t="shared" si="14"/>
        <v>50117340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6961486.3600000003</v>
      </c>
      <c r="AC72" s="28">
        <f t="shared" si="14"/>
        <v>6961486.3600000003</v>
      </c>
      <c r="AD72" s="28">
        <f t="shared" si="14"/>
        <v>9320968.6300000008</v>
      </c>
      <c r="AE72" s="28">
        <f t="shared" si="14"/>
        <v>39609864.439999998</v>
      </c>
      <c r="AF72" s="28">
        <f t="shared" si="14"/>
        <v>85675125.359999999</v>
      </c>
      <c r="AG72" s="28">
        <f t="shared" si="14"/>
        <v>9039354.8800000008</v>
      </c>
      <c r="AH72" s="28">
        <f t="shared" si="14"/>
        <v>0</v>
      </c>
      <c r="AI72" s="28">
        <f t="shared" si="14"/>
        <v>0</v>
      </c>
      <c r="AJ72" s="28">
        <f t="shared" si="14"/>
        <v>0</v>
      </c>
      <c r="AK72" s="28">
        <f t="shared" si="14"/>
        <v>1000000</v>
      </c>
      <c r="AL72" s="28">
        <f t="shared" si="14"/>
        <v>18342452.66</v>
      </c>
      <c r="AM72" s="28">
        <f t="shared" si="14"/>
        <v>30342452.66</v>
      </c>
      <c r="AN72" s="28">
        <f t="shared" si="14"/>
        <v>75107360</v>
      </c>
      <c r="AO72" s="28">
        <f t="shared" si="14"/>
        <v>75492686.25</v>
      </c>
      <c r="AP72" s="28">
        <f t="shared" si="14"/>
        <v>120970000</v>
      </c>
      <c r="AQ72" s="28">
        <f t="shared" si="14"/>
        <v>194850000</v>
      </c>
      <c r="AR72" s="28">
        <f t="shared" si="14"/>
        <v>212500000</v>
      </c>
      <c r="AS72" s="28">
        <f t="shared" si="14"/>
        <v>192208661.5</v>
      </c>
      <c r="AT72" s="28">
        <f t="shared" si="14"/>
        <v>367525950.47000003</v>
      </c>
      <c r="AU72" s="28">
        <f t="shared" si="14"/>
        <v>401000000</v>
      </c>
      <c r="AV72" s="28">
        <f t="shared" si="14"/>
        <v>454300000</v>
      </c>
      <c r="AW72" s="28">
        <f t="shared" si="14"/>
        <v>559300000</v>
      </c>
      <c r="AX72" s="28">
        <f t="shared" si="14"/>
        <v>712180000</v>
      </c>
      <c r="AY72" s="28">
        <f t="shared" si="14"/>
        <v>721880000</v>
      </c>
      <c r="AZ72" s="28">
        <f t="shared" si="14"/>
        <v>731270000</v>
      </c>
      <c r="BA72" s="28">
        <f t="shared" si="14"/>
        <v>707125100</v>
      </c>
      <c r="BB72" s="28">
        <f t="shared" si="14"/>
        <v>736474630</v>
      </c>
      <c r="BC72" s="28">
        <f t="shared" si="14"/>
        <v>698475025</v>
      </c>
      <c r="BD72" s="28">
        <f t="shared" si="14"/>
        <v>714878250</v>
      </c>
      <c r="BE72" s="28">
        <f t="shared" si="14"/>
        <v>712490000</v>
      </c>
      <c r="BF72" s="28">
        <f t="shared" si="14"/>
        <v>636490000</v>
      </c>
      <c r="BG72" s="28">
        <f t="shared" si="14"/>
        <v>629690000</v>
      </c>
      <c r="BH72" s="28">
        <f t="shared" si="14"/>
        <v>650890000</v>
      </c>
      <c r="BI72" s="28">
        <f t="shared" si="14"/>
        <v>635690000</v>
      </c>
      <c r="BJ72" s="28">
        <f t="shared" si="14"/>
        <v>613890000</v>
      </c>
      <c r="BK72" s="28">
        <f t="shared" si="14"/>
        <v>466890000</v>
      </c>
      <c r="BL72" s="28">
        <f t="shared" si="14"/>
        <v>0</v>
      </c>
      <c r="BM72" s="28">
        <f t="shared" si="14"/>
        <v>621290000</v>
      </c>
      <c r="BN72" s="28">
        <f t="shared" si="14"/>
        <v>696190000</v>
      </c>
      <c r="BO72" s="28">
        <f t="shared" si="14"/>
        <v>700900000</v>
      </c>
      <c r="BP72" s="28">
        <f t="shared" si="14"/>
        <v>675500000</v>
      </c>
      <c r="BQ72" s="28">
        <f t="shared" si="14"/>
        <v>532090000</v>
      </c>
      <c r="BR72" s="28">
        <f t="shared" ref="BR72:CL72" si="15">SUM(BR73:BR77)</f>
        <v>638070000</v>
      </c>
      <c r="BS72" s="28">
        <f t="shared" si="15"/>
        <v>550590000</v>
      </c>
      <c r="BT72" s="28">
        <f t="shared" si="15"/>
        <v>655590000</v>
      </c>
      <c r="BU72" s="28">
        <f t="shared" si="15"/>
        <v>408850000</v>
      </c>
      <c r="BV72" s="28">
        <f t="shared" si="15"/>
        <v>331450800</v>
      </c>
      <c r="BW72" s="28">
        <f t="shared" si="15"/>
        <v>181500000</v>
      </c>
      <c r="BX72" s="28">
        <f t="shared" si="15"/>
        <v>187338000</v>
      </c>
      <c r="BY72" s="28">
        <f t="shared" si="15"/>
        <v>171840000</v>
      </c>
      <c r="BZ72" s="28">
        <f t="shared" si="15"/>
        <v>0</v>
      </c>
      <c r="CA72" s="28">
        <f t="shared" si="15"/>
        <v>96940514</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81393672.340000004</v>
      </c>
      <c r="F73" s="189">
        <v>149470000</v>
      </c>
      <c r="G73" s="189">
        <v>170000000</v>
      </c>
      <c r="H73" s="189">
        <v>123455086.90000001</v>
      </c>
      <c r="I73" s="189">
        <v>183813064.12</v>
      </c>
      <c r="J73" s="189">
        <v>0</v>
      </c>
      <c r="K73" s="189">
        <v>0</v>
      </c>
      <c r="L73" s="189">
        <v>0</v>
      </c>
      <c r="M73" s="189">
        <v>0</v>
      </c>
      <c r="N73" s="189">
        <v>99766633.189999998</v>
      </c>
      <c r="O73" s="189">
        <v>15234122.32</v>
      </c>
      <c r="P73" s="189">
        <v>116148521.47</v>
      </c>
      <c r="Q73" s="189">
        <v>0</v>
      </c>
      <c r="R73" s="189">
        <v>100360740</v>
      </c>
      <c r="S73" s="189">
        <v>50117340</v>
      </c>
      <c r="T73" s="189">
        <v>0</v>
      </c>
      <c r="U73" s="189">
        <v>0</v>
      </c>
      <c r="V73" s="189">
        <v>0</v>
      </c>
      <c r="W73" s="189">
        <v>0</v>
      </c>
      <c r="X73" s="189">
        <v>0</v>
      </c>
      <c r="Y73" s="189">
        <v>0</v>
      </c>
      <c r="Z73" s="189">
        <v>0</v>
      </c>
      <c r="AA73" s="189">
        <v>0</v>
      </c>
      <c r="AB73" s="189">
        <v>6961486.3600000003</v>
      </c>
      <c r="AC73" s="189">
        <v>6961486.3600000003</v>
      </c>
      <c r="AD73" s="189">
        <v>9320968.6300000008</v>
      </c>
      <c r="AE73" s="189">
        <v>39609864.439999998</v>
      </c>
      <c r="AF73" s="189">
        <v>85675125.359999999</v>
      </c>
      <c r="AG73" s="189">
        <v>9039354.8800000008</v>
      </c>
      <c r="AH73" s="189">
        <v>0</v>
      </c>
      <c r="AI73" s="189">
        <v>0</v>
      </c>
      <c r="AJ73" s="189">
        <v>0</v>
      </c>
      <c r="AK73" s="189">
        <v>1000000</v>
      </c>
      <c r="AL73" s="189">
        <v>17900000</v>
      </c>
      <c r="AM73" s="189">
        <v>29900000</v>
      </c>
      <c r="AN73" s="189">
        <v>74910000</v>
      </c>
      <c r="AO73" s="189">
        <v>74930000</v>
      </c>
      <c r="AP73" s="189">
        <v>120920000</v>
      </c>
      <c r="AQ73" s="189">
        <v>194800000</v>
      </c>
      <c r="AR73" s="189">
        <v>212500000</v>
      </c>
      <c r="AS73" s="189">
        <v>190500000</v>
      </c>
      <c r="AT73" s="189">
        <v>367000000</v>
      </c>
      <c r="AU73" s="189">
        <v>401000000</v>
      </c>
      <c r="AV73" s="189">
        <v>454300000</v>
      </c>
      <c r="AW73" s="189">
        <v>559300000</v>
      </c>
      <c r="AX73" s="189">
        <v>712180000</v>
      </c>
      <c r="AY73" s="189">
        <v>721880000</v>
      </c>
      <c r="AZ73" s="189">
        <v>731270000</v>
      </c>
      <c r="BA73" s="189">
        <v>707125100</v>
      </c>
      <c r="BB73" s="189">
        <v>736474630</v>
      </c>
      <c r="BC73" s="189">
        <v>698475025</v>
      </c>
      <c r="BD73" s="189">
        <v>714878250</v>
      </c>
      <c r="BE73" s="189">
        <v>712490000</v>
      </c>
      <c r="BF73" s="189">
        <v>636490000</v>
      </c>
      <c r="BG73" s="189">
        <v>629690000</v>
      </c>
      <c r="BH73" s="189">
        <v>650890000</v>
      </c>
      <c r="BI73" s="189">
        <v>635690000</v>
      </c>
      <c r="BJ73" s="189">
        <v>613890000</v>
      </c>
      <c r="BK73" s="189">
        <v>466890000</v>
      </c>
      <c r="BL73" s="189">
        <v>0</v>
      </c>
      <c r="BM73" s="189">
        <v>621290000</v>
      </c>
      <c r="BN73" s="189">
        <v>696190000</v>
      </c>
      <c r="BO73" s="189">
        <v>700900000</v>
      </c>
      <c r="BP73" s="189">
        <v>675500000</v>
      </c>
      <c r="BQ73" s="189">
        <v>532090000</v>
      </c>
      <c r="BR73" s="189">
        <v>638070000</v>
      </c>
      <c r="BS73" s="189">
        <v>550590000</v>
      </c>
      <c r="BT73" s="189">
        <v>655590000</v>
      </c>
      <c r="BU73" s="189">
        <v>408850000</v>
      </c>
      <c r="BV73" s="189">
        <v>331450800</v>
      </c>
      <c r="BW73" s="189">
        <v>181500000</v>
      </c>
      <c r="BX73" s="189">
        <v>136450000</v>
      </c>
      <c r="BY73" s="189">
        <v>127600000</v>
      </c>
      <c r="BZ73" s="189">
        <v>0</v>
      </c>
      <c r="CA73" s="189">
        <v>69340514</v>
      </c>
      <c r="CB73" s="189">
        <v>0</v>
      </c>
      <c r="CC73" s="189">
        <v>0</v>
      </c>
      <c r="CD73" s="189">
        <v>0</v>
      </c>
      <c r="CE73" s="189">
        <v>0</v>
      </c>
      <c r="CF73" s="189">
        <v>0</v>
      </c>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442452.66</v>
      </c>
      <c r="AM74" s="189">
        <v>442452.66</v>
      </c>
      <c r="AN74" s="189">
        <v>197360</v>
      </c>
      <c r="AO74" s="189">
        <v>562686.25</v>
      </c>
      <c r="AP74" s="189">
        <v>50000</v>
      </c>
      <c r="AQ74" s="189">
        <v>50000</v>
      </c>
      <c r="AR74" s="189">
        <v>0</v>
      </c>
      <c r="AS74" s="189">
        <v>1708661.5</v>
      </c>
      <c r="AT74" s="189">
        <v>525950.47</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c r="CH74" s="189"/>
      <c r="CI74" s="189"/>
      <c r="CJ74" s="189"/>
      <c r="CK74" s="189"/>
      <c r="CL74" s="189"/>
    </row>
    <row r="75" spans="1:90" x14ac:dyDescent="0.25">
      <c r="A75" s="128" t="s">
        <v>53</v>
      </c>
      <c r="B75" s="189">
        <v>6823112.6500000004</v>
      </c>
      <c r="C75" s="189">
        <v>4800613.47</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50888000</v>
      </c>
      <c r="BY76" s="189">
        <v>44240000</v>
      </c>
      <c r="BZ76" s="189">
        <v>0</v>
      </c>
      <c r="CA76" s="189">
        <v>27600000</v>
      </c>
      <c r="CB76" s="189">
        <v>0</v>
      </c>
      <c r="CC76" s="189">
        <v>0</v>
      </c>
      <c r="CD76" s="189">
        <v>0</v>
      </c>
      <c r="CE76" s="189">
        <v>0</v>
      </c>
      <c r="CF76" s="189">
        <v>0</v>
      </c>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491200</v>
      </c>
      <c r="S81" s="28">
        <f t="shared" si="16"/>
        <v>517000</v>
      </c>
      <c r="T81" s="28">
        <f t="shared" si="16"/>
        <v>542800</v>
      </c>
      <c r="U81" s="28">
        <f t="shared" si="16"/>
        <v>568600</v>
      </c>
      <c r="V81" s="28">
        <f t="shared" si="16"/>
        <v>744400</v>
      </c>
      <c r="W81" s="28">
        <f t="shared" si="16"/>
        <v>920200</v>
      </c>
      <c r="X81" s="28">
        <f t="shared" si="16"/>
        <v>1096000</v>
      </c>
      <c r="Y81" s="28">
        <f t="shared" si="16"/>
        <v>1271800</v>
      </c>
      <c r="Z81" s="28">
        <f t="shared" si="16"/>
        <v>7292450</v>
      </c>
      <c r="AA81" s="28">
        <f t="shared" si="16"/>
        <v>7318250</v>
      </c>
      <c r="AB81" s="28">
        <f t="shared" si="16"/>
        <v>7644050</v>
      </c>
      <c r="AC81" s="28">
        <f t="shared" si="16"/>
        <v>6621250</v>
      </c>
      <c r="AD81" s="28">
        <f t="shared" si="16"/>
        <v>8565050</v>
      </c>
      <c r="AE81" s="28">
        <f t="shared" si="16"/>
        <v>8029750</v>
      </c>
      <c r="AF81" s="28">
        <f t="shared" si="16"/>
        <v>8042350</v>
      </c>
      <c r="AG81" s="28">
        <f t="shared" si="16"/>
        <v>8024850</v>
      </c>
      <c r="AH81" s="28">
        <f t="shared" si="16"/>
        <v>4974950</v>
      </c>
      <c r="AI81" s="28">
        <f t="shared" si="16"/>
        <v>5176300</v>
      </c>
      <c r="AJ81" s="28">
        <f t="shared" si="16"/>
        <v>5338900</v>
      </c>
      <c r="AK81" s="28">
        <f t="shared" si="16"/>
        <v>3679000</v>
      </c>
      <c r="AL81" s="28">
        <f t="shared" si="16"/>
        <v>0</v>
      </c>
      <c r="AM81" s="28">
        <f t="shared" si="16"/>
        <v>0</v>
      </c>
      <c r="AN81" s="28">
        <f t="shared" si="16"/>
        <v>0</v>
      </c>
      <c r="AO81" s="28">
        <f t="shared" si="16"/>
        <v>0</v>
      </c>
      <c r="AP81" s="28">
        <f t="shared" si="16"/>
        <v>7072111.0899999999</v>
      </c>
      <c r="AQ81" s="28">
        <f t="shared" si="16"/>
        <v>7178626.3899999997</v>
      </c>
      <c r="AR81" s="28">
        <f t="shared" si="16"/>
        <v>10254564.940000001</v>
      </c>
      <c r="AS81" s="28">
        <f t="shared" si="16"/>
        <v>9940295.5399999991</v>
      </c>
      <c r="AT81" s="28">
        <f t="shared" si="16"/>
        <v>8516033.0800000001</v>
      </c>
      <c r="AU81" s="28">
        <f t="shared" si="16"/>
        <v>1068064</v>
      </c>
      <c r="AV81" s="28">
        <f t="shared" si="16"/>
        <v>1068064</v>
      </c>
      <c r="AW81" s="28">
        <f t="shared" si="16"/>
        <v>1068064</v>
      </c>
      <c r="AX81" s="28">
        <f t="shared" si="16"/>
        <v>1068064</v>
      </c>
      <c r="AY81" s="28">
        <f t="shared" si="16"/>
        <v>1068064</v>
      </c>
      <c r="AZ81" s="28">
        <f t="shared" si="16"/>
        <v>1068064</v>
      </c>
      <c r="BA81" s="28">
        <f t="shared" si="16"/>
        <v>1068064</v>
      </c>
      <c r="BB81" s="28">
        <f t="shared" si="16"/>
        <v>1068064</v>
      </c>
      <c r="BC81" s="28">
        <f t="shared" si="16"/>
        <v>1068064</v>
      </c>
      <c r="BD81" s="28">
        <f t="shared" si="16"/>
        <v>1068064</v>
      </c>
      <c r="BE81" s="28">
        <f t="shared" si="16"/>
        <v>1068064</v>
      </c>
      <c r="BF81" s="28">
        <f t="shared" si="16"/>
        <v>1068064</v>
      </c>
      <c r="BG81" s="28">
        <f t="shared" si="16"/>
        <v>1068064</v>
      </c>
      <c r="BH81" s="28">
        <f t="shared" si="16"/>
        <v>1068064</v>
      </c>
      <c r="BI81" s="28">
        <f t="shared" si="16"/>
        <v>1068064</v>
      </c>
      <c r="BJ81" s="28">
        <f t="shared" si="16"/>
        <v>21068064</v>
      </c>
      <c r="BK81" s="28">
        <f t="shared" si="16"/>
        <v>21068064</v>
      </c>
      <c r="BL81" s="28">
        <f t="shared" si="16"/>
        <v>0</v>
      </c>
      <c r="BM81" s="28">
        <f t="shared" si="16"/>
        <v>21068064</v>
      </c>
      <c r="BN81" s="28">
        <f t="shared" si="16"/>
        <v>1068064</v>
      </c>
      <c r="BO81" s="28">
        <f t="shared" si="16"/>
        <v>1068064</v>
      </c>
      <c r="BP81" s="28">
        <f t="shared" si="16"/>
        <v>1068064</v>
      </c>
      <c r="BQ81" s="28">
        <f t="shared" si="16"/>
        <v>1068064</v>
      </c>
      <c r="BR81" s="28">
        <f t="shared" ref="BR81:CG81" si="17">SUM(BR82:BR85)</f>
        <v>1068064</v>
      </c>
      <c r="BS81" s="28">
        <f t="shared" si="17"/>
        <v>1068064</v>
      </c>
      <c r="BT81" s="28">
        <f t="shared" si="17"/>
        <v>8745413.9600000009</v>
      </c>
      <c r="BU81" s="28">
        <f t="shared" si="17"/>
        <v>8347329.6799999997</v>
      </c>
      <c r="BV81" s="28">
        <f t="shared" si="17"/>
        <v>7191684.3399999999</v>
      </c>
      <c r="BW81" s="28">
        <f t="shared" si="17"/>
        <v>8358435.6100000003</v>
      </c>
      <c r="BX81" s="28">
        <f t="shared" si="17"/>
        <v>41455387.979999997</v>
      </c>
      <c r="BY81" s="28">
        <f t="shared" si="17"/>
        <v>55382200</v>
      </c>
      <c r="BZ81" s="28">
        <f t="shared" si="17"/>
        <v>0</v>
      </c>
      <c r="CA81" s="28">
        <f t="shared" si="17"/>
        <v>31273203.059999999</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3000000</v>
      </c>
      <c r="AS82" s="189">
        <v>3000000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20000000</v>
      </c>
      <c r="BK82" s="189">
        <v>20000000</v>
      </c>
      <c r="BL82" s="189">
        <v>0</v>
      </c>
      <c r="BM82" s="189">
        <v>20000000</v>
      </c>
      <c r="BN82" s="189">
        <v>0</v>
      </c>
      <c r="BO82" s="189">
        <v>0</v>
      </c>
      <c r="BP82" s="189">
        <v>0</v>
      </c>
      <c r="BQ82" s="189">
        <v>0</v>
      </c>
      <c r="BR82" s="189">
        <v>0</v>
      </c>
      <c r="BS82" s="189">
        <v>0</v>
      </c>
      <c r="BT82" s="189">
        <v>1068064</v>
      </c>
      <c r="BU82" s="189">
        <v>0</v>
      </c>
      <c r="BV82" s="189">
        <v>0</v>
      </c>
      <c r="BW82" s="189">
        <v>0</v>
      </c>
      <c r="BX82" s="189">
        <v>40382200</v>
      </c>
      <c r="BY82" s="189">
        <v>55382200</v>
      </c>
      <c r="BZ82" s="189">
        <v>0</v>
      </c>
      <c r="CA82" s="189">
        <v>29240000</v>
      </c>
      <c r="CB82" s="189">
        <v>0</v>
      </c>
      <c r="CC82" s="189">
        <v>0</v>
      </c>
      <c r="CD82" s="189">
        <v>0</v>
      </c>
      <c r="CE82" s="189">
        <v>0</v>
      </c>
      <c r="CF82" s="189">
        <v>0</v>
      </c>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7072111.0899999999</v>
      </c>
      <c r="AQ84" s="189">
        <v>7178626.3899999997</v>
      </c>
      <c r="AR84" s="189">
        <v>7254564.9400000004</v>
      </c>
      <c r="AS84" s="189">
        <v>6940295.54</v>
      </c>
      <c r="AT84" s="189">
        <v>8516033.0800000001</v>
      </c>
      <c r="AU84" s="189">
        <v>1068064</v>
      </c>
      <c r="AV84" s="189">
        <v>1068064</v>
      </c>
      <c r="AW84" s="189">
        <v>1068064</v>
      </c>
      <c r="AX84" s="189">
        <v>1068064</v>
      </c>
      <c r="AY84" s="189">
        <v>1068064</v>
      </c>
      <c r="AZ84" s="189">
        <v>1068064</v>
      </c>
      <c r="BA84" s="189">
        <v>1068064</v>
      </c>
      <c r="BB84" s="189">
        <v>1068064</v>
      </c>
      <c r="BC84" s="189">
        <v>1068064</v>
      </c>
      <c r="BD84" s="189">
        <v>1068064</v>
      </c>
      <c r="BE84" s="189">
        <v>1068064</v>
      </c>
      <c r="BF84" s="189">
        <v>1068064</v>
      </c>
      <c r="BG84" s="189">
        <v>1068064</v>
      </c>
      <c r="BH84" s="189">
        <v>1068064</v>
      </c>
      <c r="BI84" s="189">
        <v>1068064</v>
      </c>
      <c r="BJ84" s="189">
        <v>1068064</v>
      </c>
      <c r="BK84" s="189">
        <v>1068064</v>
      </c>
      <c r="BL84" s="189">
        <v>0</v>
      </c>
      <c r="BM84" s="189">
        <v>1068064</v>
      </c>
      <c r="BN84" s="189">
        <v>1068064</v>
      </c>
      <c r="BO84" s="189">
        <v>1068064</v>
      </c>
      <c r="BP84" s="189">
        <v>1068064</v>
      </c>
      <c r="BQ84" s="189">
        <v>1068064</v>
      </c>
      <c r="BR84" s="189">
        <v>1068064</v>
      </c>
      <c r="BS84" s="189">
        <v>1068064</v>
      </c>
      <c r="BT84" s="189">
        <v>0</v>
      </c>
      <c r="BU84" s="189">
        <v>1068064</v>
      </c>
      <c r="BV84" s="189">
        <v>1276472.67</v>
      </c>
      <c r="BW84" s="189">
        <v>1068064</v>
      </c>
      <c r="BX84" s="189">
        <v>1073187.98</v>
      </c>
      <c r="BY84" s="189">
        <v>0</v>
      </c>
      <c r="BZ84" s="189">
        <v>0</v>
      </c>
      <c r="CA84" s="189">
        <v>0</v>
      </c>
      <c r="CB84" s="189">
        <v>0</v>
      </c>
      <c r="CC84" s="189">
        <v>0</v>
      </c>
      <c r="CD84" s="189">
        <v>0</v>
      </c>
      <c r="CE84" s="189">
        <v>0</v>
      </c>
      <c r="CF84" s="189">
        <v>0</v>
      </c>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491200</v>
      </c>
      <c r="S85" s="189">
        <v>517000</v>
      </c>
      <c r="T85" s="189">
        <v>542800</v>
      </c>
      <c r="U85" s="189">
        <v>568600</v>
      </c>
      <c r="V85" s="189">
        <v>744400</v>
      </c>
      <c r="W85" s="189">
        <v>920200</v>
      </c>
      <c r="X85" s="189">
        <v>1096000</v>
      </c>
      <c r="Y85" s="189">
        <v>1271800</v>
      </c>
      <c r="Z85" s="189">
        <v>7292450</v>
      </c>
      <c r="AA85" s="189">
        <v>7318250</v>
      </c>
      <c r="AB85" s="189">
        <v>7644050</v>
      </c>
      <c r="AC85" s="189">
        <v>6621250</v>
      </c>
      <c r="AD85" s="189">
        <v>8565050</v>
      </c>
      <c r="AE85" s="189">
        <v>8029750</v>
      </c>
      <c r="AF85" s="189">
        <v>8042350</v>
      </c>
      <c r="AG85" s="189">
        <v>8024850</v>
      </c>
      <c r="AH85" s="189">
        <v>4974950</v>
      </c>
      <c r="AI85" s="189">
        <v>5176300</v>
      </c>
      <c r="AJ85" s="189">
        <v>5338900</v>
      </c>
      <c r="AK85" s="189">
        <v>3679000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7677349.96</v>
      </c>
      <c r="BU85" s="189">
        <v>7279265.6799999997</v>
      </c>
      <c r="BV85" s="189">
        <v>5915211.6699999999</v>
      </c>
      <c r="BW85" s="189">
        <v>7290371.6100000003</v>
      </c>
      <c r="BX85" s="189">
        <v>0</v>
      </c>
      <c r="BY85" s="189">
        <v>0</v>
      </c>
      <c r="BZ85" s="189">
        <v>0</v>
      </c>
      <c r="CA85" s="189">
        <v>2033203.06</v>
      </c>
      <c r="CB85" s="189">
        <v>0</v>
      </c>
      <c r="CC85" s="189">
        <v>0</v>
      </c>
      <c r="CD85" s="189">
        <v>0</v>
      </c>
      <c r="CE85" s="189">
        <v>0</v>
      </c>
      <c r="CF85" s="189">
        <v>0</v>
      </c>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6823112.6500000004</v>
      </c>
      <c r="C89" s="33">
        <f>SUM(C73:C85)</f>
        <v>4800613.47</v>
      </c>
      <c r="D89" s="33">
        <f>SUM(D73:D85)</f>
        <v>0</v>
      </c>
      <c r="E89" s="33">
        <f>E72+E81</f>
        <v>81393672.340000004</v>
      </c>
      <c r="F89" s="33">
        <f t="shared" ref="F89:BQ89" si="18">F72+F81</f>
        <v>149470000</v>
      </c>
      <c r="G89" s="33">
        <f t="shared" si="18"/>
        <v>170000000</v>
      </c>
      <c r="H89" s="33">
        <f t="shared" si="18"/>
        <v>123455086.90000001</v>
      </c>
      <c r="I89" s="33">
        <f t="shared" si="18"/>
        <v>183813064.12</v>
      </c>
      <c r="J89" s="33">
        <f t="shared" si="18"/>
        <v>0</v>
      </c>
      <c r="K89" s="33">
        <f t="shared" si="18"/>
        <v>0</v>
      </c>
      <c r="L89" s="33">
        <f t="shared" si="18"/>
        <v>0</v>
      </c>
      <c r="M89" s="33">
        <f t="shared" si="18"/>
        <v>0</v>
      </c>
      <c r="N89" s="33">
        <f t="shared" si="18"/>
        <v>99766633.189999998</v>
      </c>
      <c r="O89" s="33">
        <f t="shared" si="18"/>
        <v>15234122.32</v>
      </c>
      <c r="P89" s="33">
        <f t="shared" si="18"/>
        <v>116148521.47</v>
      </c>
      <c r="Q89" s="33">
        <f t="shared" si="18"/>
        <v>0</v>
      </c>
      <c r="R89" s="33">
        <f t="shared" si="18"/>
        <v>100851940</v>
      </c>
      <c r="S89" s="33">
        <f t="shared" si="18"/>
        <v>50634340</v>
      </c>
      <c r="T89" s="33">
        <f t="shared" si="18"/>
        <v>542800</v>
      </c>
      <c r="U89" s="33">
        <f t="shared" si="18"/>
        <v>568600</v>
      </c>
      <c r="V89" s="33">
        <f t="shared" si="18"/>
        <v>744400</v>
      </c>
      <c r="W89" s="33">
        <f t="shared" si="18"/>
        <v>920200</v>
      </c>
      <c r="X89" s="33">
        <f t="shared" si="18"/>
        <v>1096000</v>
      </c>
      <c r="Y89" s="33">
        <f t="shared" si="18"/>
        <v>1271800</v>
      </c>
      <c r="Z89" s="33">
        <f t="shared" si="18"/>
        <v>7292450</v>
      </c>
      <c r="AA89" s="33">
        <f t="shared" si="18"/>
        <v>7318250</v>
      </c>
      <c r="AB89" s="33">
        <f t="shared" si="18"/>
        <v>14605536.359999999</v>
      </c>
      <c r="AC89" s="33">
        <f t="shared" si="18"/>
        <v>13582736.359999999</v>
      </c>
      <c r="AD89" s="33">
        <f t="shared" si="18"/>
        <v>17886018.630000003</v>
      </c>
      <c r="AE89" s="33">
        <f t="shared" si="18"/>
        <v>47639614.439999998</v>
      </c>
      <c r="AF89" s="33">
        <f t="shared" si="18"/>
        <v>93717475.359999999</v>
      </c>
      <c r="AG89" s="33">
        <f t="shared" si="18"/>
        <v>17064204.880000003</v>
      </c>
      <c r="AH89" s="33">
        <f t="shared" si="18"/>
        <v>4974950</v>
      </c>
      <c r="AI89" s="33">
        <f t="shared" si="18"/>
        <v>5176300</v>
      </c>
      <c r="AJ89" s="33">
        <f t="shared" si="18"/>
        <v>5338900</v>
      </c>
      <c r="AK89" s="33">
        <f t="shared" si="18"/>
        <v>4679000</v>
      </c>
      <c r="AL89" s="33">
        <f t="shared" si="18"/>
        <v>18342452.66</v>
      </c>
      <c r="AM89" s="33">
        <f t="shared" si="18"/>
        <v>30342452.66</v>
      </c>
      <c r="AN89" s="33">
        <f t="shared" si="18"/>
        <v>75107360</v>
      </c>
      <c r="AO89" s="33">
        <f t="shared" si="18"/>
        <v>75492686.25</v>
      </c>
      <c r="AP89" s="33">
        <f t="shared" si="18"/>
        <v>128042111.09</v>
      </c>
      <c r="AQ89" s="33">
        <f t="shared" si="18"/>
        <v>202028626.38999999</v>
      </c>
      <c r="AR89" s="33">
        <f t="shared" si="18"/>
        <v>222754564.94</v>
      </c>
      <c r="AS89" s="33">
        <f t="shared" si="18"/>
        <v>202148957.03999999</v>
      </c>
      <c r="AT89" s="33">
        <f t="shared" si="18"/>
        <v>376041983.55000001</v>
      </c>
      <c r="AU89" s="33">
        <f t="shared" si="18"/>
        <v>402068064</v>
      </c>
      <c r="AV89" s="33">
        <f t="shared" si="18"/>
        <v>455368064</v>
      </c>
      <c r="AW89" s="33">
        <f t="shared" si="18"/>
        <v>560368064</v>
      </c>
      <c r="AX89" s="33">
        <f t="shared" si="18"/>
        <v>713248064</v>
      </c>
      <c r="AY89" s="33">
        <f t="shared" si="18"/>
        <v>722948064</v>
      </c>
      <c r="AZ89" s="33">
        <f t="shared" si="18"/>
        <v>732338064</v>
      </c>
      <c r="BA89" s="33">
        <f t="shared" si="18"/>
        <v>708193164</v>
      </c>
      <c r="BB89" s="33">
        <f t="shared" si="18"/>
        <v>737542694</v>
      </c>
      <c r="BC89" s="33">
        <f t="shared" si="18"/>
        <v>699543089</v>
      </c>
      <c r="BD89" s="33">
        <f t="shared" si="18"/>
        <v>715946314</v>
      </c>
      <c r="BE89" s="33">
        <f t="shared" si="18"/>
        <v>713558064</v>
      </c>
      <c r="BF89" s="33">
        <f t="shared" si="18"/>
        <v>637558064</v>
      </c>
      <c r="BG89" s="33">
        <f t="shared" si="18"/>
        <v>630758064</v>
      </c>
      <c r="BH89" s="33">
        <f t="shared" si="18"/>
        <v>651958064</v>
      </c>
      <c r="BI89" s="33">
        <f t="shared" si="18"/>
        <v>636758064</v>
      </c>
      <c r="BJ89" s="33">
        <f t="shared" si="18"/>
        <v>634958064</v>
      </c>
      <c r="BK89" s="33">
        <f t="shared" si="18"/>
        <v>487958064</v>
      </c>
      <c r="BL89" s="33">
        <f t="shared" si="18"/>
        <v>0</v>
      </c>
      <c r="BM89" s="33">
        <f t="shared" si="18"/>
        <v>642358064</v>
      </c>
      <c r="BN89" s="33">
        <f t="shared" si="18"/>
        <v>697258064</v>
      </c>
      <c r="BO89" s="33">
        <f t="shared" si="18"/>
        <v>701968064</v>
      </c>
      <c r="BP89" s="33">
        <f t="shared" si="18"/>
        <v>676568064</v>
      </c>
      <c r="BQ89" s="33">
        <f t="shared" si="18"/>
        <v>533158064</v>
      </c>
      <c r="BR89" s="33">
        <f t="shared" ref="BR89:CK89" si="19">BR72+BR81</f>
        <v>639138064</v>
      </c>
      <c r="BS89" s="33">
        <f t="shared" si="19"/>
        <v>551658064</v>
      </c>
      <c r="BT89" s="33">
        <f t="shared" si="19"/>
        <v>664335413.96000004</v>
      </c>
      <c r="BU89" s="33">
        <f t="shared" si="19"/>
        <v>417197329.68000001</v>
      </c>
      <c r="BV89" s="33">
        <f t="shared" si="19"/>
        <v>338642484.33999997</v>
      </c>
      <c r="BW89" s="33">
        <f t="shared" si="19"/>
        <v>189858435.61000001</v>
      </c>
      <c r="BX89" s="33">
        <f t="shared" si="19"/>
        <v>228793387.97999999</v>
      </c>
      <c r="BY89" s="33">
        <f t="shared" si="19"/>
        <v>227222200</v>
      </c>
      <c r="BZ89" s="33">
        <f t="shared" si="19"/>
        <v>0</v>
      </c>
      <c r="CA89" s="33">
        <f t="shared" si="19"/>
        <v>128213717.06</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632487764</v>
      </c>
      <c r="C91" s="189">
        <v>632487764</v>
      </c>
      <c r="D91" s="189">
        <v>632487764</v>
      </c>
      <c r="E91" s="189">
        <v>632487764</v>
      </c>
      <c r="F91" s="189">
        <v>632487764</v>
      </c>
      <c r="G91" s="189">
        <v>632487764</v>
      </c>
      <c r="H91" s="189">
        <v>632487764</v>
      </c>
      <c r="I91" s="189">
        <v>632487764</v>
      </c>
      <c r="J91" s="189">
        <v>632487764</v>
      </c>
      <c r="K91" s="189">
        <v>632487764</v>
      </c>
      <c r="L91" s="189">
        <v>632487764</v>
      </c>
      <c r="M91" s="189">
        <v>632487764</v>
      </c>
      <c r="N91" s="189">
        <v>632487764</v>
      </c>
      <c r="O91" s="189">
        <v>632487764</v>
      </c>
      <c r="P91" s="189">
        <v>632487764</v>
      </c>
      <c r="Q91" s="189">
        <v>632487764</v>
      </c>
      <c r="R91" s="189">
        <v>632487764</v>
      </c>
      <c r="S91" s="189">
        <v>632487764</v>
      </c>
      <c r="T91" s="189">
        <v>632487764</v>
      </c>
      <c r="U91" s="189">
        <v>632487764</v>
      </c>
      <c r="V91" s="189">
        <v>632487764</v>
      </c>
      <c r="W91" s="189">
        <v>632487764</v>
      </c>
      <c r="X91" s="189">
        <v>632487764</v>
      </c>
      <c r="Y91" s="189">
        <v>632487764</v>
      </c>
      <c r="Z91" s="189">
        <v>632487764</v>
      </c>
      <c r="AA91" s="189">
        <v>632487764</v>
      </c>
      <c r="AB91" s="189">
        <v>632487764</v>
      </c>
      <c r="AC91" s="189">
        <v>632487764</v>
      </c>
      <c r="AD91" s="189">
        <v>632487764</v>
      </c>
      <c r="AE91" s="189">
        <v>632487764</v>
      </c>
      <c r="AF91" s="189">
        <v>632487764</v>
      </c>
      <c r="AG91" s="189">
        <v>632487764</v>
      </c>
      <c r="AH91" s="189">
        <v>547655760</v>
      </c>
      <c r="AI91" s="189">
        <v>547655760</v>
      </c>
      <c r="AJ91" s="189">
        <v>547655760</v>
      </c>
      <c r="AK91" s="189">
        <v>547655760</v>
      </c>
      <c r="AL91" s="189">
        <v>547655760</v>
      </c>
      <c r="AM91" s="189">
        <v>547655760</v>
      </c>
      <c r="AN91" s="189">
        <v>547655760</v>
      </c>
      <c r="AO91" s="189">
        <v>547655760</v>
      </c>
      <c r="AP91" s="189">
        <v>547655760</v>
      </c>
      <c r="AQ91" s="189">
        <v>547655760</v>
      </c>
      <c r="AR91" s="189">
        <v>365103840</v>
      </c>
      <c r="AS91" s="189">
        <v>365103840</v>
      </c>
      <c r="AT91" s="189">
        <v>365103840</v>
      </c>
      <c r="AU91" s="189">
        <v>365103840</v>
      </c>
      <c r="AV91" s="189">
        <v>365103840</v>
      </c>
      <c r="AW91" s="189">
        <v>365103840</v>
      </c>
      <c r="AX91" s="189">
        <v>365103840</v>
      </c>
      <c r="AY91" s="189">
        <v>365103840</v>
      </c>
      <c r="AZ91" s="189">
        <v>365103840</v>
      </c>
      <c r="BA91" s="189">
        <v>365103840</v>
      </c>
      <c r="BB91" s="189">
        <v>365103840</v>
      </c>
      <c r="BC91" s="189">
        <v>365103840</v>
      </c>
      <c r="BD91" s="189">
        <v>365103840</v>
      </c>
      <c r="BE91" s="189">
        <v>365103840</v>
      </c>
      <c r="BF91" s="189">
        <v>365103840</v>
      </c>
      <c r="BG91" s="189">
        <v>365103840</v>
      </c>
      <c r="BH91" s="189">
        <v>365103840</v>
      </c>
      <c r="BI91" s="189">
        <v>365103840</v>
      </c>
      <c r="BJ91" s="189">
        <v>365103840</v>
      </c>
      <c r="BK91" s="189">
        <v>365103840</v>
      </c>
      <c r="BL91" s="189">
        <v>365103840</v>
      </c>
      <c r="BM91" s="189">
        <v>365103840</v>
      </c>
      <c r="BN91" s="189">
        <v>365103840</v>
      </c>
      <c r="BO91" s="189">
        <v>365103840</v>
      </c>
      <c r="BP91" s="189">
        <v>365103840</v>
      </c>
      <c r="BQ91" s="189">
        <v>365103840</v>
      </c>
      <c r="BR91" s="189">
        <v>365103840</v>
      </c>
      <c r="BS91" s="189">
        <v>365103840</v>
      </c>
      <c r="BT91" s="189">
        <v>365103840</v>
      </c>
      <c r="BU91" s="189">
        <v>365103840</v>
      </c>
      <c r="BV91" s="189">
        <v>365103840</v>
      </c>
      <c r="BW91" s="189">
        <v>365103840</v>
      </c>
      <c r="BX91" s="189">
        <v>304253200</v>
      </c>
      <c r="BY91" s="189">
        <v>304253200</v>
      </c>
      <c r="BZ91" s="189">
        <v>304253200</v>
      </c>
      <c r="CA91" s="189">
        <v>244253200</v>
      </c>
      <c r="CB91" s="189">
        <v>174253000</v>
      </c>
      <c r="CC91" s="189">
        <v>0</v>
      </c>
      <c r="CD91" s="189">
        <v>174253200</v>
      </c>
      <c r="CE91" s="189">
        <v>0</v>
      </c>
      <c r="CF91" s="189">
        <v>0</v>
      </c>
      <c r="CG91" s="189"/>
      <c r="CH91" s="189"/>
      <c r="CI91" s="189"/>
      <c r="CJ91" s="189"/>
      <c r="CK91" s="189"/>
      <c r="CL91" s="189"/>
    </row>
    <row r="92" spans="1:90" x14ac:dyDescent="0.25">
      <c r="A92" s="128" t="s">
        <v>63</v>
      </c>
      <c r="B92" s="189">
        <v>1314361857.47</v>
      </c>
      <c r="C92" s="189">
        <v>1296794069.01</v>
      </c>
      <c r="D92" s="189">
        <v>1273836088.24</v>
      </c>
      <c r="E92" s="189">
        <v>1252947546.8</v>
      </c>
      <c r="F92" s="189">
        <v>1230146749.9400001</v>
      </c>
      <c r="G92" s="189">
        <v>1214971453.8800001</v>
      </c>
      <c r="H92" s="189">
        <v>1202834758.8900001</v>
      </c>
      <c r="I92" s="189">
        <v>1191490133.01</v>
      </c>
      <c r="J92" s="189">
        <v>1189171898.76</v>
      </c>
      <c r="K92" s="189">
        <v>1177617482.1300001</v>
      </c>
      <c r="L92" s="189">
        <v>1171419996.1900001</v>
      </c>
      <c r="M92" s="189">
        <v>1164014947.8499999</v>
      </c>
      <c r="N92" s="189">
        <v>1155986987.73</v>
      </c>
      <c r="O92" s="189">
        <v>1146807620.9200001</v>
      </c>
      <c r="P92" s="189">
        <v>1142123819.28</v>
      </c>
      <c r="Q92" s="189">
        <v>1139956336.03</v>
      </c>
      <c r="R92" s="189">
        <v>1138655354.5799999</v>
      </c>
      <c r="S92" s="189">
        <v>1134752577.5899999</v>
      </c>
      <c r="T92" s="189">
        <v>1129395319.3099999</v>
      </c>
      <c r="U92" s="189">
        <v>1129431304.9100001</v>
      </c>
      <c r="V92" s="189">
        <v>1129421308.9100001</v>
      </c>
      <c r="W92" s="189">
        <v>1129371328.9100001</v>
      </c>
      <c r="X92" s="189">
        <v>1129461292.9100001</v>
      </c>
      <c r="Y92" s="189">
        <v>1129409313.71</v>
      </c>
      <c r="Z92" s="189">
        <v>1096065351.3099999</v>
      </c>
      <c r="AA92" s="189">
        <v>1096109333.71</v>
      </c>
      <c r="AB92" s="189">
        <v>1096139321.71</v>
      </c>
      <c r="AC92" s="189">
        <v>1096157314.51</v>
      </c>
      <c r="AD92" s="189">
        <v>1099919945.5</v>
      </c>
      <c r="AE92" s="189">
        <v>1099973923.9000001</v>
      </c>
      <c r="AF92" s="189">
        <v>1099997914.3</v>
      </c>
      <c r="AG92" s="189">
        <v>1099965927.0999999</v>
      </c>
      <c r="AH92" s="189">
        <v>510428139.76999998</v>
      </c>
      <c r="AI92" s="189">
        <v>510420142.97000003</v>
      </c>
      <c r="AJ92" s="189">
        <v>507628752.33999997</v>
      </c>
      <c r="AK92" s="189">
        <v>507532790.74000001</v>
      </c>
      <c r="AL92" s="189">
        <v>512820696.94</v>
      </c>
      <c r="AM92" s="189">
        <v>521571526.83999997</v>
      </c>
      <c r="AN92" s="189">
        <v>482708754.04000002</v>
      </c>
      <c r="AO92" s="189">
        <v>480464703.04000002</v>
      </c>
      <c r="AP92" s="189">
        <v>482798735.76999998</v>
      </c>
      <c r="AQ92" s="189">
        <v>484476117.51999998</v>
      </c>
      <c r="AR92" s="189">
        <v>670779315.72000003</v>
      </c>
      <c r="AS92" s="189">
        <v>678756472.34000003</v>
      </c>
      <c r="AT92" s="189">
        <v>706626373.34000003</v>
      </c>
      <c r="AU92" s="189">
        <v>704927741.20000005</v>
      </c>
      <c r="AV92" s="189">
        <v>704927741.20000005</v>
      </c>
      <c r="AW92" s="189">
        <v>704927741.20000005</v>
      </c>
      <c r="AX92" s="189">
        <v>702326599.19000006</v>
      </c>
      <c r="AY92" s="189">
        <v>702326599.19000006</v>
      </c>
      <c r="AZ92" s="189">
        <v>702326599.19000006</v>
      </c>
      <c r="BA92" s="189">
        <v>702326599.19000006</v>
      </c>
      <c r="BB92" s="189">
        <v>701279459.75999999</v>
      </c>
      <c r="BC92" s="189">
        <v>701279459.75999999</v>
      </c>
      <c r="BD92" s="189">
        <v>809727876.07000005</v>
      </c>
      <c r="BE92" s="189">
        <v>809727876.07000005</v>
      </c>
      <c r="BF92" s="189">
        <v>808149601.58000004</v>
      </c>
      <c r="BG92" s="189">
        <v>808149601.58000004</v>
      </c>
      <c r="BH92" s="189">
        <v>1107332193.1700001</v>
      </c>
      <c r="BI92" s="189">
        <v>1107332193.1700001</v>
      </c>
      <c r="BJ92" s="189">
        <v>808013101.58000004</v>
      </c>
      <c r="BK92" s="189">
        <v>808013101.58000004</v>
      </c>
      <c r="BL92" s="189">
        <v>0</v>
      </c>
      <c r="BM92" s="189">
        <v>1107230943.1700001</v>
      </c>
      <c r="BN92" s="189">
        <v>1107062877.1800001</v>
      </c>
      <c r="BO92" s="189">
        <v>1107062877.1800001</v>
      </c>
      <c r="BP92" s="189">
        <v>1107062877.1800001</v>
      </c>
      <c r="BQ92" s="189">
        <v>1107062877.1800001</v>
      </c>
      <c r="BR92" s="189">
        <v>1105431937.0999999</v>
      </c>
      <c r="BS92" s="189">
        <v>1105431937.0999999</v>
      </c>
      <c r="BT92" s="189">
        <v>1104570635.1500001</v>
      </c>
      <c r="BU92" s="189">
        <v>1104570635.1500001</v>
      </c>
      <c r="BV92" s="189">
        <v>1104497033.4400001</v>
      </c>
      <c r="BW92" s="189">
        <v>1104497033</v>
      </c>
      <c r="BX92" s="189">
        <v>1175194666.4000001</v>
      </c>
      <c r="BY92" s="189">
        <v>1153929680.6800001</v>
      </c>
      <c r="BZ92" s="189">
        <v>1149511470</v>
      </c>
      <c r="CA92" s="189">
        <v>488549274.19999999</v>
      </c>
      <c r="CB92" s="189">
        <v>250994000</v>
      </c>
      <c r="CC92" s="189">
        <v>0</v>
      </c>
      <c r="CD92" s="189">
        <v>0</v>
      </c>
      <c r="CE92" s="189">
        <v>0</v>
      </c>
      <c r="CF92" s="189">
        <v>0</v>
      </c>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5684343.46</v>
      </c>
      <c r="C94" s="189">
        <v>28544268.120000001</v>
      </c>
      <c r="D94" s="189">
        <v>40831578.899999999</v>
      </c>
      <c r="E94" s="189">
        <v>40496366.850000001</v>
      </c>
      <c r="F94" s="189">
        <v>52300046.810000002</v>
      </c>
      <c r="G94" s="189">
        <v>43336488.700000003</v>
      </c>
      <c r="H94" s="189">
        <v>44468922.57</v>
      </c>
      <c r="I94" s="189">
        <v>70757524.609999999</v>
      </c>
      <c r="J94" s="189">
        <v>69714790.969999999</v>
      </c>
      <c r="K94" s="189">
        <v>67750174.569999993</v>
      </c>
      <c r="L94" s="189">
        <v>46137716.479999997</v>
      </c>
      <c r="M94" s="189">
        <v>34813284.640000001</v>
      </c>
      <c r="N94" s="189">
        <v>-2249549.69</v>
      </c>
      <c r="O94" s="189">
        <v>-3476435.26</v>
      </c>
      <c r="P94" s="189">
        <v>-3334503.83</v>
      </c>
      <c r="Q94" s="189">
        <v>-3449689.57</v>
      </c>
      <c r="R94" s="189">
        <v>170642.6</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332594722.29000002</v>
      </c>
      <c r="C96" s="189">
        <v>332594722.29000002</v>
      </c>
      <c r="D96" s="189">
        <v>332594722.29000002</v>
      </c>
      <c r="E96" s="189">
        <v>332594722.29000002</v>
      </c>
      <c r="F96" s="189">
        <v>332594722.29000002</v>
      </c>
      <c r="G96" s="189">
        <v>332594722.29000002</v>
      </c>
      <c r="H96" s="189">
        <v>332594722.29000002</v>
      </c>
      <c r="I96" s="189">
        <v>332594722.29000002</v>
      </c>
      <c r="J96" s="189">
        <v>332594722.29000002</v>
      </c>
      <c r="K96" s="189">
        <v>332594722.29000002</v>
      </c>
      <c r="L96" s="189">
        <v>332594722.29000002</v>
      </c>
      <c r="M96" s="189">
        <v>332594722.29000002</v>
      </c>
      <c r="N96" s="189">
        <v>332594722.29000002</v>
      </c>
      <c r="O96" s="189">
        <v>332594722.29000002</v>
      </c>
      <c r="P96" s="189">
        <v>332594722.29000002</v>
      </c>
      <c r="Q96" s="189">
        <v>332594722.29000002</v>
      </c>
      <c r="R96" s="189">
        <v>290958368.49000001</v>
      </c>
      <c r="S96" s="189">
        <v>290958368.49000001</v>
      </c>
      <c r="T96" s="189">
        <v>290958368.49000001</v>
      </c>
      <c r="U96" s="189">
        <v>290958368.49000001</v>
      </c>
      <c r="V96" s="189">
        <v>270617248.93000001</v>
      </c>
      <c r="W96" s="189">
        <v>270617248.93000001</v>
      </c>
      <c r="X96" s="189">
        <v>270617248.93000001</v>
      </c>
      <c r="Y96" s="189">
        <v>270617248.93000001</v>
      </c>
      <c r="Z96" s="189">
        <v>249433912.28</v>
      </c>
      <c r="AA96" s="189">
        <v>249433912.28</v>
      </c>
      <c r="AB96" s="189">
        <v>249433912.28</v>
      </c>
      <c r="AC96" s="189">
        <v>249433912.28</v>
      </c>
      <c r="AD96" s="189">
        <v>212889613.44</v>
      </c>
      <c r="AE96" s="189">
        <v>212889613.44</v>
      </c>
      <c r="AF96" s="189">
        <v>212889613.44</v>
      </c>
      <c r="AG96" s="189">
        <v>212889613.44</v>
      </c>
      <c r="AH96" s="189">
        <v>177769733.30000001</v>
      </c>
      <c r="AI96" s="189">
        <v>177769733.30000001</v>
      </c>
      <c r="AJ96" s="189">
        <v>177769733.30000001</v>
      </c>
      <c r="AK96" s="189">
        <v>177769733.30000001</v>
      </c>
      <c r="AL96" s="189">
        <v>150833803.30000001</v>
      </c>
      <c r="AM96" s="189">
        <v>150833803.30000001</v>
      </c>
      <c r="AN96" s="189">
        <v>153321373.03</v>
      </c>
      <c r="AO96" s="189">
        <v>153321373.03</v>
      </c>
      <c r="AP96" s="189">
        <v>149551763.24000001</v>
      </c>
      <c r="AQ96" s="189">
        <v>149551763.24000001</v>
      </c>
      <c r="AR96" s="189">
        <v>149551763.24000001</v>
      </c>
      <c r="AS96" s="189">
        <v>149551763.24000001</v>
      </c>
      <c r="AT96" s="189">
        <v>163467683.63999999</v>
      </c>
      <c r="AU96" s="189">
        <v>163467683.63999999</v>
      </c>
      <c r="AV96" s="189">
        <v>163467683.63999999</v>
      </c>
      <c r="AW96" s="189">
        <v>163467683.63999999</v>
      </c>
      <c r="AX96" s="189">
        <v>156574505.84999999</v>
      </c>
      <c r="AY96" s="189">
        <v>154086936.12</v>
      </c>
      <c r="AZ96" s="189">
        <v>154086936.12</v>
      </c>
      <c r="BA96" s="189">
        <v>154086936.12</v>
      </c>
      <c r="BB96" s="189">
        <v>147950127.22999999</v>
      </c>
      <c r="BC96" s="189">
        <v>147950127.22999999</v>
      </c>
      <c r="BD96" s="189">
        <v>147950127.22999999</v>
      </c>
      <c r="BE96" s="189">
        <v>147950127.22999999</v>
      </c>
      <c r="BF96" s="189">
        <v>145758946.69</v>
      </c>
      <c r="BG96" s="189">
        <v>145758946.69</v>
      </c>
      <c r="BH96" s="189">
        <v>515139474.22000003</v>
      </c>
      <c r="BI96" s="189">
        <v>515139474.22000003</v>
      </c>
      <c r="BJ96" s="189">
        <v>141432435.11000001</v>
      </c>
      <c r="BK96" s="189">
        <v>141432435.11000001</v>
      </c>
      <c r="BL96" s="189">
        <v>0</v>
      </c>
      <c r="BM96" s="189">
        <v>514616932.22000003</v>
      </c>
      <c r="BN96" s="189">
        <v>532995116.52999997</v>
      </c>
      <c r="BO96" s="189">
        <v>532995116.52999997</v>
      </c>
      <c r="BP96" s="189">
        <v>532995116.52999997</v>
      </c>
      <c r="BQ96" s="189">
        <v>509141743.60000002</v>
      </c>
      <c r="BR96" s="189">
        <v>523552327.32999998</v>
      </c>
      <c r="BS96" s="189">
        <v>521485306.50999999</v>
      </c>
      <c r="BT96" s="189">
        <v>449217251.44999999</v>
      </c>
      <c r="BU96" s="189">
        <v>441083881.37</v>
      </c>
      <c r="BV96" s="189">
        <v>378462836.27999997</v>
      </c>
      <c r="BW96" s="189">
        <v>376817081</v>
      </c>
      <c r="BX96" s="189">
        <v>281534785.00999999</v>
      </c>
      <c r="BY96" s="189">
        <v>281534785.00999999</v>
      </c>
      <c r="BZ96" s="189">
        <v>163247580</v>
      </c>
      <c r="CA96" s="189">
        <v>163247576.69999999</v>
      </c>
      <c r="CB96" s="189">
        <v>109984000</v>
      </c>
      <c r="CC96" s="189">
        <v>0</v>
      </c>
      <c r="CD96" s="189">
        <v>0</v>
      </c>
      <c r="CE96" s="189">
        <v>0</v>
      </c>
      <c r="CF96" s="189">
        <v>0</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5503143609.8000002</v>
      </c>
      <c r="C98" s="189">
        <v>5058123683.4499998</v>
      </c>
      <c r="D98" s="189">
        <v>5299586641.8900003</v>
      </c>
      <c r="E98" s="189">
        <v>4788564401.0299997</v>
      </c>
      <c r="F98" s="189">
        <v>4425171705.1800003</v>
      </c>
      <c r="G98" s="189">
        <v>4013692398.3000002</v>
      </c>
      <c r="H98" s="189">
        <v>4153721163.6100001</v>
      </c>
      <c r="I98" s="189">
        <v>3756517718.8099999</v>
      </c>
      <c r="J98" s="189">
        <v>3494585358.4000001</v>
      </c>
      <c r="K98" s="189">
        <v>3162289358.54</v>
      </c>
      <c r="L98" s="189">
        <v>3278007665.8099999</v>
      </c>
      <c r="M98" s="189">
        <v>2960955454.3600001</v>
      </c>
      <c r="N98" s="189">
        <v>2727525840.6799998</v>
      </c>
      <c r="O98" s="189">
        <v>2472467754.3299999</v>
      </c>
      <c r="P98" s="189">
        <v>2568707448.3000002</v>
      </c>
      <c r="Q98" s="189">
        <v>2326392979.5799999</v>
      </c>
      <c r="R98" s="189">
        <v>2184035116.96</v>
      </c>
      <c r="S98" s="189">
        <v>1986192134.05</v>
      </c>
      <c r="T98" s="189">
        <v>2030354388.97</v>
      </c>
      <c r="U98" s="189">
        <v>1859579931.0999999</v>
      </c>
      <c r="V98" s="189">
        <v>1790376824.46</v>
      </c>
      <c r="W98" s="189">
        <v>1687532438.05</v>
      </c>
      <c r="X98" s="189">
        <v>1767321006.71</v>
      </c>
      <c r="Y98" s="189">
        <v>1656317300.3199999</v>
      </c>
      <c r="Z98" s="189">
        <v>1650676375.0699999</v>
      </c>
      <c r="AA98" s="189">
        <v>1555341091.53</v>
      </c>
      <c r="AB98" s="189">
        <v>1584191557.5599999</v>
      </c>
      <c r="AC98" s="189">
        <v>1465610508.78</v>
      </c>
      <c r="AD98" s="189">
        <v>1471108399.05</v>
      </c>
      <c r="AE98" s="189">
        <v>1329165326.5899999</v>
      </c>
      <c r="AF98" s="189">
        <v>1247509100.2</v>
      </c>
      <c r="AG98" s="189">
        <v>1112075620.21</v>
      </c>
      <c r="AH98" s="189">
        <v>883299928.85000002</v>
      </c>
      <c r="AI98" s="189">
        <v>790317331</v>
      </c>
      <c r="AJ98" s="189">
        <v>700214091.62</v>
      </c>
      <c r="AK98" s="189">
        <v>621953000.05999994</v>
      </c>
      <c r="AL98" s="189">
        <v>562558256.37</v>
      </c>
      <c r="AM98" s="189">
        <v>494096682.13999999</v>
      </c>
      <c r="AN98" s="189">
        <v>470344140.12</v>
      </c>
      <c r="AO98" s="189">
        <v>426704375.02999997</v>
      </c>
      <c r="AP98" s="189">
        <v>503988154.22000003</v>
      </c>
      <c r="AQ98" s="189">
        <v>457173236.12</v>
      </c>
      <c r="AR98" s="189">
        <v>423619252.69999999</v>
      </c>
      <c r="AS98" s="189">
        <v>390435672.81</v>
      </c>
      <c r="AT98" s="189">
        <v>125612262.03</v>
      </c>
      <c r="AU98" s="189">
        <v>-23294669.48</v>
      </c>
      <c r="AV98" s="189">
        <v>-16127846.33</v>
      </c>
      <c r="AW98" s="189">
        <v>-5189808.24</v>
      </c>
      <c r="AX98" s="189">
        <v>-3136395.02</v>
      </c>
      <c r="AY98" s="189">
        <v>-11132642.84</v>
      </c>
      <c r="AZ98" s="189">
        <v>-23660386.239999998</v>
      </c>
      <c r="BA98" s="189">
        <v>-36022813.759999998</v>
      </c>
      <c r="BB98" s="189">
        <v>-46439845.210000001</v>
      </c>
      <c r="BC98" s="189">
        <v>-50019917.770000003</v>
      </c>
      <c r="BD98" s="189">
        <v>-165466906.83000001</v>
      </c>
      <c r="BE98" s="189">
        <v>-177453616.21000001</v>
      </c>
      <c r="BF98" s="189">
        <v>-182793994.56</v>
      </c>
      <c r="BG98" s="189">
        <v>-184750856.63999999</v>
      </c>
      <c r="BH98" s="189">
        <v>-870796687.08000004</v>
      </c>
      <c r="BI98" s="189">
        <v>-880745041.97000003</v>
      </c>
      <c r="BJ98" s="189">
        <v>81819.11</v>
      </c>
      <c r="BK98" s="189">
        <v>-13827626.960000001</v>
      </c>
      <c r="BL98" s="189">
        <v>0</v>
      </c>
      <c r="BM98" s="189">
        <v>-844702753.35000002</v>
      </c>
      <c r="BN98" s="189">
        <v>23308984.289999999</v>
      </c>
      <c r="BO98" s="189">
        <v>16419357.449999999</v>
      </c>
      <c r="BP98" s="189">
        <v>14625494.76</v>
      </c>
      <c r="BQ98" s="189">
        <v>-96131665.379999995</v>
      </c>
      <c r="BR98" s="189">
        <v>90055038.739999995</v>
      </c>
      <c r="BS98" s="189">
        <v>-7638774.2199999997</v>
      </c>
      <c r="BT98" s="189">
        <v>111880296.84999999</v>
      </c>
      <c r="BU98" s="189">
        <v>5559599.3700000001</v>
      </c>
      <c r="BV98" s="189">
        <v>130516314.52</v>
      </c>
      <c r="BW98" s="189">
        <v>1192309.3700000001</v>
      </c>
      <c r="BX98" s="189">
        <v>139112375.13999999</v>
      </c>
      <c r="BY98" s="189">
        <v>8664960.5399999991</v>
      </c>
      <c r="BZ98" s="189">
        <v>113810140</v>
      </c>
      <c r="CA98" s="189">
        <v>1005645.92</v>
      </c>
      <c r="CB98" s="189">
        <v>97456000</v>
      </c>
      <c r="CC98" s="189">
        <v>0</v>
      </c>
      <c r="CD98" s="189">
        <v>0</v>
      </c>
      <c r="CE98" s="189">
        <v>0</v>
      </c>
      <c r="CF98" s="189">
        <v>0</v>
      </c>
      <c r="CG98" s="189">
        <v>12975517.09</v>
      </c>
      <c r="CH98" s="189">
        <v>0</v>
      </c>
      <c r="CI98" s="189">
        <v>0</v>
      </c>
      <c r="CJ98" s="189">
        <v>0</v>
      </c>
      <c r="CK98" s="189">
        <v>0</v>
      </c>
      <c r="CL98" s="189">
        <v>0</v>
      </c>
    </row>
    <row r="99" spans="1:90" x14ac:dyDescent="0.25">
      <c r="A99" s="128" t="s">
        <v>70</v>
      </c>
      <c r="B99" s="189">
        <v>0</v>
      </c>
      <c r="C99" s="189">
        <v>9049503.9199999999</v>
      </c>
      <c r="D99" s="189">
        <v>6996784.0599999996</v>
      </c>
      <c r="E99" s="189">
        <v>6996784.0599999996</v>
      </c>
      <c r="F99" s="189">
        <v>6996784.0599999996</v>
      </c>
      <c r="G99" s="189">
        <v>9338224.0600000005</v>
      </c>
      <c r="H99" s="189">
        <v>7150684.0599999996</v>
      </c>
      <c r="I99" s="189">
        <v>7150684.0599999996</v>
      </c>
      <c r="J99" s="189">
        <v>7150684.0599999996</v>
      </c>
      <c r="K99" s="189">
        <v>7150684.0599999996</v>
      </c>
      <c r="L99" s="189">
        <v>5400652.0599999996</v>
      </c>
      <c r="M99" s="189">
        <v>5400652.0599999996</v>
      </c>
      <c r="N99" s="189">
        <v>5400652.0599999996</v>
      </c>
      <c r="O99" s="189">
        <v>5400652.0599999996</v>
      </c>
      <c r="P99" s="189">
        <v>4088128.36</v>
      </c>
      <c r="Q99" s="189">
        <v>4088128.36</v>
      </c>
      <c r="R99" s="189">
        <v>4088128.36</v>
      </c>
      <c r="S99" s="189">
        <v>4088128.36</v>
      </c>
      <c r="T99" s="189">
        <v>3213112.33</v>
      </c>
      <c r="U99" s="189">
        <v>3740152.33</v>
      </c>
      <c r="V99" s="189">
        <v>4401175.07</v>
      </c>
      <c r="W99" s="189">
        <v>5129542.2300000004</v>
      </c>
      <c r="X99" s="189">
        <v>3710206.21</v>
      </c>
      <c r="Y99" s="189">
        <v>3710206.21</v>
      </c>
      <c r="Z99" s="189">
        <v>3710206.21</v>
      </c>
      <c r="AA99" s="189">
        <v>3710206.21</v>
      </c>
      <c r="AB99" s="189">
        <v>2838070.21</v>
      </c>
      <c r="AC99" s="189">
        <v>2838070.21</v>
      </c>
      <c r="AD99" s="189">
        <v>2838070.21</v>
      </c>
      <c r="AE99" s="189">
        <v>3426410.31</v>
      </c>
      <c r="AF99" s="189">
        <v>18383154.600000001</v>
      </c>
      <c r="AG99" s="189">
        <v>2719702.95</v>
      </c>
      <c r="AH99" s="189">
        <v>2669154.6</v>
      </c>
      <c r="AI99" s="189">
        <v>2669154.6</v>
      </c>
      <c r="AJ99" s="189">
        <v>2719702.95</v>
      </c>
      <c r="AK99" s="189">
        <v>2967922.95</v>
      </c>
      <c r="AL99" s="189">
        <v>2967922.95</v>
      </c>
      <c r="AM99" s="189">
        <v>2967922.95</v>
      </c>
      <c r="AN99" s="189">
        <v>3527937.47</v>
      </c>
      <c r="AO99" s="189">
        <v>3527937.47</v>
      </c>
      <c r="AP99" s="189">
        <v>5284975.83</v>
      </c>
      <c r="AQ99" s="189">
        <v>5286055.83</v>
      </c>
      <c r="AR99" s="189">
        <v>5707192.7800000003</v>
      </c>
      <c r="AS99" s="189">
        <v>5707192.7800000003</v>
      </c>
      <c r="AT99" s="189">
        <v>5269027.67</v>
      </c>
      <c r="AU99" s="189">
        <v>0</v>
      </c>
      <c r="AV99" s="189">
        <v>0</v>
      </c>
      <c r="AW99" s="189">
        <v>3266356.15</v>
      </c>
      <c r="AX99" s="189">
        <v>1301411.77</v>
      </c>
      <c r="AY99" s="189">
        <v>1165408.3999999999</v>
      </c>
      <c r="AZ99" s="189">
        <v>2358116.46</v>
      </c>
      <c r="BA99" s="189">
        <v>2358116.46</v>
      </c>
      <c r="BB99" s="189">
        <v>2682117.7000000002</v>
      </c>
      <c r="BC99" s="189">
        <v>2753325.7</v>
      </c>
      <c r="BD99" s="189">
        <v>2754333.7</v>
      </c>
      <c r="BE99" s="189">
        <v>2810853.7</v>
      </c>
      <c r="BF99" s="189">
        <v>2480660.23</v>
      </c>
      <c r="BG99" s="189">
        <v>23308667.91</v>
      </c>
      <c r="BH99" s="189">
        <v>6835139.3600000003</v>
      </c>
      <c r="BI99" s="189">
        <v>2492741.16</v>
      </c>
      <c r="BJ99" s="189">
        <v>7501205.5499999998</v>
      </c>
      <c r="BK99" s="189">
        <v>22350923.149999999</v>
      </c>
      <c r="BL99" s="189">
        <v>0</v>
      </c>
      <c r="BM99" s="189">
        <v>9518525.0800000001</v>
      </c>
      <c r="BN99" s="189">
        <v>7066374.0300000003</v>
      </c>
      <c r="BO99" s="189">
        <v>11783023.49</v>
      </c>
      <c r="BP99" s="189">
        <v>23493855.32</v>
      </c>
      <c r="BQ99" s="189">
        <v>12629036.779999999</v>
      </c>
      <c r="BR99" s="189">
        <v>50390900.770000003</v>
      </c>
      <c r="BS99" s="189">
        <v>120358214.53</v>
      </c>
      <c r="BT99" s="189">
        <v>93746556</v>
      </c>
      <c r="BU99" s="189">
        <v>115988482</v>
      </c>
      <c r="BV99" s="189">
        <v>136913940</v>
      </c>
      <c r="BW99" s="189">
        <v>150111252</v>
      </c>
      <c r="BX99" s="189">
        <v>143925012</v>
      </c>
      <c r="BY99" s="189">
        <v>143925012</v>
      </c>
      <c r="BZ99" s="189">
        <v>0</v>
      </c>
      <c r="CA99" s="189">
        <v>124569132</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24368035.280000001</v>
      </c>
      <c r="AX101" s="189">
        <v>4548568.03</v>
      </c>
      <c r="AY101" s="189">
        <v>3106441.53</v>
      </c>
      <c r="AZ101" s="189">
        <v>1388119.5</v>
      </c>
      <c r="BA101" s="189">
        <v>13364078.619999999</v>
      </c>
      <c r="BB101" s="189">
        <v>-3337258.56</v>
      </c>
      <c r="BC101" s="189">
        <v>-1665007.85</v>
      </c>
      <c r="BD101" s="189">
        <v>809303.37</v>
      </c>
      <c r="BE101" s="189">
        <v>3507598.73</v>
      </c>
      <c r="BF101" s="189">
        <v>0</v>
      </c>
      <c r="BG101" s="189">
        <v>0</v>
      </c>
      <c r="BH101" s="189">
        <v>4491403.43</v>
      </c>
      <c r="BI101" s="189">
        <v>0</v>
      </c>
      <c r="BJ101" s="189">
        <v>31390389.02</v>
      </c>
      <c r="BK101" s="189">
        <v>38208621.579999998</v>
      </c>
      <c r="BL101" s="189">
        <v>0</v>
      </c>
      <c r="BM101" s="189">
        <v>-53564061.170000002</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7788272297.0200005</v>
      </c>
      <c r="C102" s="189">
        <v>7348544506.8699999</v>
      </c>
      <c r="D102" s="189">
        <v>7579336795.3199997</v>
      </c>
      <c r="E102" s="189">
        <v>7047090800.9700003</v>
      </c>
      <c r="F102" s="189">
        <v>6672700988.2200003</v>
      </c>
      <c r="G102" s="189">
        <v>6237082827.1700001</v>
      </c>
      <c r="H102" s="189">
        <v>6366107331.3599997</v>
      </c>
      <c r="I102" s="189">
        <v>5983847862.7200003</v>
      </c>
      <c r="J102" s="189">
        <v>5718554534.4200001</v>
      </c>
      <c r="K102" s="189">
        <v>5372739501.5299997</v>
      </c>
      <c r="L102" s="189">
        <v>5460647864.7700005</v>
      </c>
      <c r="M102" s="189">
        <v>5124866173.1400003</v>
      </c>
      <c r="N102" s="189">
        <v>4846345765.0100002</v>
      </c>
      <c r="O102" s="189">
        <v>4580881426.2799997</v>
      </c>
      <c r="P102" s="189">
        <v>4672579250.04</v>
      </c>
      <c r="Q102" s="189">
        <v>4427982112.3299999</v>
      </c>
      <c r="R102" s="189">
        <v>4243024026.2199998</v>
      </c>
      <c r="S102" s="189">
        <v>4041109118.3299999</v>
      </c>
      <c r="T102" s="189">
        <v>4079910391.0900002</v>
      </c>
      <c r="U102" s="189">
        <v>3908897654.7399998</v>
      </c>
      <c r="V102" s="189">
        <v>3819597488.6300001</v>
      </c>
      <c r="W102" s="189">
        <v>3716855941.9400001</v>
      </c>
      <c r="X102" s="189">
        <v>3797183537.0900002</v>
      </c>
      <c r="Y102" s="189">
        <v>3686210495.8699999</v>
      </c>
      <c r="Z102" s="189">
        <v>3626318818.1100001</v>
      </c>
      <c r="AA102" s="189">
        <v>3530947207.7399998</v>
      </c>
      <c r="AB102" s="189">
        <v>3559675048.0999999</v>
      </c>
      <c r="AC102" s="189">
        <v>3441144937.4499998</v>
      </c>
      <c r="AD102" s="189">
        <v>3414130762.1799998</v>
      </c>
      <c r="AE102" s="189">
        <v>3272824293.6500001</v>
      </c>
      <c r="AF102" s="189">
        <v>3191615431.2600002</v>
      </c>
      <c r="AG102" s="189">
        <v>3056480975.7600002</v>
      </c>
      <c r="AH102" s="189">
        <v>2118607841.1099999</v>
      </c>
      <c r="AI102" s="189">
        <v>2026162967.27</v>
      </c>
      <c r="AJ102" s="189">
        <v>1933268337.26</v>
      </c>
      <c r="AK102" s="189">
        <v>1854911284.0999999</v>
      </c>
      <c r="AL102" s="189">
        <v>1773868516.6099999</v>
      </c>
      <c r="AM102" s="189">
        <v>1714157772.28</v>
      </c>
      <c r="AN102" s="189">
        <v>1652278937.1700001</v>
      </c>
      <c r="AO102" s="189">
        <v>1606316559.1199999</v>
      </c>
      <c r="AP102" s="189">
        <v>1682760882.3599999</v>
      </c>
      <c r="AQ102" s="189">
        <v>1637718331.72</v>
      </c>
      <c r="AR102" s="189">
        <v>1608118919.01</v>
      </c>
      <c r="AS102" s="189">
        <v>1582912495.74</v>
      </c>
      <c r="AT102" s="189">
        <v>1360810159.01</v>
      </c>
      <c r="AU102" s="189">
        <v>1210204595.3599999</v>
      </c>
      <c r="AV102" s="189">
        <v>1217371418.51</v>
      </c>
      <c r="AW102" s="189">
        <v>1187069743.97</v>
      </c>
      <c r="AX102" s="189">
        <v>1199448304.6400001</v>
      </c>
      <c r="AY102" s="189">
        <v>1190406613.5899999</v>
      </c>
      <c r="AZ102" s="189">
        <v>1179597192.22</v>
      </c>
      <c r="BA102" s="189">
        <v>1168622884.2</v>
      </c>
      <c r="BB102" s="189">
        <v>1159936304.97</v>
      </c>
      <c r="BC102" s="189">
        <v>1158585900.03</v>
      </c>
      <c r="BD102" s="189">
        <v>1152998034.3699999</v>
      </c>
      <c r="BE102" s="189">
        <v>1141820628.3599999</v>
      </c>
      <c r="BF102" s="189">
        <v>1136218393.71</v>
      </c>
      <c r="BG102" s="189">
        <v>1134261531.6300001</v>
      </c>
      <c r="BH102" s="189">
        <v>1112287416.8800001</v>
      </c>
      <c r="BI102" s="189">
        <v>1106830465.4200001</v>
      </c>
      <c r="BJ102" s="189">
        <v>1126085172.97</v>
      </c>
      <c r="BK102" s="189">
        <v>1110480878.21</v>
      </c>
      <c r="BL102" s="189">
        <v>1232986711.73</v>
      </c>
      <c r="BM102" s="189">
        <v>1088684900.8699999</v>
      </c>
      <c r="BN102" s="189">
        <v>2002189786.72</v>
      </c>
      <c r="BO102" s="189">
        <v>2003629182.0799999</v>
      </c>
      <c r="BP102" s="189">
        <v>2008131495.1099999</v>
      </c>
      <c r="BQ102" s="189">
        <v>1885176795.4000001</v>
      </c>
      <c r="BR102" s="189">
        <v>2084143143.1700001</v>
      </c>
      <c r="BS102" s="189">
        <v>1984382309.3900001</v>
      </c>
      <c r="BT102" s="189">
        <v>2030772023.45</v>
      </c>
      <c r="BU102" s="189">
        <v>1916317955.8900001</v>
      </c>
      <c r="BV102" s="189">
        <v>1978580024.24</v>
      </c>
      <c r="BW102" s="189">
        <v>1847610264</v>
      </c>
      <c r="BX102" s="189">
        <v>1900095026.55</v>
      </c>
      <c r="BY102" s="189">
        <v>1748382626.23</v>
      </c>
      <c r="BZ102" s="189">
        <v>1730822380</v>
      </c>
      <c r="CA102" s="189">
        <v>897055696.82000005</v>
      </c>
      <c r="CB102" s="189">
        <v>632687000</v>
      </c>
      <c r="CC102" s="189">
        <v>535868324.89999998</v>
      </c>
      <c r="CD102" s="189">
        <v>302480905.87</v>
      </c>
      <c r="CE102" s="189">
        <v>222188111.08000001</v>
      </c>
      <c r="CF102" s="189">
        <v>0</v>
      </c>
      <c r="CG102" s="189">
        <v>492362941.67000002</v>
      </c>
      <c r="CH102" s="189">
        <v>203800000</v>
      </c>
      <c r="CI102" s="189">
        <v>162870000</v>
      </c>
      <c r="CJ102" s="189">
        <v>92660000</v>
      </c>
      <c r="CK102" s="189">
        <v>75420000</v>
      </c>
      <c r="CL102" s="189">
        <v>0</v>
      </c>
    </row>
    <row r="103" spans="1:90" x14ac:dyDescent="0.25">
      <c r="A103" s="128" t="s">
        <v>73</v>
      </c>
      <c r="B103" s="189">
        <v>1322469966.6600001</v>
      </c>
      <c r="C103" s="189">
        <v>1273979059.6199999</v>
      </c>
      <c r="D103" s="189">
        <v>1230688222.8499999</v>
      </c>
      <c r="E103" s="189">
        <v>1171207212.0699999</v>
      </c>
      <c r="F103" s="189">
        <v>1138039147.45</v>
      </c>
      <c r="G103" s="189">
        <v>1072367724.29</v>
      </c>
      <c r="H103" s="189">
        <v>1010248960.58</v>
      </c>
      <c r="I103" s="189">
        <v>975247204.67999995</v>
      </c>
      <c r="J103" s="189">
        <v>1021023768.38</v>
      </c>
      <c r="K103" s="189">
        <v>951034321.36000001</v>
      </c>
      <c r="L103" s="189">
        <v>908487848.44000006</v>
      </c>
      <c r="M103" s="189">
        <v>862860913.96000004</v>
      </c>
      <c r="N103" s="189">
        <v>830655065.03999996</v>
      </c>
      <c r="O103" s="189">
        <v>784993116.47000003</v>
      </c>
      <c r="P103" s="189">
        <v>751730763.94000006</v>
      </c>
      <c r="Q103" s="189">
        <v>716713982.38</v>
      </c>
      <c r="R103" s="189">
        <v>694307977.62</v>
      </c>
      <c r="S103" s="189">
        <v>659873612.24000001</v>
      </c>
      <c r="T103" s="189">
        <v>642350612.77999997</v>
      </c>
      <c r="U103" s="189">
        <v>625431730.91999996</v>
      </c>
      <c r="V103" s="189">
        <v>605018334.58000004</v>
      </c>
      <c r="W103" s="189">
        <v>579291577.54999995</v>
      </c>
      <c r="X103" s="189">
        <v>573532802.03999996</v>
      </c>
      <c r="Y103" s="189">
        <v>564332580.25999999</v>
      </c>
      <c r="Z103" s="189">
        <v>536845075.76999998</v>
      </c>
      <c r="AA103" s="189">
        <v>541798150.59000003</v>
      </c>
      <c r="AB103" s="189">
        <v>534852352.52999997</v>
      </c>
      <c r="AC103" s="189">
        <v>523884093.79000002</v>
      </c>
      <c r="AD103" s="189">
        <v>515324837.32999998</v>
      </c>
      <c r="AE103" s="189">
        <v>491613615.89999998</v>
      </c>
      <c r="AF103" s="189">
        <v>467345086.17000002</v>
      </c>
      <c r="AG103" s="189">
        <v>454361306.04000002</v>
      </c>
      <c r="AH103" s="189">
        <v>68345111.739999995</v>
      </c>
      <c r="AI103" s="189">
        <v>58635487.700000003</v>
      </c>
      <c r="AJ103" s="189">
        <v>66249358.5</v>
      </c>
      <c r="AK103" s="189">
        <v>59794499.93</v>
      </c>
      <c r="AL103" s="189">
        <v>59817735.539999999</v>
      </c>
      <c r="AM103" s="189">
        <v>55596796.759999998</v>
      </c>
      <c r="AN103" s="189">
        <v>81177690.319999993</v>
      </c>
      <c r="AO103" s="189">
        <v>89480681.829999998</v>
      </c>
      <c r="AP103" s="189">
        <v>139012921.40000001</v>
      </c>
      <c r="AQ103" s="189">
        <v>139639854.94</v>
      </c>
      <c r="AR103" s="189">
        <v>138063508.15000001</v>
      </c>
      <c r="AS103" s="189">
        <v>135577931.31</v>
      </c>
      <c r="AT103" s="189">
        <v>134906452.15000001</v>
      </c>
      <c r="AU103" s="189">
        <v>131666770.02</v>
      </c>
      <c r="AV103" s="189">
        <v>134683288.46000001</v>
      </c>
      <c r="AW103" s="189">
        <v>127376477.23999999</v>
      </c>
      <c r="AX103" s="189">
        <v>136995055.83000001</v>
      </c>
      <c r="AY103" s="189">
        <v>92958151.640000001</v>
      </c>
      <c r="AZ103" s="189">
        <v>90150261.340000004</v>
      </c>
      <c r="BA103" s="189">
        <v>89310345.280000001</v>
      </c>
      <c r="BB103" s="189">
        <v>87363200.420000002</v>
      </c>
      <c r="BC103" s="189">
        <v>87924480.439999998</v>
      </c>
      <c r="BD103" s="189">
        <v>77973619.890000001</v>
      </c>
      <c r="BE103" s="189">
        <v>76726691.769999996</v>
      </c>
      <c r="BF103" s="189">
        <v>85084902.959999993</v>
      </c>
      <c r="BG103" s="189">
        <v>81382208.409999996</v>
      </c>
      <c r="BH103" s="189">
        <v>78452427.180000007</v>
      </c>
      <c r="BI103" s="189">
        <v>80133463.430000007</v>
      </c>
      <c r="BJ103" s="189">
        <v>-113630320.72</v>
      </c>
      <c r="BK103" s="189">
        <v>-118041459.51000001</v>
      </c>
      <c r="BL103" s="189">
        <v>0</v>
      </c>
      <c r="BM103" s="189">
        <v>49129344.689999998</v>
      </c>
      <c r="BN103" s="189">
        <v>97630625.879999995</v>
      </c>
      <c r="BO103" s="189">
        <v>98846995.099999994</v>
      </c>
      <c r="BP103" s="189">
        <v>95559224.959999993</v>
      </c>
      <c r="BQ103" s="189">
        <v>82755680.549999997</v>
      </c>
      <c r="BR103" s="189">
        <v>93315369.640000001</v>
      </c>
      <c r="BS103" s="189">
        <v>90032682.209999993</v>
      </c>
      <c r="BT103" s="189">
        <v>107370067.22</v>
      </c>
      <c r="BU103" s="189">
        <v>105294470.2</v>
      </c>
      <c r="BV103" s="189">
        <v>82251355.680000007</v>
      </c>
      <c r="BW103" s="189">
        <v>56129392.289999999</v>
      </c>
      <c r="BX103" s="189">
        <v>23381530.399999999</v>
      </c>
      <c r="BY103" s="189">
        <v>9921301</v>
      </c>
      <c r="BZ103" s="189">
        <v>10824070</v>
      </c>
      <c r="CA103" s="189">
        <v>8979658.0500000007</v>
      </c>
      <c r="CB103" s="189">
        <v>6066000</v>
      </c>
      <c r="CC103" s="189">
        <v>0</v>
      </c>
      <c r="CD103" s="189">
        <v>0</v>
      </c>
      <c r="CE103" s="189">
        <v>0</v>
      </c>
      <c r="CF103" s="189">
        <v>0</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9110742263.6800003</v>
      </c>
      <c r="C107" s="33">
        <f>C102+C103</f>
        <v>8622523566.4899998</v>
      </c>
      <c r="D107" s="33">
        <f>D102+D103</f>
        <v>8810025018.1700001</v>
      </c>
      <c r="E107" s="33">
        <f>E102+E103</f>
        <v>8218298013.04</v>
      </c>
      <c r="F107" s="33">
        <f t="shared" ref="F107:BQ107" si="20">F102+F103</f>
        <v>7810740135.6700001</v>
      </c>
      <c r="G107" s="33">
        <f t="shared" si="20"/>
        <v>7309450551.46</v>
      </c>
      <c r="H107" s="33">
        <f t="shared" si="20"/>
        <v>7376356291.9399996</v>
      </c>
      <c r="I107" s="33">
        <f t="shared" si="20"/>
        <v>6959095067.4000006</v>
      </c>
      <c r="J107" s="33">
        <f t="shared" si="20"/>
        <v>6739578302.8000002</v>
      </c>
      <c r="K107" s="33">
        <f t="shared" si="20"/>
        <v>6323773822.8899994</v>
      </c>
      <c r="L107" s="33">
        <f t="shared" si="20"/>
        <v>6369135713.210001</v>
      </c>
      <c r="M107" s="33">
        <f t="shared" si="20"/>
        <v>5987727087.1000004</v>
      </c>
      <c r="N107" s="33">
        <f t="shared" si="20"/>
        <v>5677000830.0500002</v>
      </c>
      <c r="O107" s="33">
        <f t="shared" si="20"/>
        <v>5365874542.75</v>
      </c>
      <c r="P107" s="33">
        <f t="shared" si="20"/>
        <v>5424310013.9799995</v>
      </c>
      <c r="Q107" s="33">
        <f t="shared" si="20"/>
        <v>5144696094.71</v>
      </c>
      <c r="R107" s="33">
        <f t="shared" si="20"/>
        <v>4937332003.8400002</v>
      </c>
      <c r="S107" s="33">
        <f t="shared" si="20"/>
        <v>4700982730.5699997</v>
      </c>
      <c r="T107" s="33">
        <f t="shared" si="20"/>
        <v>4722261003.8699999</v>
      </c>
      <c r="U107" s="33">
        <f t="shared" si="20"/>
        <v>4534329385.6599998</v>
      </c>
      <c r="V107" s="33">
        <f t="shared" si="20"/>
        <v>4424615823.21</v>
      </c>
      <c r="W107" s="33">
        <f t="shared" si="20"/>
        <v>4296147519.4899998</v>
      </c>
      <c r="X107" s="33">
        <f t="shared" si="20"/>
        <v>4370716339.1300001</v>
      </c>
      <c r="Y107" s="33">
        <f t="shared" si="20"/>
        <v>4250543076.1300001</v>
      </c>
      <c r="Z107" s="33">
        <f t="shared" si="20"/>
        <v>4163163893.8800001</v>
      </c>
      <c r="AA107" s="33">
        <f t="shared" si="20"/>
        <v>4072745358.3299999</v>
      </c>
      <c r="AB107" s="33">
        <f t="shared" si="20"/>
        <v>4094527400.6300001</v>
      </c>
      <c r="AC107" s="33">
        <f t="shared" si="20"/>
        <v>3965029031.2399998</v>
      </c>
      <c r="AD107" s="33">
        <f t="shared" si="20"/>
        <v>3929455599.5099998</v>
      </c>
      <c r="AE107" s="33">
        <f t="shared" si="20"/>
        <v>3764437909.5500002</v>
      </c>
      <c r="AF107" s="33">
        <f t="shared" si="20"/>
        <v>3658960517.4300003</v>
      </c>
      <c r="AG107" s="33">
        <f t="shared" si="20"/>
        <v>3510842281.8000002</v>
      </c>
      <c r="AH107" s="33">
        <f t="shared" si="20"/>
        <v>2186952952.8499999</v>
      </c>
      <c r="AI107" s="33">
        <f t="shared" si="20"/>
        <v>2084798454.97</v>
      </c>
      <c r="AJ107" s="33">
        <f t="shared" si="20"/>
        <v>1999517695.76</v>
      </c>
      <c r="AK107" s="33">
        <f t="shared" si="20"/>
        <v>1914705784.03</v>
      </c>
      <c r="AL107" s="33">
        <f t="shared" si="20"/>
        <v>1833686252.1499999</v>
      </c>
      <c r="AM107" s="33">
        <f t="shared" si="20"/>
        <v>1769754569.04</v>
      </c>
      <c r="AN107" s="33">
        <f t="shared" si="20"/>
        <v>1733456627.49</v>
      </c>
      <c r="AO107" s="33">
        <f t="shared" si="20"/>
        <v>1695797240.9499998</v>
      </c>
      <c r="AP107" s="33">
        <f t="shared" si="20"/>
        <v>1821773803.76</v>
      </c>
      <c r="AQ107" s="33">
        <f t="shared" si="20"/>
        <v>1777358186.6600001</v>
      </c>
      <c r="AR107" s="33">
        <f t="shared" si="20"/>
        <v>1746182427.1600001</v>
      </c>
      <c r="AS107" s="33">
        <f t="shared" si="20"/>
        <v>1718490427.05</v>
      </c>
      <c r="AT107" s="33">
        <f t="shared" si="20"/>
        <v>1495716611.1600001</v>
      </c>
      <c r="AU107" s="33">
        <f t="shared" si="20"/>
        <v>1341871365.3799999</v>
      </c>
      <c r="AV107" s="33">
        <f t="shared" si="20"/>
        <v>1352054706.97</v>
      </c>
      <c r="AW107" s="33">
        <f t="shared" si="20"/>
        <v>1314446221.21</v>
      </c>
      <c r="AX107" s="33">
        <f t="shared" si="20"/>
        <v>1336443360.47</v>
      </c>
      <c r="AY107" s="33">
        <f t="shared" si="20"/>
        <v>1283364765.23</v>
      </c>
      <c r="AZ107" s="33">
        <f t="shared" si="20"/>
        <v>1269747453.5599999</v>
      </c>
      <c r="BA107" s="33">
        <f t="shared" si="20"/>
        <v>1257933229.48</v>
      </c>
      <c r="BB107" s="33">
        <f t="shared" si="20"/>
        <v>1247299505.3900001</v>
      </c>
      <c r="BC107" s="33">
        <f t="shared" si="20"/>
        <v>1246510380.47</v>
      </c>
      <c r="BD107" s="33">
        <f t="shared" si="20"/>
        <v>1230971654.26</v>
      </c>
      <c r="BE107" s="33">
        <f t="shared" si="20"/>
        <v>1218547320.1299999</v>
      </c>
      <c r="BF107" s="33">
        <f t="shared" si="20"/>
        <v>1221303296.6700001</v>
      </c>
      <c r="BG107" s="33">
        <f t="shared" si="20"/>
        <v>1215643740.0400002</v>
      </c>
      <c r="BH107" s="33">
        <f t="shared" si="20"/>
        <v>1190739844.0600002</v>
      </c>
      <c r="BI107" s="33">
        <f t="shared" si="20"/>
        <v>1186963928.8500001</v>
      </c>
      <c r="BJ107" s="33">
        <f t="shared" si="20"/>
        <v>1012454852.25</v>
      </c>
      <c r="BK107" s="33">
        <f t="shared" si="20"/>
        <v>992439418.70000005</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9117565376.3299999</v>
      </c>
      <c r="C108" s="38">
        <f t="shared" ref="C108:BN108" si="22">SUM(C89+C107)</f>
        <v>8627324179.9599991</v>
      </c>
      <c r="D108" s="38">
        <f t="shared" si="22"/>
        <v>8810025018.1700001</v>
      </c>
      <c r="E108" s="38">
        <f>SUM(E107+E89)</f>
        <v>8299691685.3800001</v>
      </c>
      <c r="F108" s="38">
        <f t="shared" si="22"/>
        <v>7960210135.6700001</v>
      </c>
      <c r="G108" s="38">
        <f t="shared" si="22"/>
        <v>7479450551.46</v>
      </c>
      <c r="H108" s="38">
        <f t="shared" si="22"/>
        <v>7499811378.8399992</v>
      </c>
      <c r="I108" s="38">
        <f t="shared" si="22"/>
        <v>7142908131.5200005</v>
      </c>
      <c r="J108" s="38">
        <f t="shared" si="22"/>
        <v>6739578302.8000002</v>
      </c>
      <c r="K108" s="38">
        <f t="shared" si="22"/>
        <v>6323773822.8899994</v>
      </c>
      <c r="L108" s="38">
        <f t="shared" si="22"/>
        <v>6369135713.210001</v>
      </c>
      <c r="M108" s="38">
        <f t="shared" si="22"/>
        <v>5987727087.1000004</v>
      </c>
      <c r="N108" s="38">
        <f t="shared" si="22"/>
        <v>5776767463.2399998</v>
      </c>
      <c r="O108" s="38">
        <f t="shared" si="22"/>
        <v>5381108665.0699997</v>
      </c>
      <c r="P108" s="38">
        <f t="shared" si="22"/>
        <v>5540458535.4499998</v>
      </c>
      <c r="Q108" s="38">
        <f t="shared" si="22"/>
        <v>5144696094.71</v>
      </c>
      <c r="R108" s="38">
        <f t="shared" si="22"/>
        <v>5038183943.8400002</v>
      </c>
      <c r="S108" s="38">
        <f t="shared" si="22"/>
        <v>4751617070.5699997</v>
      </c>
      <c r="T108" s="38">
        <f t="shared" si="22"/>
        <v>4722803803.8699999</v>
      </c>
      <c r="U108" s="38">
        <f t="shared" si="22"/>
        <v>4534897985.6599998</v>
      </c>
      <c r="V108" s="38">
        <f t="shared" si="22"/>
        <v>4425360223.21</v>
      </c>
      <c r="W108" s="38">
        <f t="shared" si="22"/>
        <v>4297067719.4899998</v>
      </c>
      <c r="X108" s="38">
        <f t="shared" si="22"/>
        <v>4371812339.1300001</v>
      </c>
      <c r="Y108" s="38">
        <f t="shared" si="22"/>
        <v>4251814876.1300001</v>
      </c>
      <c r="Z108" s="38">
        <f t="shared" si="22"/>
        <v>4170456343.8800001</v>
      </c>
      <c r="AA108" s="38">
        <f t="shared" si="22"/>
        <v>4080063608.3299999</v>
      </c>
      <c r="AB108" s="38">
        <f t="shared" si="22"/>
        <v>4109132936.9900002</v>
      </c>
      <c r="AC108" s="38">
        <f t="shared" si="22"/>
        <v>3978611767.5999999</v>
      </c>
      <c r="AD108" s="38">
        <f t="shared" si="22"/>
        <v>3947341618.1399999</v>
      </c>
      <c r="AE108" s="38">
        <f t="shared" si="22"/>
        <v>3812077523.9900002</v>
      </c>
      <c r="AF108" s="38">
        <f t="shared" si="22"/>
        <v>3752677992.7900004</v>
      </c>
      <c r="AG108" s="38">
        <f t="shared" si="22"/>
        <v>3527906486.6800003</v>
      </c>
      <c r="AH108" s="38">
        <f t="shared" si="22"/>
        <v>2191927902.8499999</v>
      </c>
      <c r="AI108" s="38">
        <f t="shared" si="22"/>
        <v>2089974754.97</v>
      </c>
      <c r="AJ108" s="38">
        <f t="shared" si="22"/>
        <v>2004856595.76</v>
      </c>
      <c r="AK108" s="38">
        <f t="shared" si="22"/>
        <v>1919384784.03</v>
      </c>
      <c r="AL108" s="38">
        <f t="shared" si="22"/>
        <v>1852028704.8099999</v>
      </c>
      <c r="AM108" s="38">
        <f t="shared" si="22"/>
        <v>1800097021.7</v>
      </c>
      <c r="AN108" s="38">
        <f t="shared" si="22"/>
        <v>1808563987.49</v>
      </c>
      <c r="AO108" s="38">
        <f t="shared" si="22"/>
        <v>1771289927.1999998</v>
      </c>
      <c r="AP108" s="38">
        <f t="shared" si="22"/>
        <v>1949815914.8499999</v>
      </c>
      <c r="AQ108" s="38">
        <f t="shared" si="22"/>
        <v>1979386813.0500002</v>
      </c>
      <c r="AR108" s="38">
        <f t="shared" si="22"/>
        <v>1968936992.1000001</v>
      </c>
      <c r="AS108" s="38">
        <f t="shared" si="22"/>
        <v>1920639384.0899999</v>
      </c>
      <c r="AT108" s="38">
        <f t="shared" si="22"/>
        <v>1871758594.71</v>
      </c>
      <c r="AU108" s="38">
        <f t="shared" si="22"/>
        <v>1743939429.3799999</v>
      </c>
      <c r="AV108" s="38">
        <f t="shared" si="22"/>
        <v>1807422770.97</v>
      </c>
      <c r="AW108" s="38">
        <f t="shared" si="22"/>
        <v>1874814285.21</v>
      </c>
      <c r="AX108" s="38">
        <f t="shared" si="22"/>
        <v>2049691424.47</v>
      </c>
      <c r="AY108" s="38">
        <f t="shared" si="22"/>
        <v>2006312829.23</v>
      </c>
      <c r="AZ108" s="38">
        <f t="shared" si="22"/>
        <v>2002085517.5599999</v>
      </c>
      <c r="BA108" s="38">
        <f t="shared" si="22"/>
        <v>1966126393.48</v>
      </c>
      <c r="BB108" s="38">
        <f t="shared" si="22"/>
        <v>1984842199.3900001</v>
      </c>
      <c r="BC108" s="38">
        <f t="shared" si="22"/>
        <v>1946053469.47</v>
      </c>
      <c r="BD108" s="38">
        <f t="shared" si="22"/>
        <v>1946917968.26</v>
      </c>
      <c r="BE108" s="38">
        <f t="shared" si="22"/>
        <v>1932105384.1299999</v>
      </c>
      <c r="BF108" s="38">
        <f t="shared" si="22"/>
        <v>1858861360.6700001</v>
      </c>
      <c r="BG108" s="38">
        <f t="shared" si="22"/>
        <v>1846401804.0400002</v>
      </c>
      <c r="BH108" s="38">
        <f t="shared" si="22"/>
        <v>1842697908.0600002</v>
      </c>
      <c r="BI108" s="38">
        <f t="shared" si="22"/>
        <v>1823721992.8500001</v>
      </c>
      <c r="BJ108" s="38">
        <f t="shared" si="22"/>
        <v>1647412916.25</v>
      </c>
      <c r="BK108" s="38">
        <f t="shared" si="22"/>
        <v>1480397482.7</v>
      </c>
      <c r="BL108" s="38">
        <f t="shared" si="22"/>
        <v>1232986711.73</v>
      </c>
      <c r="BM108" s="38">
        <f t="shared" si="22"/>
        <v>1780172309.5599999</v>
      </c>
      <c r="BN108" s="38">
        <f t="shared" si="22"/>
        <v>2797078476.5999999</v>
      </c>
      <c r="BO108" s="38">
        <f t="shared" ref="BO108:CK108" si="23">SUM(BO89+BO107)</f>
        <v>2804444241.1799998</v>
      </c>
      <c r="BP108" s="38">
        <f t="shared" si="23"/>
        <v>2780258784.0699997</v>
      </c>
      <c r="BQ108" s="38">
        <f t="shared" si="23"/>
        <v>2501090539.9499998</v>
      </c>
      <c r="BR108" s="38">
        <f t="shared" si="23"/>
        <v>2816596576.8099999</v>
      </c>
      <c r="BS108" s="38">
        <f t="shared" si="23"/>
        <v>2626073055.6000004</v>
      </c>
      <c r="BT108" s="38">
        <f t="shared" si="23"/>
        <v>2802477504.6300001</v>
      </c>
      <c r="BU108" s="38">
        <f t="shared" si="23"/>
        <v>2438809755.77</v>
      </c>
      <c r="BV108" s="38">
        <f t="shared" si="23"/>
        <v>2399473864.2600002</v>
      </c>
      <c r="BW108" s="38">
        <f t="shared" si="23"/>
        <v>2093598091.9000001</v>
      </c>
      <c r="BX108" s="38">
        <f t="shared" si="23"/>
        <v>2152269944.9299998</v>
      </c>
      <c r="BY108" s="38">
        <f t="shared" si="23"/>
        <v>1985526127.23</v>
      </c>
      <c r="BZ108" s="38">
        <f t="shared" si="23"/>
        <v>1741646450</v>
      </c>
      <c r="CA108" s="38">
        <f t="shared" si="23"/>
        <v>1034249071.9300001</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G31" workbookViewId="0">
      <selection activeCell="BA56" sqref="BA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1" width="19.33203125" hidden="1" customWidth="1"/>
    <col min="32" max="32" width="20.21875" hidden="1" customWidth="1"/>
    <col min="33" max="33" width="19.33203125" bestFit="1" customWidth="1"/>
    <col min="34" max="36" width="19" hidden="1" customWidth="1"/>
    <col min="37" max="37" width="19.33203125" bestFit="1" customWidth="1"/>
    <col min="38" max="39" width="19" hidden="1" customWidth="1"/>
    <col min="40" max="40" width="20.21875" hidden="1" customWidth="1"/>
    <col min="41" max="41" width="19" bestFit="1" customWidth="1"/>
    <col min="42" max="43" width="19" hidden="1" customWidth="1"/>
    <col min="44" max="44" width="20.21875" hidden="1" customWidth="1"/>
    <col min="45" max="45" width="19" bestFit="1" customWidth="1"/>
    <col min="46" max="48" width="19" hidden="1" customWidth="1"/>
    <col min="49" max="49" width="19" bestFit="1" customWidth="1"/>
    <col min="50" max="51" width="20.21875" hidden="1" customWidth="1"/>
    <col min="52" max="52" width="19" hidden="1" customWidth="1"/>
    <col min="53" max="53" width="20.21875" bestFit="1" customWidth="1"/>
    <col min="54" max="55" width="20.21875" hidden="1" customWidth="1"/>
    <col min="56" max="56" width="19" hidden="1" customWidth="1"/>
    <col min="57" max="57" width="19" bestFit="1" customWidth="1"/>
    <col min="58" max="60" width="19" hidden="1" customWidth="1"/>
    <col min="61" max="61" width="19" bestFit="1" customWidth="1"/>
    <col min="62" max="63" width="20.21875" hidden="1" customWidth="1"/>
    <col min="64" max="64" width="17.77734375"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3" width="19"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x14ac:dyDescent="0.25">
      <c r="A2" s="17" t="s">
        <v>84</v>
      </c>
    </row>
    <row r="3" spans="1:89" s="6" customFormat="1" x14ac:dyDescent="0.25">
      <c r="A3" s="18" t="s">
        <v>85</v>
      </c>
    </row>
    <row r="4" spans="1:89" x14ac:dyDescent="0.25">
      <c r="A4" s="17" t="s">
        <v>385</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c r="CG4" s="189"/>
      <c r="CH4" s="189"/>
      <c r="CI4" s="189"/>
      <c r="CJ4" s="189"/>
      <c r="CK4" s="189"/>
    </row>
    <row r="5" spans="1:89" x14ac:dyDescent="0.25">
      <c r="A5" s="19" t="s">
        <v>386</v>
      </c>
      <c r="B5" s="189">
        <v>12855294810.889999</v>
      </c>
      <c r="C5" s="189">
        <v>8849801833.0200005</v>
      </c>
      <c r="D5" s="189">
        <v>4955290678.71</v>
      </c>
      <c r="E5" s="189">
        <v>15982893658.84</v>
      </c>
      <c r="F5" s="189">
        <v>11887084837.76</v>
      </c>
      <c r="G5" s="189">
        <v>7861371811.7799997</v>
      </c>
      <c r="H5" s="189">
        <v>4228707468.8400002</v>
      </c>
      <c r="I5" s="189">
        <v>12111213286.280001</v>
      </c>
      <c r="J5" s="189">
        <v>8829467976.4799995</v>
      </c>
      <c r="K5" s="189">
        <v>5812591773.6700001</v>
      </c>
      <c r="L5" s="189">
        <v>3047294578.2800002</v>
      </c>
      <c r="M5" s="189">
        <v>9646390824.3600006</v>
      </c>
      <c r="N5" s="189">
        <v>7041009821.1199999</v>
      </c>
      <c r="O5" s="189">
        <v>4457541472.6599998</v>
      </c>
      <c r="P5" s="189">
        <v>2379120341.8200002</v>
      </c>
      <c r="Q5" s="189">
        <v>8007492218.6899996</v>
      </c>
      <c r="R5" s="189">
        <v>5747116600.3699999</v>
      </c>
      <c r="S5" s="189">
        <v>3655315076.5900002</v>
      </c>
      <c r="T5" s="189">
        <v>1863580470.1199999</v>
      </c>
      <c r="U5" s="189">
        <v>6549621939.8999996</v>
      </c>
      <c r="V5" s="189">
        <v>4779232584.0600004</v>
      </c>
      <c r="W5" s="189">
        <v>3005810911.1399999</v>
      </c>
      <c r="X5" s="189">
        <v>1782597479.96</v>
      </c>
      <c r="Y5" s="189">
        <v>5339914557.9799995</v>
      </c>
      <c r="Z5" s="189">
        <v>3566854991.7399998</v>
      </c>
      <c r="AA5" s="189">
        <v>2453880581.1900001</v>
      </c>
      <c r="AB5" s="189">
        <v>1312055379.3699999</v>
      </c>
      <c r="AC5" s="189">
        <v>9153133555.9699993</v>
      </c>
      <c r="AD5" s="189">
        <v>7823252342.6199999</v>
      </c>
      <c r="AE5" s="189">
        <v>5611799841.3000002</v>
      </c>
      <c r="AF5" s="189">
        <v>3209055630.29</v>
      </c>
      <c r="AG5" s="189">
        <v>9445348989.1800003</v>
      </c>
      <c r="AH5" s="189">
        <v>4720109340.46</v>
      </c>
      <c r="AI5" s="189">
        <v>3063518891.21</v>
      </c>
      <c r="AJ5" s="189">
        <v>1390576461.6199999</v>
      </c>
      <c r="AK5" s="189">
        <v>3352503034.75</v>
      </c>
      <c r="AL5" s="189">
        <v>2250684996.8600001</v>
      </c>
      <c r="AM5" s="189">
        <v>1496548611.22</v>
      </c>
      <c r="AN5" s="189">
        <v>788361309.11000001</v>
      </c>
      <c r="AO5" s="189">
        <v>3495399864.1100001</v>
      </c>
      <c r="AP5" s="189">
        <v>2789367413.21</v>
      </c>
      <c r="AQ5" s="189">
        <v>1937796658.1500001</v>
      </c>
      <c r="AR5" s="189">
        <v>880605260.80999994</v>
      </c>
      <c r="AS5" s="189">
        <v>4004806298.8600001</v>
      </c>
      <c r="AT5" s="189">
        <v>3314480556.23</v>
      </c>
      <c r="AU5" s="189">
        <v>2308549271.3600001</v>
      </c>
      <c r="AV5" s="189">
        <v>1157412583.5599999</v>
      </c>
      <c r="AW5" s="189">
        <v>3351425492.1199999</v>
      </c>
      <c r="AX5" s="189">
        <v>2577079092.9699998</v>
      </c>
      <c r="AY5" s="189">
        <v>1734629476.5599999</v>
      </c>
      <c r="AZ5" s="189">
        <v>758131304.13</v>
      </c>
      <c r="BA5" s="189">
        <v>2610112328.77</v>
      </c>
      <c r="BB5" s="189">
        <v>1756574969.74</v>
      </c>
      <c r="BC5" s="189">
        <v>1111249484.8199999</v>
      </c>
      <c r="BD5" s="189">
        <v>558788476.47000003</v>
      </c>
      <c r="BE5" s="189">
        <v>1960846156.5799999</v>
      </c>
      <c r="BF5" s="189">
        <v>1291093542.25</v>
      </c>
      <c r="BG5" s="189">
        <v>867878445.94000006</v>
      </c>
      <c r="BH5" s="189">
        <v>468799028.16000003</v>
      </c>
      <c r="BI5" s="189">
        <v>2367701377.6599998</v>
      </c>
      <c r="BJ5" s="189">
        <v>1651739025.7</v>
      </c>
      <c r="BK5" s="189">
        <v>1158683250.95</v>
      </c>
      <c r="BL5" s="189">
        <v>683524653.25</v>
      </c>
      <c r="BM5" s="189">
        <v>2341338051.73</v>
      </c>
      <c r="BN5" s="189">
        <v>1876672125.77</v>
      </c>
      <c r="BO5" s="189">
        <v>1165969607.3599999</v>
      </c>
      <c r="BP5" s="189">
        <v>492769316.82999998</v>
      </c>
      <c r="BQ5" s="189">
        <v>1471398340.8599999</v>
      </c>
      <c r="BR5" s="189">
        <v>826221293.63</v>
      </c>
      <c r="BS5" s="189">
        <v>2007361302.1700001</v>
      </c>
      <c r="BT5" s="189">
        <v>1066828910.61</v>
      </c>
      <c r="BU5" s="189">
        <v>1889920384.8299999</v>
      </c>
      <c r="BV5" s="189">
        <v>1012360881.78</v>
      </c>
      <c r="BW5" s="189">
        <v>1573171315</v>
      </c>
      <c r="BX5" s="189">
        <v>695172733.25999999</v>
      </c>
      <c r="BY5" s="189">
        <v>1291744319.78</v>
      </c>
      <c r="BZ5" s="189">
        <v>0</v>
      </c>
      <c r="CA5" s="189">
        <v>945200780.38999999</v>
      </c>
      <c r="CB5" s="189">
        <v>0</v>
      </c>
      <c r="CC5" s="189">
        <v>689326756.65999997</v>
      </c>
      <c r="CD5" s="189">
        <v>0</v>
      </c>
      <c r="CE5" s="189">
        <v>0</v>
      </c>
      <c r="CF5" s="189">
        <v>0</v>
      </c>
      <c r="CG5" s="189"/>
      <c r="CH5" s="189"/>
      <c r="CI5" s="189"/>
      <c r="CJ5" s="189"/>
      <c r="CK5" s="189"/>
    </row>
    <row r="6" spans="1:89" s="3" customFormat="1" x14ac:dyDescent="0.25">
      <c r="A6" s="20" t="s">
        <v>387</v>
      </c>
      <c r="B6" s="27">
        <f>B4-B5</f>
        <v>4561563861.3300018</v>
      </c>
      <c r="C6" s="27">
        <f t="shared" ref="C6:BN6" si="0">C4-C5</f>
        <v>3207136453.0299988</v>
      </c>
      <c r="D6" s="27">
        <f t="shared" si="0"/>
        <v>1856650254.9700003</v>
      </c>
      <c r="E6" s="27">
        <f t="shared" si="0"/>
        <v>5401805417.8100014</v>
      </c>
      <c r="F6" s="27">
        <f t="shared" si="0"/>
        <v>4090029697.289999</v>
      </c>
      <c r="G6" s="27">
        <f t="shared" si="0"/>
        <v>2706689042.4299994</v>
      </c>
      <c r="H6" s="27">
        <f t="shared" si="0"/>
        <v>1461684074.5799999</v>
      </c>
      <c r="I6" s="27">
        <f t="shared" si="0"/>
        <v>4223701215.4099998</v>
      </c>
      <c r="J6" s="27">
        <f t="shared" si="0"/>
        <v>3226167937.7600002</v>
      </c>
      <c r="K6" s="27">
        <f t="shared" si="0"/>
        <v>2172195421.25</v>
      </c>
      <c r="L6" s="27">
        <f t="shared" si="0"/>
        <v>1192484496.4199996</v>
      </c>
      <c r="M6" s="27">
        <f t="shared" si="0"/>
        <v>3485236108.0799999</v>
      </c>
      <c r="N6" s="27">
        <f t="shared" si="0"/>
        <v>2570966144.0199995</v>
      </c>
      <c r="O6" s="27">
        <f t="shared" si="0"/>
        <v>1644362391.9400005</v>
      </c>
      <c r="P6" s="27">
        <f t="shared" si="0"/>
        <v>914852203.25999975</v>
      </c>
      <c r="Q6" s="27">
        <f t="shared" si="0"/>
        <v>2796725069.9100008</v>
      </c>
      <c r="R6" s="27">
        <f t="shared" si="0"/>
        <v>2031198804.3500004</v>
      </c>
      <c r="S6" s="27">
        <f t="shared" si="0"/>
        <v>1318741943.9700003</v>
      </c>
      <c r="T6" s="27">
        <f t="shared" si="0"/>
        <v>712579618.30999994</v>
      </c>
      <c r="U6" s="27">
        <f t="shared" si="0"/>
        <v>2178334104.4700012</v>
      </c>
      <c r="V6" s="27">
        <f t="shared" si="0"/>
        <v>1570882121.9399996</v>
      </c>
      <c r="W6" s="27">
        <f t="shared" si="0"/>
        <v>992413425.17000008</v>
      </c>
      <c r="X6" s="27">
        <f t="shared" si="0"/>
        <v>576644510.67999983</v>
      </c>
      <c r="Y6" s="27">
        <f t="shared" si="0"/>
        <v>1559949368.8300009</v>
      </c>
      <c r="Z6" s="27">
        <f t="shared" si="0"/>
        <v>1008263348.9800005</v>
      </c>
      <c r="AA6" s="27">
        <f t="shared" si="0"/>
        <v>647448149.94999981</v>
      </c>
      <c r="AB6" s="27">
        <f t="shared" si="0"/>
        <v>317509945.5</v>
      </c>
      <c r="AC6" s="27">
        <f t="shared" si="0"/>
        <v>1822488148.5500011</v>
      </c>
      <c r="AD6" s="27">
        <f t="shared" si="0"/>
        <v>1542519273.7599993</v>
      </c>
      <c r="AE6" s="27">
        <f t="shared" si="0"/>
        <v>1135714281.2299995</v>
      </c>
      <c r="AF6" s="27">
        <f t="shared" si="0"/>
        <v>622363591.69999981</v>
      </c>
      <c r="AG6" s="27">
        <f t="shared" si="0"/>
        <v>1757017816.9599991</v>
      </c>
      <c r="AH6" s="27">
        <f t="shared" si="0"/>
        <v>858415068.10999966</v>
      </c>
      <c r="AI6" s="27">
        <f t="shared" si="0"/>
        <v>570615953.8499999</v>
      </c>
      <c r="AJ6" s="27">
        <f t="shared" si="0"/>
        <v>271529784.52000022</v>
      </c>
      <c r="AK6" s="27">
        <f t="shared" si="0"/>
        <v>1022741420.9200001</v>
      </c>
      <c r="AL6" s="27">
        <f t="shared" si="0"/>
        <v>667287994.67000008</v>
      </c>
      <c r="AM6" s="27">
        <f t="shared" si="0"/>
        <v>405940013.01999998</v>
      </c>
      <c r="AN6" s="27">
        <f t="shared" si="0"/>
        <v>185744620.03999996</v>
      </c>
      <c r="AO6" s="27">
        <f t="shared" si="0"/>
        <v>797587600.79999971</v>
      </c>
      <c r="AP6" s="27">
        <f t="shared" si="0"/>
        <v>635093644.59000015</v>
      </c>
      <c r="AQ6" s="27">
        <f t="shared" si="0"/>
        <v>486632323.63999987</v>
      </c>
      <c r="AR6" s="27">
        <f t="shared" si="0"/>
        <v>257350193.07000017</v>
      </c>
      <c r="AS6" s="27">
        <f t="shared" si="0"/>
        <v>995885363.74000025</v>
      </c>
      <c r="AT6" s="27">
        <f t="shared" si="0"/>
        <v>772919288.3499999</v>
      </c>
      <c r="AU6" s="27">
        <f t="shared" si="0"/>
        <v>529689827</v>
      </c>
      <c r="AV6" s="27">
        <f t="shared" si="0"/>
        <v>290814647.47000003</v>
      </c>
      <c r="AW6" s="27">
        <f t="shared" si="0"/>
        <v>904912420.44000006</v>
      </c>
      <c r="AX6" s="27">
        <f t="shared" si="0"/>
        <v>648636817.68000031</v>
      </c>
      <c r="AY6" s="27">
        <f t="shared" si="0"/>
        <v>422085000.97000027</v>
      </c>
      <c r="AZ6" s="27">
        <f t="shared" si="0"/>
        <v>218011917.12</v>
      </c>
      <c r="BA6" s="27">
        <f t="shared" si="0"/>
        <v>650057211.21999979</v>
      </c>
      <c r="BB6" s="27">
        <f t="shared" si="0"/>
        <v>428772440.31999993</v>
      </c>
      <c r="BC6" s="27">
        <f t="shared" si="0"/>
        <v>285156306.16000009</v>
      </c>
      <c r="BD6" s="27">
        <f t="shared" si="0"/>
        <v>163736890.50999999</v>
      </c>
      <c r="BE6" s="27">
        <f t="shared" si="0"/>
        <v>462086582.8499999</v>
      </c>
      <c r="BF6" s="27">
        <f t="shared" si="0"/>
        <v>339974056.61999989</v>
      </c>
      <c r="BG6" s="27">
        <f t="shared" si="0"/>
        <v>228936920.25</v>
      </c>
      <c r="BH6" s="27">
        <f t="shared" si="0"/>
        <v>124823295.33999997</v>
      </c>
      <c r="BI6" s="27">
        <f t="shared" si="0"/>
        <v>533618905.68000031</v>
      </c>
      <c r="BJ6" s="27">
        <f t="shared" si="0"/>
        <v>323057677.27999997</v>
      </c>
      <c r="BK6" s="27">
        <f t="shared" si="0"/>
        <v>220965327.81999993</v>
      </c>
      <c r="BL6" s="27">
        <f t="shared" si="0"/>
        <v>160480022.16999996</v>
      </c>
      <c r="BM6" s="27">
        <f t="shared" si="0"/>
        <v>600463499.98000002</v>
      </c>
      <c r="BN6" s="27">
        <f t="shared" si="0"/>
        <v>536697105.69999981</v>
      </c>
      <c r="BO6" s="27">
        <f t="shared" ref="BO6:CK6" si="1">BO4-BO5</f>
        <v>387280733.00999999</v>
      </c>
      <c r="BP6" s="27">
        <f t="shared" si="1"/>
        <v>212208477.52000004</v>
      </c>
      <c r="BQ6" s="27">
        <f t="shared" si="1"/>
        <v>482094230.50999999</v>
      </c>
      <c r="BR6" s="27">
        <f t="shared" si="1"/>
        <v>303412353.71999991</v>
      </c>
      <c r="BS6" s="27">
        <f t="shared" si="1"/>
        <v>717502148.82999992</v>
      </c>
      <c r="BT6" s="27">
        <f t="shared" si="1"/>
        <v>406688231.70999992</v>
      </c>
      <c r="BU6" s="27">
        <f t="shared" si="1"/>
        <v>769714460.74000025</v>
      </c>
      <c r="BV6" s="27">
        <f t="shared" si="1"/>
        <v>398729861.46000004</v>
      </c>
      <c r="BW6" s="27">
        <f t="shared" si="1"/>
        <v>593994518</v>
      </c>
      <c r="BX6" s="27">
        <f t="shared" si="1"/>
        <v>309279595.88999999</v>
      </c>
      <c r="BY6" s="27">
        <f t="shared" si="1"/>
        <v>547611960.45000005</v>
      </c>
      <c r="BZ6" s="27">
        <f t="shared" si="1"/>
        <v>882693130</v>
      </c>
      <c r="CA6" s="27">
        <f t="shared" si="1"/>
        <v>407957535.50000012</v>
      </c>
      <c r="CB6" s="27">
        <f t="shared" si="1"/>
        <v>661118000</v>
      </c>
      <c r="CC6" s="27">
        <f t="shared" si="1"/>
        <v>315930566.58000004</v>
      </c>
      <c r="CD6" s="27">
        <f t="shared" si="1"/>
        <v>764095148.28999996</v>
      </c>
      <c r="CE6" s="27">
        <f t="shared" si="1"/>
        <v>484685682.33999997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26.190508559420788</v>
      </c>
      <c r="C7" s="57">
        <f t="shared" ref="C7:D7" si="2">C6/C4*100</f>
        <v>26.599924267180569</v>
      </c>
      <c r="D7" s="57">
        <f t="shared" si="2"/>
        <v>27.255818467101506</v>
      </c>
      <c r="E7" s="57">
        <f>E6/E4</f>
        <v>0.2526014230290593</v>
      </c>
      <c r="F7" s="57">
        <f t="shared" ref="F7:BQ7" si="3">F6/F4</f>
        <v>0.25599301352678194</v>
      </c>
      <c r="G7" s="57">
        <f t="shared" si="3"/>
        <v>0.25611974417726174</v>
      </c>
      <c r="H7" s="57">
        <f t="shared" si="3"/>
        <v>0.2568688047960771</v>
      </c>
      <c r="I7" s="57">
        <f t="shared" si="3"/>
        <v>0.2585689208825071</v>
      </c>
      <c r="J7" s="57">
        <f t="shared" si="3"/>
        <v>0.26760661658248008</v>
      </c>
      <c r="K7" s="57">
        <f t="shared" si="3"/>
        <v>0.27204174240635642</v>
      </c>
      <c r="L7" s="57">
        <f t="shared" si="3"/>
        <v>0.28126099860624881</v>
      </c>
      <c r="M7" s="57">
        <f t="shared" si="3"/>
        <v>0.26540779189135894</v>
      </c>
      <c r="N7" s="57">
        <f t="shared" si="3"/>
        <v>0.2674752988713443</v>
      </c>
      <c r="O7" s="57">
        <f t="shared" si="3"/>
        <v>0.2694834970245461</v>
      </c>
      <c r="P7" s="57">
        <f t="shared" si="3"/>
        <v>0.27773522418286611</v>
      </c>
      <c r="Q7" s="57">
        <f t="shared" si="3"/>
        <v>0.25885494480576088</v>
      </c>
      <c r="R7" s="57">
        <f t="shared" si="3"/>
        <v>0.2611360813573384</v>
      </c>
      <c r="S7" s="57">
        <f t="shared" si="3"/>
        <v>0.26512401014283721</v>
      </c>
      <c r="T7" s="57">
        <f t="shared" si="3"/>
        <v>0.27660533268500032</v>
      </c>
      <c r="U7" s="57">
        <f t="shared" si="3"/>
        <v>0.24958124140360943</v>
      </c>
      <c r="V7" s="57">
        <f t="shared" si="3"/>
        <v>0.24737854269872139</v>
      </c>
      <c r="W7" s="57">
        <f t="shared" si="3"/>
        <v>0.24821354223607875</v>
      </c>
      <c r="X7" s="57">
        <f t="shared" si="3"/>
        <v>0.24441939952228955</v>
      </c>
      <c r="Y7" s="57">
        <f t="shared" si="3"/>
        <v>0.22608407721907192</v>
      </c>
      <c r="Z7" s="57">
        <f t="shared" si="3"/>
        <v>0.22037973094731514</v>
      </c>
      <c r="AA7" s="57">
        <f t="shared" si="3"/>
        <v>0.20876476055216758</v>
      </c>
      <c r="AB7" s="57">
        <f t="shared" si="3"/>
        <v>0.19484333684219113</v>
      </c>
      <c r="AC7" s="57">
        <f t="shared" si="3"/>
        <v>0.16604873943491152</v>
      </c>
      <c r="AD7" s="57">
        <f t="shared" si="3"/>
        <v>0.16469751099442295</v>
      </c>
      <c r="AE7" s="57">
        <f t="shared" si="3"/>
        <v>0.16831595467697372</v>
      </c>
      <c r="AF7" s="57">
        <f t="shared" si="3"/>
        <v>0.16243682970738726</v>
      </c>
      <c r="AG7" s="57">
        <f t="shared" si="3"/>
        <v>0.15684344633287498</v>
      </c>
      <c r="AH7" s="57">
        <f t="shared" si="3"/>
        <v>0.15387851790901208</v>
      </c>
      <c r="AI7" s="57">
        <f t="shared" si="3"/>
        <v>0.15701562495009153</v>
      </c>
      <c r="AJ7" s="57">
        <f t="shared" si="3"/>
        <v>0.1633648782384331</v>
      </c>
      <c r="AK7" s="57">
        <f t="shared" si="3"/>
        <v>0.23375640636367215</v>
      </c>
      <c r="AL7" s="57">
        <f t="shared" si="3"/>
        <v>0.22868203256402195</v>
      </c>
      <c r="AM7" s="57">
        <f t="shared" si="3"/>
        <v>0.21337316178810981</v>
      </c>
      <c r="AN7" s="57">
        <f t="shared" si="3"/>
        <v>0.19068215733177993</v>
      </c>
      <c r="AO7" s="57">
        <f t="shared" si="3"/>
        <v>0.1857884765141565</v>
      </c>
      <c r="AP7" s="57">
        <f t="shared" si="3"/>
        <v>0.18545798415298892</v>
      </c>
      <c r="AQ7" s="57">
        <f t="shared" si="3"/>
        <v>0.20072038706644663</v>
      </c>
      <c r="AR7" s="57">
        <f t="shared" si="3"/>
        <v>0.2261513771848738</v>
      </c>
      <c r="AS7" s="57">
        <f t="shared" si="3"/>
        <v>0.19914952389250318</v>
      </c>
      <c r="AT7" s="57">
        <f t="shared" si="3"/>
        <v>0.18909803731947372</v>
      </c>
      <c r="AU7" s="57">
        <f t="shared" si="3"/>
        <v>0.18662621739869167</v>
      </c>
      <c r="AV7" s="57">
        <f t="shared" si="3"/>
        <v>0.2008073327437494</v>
      </c>
      <c r="AW7" s="57">
        <f t="shared" si="3"/>
        <v>0.21260351951138556</v>
      </c>
      <c r="AX7" s="57">
        <f t="shared" si="3"/>
        <v>0.2010830574194292</v>
      </c>
      <c r="AY7" s="57">
        <f t="shared" si="3"/>
        <v>0.19570740836005215</v>
      </c>
      <c r="AZ7" s="57">
        <f t="shared" si="3"/>
        <v>0.22334009228771254</v>
      </c>
      <c r="BA7" s="57">
        <f t="shared" si="3"/>
        <v>0.19939368282730283</v>
      </c>
      <c r="BB7" s="57">
        <f t="shared" si="3"/>
        <v>0.19620333057627104</v>
      </c>
      <c r="BC7" s="57">
        <f t="shared" si="3"/>
        <v>0.20420733571999647</v>
      </c>
      <c r="BD7" s="57">
        <f t="shared" si="3"/>
        <v>0.22661749745117576</v>
      </c>
      <c r="BE7" s="57">
        <f t="shared" si="3"/>
        <v>0.19071374757134479</v>
      </c>
      <c r="BF7" s="57">
        <f t="shared" si="3"/>
        <v>0.2084365214878483</v>
      </c>
      <c r="BG7" s="57">
        <f t="shared" si="3"/>
        <v>0.20872876812918531</v>
      </c>
      <c r="BH7" s="57">
        <f t="shared" si="3"/>
        <v>0.21027392400616143</v>
      </c>
      <c r="BI7" s="57">
        <f t="shared" si="3"/>
        <v>0.18392278465226811</v>
      </c>
      <c r="BJ7" s="57">
        <f t="shared" si="3"/>
        <v>0.16359034668859876</v>
      </c>
      <c r="BK7" s="57">
        <f t="shared" si="3"/>
        <v>0.16016058815281603</v>
      </c>
      <c r="BL7" s="57">
        <f t="shared" si="3"/>
        <v>0.19014115305716842</v>
      </c>
      <c r="BM7" s="57">
        <f t="shared" si="3"/>
        <v>0.2041142100937994</v>
      </c>
      <c r="BN7" s="57">
        <f t="shared" si="3"/>
        <v>0.22238499550816512</v>
      </c>
      <c r="BO7" s="57">
        <f t="shared" si="3"/>
        <v>0.24933568204964682</v>
      </c>
      <c r="BP7" s="57">
        <f t="shared" si="3"/>
        <v>0.30101441381662158</v>
      </c>
      <c r="BQ7" s="57">
        <f t="shared" si="3"/>
        <v>0.24678580178674725</v>
      </c>
      <c r="BR7" s="57">
        <f t="shared" ref="BR7:CK7" si="4">BR6/BR4</f>
        <v>0.26859358733849059</v>
      </c>
      <c r="BS7" s="57">
        <f t="shared" si="4"/>
        <v>0.2633167355841935</v>
      </c>
      <c r="BT7" s="57">
        <f t="shared" si="4"/>
        <v>0.27599830367068812</v>
      </c>
      <c r="BU7" s="57">
        <f t="shared" si="4"/>
        <v>0.2894060671607116</v>
      </c>
      <c r="BV7" s="57">
        <f t="shared" si="4"/>
        <v>0.2825685473242337</v>
      </c>
      <c r="BW7" s="57">
        <f t="shared" si="4"/>
        <v>0.27408817034446115</v>
      </c>
      <c r="BX7" s="57">
        <f t="shared" si="4"/>
        <v>0.30790868507589841</v>
      </c>
      <c r="BY7" s="57">
        <f t="shared" si="4"/>
        <v>0.29771935232772012</v>
      </c>
      <c r="BZ7" s="57">
        <f t="shared" si="4"/>
        <v>1</v>
      </c>
      <c r="CA7" s="57">
        <f t="shared" si="4"/>
        <v>0.30148544387555865</v>
      </c>
      <c r="CB7" s="57">
        <f t="shared" si="4"/>
        <v>1</v>
      </c>
      <c r="CC7" s="57">
        <f t="shared" si="4"/>
        <v>0.31427830394882211</v>
      </c>
      <c r="CD7" s="57">
        <f t="shared" si="4"/>
        <v>1</v>
      </c>
      <c r="CE7" s="57">
        <f t="shared" si="4"/>
        <v>1</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95955629.230000004</v>
      </c>
      <c r="C8" s="189">
        <v>66817703.109999999</v>
      </c>
      <c r="D8" s="189">
        <v>31716440.260000002</v>
      </c>
      <c r="E8" s="189">
        <v>131791477.12</v>
      </c>
      <c r="F8" s="189">
        <v>98446618.900000006</v>
      </c>
      <c r="G8" s="189">
        <v>64532273.740000002</v>
      </c>
      <c r="H8" s="189">
        <v>29239701.579999998</v>
      </c>
      <c r="I8" s="189">
        <v>99204438.579999998</v>
      </c>
      <c r="J8" s="189">
        <v>62360730.859999999</v>
      </c>
      <c r="K8" s="189">
        <v>44723877.460000001</v>
      </c>
      <c r="L8" s="189">
        <v>25562733.25</v>
      </c>
      <c r="M8" s="189">
        <v>66761675.479999997</v>
      </c>
      <c r="N8" s="189">
        <v>57452288.109999999</v>
      </c>
      <c r="O8" s="189">
        <v>37697582.259999998</v>
      </c>
      <c r="P8" s="189">
        <v>17128541.02</v>
      </c>
      <c r="Q8" s="189">
        <v>67429778.790000007</v>
      </c>
      <c r="R8" s="189">
        <v>51122619.479999997</v>
      </c>
      <c r="S8" s="189">
        <v>31180668.93</v>
      </c>
      <c r="T8" s="189">
        <v>18158736.210000001</v>
      </c>
      <c r="U8" s="189">
        <v>53002629.990000002</v>
      </c>
      <c r="V8" s="189">
        <v>40669122.030000001</v>
      </c>
      <c r="W8" s="189">
        <v>25957616.210000001</v>
      </c>
      <c r="X8" s="189">
        <v>17327435.34</v>
      </c>
      <c r="Y8" s="189">
        <v>30481840.170000002</v>
      </c>
      <c r="Z8" s="189">
        <v>24274034.120000001</v>
      </c>
      <c r="AA8" s="189">
        <v>15731754.99</v>
      </c>
      <c r="AB8" s="189">
        <v>11841728.85</v>
      </c>
      <c r="AC8" s="189">
        <v>22435896.129999999</v>
      </c>
      <c r="AD8" s="189">
        <v>18817214.73</v>
      </c>
      <c r="AE8" s="189">
        <v>15808434.08</v>
      </c>
      <c r="AF8" s="189">
        <v>9475406.3699999992</v>
      </c>
      <c r="AG8" s="189">
        <v>23799193.190000001</v>
      </c>
      <c r="AH8" s="189">
        <v>13490511.699999999</v>
      </c>
      <c r="AI8" s="189">
        <v>9954984.4000000004</v>
      </c>
      <c r="AJ8" s="189">
        <v>5091868.01</v>
      </c>
      <c r="AK8" s="189">
        <v>19057858.100000001</v>
      </c>
      <c r="AL8" s="189">
        <v>14468653.779999999</v>
      </c>
      <c r="AM8" s="189">
        <v>10960213.77</v>
      </c>
      <c r="AN8" s="189">
        <v>7247483.2300000004</v>
      </c>
      <c r="AO8" s="189">
        <v>17500882.039999999</v>
      </c>
      <c r="AP8" s="189">
        <v>11116954.939999999</v>
      </c>
      <c r="AQ8" s="189">
        <v>7499547.7000000002</v>
      </c>
      <c r="AR8" s="189">
        <v>5119721.3</v>
      </c>
      <c r="AS8" s="189">
        <v>22623370.5</v>
      </c>
      <c r="AT8" s="189">
        <v>15200247.67</v>
      </c>
      <c r="AU8" s="189">
        <v>9962138.1799999997</v>
      </c>
      <c r="AV8" s="189">
        <v>6160000.3099999996</v>
      </c>
      <c r="AW8" s="189">
        <v>14491471.82</v>
      </c>
      <c r="AX8" s="189">
        <v>11154144.18</v>
      </c>
      <c r="AY8" s="189">
        <v>8406724.8900000006</v>
      </c>
      <c r="AZ8" s="189">
        <v>4202084.05</v>
      </c>
      <c r="BA8" s="189">
        <v>10799593.949999999</v>
      </c>
      <c r="BB8" s="189">
        <v>8255445.0300000003</v>
      </c>
      <c r="BC8" s="189">
        <v>5873605.7599999998</v>
      </c>
      <c r="BD8" s="189">
        <v>2851388.8</v>
      </c>
      <c r="BE8" s="189">
        <v>5642078.4100000001</v>
      </c>
      <c r="BF8" s="189">
        <v>4663285.51</v>
      </c>
      <c r="BG8" s="189">
        <v>2595207.86</v>
      </c>
      <c r="BH8" s="189">
        <v>1935011.26</v>
      </c>
      <c r="BI8" s="189">
        <v>11960428.98</v>
      </c>
      <c r="BJ8" s="189">
        <v>5938607.2199999997</v>
      </c>
      <c r="BK8" s="189">
        <v>3220189.63</v>
      </c>
      <c r="BL8" s="189">
        <v>2276290.83</v>
      </c>
      <c r="BM8" s="189">
        <v>9193914.8300000001</v>
      </c>
      <c r="BN8" s="189">
        <v>8252948.3700000001</v>
      </c>
      <c r="BO8" s="189">
        <v>6212946.46</v>
      </c>
      <c r="BP8" s="189">
        <v>4762321.46</v>
      </c>
      <c r="BQ8" s="189">
        <v>12702583.960000001</v>
      </c>
      <c r="BR8" s="189">
        <v>7632378.6399999997</v>
      </c>
      <c r="BS8" s="189">
        <v>14553861.73</v>
      </c>
      <c r="BT8" s="189">
        <v>7009597.2999999998</v>
      </c>
      <c r="BU8" s="189">
        <v>17589703.219999999</v>
      </c>
      <c r="BV8" s="189">
        <v>8384055.7000000002</v>
      </c>
      <c r="BW8" s="189">
        <v>12094071.689999999</v>
      </c>
      <c r="BX8" s="189">
        <v>5731319.0700000003</v>
      </c>
      <c r="BY8" s="189">
        <v>13887109.609999999</v>
      </c>
      <c r="BZ8" s="189">
        <v>0</v>
      </c>
      <c r="CA8" s="189">
        <v>8984585.9100000001</v>
      </c>
      <c r="CB8" s="189">
        <v>0</v>
      </c>
      <c r="CC8" s="189">
        <v>5728193.0599999996</v>
      </c>
      <c r="CD8" s="189">
        <v>0</v>
      </c>
      <c r="CE8" s="189">
        <v>0</v>
      </c>
      <c r="CF8" s="189">
        <v>0</v>
      </c>
      <c r="CG8" s="189"/>
      <c r="CH8" s="189"/>
      <c r="CI8" s="189"/>
      <c r="CJ8" s="189"/>
      <c r="CK8" s="189"/>
    </row>
    <row r="9" spans="1:89" x14ac:dyDescent="0.25">
      <c r="A9" s="17" t="s">
        <v>390</v>
      </c>
      <c r="B9" s="189">
        <v>2521232812.1599998</v>
      </c>
      <c r="C9" s="189">
        <v>1769706658.9400001</v>
      </c>
      <c r="D9" s="189">
        <v>1026609941.05</v>
      </c>
      <c r="E9" s="189">
        <v>2872849586.1399999</v>
      </c>
      <c r="F9" s="189">
        <v>2235935416.9000001</v>
      </c>
      <c r="G9" s="189">
        <v>1533889871.4000001</v>
      </c>
      <c r="H9" s="189">
        <v>862300832.44000006</v>
      </c>
      <c r="I9" s="189">
        <v>2325645712.6500001</v>
      </c>
      <c r="J9" s="189">
        <v>1730895706.04</v>
      </c>
      <c r="K9" s="189">
        <v>1191332056.1199999</v>
      </c>
      <c r="L9" s="189">
        <v>631396475.17999995</v>
      </c>
      <c r="M9" s="189">
        <v>1957833768.25</v>
      </c>
      <c r="N9" s="189">
        <v>1345059132.8</v>
      </c>
      <c r="O9" s="189">
        <v>849993249.29999995</v>
      </c>
      <c r="P9" s="189">
        <v>472357387.27999997</v>
      </c>
      <c r="Q9" s="189">
        <v>1519482348.76</v>
      </c>
      <c r="R9" s="189">
        <v>1080503620.01</v>
      </c>
      <c r="S9" s="189">
        <v>708872153.89999998</v>
      </c>
      <c r="T9" s="189">
        <v>384822055.79000002</v>
      </c>
      <c r="U9" s="189">
        <v>1267118417.2</v>
      </c>
      <c r="V9" s="189">
        <v>873771862.52999997</v>
      </c>
      <c r="W9" s="189">
        <v>539966097.75999999</v>
      </c>
      <c r="X9" s="189">
        <v>328751508.20999998</v>
      </c>
      <c r="Y9" s="189">
        <v>840560482.52999997</v>
      </c>
      <c r="Z9" s="189">
        <v>500220233.73000002</v>
      </c>
      <c r="AA9" s="189">
        <v>283844635.95999998</v>
      </c>
      <c r="AB9" s="189">
        <v>98782478.060000002</v>
      </c>
      <c r="AC9" s="189">
        <v>894035414.82000005</v>
      </c>
      <c r="AD9" s="189">
        <v>693133218.91999996</v>
      </c>
      <c r="AE9" s="189">
        <v>524121604.12</v>
      </c>
      <c r="AF9" s="189">
        <v>265417681.27000001</v>
      </c>
      <c r="AG9" s="189">
        <v>738452660.85000002</v>
      </c>
      <c r="AH9" s="189">
        <v>329656681.36000001</v>
      </c>
      <c r="AI9" s="189">
        <v>211488684.03999999</v>
      </c>
      <c r="AJ9" s="189">
        <v>104366030.09999999</v>
      </c>
      <c r="AK9" s="189">
        <v>504572636.19999999</v>
      </c>
      <c r="AL9" s="189">
        <v>389212140.48000002</v>
      </c>
      <c r="AM9" s="189">
        <v>238060212.18000001</v>
      </c>
      <c r="AN9" s="189">
        <v>117938509.69</v>
      </c>
      <c r="AO9" s="189">
        <v>512655618.88999999</v>
      </c>
      <c r="AP9" s="189">
        <v>345204576.25</v>
      </c>
      <c r="AQ9" s="189">
        <v>299080889.25</v>
      </c>
      <c r="AR9" s="189">
        <v>165154471.44999999</v>
      </c>
      <c r="AS9" s="189">
        <v>593071799.97000003</v>
      </c>
      <c r="AT9" s="189">
        <v>512001878.12</v>
      </c>
      <c r="AU9" s="189">
        <v>345164901.97000003</v>
      </c>
      <c r="AV9" s="189">
        <v>188612863.63</v>
      </c>
      <c r="AW9" s="189">
        <v>593680233.63999999</v>
      </c>
      <c r="AX9" s="189">
        <v>477243142.04000002</v>
      </c>
      <c r="AY9" s="189">
        <v>306401918.17000002</v>
      </c>
      <c r="AZ9" s="189">
        <v>146434291.83000001</v>
      </c>
      <c r="BA9" s="189">
        <v>465466485.70999998</v>
      </c>
      <c r="BB9" s="189">
        <v>330399294.91000003</v>
      </c>
      <c r="BC9" s="189">
        <v>211437126.87</v>
      </c>
      <c r="BD9" s="189">
        <v>117518300.75</v>
      </c>
      <c r="BE9" s="189">
        <v>347325662.87</v>
      </c>
      <c r="BF9" s="189">
        <v>202772865.05000001</v>
      </c>
      <c r="BG9" s="189">
        <v>135830436.28999999</v>
      </c>
      <c r="BH9" s="189">
        <v>76471684.200000003</v>
      </c>
      <c r="BI9" s="189">
        <v>386364358.01999998</v>
      </c>
      <c r="BJ9" s="189">
        <v>256786938.61000001</v>
      </c>
      <c r="BK9" s="189">
        <v>189162277.25999999</v>
      </c>
      <c r="BL9" s="189">
        <v>105268295.23999999</v>
      </c>
      <c r="BM9" s="189">
        <v>543207784.61000001</v>
      </c>
      <c r="BN9" s="189">
        <v>366568194.94</v>
      </c>
      <c r="BO9" s="189">
        <v>247121582.28999999</v>
      </c>
      <c r="BP9" s="189">
        <v>134183200.38</v>
      </c>
      <c r="BQ9" s="189">
        <v>377793992.50999999</v>
      </c>
      <c r="BR9" s="189">
        <v>140010265.78</v>
      </c>
      <c r="BS9" s="189">
        <v>350190690.19999999</v>
      </c>
      <c r="BT9" s="189">
        <v>197586665.75999999</v>
      </c>
      <c r="BU9" s="189">
        <v>335786443.16000003</v>
      </c>
      <c r="BV9" s="189">
        <v>158738505.84</v>
      </c>
      <c r="BW9" s="189">
        <v>187477852.09999999</v>
      </c>
      <c r="BX9" s="189">
        <v>88394820.780000001</v>
      </c>
      <c r="BY9" s="189">
        <v>144982990.06999999</v>
      </c>
      <c r="BZ9" s="189">
        <v>0</v>
      </c>
      <c r="CA9" s="189">
        <v>125467914.55</v>
      </c>
      <c r="CB9" s="189">
        <v>0</v>
      </c>
      <c r="CC9" s="189">
        <v>86816874.099999994</v>
      </c>
      <c r="CD9" s="189">
        <v>0</v>
      </c>
      <c r="CE9" s="189">
        <v>0</v>
      </c>
      <c r="CF9" s="189">
        <v>0</v>
      </c>
      <c r="CG9" s="189"/>
      <c r="CH9" s="189"/>
      <c r="CI9" s="189"/>
      <c r="CJ9" s="189"/>
      <c r="CK9" s="189"/>
    </row>
    <row r="10" spans="1:89" x14ac:dyDescent="0.25">
      <c r="A10" s="17" t="s">
        <v>391</v>
      </c>
      <c r="B10" s="189">
        <v>148230609.99000001</v>
      </c>
      <c r="C10" s="189">
        <v>451163055.68000001</v>
      </c>
      <c r="D10" s="189">
        <v>243532933.75</v>
      </c>
      <c r="E10" s="189">
        <v>728323077.71000004</v>
      </c>
      <c r="F10" s="189">
        <v>480040555.31999999</v>
      </c>
      <c r="G10" s="189">
        <v>328163105.39999998</v>
      </c>
      <c r="H10" s="189">
        <v>189893301.81999999</v>
      </c>
      <c r="I10" s="189">
        <v>505321107.13999999</v>
      </c>
      <c r="J10" s="189">
        <v>367042544.04000002</v>
      </c>
      <c r="K10" s="189">
        <v>265946054.68000001</v>
      </c>
      <c r="L10" s="189">
        <v>153743559.27000001</v>
      </c>
      <c r="M10" s="189">
        <v>539747209.79999995</v>
      </c>
      <c r="N10" s="189">
        <v>434300798.20999998</v>
      </c>
      <c r="O10" s="189">
        <v>272955998.10000002</v>
      </c>
      <c r="P10" s="189">
        <v>136356668.53999999</v>
      </c>
      <c r="Q10" s="189">
        <v>441240435.75999999</v>
      </c>
      <c r="R10" s="189">
        <v>325821024.69</v>
      </c>
      <c r="S10" s="189">
        <v>210082884.69</v>
      </c>
      <c r="T10" s="189">
        <v>99867200.75</v>
      </c>
      <c r="U10" s="189">
        <v>393481200.80000001</v>
      </c>
      <c r="V10" s="189">
        <v>283474894.04000002</v>
      </c>
      <c r="W10" s="189">
        <v>173092190.68000001</v>
      </c>
      <c r="X10" s="189">
        <v>94490588.189999998</v>
      </c>
      <c r="Y10" s="189">
        <v>331386860.95999998</v>
      </c>
      <c r="Z10" s="189">
        <v>188886422.93000001</v>
      </c>
      <c r="AA10" s="189">
        <v>123624901.19</v>
      </c>
      <c r="AB10" s="189">
        <v>65368571.920000002</v>
      </c>
      <c r="AC10" s="189">
        <v>373315207.86000001</v>
      </c>
      <c r="AD10" s="189">
        <v>312420908.49000001</v>
      </c>
      <c r="AE10" s="189">
        <v>239982133.44999999</v>
      </c>
      <c r="AF10" s="189">
        <v>195118432.47</v>
      </c>
      <c r="AG10" s="189">
        <v>325689250.06</v>
      </c>
      <c r="AH10" s="189">
        <v>175834095.5</v>
      </c>
      <c r="AI10" s="189">
        <v>123563218.78</v>
      </c>
      <c r="AJ10" s="189">
        <v>77055101.379999995</v>
      </c>
      <c r="AK10" s="189">
        <v>187592749.28</v>
      </c>
      <c r="AL10" s="189">
        <v>94524104.239999995</v>
      </c>
      <c r="AM10" s="189">
        <v>67681769.629999995</v>
      </c>
      <c r="AN10" s="189">
        <v>40946880.740000002</v>
      </c>
      <c r="AO10" s="189">
        <v>232941380.94999999</v>
      </c>
      <c r="AP10" s="189">
        <v>124914099.52</v>
      </c>
      <c r="AQ10" s="189">
        <v>80164564.810000002</v>
      </c>
      <c r="AR10" s="189">
        <v>44790178.950000003</v>
      </c>
      <c r="AS10" s="189">
        <v>167378329.84999999</v>
      </c>
      <c r="AT10" s="189">
        <v>175237013.13</v>
      </c>
      <c r="AU10" s="189">
        <v>122401881.55</v>
      </c>
      <c r="AV10" s="189">
        <v>77090490.739999995</v>
      </c>
      <c r="AW10" s="189">
        <v>277025651.75</v>
      </c>
      <c r="AX10" s="189">
        <v>148235370.16999999</v>
      </c>
      <c r="AY10" s="189">
        <v>82853881.030000001</v>
      </c>
      <c r="AZ10" s="189">
        <v>46651078.590000004</v>
      </c>
      <c r="BA10" s="189">
        <v>150264621.88</v>
      </c>
      <c r="BB10" s="189">
        <v>86625936.519999996</v>
      </c>
      <c r="BC10" s="189">
        <v>59088222.789999999</v>
      </c>
      <c r="BD10" s="189">
        <v>33911907.210000001</v>
      </c>
      <c r="BE10" s="189">
        <v>121147525.08</v>
      </c>
      <c r="BF10" s="189">
        <v>100474792.8</v>
      </c>
      <c r="BG10" s="189">
        <v>70417566.650000006</v>
      </c>
      <c r="BH10" s="189">
        <v>35591619.689999998</v>
      </c>
      <c r="BI10" s="189">
        <v>107490914.15000001</v>
      </c>
      <c r="BJ10" s="189">
        <v>65883317.350000001</v>
      </c>
      <c r="BK10" s="189">
        <v>45393658.240000002</v>
      </c>
      <c r="BL10" s="189">
        <v>39692052.329999998</v>
      </c>
      <c r="BM10" s="189">
        <v>653016641.34000003</v>
      </c>
      <c r="BN10" s="189">
        <v>109399415.09</v>
      </c>
      <c r="BO10" s="189">
        <v>68484191.090000004</v>
      </c>
      <c r="BP10" s="189">
        <v>37388236.140000001</v>
      </c>
      <c r="BQ10" s="189">
        <v>152645208.46000001</v>
      </c>
      <c r="BR10" s="189">
        <v>59062721.140000001</v>
      </c>
      <c r="BS10" s="189">
        <v>117288907.59999999</v>
      </c>
      <c r="BT10" s="189">
        <v>52497327.719999999</v>
      </c>
      <c r="BU10" s="189">
        <v>105127119.83</v>
      </c>
      <c r="BV10" s="189">
        <v>47051162.049999997</v>
      </c>
      <c r="BW10" s="189">
        <v>85231162.840000004</v>
      </c>
      <c r="BX10" s="189">
        <v>38275896.950000003</v>
      </c>
      <c r="BY10" s="189">
        <v>52603946.979999997</v>
      </c>
      <c r="BZ10" s="189">
        <v>0</v>
      </c>
      <c r="CA10" s="189">
        <v>41027633.560000002</v>
      </c>
      <c r="CB10" s="189">
        <v>0</v>
      </c>
      <c r="CC10" s="189">
        <v>35453932.219999999</v>
      </c>
      <c r="CD10" s="189">
        <v>0</v>
      </c>
      <c r="CE10" s="189">
        <v>0</v>
      </c>
      <c r="CF10" s="189">
        <v>0</v>
      </c>
      <c r="CG10" s="189"/>
      <c r="CH10" s="189"/>
      <c r="CI10" s="189"/>
      <c r="CJ10" s="189"/>
      <c r="CK10" s="189"/>
    </row>
    <row r="11" spans="1:89" x14ac:dyDescent="0.25">
      <c r="A11" s="17" t="s">
        <v>392</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c r="CG11" s="189"/>
      <c r="CH11" s="189"/>
      <c r="CI11" s="189"/>
      <c r="CJ11" s="189"/>
      <c r="CK11" s="189"/>
    </row>
    <row r="12" spans="1:89" s="7" customFormat="1" x14ac:dyDescent="0.25">
      <c r="A12" s="21" t="s">
        <v>393</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12196548.699999999</v>
      </c>
      <c r="C13" s="189">
        <v>7366461.8700000001</v>
      </c>
      <c r="D13" s="189">
        <v>2325811.4500000002</v>
      </c>
      <c r="E13" s="189">
        <v>17448715.84</v>
      </c>
      <c r="F13" s="189">
        <v>23994408.02</v>
      </c>
      <c r="G13" s="189">
        <v>15623753.300000001</v>
      </c>
      <c r="H13" s="189">
        <v>12773084.59</v>
      </c>
      <c r="I13" s="189">
        <v>38975400.740000002</v>
      </c>
      <c r="J13" s="189">
        <v>30937449.390000001</v>
      </c>
      <c r="K13" s="189">
        <v>21485985.760000002</v>
      </c>
      <c r="L13" s="189">
        <v>7684539.4900000002</v>
      </c>
      <c r="M13" s="189">
        <v>63387660.890000001</v>
      </c>
      <c r="N13" s="189">
        <v>36267977.299999997</v>
      </c>
      <c r="O13" s="189">
        <v>14656202.67</v>
      </c>
      <c r="P13" s="189">
        <v>7526310.7000000002</v>
      </c>
      <c r="Q13" s="189">
        <v>39803014.020000003</v>
      </c>
      <c r="R13" s="189">
        <v>27217146.859999999</v>
      </c>
      <c r="S13" s="189">
        <v>11614209.800000001</v>
      </c>
      <c r="T13" s="189">
        <v>6932588.4100000001</v>
      </c>
      <c r="U13" s="189">
        <v>40374853.390000001</v>
      </c>
      <c r="V13" s="189">
        <v>29278637.870000001</v>
      </c>
      <c r="W13" s="189">
        <v>17650895.210000001</v>
      </c>
      <c r="X13" s="189">
        <v>5349057.97</v>
      </c>
      <c r="Y13" s="189">
        <v>52003988.560000002</v>
      </c>
      <c r="Z13" s="189">
        <v>27501683.280000001</v>
      </c>
      <c r="AA13" s="189">
        <v>19060727.43</v>
      </c>
      <c r="AB13" s="189">
        <v>7882917.5700000003</v>
      </c>
      <c r="AC13" s="189">
        <v>97259519.239999995</v>
      </c>
      <c r="AD13" s="189">
        <v>60080831.420000002</v>
      </c>
      <c r="AE13" s="189">
        <v>35813800.82</v>
      </c>
      <c r="AF13" s="189">
        <v>24835208.149999999</v>
      </c>
      <c r="AG13" s="189">
        <v>73874151.620000005</v>
      </c>
      <c r="AH13" s="189">
        <v>30447608.359999999</v>
      </c>
      <c r="AI13" s="189">
        <v>10486261.859999999</v>
      </c>
      <c r="AJ13" s="189">
        <v>2753456.83</v>
      </c>
      <c r="AK13" s="189">
        <v>110412874.45</v>
      </c>
      <c r="AL13" s="189">
        <v>23714039.579999998</v>
      </c>
      <c r="AM13" s="189">
        <v>19428152.670000002</v>
      </c>
      <c r="AN13" s="189">
        <v>16751638.84</v>
      </c>
      <c r="AO13" s="189">
        <v>21839201.23</v>
      </c>
      <c r="AP13" s="189">
        <v>15734243.779999999</v>
      </c>
      <c r="AQ13" s="189">
        <v>8109748.7199999997</v>
      </c>
      <c r="AR13" s="189">
        <v>2722818.91</v>
      </c>
      <c r="AS13" s="189">
        <v>26142858.59</v>
      </c>
      <c r="AT13" s="189">
        <v>6861704.7300000004</v>
      </c>
      <c r="AU13" s="189">
        <v>3460931.42</v>
      </c>
      <c r="AV13" s="189">
        <v>1158286.4099999999</v>
      </c>
      <c r="AW13" s="189">
        <v>4357303.3499999996</v>
      </c>
      <c r="AX13" s="189">
        <v>1853113.63</v>
      </c>
      <c r="AY13" s="189">
        <v>1091093.21</v>
      </c>
      <c r="AZ13" s="189">
        <v>97605.42</v>
      </c>
      <c r="BA13" s="189">
        <v>6043604.6100000003</v>
      </c>
      <c r="BB13" s="189">
        <v>1049610.32</v>
      </c>
      <c r="BC13" s="189">
        <v>732360.26</v>
      </c>
      <c r="BD13" s="189">
        <v>187701.11</v>
      </c>
      <c r="BE13" s="189">
        <v>13271773.77</v>
      </c>
      <c r="BF13" s="189">
        <v>8571048.7400000002</v>
      </c>
      <c r="BG13" s="189">
        <v>5862613.9299999997</v>
      </c>
      <c r="BH13" s="189">
        <v>1292333.6399999999</v>
      </c>
      <c r="BI13" s="189">
        <v>3139781.32</v>
      </c>
      <c r="BJ13" s="189">
        <v>875399.8</v>
      </c>
      <c r="BK13" s="189">
        <v>788620.06</v>
      </c>
      <c r="BL13" s="189">
        <v>165978.84</v>
      </c>
      <c r="BM13" s="189">
        <v>800750.89</v>
      </c>
      <c r="BN13" s="189">
        <v>715205.97</v>
      </c>
      <c r="BO13" s="189">
        <v>235574.92</v>
      </c>
      <c r="BP13" s="189">
        <v>199957.73</v>
      </c>
      <c r="BQ13" s="189">
        <v>934006.23</v>
      </c>
      <c r="BR13" s="189">
        <v>646877.68000000005</v>
      </c>
      <c r="BS13" s="189">
        <v>2325710.39</v>
      </c>
      <c r="BT13" s="189">
        <v>362773.75</v>
      </c>
      <c r="BU13" s="189">
        <v>2362374.6</v>
      </c>
      <c r="BV13" s="189">
        <v>410323.67</v>
      </c>
      <c r="BW13" s="189">
        <v>1945874.99</v>
      </c>
      <c r="BX13" s="189">
        <v>228882.71</v>
      </c>
      <c r="BY13" s="189">
        <v>1740376.11</v>
      </c>
      <c r="BZ13" s="189">
        <v>0</v>
      </c>
      <c r="CA13" s="189">
        <v>28331.79</v>
      </c>
      <c r="CB13" s="189">
        <v>0</v>
      </c>
      <c r="CC13" s="189">
        <v>435469.21</v>
      </c>
      <c r="CD13" s="189">
        <v>0</v>
      </c>
      <c r="CE13" s="189">
        <v>0</v>
      </c>
      <c r="CF13" s="189">
        <v>0</v>
      </c>
      <c r="CG13" s="189"/>
      <c r="CH13" s="189"/>
      <c r="CI13" s="189"/>
      <c r="CJ13" s="189"/>
      <c r="CK13" s="189"/>
    </row>
    <row r="14" spans="1:89" x14ac:dyDescent="0.25">
      <c r="A14" s="17" t="s">
        <v>395</v>
      </c>
      <c r="B14" s="189">
        <v>1487734.84</v>
      </c>
      <c r="C14" s="189">
        <v>790740.84</v>
      </c>
      <c r="D14" s="189">
        <v>174119.84</v>
      </c>
      <c r="E14" s="189">
        <v>1620508.98</v>
      </c>
      <c r="F14" s="189">
        <v>3153092.92</v>
      </c>
      <c r="G14" s="189">
        <v>3079657.86</v>
      </c>
      <c r="H14" s="189">
        <v>331135.40999999997</v>
      </c>
      <c r="I14" s="189">
        <v>8573686.4399999995</v>
      </c>
      <c r="J14" s="189">
        <v>3941368.67</v>
      </c>
      <c r="K14" s="189">
        <v>2234905.37</v>
      </c>
      <c r="L14" s="189">
        <v>2293319.12</v>
      </c>
      <c r="M14" s="189">
        <v>48270024.409999996</v>
      </c>
      <c r="N14" s="189">
        <v>8452933.8800000008</v>
      </c>
      <c r="O14" s="189">
        <v>5048356.25</v>
      </c>
      <c r="P14" s="189">
        <v>3391414.54</v>
      </c>
      <c r="Q14" s="189">
        <v>14209147.210000001</v>
      </c>
      <c r="R14" s="189">
        <v>7628798.7800000003</v>
      </c>
      <c r="S14" s="189">
        <v>4748238.66</v>
      </c>
      <c r="T14" s="189">
        <v>1408605.94</v>
      </c>
      <c r="U14" s="189">
        <v>13195868.57</v>
      </c>
      <c r="V14" s="189">
        <v>14486580.26</v>
      </c>
      <c r="W14" s="189">
        <v>7432491.9400000004</v>
      </c>
      <c r="X14" s="189">
        <v>3254442.84</v>
      </c>
      <c r="Y14" s="189">
        <v>10888538.789999999</v>
      </c>
      <c r="Z14" s="189">
        <v>5399416.2800000003</v>
      </c>
      <c r="AA14" s="189">
        <v>3687447.12</v>
      </c>
      <c r="AB14" s="189">
        <v>7439123.0999999996</v>
      </c>
      <c r="AC14" s="189">
        <v>20155696.079999998</v>
      </c>
      <c r="AD14" s="189">
        <v>11658099.15</v>
      </c>
      <c r="AE14" s="189">
        <v>8532952.8900000006</v>
      </c>
      <c r="AF14" s="189">
        <v>4290049.45</v>
      </c>
      <c r="AG14" s="189">
        <v>20436073.18</v>
      </c>
      <c r="AH14" s="189">
        <v>12259198.810000001</v>
      </c>
      <c r="AI14" s="189">
        <v>11214489.91</v>
      </c>
      <c r="AJ14" s="189">
        <v>3387664.18</v>
      </c>
      <c r="AK14" s="189">
        <v>32614370.879999999</v>
      </c>
      <c r="AL14" s="189">
        <v>19356899.98</v>
      </c>
      <c r="AM14" s="189">
        <v>7246470.3399999999</v>
      </c>
      <c r="AN14" s="189">
        <v>2649092.7599999998</v>
      </c>
      <c r="AO14" s="189">
        <v>24118053.140000001</v>
      </c>
      <c r="AP14" s="189">
        <v>17088878.16</v>
      </c>
      <c r="AQ14" s="189">
        <v>12086035.310000001</v>
      </c>
      <c r="AR14" s="189">
        <v>5720311.4800000004</v>
      </c>
      <c r="AS14" s="189">
        <v>33848137.509999998</v>
      </c>
      <c r="AT14" s="189">
        <v>13080049.59</v>
      </c>
      <c r="AU14" s="189">
        <v>8509781.6799999997</v>
      </c>
      <c r="AV14" s="189">
        <v>5125123.82</v>
      </c>
      <c r="AW14" s="189">
        <v>20858856.379999999</v>
      </c>
      <c r="AX14" s="189">
        <v>13657459.1</v>
      </c>
      <c r="AY14" s="189">
        <v>9008328.3100000005</v>
      </c>
      <c r="AZ14" s="189">
        <v>4885916.18</v>
      </c>
      <c r="BA14" s="189">
        <v>17116290.98</v>
      </c>
      <c r="BB14" s="189">
        <v>9779757.2699999996</v>
      </c>
      <c r="BC14" s="189">
        <v>6457339.6500000004</v>
      </c>
      <c r="BD14" s="189">
        <v>3402849.4</v>
      </c>
      <c r="BE14" s="189">
        <v>15137864.66</v>
      </c>
      <c r="BF14" s="189">
        <v>11513524.15</v>
      </c>
      <c r="BG14" s="189">
        <v>9963923.1600000001</v>
      </c>
      <c r="BH14" s="189">
        <v>7897218.3399999999</v>
      </c>
      <c r="BI14" s="189">
        <v>19130930.899999999</v>
      </c>
      <c r="BJ14" s="189">
        <v>18733882.260000002</v>
      </c>
      <c r="BK14" s="189">
        <v>15730263.359999999</v>
      </c>
      <c r="BL14" s="189">
        <v>3140410.64</v>
      </c>
      <c r="BM14" s="189">
        <v>37351794.340000004</v>
      </c>
      <c r="BN14" s="189">
        <v>8231152.54</v>
      </c>
      <c r="BO14" s="189">
        <v>5311702.17</v>
      </c>
      <c r="BP14" s="189">
        <v>2926065.1</v>
      </c>
      <c r="BQ14" s="189">
        <v>8112096.8099999996</v>
      </c>
      <c r="BR14" s="189">
        <v>2365626.84</v>
      </c>
      <c r="BS14" s="189">
        <v>10319649.119999999</v>
      </c>
      <c r="BT14" s="189">
        <v>5041034.0599999996</v>
      </c>
      <c r="BU14" s="189">
        <v>8997463.0999999996</v>
      </c>
      <c r="BV14" s="189">
        <v>3861132.6</v>
      </c>
      <c r="BW14" s="189">
        <v>5437001.0099999998</v>
      </c>
      <c r="BX14" s="189">
        <v>2498876.46</v>
      </c>
      <c r="BY14" s="189">
        <v>5614032.1500000004</v>
      </c>
      <c r="BZ14" s="189">
        <v>0</v>
      </c>
      <c r="CA14" s="189">
        <v>3694804.75</v>
      </c>
      <c r="CB14" s="189">
        <v>0</v>
      </c>
      <c r="CC14" s="189">
        <v>4987480.99</v>
      </c>
      <c r="CD14" s="189">
        <v>0</v>
      </c>
      <c r="CE14" s="189">
        <v>0</v>
      </c>
      <c r="CF14" s="189">
        <v>0</v>
      </c>
      <c r="CG14" s="189"/>
      <c r="CH14" s="189"/>
      <c r="CI14" s="189"/>
      <c r="CJ14" s="189"/>
      <c r="CK14" s="189"/>
    </row>
    <row r="15" spans="1:89" s="2" customFormat="1" x14ac:dyDescent="0.25">
      <c r="A15" s="20" t="s">
        <v>398</v>
      </c>
      <c r="B15" s="28">
        <f>B6-(B8+B9+B10+B11+B12)+B13-B14</f>
        <v>1760031966.630002</v>
      </c>
      <c r="C15" s="28">
        <f t="shared" ref="C15:BN15" si="7">C6-(C8+C9+C10+C11+C12)+C13-C14</f>
        <v>902084565.16999888</v>
      </c>
      <c r="D15" s="28">
        <f t="shared" si="7"/>
        <v>566884742.78000033</v>
      </c>
      <c r="E15" s="28">
        <f t="shared" si="7"/>
        <v>1604652313.0400012</v>
      </c>
      <c r="F15" s="28">
        <f t="shared" si="7"/>
        <v>1254326807.5699987</v>
      </c>
      <c r="G15" s="28">
        <f t="shared" si="7"/>
        <v>755091570.93999922</v>
      </c>
      <c r="H15" s="28">
        <f t="shared" si="7"/>
        <v>396412462.02999961</v>
      </c>
      <c r="I15" s="28">
        <f t="shared" si="7"/>
        <v>1217273494.7299998</v>
      </c>
      <c r="J15" s="28">
        <f t="shared" si="7"/>
        <v>1039849195.03</v>
      </c>
      <c r="K15" s="28">
        <f t="shared" si="7"/>
        <v>661510723.93999994</v>
      </c>
      <c r="L15" s="28">
        <f t="shared" si="7"/>
        <v>369142804.94999969</v>
      </c>
      <c r="M15" s="28">
        <f t="shared" si="7"/>
        <v>909038496.17000008</v>
      </c>
      <c r="N15" s="28">
        <f t="shared" si="7"/>
        <v>753300542.51999962</v>
      </c>
      <c r="O15" s="28">
        <f t="shared" si="7"/>
        <v>494648527.12000078</v>
      </c>
      <c r="P15" s="28">
        <f t="shared" si="7"/>
        <v>283601652.53999984</v>
      </c>
      <c r="Q15" s="28">
        <f t="shared" si="7"/>
        <v>753105610.73000097</v>
      </c>
      <c r="R15" s="28">
        <f t="shared" si="7"/>
        <v>570908876.42000043</v>
      </c>
      <c r="S15" s="28">
        <f t="shared" si="7"/>
        <v>364052210.28000033</v>
      </c>
      <c r="T15" s="28">
        <f t="shared" si="7"/>
        <v>205527895.87999997</v>
      </c>
      <c r="U15" s="28">
        <f t="shared" si="7"/>
        <v>440040885.01000124</v>
      </c>
      <c r="V15" s="28">
        <f t="shared" si="7"/>
        <v>364428008.75999963</v>
      </c>
      <c r="W15" s="28">
        <f t="shared" si="7"/>
        <v>249889572.45999995</v>
      </c>
      <c r="X15" s="28">
        <f t="shared" si="7"/>
        <v>130187430.33999985</v>
      </c>
      <c r="Y15" s="28">
        <f t="shared" si="7"/>
        <v>386920800.58000088</v>
      </c>
      <c r="Z15" s="28">
        <f t="shared" si="7"/>
        <v>321706323.31000054</v>
      </c>
      <c r="AA15" s="28">
        <f t="shared" si="7"/>
        <v>236860815.90999985</v>
      </c>
      <c r="AB15" s="28">
        <f t="shared" si="7"/>
        <v>136468258.96000001</v>
      </c>
      <c r="AC15" s="28">
        <f t="shared" si="7"/>
        <v>591564029.21000111</v>
      </c>
      <c r="AD15" s="28">
        <f t="shared" si="7"/>
        <v>542717796.91999924</v>
      </c>
      <c r="AE15" s="28">
        <f t="shared" si="7"/>
        <v>377550990.17999941</v>
      </c>
      <c r="AF15" s="28">
        <f t="shared" si="7"/>
        <v>166782592.06999978</v>
      </c>
      <c r="AG15" s="28">
        <f t="shared" si="7"/>
        <v>736230157.62999916</v>
      </c>
      <c r="AH15" s="28">
        <f t="shared" si="7"/>
        <v>359504708.59999967</v>
      </c>
      <c r="AI15" s="28">
        <f t="shared" si="7"/>
        <v>228910612.35999987</v>
      </c>
      <c r="AJ15" s="28">
        <f t="shared" si="7"/>
        <v>97465717.360000208</v>
      </c>
      <c r="AK15" s="28">
        <f t="shared" si="7"/>
        <v>284539056.74000007</v>
      </c>
      <c r="AL15" s="28">
        <f t="shared" si="7"/>
        <v>166711018.59000006</v>
      </c>
      <c r="AM15" s="28">
        <f t="shared" si="7"/>
        <v>96747415.129999951</v>
      </c>
      <c r="AN15" s="28">
        <f t="shared" si="7"/>
        <v>33652051.729999982</v>
      </c>
      <c r="AO15" s="28">
        <f t="shared" si="7"/>
        <v>-7849321.7600003816</v>
      </c>
      <c r="AP15" s="28">
        <f t="shared" si="7"/>
        <v>144157869.51000017</v>
      </c>
      <c r="AQ15" s="28">
        <f t="shared" si="7"/>
        <v>87565525.299999863</v>
      </c>
      <c r="AR15" s="28">
        <f t="shared" si="7"/>
        <v>39288328.800000176</v>
      </c>
      <c r="AS15" s="28">
        <f t="shared" si="7"/>
        <v>183951886.73000023</v>
      </c>
      <c r="AT15" s="28">
        <f t="shared" si="7"/>
        <v>64261804.569999829</v>
      </c>
      <c r="AU15" s="28">
        <f t="shared" si="7"/>
        <v>47112055.039999954</v>
      </c>
      <c r="AV15" s="28">
        <f t="shared" si="7"/>
        <v>14984455.380000021</v>
      </c>
      <c r="AW15" s="28">
        <f t="shared" si="7"/>
        <v>481808.66000005975</v>
      </c>
      <c r="AX15" s="28">
        <f t="shared" si="7"/>
        <v>199815.82000031881</v>
      </c>
      <c r="AY15" s="28">
        <f t="shared" si="7"/>
        <v>16505241.780000234</v>
      </c>
      <c r="AZ15" s="28">
        <f t="shared" si="7"/>
        <v>15936151.889999978</v>
      </c>
      <c r="BA15" s="28">
        <f t="shared" si="7"/>
        <v>12711292.36999977</v>
      </c>
      <c r="BB15" s="28">
        <f t="shared" si="7"/>
        <v>-5238383.0900000446</v>
      </c>
      <c r="BC15" s="28">
        <f t="shared" si="7"/>
        <v>3032371.3500000685</v>
      </c>
      <c r="BD15" s="28">
        <f t="shared" si="7"/>
        <v>6240145.459999999</v>
      </c>
      <c r="BE15" s="28">
        <f t="shared" si="7"/>
        <v>-13894774.40000011</v>
      </c>
      <c r="BF15" s="28">
        <f t="shared" si="7"/>
        <v>29120637.849999875</v>
      </c>
      <c r="BG15" s="28">
        <f t="shared" si="7"/>
        <v>15992400.219999988</v>
      </c>
      <c r="BH15" s="28">
        <f t="shared" si="7"/>
        <v>4220095.4899999686</v>
      </c>
      <c r="BI15" s="28">
        <f t="shared" si="7"/>
        <v>11812054.950000331</v>
      </c>
      <c r="BJ15" s="28">
        <f t="shared" si="7"/>
        <v>-23409668.360000037</v>
      </c>
      <c r="BK15" s="28">
        <f t="shared" si="7"/>
        <v>-31752440.610000059</v>
      </c>
      <c r="BL15" s="28">
        <f t="shared" si="7"/>
        <v>10268951.96999998</v>
      </c>
      <c r="BM15" s="28">
        <f t="shared" si="7"/>
        <v>-641505884.25000024</v>
      </c>
      <c r="BN15" s="28">
        <f t="shared" si="7"/>
        <v>44960600.729999833</v>
      </c>
      <c r="BO15" s="28">
        <f t="shared" ref="BO15:CJ15" si="8">BO6-(BO8+BO9+BO10+BO11+BO12)+BO13-BO14</f>
        <v>60385885.919999957</v>
      </c>
      <c r="BP15" s="28">
        <f t="shared" si="8"/>
        <v>33148612.170000017</v>
      </c>
      <c r="BQ15" s="28">
        <f t="shared" si="8"/>
        <v>-68225644.999999955</v>
      </c>
      <c r="BR15" s="28">
        <f t="shared" si="8"/>
        <v>94988238.999999911</v>
      </c>
      <c r="BS15" s="28">
        <f t="shared" si="8"/>
        <v>224578786.49999994</v>
      </c>
      <c r="BT15" s="28">
        <f t="shared" si="8"/>
        <v>144916380.61999992</v>
      </c>
      <c r="BU15" s="28">
        <f t="shared" si="8"/>
        <v>301172041.89000028</v>
      </c>
      <c r="BV15" s="28">
        <f t="shared" si="8"/>
        <v>181105328.94000006</v>
      </c>
      <c r="BW15" s="28">
        <f t="shared" si="8"/>
        <v>305700305.35000002</v>
      </c>
      <c r="BX15" s="28">
        <f t="shared" si="8"/>
        <v>174607565.33999997</v>
      </c>
      <c r="BY15" s="28">
        <f t="shared" si="8"/>
        <v>332264257.75000012</v>
      </c>
      <c r="BZ15" s="28">
        <f t="shared" si="8"/>
        <v>882693130</v>
      </c>
      <c r="CA15" s="28">
        <f t="shared" si="8"/>
        <v>228810928.5200001</v>
      </c>
      <c r="CB15" s="28">
        <f t="shared" si="8"/>
        <v>661118000</v>
      </c>
      <c r="CC15" s="28">
        <f t="shared" si="8"/>
        <v>183379555.42000005</v>
      </c>
      <c r="CD15" s="28">
        <f t="shared" si="8"/>
        <v>764095148.28999996</v>
      </c>
      <c r="CE15" s="28">
        <f t="shared" si="8"/>
        <v>484685682.33999997</v>
      </c>
      <c r="CF15" s="28">
        <f t="shared" si="8"/>
        <v>0</v>
      </c>
      <c r="CG15" s="28">
        <f t="shared" si="8"/>
        <v>0</v>
      </c>
      <c r="CH15" s="28">
        <f t="shared" si="8"/>
        <v>0</v>
      </c>
      <c r="CI15" s="28">
        <f t="shared" si="8"/>
        <v>0</v>
      </c>
      <c r="CJ15" s="28">
        <f t="shared" si="8"/>
        <v>0</v>
      </c>
    </row>
    <row r="16" spans="1:89" s="23" customFormat="1" x14ac:dyDescent="0.25">
      <c r="A16" s="17" t="s">
        <v>396</v>
      </c>
      <c r="B16" s="26">
        <f>B15*B41</f>
        <v>233085021.49889174</v>
      </c>
      <c r="C16" s="26">
        <f t="shared" ref="C16:BN16" si="9">C15*C41</f>
        <v>171190651.57843375</v>
      </c>
      <c r="D16" s="26">
        <f t="shared" si="9"/>
        <v>104738700.75722213</v>
      </c>
      <c r="E16" s="26">
        <f t="shared" si="9"/>
        <v>302121104.40452015</v>
      </c>
      <c r="F16" s="26">
        <f t="shared" si="9"/>
        <v>197512853.99796736</v>
      </c>
      <c r="G16" s="26">
        <f t="shared" si="9"/>
        <v>120005532.38823773</v>
      </c>
      <c r="H16" s="26">
        <f t="shared" si="9"/>
        <v>65035168.866038732</v>
      </c>
      <c r="I16" s="26">
        <f t="shared" si="9"/>
        <v>176021335.37287977</v>
      </c>
      <c r="J16" s="26">
        <f t="shared" si="9"/>
        <v>159451362.1635367</v>
      </c>
      <c r="K16" s="26">
        <f t="shared" si="9"/>
        <v>101644983.42336161</v>
      </c>
      <c r="L16" s="26">
        <f t="shared" si="9"/>
        <v>55474459.069778129</v>
      </c>
      <c r="M16" s="26">
        <f t="shared" si="9"/>
        <v>119593195.61111139</v>
      </c>
      <c r="N16" s="26">
        <f t="shared" si="9"/>
        <v>108046630.71180338</v>
      </c>
      <c r="O16" s="26">
        <f t="shared" si="9"/>
        <v>67606462.883337781</v>
      </c>
      <c r="P16" s="26">
        <f t="shared" si="9"/>
        <v>42803718.997871734</v>
      </c>
      <c r="Q16" s="26">
        <f t="shared" si="9"/>
        <v>115653543.33050668</v>
      </c>
      <c r="R16" s="26">
        <f t="shared" si="9"/>
        <v>90245697.851632953</v>
      </c>
      <c r="S16" s="26">
        <f t="shared" si="9"/>
        <v>57997278.280963726</v>
      </c>
      <c r="T16" s="26">
        <f t="shared" si="9"/>
        <v>29586009.429788131</v>
      </c>
      <c r="U16" s="26">
        <f t="shared" si="9"/>
        <v>63653719.743093155</v>
      </c>
      <c r="V16" s="26">
        <f t="shared" si="9"/>
        <v>55671249.255952261</v>
      </c>
      <c r="W16" s="26">
        <f t="shared" si="9"/>
        <v>38597470.162542336</v>
      </c>
      <c r="X16" s="26">
        <f t="shared" si="9"/>
        <v>19715820.495202027</v>
      </c>
      <c r="Y16" s="26">
        <f t="shared" si="9"/>
        <v>59611374.555571556</v>
      </c>
      <c r="Z16" s="26">
        <f t="shared" si="9"/>
        <v>43258979.323605187</v>
      </c>
      <c r="AA16" s="26">
        <f t="shared" si="9"/>
        <v>30047987.952331185</v>
      </c>
      <c r="AB16" s="26">
        <f t="shared" si="9"/>
        <v>21155677.901324011</v>
      </c>
      <c r="AC16" s="26">
        <f t="shared" si="9"/>
        <v>123050979.31810352</v>
      </c>
      <c r="AD16" s="26">
        <f t="shared" si="9"/>
        <v>102294629.17329554</v>
      </c>
      <c r="AE16" s="26">
        <f t="shared" si="9"/>
        <v>76448777.772934988</v>
      </c>
      <c r="AF16" s="26">
        <f t="shared" si="9"/>
        <v>27798650.052089956</v>
      </c>
      <c r="AG16" s="26">
        <f t="shared" si="9"/>
        <v>119011059.52997524</v>
      </c>
      <c r="AH16" s="26">
        <f t="shared" si="9"/>
        <v>57258387.6310215</v>
      </c>
      <c r="AI16" s="26">
        <f t="shared" si="9"/>
        <v>38394435.696101174</v>
      </c>
      <c r="AJ16" s="26">
        <f t="shared" si="9"/>
        <v>14821923.293982452</v>
      </c>
      <c r="AK16" s="26">
        <f t="shared" si="9"/>
        <v>58973712.640682526</v>
      </c>
      <c r="AL16" s="26">
        <f t="shared" si="9"/>
        <v>24921428.989776585</v>
      </c>
      <c r="AM16" s="26">
        <f t="shared" si="9"/>
        <v>12089090.803556988</v>
      </c>
      <c r="AN16" s="26">
        <f t="shared" si="9"/>
        <v>6192484.3481572326</v>
      </c>
      <c r="AO16" s="26">
        <f t="shared" si="9"/>
        <v>-5863130.490437313</v>
      </c>
      <c r="AP16" s="26">
        <f t="shared" si="9"/>
        <v>38045543.46756576</v>
      </c>
      <c r="AQ16" s="26">
        <f t="shared" si="9"/>
        <v>24673819.704764225</v>
      </c>
      <c r="AR16" s="26">
        <f t="shared" si="9"/>
        <v>7276448.8521287888</v>
      </c>
      <c r="AS16" s="26">
        <f t="shared" si="9"/>
        <v>33992702.155017458</v>
      </c>
      <c r="AT16" s="26">
        <f t="shared" si="9"/>
        <v>5179312.0547044156</v>
      </c>
      <c r="AU16" s="26">
        <f t="shared" si="9"/>
        <v>6463226.6144104237</v>
      </c>
      <c r="AV16" s="26">
        <f t="shared" si="9"/>
        <v>3739402.9210190601</v>
      </c>
      <c r="AW16" s="26">
        <f t="shared" si="9"/>
        <v>-330528.40888917272</v>
      </c>
      <c r="AX16" s="26">
        <f t="shared" si="9"/>
        <v>-438121.51573716314</v>
      </c>
      <c r="AY16" s="26">
        <f t="shared" si="9"/>
        <v>11213452.405918937</v>
      </c>
      <c r="AZ16" s="26">
        <f t="shared" si="9"/>
        <v>1222743.6345562192</v>
      </c>
      <c r="BA16" s="26">
        <f t="shared" si="9"/>
        <v>-33747406.85427963</v>
      </c>
      <c r="BB16" s="26">
        <f t="shared" si="9"/>
        <v>727451.21429097117</v>
      </c>
      <c r="BC16" s="26">
        <f t="shared" si="9"/>
        <v>-2679595.6663462338</v>
      </c>
      <c r="BD16" s="26">
        <f t="shared" si="9"/>
        <v>1705661.4458656181</v>
      </c>
      <c r="BE16" s="26">
        <f t="shared" si="9"/>
        <v>-13588413.964323808</v>
      </c>
      <c r="BF16" s="26">
        <f t="shared" si="9"/>
        <v>11186500.687694127</v>
      </c>
      <c r="BG16" s="26">
        <f t="shared" si="9"/>
        <v>4536422.2891369415</v>
      </c>
      <c r="BH16" s="26">
        <f t="shared" si="9"/>
        <v>2394768.2244294025</v>
      </c>
      <c r="BI16" s="26">
        <f t="shared" si="9"/>
        <v>3114852.1548807919</v>
      </c>
      <c r="BJ16" s="26">
        <f t="shared" si="9"/>
        <v>-89615829.449564189</v>
      </c>
      <c r="BK16" s="26">
        <f t="shared" si="9"/>
        <v>13923159.442529555</v>
      </c>
      <c r="BL16" s="26">
        <f t="shared" si="9"/>
        <v>6815488.0301032681</v>
      </c>
      <c r="BM16" s="26">
        <f t="shared" si="9"/>
        <v>8497817.756757848</v>
      </c>
      <c r="BN16" s="26">
        <f t="shared" si="9"/>
        <v>28319611.200959742</v>
      </c>
      <c r="BO16" s="26">
        <f t="shared" ref="BO16:CK16" si="10">BO15*BO41</f>
        <v>18072574.477646712</v>
      </c>
      <c r="BP16" s="26">
        <f t="shared" si="10"/>
        <v>11771459.637275049</v>
      </c>
      <c r="BQ16" s="26">
        <f t="shared" si="10"/>
        <v>67560825.029105827</v>
      </c>
      <c r="BR16" s="26">
        <f t="shared" si="10"/>
        <v>17662692.236265223</v>
      </c>
      <c r="BS16" s="26">
        <f t="shared" si="10"/>
        <v>42804197.856075771</v>
      </c>
      <c r="BT16" s="26">
        <f t="shared" si="10"/>
        <v>25801195.49648967</v>
      </c>
      <c r="BU16" s="26">
        <f t="shared" si="10"/>
        <v>80810030.999923378</v>
      </c>
      <c r="BV16" s="26">
        <f t="shared" si="10"/>
        <v>39411037.356912762</v>
      </c>
      <c r="BW16" s="26">
        <f t="shared" si="10"/>
        <v>71674038.349056318</v>
      </c>
      <c r="BX16" s="26">
        <f t="shared" si="10"/>
        <v>33686545.263175972</v>
      </c>
      <c r="BY16" s="26">
        <f t="shared" si="10"/>
        <v>61270778.20970498</v>
      </c>
      <c r="BZ16" s="26">
        <f t="shared" si="10"/>
        <v>19941789.971478216</v>
      </c>
      <c r="CA16" s="26">
        <f t="shared" si="10"/>
        <v>39181481.969224647</v>
      </c>
      <c r="CB16" s="26">
        <f t="shared" si="10"/>
        <v>16944447.567030184</v>
      </c>
      <c r="CC16" s="26">
        <f t="shared" si="10"/>
        <v>27089181.692012034</v>
      </c>
      <c r="CD16" s="26">
        <f t="shared" si="10"/>
        <v>0</v>
      </c>
      <c r="CE16" s="26">
        <f t="shared" si="10"/>
        <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1526946945.1311102</v>
      </c>
      <c r="C17" s="27">
        <f t="shared" ref="C17:BN17" si="11">C15-C16</f>
        <v>730893913.59156513</v>
      </c>
      <c r="D17" s="27">
        <f t="shared" si="11"/>
        <v>462146042.02277821</v>
      </c>
      <c r="E17" s="27">
        <f t="shared" si="11"/>
        <v>1302531208.6354809</v>
      </c>
      <c r="F17" s="27">
        <f t="shared" si="11"/>
        <v>1056813953.5720314</v>
      </c>
      <c r="G17" s="27">
        <f t="shared" si="11"/>
        <v>635086038.55176151</v>
      </c>
      <c r="H17" s="27">
        <f t="shared" si="11"/>
        <v>331377293.16396087</v>
      </c>
      <c r="I17" s="27">
        <f t="shared" si="11"/>
        <v>1041252159.35712</v>
      </c>
      <c r="J17" s="27">
        <f t="shared" si="11"/>
        <v>880397832.8664633</v>
      </c>
      <c r="K17" s="27">
        <f t="shared" si="11"/>
        <v>559865740.51663828</v>
      </c>
      <c r="L17" s="27">
        <f t="shared" si="11"/>
        <v>313668345.88022155</v>
      </c>
      <c r="M17" s="27">
        <f t="shared" si="11"/>
        <v>789445300.55888867</v>
      </c>
      <c r="N17" s="27">
        <f t="shared" si="11"/>
        <v>645253911.80819631</v>
      </c>
      <c r="O17" s="27">
        <f t="shared" si="11"/>
        <v>427042064.23666298</v>
      </c>
      <c r="P17" s="27">
        <f t="shared" si="11"/>
        <v>240797933.54212812</v>
      </c>
      <c r="Q17" s="27">
        <f t="shared" si="11"/>
        <v>637452067.39949429</v>
      </c>
      <c r="R17" s="27">
        <f t="shared" si="11"/>
        <v>480663178.56836748</v>
      </c>
      <c r="S17" s="27">
        <f t="shared" si="11"/>
        <v>306054931.99903661</v>
      </c>
      <c r="T17" s="27">
        <f t="shared" si="11"/>
        <v>175941886.45021182</v>
      </c>
      <c r="U17" s="27">
        <f t="shared" si="11"/>
        <v>376387165.26690811</v>
      </c>
      <c r="V17" s="27">
        <f t="shared" si="11"/>
        <v>308756759.50404739</v>
      </c>
      <c r="W17" s="27">
        <f t="shared" si="11"/>
        <v>211292102.29745761</v>
      </c>
      <c r="X17" s="27">
        <f t="shared" si="11"/>
        <v>110471609.84479782</v>
      </c>
      <c r="Y17" s="27">
        <f t="shared" si="11"/>
        <v>327309426.02442932</v>
      </c>
      <c r="Z17" s="27">
        <f t="shared" si="11"/>
        <v>278447343.98639536</v>
      </c>
      <c r="AA17" s="27">
        <f t="shared" si="11"/>
        <v>206812827.95766866</v>
      </c>
      <c r="AB17" s="27">
        <f t="shared" si="11"/>
        <v>115312581.058676</v>
      </c>
      <c r="AC17" s="27">
        <f t="shared" si="11"/>
        <v>468513049.89189756</v>
      </c>
      <c r="AD17" s="27">
        <f t="shared" si="11"/>
        <v>440423167.74670368</v>
      </c>
      <c r="AE17" s="27">
        <f t="shared" si="11"/>
        <v>301102212.40706444</v>
      </c>
      <c r="AF17" s="27">
        <f t="shared" si="11"/>
        <v>138983942.01790982</v>
      </c>
      <c r="AG17" s="27">
        <f t="shared" si="11"/>
        <v>617219098.10002398</v>
      </c>
      <c r="AH17" s="27">
        <f t="shared" si="11"/>
        <v>302246320.96897817</v>
      </c>
      <c r="AI17" s="27">
        <f t="shared" si="11"/>
        <v>190516176.66389871</v>
      </c>
      <c r="AJ17" s="27">
        <f t="shared" si="11"/>
        <v>82643794.066017762</v>
      </c>
      <c r="AK17" s="27">
        <f t="shared" si="11"/>
        <v>225565344.09931755</v>
      </c>
      <c r="AL17" s="27">
        <f t="shared" si="11"/>
        <v>141789589.60022348</v>
      </c>
      <c r="AM17" s="27">
        <f t="shared" si="11"/>
        <v>84658324.326442957</v>
      </c>
      <c r="AN17" s="27">
        <f t="shared" si="11"/>
        <v>27459567.381842747</v>
      </c>
      <c r="AO17" s="27">
        <f t="shared" si="11"/>
        <v>-1986191.2695630686</v>
      </c>
      <c r="AP17" s="27">
        <f t="shared" si="11"/>
        <v>106112326.04243441</v>
      </c>
      <c r="AQ17" s="27">
        <f t="shared" si="11"/>
        <v>62891705.595235638</v>
      </c>
      <c r="AR17" s="27">
        <f t="shared" si="11"/>
        <v>32011879.947871387</v>
      </c>
      <c r="AS17" s="27">
        <f t="shared" si="11"/>
        <v>149959184.57498276</v>
      </c>
      <c r="AT17" s="27">
        <f t="shared" si="11"/>
        <v>59082492.515295416</v>
      </c>
      <c r="AU17" s="27">
        <f t="shared" si="11"/>
        <v>40648828.425589532</v>
      </c>
      <c r="AV17" s="27">
        <f t="shared" si="11"/>
        <v>11245052.458980961</v>
      </c>
      <c r="AW17" s="27">
        <f t="shared" si="11"/>
        <v>812337.06888923247</v>
      </c>
      <c r="AX17" s="27">
        <f t="shared" si="11"/>
        <v>637937.33573748195</v>
      </c>
      <c r="AY17" s="27">
        <f t="shared" si="11"/>
        <v>5291789.3740812968</v>
      </c>
      <c r="AZ17" s="27">
        <f t="shared" si="11"/>
        <v>14713408.255443759</v>
      </c>
      <c r="BA17" s="27">
        <f t="shared" si="11"/>
        <v>46458699.224279404</v>
      </c>
      <c r="BB17" s="27">
        <f t="shared" si="11"/>
        <v>-5965834.3042910155</v>
      </c>
      <c r="BC17" s="27">
        <f t="shared" si="11"/>
        <v>5711967.0163463019</v>
      </c>
      <c r="BD17" s="27">
        <f t="shared" si="11"/>
        <v>4534484.014134381</v>
      </c>
      <c r="BE17" s="27">
        <f t="shared" si="11"/>
        <v>-306360.43567630276</v>
      </c>
      <c r="BF17" s="27">
        <f t="shared" si="11"/>
        <v>17934137.16230575</v>
      </c>
      <c r="BG17" s="27">
        <f t="shared" si="11"/>
        <v>11455977.930863045</v>
      </c>
      <c r="BH17" s="27">
        <f t="shared" si="11"/>
        <v>1825327.2655705661</v>
      </c>
      <c r="BI17" s="27">
        <f t="shared" si="11"/>
        <v>8697202.7951195389</v>
      </c>
      <c r="BJ17" s="27">
        <f t="shared" si="11"/>
        <v>66206161.089564152</v>
      </c>
      <c r="BK17" s="27">
        <f t="shared" si="11"/>
        <v>-45675600.052529618</v>
      </c>
      <c r="BL17" s="27">
        <f t="shared" si="11"/>
        <v>3453463.9398967121</v>
      </c>
      <c r="BM17" s="27">
        <f t="shared" si="11"/>
        <v>-650003702.00675809</v>
      </c>
      <c r="BN17" s="27">
        <f t="shared" si="11"/>
        <v>16640989.529040091</v>
      </c>
      <c r="BO17" s="27">
        <f t="shared" ref="BO17:CJ17" si="12">BO15-BO16</f>
        <v>42313311.442353249</v>
      </c>
      <c r="BP17" s="27">
        <f t="shared" si="12"/>
        <v>21377152.532724969</v>
      </c>
      <c r="BQ17" s="27">
        <f t="shared" si="12"/>
        <v>-135786470.02910578</v>
      </c>
      <c r="BR17" s="27">
        <f t="shared" si="12"/>
        <v>77325546.763734683</v>
      </c>
      <c r="BS17" s="27">
        <f t="shared" si="12"/>
        <v>181774588.64392418</v>
      </c>
      <c r="BT17" s="27">
        <f t="shared" si="12"/>
        <v>119115185.12351024</v>
      </c>
      <c r="BU17" s="27">
        <f t="shared" si="12"/>
        <v>220362010.89007691</v>
      </c>
      <c r="BV17" s="27">
        <f t="shared" si="12"/>
        <v>141694291.5830873</v>
      </c>
      <c r="BW17" s="27">
        <f t="shared" si="12"/>
        <v>234026267.00094372</v>
      </c>
      <c r="BX17" s="27">
        <f t="shared" si="12"/>
        <v>140921020.07682401</v>
      </c>
      <c r="BY17" s="27">
        <f t="shared" si="12"/>
        <v>270993479.54029512</v>
      </c>
      <c r="BZ17" s="27">
        <f t="shared" si="12"/>
        <v>862751340.02852178</v>
      </c>
      <c r="CA17" s="27">
        <f t="shared" si="12"/>
        <v>189629446.55077547</v>
      </c>
      <c r="CB17" s="27">
        <f t="shared" si="12"/>
        <v>644173552.43296981</v>
      </c>
      <c r="CC17" s="27">
        <f t="shared" si="12"/>
        <v>156290373.727988</v>
      </c>
      <c r="CD17" s="27">
        <f t="shared" si="12"/>
        <v>764095148.28999996</v>
      </c>
      <c r="CE17" s="27">
        <f t="shared" si="12"/>
        <v>484685682.33999997</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8.767062843350736</v>
      </c>
      <c r="C18" s="57">
        <f t="shared" ref="C18:D18" si="13">C17/C4*100</f>
        <v>6.0620191980016758</v>
      </c>
      <c r="D18" s="57">
        <f t="shared" si="13"/>
        <v>6.7843518686107291</v>
      </c>
      <c r="E18" s="57">
        <f>E17/E4</f>
        <v>6.090949439909199E-2</v>
      </c>
      <c r="F18" s="57">
        <f t="shared" ref="F18:BQ18" si="14">F17/F4</f>
        <v>6.6145482731167271E-2</v>
      </c>
      <c r="G18" s="57">
        <f t="shared" si="14"/>
        <v>6.0094850636553843E-2</v>
      </c>
      <c r="H18" s="57">
        <f t="shared" si="14"/>
        <v>5.8234532832304675E-2</v>
      </c>
      <c r="I18" s="57">
        <f t="shared" si="14"/>
        <v>6.3743961393210397E-2</v>
      </c>
      <c r="J18" s="57">
        <f t="shared" si="14"/>
        <v>7.3027904884432185E-2</v>
      </c>
      <c r="K18" s="57">
        <f t="shared" si="14"/>
        <v>7.0116551242947384E-2</v>
      </c>
      <c r="L18" s="57">
        <f t="shared" si="14"/>
        <v>7.3982238308588341E-2</v>
      </c>
      <c r="M18" s="57">
        <f t="shared" si="14"/>
        <v>6.0117859319370796E-2</v>
      </c>
      <c r="N18" s="57">
        <f t="shared" si="14"/>
        <v>6.7130204460389337E-2</v>
      </c>
      <c r="O18" s="57">
        <f t="shared" si="14"/>
        <v>6.9985052815094942E-2</v>
      </c>
      <c r="P18" s="57">
        <f t="shared" si="14"/>
        <v>7.3102592765016475E-2</v>
      </c>
      <c r="Q18" s="57">
        <f t="shared" si="14"/>
        <v>5.9000300565233699E-2</v>
      </c>
      <c r="R18" s="57">
        <f t="shared" si="14"/>
        <v>6.1795280026404401E-2</v>
      </c>
      <c r="S18" s="57">
        <f t="shared" si="14"/>
        <v>6.1530241960229812E-2</v>
      </c>
      <c r="T18" s="57">
        <f t="shared" si="14"/>
        <v>6.8296177415525766E-2</v>
      </c>
      <c r="U18" s="57">
        <f t="shared" si="14"/>
        <v>4.3124319526070251E-2</v>
      </c>
      <c r="V18" s="57">
        <f t="shared" si="14"/>
        <v>4.8622233423959098E-2</v>
      </c>
      <c r="W18" s="57">
        <f t="shared" si="14"/>
        <v>5.2846484970490958E-2</v>
      </c>
      <c r="X18" s="57">
        <f t="shared" si="14"/>
        <v>4.6825043926430707E-2</v>
      </c>
      <c r="Y18" s="57">
        <f t="shared" si="14"/>
        <v>4.7437084194173897E-2</v>
      </c>
      <c r="Z18" s="57">
        <f t="shared" si="14"/>
        <v>6.0861233141911525E-2</v>
      </c>
      <c r="AA18" s="57">
        <f t="shared" si="14"/>
        <v>6.6685232649183732E-2</v>
      </c>
      <c r="AB18" s="57">
        <f t="shared" si="14"/>
        <v>7.0762785203394754E-2</v>
      </c>
      <c r="AC18" s="57">
        <f t="shared" si="14"/>
        <v>4.2686698075513452E-2</v>
      </c>
      <c r="AD18" s="57">
        <f t="shared" si="14"/>
        <v>4.7024760562860424E-2</v>
      </c>
      <c r="AE18" s="57">
        <f t="shared" si="14"/>
        <v>4.4624169277642844E-2</v>
      </c>
      <c r="AF18" s="57">
        <f t="shared" si="14"/>
        <v>3.6274793742284088E-2</v>
      </c>
      <c r="AG18" s="57">
        <f t="shared" si="14"/>
        <v>5.5097204794412477E-2</v>
      </c>
      <c r="AH18" s="57">
        <f t="shared" si="14"/>
        <v>5.4180334947473333E-2</v>
      </c>
      <c r="AI18" s="57">
        <f t="shared" si="14"/>
        <v>5.2424080224451129E-2</v>
      </c>
      <c r="AJ18" s="57">
        <f t="shared" si="14"/>
        <v>4.9722329278255192E-2</v>
      </c>
      <c r="AK18" s="57">
        <f t="shared" si="14"/>
        <v>5.15549122762732E-2</v>
      </c>
      <c r="AL18" s="57">
        <f t="shared" si="14"/>
        <v>4.8591810140736776E-2</v>
      </c>
      <c r="AM18" s="57">
        <f t="shared" si="14"/>
        <v>4.4498728269800822E-2</v>
      </c>
      <c r="AN18" s="57">
        <f t="shared" si="14"/>
        <v>2.8189508512491891E-2</v>
      </c>
      <c r="AO18" s="57">
        <f t="shared" si="14"/>
        <v>-4.6265946169137207E-4</v>
      </c>
      <c r="AP18" s="57">
        <f t="shared" si="14"/>
        <v>3.0986576939089176E-2</v>
      </c>
      <c r="AQ18" s="57">
        <f t="shared" si="14"/>
        <v>2.5940832281588035E-2</v>
      </c>
      <c r="AR18" s="57">
        <f t="shared" si="14"/>
        <v>2.8131048398004434E-2</v>
      </c>
      <c r="AS18" s="57">
        <f t="shared" si="14"/>
        <v>2.9987688642457662E-2</v>
      </c>
      <c r="AT18" s="57">
        <f t="shared" si="14"/>
        <v>1.4454786603184996E-2</v>
      </c>
      <c r="AU18" s="57">
        <f t="shared" si="14"/>
        <v>1.4321847813694541E-2</v>
      </c>
      <c r="AV18" s="57">
        <f t="shared" si="14"/>
        <v>7.7647017111971564E-3</v>
      </c>
      <c r="AW18" s="57">
        <f t="shared" si="14"/>
        <v>1.9085351905263732E-4</v>
      </c>
      <c r="AX18" s="57">
        <f t="shared" si="14"/>
        <v>1.9776612491858713E-4</v>
      </c>
      <c r="AY18" s="57">
        <f t="shared" si="14"/>
        <v>2.4536346508610514E-3</v>
      </c>
      <c r="AZ18" s="57">
        <f t="shared" si="14"/>
        <v>1.5073001517751162E-2</v>
      </c>
      <c r="BA18" s="57">
        <f t="shared" si="14"/>
        <v>1.4250393623523613E-2</v>
      </c>
      <c r="BB18" s="57">
        <f t="shared" si="14"/>
        <v>-2.729924897445583E-3</v>
      </c>
      <c r="BC18" s="57">
        <f t="shared" si="14"/>
        <v>4.090477892058607E-3</v>
      </c>
      <c r="BD18" s="57">
        <f t="shared" si="14"/>
        <v>6.2758820954446825E-3</v>
      </c>
      <c r="BE18" s="57">
        <f t="shared" si="14"/>
        <v>-1.2644198936713973E-4</v>
      </c>
      <c r="BF18" s="57">
        <f t="shared" si="14"/>
        <v>1.0995336535855707E-2</v>
      </c>
      <c r="BG18" s="57">
        <f t="shared" si="14"/>
        <v>1.0444764254769329E-2</v>
      </c>
      <c r="BH18" s="57">
        <f t="shared" si="14"/>
        <v>3.0748966022848129E-3</v>
      </c>
      <c r="BI18" s="57">
        <f t="shared" si="14"/>
        <v>2.9976706967034051E-3</v>
      </c>
      <c r="BJ18" s="57">
        <f t="shared" si="14"/>
        <v>3.3525557840793432E-2</v>
      </c>
      <c r="BK18" s="57">
        <f t="shared" si="14"/>
        <v>-3.310669162813247E-2</v>
      </c>
      <c r="BL18" s="57">
        <f t="shared" si="14"/>
        <v>4.0917592526109802E-3</v>
      </c>
      <c r="BM18" s="57">
        <f t="shared" si="14"/>
        <v>-0.22095429979936146</v>
      </c>
      <c r="BN18" s="57">
        <f t="shared" si="14"/>
        <v>6.8953350826072932E-3</v>
      </c>
      <c r="BO18" s="57">
        <f t="shared" si="14"/>
        <v>2.7241784754590038E-2</v>
      </c>
      <c r="BP18" s="57">
        <f t="shared" si="14"/>
        <v>3.0323157273960694E-2</v>
      </c>
      <c r="BQ18" s="57">
        <f t="shared" si="14"/>
        <v>-6.9509591190243247E-2</v>
      </c>
      <c r="BR18" s="57">
        <f t="shared" ref="BR18:CK18" si="15">BR17/BR4</f>
        <v>6.8451879903836235E-2</v>
      </c>
      <c r="BS18" s="57">
        <f t="shared" si="15"/>
        <v>6.6709613862380723E-2</v>
      </c>
      <c r="BT18" s="57">
        <f t="shared" si="15"/>
        <v>8.0837325676420463E-2</v>
      </c>
      <c r="BU18" s="57">
        <f t="shared" si="15"/>
        <v>8.2854235143264551E-2</v>
      </c>
      <c r="BV18" s="57">
        <f t="shared" si="15"/>
        <v>0.100414726878403</v>
      </c>
      <c r="BW18" s="57">
        <f t="shared" si="15"/>
        <v>0.10798724464799354</v>
      </c>
      <c r="BX18" s="57">
        <f t="shared" si="15"/>
        <v>0.14029637443926873</v>
      </c>
      <c r="BY18" s="57">
        <f t="shared" si="15"/>
        <v>0.14733060824214494</v>
      </c>
      <c r="BZ18" s="57">
        <f t="shared" si="15"/>
        <v>0.9774080149785711</v>
      </c>
      <c r="CA18" s="57">
        <f t="shared" si="15"/>
        <v>0.14013840385413606</v>
      </c>
      <c r="CB18" s="57">
        <f t="shared" si="15"/>
        <v>0.97437001024472158</v>
      </c>
      <c r="CC18" s="57">
        <f t="shared" si="15"/>
        <v>0.15547300190189658</v>
      </c>
      <c r="CD18" s="57">
        <f t="shared" si="15"/>
        <v>1</v>
      </c>
      <c r="CE18" s="57">
        <f t="shared" si="15"/>
        <v>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0</v>
      </c>
      <c r="C20" s="189">
        <v>0</v>
      </c>
      <c r="D20" s="189">
        <v>0</v>
      </c>
      <c r="E20" s="189">
        <v>0</v>
      </c>
      <c r="F20" s="189">
        <v>0</v>
      </c>
      <c r="G20" s="189">
        <v>0</v>
      </c>
      <c r="H20" s="189">
        <v>0</v>
      </c>
      <c r="I20" s="189">
        <v>0</v>
      </c>
      <c r="J20" s="189">
        <v>0</v>
      </c>
      <c r="K20" s="189">
        <v>0</v>
      </c>
      <c r="L20" s="189">
        <v>0</v>
      </c>
      <c r="M20" s="189">
        <v>-263002.03999999998</v>
      </c>
      <c r="N20" s="189">
        <v>0</v>
      </c>
      <c r="O20" s="189">
        <v>0</v>
      </c>
      <c r="P20" s="189">
        <v>0</v>
      </c>
      <c r="Q20" s="189">
        <v>-319108.43</v>
      </c>
      <c r="R20" s="189">
        <v>0</v>
      </c>
      <c r="S20" s="189">
        <v>0</v>
      </c>
      <c r="T20" s="189">
        <v>0</v>
      </c>
      <c r="U20" s="189">
        <v>-116701.92</v>
      </c>
      <c r="V20" s="189">
        <v>0</v>
      </c>
      <c r="W20" s="189">
        <v>0</v>
      </c>
      <c r="X20" s="189">
        <v>0</v>
      </c>
      <c r="Y20" s="189">
        <v>-143000.95000000001</v>
      </c>
      <c r="Z20" s="189">
        <v>0</v>
      </c>
      <c r="AA20" s="189">
        <v>0</v>
      </c>
      <c r="AB20" s="189">
        <v>0</v>
      </c>
      <c r="AC20" s="189">
        <v>0</v>
      </c>
      <c r="AD20" s="189">
        <v>24693027.379999999</v>
      </c>
      <c r="AE20" s="189">
        <v>-1078070.6299999999</v>
      </c>
      <c r="AF20" s="189">
        <v>-319761.06</v>
      </c>
      <c r="AG20" s="189">
        <v>0</v>
      </c>
      <c r="AH20" s="189">
        <v>0</v>
      </c>
      <c r="AI20" s="189">
        <v>0</v>
      </c>
      <c r="AJ20" s="189">
        <v>0</v>
      </c>
      <c r="AK20" s="189">
        <v>12248086.380000001</v>
      </c>
      <c r="AL20" s="189">
        <v>0</v>
      </c>
      <c r="AM20" s="189">
        <v>0</v>
      </c>
      <c r="AN20" s="189">
        <v>0</v>
      </c>
      <c r="AO20" s="189">
        <v>0</v>
      </c>
      <c r="AP20" s="189">
        <v>48596734.090000004</v>
      </c>
      <c r="AQ20" s="189">
        <v>40159135.950000003</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-12093350.68</v>
      </c>
      <c r="C22" s="189">
        <v>-10070851.5</v>
      </c>
      <c r="D22" s="189">
        <v>342817.9</v>
      </c>
      <c r="E22" s="189">
        <v>5270238.03</v>
      </c>
      <c r="F22" s="189">
        <v>7279041.3300000001</v>
      </c>
      <c r="G22" s="189">
        <v>4917873.13</v>
      </c>
      <c r="H22" s="189">
        <v>0</v>
      </c>
      <c r="I22" s="189">
        <v>0</v>
      </c>
      <c r="J22" s="189">
        <v>0</v>
      </c>
      <c r="K22" s="189">
        <v>0</v>
      </c>
      <c r="L22" s="189">
        <v>0</v>
      </c>
      <c r="M22" s="189">
        <v>0</v>
      </c>
      <c r="N22" s="189">
        <v>-248907.75</v>
      </c>
      <c r="O22" s="189">
        <v>-248907.75</v>
      </c>
      <c r="P22" s="189">
        <v>-28329.51</v>
      </c>
      <c r="Q22" s="189">
        <v>-14767832.25</v>
      </c>
      <c r="R22" s="189">
        <v>-13390840</v>
      </c>
      <c r="S22" s="189">
        <v>-13529790</v>
      </c>
      <c r="T22" s="189">
        <v>-11925800</v>
      </c>
      <c r="U22" s="189">
        <v>13792150</v>
      </c>
      <c r="V22" s="189">
        <v>13951660</v>
      </c>
      <c r="W22" s="189">
        <v>10584660</v>
      </c>
      <c r="X22" s="189">
        <v>3919510</v>
      </c>
      <c r="Y22" s="189">
        <v>-3067710</v>
      </c>
      <c r="Z22" s="189">
        <v>-4011100</v>
      </c>
      <c r="AA22" s="189">
        <v>-4292300</v>
      </c>
      <c r="AB22" s="189">
        <v>-2873250</v>
      </c>
      <c r="AC22" s="189">
        <v>-3486333.32</v>
      </c>
      <c r="AD22" s="189">
        <v>8777385.9000000004</v>
      </c>
      <c r="AE22" s="189">
        <v>11689065.84</v>
      </c>
      <c r="AF22" s="189">
        <v>12226997.48</v>
      </c>
      <c r="AG22" s="189">
        <v>7778633.3200000003</v>
      </c>
      <c r="AH22" s="189">
        <v>0</v>
      </c>
      <c r="AI22" s="189">
        <v>0</v>
      </c>
      <c r="AJ22" s="189">
        <v>0</v>
      </c>
      <c r="AK22" s="189">
        <v>0</v>
      </c>
      <c r="AL22" s="189">
        <v>0</v>
      </c>
      <c r="AM22" s="189">
        <v>0</v>
      </c>
      <c r="AN22" s="189">
        <v>0</v>
      </c>
      <c r="AO22" s="189">
        <v>0</v>
      </c>
      <c r="AP22" s="189">
        <v>0</v>
      </c>
      <c r="AQ22" s="189">
        <v>0</v>
      </c>
      <c r="AR22" s="189">
        <v>0</v>
      </c>
      <c r="AS22" s="189">
        <v>0</v>
      </c>
      <c r="AT22" s="189">
        <v>8134949.6799999997</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113990451.59999999</v>
      </c>
      <c r="C24" s="26">
        <f t="shared" ref="C24:BN24" si="18">C67</f>
        <v>76902741.540000007</v>
      </c>
      <c r="D24" s="26">
        <f t="shared" si="18"/>
        <v>39113264.509999998</v>
      </c>
      <c r="E24" s="26">
        <f>E67</f>
        <v>320623463.23000002</v>
      </c>
      <c r="F24" s="26">
        <f t="shared" si="18"/>
        <v>238589870.72999999</v>
      </c>
      <c r="G24" s="26">
        <f t="shared" si="18"/>
        <v>181665882.11000001</v>
      </c>
      <c r="H24" s="26">
        <f t="shared" si="18"/>
        <v>103187613.01000001</v>
      </c>
      <c r="I24" s="26">
        <f t="shared" si="18"/>
        <v>200239260.71000001</v>
      </c>
      <c r="J24" s="26">
        <f t="shared" si="18"/>
        <v>130758204.67</v>
      </c>
      <c r="K24" s="26">
        <f t="shared" si="18"/>
        <v>67315479.040000007</v>
      </c>
      <c r="L24" s="26">
        <f t="shared" si="18"/>
        <v>27283315.309999999</v>
      </c>
      <c r="M24" s="26">
        <f t="shared" si="18"/>
        <v>202012612.88</v>
      </c>
      <c r="N24" s="26">
        <f t="shared" si="18"/>
        <v>97684604.609999999</v>
      </c>
      <c r="O24" s="26">
        <f t="shared" si="18"/>
        <v>71820527.819999993</v>
      </c>
      <c r="P24" s="26">
        <f t="shared" si="18"/>
        <v>30964125.82</v>
      </c>
      <c r="Q24" s="26">
        <f t="shared" si="18"/>
        <v>178284197.69</v>
      </c>
      <c r="R24" s="26">
        <f t="shared" si="18"/>
        <v>90760162.129999995</v>
      </c>
      <c r="S24" s="26">
        <f t="shared" si="18"/>
        <v>56378070.460000001</v>
      </c>
      <c r="T24" s="26">
        <f t="shared" si="18"/>
        <v>22987140.989999998</v>
      </c>
      <c r="U24" s="26">
        <f t="shared" si="18"/>
        <v>116978632.12</v>
      </c>
      <c r="V24" s="26">
        <f t="shared" si="18"/>
        <v>73812914.090000004</v>
      </c>
      <c r="W24" s="26">
        <f t="shared" si="18"/>
        <v>38581681.439999998</v>
      </c>
      <c r="X24" s="26">
        <f t="shared" si="18"/>
        <v>16406187.35</v>
      </c>
      <c r="Y24" s="26">
        <f t="shared" si="18"/>
        <v>55765691.350000001</v>
      </c>
      <c r="Z24" s="26">
        <f t="shared" si="18"/>
        <v>5356978.26</v>
      </c>
      <c r="AA24" s="26">
        <f t="shared" si="18"/>
        <v>5062792.63</v>
      </c>
      <c r="AB24" s="26">
        <f t="shared" si="18"/>
        <v>3538026.66</v>
      </c>
      <c r="AC24" s="26">
        <f t="shared" si="18"/>
        <v>77371574.280000001</v>
      </c>
      <c r="AD24" s="26">
        <f t="shared" si="18"/>
        <v>40315663.370000005</v>
      </c>
      <c r="AE24" s="26">
        <f t="shared" si="18"/>
        <v>30689970.599999998</v>
      </c>
      <c r="AF24" s="26">
        <f t="shared" si="18"/>
        <v>21966655.299999997</v>
      </c>
      <c r="AG24" s="26">
        <f t="shared" si="18"/>
        <v>4004480.96</v>
      </c>
      <c r="AH24" s="26">
        <f t="shared" si="18"/>
        <v>84650.72</v>
      </c>
      <c r="AI24" s="26">
        <f t="shared" si="18"/>
        <v>437609.93</v>
      </c>
      <c r="AJ24" s="26">
        <f t="shared" si="18"/>
        <v>1289048.95</v>
      </c>
      <c r="AK24" s="26">
        <f t="shared" si="18"/>
        <v>-19531151.130000003</v>
      </c>
      <c r="AL24" s="26">
        <f t="shared" si="18"/>
        <v>-5112628.04</v>
      </c>
      <c r="AM24" s="26">
        <f t="shared" si="18"/>
        <v>-22871620.550000001</v>
      </c>
      <c r="AN24" s="26">
        <f t="shared" si="18"/>
        <v>11055072.869999999</v>
      </c>
      <c r="AO24" s="26">
        <f t="shared" si="18"/>
        <v>62913701.07</v>
      </c>
      <c r="AP24" s="26">
        <f t="shared" si="18"/>
        <v>698616.75</v>
      </c>
      <c r="AQ24" s="26">
        <f t="shared" si="18"/>
        <v>590616.75</v>
      </c>
      <c r="AR24" s="26">
        <f t="shared" si="18"/>
        <v>16222974.789999999</v>
      </c>
      <c r="AS24" s="26">
        <f t="shared" si="18"/>
        <v>285100198.74000001</v>
      </c>
      <c r="AT24" s="26">
        <f t="shared" si="18"/>
        <v>176738662.34</v>
      </c>
      <c r="AU24" s="26">
        <f t="shared" si="18"/>
        <v>29295173.719999999</v>
      </c>
      <c r="AV24" s="26">
        <f t="shared" si="18"/>
        <v>13882411.359999999</v>
      </c>
      <c r="AW24" s="26">
        <f t="shared" si="18"/>
        <v>44407031.920000002</v>
      </c>
      <c r="AX24" s="26">
        <f t="shared" si="18"/>
        <v>30964617.920000002</v>
      </c>
      <c r="AY24" s="26">
        <f t="shared" si="18"/>
        <v>12989562.16</v>
      </c>
      <c r="AZ24" s="26">
        <f t="shared" si="18"/>
        <v>4770261.76</v>
      </c>
      <c r="BA24" s="26">
        <f t="shared" si="18"/>
        <v>26058281.710000001</v>
      </c>
      <c r="BB24" s="26">
        <f t="shared" si="18"/>
        <v>22216810.960000001</v>
      </c>
      <c r="BC24" s="26">
        <f t="shared" si="18"/>
        <v>10133181.210000001</v>
      </c>
      <c r="BD24" s="26">
        <f t="shared" si="18"/>
        <v>6743770.8899999997</v>
      </c>
      <c r="BE24" s="26">
        <f t="shared" si="18"/>
        <v>34636461.399999999</v>
      </c>
      <c r="BF24" s="26">
        <f t="shared" si="18"/>
        <v>20534871.050000001</v>
      </c>
      <c r="BG24" s="26">
        <f t="shared" si="18"/>
        <v>13568055.609999999</v>
      </c>
      <c r="BH24" s="26">
        <f t="shared" si="18"/>
        <v>6386110.6600000001</v>
      </c>
      <c r="BI24" s="26">
        <f t="shared" si="18"/>
        <v>56675673.390000001</v>
      </c>
      <c r="BJ24" s="26">
        <f t="shared" si="18"/>
        <v>35962583.600000001</v>
      </c>
      <c r="BK24" s="26">
        <f t="shared" si="18"/>
        <v>23739846.239999998</v>
      </c>
      <c r="BL24" s="26">
        <f t="shared" si="18"/>
        <v>2932907.34</v>
      </c>
      <c r="BM24" s="26">
        <f t="shared" si="18"/>
        <v>27405251.039999999</v>
      </c>
      <c r="BN24" s="26">
        <f t="shared" si="18"/>
        <v>3713381.3</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-41290604.990000002</v>
      </c>
      <c r="C26" s="189">
        <v>-12473938.6</v>
      </c>
      <c r="D26" s="189">
        <v>518838.47</v>
      </c>
      <c r="E26" s="189">
        <v>-39345928.609999999</v>
      </c>
      <c r="F26" s="189">
        <v>-28637223.77</v>
      </c>
      <c r="G26" s="189">
        <v>-32416277.719999999</v>
      </c>
      <c r="H26" s="189">
        <v>-32896936.370000001</v>
      </c>
      <c r="I26" s="189">
        <v>41216788.600000001</v>
      </c>
      <c r="J26" s="189">
        <v>40511423.039999999</v>
      </c>
      <c r="K26" s="189">
        <v>36264775.359999999</v>
      </c>
      <c r="L26" s="189">
        <v>12551896.48</v>
      </c>
      <c r="M26" s="189">
        <v>48553778.030000001</v>
      </c>
      <c r="N26" s="189">
        <v>1200139.8799999999</v>
      </c>
      <c r="O26" s="189">
        <v>-26745.69</v>
      </c>
      <c r="P26" s="189">
        <v>115185.74</v>
      </c>
      <c r="Q26" s="189">
        <v>-70614.41</v>
      </c>
      <c r="R26" s="189">
        <v>266497.34999999998</v>
      </c>
      <c r="S26" s="189">
        <v>226008.76</v>
      </c>
      <c r="T26" s="189">
        <v>238278.48</v>
      </c>
      <c r="U26" s="189">
        <v>-916591.47</v>
      </c>
      <c r="V26" s="189">
        <v>-672531.38</v>
      </c>
      <c r="W26" s="189">
        <v>-569691.66</v>
      </c>
      <c r="X26" s="189">
        <v>-30665.17</v>
      </c>
      <c r="Y26" s="189">
        <v>-74569.77</v>
      </c>
      <c r="Z26" s="189">
        <v>108014.36</v>
      </c>
      <c r="AA26" s="189">
        <v>71687.539999999994</v>
      </c>
      <c r="AB26" s="189">
        <v>-50938.13</v>
      </c>
      <c r="AC26" s="189">
        <v>-1630603.53</v>
      </c>
      <c r="AD26" s="189">
        <v>-1382992.42</v>
      </c>
      <c r="AE26" s="189">
        <v>-746388.49</v>
      </c>
      <c r="AF26" s="189">
        <v>-299024.49</v>
      </c>
      <c r="AG26" s="189">
        <v>-937948.99</v>
      </c>
      <c r="AH26" s="189">
        <v>9996</v>
      </c>
      <c r="AI26" s="189">
        <v>1999.2</v>
      </c>
      <c r="AJ26" s="189">
        <v>95961.600000000006</v>
      </c>
      <c r="AK26" s="189">
        <v>-4358978.5</v>
      </c>
      <c r="AL26" s="189">
        <v>105957.6</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c r="CH26" s="189"/>
      <c r="CI26" s="189"/>
      <c r="CJ26" s="189"/>
      <c r="CK26" s="189"/>
    </row>
    <row r="27" spans="1:89" x14ac:dyDescent="0.25">
      <c r="A27" s="17" t="s">
        <v>406</v>
      </c>
      <c r="B27" s="26">
        <f>SUM(B22:B26)</f>
        <v>60629027.929999985</v>
      </c>
      <c r="C27" s="26">
        <f t="shared" ref="C27:BN27" si="22">SUM(C22:C26)</f>
        <v>54387093.440000005</v>
      </c>
      <c r="D27" s="26">
        <f t="shared" si="22"/>
        <v>40010577.879999995</v>
      </c>
      <c r="E27" s="26">
        <f t="shared" si="22"/>
        <v>411250049.88999999</v>
      </c>
      <c r="F27" s="26">
        <f t="shared" si="22"/>
        <v>217263418.28999999</v>
      </c>
      <c r="G27" s="26">
        <f t="shared" si="22"/>
        <v>154191163.52000001</v>
      </c>
      <c r="H27" s="26">
        <f t="shared" si="22"/>
        <v>70306482.640000001</v>
      </c>
      <c r="I27" s="26">
        <f t="shared" si="22"/>
        <v>422134152.53000003</v>
      </c>
      <c r="J27" s="26">
        <f t="shared" si="22"/>
        <v>171269627.71000001</v>
      </c>
      <c r="K27" s="26">
        <f t="shared" si="22"/>
        <v>103580254.40000001</v>
      </c>
      <c r="L27" s="26">
        <f t="shared" si="22"/>
        <v>39835211.789999999</v>
      </c>
      <c r="M27" s="26">
        <f t="shared" si="22"/>
        <v>374736840.82999992</v>
      </c>
      <c r="N27" s="26">
        <f t="shared" si="22"/>
        <v>98635836.739999995</v>
      </c>
      <c r="O27" s="26">
        <f t="shared" si="22"/>
        <v>71544874.379999995</v>
      </c>
      <c r="P27" s="26">
        <f t="shared" si="22"/>
        <v>31050982.049999997</v>
      </c>
      <c r="Q27" s="26">
        <f t="shared" si="22"/>
        <v>194563235.14000002</v>
      </c>
      <c r="R27" s="26">
        <f t="shared" si="22"/>
        <v>77635819.479999989</v>
      </c>
      <c r="S27" s="26">
        <f t="shared" si="22"/>
        <v>43074289.219999999</v>
      </c>
      <c r="T27" s="26">
        <f t="shared" si="22"/>
        <v>11299619.469999999</v>
      </c>
      <c r="U27" s="26">
        <f t="shared" si="22"/>
        <v>112950213.15000001</v>
      </c>
      <c r="V27" s="26">
        <f t="shared" si="22"/>
        <v>87092042.710000008</v>
      </c>
      <c r="W27" s="26">
        <f t="shared" si="22"/>
        <v>48596649.780000001</v>
      </c>
      <c r="X27" s="26">
        <f t="shared" si="22"/>
        <v>20295032.18</v>
      </c>
      <c r="Y27" s="26">
        <f t="shared" si="22"/>
        <v>67502812.980000004</v>
      </c>
      <c r="Z27" s="26">
        <f t="shared" si="22"/>
        <v>1453892.6199999999</v>
      </c>
      <c r="AA27" s="26">
        <f t="shared" si="22"/>
        <v>842180.16999999993</v>
      </c>
      <c r="AB27" s="26">
        <f t="shared" si="22"/>
        <v>613838.53000000014</v>
      </c>
      <c r="AC27" s="26">
        <f t="shared" si="22"/>
        <v>88166206.950000003</v>
      </c>
      <c r="AD27" s="26">
        <f t="shared" si="22"/>
        <v>47710056.850000001</v>
      </c>
      <c r="AE27" s="26">
        <f t="shared" si="22"/>
        <v>41632647.949999996</v>
      </c>
      <c r="AF27" s="26">
        <f t="shared" si="22"/>
        <v>33894628.289999999</v>
      </c>
      <c r="AG27" s="26">
        <f t="shared" si="22"/>
        <v>12377107.069999998</v>
      </c>
      <c r="AH27" s="26">
        <f t="shared" si="22"/>
        <v>94646.720000000001</v>
      </c>
      <c r="AI27" s="26">
        <f t="shared" si="22"/>
        <v>439609.13</v>
      </c>
      <c r="AJ27" s="26">
        <f t="shared" si="22"/>
        <v>1385010.55</v>
      </c>
      <c r="AK27" s="26">
        <f t="shared" si="22"/>
        <v>-17841189.93</v>
      </c>
      <c r="AL27" s="26">
        <f t="shared" si="22"/>
        <v>-5006670.4400000004</v>
      </c>
      <c r="AM27" s="26">
        <f t="shared" si="22"/>
        <v>-22871620.550000001</v>
      </c>
      <c r="AN27" s="26">
        <f t="shared" si="22"/>
        <v>11055072.869999999</v>
      </c>
      <c r="AO27" s="26">
        <f t="shared" si="22"/>
        <v>75908556.800000012</v>
      </c>
      <c r="AP27" s="26">
        <f t="shared" si="22"/>
        <v>698616.75</v>
      </c>
      <c r="AQ27" s="26">
        <f t="shared" si="22"/>
        <v>590616.75</v>
      </c>
      <c r="AR27" s="26">
        <f t="shared" si="22"/>
        <v>16222974.789999999</v>
      </c>
      <c r="AS27" s="26">
        <f t="shared" si="22"/>
        <v>275418480.60000002</v>
      </c>
      <c r="AT27" s="26">
        <f t="shared" si="22"/>
        <v>184873612.02000001</v>
      </c>
      <c r="AU27" s="26">
        <f t="shared" si="22"/>
        <v>29295173.719999999</v>
      </c>
      <c r="AV27" s="26">
        <f t="shared" si="22"/>
        <v>13882411.359999999</v>
      </c>
      <c r="AW27" s="26">
        <f t="shared" si="22"/>
        <v>47832284.620000005</v>
      </c>
      <c r="AX27" s="26">
        <f t="shared" si="22"/>
        <v>30964617.920000002</v>
      </c>
      <c r="AY27" s="26">
        <f t="shared" si="22"/>
        <v>12989562.16</v>
      </c>
      <c r="AZ27" s="26">
        <f t="shared" si="22"/>
        <v>4770261.76</v>
      </c>
      <c r="BA27" s="26">
        <f t="shared" si="22"/>
        <v>35428573.940000005</v>
      </c>
      <c r="BB27" s="26">
        <f t="shared" si="22"/>
        <v>22216810.960000001</v>
      </c>
      <c r="BC27" s="26">
        <f t="shared" si="22"/>
        <v>10133181.210000001</v>
      </c>
      <c r="BD27" s="26">
        <f t="shared" si="22"/>
        <v>6743770.8899999997</v>
      </c>
      <c r="BE27" s="26">
        <f t="shared" si="22"/>
        <v>34636461.399999999</v>
      </c>
      <c r="BF27" s="26">
        <f t="shared" si="22"/>
        <v>20534871.050000001</v>
      </c>
      <c r="BG27" s="26">
        <f t="shared" si="22"/>
        <v>13568055.609999999</v>
      </c>
      <c r="BH27" s="26">
        <f t="shared" si="22"/>
        <v>6386110.6600000001</v>
      </c>
      <c r="BI27" s="26">
        <f t="shared" si="22"/>
        <v>56675673.390000001</v>
      </c>
      <c r="BJ27" s="26">
        <f t="shared" si="22"/>
        <v>35962583.600000001</v>
      </c>
      <c r="BK27" s="26">
        <f t="shared" si="22"/>
        <v>23739846.239999998</v>
      </c>
      <c r="BL27" s="26">
        <f t="shared" si="22"/>
        <v>2932907.34</v>
      </c>
      <c r="BM27" s="26">
        <f t="shared" si="22"/>
        <v>27405251.039999999</v>
      </c>
      <c r="BN27" s="26">
        <f t="shared" si="22"/>
        <v>3713381.3</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407</v>
      </c>
      <c r="B28" s="26">
        <f>SUM(B22:B25)*B41</f>
        <v>13497447.933178011</v>
      </c>
      <c r="C28" s="26">
        <f t="shared" ref="C28:BN28" si="24">SUM(C22:C25)*C41</f>
        <v>12688371.004305042</v>
      </c>
      <c r="D28" s="26">
        <f t="shared" si="24"/>
        <v>7296568.7101785848</v>
      </c>
      <c r="E28" s="26">
        <f t="shared" si="24"/>
        <v>84837415.282036766</v>
      </c>
      <c r="F28" s="26">
        <f t="shared" si="24"/>
        <v>38720800.129668608</v>
      </c>
      <c r="G28" s="26">
        <f t="shared" si="24"/>
        <v>29657231.249098986</v>
      </c>
      <c r="H28" s="26">
        <f t="shared" si="24"/>
        <v>16931485.323385127</v>
      </c>
      <c r="I28" s="26">
        <f t="shared" si="24"/>
        <v>55081773.61616496</v>
      </c>
      <c r="J28" s="26">
        <f t="shared" si="24"/>
        <v>20050574.591336302</v>
      </c>
      <c r="K28" s="26">
        <f t="shared" si="24"/>
        <v>10343416.219170852</v>
      </c>
      <c r="L28" s="26">
        <f t="shared" si="24"/>
        <v>4100112.851061672</v>
      </c>
      <c r="M28" s="26">
        <f t="shared" si="24"/>
        <v>42912676.414505407</v>
      </c>
      <c r="N28" s="26">
        <f t="shared" si="24"/>
        <v>13975296.926724486</v>
      </c>
      <c r="O28" s="26">
        <f t="shared" si="24"/>
        <v>9782105.4960686211</v>
      </c>
      <c r="P28" s="26">
        <f t="shared" si="24"/>
        <v>4669109.3664973397</v>
      </c>
      <c r="Q28" s="26">
        <f t="shared" si="24"/>
        <v>29889691.47460572</v>
      </c>
      <c r="R28" s="26">
        <f t="shared" si="24"/>
        <v>12230057.643722828</v>
      </c>
      <c r="S28" s="26">
        <f t="shared" si="24"/>
        <v>6826173.7616922297</v>
      </c>
      <c r="T28" s="26">
        <f t="shared" si="24"/>
        <v>1592294.5030650112</v>
      </c>
      <c r="U28" s="26">
        <f t="shared" si="24"/>
        <v>16471300.545535199</v>
      </c>
      <c r="V28" s="26">
        <f t="shared" si="24"/>
        <v>13407211.747065838</v>
      </c>
      <c r="W28" s="26">
        <f t="shared" si="24"/>
        <v>7594139.995719648</v>
      </c>
      <c r="X28" s="26">
        <f t="shared" si="24"/>
        <v>3078160.4594685482</v>
      </c>
      <c r="Y28" s="26">
        <f t="shared" si="24"/>
        <v>10411383.075184532</v>
      </c>
      <c r="Z28" s="26">
        <f t="shared" si="24"/>
        <v>180976.61004109911</v>
      </c>
      <c r="AA28" s="26">
        <f t="shared" si="24"/>
        <v>97744.125277339888</v>
      </c>
      <c r="AB28" s="26">
        <f t="shared" si="24"/>
        <v>103055.47240402771</v>
      </c>
      <c r="AC28" s="26">
        <f t="shared" si="24"/>
        <v>18678595.931470364</v>
      </c>
      <c r="AD28" s="26">
        <f t="shared" si="24"/>
        <v>9253345.4745012764</v>
      </c>
      <c r="AE28" s="26">
        <f t="shared" si="24"/>
        <v>8581160.2228564415</v>
      </c>
      <c r="AF28" s="26">
        <f t="shared" si="24"/>
        <v>5699260.1915848982</v>
      </c>
      <c r="AG28" s="26">
        <f t="shared" si="24"/>
        <v>2152368.9473720198</v>
      </c>
      <c r="AH28" s="26">
        <f t="shared" si="24"/>
        <v>13482.337290880947</v>
      </c>
      <c r="AI28" s="26">
        <f t="shared" si="24"/>
        <v>73398.896382037303</v>
      </c>
      <c r="AJ28" s="26">
        <f t="shared" si="24"/>
        <v>196029.79567182431</v>
      </c>
      <c r="AK28" s="26">
        <f t="shared" si="24"/>
        <v>-2794330.1413284405</v>
      </c>
      <c r="AL28" s="26">
        <f t="shared" si="24"/>
        <v>-764280.59601360629</v>
      </c>
      <c r="AM28" s="26">
        <f t="shared" si="24"/>
        <v>-2857927.4937931895</v>
      </c>
      <c r="AN28" s="26">
        <f t="shared" si="24"/>
        <v>2034299.9073124477</v>
      </c>
      <c r="AO28" s="26">
        <f t="shared" si="24"/>
        <v>56700666.308161512</v>
      </c>
      <c r="AP28" s="26">
        <f t="shared" si="24"/>
        <v>184376.01790064419</v>
      </c>
      <c r="AQ28" s="26">
        <f t="shared" si="24"/>
        <v>166421.33024597785</v>
      </c>
      <c r="AR28" s="26">
        <f t="shared" si="24"/>
        <v>3004598.30932817</v>
      </c>
      <c r="AS28" s="26">
        <f t="shared" si="24"/>
        <v>50894929.894167781</v>
      </c>
      <c r="AT28" s="26">
        <f t="shared" si="24"/>
        <v>14900268.265714776</v>
      </c>
      <c r="AU28" s="26">
        <f t="shared" si="24"/>
        <v>4018957.4897576151</v>
      </c>
      <c r="AV28" s="26">
        <f t="shared" si="24"/>
        <v>3464385.4764090939</v>
      </c>
      <c r="AW28" s="26">
        <f t="shared" si="24"/>
        <v>-32813708.514456112</v>
      </c>
      <c r="AX28" s="26">
        <f t="shared" si="24"/>
        <v>-67893850.133142009</v>
      </c>
      <c r="AY28" s="26">
        <f t="shared" si="24"/>
        <v>8824944.1599445324</v>
      </c>
      <c r="AZ28" s="26">
        <f t="shared" si="24"/>
        <v>366011.0196280863</v>
      </c>
      <c r="BA28" s="26">
        <f t="shared" si="24"/>
        <v>-94059869.305022568</v>
      </c>
      <c r="BB28" s="26">
        <f t="shared" si="24"/>
        <v>-3085235.6219187509</v>
      </c>
      <c r="BC28" s="26">
        <f t="shared" si="24"/>
        <v>-8954321.658729719</v>
      </c>
      <c r="BD28" s="26">
        <f t="shared" si="24"/>
        <v>1843320.8136824213</v>
      </c>
      <c r="BE28" s="26">
        <f t="shared" si="24"/>
        <v>33872775.635890767</v>
      </c>
      <c r="BF28" s="26">
        <f t="shared" si="24"/>
        <v>7888335.0806320403</v>
      </c>
      <c r="BG28" s="26">
        <f t="shared" si="24"/>
        <v>3848729.9619027148</v>
      </c>
      <c r="BH28" s="26">
        <f t="shared" si="24"/>
        <v>3623912.0471318988</v>
      </c>
      <c r="BI28" s="26">
        <f t="shared" si="24"/>
        <v>14945438.717939297</v>
      </c>
      <c r="BJ28" s="26">
        <f t="shared" si="24"/>
        <v>137670329.57929906</v>
      </c>
      <c r="BK28" s="26">
        <f t="shared" si="24"/>
        <v>-10409708.92286491</v>
      </c>
      <c r="BL28" s="26">
        <f t="shared" si="24"/>
        <v>1946566.2053507543</v>
      </c>
      <c r="BM28" s="26">
        <f t="shared" si="24"/>
        <v>-363028.35972952866</v>
      </c>
      <c r="BN28" s="26">
        <f t="shared" si="24"/>
        <v>2338970.4085236061</v>
      </c>
      <c r="BO28" s="26">
        <f t="shared" ref="BO28:CJ28" si="25">SUM(BO22:BO25)*BO41</f>
        <v>-3180115.5818989705</v>
      </c>
      <c r="BP28" s="26">
        <f t="shared" si="25"/>
        <v>1618485.3301043413</v>
      </c>
      <c r="BQ28" s="26">
        <f t="shared" si="25"/>
        <v>-21047579.504432559</v>
      </c>
      <c r="BR28" s="26">
        <f t="shared" si="25"/>
        <v>2681198.5371699152</v>
      </c>
      <c r="BS28" s="26">
        <f t="shared" si="25"/>
        <v>3292495.0056397952</v>
      </c>
      <c r="BT28" s="26">
        <f t="shared" si="25"/>
        <v>1165765.3130287044</v>
      </c>
      <c r="BU28" s="26">
        <f t="shared" si="25"/>
        <v>-6539341.1259757485</v>
      </c>
      <c r="BV28" s="26">
        <f t="shared" si="25"/>
        <v>-1953092.3090601114</v>
      </c>
      <c r="BW28" s="26">
        <f t="shared" si="25"/>
        <v>-10702199.650076661</v>
      </c>
      <c r="BX28" s="26">
        <f t="shared" si="25"/>
        <v>-2138418.2281176634</v>
      </c>
      <c r="BY28" s="26">
        <f t="shared" si="25"/>
        <v>-4193342.2425087234</v>
      </c>
      <c r="BZ28" s="26">
        <f t="shared" si="25"/>
        <v>-77769.971478216292</v>
      </c>
      <c r="CA28" s="26">
        <f t="shared" si="25"/>
        <v>-2104504.7226849981</v>
      </c>
      <c r="CB28" s="26">
        <f t="shared" si="25"/>
        <v>-32447.567030182527</v>
      </c>
      <c r="CC28" s="26">
        <f t="shared" si="25"/>
        <v>110198.62546056022</v>
      </c>
      <c r="CD28" s="26">
        <f t="shared" si="25"/>
        <v>0</v>
      </c>
      <c r="CE28" s="26">
        <f t="shared" si="25"/>
        <v>0</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47131579.99682197</v>
      </c>
      <c r="C29" s="28">
        <f t="shared" ref="C29:BN29" si="26">C27-C28</f>
        <v>41698722.435694963</v>
      </c>
      <c r="D29" s="28">
        <f t="shared" si="26"/>
        <v>32714009.169821411</v>
      </c>
      <c r="E29" s="28">
        <f t="shared" si="26"/>
        <v>326412634.6079632</v>
      </c>
      <c r="F29" s="28">
        <f t="shared" si="26"/>
        <v>178542618.16033137</v>
      </c>
      <c r="G29" s="28">
        <f t="shared" si="26"/>
        <v>124533932.27090102</v>
      </c>
      <c r="H29" s="28">
        <f t="shared" si="26"/>
        <v>53374997.316614874</v>
      </c>
      <c r="I29" s="28">
        <f t="shared" si="26"/>
        <v>367052378.91383505</v>
      </c>
      <c r="J29" s="28">
        <f t="shared" si="26"/>
        <v>151219053.1186637</v>
      </c>
      <c r="K29" s="28">
        <f t="shared" si="26"/>
        <v>93236838.180829152</v>
      </c>
      <c r="L29" s="28">
        <f t="shared" si="26"/>
        <v>35735098.938938327</v>
      </c>
      <c r="M29" s="28">
        <f t="shared" si="26"/>
        <v>331824164.4154945</v>
      </c>
      <c r="N29" s="28">
        <f t="shared" si="26"/>
        <v>84660539.813275516</v>
      </c>
      <c r="O29" s="28">
        <f t="shared" si="26"/>
        <v>61762768.883931376</v>
      </c>
      <c r="P29" s="28">
        <f t="shared" si="26"/>
        <v>26381872.683502659</v>
      </c>
      <c r="Q29" s="28">
        <f t="shared" si="26"/>
        <v>164673543.66539431</v>
      </c>
      <c r="R29" s="28">
        <f t="shared" si="26"/>
        <v>65405761.836277157</v>
      </c>
      <c r="S29" s="28">
        <f t="shared" si="26"/>
        <v>36248115.458307773</v>
      </c>
      <c r="T29" s="28">
        <f t="shared" si="26"/>
        <v>9707324.9669349883</v>
      </c>
      <c r="U29" s="28">
        <f t="shared" si="26"/>
        <v>96478912.604464799</v>
      </c>
      <c r="V29" s="28">
        <f t="shared" si="26"/>
        <v>73684830.962934166</v>
      </c>
      <c r="W29" s="28">
        <f t="shared" si="26"/>
        <v>41002509.784280352</v>
      </c>
      <c r="X29" s="28">
        <f t="shared" si="26"/>
        <v>17216871.720531452</v>
      </c>
      <c r="Y29" s="28">
        <f t="shared" si="26"/>
        <v>57091429.904815473</v>
      </c>
      <c r="Z29" s="28">
        <f t="shared" si="26"/>
        <v>1272916.0099589007</v>
      </c>
      <c r="AA29" s="28">
        <f t="shared" si="26"/>
        <v>744436.04472265998</v>
      </c>
      <c r="AB29" s="28">
        <f t="shared" si="26"/>
        <v>510783.05759597244</v>
      </c>
      <c r="AC29" s="28">
        <f t="shared" si="26"/>
        <v>69487611.018529639</v>
      </c>
      <c r="AD29" s="28">
        <f t="shared" si="26"/>
        <v>38456711.375498727</v>
      </c>
      <c r="AE29" s="28">
        <f t="shared" si="26"/>
        <v>33051487.727143556</v>
      </c>
      <c r="AF29" s="28">
        <f t="shared" si="26"/>
        <v>28195368.098415099</v>
      </c>
      <c r="AG29" s="28">
        <f t="shared" si="26"/>
        <v>10224738.122627979</v>
      </c>
      <c r="AH29" s="28">
        <f t="shared" si="26"/>
        <v>81164.382709119061</v>
      </c>
      <c r="AI29" s="28">
        <f t="shared" si="26"/>
        <v>366210.23361796269</v>
      </c>
      <c r="AJ29" s="28">
        <f t="shared" si="26"/>
        <v>1188980.7543281757</v>
      </c>
      <c r="AK29" s="28">
        <f t="shared" si="26"/>
        <v>-15046859.788671559</v>
      </c>
      <c r="AL29" s="28">
        <f t="shared" si="26"/>
        <v>-4242389.8439863939</v>
      </c>
      <c r="AM29" s="28">
        <f t="shared" si="26"/>
        <v>-20013693.056206811</v>
      </c>
      <c r="AN29" s="28">
        <f t="shared" si="26"/>
        <v>9020772.962687552</v>
      </c>
      <c r="AO29" s="28">
        <f t="shared" si="26"/>
        <v>19207890.4918385</v>
      </c>
      <c r="AP29" s="28">
        <f t="shared" si="26"/>
        <v>514240.73209935578</v>
      </c>
      <c r="AQ29" s="28">
        <f t="shared" si="26"/>
        <v>424195.41975402215</v>
      </c>
      <c r="AR29" s="28">
        <f t="shared" si="26"/>
        <v>13218376.480671829</v>
      </c>
      <c r="AS29" s="28">
        <f t="shared" si="26"/>
        <v>224523550.70583224</v>
      </c>
      <c r="AT29" s="28">
        <f t="shared" si="26"/>
        <v>169973343.75428525</v>
      </c>
      <c r="AU29" s="28">
        <f t="shared" si="26"/>
        <v>25276216.230242383</v>
      </c>
      <c r="AV29" s="28">
        <f t="shared" si="26"/>
        <v>10418025.883590905</v>
      </c>
      <c r="AW29" s="28">
        <f t="shared" si="26"/>
        <v>80645993.134456113</v>
      </c>
      <c r="AX29" s="28">
        <f t="shared" si="26"/>
        <v>98858468.053142011</v>
      </c>
      <c r="AY29" s="28">
        <f t="shared" si="26"/>
        <v>4164618.0000554677</v>
      </c>
      <c r="AZ29" s="28">
        <f t="shared" si="26"/>
        <v>4404250.7403719136</v>
      </c>
      <c r="BA29" s="28">
        <f t="shared" si="26"/>
        <v>129488443.24502257</v>
      </c>
      <c r="BB29" s="28">
        <f t="shared" si="26"/>
        <v>25302046.581918754</v>
      </c>
      <c r="BC29" s="28">
        <f t="shared" si="26"/>
        <v>19087502.868729718</v>
      </c>
      <c r="BD29" s="28">
        <f t="shared" si="26"/>
        <v>4900450.0763175786</v>
      </c>
      <c r="BE29" s="28">
        <f t="shared" si="26"/>
        <v>763685.76410923153</v>
      </c>
      <c r="BF29" s="28">
        <f t="shared" si="26"/>
        <v>12646535.96936796</v>
      </c>
      <c r="BG29" s="28">
        <f t="shared" si="26"/>
        <v>9719325.6480972841</v>
      </c>
      <c r="BH29" s="28">
        <f t="shared" si="26"/>
        <v>2762198.6128681013</v>
      </c>
      <c r="BI29" s="28">
        <f t="shared" si="26"/>
        <v>41730234.672060706</v>
      </c>
      <c r="BJ29" s="28">
        <f t="shared" si="26"/>
        <v>-101707745.97929907</v>
      </c>
      <c r="BK29" s="28">
        <f t="shared" si="26"/>
        <v>34149555.162864909</v>
      </c>
      <c r="BL29" s="28">
        <f t="shared" si="26"/>
        <v>986341.13464924553</v>
      </c>
      <c r="BM29" s="28">
        <f t="shared" si="26"/>
        <v>27768279.399729528</v>
      </c>
      <c r="BN29" s="28">
        <f t="shared" si="26"/>
        <v>1374410.8914763937</v>
      </c>
      <c r="BO29" s="28">
        <f t="shared" ref="BO29:CK29" si="27">BO27-BO28</f>
        <v>-7445603.3481010292</v>
      </c>
      <c r="BP29" s="28">
        <f t="shared" si="27"/>
        <v>2939194.3598956591</v>
      </c>
      <c r="BQ29" s="28">
        <f t="shared" si="27"/>
        <v>42302273.874432564</v>
      </c>
      <c r="BR29" s="28">
        <f t="shared" si="27"/>
        <v>11738026.122830085</v>
      </c>
      <c r="BS29" s="28">
        <f t="shared" si="27"/>
        <v>13982084.824360203</v>
      </c>
      <c r="BT29" s="28">
        <f t="shared" si="27"/>
        <v>5381934.7669712957</v>
      </c>
      <c r="BU29" s="28">
        <f t="shared" si="27"/>
        <v>-17832221.354024254</v>
      </c>
      <c r="BV29" s="28">
        <f t="shared" si="27"/>
        <v>-7021942.3209398892</v>
      </c>
      <c r="BW29" s="28">
        <f t="shared" si="27"/>
        <v>-34944254.439923346</v>
      </c>
      <c r="BX29" s="28">
        <f t="shared" si="27"/>
        <v>-8945651.0218823366</v>
      </c>
      <c r="BY29" s="28">
        <f t="shared" si="27"/>
        <v>-18546661.857491277</v>
      </c>
      <c r="BZ29" s="28">
        <f t="shared" si="27"/>
        <v>-3364600.0285217836</v>
      </c>
      <c r="CA29" s="28">
        <f t="shared" si="27"/>
        <v>-10185323.417315003</v>
      </c>
      <c r="CB29" s="28">
        <f t="shared" si="27"/>
        <v>-1233552.4329698174</v>
      </c>
      <c r="CC29" s="28">
        <f t="shared" si="27"/>
        <v>635788.28453943983</v>
      </c>
      <c r="CD29" s="28">
        <f t="shared" si="27"/>
        <v>0</v>
      </c>
      <c r="CE29" s="28">
        <f t="shared" si="27"/>
        <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1820660994.5600021</v>
      </c>
      <c r="C31" s="26">
        <f t="shared" ref="C31:BN31" si="28">C15+C20+C27</f>
        <v>956471658.60999894</v>
      </c>
      <c r="D31" s="26">
        <f t="shared" si="28"/>
        <v>606895320.66000032</v>
      </c>
      <c r="E31" s="26">
        <f t="shared" si="28"/>
        <v>2015902362.9300013</v>
      </c>
      <c r="F31" s="26">
        <f t="shared" si="28"/>
        <v>1471590225.8599987</v>
      </c>
      <c r="G31" s="26">
        <f t="shared" si="28"/>
        <v>909282734.4599992</v>
      </c>
      <c r="H31" s="26">
        <f t="shared" si="28"/>
        <v>466718944.6699996</v>
      </c>
      <c r="I31" s="26">
        <f t="shared" si="28"/>
        <v>1639407647.2599998</v>
      </c>
      <c r="J31" s="26">
        <f t="shared" si="28"/>
        <v>1211118822.74</v>
      </c>
      <c r="K31" s="26">
        <f t="shared" si="28"/>
        <v>765090978.33999991</v>
      </c>
      <c r="L31" s="26">
        <f t="shared" si="28"/>
        <v>408978016.73999971</v>
      </c>
      <c r="M31" s="26">
        <f t="shared" si="28"/>
        <v>1283512334.96</v>
      </c>
      <c r="N31" s="26">
        <f t="shared" si="28"/>
        <v>851936379.25999963</v>
      </c>
      <c r="O31" s="26">
        <f t="shared" si="28"/>
        <v>566193401.50000072</v>
      </c>
      <c r="P31" s="26">
        <f t="shared" si="28"/>
        <v>314652634.58999985</v>
      </c>
      <c r="Q31" s="26">
        <f t="shared" si="28"/>
        <v>947349737.44000101</v>
      </c>
      <c r="R31" s="26">
        <f t="shared" si="28"/>
        <v>648544695.90000045</v>
      </c>
      <c r="S31" s="26">
        <f t="shared" si="28"/>
        <v>407126499.50000036</v>
      </c>
      <c r="T31" s="26">
        <f t="shared" si="28"/>
        <v>216827515.34999996</v>
      </c>
      <c r="U31" s="26">
        <f t="shared" si="28"/>
        <v>552874396.2400012</v>
      </c>
      <c r="V31" s="26">
        <f t="shared" si="28"/>
        <v>451520051.46999967</v>
      </c>
      <c r="W31" s="26">
        <f t="shared" si="28"/>
        <v>298486222.23999995</v>
      </c>
      <c r="X31" s="26">
        <f t="shared" si="28"/>
        <v>150482462.51999986</v>
      </c>
      <c r="Y31" s="26">
        <f t="shared" si="28"/>
        <v>454280612.61000091</v>
      </c>
      <c r="Z31" s="26">
        <f t="shared" si="28"/>
        <v>323160215.93000054</v>
      </c>
      <c r="AA31" s="26">
        <f t="shared" si="28"/>
        <v>237702996.07999983</v>
      </c>
      <c r="AB31" s="26">
        <f t="shared" si="28"/>
        <v>137082097.49000001</v>
      </c>
      <c r="AC31" s="26">
        <f t="shared" si="28"/>
        <v>679730236.16000116</v>
      </c>
      <c r="AD31" s="26">
        <f t="shared" si="28"/>
        <v>615120881.14999926</v>
      </c>
      <c r="AE31" s="26">
        <f t="shared" si="28"/>
        <v>418105567.4999994</v>
      </c>
      <c r="AF31" s="26">
        <f t="shared" si="28"/>
        <v>200357459.29999977</v>
      </c>
      <c r="AG31" s="26">
        <f t="shared" si="28"/>
        <v>748607264.69999921</v>
      </c>
      <c r="AH31" s="26">
        <f t="shared" si="28"/>
        <v>359599355.31999969</v>
      </c>
      <c r="AI31" s="26">
        <f t="shared" si="28"/>
        <v>229350221.48999986</v>
      </c>
      <c r="AJ31" s="26">
        <f t="shared" si="28"/>
        <v>98850727.910000205</v>
      </c>
      <c r="AK31" s="26">
        <f t="shared" si="28"/>
        <v>278945953.19000006</v>
      </c>
      <c r="AL31" s="26">
        <f t="shared" si="28"/>
        <v>161704348.15000007</v>
      </c>
      <c r="AM31" s="26">
        <f t="shared" si="28"/>
        <v>73875794.579999954</v>
      </c>
      <c r="AN31" s="26">
        <f t="shared" si="28"/>
        <v>44707124.599999979</v>
      </c>
      <c r="AO31" s="26">
        <f t="shared" si="28"/>
        <v>68059235.039999634</v>
      </c>
      <c r="AP31" s="26">
        <f t="shared" si="28"/>
        <v>193453220.35000017</v>
      </c>
      <c r="AQ31" s="26">
        <f t="shared" si="28"/>
        <v>128315277.99999987</v>
      </c>
      <c r="AR31" s="26">
        <f t="shared" si="28"/>
        <v>55511303.590000175</v>
      </c>
      <c r="AS31" s="26">
        <f t="shared" si="28"/>
        <v>459370367.33000028</v>
      </c>
      <c r="AT31" s="26">
        <f t="shared" si="28"/>
        <v>249135416.58999985</v>
      </c>
      <c r="AU31" s="26">
        <f t="shared" si="28"/>
        <v>76407228.759999961</v>
      </c>
      <c r="AV31" s="26">
        <f t="shared" si="28"/>
        <v>28866866.740000021</v>
      </c>
      <c r="AW31" s="26">
        <f t="shared" si="28"/>
        <v>48314093.280000061</v>
      </c>
      <c r="AX31" s="26">
        <f t="shared" si="28"/>
        <v>31164433.740000322</v>
      </c>
      <c r="AY31" s="26">
        <f t="shared" si="28"/>
        <v>29494803.940000236</v>
      </c>
      <c r="AZ31" s="26">
        <f t="shared" si="28"/>
        <v>20706413.649999976</v>
      </c>
      <c r="BA31" s="26">
        <f t="shared" si="28"/>
        <v>48139866.309999779</v>
      </c>
      <c r="BB31" s="26">
        <f t="shared" si="28"/>
        <v>16978427.869999956</v>
      </c>
      <c r="BC31" s="26">
        <f t="shared" si="28"/>
        <v>13165552.560000069</v>
      </c>
      <c r="BD31" s="26">
        <f t="shared" si="28"/>
        <v>12983916.349999998</v>
      </c>
      <c r="BE31" s="26">
        <f t="shared" si="28"/>
        <v>20741686.999999888</v>
      </c>
      <c r="BF31" s="26">
        <f t="shared" si="28"/>
        <v>49655508.899999872</v>
      </c>
      <c r="BG31" s="26">
        <f t="shared" si="28"/>
        <v>29560455.829999987</v>
      </c>
      <c r="BH31" s="26">
        <f t="shared" si="28"/>
        <v>10606206.149999969</v>
      </c>
      <c r="BI31" s="26">
        <f t="shared" si="28"/>
        <v>68487728.340000331</v>
      </c>
      <c r="BJ31" s="26">
        <f t="shared" si="28"/>
        <v>12552915.239999965</v>
      </c>
      <c r="BK31" s="26">
        <f t="shared" si="28"/>
        <v>-8012594.3700000606</v>
      </c>
      <c r="BL31" s="26">
        <f t="shared" si="28"/>
        <v>13201859.30999998</v>
      </c>
      <c r="BM31" s="26">
        <f t="shared" si="28"/>
        <v>-614100633.21000028</v>
      </c>
      <c r="BN31" s="26">
        <f t="shared" si="28"/>
        <v>48673982.02999983</v>
      </c>
      <c r="BO31" s="26">
        <f t="shared" ref="BO31:CJ31" si="29">BO15+BO20+BO27</f>
        <v>49760166.989999957</v>
      </c>
      <c r="BP31" s="26">
        <f t="shared" si="29"/>
        <v>37706291.860000014</v>
      </c>
      <c r="BQ31" s="26">
        <f t="shared" si="29"/>
        <v>-46970950.629999951</v>
      </c>
      <c r="BR31" s="26">
        <f t="shared" si="29"/>
        <v>109407463.65999991</v>
      </c>
      <c r="BS31" s="26">
        <f t="shared" si="29"/>
        <v>241853366.32999992</v>
      </c>
      <c r="BT31" s="26">
        <f t="shared" si="29"/>
        <v>151464080.69999993</v>
      </c>
      <c r="BU31" s="26">
        <f t="shared" si="29"/>
        <v>276800479.41000026</v>
      </c>
      <c r="BV31" s="26">
        <f t="shared" si="29"/>
        <v>172130294.31000006</v>
      </c>
      <c r="BW31" s="26">
        <f t="shared" si="29"/>
        <v>260053851.26000002</v>
      </c>
      <c r="BX31" s="26">
        <f t="shared" si="29"/>
        <v>163523496.08999997</v>
      </c>
      <c r="BY31" s="26">
        <f t="shared" si="29"/>
        <v>309524253.6500001</v>
      </c>
      <c r="BZ31" s="26">
        <f t="shared" si="29"/>
        <v>879250760</v>
      </c>
      <c r="CA31" s="26">
        <f t="shared" si="29"/>
        <v>216521100.38000011</v>
      </c>
      <c r="CB31" s="26">
        <f t="shared" si="29"/>
        <v>659852000</v>
      </c>
      <c r="CC31" s="26">
        <f t="shared" si="29"/>
        <v>184125542.33000004</v>
      </c>
      <c r="CD31" s="26">
        <f t="shared" si="29"/>
        <v>764095148.28999996</v>
      </c>
      <c r="CE31" s="26">
        <f t="shared" si="29"/>
        <v>484685682.33999997</v>
      </c>
      <c r="CF31" s="26">
        <f t="shared" si="29"/>
        <v>0</v>
      </c>
      <c r="CG31" s="26">
        <f t="shared" si="29"/>
        <v>0</v>
      </c>
      <c r="CH31" s="26">
        <f t="shared" si="29"/>
        <v>0</v>
      </c>
      <c r="CI31" s="26">
        <f t="shared" si="29"/>
        <v>0</v>
      </c>
      <c r="CJ31" s="26">
        <f t="shared" si="29"/>
        <v>0</v>
      </c>
    </row>
    <row r="32" spans="1:89" s="57" customFormat="1" x14ac:dyDescent="0.25">
      <c r="A32" s="57" t="s">
        <v>410</v>
      </c>
      <c r="B32" s="57">
        <f>B31/B4*100</f>
        <v>10.453440708363603</v>
      </c>
      <c r="C32" s="57">
        <f t="shared" ref="C32:D32" si="30">C31/C4*100</f>
        <v>7.9329564099755441</v>
      </c>
      <c r="D32" s="57">
        <f t="shared" si="30"/>
        <v>8.9092863042800712</v>
      </c>
      <c r="E32" s="57">
        <f>E31/E4</f>
        <v>9.4268446598398448E-2</v>
      </c>
      <c r="F32" s="57">
        <f t="shared" ref="F32:BQ32" si="31">F31/F4</f>
        <v>9.2106132345216585E-2</v>
      </c>
      <c r="G32" s="57">
        <f t="shared" si="31"/>
        <v>8.6040641419827577E-2</v>
      </c>
      <c r="H32" s="57">
        <f t="shared" si="31"/>
        <v>8.2018775177199035E-2</v>
      </c>
      <c r="I32" s="57">
        <f t="shared" si="31"/>
        <v>0.10036218108704442</v>
      </c>
      <c r="J32" s="57">
        <f t="shared" si="31"/>
        <v>0.10046079952609038</v>
      </c>
      <c r="K32" s="57">
        <f t="shared" si="31"/>
        <v>9.5818580966911468E-2</v>
      </c>
      <c r="L32" s="57">
        <f t="shared" si="31"/>
        <v>9.646210558009756E-2</v>
      </c>
      <c r="M32" s="57">
        <f t="shared" si="31"/>
        <v>9.7742065135070763E-2</v>
      </c>
      <c r="N32" s="57">
        <f t="shared" si="31"/>
        <v>8.8632803738767058E-2</v>
      </c>
      <c r="O32" s="57">
        <f t="shared" si="31"/>
        <v>9.2789629935789972E-2</v>
      </c>
      <c r="P32" s="57">
        <f t="shared" si="31"/>
        <v>9.552375749457194E-2</v>
      </c>
      <c r="Q32" s="57">
        <f t="shared" si="31"/>
        <v>8.7683328846004507E-2</v>
      </c>
      <c r="R32" s="57">
        <f t="shared" si="31"/>
        <v>8.3378554629766441E-2</v>
      </c>
      <c r="S32" s="57">
        <f t="shared" si="31"/>
        <v>8.1849986402882921E-2</v>
      </c>
      <c r="T32" s="57">
        <f t="shared" si="31"/>
        <v>8.4166941458262437E-2</v>
      </c>
      <c r="U32" s="57">
        <f t="shared" si="31"/>
        <v>6.3345231510032046E-2</v>
      </c>
      <c r="V32" s="57">
        <f t="shared" si="31"/>
        <v>7.1104235494104426E-2</v>
      </c>
      <c r="W32" s="57">
        <f t="shared" si="31"/>
        <v>7.4654695968229684E-2</v>
      </c>
      <c r="X32" s="57">
        <f t="shared" si="31"/>
        <v>6.3784242191780402E-2</v>
      </c>
      <c r="Y32" s="57">
        <f t="shared" si="31"/>
        <v>6.5839068339428472E-2</v>
      </c>
      <c r="Z32" s="57">
        <f t="shared" si="31"/>
        <v>7.0634285686945492E-2</v>
      </c>
      <c r="AA32" s="57">
        <f t="shared" si="31"/>
        <v>7.6645533797580989E-2</v>
      </c>
      <c r="AB32" s="57">
        <f t="shared" si="31"/>
        <v>8.412187925079706E-2</v>
      </c>
      <c r="AC32" s="57">
        <f t="shared" si="31"/>
        <v>6.193090965225901E-2</v>
      </c>
      <c r="AD32" s="57">
        <f t="shared" si="31"/>
        <v>6.5677544397324525E-2</v>
      </c>
      <c r="AE32" s="57">
        <f t="shared" si="31"/>
        <v>6.1964385684491093E-2</v>
      </c>
      <c r="AF32" s="57">
        <f t="shared" si="31"/>
        <v>5.2293275074173737E-2</v>
      </c>
      <c r="AG32" s="57">
        <f t="shared" si="31"/>
        <v>6.6825812585398367E-2</v>
      </c>
      <c r="AH32" s="57">
        <f t="shared" si="31"/>
        <v>6.4461375263961507E-2</v>
      </c>
      <c r="AI32" s="57">
        <f t="shared" si="31"/>
        <v>6.3109992135201923E-2</v>
      </c>
      <c r="AJ32" s="57">
        <f t="shared" si="31"/>
        <v>5.9473170346099495E-2</v>
      </c>
      <c r="AK32" s="57">
        <f t="shared" si="31"/>
        <v>6.3755512638500988E-2</v>
      </c>
      <c r="AL32" s="57">
        <f t="shared" si="31"/>
        <v>5.541667062011172E-2</v>
      </c>
      <c r="AM32" s="57">
        <f t="shared" si="31"/>
        <v>3.8831136038730119E-2</v>
      </c>
      <c r="AN32" s="57">
        <f t="shared" si="31"/>
        <v>4.5895547149591008E-2</v>
      </c>
      <c r="AO32" s="57">
        <f t="shared" si="31"/>
        <v>1.5853583453551142E-2</v>
      </c>
      <c r="AP32" s="57">
        <f t="shared" si="31"/>
        <v>5.6491581327626966E-2</v>
      </c>
      <c r="AQ32" s="57">
        <f t="shared" si="31"/>
        <v>5.2925979256881493E-2</v>
      </c>
      <c r="AR32" s="57">
        <f t="shared" si="31"/>
        <v>4.8781613903011327E-2</v>
      </c>
      <c r="AS32" s="57">
        <f t="shared" si="31"/>
        <v>9.186136605174347E-2</v>
      </c>
      <c r="AT32" s="57">
        <f t="shared" si="31"/>
        <v>6.095205413298628E-2</v>
      </c>
      <c r="AU32" s="57">
        <f t="shared" si="31"/>
        <v>2.6920645552430667E-2</v>
      </c>
      <c r="AV32" s="57">
        <f t="shared" si="31"/>
        <v>1.9932553484351686E-2</v>
      </c>
      <c r="AW32" s="57">
        <f t="shared" si="31"/>
        <v>1.1351094361523862E-2</v>
      </c>
      <c r="AX32" s="57">
        <f t="shared" si="31"/>
        <v>9.6612456283295296E-3</v>
      </c>
      <c r="AY32" s="57">
        <f t="shared" si="31"/>
        <v>1.3675803750239331E-2</v>
      </c>
      <c r="AZ32" s="57">
        <f t="shared" si="31"/>
        <v>2.1212474972150484E-2</v>
      </c>
      <c r="BA32" s="57">
        <f t="shared" si="31"/>
        <v>1.4766062230661613E-2</v>
      </c>
      <c r="BB32" s="57">
        <f t="shared" si="31"/>
        <v>7.7692122505747512E-3</v>
      </c>
      <c r="BC32" s="57">
        <f t="shared" si="31"/>
        <v>9.4281709837084407E-3</v>
      </c>
      <c r="BD32" s="57">
        <f t="shared" si="31"/>
        <v>1.7970187544099611E-2</v>
      </c>
      <c r="BE32" s="57">
        <f t="shared" si="31"/>
        <v>8.5605706928865953E-3</v>
      </c>
      <c r="BF32" s="57">
        <f t="shared" si="31"/>
        <v>3.044356281395149E-2</v>
      </c>
      <c r="BG32" s="57">
        <f t="shared" si="31"/>
        <v>2.6951168575148558E-2</v>
      </c>
      <c r="BH32" s="57">
        <f t="shared" si="31"/>
        <v>1.7866926040560144E-2</v>
      </c>
      <c r="BI32" s="57">
        <f t="shared" si="31"/>
        <v>2.3605711073428008E-2</v>
      </c>
      <c r="BJ32" s="57">
        <f t="shared" si="31"/>
        <v>6.3565607644864982E-3</v>
      </c>
      <c r="BK32" s="57">
        <f t="shared" si="31"/>
        <v>-5.8077067546748315E-3</v>
      </c>
      <c r="BL32" s="57">
        <f t="shared" si="31"/>
        <v>1.5641926750500964E-2</v>
      </c>
      <c r="BM32" s="57">
        <f t="shared" si="31"/>
        <v>-0.20874985019062148</v>
      </c>
      <c r="BN32" s="57">
        <f t="shared" si="31"/>
        <v>2.0168477079801076E-2</v>
      </c>
      <c r="BO32" s="57">
        <f t="shared" si="31"/>
        <v>3.2036153926189762E-2</v>
      </c>
      <c r="BP32" s="57">
        <f t="shared" si="31"/>
        <v>5.3485786591002879E-2</v>
      </c>
      <c r="BQ32" s="57">
        <f t="shared" si="31"/>
        <v>-2.4044601611696352E-2</v>
      </c>
      <c r="BR32" s="57">
        <f t="shared" ref="BR32:CK32" si="32">BR31/BR4</f>
        <v>9.6852164342535435E-2</v>
      </c>
      <c r="BS32" s="57">
        <f t="shared" si="32"/>
        <v>8.875797656621727E-2</v>
      </c>
      <c r="BT32" s="57">
        <f t="shared" si="32"/>
        <v>0.10279085078136597</v>
      </c>
      <c r="BU32" s="57">
        <f t="shared" si="32"/>
        <v>0.1040746175630278</v>
      </c>
      <c r="BV32" s="57">
        <f t="shared" si="32"/>
        <v>0.1219838590357218</v>
      </c>
      <c r="BW32" s="57">
        <f t="shared" si="32"/>
        <v>0.11999720893532563</v>
      </c>
      <c r="BX32" s="57">
        <f t="shared" si="32"/>
        <v>0.16279866285777728</v>
      </c>
      <c r="BY32" s="57">
        <f t="shared" si="32"/>
        <v>0.16827857494323831</v>
      </c>
      <c r="BZ32" s="57">
        <f t="shared" si="32"/>
        <v>0.99610015090975046</v>
      </c>
      <c r="CA32" s="57">
        <f t="shared" si="32"/>
        <v>0.16001165409650514</v>
      </c>
      <c r="CB32" s="57">
        <f t="shared" si="32"/>
        <v>0.99808506197078284</v>
      </c>
      <c r="CC32" s="57">
        <f t="shared" si="32"/>
        <v>0.18316259735025181</v>
      </c>
      <c r="CD32" s="57">
        <f t="shared" si="32"/>
        <v>1</v>
      </c>
      <c r="CE32" s="57">
        <f t="shared" si="32"/>
        <v>1</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1574078525.1279321</v>
      </c>
      <c r="C33" s="26">
        <f t="shared" ref="C33:BN33" si="33">C17+C20+C29</f>
        <v>772592636.02726007</v>
      </c>
      <c r="D33" s="26">
        <f t="shared" si="33"/>
        <v>494860051.19259965</v>
      </c>
      <c r="E33" s="26">
        <f t="shared" si="33"/>
        <v>1628943843.243444</v>
      </c>
      <c r="F33" s="26">
        <f t="shared" si="33"/>
        <v>1235356571.7323627</v>
      </c>
      <c r="G33" s="26">
        <f t="shared" si="33"/>
        <v>759619970.82266259</v>
      </c>
      <c r="H33" s="26">
        <f t="shared" si="33"/>
        <v>384752290.48057574</v>
      </c>
      <c r="I33" s="26">
        <f t="shared" si="33"/>
        <v>1408304538.2709551</v>
      </c>
      <c r="J33" s="26">
        <f t="shared" si="33"/>
        <v>1031616885.985127</v>
      </c>
      <c r="K33" s="26">
        <f t="shared" si="33"/>
        <v>653102578.69746745</v>
      </c>
      <c r="L33" s="26">
        <f t="shared" si="33"/>
        <v>349403444.81915987</v>
      </c>
      <c r="M33" s="26">
        <f t="shared" si="33"/>
        <v>1121006462.9343832</v>
      </c>
      <c r="N33" s="26">
        <f t="shared" si="33"/>
        <v>729914451.62147188</v>
      </c>
      <c r="O33" s="26">
        <f t="shared" si="33"/>
        <v>488804833.12059438</v>
      </c>
      <c r="P33" s="26">
        <f t="shared" si="33"/>
        <v>267179806.22563076</v>
      </c>
      <c r="Q33" s="26">
        <f t="shared" si="33"/>
        <v>801806502.63488865</v>
      </c>
      <c r="R33" s="26">
        <f t="shared" si="33"/>
        <v>546068940.40464461</v>
      </c>
      <c r="S33" s="26">
        <f t="shared" si="33"/>
        <v>342303047.45734441</v>
      </c>
      <c r="T33" s="26">
        <f t="shared" si="33"/>
        <v>185649211.4171468</v>
      </c>
      <c r="U33" s="26">
        <f t="shared" si="33"/>
        <v>472749375.95137286</v>
      </c>
      <c r="V33" s="26">
        <f t="shared" si="33"/>
        <v>382441590.46698153</v>
      </c>
      <c r="W33" s="26">
        <f t="shared" si="33"/>
        <v>252294612.08173797</v>
      </c>
      <c r="X33" s="26">
        <f t="shared" si="33"/>
        <v>127688481.56532927</v>
      </c>
      <c r="Y33" s="26">
        <f t="shared" si="33"/>
        <v>384257854.97924483</v>
      </c>
      <c r="Z33" s="26">
        <f t="shared" si="33"/>
        <v>279720259.99635428</v>
      </c>
      <c r="AA33" s="26">
        <f t="shared" si="33"/>
        <v>207557264.00239131</v>
      </c>
      <c r="AB33" s="26">
        <f t="shared" si="33"/>
        <v>115823364.11627197</v>
      </c>
      <c r="AC33" s="26">
        <f t="shared" si="33"/>
        <v>538000660.91042721</v>
      </c>
      <c r="AD33" s="26">
        <f t="shared" si="33"/>
        <v>503572906.50220239</v>
      </c>
      <c r="AE33" s="26">
        <f t="shared" si="33"/>
        <v>333075629.50420797</v>
      </c>
      <c r="AF33" s="26">
        <f t="shared" si="33"/>
        <v>166859549.05632493</v>
      </c>
      <c r="AG33" s="26">
        <f t="shared" si="33"/>
        <v>627443836.22265196</v>
      </c>
      <c r="AH33" s="26">
        <f t="shared" si="33"/>
        <v>302327485.35168731</v>
      </c>
      <c r="AI33" s="26">
        <f t="shared" si="33"/>
        <v>190882386.89751667</v>
      </c>
      <c r="AJ33" s="26">
        <f t="shared" si="33"/>
        <v>83832774.820345938</v>
      </c>
      <c r="AK33" s="26">
        <f t="shared" si="33"/>
        <v>222766570.69064599</v>
      </c>
      <c r="AL33" s="26">
        <f t="shared" si="33"/>
        <v>137547199.75623709</v>
      </c>
      <c r="AM33" s="26">
        <f t="shared" si="33"/>
        <v>64644631.270236149</v>
      </c>
      <c r="AN33" s="26">
        <f t="shared" si="33"/>
        <v>36480340.344530299</v>
      </c>
      <c r="AO33" s="26">
        <f t="shared" si="33"/>
        <v>17221699.222275432</v>
      </c>
      <c r="AP33" s="26">
        <f t="shared" si="33"/>
        <v>155223300.86453378</v>
      </c>
      <c r="AQ33" s="26">
        <f t="shared" si="33"/>
        <v>103475036.96498966</v>
      </c>
      <c r="AR33" s="26">
        <f t="shared" si="33"/>
        <v>45230256.428543217</v>
      </c>
      <c r="AS33" s="26">
        <f t="shared" si="33"/>
        <v>374482735.28081501</v>
      </c>
      <c r="AT33" s="26">
        <f t="shared" si="33"/>
        <v>229055836.26958066</v>
      </c>
      <c r="AU33" s="26">
        <f t="shared" si="33"/>
        <v>65925044.655831918</v>
      </c>
      <c r="AV33" s="26">
        <f t="shared" si="33"/>
        <v>21663078.342571866</v>
      </c>
      <c r="AW33" s="26">
        <f t="shared" si="33"/>
        <v>81458330.203345343</v>
      </c>
      <c r="AX33" s="26">
        <f t="shared" si="33"/>
        <v>99496405.388879493</v>
      </c>
      <c r="AY33" s="26">
        <f t="shared" si="33"/>
        <v>9456407.3741367646</v>
      </c>
      <c r="AZ33" s="26">
        <f t="shared" si="33"/>
        <v>19117658.995815672</v>
      </c>
      <c r="BA33" s="26">
        <f t="shared" si="33"/>
        <v>175947142.46930197</v>
      </c>
      <c r="BB33" s="26">
        <f t="shared" si="33"/>
        <v>19336212.277627736</v>
      </c>
      <c r="BC33" s="26">
        <f t="shared" si="33"/>
        <v>24799469.88507602</v>
      </c>
      <c r="BD33" s="26">
        <f t="shared" si="33"/>
        <v>9434934.0904519595</v>
      </c>
      <c r="BE33" s="26">
        <f t="shared" si="33"/>
        <v>457325.32843292877</v>
      </c>
      <c r="BF33" s="26">
        <f t="shared" si="33"/>
        <v>30580673.131673709</v>
      </c>
      <c r="BG33" s="26">
        <f t="shared" si="33"/>
        <v>21175303.578960329</v>
      </c>
      <c r="BH33" s="26">
        <f t="shared" si="33"/>
        <v>4587525.8784386674</v>
      </c>
      <c r="BI33" s="26">
        <f t="shared" si="33"/>
        <v>50427437.467180245</v>
      </c>
      <c r="BJ33" s="26">
        <f t="shared" si="33"/>
        <v>-35501584.889734916</v>
      </c>
      <c r="BK33" s="26">
        <f t="shared" si="33"/>
        <v>-11526044.88966471</v>
      </c>
      <c r="BL33" s="26">
        <f t="shared" si="33"/>
        <v>4439805.0745459571</v>
      </c>
      <c r="BM33" s="26">
        <f t="shared" si="33"/>
        <v>-622235422.6070286</v>
      </c>
      <c r="BN33" s="26">
        <f t="shared" si="33"/>
        <v>18015400.420516483</v>
      </c>
      <c r="BO33" s="26">
        <f t="shared" ref="BO33:CJ33" si="34">BO17+BO20+BO29</f>
        <v>34867708.094252221</v>
      </c>
      <c r="BP33" s="26">
        <f t="shared" si="34"/>
        <v>24316346.892620627</v>
      </c>
      <c r="BQ33" s="26">
        <f t="shared" si="34"/>
        <v>-93484196.154673219</v>
      </c>
      <c r="BR33" s="26">
        <f t="shared" si="34"/>
        <v>89063572.886564761</v>
      </c>
      <c r="BS33" s="26">
        <f t="shared" si="34"/>
        <v>195756673.46828437</v>
      </c>
      <c r="BT33" s="26">
        <f t="shared" si="34"/>
        <v>124497119.89048153</v>
      </c>
      <c r="BU33" s="26">
        <f t="shared" si="34"/>
        <v>202529789.53605264</v>
      </c>
      <c r="BV33" s="26">
        <f t="shared" si="34"/>
        <v>134672349.2621474</v>
      </c>
      <c r="BW33" s="26">
        <f t="shared" si="34"/>
        <v>199082012.56102037</v>
      </c>
      <c r="BX33" s="26">
        <f t="shared" si="34"/>
        <v>131975369.05494167</v>
      </c>
      <c r="BY33" s="26">
        <f t="shared" si="34"/>
        <v>252446817.68280384</v>
      </c>
      <c r="BZ33" s="26">
        <f t="shared" si="34"/>
        <v>859386740</v>
      </c>
      <c r="CA33" s="26">
        <f t="shared" si="34"/>
        <v>179444123.13346046</v>
      </c>
      <c r="CB33" s="26">
        <f t="shared" si="34"/>
        <v>642940000</v>
      </c>
      <c r="CC33" s="26">
        <f t="shared" si="34"/>
        <v>156926162.01252744</v>
      </c>
      <c r="CD33" s="26">
        <f t="shared" si="34"/>
        <v>764095148.28999996</v>
      </c>
      <c r="CE33" s="26">
        <f t="shared" si="34"/>
        <v>484685682.33999997</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9.0376718026574867</v>
      </c>
      <c r="C34" s="57">
        <f t="shared" ref="C34:D34" si="35">C33/C4*100</f>
        <v>6.4078675505966354</v>
      </c>
      <c r="D34" s="57">
        <f t="shared" si="35"/>
        <v>7.2645969190056157</v>
      </c>
      <c r="E34" s="57">
        <f>E33/E4</f>
        <v>7.6173334841175819E-2</v>
      </c>
      <c r="F34" s="57">
        <f t="shared" ref="F34:BQ34" si="36">F33/F4</f>
        <v>7.7320380286583251E-2</v>
      </c>
      <c r="G34" s="57">
        <f t="shared" si="36"/>
        <v>7.1878841473556873E-2</v>
      </c>
      <c r="H34" s="57">
        <f t="shared" si="36"/>
        <v>6.7614379000945607E-2</v>
      </c>
      <c r="I34" s="57">
        <f t="shared" si="36"/>
        <v>8.6214380744095889E-2</v>
      </c>
      <c r="J34" s="57">
        <f t="shared" si="36"/>
        <v>8.5571337200602685E-2</v>
      </c>
      <c r="K34" s="57">
        <f t="shared" si="36"/>
        <v>8.1793360643722321E-2</v>
      </c>
      <c r="L34" s="57">
        <f t="shared" si="36"/>
        <v>8.2410766849657868E-2</v>
      </c>
      <c r="M34" s="57">
        <f t="shared" si="36"/>
        <v>8.5366913688743357E-2</v>
      </c>
      <c r="N34" s="57">
        <f t="shared" si="36"/>
        <v>7.5938022969332358E-2</v>
      </c>
      <c r="O34" s="57">
        <f t="shared" si="36"/>
        <v>8.010693776353639E-2</v>
      </c>
      <c r="P34" s="57">
        <f t="shared" si="36"/>
        <v>8.1111728336868041E-2</v>
      </c>
      <c r="Q34" s="57">
        <f t="shared" si="36"/>
        <v>7.4212363674035844E-2</v>
      </c>
      <c r="R34" s="57">
        <f t="shared" si="36"/>
        <v>7.0204011021882923E-2</v>
      </c>
      <c r="S34" s="57">
        <f t="shared" si="36"/>
        <v>6.8817676605324979E-2</v>
      </c>
      <c r="T34" s="57">
        <f t="shared" si="36"/>
        <v>7.2064314733750801E-2</v>
      </c>
      <c r="U34" s="57">
        <f t="shared" si="36"/>
        <v>5.4164958387516345E-2</v>
      </c>
      <c r="V34" s="57">
        <f t="shared" si="36"/>
        <v>6.0225934203302807E-2</v>
      </c>
      <c r="W34" s="57">
        <f t="shared" si="36"/>
        <v>6.3101664854199532E-2</v>
      </c>
      <c r="X34" s="57">
        <f t="shared" si="36"/>
        <v>5.4122672482058855E-2</v>
      </c>
      <c r="Y34" s="57">
        <f t="shared" si="36"/>
        <v>5.5690642461248933E-2</v>
      </c>
      <c r="Z34" s="57">
        <f t="shared" si="36"/>
        <v>6.1139458952734732E-2</v>
      </c>
      <c r="AA34" s="57">
        <f t="shared" si="36"/>
        <v>6.6925270423073308E-2</v>
      </c>
      <c r="AB34" s="57">
        <f t="shared" si="36"/>
        <v>7.107623263001861E-2</v>
      </c>
      <c r="AC34" s="57">
        <f t="shared" si="36"/>
        <v>4.9017784631632012E-2</v>
      </c>
      <c r="AD34" s="57">
        <f t="shared" si="36"/>
        <v>5.3767369857865517E-2</v>
      </c>
      <c r="AE34" s="57">
        <f t="shared" si="36"/>
        <v>4.9362716914080396E-2</v>
      </c>
      <c r="AF34" s="57">
        <f t="shared" si="36"/>
        <v>4.3550324145855225E-2</v>
      </c>
      <c r="AG34" s="57">
        <f t="shared" si="36"/>
        <v>5.6009934961132588E-2</v>
      </c>
      <c r="AH34" s="57">
        <f t="shared" si="36"/>
        <v>5.4194884383267583E-2</v>
      </c>
      <c r="AI34" s="57">
        <f t="shared" si="36"/>
        <v>5.2524849802144634E-2</v>
      </c>
      <c r="AJ34" s="57">
        <f t="shared" si="36"/>
        <v>5.0437675097506768E-2</v>
      </c>
      <c r="AK34" s="57">
        <f t="shared" si="36"/>
        <v>5.0915228382715082E-2</v>
      </c>
      <c r="AL34" s="57">
        <f t="shared" si="36"/>
        <v>4.71379276489177E-2</v>
      </c>
      <c r="AM34" s="57">
        <f t="shared" si="36"/>
        <v>3.3978984392645281E-2</v>
      </c>
      <c r="AN34" s="57">
        <f t="shared" si="36"/>
        <v>3.7450075246295712E-2</v>
      </c>
      <c r="AO34" s="57">
        <f t="shared" si="36"/>
        <v>4.011588518029012E-3</v>
      </c>
      <c r="AP34" s="57">
        <f t="shared" si="36"/>
        <v>4.5327804359455888E-2</v>
      </c>
      <c r="AQ34" s="57">
        <f t="shared" si="36"/>
        <v>4.2680168296203157E-2</v>
      </c>
      <c r="AR34" s="57">
        <f t="shared" si="36"/>
        <v>3.9746948155417731E-2</v>
      </c>
      <c r="AS34" s="57">
        <f t="shared" si="36"/>
        <v>7.4886187861082976E-2</v>
      </c>
      <c r="AT34" s="57">
        <f t="shared" si="36"/>
        <v>5.6039498208944431E-2</v>
      </c>
      <c r="AU34" s="57">
        <f t="shared" si="36"/>
        <v>2.3227445740538536E-2</v>
      </c>
      <c r="AV34" s="57">
        <f t="shared" si="36"/>
        <v>1.4958342087770835E-2</v>
      </c>
      <c r="AW34" s="57">
        <f t="shared" si="36"/>
        <v>1.9138125749595794E-2</v>
      </c>
      <c r="AX34" s="57">
        <f t="shared" si="36"/>
        <v>3.0844751411735573E-2</v>
      </c>
      <c r="AY34" s="57">
        <f t="shared" si="36"/>
        <v>4.3846357376739146E-3</v>
      </c>
      <c r="AZ34" s="57">
        <f t="shared" si="36"/>
        <v>1.958489141719855E-2</v>
      </c>
      <c r="BA34" s="57">
        <f t="shared" si="36"/>
        <v>5.3968709391058745E-2</v>
      </c>
      <c r="BB34" s="57">
        <f t="shared" si="36"/>
        <v>8.8481182390569429E-3</v>
      </c>
      <c r="BC34" s="57">
        <f t="shared" si="36"/>
        <v>1.775950088811341E-2</v>
      </c>
      <c r="BD34" s="57">
        <f t="shared" si="36"/>
        <v>1.3058273829039313E-2</v>
      </c>
      <c r="BE34" s="57">
        <f t="shared" si="36"/>
        <v>1.8874866850018937E-4</v>
      </c>
      <c r="BF34" s="57">
        <f t="shared" si="36"/>
        <v>1.8748869239300647E-2</v>
      </c>
      <c r="BG34" s="57">
        <f t="shared" si="36"/>
        <v>1.9306169690635203E-2</v>
      </c>
      <c r="BH34" s="57">
        <f t="shared" si="36"/>
        <v>7.7280211623285888E-3</v>
      </c>
      <c r="BI34" s="57">
        <f t="shared" si="36"/>
        <v>1.7380858554894938E-2</v>
      </c>
      <c r="BJ34" s="57">
        <f t="shared" si="36"/>
        <v>-1.7977336520849187E-2</v>
      </c>
      <c r="BK34" s="57">
        <f t="shared" si="36"/>
        <v>-8.3543338985211293E-3</v>
      </c>
      <c r="BL34" s="57">
        <f t="shared" si="36"/>
        <v>5.2604034122637859E-3</v>
      </c>
      <c r="BM34" s="57">
        <f t="shared" si="36"/>
        <v>-0.21151509089569207</v>
      </c>
      <c r="BN34" s="57">
        <f t="shared" si="36"/>
        <v>7.4648338868326331E-3</v>
      </c>
      <c r="BO34" s="57">
        <f t="shared" si="36"/>
        <v>2.2448221763110243E-2</v>
      </c>
      <c r="BP34" s="57">
        <f t="shared" si="36"/>
        <v>3.4492358606898615E-2</v>
      </c>
      <c r="BQ34" s="57">
        <f t="shared" si="36"/>
        <v>-4.7854902304088114E-2</v>
      </c>
      <c r="BR34" s="57">
        <f t="shared" ref="BR34:CK34" si="37">BR33/BR4</f>
        <v>7.884288246503493E-2</v>
      </c>
      <c r="BS34" s="57">
        <f t="shared" si="37"/>
        <v>7.184091129280018E-2</v>
      </c>
      <c r="BT34" s="57">
        <f t="shared" si="37"/>
        <v>8.4489766908626029E-2</v>
      </c>
      <c r="BU34" s="57">
        <f t="shared" si="37"/>
        <v>7.6149472125241105E-2</v>
      </c>
      <c r="BV34" s="57">
        <f t="shared" si="37"/>
        <v>9.543847545404964E-2</v>
      </c>
      <c r="BW34" s="57">
        <f t="shared" si="37"/>
        <v>9.1862842025998467E-2</v>
      </c>
      <c r="BX34" s="57">
        <f t="shared" si="37"/>
        <v>0.13139037585449526</v>
      </c>
      <c r="BY34" s="57">
        <f t="shared" si="37"/>
        <v>0.13724737311427068</v>
      </c>
      <c r="BZ34" s="57">
        <f t="shared" si="37"/>
        <v>0.97359627122055425</v>
      </c>
      <c r="CA34" s="57">
        <f t="shared" si="37"/>
        <v>0.13261132938124565</v>
      </c>
      <c r="CB34" s="57">
        <f t="shared" si="37"/>
        <v>0.97250415205757523</v>
      </c>
      <c r="CC34" s="57">
        <f t="shared" si="37"/>
        <v>0.15610546512284609</v>
      </c>
      <c r="CD34" s="57">
        <f t="shared" si="37"/>
        <v>1</v>
      </c>
      <c r="CE34" s="57">
        <f t="shared" si="37"/>
        <v>1</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-411549425.93000001</v>
      </c>
      <c r="C35" s="26">
        <f t="shared" ref="C35:BN35" si="38">C23+C68</f>
        <v>-231324400.97999999</v>
      </c>
      <c r="D35" s="26">
        <f t="shared" si="38"/>
        <v>-69506902.959999993</v>
      </c>
      <c r="E35" s="26">
        <f t="shared" si="38"/>
        <v>123624911.67999999</v>
      </c>
      <c r="F35" s="26">
        <f t="shared" si="38"/>
        <v>-26301493.670000002</v>
      </c>
      <c r="G35" s="26">
        <f t="shared" si="38"/>
        <v>-23499888.84</v>
      </c>
      <c r="H35" s="26">
        <f t="shared" si="38"/>
        <v>-18383829.850000001</v>
      </c>
      <c r="I35" s="26">
        <f t="shared" si="38"/>
        <v>-31732333.780000001</v>
      </c>
      <c r="J35" s="26">
        <f t="shared" si="38"/>
        <v>-94016729.519999996</v>
      </c>
      <c r="K35" s="26">
        <f t="shared" si="38"/>
        <v>-63399464.469999999</v>
      </c>
      <c r="L35" s="26">
        <f t="shared" si="38"/>
        <v>-30693728.100000001</v>
      </c>
      <c r="M35" s="26">
        <f t="shared" si="38"/>
        <v>-26131178.25</v>
      </c>
      <c r="N35" s="26">
        <f t="shared" si="38"/>
        <v>-81924696.400000006</v>
      </c>
      <c r="O35" s="26">
        <f t="shared" si="38"/>
        <v>-11205277.58</v>
      </c>
      <c r="P35" s="26">
        <f t="shared" si="38"/>
        <v>-11914487.390000001</v>
      </c>
      <c r="Q35" s="26">
        <f t="shared" si="38"/>
        <v>15021385.720000001</v>
      </c>
      <c r="R35" s="26">
        <f t="shared" si="38"/>
        <v>-43416185.100000001</v>
      </c>
      <c r="S35" s="26">
        <f t="shared" si="38"/>
        <v>-9899828.8599999994</v>
      </c>
      <c r="T35" s="26">
        <f t="shared" si="38"/>
        <v>-2706279.81</v>
      </c>
      <c r="U35" s="26">
        <f t="shared" si="38"/>
        <v>42252115.840000004</v>
      </c>
      <c r="V35" s="26">
        <f t="shared" si="38"/>
        <v>22101561.23</v>
      </c>
      <c r="W35" s="26">
        <f t="shared" si="38"/>
        <v>20143097.739999998</v>
      </c>
      <c r="X35" s="26">
        <f t="shared" si="38"/>
        <v>8861929.1999999993</v>
      </c>
      <c r="Y35" s="26">
        <f t="shared" si="38"/>
        <v>21119406.799999997</v>
      </c>
      <c r="Z35" s="26">
        <f t="shared" si="38"/>
        <v>-51906392.020000003</v>
      </c>
      <c r="AA35" s="26">
        <f t="shared" si="38"/>
        <v>-30539990.760000002</v>
      </c>
      <c r="AB35" s="26">
        <f t="shared" si="38"/>
        <v>-16174527.67</v>
      </c>
      <c r="AC35" s="26">
        <f t="shared" si="38"/>
        <v>46065406.57</v>
      </c>
      <c r="AD35" s="26">
        <f t="shared" si="38"/>
        <v>1975566.89</v>
      </c>
      <c r="AE35" s="26">
        <f t="shared" si="38"/>
        <v>1111770.69</v>
      </c>
      <c r="AF35" s="26">
        <f t="shared" si="38"/>
        <v>3756582.06</v>
      </c>
      <c r="AG35" s="26">
        <f t="shared" si="38"/>
        <v>56098096.129999995</v>
      </c>
      <c r="AH35" s="26">
        <f t="shared" si="38"/>
        <v>21508698.399999999</v>
      </c>
      <c r="AI35" s="26">
        <f t="shared" si="38"/>
        <v>11221531.82</v>
      </c>
      <c r="AJ35" s="26">
        <f t="shared" si="38"/>
        <v>-1171952.69</v>
      </c>
      <c r="AK35" s="26">
        <f t="shared" si="38"/>
        <v>9097678.379999999</v>
      </c>
      <c r="AL35" s="26">
        <f t="shared" si="38"/>
        <v>2392171.0099999998</v>
      </c>
      <c r="AM35" s="26">
        <f t="shared" si="38"/>
        <v>2212812.2000000002</v>
      </c>
      <c r="AN35" s="26">
        <f t="shared" si="38"/>
        <v>749646.93</v>
      </c>
      <c r="AO35" s="26">
        <f t="shared" si="38"/>
        <v>48503537.040000007</v>
      </c>
      <c r="AP35" s="26">
        <f t="shared" si="38"/>
        <v>34521027.659999996</v>
      </c>
      <c r="AQ35" s="26">
        <f t="shared" si="38"/>
        <v>29739572.25</v>
      </c>
      <c r="AR35" s="26">
        <f t="shared" si="38"/>
        <v>11695243.279999999</v>
      </c>
      <c r="AS35" s="26">
        <f t="shared" si="38"/>
        <v>69338051.359999999</v>
      </c>
      <c r="AT35" s="26">
        <f t="shared" si="38"/>
        <v>19190194.890000001</v>
      </c>
      <c r="AU35" s="26">
        <f t="shared" si="38"/>
        <v>12636907.119999999</v>
      </c>
      <c r="AV35" s="26">
        <f t="shared" si="38"/>
        <v>5693588.3300000001</v>
      </c>
      <c r="AW35" s="26">
        <f t="shared" si="38"/>
        <v>72001716.609999999</v>
      </c>
      <c r="AX35" s="26">
        <f t="shared" si="38"/>
        <v>33842199.990000002</v>
      </c>
      <c r="AY35" s="26">
        <f t="shared" si="38"/>
        <v>21271490.68</v>
      </c>
      <c r="AZ35" s="26">
        <f t="shared" si="38"/>
        <v>9597118.6899999995</v>
      </c>
      <c r="BA35" s="26">
        <f t="shared" si="38"/>
        <v>51228793.170000002</v>
      </c>
      <c r="BB35" s="26">
        <f t="shared" si="38"/>
        <v>28119610.609999999</v>
      </c>
      <c r="BC35" s="26">
        <f t="shared" si="38"/>
        <v>15055539.25</v>
      </c>
      <c r="BD35" s="26">
        <f t="shared" si="38"/>
        <v>7862021.6200000001</v>
      </c>
      <c r="BE35" s="26">
        <f t="shared" si="38"/>
        <v>11899212.73</v>
      </c>
      <c r="BF35" s="26">
        <f t="shared" si="38"/>
        <v>12821909.949999999</v>
      </c>
      <c r="BG35" s="26">
        <f t="shared" si="38"/>
        <v>7134073.9699999997</v>
      </c>
      <c r="BH35" s="26">
        <f t="shared" si="38"/>
        <v>7382419.7599999998</v>
      </c>
      <c r="BI35" s="26">
        <f t="shared" si="38"/>
        <v>12939147.449999999</v>
      </c>
      <c r="BJ35" s="26">
        <f t="shared" si="38"/>
        <v>10535351.630000001</v>
      </c>
      <c r="BK35" s="26">
        <f t="shared" si="38"/>
        <v>7370188.5300000003</v>
      </c>
      <c r="BL35" s="26">
        <f t="shared" si="38"/>
        <v>9144810.2799999993</v>
      </c>
      <c r="BM35" s="26">
        <f t="shared" si="38"/>
        <v>32700945.350000001</v>
      </c>
      <c r="BN35" s="26">
        <f t="shared" si="38"/>
        <v>21978103.609999999</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-54502423.029522389</v>
      </c>
      <c r="C36" s="26">
        <f t="shared" ref="C36:BN36" si="40">C35*C41</f>
        <v>-43898960.761283286</v>
      </c>
      <c r="D36" s="26">
        <f t="shared" si="40"/>
        <v>-12842227.282370169</v>
      </c>
      <c r="E36" s="26">
        <f t="shared" si="40"/>
        <v>23275880.105089035</v>
      </c>
      <c r="F36" s="26">
        <f t="shared" si="40"/>
        <v>-4141570.6399795404</v>
      </c>
      <c r="G36" s="26">
        <f t="shared" si="40"/>
        <v>-3734800.8901726929</v>
      </c>
      <c r="H36" s="26">
        <f t="shared" si="40"/>
        <v>-3016039.0835765237</v>
      </c>
      <c r="I36" s="26">
        <f t="shared" si="40"/>
        <v>-4588588.9988038074</v>
      </c>
      <c r="J36" s="26">
        <f t="shared" si="40"/>
        <v>-14416605.465268733</v>
      </c>
      <c r="K36" s="26">
        <f t="shared" si="40"/>
        <v>-9741697.72595804</v>
      </c>
      <c r="L36" s="26">
        <f t="shared" si="40"/>
        <v>-4612626.7134286463</v>
      </c>
      <c r="M36" s="26">
        <f t="shared" si="40"/>
        <v>-3437820.4280323894</v>
      </c>
      <c r="N36" s="26">
        <f t="shared" si="40"/>
        <v>-11750539.019255254</v>
      </c>
      <c r="O36" s="26">
        <f t="shared" si="40"/>
        <v>-1531489.8180743738</v>
      </c>
      <c r="P36" s="26">
        <f t="shared" si="40"/>
        <v>-1798241.8849739139</v>
      </c>
      <c r="Q36" s="26">
        <f t="shared" si="40"/>
        <v>2306816.546710223</v>
      </c>
      <c r="R36" s="26">
        <f t="shared" si="40"/>
        <v>-6862958.4934369158</v>
      </c>
      <c r="S36" s="26">
        <f t="shared" si="40"/>
        <v>-1577145.0168802291</v>
      </c>
      <c r="T36" s="26">
        <f t="shared" si="40"/>
        <v>-389572.51829724346</v>
      </c>
      <c r="U36" s="26">
        <f t="shared" si="40"/>
        <v>6111941.9396016812</v>
      </c>
      <c r="V36" s="26">
        <f t="shared" si="40"/>
        <v>3376308.885718321</v>
      </c>
      <c r="W36" s="26">
        <f t="shared" si="40"/>
        <v>3111264.733246421</v>
      </c>
      <c r="X36" s="26">
        <f t="shared" si="40"/>
        <v>1342066.6257263611</v>
      </c>
      <c r="Y36" s="26">
        <f t="shared" si="40"/>
        <v>3253784.4108124631</v>
      </c>
      <c r="Z36" s="26">
        <f t="shared" si="40"/>
        <v>-6979712.1674615359</v>
      </c>
      <c r="AA36" s="26">
        <f t="shared" si="40"/>
        <v>-3874280.6440786375</v>
      </c>
      <c r="AB36" s="26">
        <f t="shared" si="40"/>
        <v>-2507418.9426925234</v>
      </c>
      <c r="AC36" s="26">
        <f t="shared" si="40"/>
        <v>9582045.4105279278</v>
      </c>
      <c r="AD36" s="26">
        <f t="shared" si="40"/>
        <v>372366.41872899613</v>
      </c>
      <c r="AE36" s="26">
        <f t="shared" si="40"/>
        <v>225117.96452646435</v>
      </c>
      <c r="AF36" s="26">
        <f t="shared" si="40"/>
        <v>626131.95287233626</v>
      </c>
      <c r="AG36" s="26">
        <f t="shared" si="40"/>
        <v>9068215.6780121345</v>
      </c>
      <c r="AH36" s="26">
        <f t="shared" si="40"/>
        <v>3425694.7432535877</v>
      </c>
      <c r="AI36" s="26">
        <f t="shared" si="40"/>
        <v>1882151.1918249077</v>
      </c>
      <c r="AJ36" s="26">
        <f t="shared" si="40"/>
        <v>-178222.59298822194</v>
      </c>
      <c r="AK36" s="26">
        <f t="shared" si="40"/>
        <v>1885589.5448114991</v>
      </c>
      <c r="AL36" s="26">
        <f t="shared" si="40"/>
        <v>357602.75752219016</v>
      </c>
      <c r="AM36" s="26">
        <f t="shared" si="40"/>
        <v>276502.34976379905</v>
      </c>
      <c r="AN36" s="26">
        <f t="shared" si="40"/>
        <v>137946.32546968106</v>
      </c>
      <c r="AO36" s="26">
        <f t="shared" si="40"/>
        <v>36230208.8777242</v>
      </c>
      <c r="AP36" s="26">
        <f t="shared" si="40"/>
        <v>9110645.5918624792</v>
      </c>
      <c r="AQ36" s="26">
        <f t="shared" si="40"/>
        <v>8379882.8509204462</v>
      </c>
      <c r="AR36" s="26">
        <f t="shared" si="40"/>
        <v>2166033.5814569579</v>
      </c>
      <c r="AS36" s="26">
        <f t="shared" si="40"/>
        <v>12813066.339185245</v>
      </c>
      <c r="AT36" s="26">
        <f t="shared" si="40"/>
        <v>1546673.1504191924</v>
      </c>
      <c r="AU36" s="26">
        <f t="shared" si="40"/>
        <v>1733636.8441680411</v>
      </c>
      <c r="AV36" s="26">
        <f t="shared" si="40"/>
        <v>1420847.1574281536</v>
      </c>
      <c r="AW36" s="26">
        <f t="shared" si="40"/>
        <v>-49394323.523345284</v>
      </c>
      <c r="AX36" s="26">
        <f t="shared" si="40"/>
        <v>-74203313.608879179</v>
      </c>
      <c r="AY36" s="26">
        <f t="shared" si="40"/>
        <v>14451581.595863473</v>
      </c>
      <c r="AZ36" s="26">
        <f t="shared" si="40"/>
        <v>736364.45418430539</v>
      </c>
      <c r="BA36" s="26">
        <f t="shared" si="40"/>
        <v>-136008115.88930222</v>
      </c>
      <c r="BB36" s="26">
        <f t="shared" si="40"/>
        <v>-3904953.9776277798</v>
      </c>
      <c r="BC36" s="26">
        <f t="shared" si="40"/>
        <v>-13304029.445075953</v>
      </c>
      <c r="BD36" s="26">
        <f t="shared" si="40"/>
        <v>2148979.8995480388</v>
      </c>
      <c r="BE36" s="26">
        <f t="shared" si="40"/>
        <v>11636851.651566962</v>
      </c>
      <c r="BF36" s="26">
        <f t="shared" si="40"/>
        <v>4925452.0183261633</v>
      </c>
      <c r="BG36" s="26">
        <f t="shared" si="40"/>
        <v>2023659.471039657</v>
      </c>
      <c r="BH36" s="26">
        <f t="shared" si="40"/>
        <v>4189285.3615613007</v>
      </c>
      <c r="BI36" s="26">
        <f t="shared" si="40"/>
        <v>3412067.7128200857</v>
      </c>
      <c r="BJ36" s="26">
        <f t="shared" si="40"/>
        <v>40330954.729734868</v>
      </c>
      <c r="BK36" s="26">
        <f t="shared" si="40"/>
        <v>-3231761.3403353542</v>
      </c>
      <c r="BL36" s="26">
        <f t="shared" si="40"/>
        <v>6069396.8754540225</v>
      </c>
      <c r="BM36" s="26">
        <f t="shared" si="40"/>
        <v>-433178.68297167984</v>
      </c>
      <c r="BN36" s="26">
        <f t="shared" si="40"/>
        <v>13843483.829483345</v>
      </c>
      <c r="BO36" s="26">
        <f t="shared" ref="BO36:CJ36" si="41">BO35*BO41</f>
        <v>2765995.4057477405</v>
      </c>
      <c r="BP36" s="26">
        <f t="shared" si="41"/>
        <v>2696403.6573793888</v>
      </c>
      <c r="BQ36" s="26">
        <f t="shared" si="41"/>
        <v>-2230771.9853267306</v>
      </c>
      <c r="BR36" s="26">
        <f t="shared" si="41"/>
        <v>648074.38343513559</v>
      </c>
      <c r="BS36" s="26">
        <f t="shared" si="41"/>
        <v>4119765.9917155644</v>
      </c>
      <c r="BT36" s="26">
        <f t="shared" si="41"/>
        <v>2150320.0795183722</v>
      </c>
      <c r="BU36" s="26">
        <f t="shared" si="41"/>
        <v>5909341.3639476234</v>
      </c>
      <c r="BV36" s="26">
        <f t="shared" si="41"/>
        <v>1320382.1578526511</v>
      </c>
      <c r="BW36" s="26">
        <f t="shared" si="41"/>
        <v>-3648378.5010203468</v>
      </c>
      <c r="BX36" s="26">
        <f t="shared" si="41"/>
        <v>-362791.48494169279</v>
      </c>
      <c r="BY36" s="26">
        <f t="shared" si="41"/>
        <v>-1237370.0828037485</v>
      </c>
      <c r="BZ36" s="26">
        <f t="shared" si="41"/>
        <v>0</v>
      </c>
      <c r="CA36" s="26">
        <f t="shared" si="41"/>
        <v>859730.36653965176</v>
      </c>
      <c r="CB36" s="26">
        <f t="shared" si="41"/>
        <v>0</v>
      </c>
      <c r="CC36" s="26">
        <f t="shared" si="41"/>
        <v>1354011.1974725954</v>
      </c>
      <c r="CD36" s="26">
        <f t="shared" si="41"/>
        <v>0</v>
      </c>
      <c r="CE36" s="26">
        <f t="shared" si="41"/>
        <v>0</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-357047002.90047765</v>
      </c>
      <c r="C37" s="26">
        <f t="shared" ref="C37:BN37" si="42">C35-C36</f>
        <v>-187425440.21871671</v>
      </c>
      <c r="D37" s="26">
        <f t="shared" si="42"/>
        <v>-56664675.677629828</v>
      </c>
      <c r="E37" s="26">
        <f t="shared" si="42"/>
        <v>100349031.57491095</v>
      </c>
      <c r="F37" s="26">
        <f t="shared" si="42"/>
        <v>-22159923.03002046</v>
      </c>
      <c r="G37" s="26">
        <f t="shared" si="42"/>
        <v>-19765087.949827306</v>
      </c>
      <c r="H37" s="26">
        <f t="shared" si="42"/>
        <v>-15367790.766423479</v>
      </c>
      <c r="I37" s="26">
        <f t="shared" si="42"/>
        <v>-27143744.781196192</v>
      </c>
      <c r="J37" s="26">
        <f t="shared" si="42"/>
        <v>-79600124.054731265</v>
      </c>
      <c r="K37" s="26">
        <f t="shared" si="42"/>
        <v>-53657766.744041957</v>
      </c>
      <c r="L37" s="26">
        <f t="shared" si="42"/>
        <v>-26081101.386571355</v>
      </c>
      <c r="M37" s="26">
        <f t="shared" si="42"/>
        <v>-22693357.821967609</v>
      </c>
      <c r="N37" s="26">
        <f t="shared" si="42"/>
        <v>-70174157.380744755</v>
      </c>
      <c r="O37" s="26">
        <f t="shared" si="42"/>
        <v>-9673787.7619256265</v>
      </c>
      <c r="P37" s="26">
        <f t="shared" si="42"/>
        <v>-10116245.505026087</v>
      </c>
      <c r="Q37" s="26">
        <f t="shared" si="42"/>
        <v>12714569.173289778</v>
      </c>
      <c r="R37" s="26">
        <f t="shared" si="42"/>
        <v>-36553226.606563084</v>
      </c>
      <c r="S37" s="26">
        <f t="shared" si="42"/>
        <v>-8322683.8431197703</v>
      </c>
      <c r="T37" s="26">
        <f t="shared" si="42"/>
        <v>-2316707.2917027567</v>
      </c>
      <c r="U37" s="26">
        <f t="shared" si="42"/>
        <v>36140173.900398321</v>
      </c>
      <c r="V37" s="26">
        <f t="shared" si="42"/>
        <v>18725252.344281681</v>
      </c>
      <c r="W37" s="26">
        <f t="shared" si="42"/>
        <v>17031833.006753579</v>
      </c>
      <c r="X37" s="26">
        <f t="shared" si="42"/>
        <v>7519862.5742736384</v>
      </c>
      <c r="Y37" s="26">
        <f t="shared" si="42"/>
        <v>17865622.389187533</v>
      </c>
      <c r="Z37" s="26">
        <f t="shared" si="42"/>
        <v>-44926679.852538466</v>
      </c>
      <c r="AA37" s="26">
        <f t="shared" si="42"/>
        <v>-26665710.115921363</v>
      </c>
      <c r="AB37" s="26">
        <f t="shared" si="42"/>
        <v>-13667108.727307476</v>
      </c>
      <c r="AC37" s="26">
        <f t="shared" si="42"/>
        <v>36483361.159472071</v>
      </c>
      <c r="AD37" s="26">
        <f t="shared" si="42"/>
        <v>1603200.4712710038</v>
      </c>
      <c r="AE37" s="26">
        <f t="shared" si="42"/>
        <v>886652.7254735356</v>
      </c>
      <c r="AF37" s="26">
        <f t="shared" si="42"/>
        <v>3130450.1071276637</v>
      </c>
      <c r="AG37" s="26">
        <f t="shared" si="42"/>
        <v>47029880.451987863</v>
      </c>
      <c r="AH37" s="26">
        <f t="shared" si="42"/>
        <v>18083003.65674641</v>
      </c>
      <c r="AI37" s="26">
        <f t="shared" si="42"/>
        <v>9339380.6281750929</v>
      </c>
      <c r="AJ37" s="26">
        <f t="shared" si="42"/>
        <v>-993730.09701177804</v>
      </c>
      <c r="AK37" s="26">
        <f t="shared" si="42"/>
        <v>7212088.8351884997</v>
      </c>
      <c r="AL37" s="26">
        <f t="shared" si="42"/>
        <v>2034568.2524778096</v>
      </c>
      <c r="AM37" s="26">
        <f t="shared" si="42"/>
        <v>1936309.8502362012</v>
      </c>
      <c r="AN37" s="26">
        <f t="shared" si="42"/>
        <v>611700.60453031899</v>
      </c>
      <c r="AO37" s="26">
        <f t="shared" si="42"/>
        <v>12273328.162275806</v>
      </c>
      <c r="AP37" s="26">
        <f t="shared" si="42"/>
        <v>25410382.068137519</v>
      </c>
      <c r="AQ37" s="26">
        <f t="shared" si="42"/>
        <v>21359689.399079554</v>
      </c>
      <c r="AR37" s="26">
        <f t="shared" si="42"/>
        <v>9529209.6985430419</v>
      </c>
      <c r="AS37" s="26">
        <f t="shared" si="42"/>
        <v>56524985.020814754</v>
      </c>
      <c r="AT37" s="26">
        <f t="shared" si="42"/>
        <v>17643521.73958081</v>
      </c>
      <c r="AU37" s="26">
        <f t="shared" si="42"/>
        <v>10903270.275831958</v>
      </c>
      <c r="AV37" s="26">
        <f t="shared" si="42"/>
        <v>4272741.1725718463</v>
      </c>
      <c r="AW37" s="26">
        <f t="shared" si="42"/>
        <v>121396040.13334528</v>
      </c>
      <c r="AX37" s="26">
        <f t="shared" si="42"/>
        <v>108045513.59887919</v>
      </c>
      <c r="AY37" s="26">
        <f t="shared" si="42"/>
        <v>6819909.084136527</v>
      </c>
      <c r="AZ37" s="26">
        <f t="shared" si="42"/>
        <v>8860754.2358156946</v>
      </c>
      <c r="BA37" s="26">
        <f t="shared" si="42"/>
        <v>187236909.05930221</v>
      </c>
      <c r="BB37" s="26">
        <f t="shared" si="42"/>
        <v>32024564.58762778</v>
      </c>
      <c r="BC37" s="26">
        <f t="shared" si="42"/>
        <v>28359568.695075952</v>
      </c>
      <c r="BD37" s="26">
        <f t="shared" si="42"/>
        <v>5713041.7204519613</v>
      </c>
      <c r="BE37" s="26">
        <f t="shared" si="42"/>
        <v>262361.07843303867</v>
      </c>
      <c r="BF37" s="26">
        <f t="shared" si="42"/>
        <v>7896457.931673836</v>
      </c>
      <c r="BG37" s="26">
        <f t="shared" si="42"/>
        <v>5110414.4989603423</v>
      </c>
      <c r="BH37" s="26">
        <f t="shared" si="42"/>
        <v>3193134.3984386991</v>
      </c>
      <c r="BI37" s="26">
        <f t="shared" si="42"/>
        <v>9527079.7371799126</v>
      </c>
      <c r="BJ37" s="26">
        <f t="shared" si="42"/>
        <v>-29795603.099734865</v>
      </c>
      <c r="BK37" s="26">
        <f t="shared" si="42"/>
        <v>10601949.870335355</v>
      </c>
      <c r="BL37" s="26">
        <f t="shared" si="42"/>
        <v>3075413.4045459768</v>
      </c>
      <c r="BM37" s="26">
        <f t="shared" si="42"/>
        <v>33134124.03297168</v>
      </c>
      <c r="BN37" s="26">
        <f t="shared" si="42"/>
        <v>8134619.7805166543</v>
      </c>
      <c r="BO37" s="26">
        <f t="shared" ref="BO37:CJ37" si="43">BO35-BO36</f>
        <v>6476023.9442522591</v>
      </c>
      <c r="BP37" s="26">
        <f t="shared" si="43"/>
        <v>4896710.6926206108</v>
      </c>
      <c r="BQ37" s="26">
        <f t="shared" si="43"/>
        <v>4483495.4753267309</v>
      </c>
      <c r="BR37" s="26">
        <f t="shared" si="43"/>
        <v>2837206.5465648645</v>
      </c>
      <c r="BS37" s="26">
        <f t="shared" si="43"/>
        <v>17495217.898284435</v>
      </c>
      <c r="BT37" s="26">
        <f t="shared" si="43"/>
        <v>9927283.1904816274</v>
      </c>
      <c r="BU37" s="26">
        <f t="shared" si="43"/>
        <v>16114266.136052378</v>
      </c>
      <c r="BV37" s="26">
        <f t="shared" si="43"/>
        <v>4747162.902147349</v>
      </c>
      <c r="BW37" s="26">
        <f t="shared" si="43"/>
        <v>-11912491.898979653</v>
      </c>
      <c r="BX37" s="26">
        <f t="shared" si="43"/>
        <v>-1517666.6450583071</v>
      </c>
      <c r="BY37" s="26">
        <f t="shared" si="43"/>
        <v>-5472743.0271962518</v>
      </c>
      <c r="BZ37" s="26">
        <f t="shared" si="43"/>
        <v>0</v>
      </c>
      <c r="CA37" s="26">
        <f t="shared" si="43"/>
        <v>4160899.1134603489</v>
      </c>
      <c r="CB37" s="26">
        <f t="shared" si="43"/>
        <v>0</v>
      </c>
      <c r="CC37" s="26">
        <f t="shared" si="43"/>
        <v>7811934.6125274049</v>
      </c>
      <c r="CD37" s="26">
        <f t="shared" si="43"/>
        <v>0</v>
      </c>
      <c r="CE37" s="26">
        <f t="shared" si="43"/>
        <v>0</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2232210420.4900022</v>
      </c>
      <c r="C38" s="28">
        <f t="shared" ref="C38:BN38" si="44">C31-C35</f>
        <v>1187796059.589999</v>
      </c>
      <c r="D38" s="28">
        <f t="shared" si="44"/>
        <v>676402223.62000036</v>
      </c>
      <c r="E38" s="28">
        <f t="shared" si="44"/>
        <v>1892277451.2500012</v>
      </c>
      <c r="F38" s="28">
        <f t="shared" si="44"/>
        <v>1497891719.5299988</v>
      </c>
      <c r="G38" s="28">
        <f t="shared" si="44"/>
        <v>932782623.29999924</v>
      </c>
      <c r="H38" s="28">
        <f t="shared" si="44"/>
        <v>485102774.51999962</v>
      </c>
      <c r="I38" s="28">
        <f t="shared" si="44"/>
        <v>1671139981.0399997</v>
      </c>
      <c r="J38" s="28">
        <f t="shared" si="44"/>
        <v>1305135552.26</v>
      </c>
      <c r="K38" s="28">
        <f t="shared" si="44"/>
        <v>828490442.80999994</v>
      </c>
      <c r="L38" s="28">
        <f t="shared" si="44"/>
        <v>439671744.83999974</v>
      </c>
      <c r="M38" s="28">
        <f t="shared" si="44"/>
        <v>1309643513.21</v>
      </c>
      <c r="N38" s="28">
        <f t="shared" si="44"/>
        <v>933861075.65999961</v>
      </c>
      <c r="O38" s="28">
        <f t="shared" si="44"/>
        <v>577398679.08000076</v>
      </c>
      <c r="P38" s="28">
        <f t="shared" si="44"/>
        <v>326567121.97999984</v>
      </c>
      <c r="Q38" s="28">
        <f t="shared" si="44"/>
        <v>932328351.72000098</v>
      </c>
      <c r="R38" s="28">
        <f t="shared" si="44"/>
        <v>691960881.00000048</v>
      </c>
      <c r="S38" s="28">
        <f t="shared" si="44"/>
        <v>417026328.36000037</v>
      </c>
      <c r="T38" s="28">
        <f t="shared" si="44"/>
        <v>219533795.15999997</v>
      </c>
      <c r="U38" s="28">
        <f t="shared" si="44"/>
        <v>510622280.40000117</v>
      </c>
      <c r="V38" s="28">
        <f t="shared" si="44"/>
        <v>429418490.23999965</v>
      </c>
      <c r="W38" s="28">
        <f t="shared" si="44"/>
        <v>278343124.49999994</v>
      </c>
      <c r="X38" s="28">
        <f t="shared" si="44"/>
        <v>141620533.31999987</v>
      </c>
      <c r="Y38" s="28">
        <f t="shared" si="44"/>
        <v>433161205.8100009</v>
      </c>
      <c r="Z38" s="28">
        <f t="shared" si="44"/>
        <v>375066607.95000052</v>
      </c>
      <c r="AA38" s="28">
        <f t="shared" si="44"/>
        <v>268242986.83999982</v>
      </c>
      <c r="AB38" s="28">
        <f t="shared" si="44"/>
        <v>153256625.16</v>
      </c>
      <c r="AC38" s="28">
        <f t="shared" si="44"/>
        <v>633664829.59000111</v>
      </c>
      <c r="AD38" s="28">
        <f t="shared" si="44"/>
        <v>613145314.25999928</v>
      </c>
      <c r="AE38" s="28">
        <f t="shared" si="44"/>
        <v>416993796.80999941</v>
      </c>
      <c r="AF38" s="28">
        <f t="shared" si="44"/>
        <v>196600877.23999977</v>
      </c>
      <c r="AG38" s="28">
        <f t="shared" si="44"/>
        <v>692509168.56999922</v>
      </c>
      <c r="AH38" s="28">
        <f t="shared" si="44"/>
        <v>338090656.91999972</v>
      </c>
      <c r="AI38" s="28">
        <f t="shared" si="44"/>
        <v>218128689.66999987</v>
      </c>
      <c r="AJ38" s="28">
        <f t="shared" si="44"/>
        <v>100022680.6000002</v>
      </c>
      <c r="AK38" s="28">
        <f t="shared" si="44"/>
        <v>269848274.81000006</v>
      </c>
      <c r="AL38" s="28">
        <f t="shared" si="44"/>
        <v>159312177.14000008</v>
      </c>
      <c r="AM38" s="28">
        <f t="shared" si="44"/>
        <v>71662982.379999951</v>
      </c>
      <c r="AN38" s="28">
        <f t="shared" si="44"/>
        <v>43957477.669999979</v>
      </c>
      <c r="AO38" s="28">
        <f t="shared" si="44"/>
        <v>19555697.999999627</v>
      </c>
      <c r="AP38" s="28">
        <f t="shared" si="44"/>
        <v>158932192.69000018</v>
      </c>
      <c r="AQ38" s="28">
        <f t="shared" si="44"/>
        <v>98575705.749999866</v>
      </c>
      <c r="AR38" s="28">
        <f t="shared" si="44"/>
        <v>43816060.310000174</v>
      </c>
      <c r="AS38" s="28">
        <f t="shared" si="44"/>
        <v>390032315.97000027</v>
      </c>
      <c r="AT38" s="28">
        <f t="shared" si="44"/>
        <v>229945221.69999987</v>
      </c>
      <c r="AU38" s="28">
        <f t="shared" si="44"/>
        <v>63770321.639999963</v>
      </c>
      <c r="AV38" s="28">
        <f t="shared" si="44"/>
        <v>23173278.410000019</v>
      </c>
      <c r="AW38" s="28">
        <f t="shared" si="44"/>
        <v>-23687623.329999939</v>
      </c>
      <c r="AX38" s="28">
        <f t="shared" si="44"/>
        <v>-2677766.2499996796</v>
      </c>
      <c r="AY38" s="28">
        <f t="shared" si="44"/>
        <v>8223313.2600002363</v>
      </c>
      <c r="AZ38" s="28">
        <f t="shared" si="44"/>
        <v>11109294.959999977</v>
      </c>
      <c r="BA38" s="28">
        <f t="shared" si="44"/>
        <v>-3088926.8600002229</v>
      </c>
      <c r="BB38" s="28">
        <f t="shared" si="44"/>
        <v>-11141182.740000043</v>
      </c>
      <c r="BC38" s="28">
        <f t="shared" si="44"/>
        <v>-1889986.6899999306</v>
      </c>
      <c r="BD38" s="28">
        <f t="shared" si="44"/>
        <v>5121894.7299999977</v>
      </c>
      <c r="BE38" s="28">
        <f t="shared" si="44"/>
        <v>8842474.2699998878</v>
      </c>
      <c r="BF38" s="28">
        <f t="shared" si="44"/>
        <v>36833598.949999869</v>
      </c>
      <c r="BG38" s="28">
        <f t="shared" si="44"/>
        <v>22426381.859999988</v>
      </c>
      <c r="BH38" s="28">
        <f t="shared" si="44"/>
        <v>3223786.3899999689</v>
      </c>
      <c r="BI38" s="28">
        <f t="shared" si="44"/>
        <v>55548580.890000328</v>
      </c>
      <c r="BJ38" s="28">
        <f t="shared" si="44"/>
        <v>2017563.609999964</v>
      </c>
      <c r="BK38" s="28">
        <f t="shared" si="44"/>
        <v>-15382782.900000062</v>
      </c>
      <c r="BL38" s="28">
        <f t="shared" si="44"/>
        <v>4057049.0299999807</v>
      </c>
      <c r="BM38" s="28">
        <f t="shared" si="44"/>
        <v>-646801578.5600003</v>
      </c>
      <c r="BN38" s="28">
        <f t="shared" si="44"/>
        <v>26695878.41999983</v>
      </c>
      <c r="BO38" s="28">
        <f t="shared" ref="BO38:CJ38" si="45">BO31-BO35</f>
        <v>40518147.639999956</v>
      </c>
      <c r="BP38" s="28">
        <f t="shared" si="45"/>
        <v>30113177.510000013</v>
      </c>
      <c r="BQ38" s="28">
        <f t="shared" si="45"/>
        <v>-49223674.119999953</v>
      </c>
      <c r="BR38" s="28">
        <f t="shared" si="45"/>
        <v>105922182.7299999</v>
      </c>
      <c r="BS38" s="28">
        <f t="shared" si="45"/>
        <v>220238382.43999994</v>
      </c>
      <c r="BT38" s="28">
        <f t="shared" si="45"/>
        <v>139386477.42999992</v>
      </c>
      <c r="BU38" s="28">
        <f t="shared" si="45"/>
        <v>254776871.91000026</v>
      </c>
      <c r="BV38" s="28">
        <f t="shared" si="45"/>
        <v>166062749.25000006</v>
      </c>
      <c r="BW38" s="28">
        <f t="shared" si="45"/>
        <v>275614721.66000003</v>
      </c>
      <c r="BX38" s="28">
        <f t="shared" si="45"/>
        <v>165403954.21999997</v>
      </c>
      <c r="BY38" s="28">
        <f t="shared" si="45"/>
        <v>316234366.76000011</v>
      </c>
      <c r="BZ38" s="28">
        <f t="shared" si="45"/>
        <v>879250760</v>
      </c>
      <c r="CA38" s="28">
        <f t="shared" si="45"/>
        <v>211500470.90000013</v>
      </c>
      <c r="CB38" s="28">
        <f t="shared" si="45"/>
        <v>659852000</v>
      </c>
      <c r="CC38" s="28">
        <f t="shared" si="45"/>
        <v>174959596.52000004</v>
      </c>
      <c r="CD38" s="28">
        <f t="shared" si="45"/>
        <v>764095148.28999996</v>
      </c>
      <c r="CE38" s="28">
        <f t="shared" si="45"/>
        <v>484685682.33999997</v>
      </c>
      <c r="CF38" s="28">
        <f t="shared" si="45"/>
        <v>0</v>
      </c>
      <c r="CG38" s="28">
        <f t="shared" si="45"/>
        <v>0</v>
      </c>
      <c r="CH38" s="28">
        <f t="shared" si="45"/>
        <v>0</v>
      </c>
      <c r="CI38" s="28">
        <f t="shared" si="45"/>
        <v>0</v>
      </c>
      <c r="CJ38" s="28">
        <f t="shared" si="45"/>
        <v>0</v>
      </c>
    </row>
    <row r="39" spans="1:89" s="57" customFormat="1" x14ac:dyDescent="0.25">
      <c r="A39" s="57" t="s">
        <v>417</v>
      </c>
      <c r="B39" s="57">
        <f>B38/B4*100</f>
        <v>12.816377869853143</v>
      </c>
      <c r="C39" s="57">
        <f t="shared" ref="C39:D39" si="46">C38/C4*100</f>
        <v>9.85155626917566</v>
      </c>
      <c r="D39" s="57">
        <f t="shared" si="46"/>
        <v>9.9296548546933607</v>
      </c>
      <c r="E39" s="57">
        <f>E38/E4</f>
        <v>8.8487448173455149E-2</v>
      </c>
      <c r="F39" s="57">
        <f t="shared" ref="F39:BQ39" si="47">F38/F4</f>
        <v>9.3752330324976998E-2</v>
      </c>
      <c r="G39" s="57">
        <f t="shared" si="47"/>
        <v>8.8264312267695405E-2</v>
      </c>
      <c r="H39" s="57">
        <f t="shared" si="47"/>
        <v>8.5249454421276336E-2</v>
      </c>
      <c r="I39" s="57">
        <f t="shared" si="47"/>
        <v>0.10230478897622051</v>
      </c>
      <c r="J39" s="57">
        <f t="shared" si="47"/>
        <v>0.10825937026833952</v>
      </c>
      <c r="K39" s="57">
        <f t="shared" si="47"/>
        <v>0.10375861279522812</v>
      </c>
      <c r="L39" s="57">
        <f t="shared" si="47"/>
        <v>0.10370156960857925</v>
      </c>
      <c r="M39" s="57">
        <f t="shared" si="47"/>
        <v>9.9732007309368015E-2</v>
      </c>
      <c r="N39" s="57">
        <f t="shared" si="47"/>
        <v>9.7155993631991761E-2</v>
      </c>
      <c r="O39" s="57">
        <f t="shared" si="47"/>
        <v>9.4625987542963544E-2</v>
      </c>
      <c r="P39" s="57">
        <f t="shared" si="47"/>
        <v>9.9140814779337685E-2</v>
      </c>
      <c r="Q39" s="57">
        <f t="shared" si="47"/>
        <v>8.6293002705873117E-2</v>
      </c>
      <c r="R39" s="57">
        <f t="shared" si="47"/>
        <v>8.8960249745093659E-2</v>
      </c>
      <c r="S39" s="57">
        <f t="shared" si="47"/>
        <v>8.384027899886233E-2</v>
      </c>
      <c r="T39" s="57">
        <f t="shared" si="47"/>
        <v>8.5217450633586739E-2</v>
      </c>
      <c r="U39" s="57">
        <f t="shared" si="47"/>
        <v>5.8504222271992291E-2</v>
      </c>
      <c r="V39" s="57">
        <f t="shared" si="47"/>
        <v>6.7623737541978132E-2</v>
      </c>
      <c r="W39" s="57">
        <f t="shared" si="47"/>
        <v>6.961668507997866E-2</v>
      </c>
      <c r="X39" s="57">
        <f t="shared" si="47"/>
        <v>6.0027980970948205E-2</v>
      </c>
      <c r="Y39" s="57">
        <f t="shared" si="47"/>
        <v>6.2778224383080464E-2</v>
      </c>
      <c r="Z39" s="57">
        <f t="shared" si="47"/>
        <v>8.1979651676283224E-2</v>
      </c>
      <c r="AA39" s="57">
        <f t="shared" si="47"/>
        <v>8.6492922903209271E-2</v>
      </c>
      <c r="AB39" s="57">
        <f t="shared" si="47"/>
        <v>9.4047549258098134E-2</v>
      </c>
      <c r="AC39" s="57">
        <f t="shared" si="47"/>
        <v>5.773384384494995E-2</v>
      </c>
      <c r="AD39" s="57">
        <f t="shared" si="47"/>
        <v>6.5466609626446182E-2</v>
      </c>
      <c r="AE39" s="57">
        <f t="shared" si="47"/>
        <v>6.1799618235351891E-2</v>
      </c>
      <c r="AF39" s="57">
        <f t="shared" si="47"/>
        <v>5.131280756530926E-2</v>
      </c>
      <c r="AG39" s="57">
        <f t="shared" si="47"/>
        <v>6.1818112239498894E-2</v>
      </c>
      <c r="AH39" s="57">
        <f t="shared" si="47"/>
        <v>6.0605750223232592E-2</v>
      </c>
      <c r="AI39" s="57">
        <f t="shared" si="47"/>
        <v>6.0022178309236222E-2</v>
      </c>
      <c r="AJ39" s="57">
        <f t="shared" si="47"/>
        <v>6.0178271294201752E-2</v>
      </c>
      <c r="AK39" s="57">
        <f t="shared" si="47"/>
        <v>6.1676159479568331E-2</v>
      </c>
      <c r="AL39" s="57">
        <f t="shared" si="47"/>
        <v>5.4596864879296519E-2</v>
      </c>
      <c r="AM39" s="57">
        <f t="shared" si="47"/>
        <v>3.7668021488763248E-2</v>
      </c>
      <c r="AN39" s="57">
        <f t="shared" si="47"/>
        <v>4.5125972807040664E-2</v>
      </c>
      <c r="AO39" s="57">
        <f t="shared" si="47"/>
        <v>4.5552655720157344E-3</v>
      </c>
      <c r="AP39" s="57">
        <f t="shared" si="47"/>
        <v>4.6410862908776676E-2</v>
      </c>
      <c r="AQ39" s="57">
        <f t="shared" si="47"/>
        <v>4.0659349682092824E-2</v>
      </c>
      <c r="AR39" s="57">
        <f t="shared" si="47"/>
        <v>3.850419641700726E-2</v>
      </c>
      <c r="AS39" s="57">
        <f t="shared" si="47"/>
        <v>7.799567385588646E-2</v>
      </c>
      <c r="AT39" s="57">
        <f t="shared" si="47"/>
        <v>5.6257090190213049E-2</v>
      </c>
      <c r="AU39" s="57">
        <f t="shared" si="47"/>
        <v>2.246826973698161E-2</v>
      </c>
      <c r="AV39" s="57">
        <f t="shared" si="47"/>
        <v>1.6001134292661277E-2</v>
      </c>
      <c r="AW39" s="57">
        <f t="shared" si="47"/>
        <v>-5.5652591069191865E-3</v>
      </c>
      <c r="AX39" s="57">
        <f t="shared" si="47"/>
        <v>-8.3013083736195928E-4</v>
      </c>
      <c r="AY39" s="57">
        <f t="shared" si="47"/>
        <v>3.8128891634362613E-3</v>
      </c>
      <c r="AZ39" s="57">
        <f t="shared" si="47"/>
        <v>1.1380804289942177E-2</v>
      </c>
      <c r="BA39" s="57">
        <f t="shared" si="47"/>
        <v>-9.474743022136505E-4</v>
      </c>
      <c r="BB39" s="57">
        <f t="shared" si="47"/>
        <v>-5.0981288781421514E-3</v>
      </c>
      <c r="BC39" s="57">
        <f t="shared" si="47"/>
        <v>-1.3534652335361161E-3</v>
      </c>
      <c r="BD39" s="57">
        <f t="shared" si="47"/>
        <v>7.0888787633967944E-3</v>
      </c>
      <c r="BE39" s="57">
        <f t="shared" si="47"/>
        <v>3.6494922562646534E-3</v>
      </c>
      <c r="BF39" s="57">
        <f t="shared" si="47"/>
        <v>2.2582509134212527E-2</v>
      </c>
      <c r="BG39" s="57">
        <f t="shared" si="47"/>
        <v>2.0446815891996806E-2</v>
      </c>
      <c r="BH39" s="57">
        <f t="shared" si="47"/>
        <v>5.4307027589402456E-3</v>
      </c>
      <c r="BI39" s="57">
        <f t="shared" si="47"/>
        <v>1.9145966479113707E-2</v>
      </c>
      <c r="BJ39" s="57">
        <f t="shared" si="47"/>
        <v>1.0216563593383704E-3</v>
      </c>
      <c r="BK39" s="57">
        <f t="shared" si="47"/>
        <v>-1.1149783456968656E-2</v>
      </c>
      <c r="BL39" s="57">
        <f t="shared" si="47"/>
        <v>4.8069035020227597E-3</v>
      </c>
      <c r="BM39" s="57">
        <f t="shared" si="47"/>
        <v>-0.21986580916174639</v>
      </c>
      <c r="BN39" s="57">
        <f t="shared" si="47"/>
        <v>1.1061663533241943E-2</v>
      </c>
      <c r="BO39" s="57">
        <f t="shared" si="47"/>
        <v>2.6086038152966458E-2</v>
      </c>
      <c r="BP39" s="57">
        <f t="shared" si="47"/>
        <v>4.2715072377229713E-2</v>
      </c>
      <c r="BQ39" s="57">
        <f t="shared" si="47"/>
        <v>-2.5197779014577464E-2</v>
      </c>
      <c r="BR39" s="57">
        <f t="shared" ref="BR39:CK39" si="48">BR38/BR4</f>
        <v>9.3766844656656648E-2</v>
      </c>
      <c r="BS39" s="57">
        <f t="shared" si="48"/>
        <v>8.0825474890925078E-2</v>
      </c>
      <c r="BT39" s="57">
        <f t="shared" si="48"/>
        <v>9.4594405064430342E-2</v>
      </c>
      <c r="BU39" s="57">
        <f t="shared" si="48"/>
        <v>9.5793929130672709E-2</v>
      </c>
      <c r="BV39" s="57">
        <f t="shared" si="48"/>
        <v>0.11768396188944165</v>
      </c>
      <c r="BW39" s="57">
        <f t="shared" si="48"/>
        <v>0.12717749489362681</v>
      </c>
      <c r="BX39" s="57">
        <f t="shared" si="48"/>
        <v>0.16467078568076013</v>
      </c>
      <c r="BY39" s="57">
        <f t="shared" si="48"/>
        <v>0.17192665181780714</v>
      </c>
      <c r="BZ39" s="57">
        <f t="shared" si="48"/>
        <v>0.99610015090975046</v>
      </c>
      <c r="CA39" s="57">
        <f t="shared" si="48"/>
        <v>0.15630134952900313</v>
      </c>
      <c r="CB39" s="57">
        <f t="shared" si="48"/>
        <v>0.99808506197078284</v>
      </c>
      <c r="CC39" s="57">
        <f t="shared" si="48"/>
        <v>0.17404458786342941</v>
      </c>
      <c r="CD39" s="57">
        <f t="shared" si="48"/>
        <v>1</v>
      </c>
      <c r="CE39" s="57">
        <f t="shared" si="48"/>
        <v>1</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295616684.07999998</v>
      </c>
      <c r="C40" s="26">
        <f t="shared" ref="C40:BN40" si="49">C60</f>
        <v>225410775.47999999</v>
      </c>
      <c r="D40" s="26">
        <f t="shared" si="49"/>
        <v>124973358.33</v>
      </c>
      <c r="E40" s="26">
        <f t="shared" si="49"/>
        <v>356274657.61000001</v>
      </c>
      <c r="F40" s="26">
        <f t="shared" si="49"/>
        <v>235865857.86000001</v>
      </c>
      <c r="G40" s="26">
        <f t="shared" si="49"/>
        <v>148245695.78</v>
      </c>
      <c r="H40" s="26">
        <f t="shared" si="49"/>
        <v>79585643.439999998</v>
      </c>
      <c r="I40" s="26">
        <f t="shared" si="49"/>
        <v>241651767.11000001</v>
      </c>
      <c r="J40" s="26">
        <f t="shared" si="49"/>
        <v>200130598.37</v>
      </c>
      <c r="K40" s="26">
        <f t="shared" si="49"/>
        <v>127302391.75</v>
      </c>
      <c r="L40" s="26">
        <f t="shared" si="49"/>
        <v>66073486.700000003</v>
      </c>
      <c r="M40" s="26">
        <f t="shared" si="49"/>
        <v>172296831.78</v>
      </c>
      <c r="N40" s="26">
        <f t="shared" si="49"/>
        <v>133944603.89</v>
      </c>
      <c r="O40" s="26">
        <f t="shared" si="49"/>
        <v>78916402.709999993</v>
      </c>
      <c r="P40" s="26">
        <f t="shared" si="49"/>
        <v>49288455.119999997</v>
      </c>
      <c r="Q40" s="26">
        <f t="shared" si="49"/>
        <v>143176568.97999999</v>
      </c>
      <c r="R40" s="26">
        <f t="shared" si="49"/>
        <v>109380840.22</v>
      </c>
      <c r="S40" s="26">
        <f t="shared" si="49"/>
        <v>66436602.590000004</v>
      </c>
      <c r="T40" s="26">
        <f t="shared" si="49"/>
        <v>31602176.949999999</v>
      </c>
      <c r="U40" s="26">
        <f t="shared" si="49"/>
        <v>73863608.219999999</v>
      </c>
      <c r="V40" s="26">
        <f t="shared" si="49"/>
        <v>65599413.960000001</v>
      </c>
      <c r="W40" s="26">
        <f t="shared" si="49"/>
        <v>42992351.93</v>
      </c>
      <c r="X40" s="26">
        <f t="shared" si="49"/>
        <v>21447270.34</v>
      </c>
      <c r="Y40" s="26">
        <f t="shared" si="49"/>
        <v>66735452.950000003</v>
      </c>
      <c r="Z40" s="26">
        <f t="shared" si="49"/>
        <v>50434192.5</v>
      </c>
      <c r="AA40" s="26">
        <f t="shared" si="49"/>
        <v>34029106.950000003</v>
      </c>
      <c r="AB40" s="26">
        <f t="shared" si="49"/>
        <v>23758255.75</v>
      </c>
      <c r="AC40" s="26">
        <f t="shared" si="49"/>
        <v>131808348.7</v>
      </c>
      <c r="AD40" s="26">
        <f t="shared" si="49"/>
        <v>115569220.15000001</v>
      </c>
      <c r="AE40" s="26">
        <f t="shared" si="49"/>
        <v>84435392.659999996</v>
      </c>
      <c r="AF40" s="26">
        <f t="shared" si="49"/>
        <v>32768641.609999999</v>
      </c>
      <c r="AG40" s="26">
        <f t="shared" si="49"/>
        <v>111943594.04000001</v>
      </c>
      <c r="AH40" s="26">
        <f t="shared" si="49"/>
        <v>53847767.289999999</v>
      </c>
      <c r="AI40" s="26">
        <f t="shared" si="49"/>
        <v>36586018.719999999</v>
      </c>
      <c r="AJ40" s="26">
        <f t="shared" si="49"/>
        <v>15210768.869999999</v>
      </c>
      <c r="AK40" s="26">
        <f t="shared" si="49"/>
        <v>55928893.549999997</v>
      </c>
      <c r="AL40" s="26">
        <f t="shared" si="49"/>
        <v>23815385.109999999</v>
      </c>
      <c r="AM40" s="26">
        <f t="shared" si="49"/>
        <v>8954660.9600000009</v>
      </c>
      <c r="AN40" s="26">
        <f t="shared" si="49"/>
        <v>8088837.9299999997</v>
      </c>
      <c r="AO40" s="26">
        <f t="shared" si="49"/>
        <v>14607326.939999999</v>
      </c>
      <c r="AP40" s="26">
        <f t="shared" si="49"/>
        <v>41944721.200000003</v>
      </c>
      <c r="AQ40" s="26">
        <f t="shared" si="49"/>
        <v>27776218.809999999</v>
      </c>
      <c r="AR40" s="26">
        <f t="shared" si="49"/>
        <v>8115013.5800000001</v>
      </c>
      <c r="AS40" s="26">
        <f t="shared" si="49"/>
        <v>72074565.709999993</v>
      </c>
      <c r="AT40" s="26">
        <f t="shared" si="49"/>
        <v>18532907.170000002</v>
      </c>
      <c r="AU40" s="26">
        <f t="shared" si="49"/>
        <v>8748547.2599999998</v>
      </c>
      <c r="AV40" s="26">
        <f t="shared" si="49"/>
        <v>5782941.2400000002</v>
      </c>
      <c r="AW40" s="26">
        <f t="shared" si="49"/>
        <v>16250086.6</v>
      </c>
      <c r="AX40" s="26">
        <f t="shared" si="49"/>
        <v>5871341.96</v>
      </c>
      <c r="AY40" s="26">
        <f t="shared" si="49"/>
        <v>5586814.9699999997</v>
      </c>
      <c r="AZ40" s="26">
        <f t="shared" si="49"/>
        <v>852390.2</v>
      </c>
      <c r="BA40" s="26">
        <f t="shared" si="49"/>
        <v>8200839.7300000004</v>
      </c>
      <c r="BB40" s="26">
        <f t="shared" si="49"/>
        <v>1547169.57</v>
      </c>
      <c r="BC40" s="26">
        <f t="shared" si="49"/>
        <v>1670112.12</v>
      </c>
      <c r="BD40" s="26">
        <f t="shared" si="49"/>
        <v>1400002.36</v>
      </c>
      <c r="BE40" s="26">
        <f t="shared" si="49"/>
        <v>8647510.0199999996</v>
      </c>
      <c r="BF40" s="26">
        <f t="shared" si="49"/>
        <v>14149383.75</v>
      </c>
      <c r="BG40" s="26">
        <f t="shared" si="49"/>
        <v>6361492.7800000003</v>
      </c>
      <c r="BH40" s="26">
        <f t="shared" si="49"/>
        <v>1829394.91</v>
      </c>
      <c r="BI40" s="26">
        <f t="shared" si="49"/>
        <v>14648223.16</v>
      </c>
      <c r="BJ40" s="26">
        <f t="shared" si="49"/>
        <v>7723545.4000000004</v>
      </c>
      <c r="BK40" s="26">
        <f t="shared" si="49"/>
        <v>6745211.8600000003</v>
      </c>
      <c r="BL40" s="26">
        <f t="shared" si="49"/>
        <v>2692657.36</v>
      </c>
      <c r="BM40" s="26">
        <f t="shared" si="49"/>
        <v>8567968.0800000001</v>
      </c>
      <c r="BN40" s="26">
        <f t="shared" si="49"/>
        <v>16815097.780000001</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610</v>
      </c>
      <c r="B41" s="57">
        <f>B40/B38</f>
        <v>0.13243226595775315</v>
      </c>
      <c r="C41" s="57">
        <f t="shared" ref="C41:BN41" si="51">C40/C38</f>
        <v>0.18977228764153908</v>
      </c>
      <c r="D41" s="57">
        <f t="shared" si="51"/>
        <v>0.18476189753067615</v>
      </c>
      <c r="E41" s="57">
        <f t="shared" si="51"/>
        <v>0.1882782344495264</v>
      </c>
      <c r="F41" s="57">
        <f t="shared" si="51"/>
        <v>0.15746522581352468</v>
      </c>
      <c r="G41" s="57">
        <f t="shared" si="51"/>
        <v>0.15892844921953653</v>
      </c>
      <c r="H41" s="57">
        <f t="shared" si="51"/>
        <v>0.16405934498879859</v>
      </c>
      <c r="I41" s="57">
        <f t="shared" si="51"/>
        <v>0.1446029475996457</v>
      </c>
      <c r="J41" s="57">
        <f t="shared" si="51"/>
        <v>0.15334085262136157</v>
      </c>
      <c r="K41" s="57">
        <f t="shared" si="51"/>
        <v>0.15365583617141931</v>
      </c>
      <c r="L41" s="57">
        <f t="shared" si="51"/>
        <v>0.15027912863503362</v>
      </c>
      <c r="M41" s="57">
        <f t="shared" si="51"/>
        <v>0.1315601001662598</v>
      </c>
      <c r="N41" s="57">
        <f t="shared" si="51"/>
        <v>0.14343097424350362</v>
      </c>
      <c r="O41" s="57">
        <f t="shared" si="51"/>
        <v>0.13667575900198037</v>
      </c>
      <c r="P41" s="57">
        <f t="shared" si="51"/>
        <v>0.15092901827091645</v>
      </c>
      <c r="Q41" s="57">
        <f t="shared" si="51"/>
        <v>0.15356882445531284</v>
      </c>
      <c r="R41" s="57">
        <f t="shared" si="51"/>
        <v>0.15807373396878474</v>
      </c>
      <c r="S41" s="57">
        <f t="shared" si="51"/>
        <v>0.15931033143942946</v>
      </c>
      <c r="T41" s="57">
        <f t="shared" si="51"/>
        <v>0.14395130793856953</v>
      </c>
      <c r="U41" s="57">
        <f t="shared" si="51"/>
        <v>0.14465410354232525</v>
      </c>
      <c r="V41" s="57">
        <f t="shared" si="51"/>
        <v>0.15276336592617809</v>
      </c>
      <c r="W41" s="57">
        <f t="shared" si="51"/>
        <v>0.15445810636504517</v>
      </c>
      <c r="X41" s="57">
        <f t="shared" si="51"/>
        <v>0.15144181311292368</v>
      </c>
      <c r="Y41" s="57">
        <f t="shared" si="51"/>
        <v>0.15406608914851072</v>
      </c>
      <c r="Z41" s="57">
        <f t="shared" si="51"/>
        <v>0.13446729575756661</v>
      </c>
      <c r="AA41" s="57">
        <f t="shared" si="51"/>
        <v>0.12685926051926014</v>
      </c>
      <c r="AB41" s="57">
        <f t="shared" si="51"/>
        <v>0.15502269950937761</v>
      </c>
      <c r="AC41" s="57">
        <f t="shared" si="51"/>
        <v>0.20800956995717074</v>
      </c>
      <c r="AD41" s="57">
        <f t="shared" si="51"/>
        <v>0.18848585720577457</v>
      </c>
      <c r="AE41" s="57">
        <f t="shared" si="51"/>
        <v>0.20248596815091821</v>
      </c>
      <c r="AF41" s="57">
        <f t="shared" si="51"/>
        <v>0.16667596843933613</v>
      </c>
      <c r="AG41" s="57">
        <f t="shared" si="51"/>
        <v>0.16164925912989508</v>
      </c>
      <c r="AH41" s="57">
        <f t="shared" si="51"/>
        <v>0.15927020220124469</v>
      </c>
      <c r="AI41" s="57">
        <f t="shared" si="51"/>
        <v>0.16772676155231966</v>
      </c>
      <c r="AJ41" s="57">
        <f t="shared" si="51"/>
        <v>0.15207319758634791</v>
      </c>
      <c r="AK41" s="57">
        <f t="shared" si="51"/>
        <v>0.20726051922836816</v>
      </c>
      <c r="AL41" s="57">
        <f t="shared" si="51"/>
        <v>0.1494887932456761</v>
      </c>
      <c r="AM41" s="57">
        <f t="shared" si="51"/>
        <v>0.1249551813587249</v>
      </c>
      <c r="AN41" s="57">
        <f t="shared" si="51"/>
        <v>0.18401506088963915</v>
      </c>
      <c r="AO41" s="57">
        <f t="shared" si="51"/>
        <v>0.74696014123353094</v>
      </c>
      <c r="AP41" s="57">
        <f t="shared" si="51"/>
        <v>0.26391582781352463</v>
      </c>
      <c r="AQ41" s="57">
        <f t="shared" si="51"/>
        <v>0.28177550034938537</v>
      </c>
      <c r="AR41" s="57">
        <f t="shared" si="51"/>
        <v>0.18520637233439047</v>
      </c>
      <c r="AS41" s="57">
        <f t="shared" si="51"/>
        <v>0.18479126666915385</v>
      </c>
      <c r="AT41" s="57">
        <f t="shared" si="51"/>
        <v>8.0597052780592801E-2</v>
      </c>
      <c r="AU41" s="57">
        <f t="shared" si="51"/>
        <v>0.13718838222877128</v>
      </c>
      <c r="AV41" s="57">
        <f t="shared" si="51"/>
        <v>0.24955214094801856</v>
      </c>
      <c r="AW41" s="57">
        <f t="shared" si="51"/>
        <v>-0.68601591529951278</v>
      </c>
      <c r="AX41" s="57">
        <f t="shared" si="51"/>
        <v>-2.1926267686735921</v>
      </c>
      <c r="AY41" s="57">
        <f t="shared" si="51"/>
        <v>0.67938734587375293</v>
      </c>
      <c r="AZ41" s="57">
        <f t="shared" si="51"/>
        <v>7.6727659412150651E-2</v>
      </c>
      <c r="BA41" s="57">
        <f t="shared" si="51"/>
        <v>-2.6549154776683217</v>
      </c>
      <c r="BB41" s="57">
        <f t="shared" si="51"/>
        <v>-0.13886941863409324</v>
      </c>
      <c r="BC41" s="57">
        <f t="shared" si="51"/>
        <v>-0.88366342939698772</v>
      </c>
      <c r="BD41" s="57">
        <f t="shared" si="51"/>
        <v>0.27333680870086935</v>
      </c>
      <c r="BE41" s="57">
        <f t="shared" si="51"/>
        <v>0.97795139187892821</v>
      </c>
      <c r="BF41" s="57">
        <f t="shared" si="51"/>
        <v>0.38414339498041505</v>
      </c>
      <c r="BG41" s="57">
        <f t="shared" si="51"/>
        <v>0.28366112820661671</v>
      </c>
      <c r="BH41" s="57">
        <f t="shared" si="51"/>
        <v>0.56746778126326713</v>
      </c>
      <c r="BI41" s="57">
        <f t="shared" si="51"/>
        <v>0.2637011229685064</v>
      </c>
      <c r="BJ41" s="57">
        <f t="shared" si="51"/>
        <v>3.8281545928557552</v>
      </c>
      <c r="BK41" s="57">
        <f t="shared" si="51"/>
        <v>-0.43849100022077103</v>
      </c>
      <c r="BL41" s="57">
        <f t="shared" si="51"/>
        <v>0.66369850107530315</v>
      </c>
      <c r="BM41" s="57">
        <f t="shared" si="51"/>
        <v>-1.3246671566688508E-2</v>
      </c>
      <c r="BN41" s="57">
        <f t="shared" si="51"/>
        <v>0.62987617472076085</v>
      </c>
      <c r="BO41" s="57">
        <f t="shared" ref="BO41:CJ41" si="52">BO40/BO38</f>
        <v>0.29928474514043735</v>
      </c>
      <c r="BP41" s="57">
        <f t="shared" si="52"/>
        <v>0.35511168844433233</v>
      </c>
      <c r="BQ41" s="57">
        <f t="shared" si="52"/>
        <v>-0.99025557074771331</v>
      </c>
      <c r="BR41" s="57">
        <f t="shared" si="52"/>
        <v>0.18594609629793474</v>
      </c>
      <c r="BS41" s="57">
        <f t="shared" si="52"/>
        <v>0.19059768967126278</v>
      </c>
      <c r="BT41" s="57">
        <f t="shared" si="52"/>
        <v>0.17804195347761015</v>
      </c>
      <c r="BU41" s="57">
        <f t="shared" si="52"/>
        <v>0.26831850158733639</v>
      </c>
      <c r="BV41" s="57">
        <f t="shared" si="52"/>
        <v>0.21761390229422561</v>
      </c>
      <c r="BW41" s="57">
        <f t="shared" si="52"/>
        <v>0.234458510818286</v>
      </c>
      <c r="BX41" s="57">
        <f t="shared" si="52"/>
        <v>0.19292718043219223</v>
      </c>
      <c r="BY41" s="57">
        <f t="shared" si="52"/>
        <v>0.18440375929873834</v>
      </c>
      <c r="BZ41" s="57">
        <f t="shared" si="52"/>
        <v>2.2591985021428927E-2</v>
      </c>
      <c r="CA41" s="57">
        <f t="shared" si="52"/>
        <v>0.17123955670587579</v>
      </c>
      <c r="CB41" s="57">
        <f t="shared" si="52"/>
        <v>2.5629989755278457E-2</v>
      </c>
      <c r="CC41" s="57">
        <f t="shared" si="52"/>
        <v>0.14772192914291246</v>
      </c>
      <c r="CD41" s="57">
        <f t="shared" si="52"/>
        <v>0</v>
      </c>
      <c r="CE41" s="57">
        <f t="shared" si="52"/>
        <v>0</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1936593736.4100022</v>
      </c>
      <c r="C42" s="28">
        <f t="shared" ref="C42:BN42" si="53">C38-C40</f>
        <v>962385284.10999894</v>
      </c>
      <c r="D42" s="28">
        <f t="shared" si="53"/>
        <v>551428865.29000032</v>
      </c>
      <c r="E42" s="28">
        <f t="shared" si="53"/>
        <v>1536002793.6400013</v>
      </c>
      <c r="F42" s="28">
        <f t="shared" si="53"/>
        <v>1262025861.6699986</v>
      </c>
      <c r="G42" s="28">
        <f t="shared" si="53"/>
        <v>784536927.51999927</v>
      </c>
      <c r="H42" s="28">
        <f t="shared" si="53"/>
        <v>405517131.07999963</v>
      </c>
      <c r="I42" s="28">
        <f t="shared" si="53"/>
        <v>1429488213.9299998</v>
      </c>
      <c r="J42" s="28">
        <f t="shared" si="53"/>
        <v>1105004953.8899999</v>
      </c>
      <c r="K42" s="28">
        <f t="shared" si="53"/>
        <v>701188051.05999994</v>
      </c>
      <c r="L42" s="28">
        <f t="shared" si="53"/>
        <v>373598258.13999975</v>
      </c>
      <c r="M42" s="28">
        <f t="shared" si="53"/>
        <v>1137346681.4300001</v>
      </c>
      <c r="N42" s="28">
        <f t="shared" si="53"/>
        <v>799916471.76999962</v>
      </c>
      <c r="O42" s="28">
        <f t="shared" si="53"/>
        <v>498482276.37000078</v>
      </c>
      <c r="P42" s="28">
        <f t="shared" si="53"/>
        <v>277278666.85999984</v>
      </c>
      <c r="Q42" s="28">
        <f t="shared" si="53"/>
        <v>789151782.74000096</v>
      </c>
      <c r="R42" s="28">
        <f t="shared" si="53"/>
        <v>582580040.78000045</v>
      </c>
      <c r="S42" s="28">
        <f t="shared" si="53"/>
        <v>350589725.77000034</v>
      </c>
      <c r="T42" s="28">
        <f t="shared" si="53"/>
        <v>187931618.20999998</v>
      </c>
      <c r="U42" s="28">
        <f t="shared" si="53"/>
        <v>436758672.18000114</v>
      </c>
      <c r="V42" s="28">
        <f t="shared" si="53"/>
        <v>363819076.27999967</v>
      </c>
      <c r="W42" s="28">
        <f t="shared" si="53"/>
        <v>235350772.56999993</v>
      </c>
      <c r="X42" s="28">
        <f t="shared" si="53"/>
        <v>120173262.97999987</v>
      </c>
      <c r="Y42" s="28">
        <f t="shared" si="53"/>
        <v>366425752.86000091</v>
      </c>
      <c r="Z42" s="28">
        <f t="shared" si="53"/>
        <v>324632415.45000052</v>
      </c>
      <c r="AA42" s="28">
        <f t="shared" si="53"/>
        <v>234213879.88999981</v>
      </c>
      <c r="AB42" s="28">
        <f t="shared" si="53"/>
        <v>129498369.41</v>
      </c>
      <c r="AC42" s="28">
        <f t="shared" si="53"/>
        <v>501856480.89000112</v>
      </c>
      <c r="AD42" s="28">
        <f t="shared" si="53"/>
        <v>497576094.1099993</v>
      </c>
      <c r="AE42" s="28">
        <f t="shared" si="53"/>
        <v>332558404.14999938</v>
      </c>
      <c r="AF42" s="28">
        <f t="shared" si="53"/>
        <v>163832235.62999976</v>
      </c>
      <c r="AG42" s="28">
        <f t="shared" si="53"/>
        <v>580565574.52999926</v>
      </c>
      <c r="AH42" s="28">
        <f t="shared" si="53"/>
        <v>284242889.6299997</v>
      </c>
      <c r="AI42" s="28">
        <f t="shared" si="53"/>
        <v>181542670.94999987</v>
      </c>
      <c r="AJ42" s="28">
        <f t="shared" si="53"/>
        <v>84811911.730000198</v>
      </c>
      <c r="AK42" s="28">
        <f t="shared" si="53"/>
        <v>213919381.26000005</v>
      </c>
      <c r="AL42" s="28">
        <f t="shared" si="53"/>
        <v>135496792.03000009</v>
      </c>
      <c r="AM42" s="28">
        <f t="shared" si="53"/>
        <v>62708321.41999995</v>
      </c>
      <c r="AN42" s="28">
        <f t="shared" si="53"/>
        <v>35868639.73999998</v>
      </c>
      <c r="AO42" s="28">
        <f t="shared" si="53"/>
        <v>4948371.059999628</v>
      </c>
      <c r="AP42" s="28">
        <f t="shared" si="53"/>
        <v>116987471.49000017</v>
      </c>
      <c r="AQ42" s="28">
        <f t="shared" si="53"/>
        <v>70799486.939999864</v>
      </c>
      <c r="AR42" s="28">
        <f t="shared" si="53"/>
        <v>35701046.730000176</v>
      </c>
      <c r="AS42" s="28">
        <f t="shared" si="53"/>
        <v>317957750.26000029</v>
      </c>
      <c r="AT42" s="28">
        <f t="shared" si="53"/>
        <v>211412314.52999985</v>
      </c>
      <c r="AU42" s="28">
        <f t="shared" si="53"/>
        <v>55021774.379999965</v>
      </c>
      <c r="AV42" s="28">
        <f t="shared" si="53"/>
        <v>17390337.170000017</v>
      </c>
      <c r="AW42" s="28">
        <f t="shared" si="53"/>
        <v>-39937709.92999994</v>
      </c>
      <c r="AX42" s="28">
        <f t="shared" si="53"/>
        <v>-8549108.2099996805</v>
      </c>
      <c r="AY42" s="28">
        <f t="shared" si="53"/>
        <v>2636498.2900002366</v>
      </c>
      <c r="AZ42" s="28">
        <f t="shared" si="53"/>
        <v>10256904.759999977</v>
      </c>
      <c r="BA42" s="28">
        <f t="shared" si="53"/>
        <v>-11289766.590000223</v>
      </c>
      <c r="BB42" s="28">
        <f t="shared" si="53"/>
        <v>-12688352.310000043</v>
      </c>
      <c r="BC42" s="28">
        <f t="shared" si="53"/>
        <v>-3560098.8099999307</v>
      </c>
      <c r="BD42" s="28">
        <f t="shared" si="53"/>
        <v>3721892.3699999973</v>
      </c>
      <c r="BE42" s="28">
        <f t="shared" si="53"/>
        <v>194964.24999988824</v>
      </c>
      <c r="BF42" s="28">
        <f t="shared" si="53"/>
        <v>22684215.199999869</v>
      </c>
      <c r="BG42" s="28">
        <f t="shared" si="53"/>
        <v>16064889.079999987</v>
      </c>
      <c r="BH42" s="28">
        <f t="shared" si="53"/>
        <v>1394391.479999969</v>
      </c>
      <c r="BI42" s="28">
        <f t="shared" si="53"/>
        <v>40900357.730000332</v>
      </c>
      <c r="BJ42" s="28">
        <f t="shared" si="53"/>
        <v>-5705981.7900000364</v>
      </c>
      <c r="BK42" s="28">
        <f t="shared" si="53"/>
        <v>-22127994.760000061</v>
      </c>
      <c r="BL42" s="28">
        <f t="shared" si="53"/>
        <v>1364391.6699999808</v>
      </c>
      <c r="BM42" s="28">
        <f t="shared" si="53"/>
        <v>-655369546.64000034</v>
      </c>
      <c r="BN42" s="28">
        <f t="shared" si="53"/>
        <v>9880780.6399998292</v>
      </c>
      <c r="BO42" s="28">
        <f t="shared" ref="BO42:CK42" si="54">BO38-BO40</f>
        <v>28391684.149999954</v>
      </c>
      <c r="BP42" s="28">
        <f t="shared" si="54"/>
        <v>19419636.20000001</v>
      </c>
      <c r="BQ42" s="28">
        <f t="shared" si="54"/>
        <v>-97967691.629999951</v>
      </c>
      <c r="BR42" s="28">
        <f t="shared" si="54"/>
        <v>86226366.339999899</v>
      </c>
      <c r="BS42" s="28">
        <f t="shared" si="54"/>
        <v>178261455.56999993</v>
      </c>
      <c r="BT42" s="28">
        <f t="shared" si="54"/>
        <v>114569836.69999991</v>
      </c>
      <c r="BU42" s="28">
        <f t="shared" si="54"/>
        <v>186415523.40000027</v>
      </c>
      <c r="BV42" s="28">
        <f t="shared" si="54"/>
        <v>129925186.36000006</v>
      </c>
      <c r="BW42" s="28">
        <f t="shared" si="54"/>
        <v>210994504.46000004</v>
      </c>
      <c r="BX42" s="28">
        <f t="shared" si="54"/>
        <v>133493035.69999997</v>
      </c>
      <c r="BY42" s="28">
        <f t="shared" si="54"/>
        <v>257919560.7100001</v>
      </c>
      <c r="BZ42" s="28">
        <f t="shared" si="54"/>
        <v>859386740</v>
      </c>
      <c r="CA42" s="28">
        <f t="shared" si="54"/>
        <v>175283224.02000013</v>
      </c>
      <c r="CB42" s="28">
        <f t="shared" si="54"/>
        <v>642940000</v>
      </c>
      <c r="CC42" s="28">
        <f t="shared" si="54"/>
        <v>149114227.40000004</v>
      </c>
      <c r="CD42" s="28">
        <f t="shared" si="54"/>
        <v>764095148.28999996</v>
      </c>
      <c r="CE42" s="28">
        <f t="shared" si="54"/>
        <v>484685682.33999997</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11.11907590717769</v>
      </c>
      <c r="C43" s="57">
        <f t="shared" ref="C43:D43" si="55">C42/C4*100</f>
        <v>7.9820038991448472</v>
      </c>
      <c r="D43" s="57">
        <f t="shared" si="55"/>
        <v>8.0950329819155247</v>
      </c>
      <c r="E43" s="57">
        <f>E42/E4</f>
        <v>7.1827187660413044E-2</v>
      </c>
      <c r="F43" s="57">
        <f t="shared" ref="F43:BQ43" si="56">F42/F4</f>
        <v>7.8989598459810323E-2</v>
      </c>
      <c r="G43" s="57">
        <f t="shared" si="56"/>
        <v>7.4236601997561671E-2</v>
      </c>
      <c r="H43" s="57">
        <f t="shared" si="56"/>
        <v>7.1263484768269297E-2</v>
      </c>
      <c r="I43" s="57">
        <f t="shared" si="56"/>
        <v>8.7511214936699291E-2</v>
      </c>
      <c r="J43" s="57">
        <f t="shared" si="56"/>
        <v>9.1658786127140651E-2</v>
      </c>
      <c r="K43" s="57">
        <f t="shared" si="56"/>
        <v>8.7815496386190808E-2</v>
      </c>
      <c r="L43" s="57">
        <f t="shared" si="56"/>
        <v>8.8117388089716669E-2</v>
      </c>
      <c r="M43" s="57">
        <f t="shared" si="56"/>
        <v>8.6611254437965413E-2</v>
      </c>
      <c r="N43" s="57">
        <f t="shared" si="56"/>
        <v>8.3220814811759553E-2</v>
      </c>
      <c r="O43" s="57">
        <f t="shared" si="56"/>
        <v>8.1692908874217068E-2</v>
      </c>
      <c r="P43" s="57">
        <f t="shared" si="56"/>
        <v>8.4177588934113479E-2</v>
      </c>
      <c r="Q43" s="57">
        <f t="shared" si="56"/>
        <v>7.3041087721613052E-2</v>
      </c>
      <c r="R43" s="57">
        <f t="shared" si="56"/>
        <v>7.4897970893091068E-2</v>
      </c>
      <c r="S43" s="57">
        <f t="shared" si="56"/>
        <v>7.0483656363579339E-2</v>
      </c>
      <c r="T43" s="57">
        <f t="shared" si="56"/>
        <v>7.2950287155691448E-2</v>
      </c>
      <c r="U43" s="57">
        <f t="shared" si="56"/>
        <v>5.004134644579631E-2</v>
      </c>
      <c r="V43" s="57">
        <f t="shared" si="56"/>
        <v>5.7293307778557109E-2</v>
      </c>
      <c r="W43" s="57">
        <f t="shared" si="56"/>
        <v>5.8863823731113457E-2</v>
      </c>
      <c r="X43" s="57">
        <f t="shared" si="56"/>
        <v>5.0937234695199729E-2</v>
      </c>
      <c r="Y43" s="57">
        <f t="shared" si="56"/>
        <v>5.3106228868691582E-2</v>
      </c>
      <c r="Z43" s="57">
        <f t="shared" si="56"/>
        <v>7.095606960822616E-2</v>
      </c>
      <c r="AA43" s="57">
        <f t="shared" si="56"/>
        <v>7.5520494663558757E-2</v>
      </c>
      <c r="AB43" s="57">
        <f t="shared" si="56"/>
        <v>7.9468044289866591E-2</v>
      </c>
      <c r="AC43" s="57">
        <f t="shared" si="56"/>
        <v>4.5724651814787465E-2</v>
      </c>
      <c r="AD43" s="57">
        <f t="shared" si="56"/>
        <v>5.3127079592649666E-2</v>
      </c>
      <c r="AE43" s="57">
        <f t="shared" si="56"/>
        <v>4.9286062705609521E-2</v>
      </c>
      <c r="AF43" s="57">
        <f t="shared" si="56"/>
        <v>4.2760195671020039E-2</v>
      </c>
      <c r="AG43" s="57">
        <f t="shared" si="56"/>
        <v>5.18252601951752E-2</v>
      </c>
      <c r="AH43" s="57">
        <f t="shared" si="56"/>
        <v>5.0953060130620204E-2</v>
      </c>
      <c r="AI43" s="57">
        <f t="shared" si="56"/>
        <v>4.9954852720112145E-2</v>
      </c>
      <c r="AJ43" s="57">
        <f t="shared" si="56"/>
        <v>5.1026769153273761E-2</v>
      </c>
      <c r="AK43" s="57">
        <f t="shared" si="56"/>
        <v>4.8893126641821355E-2</v>
      </c>
      <c r="AL43" s="57">
        <f t="shared" si="56"/>
        <v>4.6435245433493255E-2</v>
      </c>
      <c r="AM43" s="57">
        <f t="shared" si="56"/>
        <v>3.2961207032210491E-2</v>
      </c>
      <c r="AN43" s="57">
        <f t="shared" si="56"/>
        <v>3.6822114173248877E-2</v>
      </c>
      <c r="AO43" s="57">
        <f t="shared" si="56"/>
        <v>1.1526637569866205E-3</v>
      </c>
      <c r="AP43" s="57">
        <f t="shared" si="56"/>
        <v>3.4162301604666878E-2</v>
      </c>
      <c r="AQ43" s="57">
        <f t="shared" si="56"/>
        <v>2.9202541081540495E-2</v>
      </c>
      <c r="AR43" s="57">
        <f t="shared" si="56"/>
        <v>3.1372973878962512E-2</v>
      </c>
      <c r="AS43" s="57">
        <f t="shared" si="56"/>
        <v>6.3582754489343002E-2</v>
      </c>
      <c r="AT43" s="57">
        <f t="shared" si="56"/>
        <v>5.1722934522869878E-2</v>
      </c>
      <c r="AU43" s="57">
        <f t="shared" si="56"/>
        <v>1.9385884160285444E-2</v>
      </c>
      <c r="AV43" s="57">
        <f t="shared" si="56"/>
        <v>1.2008016972330896E-2</v>
      </c>
      <c r="AW43" s="57">
        <f t="shared" si="56"/>
        <v>-9.3831154270313018E-3</v>
      </c>
      <c r="AX43" s="57">
        <f t="shared" si="56"/>
        <v>-2.6502979328632157E-3</v>
      </c>
      <c r="AY43" s="57">
        <f t="shared" si="56"/>
        <v>1.2224605145785055E-3</v>
      </c>
      <c r="AZ43" s="57">
        <f t="shared" si="56"/>
        <v>1.0507581814547152E-2</v>
      </c>
      <c r="BA43" s="57">
        <f t="shared" si="56"/>
        <v>-3.4629384918536642E-3</v>
      </c>
      <c r="BB43" s="57">
        <f t="shared" si="56"/>
        <v>-5.8061030715714336E-3</v>
      </c>
      <c r="BC43" s="57">
        <f t="shared" si="56"/>
        <v>-2.549472963372235E-3</v>
      </c>
      <c r="BD43" s="57">
        <f t="shared" si="56"/>
        <v>5.1512272649425492E-3</v>
      </c>
      <c r="BE43" s="57">
        <f t="shared" si="56"/>
        <v>8.0466224599265603E-5</v>
      </c>
      <c r="BF43" s="57">
        <f t="shared" si="56"/>
        <v>1.3907587408219894E-2</v>
      </c>
      <c r="BG43" s="57">
        <f t="shared" si="56"/>
        <v>1.464684902784001E-2</v>
      </c>
      <c r="BH43" s="57">
        <f t="shared" si="56"/>
        <v>2.3489539136241212E-3</v>
      </c>
      <c r="BI43" s="57">
        <f t="shared" si="56"/>
        <v>1.4097153618254045E-2</v>
      </c>
      <c r="BJ43" s="57">
        <f t="shared" si="56"/>
        <v>-2.8894021249831021E-3</v>
      </c>
      <c r="BK43" s="57">
        <f t="shared" si="56"/>
        <v>-1.6038863157259844E-2</v>
      </c>
      <c r="BL43" s="57">
        <f t="shared" si="56"/>
        <v>1.6165688529166287E-3</v>
      </c>
      <c r="BM43" s="57">
        <f t="shared" si="56"/>
        <v>-0.22277829932445628</v>
      </c>
      <c r="BN43" s="57">
        <f t="shared" si="56"/>
        <v>4.0941852208753729E-3</v>
      </c>
      <c r="BO43" s="57">
        <f t="shared" si="56"/>
        <v>1.8278884872632167E-2</v>
      </c>
      <c r="BP43" s="57">
        <f t="shared" si="56"/>
        <v>2.7546450903329803E-2</v>
      </c>
      <c r="BQ43" s="57">
        <f t="shared" si="56"/>
        <v>-5.0150020054232622E-2</v>
      </c>
      <c r="BR43" s="57">
        <f t="shared" ref="BR43:CK43" si="57">BR42/BR4</f>
        <v>7.6331265930576486E-2</v>
      </c>
      <c r="BS43" s="57">
        <f t="shared" si="57"/>
        <v>6.5420326110132085E-2</v>
      </c>
      <c r="BT43" s="57">
        <f t="shared" si="57"/>
        <v>7.775263239870682E-2</v>
      </c>
      <c r="BU43" s="57">
        <f t="shared" si="57"/>
        <v>7.0090645605167118E-2</v>
      </c>
      <c r="BV43" s="57">
        <f t="shared" si="57"/>
        <v>9.2074295705235329E-2</v>
      </c>
      <c r="BW43" s="57">
        <f t="shared" si="57"/>
        <v>9.7359648831266909E-2</v>
      </c>
      <c r="BX43" s="57">
        <f t="shared" si="57"/>
        <v>0.13290131529981725</v>
      </c>
      <c r="BY43" s="57">
        <f t="shared" si="57"/>
        <v>0.14022273089895823</v>
      </c>
      <c r="BZ43" s="57">
        <f t="shared" si="57"/>
        <v>0.97359627122055425</v>
      </c>
      <c r="CA43" s="57">
        <f t="shared" si="57"/>
        <v>0.12953637572312648</v>
      </c>
      <c r="CB43" s="57">
        <f t="shared" si="57"/>
        <v>0.97250415205757523</v>
      </c>
      <c r="CC43" s="57">
        <f t="shared" si="57"/>
        <v>0.14833438558736048</v>
      </c>
      <c r="CD43" s="57">
        <f t="shared" si="57"/>
        <v>1</v>
      </c>
      <c r="CE43" s="57">
        <f t="shared" si="57"/>
        <v>1</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728859381.09440005</v>
      </c>
      <c r="C45" s="26">
        <f t="shared" ref="C45:BN45" si="58">C70*C69</f>
        <v>689801885.31920004</v>
      </c>
      <c r="D45" s="26">
        <f t="shared" si="58"/>
        <v>704802001.45360005</v>
      </c>
      <c r="E45" s="26">
        <f t="shared" si="58"/>
        <v>657463841.04320002</v>
      </c>
      <c r="F45" s="26">
        <f t="shared" si="58"/>
        <v>624859210.85360003</v>
      </c>
      <c r="G45" s="26">
        <f t="shared" si="58"/>
        <v>584756044.11680007</v>
      </c>
      <c r="H45" s="26">
        <f t="shared" si="58"/>
        <v>590108503.35519993</v>
      </c>
      <c r="I45" s="26">
        <f t="shared" si="58"/>
        <v>556727605.39199996</v>
      </c>
      <c r="J45" s="26">
        <f t="shared" si="58"/>
        <v>539166264.22399998</v>
      </c>
      <c r="K45" s="26">
        <f t="shared" si="58"/>
        <v>505901905.83120006</v>
      </c>
      <c r="L45" s="26">
        <f t="shared" si="58"/>
        <v>509530857.05680001</v>
      </c>
      <c r="M45" s="26">
        <f t="shared" si="58"/>
        <v>479018166.96800005</v>
      </c>
      <c r="N45" s="26">
        <f t="shared" si="58"/>
        <v>454160066.40400004</v>
      </c>
      <c r="O45" s="26">
        <f t="shared" si="58"/>
        <v>429269963.42000002</v>
      </c>
      <c r="P45" s="26">
        <f t="shared" si="58"/>
        <v>433944801.11839998</v>
      </c>
      <c r="Q45" s="26">
        <f t="shared" si="58"/>
        <v>411575687.57679999</v>
      </c>
      <c r="R45" s="26">
        <f t="shared" si="58"/>
        <v>394986560.30720001</v>
      </c>
      <c r="S45" s="26">
        <f t="shared" si="58"/>
        <v>376078618.44559997</v>
      </c>
      <c r="T45" s="26">
        <f t="shared" si="58"/>
        <v>377780880.3096</v>
      </c>
      <c r="U45" s="26">
        <f t="shared" si="58"/>
        <v>362746350.85280001</v>
      </c>
      <c r="V45" s="26">
        <f t="shared" si="58"/>
        <v>353969265.85680002</v>
      </c>
      <c r="W45" s="26">
        <f t="shared" si="58"/>
        <v>343691801.55919999</v>
      </c>
      <c r="X45" s="26">
        <f t="shared" si="58"/>
        <v>349657307.1304</v>
      </c>
      <c r="Y45" s="26">
        <f t="shared" si="58"/>
        <v>340043446.09040004</v>
      </c>
      <c r="Z45" s="26">
        <f t="shared" si="58"/>
        <v>333053111.5104</v>
      </c>
      <c r="AA45" s="26">
        <f t="shared" si="58"/>
        <v>325819628.66640002</v>
      </c>
      <c r="AB45" s="26">
        <f t="shared" si="58"/>
        <v>327562192.05040002</v>
      </c>
      <c r="AC45" s="26">
        <f t="shared" si="58"/>
        <v>317202322.49919999</v>
      </c>
      <c r="AD45" s="26">
        <f t="shared" si="58"/>
        <v>314356447.96080005</v>
      </c>
      <c r="AE45" s="26">
        <f t="shared" si="58"/>
        <v>301155032.764</v>
      </c>
      <c r="AF45" s="26">
        <f t="shared" si="58"/>
        <v>292716841.3944</v>
      </c>
      <c r="AG45" s="26">
        <f t="shared" si="58"/>
        <v>280867382.54400003</v>
      </c>
      <c r="AH45" s="26">
        <f t="shared" si="58"/>
        <v>174956236.22799999</v>
      </c>
      <c r="AI45" s="26">
        <f t="shared" si="58"/>
        <v>166783876.3976</v>
      </c>
      <c r="AJ45" s="26">
        <f t="shared" si="58"/>
        <v>159961415.66080001</v>
      </c>
      <c r="AK45" s="26">
        <f t="shared" si="58"/>
        <v>153176462.72240001</v>
      </c>
      <c r="AL45" s="26">
        <f t="shared" si="58"/>
        <v>146694900.17200002</v>
      </c>
      <c r="AM45" s="26">
        <f t="shared" si="58"/>
        <v>141580365.52320001</v>
      </c>
      <c r="AN45" s="26">
        <f t="shared" si="58"/>
        <v>138676530.1992</v>
      </c>
      <c r="AO45" s="26">
        <f t="shared" si="58"/>
        <v>135663779.27599999</v>
      </c>
      <c r="AP45" s="26">
        <f t="shared" si="58"/>
        <v>145741904.3008</v>
      </c>
      <c r="AQ45" s="26">
        <f t="shared" si="58"/>
        <v>142188654.93279999</v>
      </c>
      <c r="AR45" s="26">
        <f t="shared" si="58"/>
        <v>139694594.1728</v>
      </c>
      <c r="AS45" s="26">
        <f t="shared" si="58"/>
        <v>137479234.164</v>
      </c>
      <c r="AT45" s="26">
        <f t="shared" si="58"/>
        <v>119657328.8928</v>
      </c>
      <c r="AU45" s="26">
        <f t="shared" si="58"/>
        <v>107349709.23040001</v>
      </c>
      <c r="AV45" s="26">
        <f t="shared" si="58"/>
        <v>108164376.55760001</v>
      </c>
      <c r="AW45" s="26">
        <f t="shared" si="58"/>
        <v>105155697.69680001</v>
      </c>
      <c r="AX45" s="26">
        <f t="shared" si="58"/>
        <v>106915468.83760001</v>
      </c>
      <c r="AY45" s="26">
        <f t="shared" si="58"/>
        <v>102669181.2184</v>
      </c>
      <c r="AZ45" s="26">
        <f t="shared" si="58"/>
        <v>101579796.28479999</v>
      </c>
      <c r="BA45" s="26">
        <f t="shared" si="58"/>
        <v>100634658.3584</v>
      </c>
      <c r="BB45" s="26">
        <f t="shared" si="58"/>
        <v>99783960.431200013</v>
      </c>
      <c r="BC45" s="26">
        <f t="shared" si="58"/>
        <v>99720830.437600002</v>
      </c>
      <c r="BD45" s="26">
        <f t="shared" si="58"/>
        <v>98477732.340800002</v>
      </c>
      <c r="BE45" s="26">
        <f t="shared" si="58"/>
        <v>97483785.610400006</v>
      </c>
      <c r="BF45" s="26">
        <f t="shared" si="58"/>
        <v>97704263.733600006</v>
      </c>
      <c r="BG45" s="26">
        <f t="shared" si="58"/>
        <v>97251499.203199998</v>
      </c>
      <c r="BH45" s="26">
        <f t="shared" si="58"/>
        <v>95259187.524800003</v>
      </c>
      <c r="BI45" s="26">
        <f t="shared" si="58"/>
        <v>94957114.307999998</v>
      </c>
      <c r="BJ45" s="26">
        <f t="shared" si="58"/>
        <v>80996388.180000007</v>
      </c>
      <c r="BK45" s="26">
        <f t="shared" si="58"/>
        <v>79395153.496000007</v>
      </c>
      <c r="BL45" s="26">
        <f t="shared" si="58"/>
        <v>0</v>
      </c>
      <c r="BM45" s="26">
        <f t="shared" si="58"/>
        <v>91025139.644799992</v>
      </c>
      <c r="BN45" s="26">
        <f t="shared" si="58"/>
        <v>167985633.00799999</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1207734355.3156023</v>
      </c>
      <c r="C47" s="28">
        <f t="shared" ref="C47:BN47" si="62">C42-C45</f>
        <v>272583398.7907989</v>
      </c>
      <c r="D47" s="28">
        <f t="shared" si="62"/>
        <v>-153373136.16359973</v>
      </c>
      <c r="E47" s="28">
        <f t="shared" si="62"/>
        <v>878538952.59680128</v>
      </c>
      <c r="F47" s="28">
        <f t="shared" si="62"/>
        <v>637166650.81639862</v>
      </c>
      <c r="G47" s="28">
        <f t="shared" si="62"/>
        <v>199780883.4031992</v>
      </c>
      <c r="H47" s="28">
        <f t="shared" si="62"/>
        <v>-184591372.27520031</v>
      </c>
      <c r="I47" s="28">
        <f t="shared" si="62"/>
        <v>872760608.53799987</v>
      </c>
      <c r="J47" s="28">
        <f t="shared" si="62"/>
        <v>565838689.66599989</v>
      </c>
      <c r="K47" s="28">
        <f t="shared" si="62"/>
        <v>195286145.22879988</v>
      </c>
      <c r="L47" s="28">
        <f t="shared" si="62"/>
        <v>-135932598.91680026</v>
      </c>
      <c r="M47" s="28">
        <f t="shared" si="62"/>
        <v>658328514.46200001</v>
      </c>
      <c r="N47" s="28">
        <f t="shared" si="62"/>
        <v>345756405.36599958</v>
      </c>
      <c r="O47" s="28">
        <f t="shared" si="62"/>
        <v>69212312.950000763</v>
      </c>
      <c r="P47" s="28">
        <f t="shared" si="62"/>
        <v>-156666134.25840014</v>
      </c>
      <c r="Q47" s="28">
        <f t="shared" si="62"/>
        <v>377576095.16320097</v>
      </c>
      <c r="R47" s="28">
        <f t="shared" si="62"/>
        <v>187593480.47280043</v>
      </c>
      <c r="S47" s="28">
        <f t="shared" si="62"/>
        <v>-25488892.675599635</v>
      </c>
      <c r="T47" s="28">
        <f t="shared" si="62"/>
        <v>-189849262.09960002</v>
      </c>
      <c r="U47" s="28">
        <f t="shared" si="62"/>
        <v>74012321.327201128</v>
      </c>
      <c r="V47" s="28">
        <f t="shared" si="62"/>
        <v>9849810.4231996536</v>
      </c>
      <c r="W47" s="28">
        <f t="shared" si="62"/>
        <v>-108341028.98920006</v>
      </c>
      <c r="X47" s="28">
        <f t="shared" si="62"/>
        <v>-229484044.15040013</v>
      </c>
      <c r="Y47" s="28">
        <f t="shared" si="62"/>
        <v>26382306.769600868</v>
      </c>
      <c r="Z47" s="28">
        <f t="shared" si="62"/>
        <v>-8420696.0603994727</v>
      </c>
      <c r="AA47" s="28">
        <f t="shared" si="62"/>
        <v>-91605748.776400208</v>
      </c>
      <c r="AB47" s="28">
        <f t="shared" si="62"/>
        <v>-198063822.64040002</v>
      </c>
      <c r="AC47" s="28">
        <f t="shared" si="62"/>
        <v>184654158.39080113</v>
      </c>
      <c r="AD47" s="28">
        <f t="shared" si="62"/>
        <v>183219646.14919925</v>
      </c>
      <c r="AE47" s="28">
        <f t="shared" si="62"/>
        <v>31403371.385999382</v>
      </c>
      <c r="AF47" s="28">
        <f t="shared" si="62"/>
        <v>-128884605.76440024</v>
      </c>
      <c r="AG47" s="28">
        <f t="shared" si="62"/>
        <v>299698191.98599923</v>
      </c>
      <c r="AH47" s="28">
        <f t="shared" si="62"/>
        <v>109286653.40199971</v>
      </c>
      <c r="AI47" s="28">
        <f t="shared" si="62"/>
        <v>14758794.552399874</v>
      </c>
      <c r="AJ47" s="28">
        <f t="shared" si="62"/>
        <v>-75149503.930799812</v>
      </c>
      <c r="AK47" s="28">
        <f t="shared" si="62"/>
        <v>60742918.53760004</v>
      </c>
      <c r="AL47" s="28">
        <f t="shared" si="62"/>
        <v>-11198108.14199993</v>
      </c>
      <c r="AM47" s="28">
        <f t="shared" si="62"/>
        <v>-78872044.103200048</v>
      </c>
      <c r="AN47" s="28">
        <f t="shared" si="62"/>
        <v>-102807890.45920002</v>
      </c>
      <c r="AO47" s="28">
        <f t="shared" si="62"/>
        <v>-130715408.21600036</v>
      </c>
      <c r="AP47" s="28">
        <f t="shared" si="62"/>
        <v>-28754432.810799822</v>
      </c>
      <c r="AQ47" s="28">
        <f t="shared" si="62"/>
        <v>-71389167.992800131</v>
      </c>
      <c r="AR47" s="28">
        <f t="shared" si="62"/>
        <v>-103993547.44279984</v>
      </c>
      <c r="AS47" s="28">
        <f t="shared" si="62"/>
        <v>180478516.09600028</v>
      </c>
      <c r="AT47" s="28">
        <f t="shared" si="62"/>
        <v>91754985.637199849</v>
      </c>
      <c r="AU47" s="28">
        <f t="shared" si="62"/>
        <v>-52327934.850400046</v>
      </c>
      <c r="AV47" s="28">
        <f t="shared" si="62"/>
        <v>-90774039.38759999</v>
      </c>
      <c r="AW47" s="28">
        <f t="shared" si="62"/>
        <v>-145093407.62679994</v>
      </c>
      <c r="AX47" s="28">
        <f t="shared" si="62"/>
        <v>-115464577.04759969</v>
      </c>
      <c r="AY47" s="28">
        <f t="shared" si="62"/>
        <v>-100032682.92839977</v>
      </c>
      <c r="AZ47" s="28">
        <f t="shared" si="62"/>
        <v>-91322891.524800017</v>
      </c>
      <c r="BA47" s="28">
        <f t="shared" si="62"/>
        <v>-111924424.94840023</v>
      </c>
      <c r="BB47" s="28">
        <f t="shared" si="62"/>
        <v>-112472312.74120006</v>
      </c>
      <c r="BC47" s="28">
        <f t="shared" si="62"/>
        <v>-103280929.24759993</v>
      </c>
      <c r="BD47" s="28">
        <f t="shared" si="62"/>
        <v>-94755839.970800012</v>
      </c>
      <c r="BE47" s="28">
        <f t="shared" si="62"/>
        <v>-97288821.36040011</v>
      </c>
      <c r="BF47" s="28">
        <f t="shared" si="62"/>
        <v>-75020048.533600137</v>
      </c>
      <c r="BG47" s="28">
        <f t="shared" si="62"/>
        <v>-81186610.123200014</v>
      </c>
      <c r="BH47" s="28">
        <f t="shared" si="62"/>
        <v>-93864796.044800028</v>
      </c>
      <c r="BI47" s="28">
        <f t="shared" si="62"/>
        <v>-54056756.577999666</v>
      </c>
      <c r="BJ47" s="28">
        <f t="shared" si="62"/>
        <v>-86702369.970000044</v>
      </c>
      <c r="BK47" s="28">
        <f t="shared" si="62"/>
        <v>-101523148.25600007</v>
      </c>
      <c r="BL47" s="28">
        <f t="shared" si="62"/>
        <v>1364391.6699999808</v>
      </c>
      <c r="BM47" s="28">
        <f t="shared" si="62"/>
        <v>-746394686.28480029</v>
      </c>
      <c r="BN47" s="28">
        <f t="shared" si="62"/>
        <v>-158104852.36800015</v>
      </c>
      <c r="BO47" s="28">
        <f t="shared" ref="BO47:CJ47" si="63">BO42-BO45</f>
        <v>-139806410.02440006</v>
      </c>
      <c r="BP47" s="28">
        <f t="shared" si="63"/>
        <v>-148875621.40559998</v>
      </c>
      <c r="BQ47" s="28">
        <f t="shared" si="63"/>
        <v>-255402289.70599997</v>
      </c>
      <c r="BR47" s="28">
        <f t="shared" si="63"/>
        <v>-87970314.684800103</v>
      </c>
      <c r="BS47" s="28">
        <f t="shared" si="63"/>
        <v>12308256.241999924</v>
      </c>
      <c r="BT47" s="28">
        <f t="shared" si="63"/>
        <v>-56481530.553600088</v>
      </c>
      <c r="BU47" s="28">
        <f t="shared" si="63"/>
        <v>24686529.312800288</v>
      </c>
      <c r="BV47" s="28">
        <f t="shared" si="63"/>
        <v>-34941324.033599958</v>
      </c>
      <c r="BW47" s="28">
        <f t="shared" si="63"/>
        <v>58695331.956800044</v>
      </c>
      <c r="BX47" s="28">
        <f t="shared" si="63"/>
        <v>-20385088.856000021</v>
      </c>
      <c r="BY47" s="28">
        <f t="shared" si="63"/>
        <v>117255246.53160009</v>
      </c>
      <c r="BZ47" s="28">
        <f t="shared" si="63"/>
        <v>720055024</v>
      </c>
      <c r="CA47" s="28">
        <f t="shared" si="63"/>
        <v>102800395.63040012</v>
      </c>
      <c r="CB47" s="28">
        <f t="shared" si="63"/>
        <v>591839760</v>
      </c>
      <c r="CC47" s="28">
        <f t="shared" si="63"/>
        <v>149114227.40000004</v>
      </c>
      <c r="CD47" s="28">
        <f t="shared" si="63"/>
        <v>764095148.28999996</v>
      </c>
      <c r="CE47" s="28">
        <f t="shared" si="63"/>
        <v>484685682.33999997</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19941231</v>
      </c>
      <c r="CE51" s="189">
        <v>19931231</v>
      </c>
      <c r="CF51" s="189">
        <v>19700101</v>
      </c>
      <c r="CG51" s="189">
        <v>19930630</v>
      </c>
      <c r="CH51" s="189">
        <v>19921231</v>
      </c>
      <c r="CI51" s="189">
        <v>19911231</v>
      </c>
      <c r="CJ51" s="189">
        <v>19901231</v>
      </c>
      <c r="CK51" s="189">
        <v>19700101</v>
      </c>
    </row>
    <row r="52" spans="1:89" s="43" customFormat="1" x14ac:dyDescent="0.25">
      <c r="A52" s="131" t="s">
        <v>572</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x14ac:dyDescent="0.25">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x14ac:dyDescent="0.25">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x14ac:dyDescent="0.25">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1502224256.5899999</v>
      </c>
      <c r="C59" s="189">
        <v>1003464509.61</v>
      </c>
      <c r="D59" s="189">
        <v>569399077.76999998</v>
      </c>
      <c r="E59" s="189">
        <v>1708420285.75</v>
      </c>
      <c r="F59" s="189">
        <v>1313309310.51</v>
      </c>
      <c r="G59" s="189">
        <v>832760250.00999999</v>
      </c>
      <c r="H59" s="189">
        <v>438415719.44999999</v>
      </c>
      <c r="I59" s="189">
        <v>1342775261.8800001</v>
      </c>
      <c r="J59" s="189">
        <v>1064493530.85</v>
      </c>
      <c r="K59" s="189">
        <v>664923275.70000005</v>
      </c>
      <c r="L59" s="189">
        <v>361046361.66000003</v>
      </c>
      <c r="M59" s="189">
        <v>1053124786.15</v>
      </c>
      <c r="N59" s="189">
        <v>798716331.88</v>
      </c>
      <c r="O59" s="189">
        <v>498509022.06</v>
      </c>
      <c r="P59" s="189">
        <v>277163481.12</v>
      </c>
      <c r="Q59" s="189">
        <v>790826104.30999994</v>
      </c>
      <c r="R59" s="189">
        <v>582313543.42999995</v>
      </c>
      <c r="S59" s="189">
        <v>350363717</v>
      </c>
      <c r="T59" s="189">
        <v>187693339.72999999</v>
      </c>
      <c r="U59" s="189">
        <v>474757699.79000002</v>
      </c>
      <c r="V59" s="189">
        <v>364491607.66000003</v>
      </c>
      <c r="W59" s="189">
        <v>235920464.22999999</v>
      </c>
      <c r="X59" s="189">
        <v>120203928.15000001</v>
      </c>
      <c r="Y59" s="189">
        <v>378836167.45999998</v>
      </c>
      <c r="Z59" s="189">
        <v>324524401.08999997</v>
      </c>
      <c r="AA59" s="189">
        <v>234142192.34999999</v>
      </c>
      <c r="AB59" s="189">
        <v>129549307.54000001</v>
      </c>
      <c r="AC59" s="189">
        <v>538564751.55999994</v>
      </c>
      <c r="AD59" s="189">
        <v>498959086.52999997</v>
      </c>
      <c r="AE59" s="189">
        <v>333304792.63999999</v>
      </c>
      <c r="AF59" s="189">
        <v>164131260.12</v>
      </c>
      <c r="AG59" s="189">
        <v>609738014.45000005</v>
      </c>
      <c r="AH59" s="189">
        <v>284232893.63</v>
      </c>
      <c r="AI59" s="189">
        <v>181540671.75</v>
      </c>
      <c r="AJ59" s="189">
        <v>84715950.129999995</v>
      </c>
      <c r="AK59" s="189">
        <v>221693429.59</v>
      </c>
      <c r="AL59" s="189">
        <v>135390834.43000001</v>
      </c>
      <c r="AM59" s="189">
        <v>62708321.420000002</v>
      </c>
      <c r="AN59" s="189">
        <v>35868639.740000002</v>
      </c>
      <c r="AO59" s="189">
        <v>25007833.460000001</v>
      </c>
      <c r="AP59" s="189">
        <v>116987471.48999999</v>
      </c>
      <c r="AQ59" s="189">
        <v>70799486.939999998</v>
      </c>
      <c r="AR59" s="189">
        <v>35701046.729999997</v>
      </c>
      <c r="AS59" s="189">
        <v>346911201.54000002</v>
      </c>
      <c r="AT59" s="189">
        <v>211412314.53</v>
      </c>
      <c r="AU59" s="189">
        <v>55021774.390000001</v>
      </c>
      <c r="AV59" s="189">
        <v>17390337.170000002</v>
      </c>
      <c r="AW59" s="189">
        <v>35845624.880000003</v>
      </c>
      <c r="AX59" s="189">
        <v>37949970.75</v>
      </c>
      <c r="AY59" s="189">
        <v>28046619.300000001</v>
      </c>
      <c r="AZ59" s="189">
        <v>13202343.58</v>
      </c>
      <c r="BA59" s="189">
        <v>47515574.18</v>
      </c>
      <c r="BB59" s="189">
        <v>24086908.309999999</v>
      </c>
      <c r="BC59" s="189">
        <v>21598122.390000001</v>
      </c>
      <c r="BD59" s="189">
        <v>13233637.5</v>
      </c>
      <c r="BE59" s="189">
        <v>43438553.280000001</v>
      </c>
      <c r="BF59" s="189">
        <v>39626061.109999999</v>
      </c>
      <c r="BG59" s="189">
        <v>33907979.130000003</v>
      </c>
      <c r="BH59" s="189">
        <v>8267318.6399999997</v>
      </c>
      <c r="BI59" s="189">
        <v>47586887.469999999</v>
      </c>
      <c r="BJ59" s="189">
        <v>39003588.039999999</v>
      </c>
      <c r="BK59" s="189">
        <v>20683003.18</v>
      </c>
      <c r="BL59" s="189">
        <v>20078451.52</v>
      </c>
      <c r="BM59" s="189">
        <v>-591972837.65999997</v>
      </c>
      <c r="BN59" s="189">
        <v>28691367.670000002</v>
      </c>
      <c r="BO59" s="189">
        <v>24585296.829999998</v>
      </c>
      <c r="BP59" s="189">
        <v>15857469.33</v>
      </c>
      <c r="BQ59" s="189">
        <v>-55442297.340000004</v>
      </c>
      <c r="BR59" s="189">
        <v>91586172.409999996</v>
      </c>
      <c r="BS59" s="189">
        <v>194561052.72999999</v>
      </c>
      <c r="BT59" s="189">
        <v>118934490.97</v>
      </c>
      <c r="BU59" s="189">
        <v>216613149.28999999</v>
      </c>
      <c r="BV59" s="189">
        <v>133594369.16</v>
      </c>
      <c r="BW59" s="189">
        <v>233275310.97999999</v>
      </c>
      <c r="BX59" s="189">
        <v>134465618.43000001</v>
      </c>
      <c r="BY59" s="189">
        <v>265812370.63999999</v>
      </c>
      <c r="BZ59" s="189">
        <v>114700830</v>
      </c>
      <c r="CA59" s="189">
        <v>180956230.91</v>
      </c>
      <c r="CB59" s="189">
        <v>98746000</v>
      </c>
      <c r="CC59" s="189">
        <v>148728879.09</v>
      </c>
      <c r="CD59" s="189">
        <v>99332807.060000002</v>
      </c>
      <c r="CE59" s="189">
        <v>30353176.780000001</v>
      </c>
      <c r="CF59" s="189">
        <v>0</v>
      </c>
      <c r="CG59" s="189">
        <v>54430000</v>
      </c>
      <c r="CH59" s="189">
        <v>80440000</v>
      </c>
      <c r="CI59" s="189">
        <v>58950000</v>
      </c>
      <c r="CJ59" s="189">
        <v>67670000</v>
      </c>
      <c r="CK59" s="189">
        <v>0</v>
      </c>
    </row>
    <row r="60" spans="1:89" x14ac:dyDescent="0.25">
      <c r="A60" s="22" t="s">
        <v>95</v>
      </c>
      <c r="B60" s="189">
        <v>295616684.07999998</v>
      </c>
      <c r="C60" s="189">
        <v>225410775.47999999</v>
      </c>
      <c r="D60" s="189">
        <v>124973358.33</v>
      </c>
      <c r="E60" s="189">
        <v>356274657.61000001</v>
      </c>
      <c r="F60" s="189">
        <v>235865857.86000001</v>
      </c>
      <c r="G60" s="189">
        <v>148245695.78</v>
      </c>
      <c r="H60" s="189">
        <v>79585643.439999998</v>
      </c>
      <c r="I60" s="189">
        <v>241651767.11000001</v>
      </c>
      <c r="J60" s="189">
        <v>200130598.37</v>
      </c>
      <c r="K60" s="189">
        <v>127302391.75</v>
      </c>
      <c r="L60" s="189">
        <v>66073486.700000003</v>
      </c>
      <c r="M60" s="189">
        <v>172296831.78</v>
      </c>
      <c r="N60" s="189">
        <v>133944603.89</v>
      </c>
      <c r="O60" s="189">
        <v>78916402.709999993</v>
      </c>
      <c r="P60" s="189">
        <v>49288455.119999997</v>
      </c>
      <c r="Q60" s="189">
        <v>143176568.97999999</v>
      </c>
      <c r="R60" s="189">
        <v>109380840.22</v>
      </c>
      <c r="S60" s="189">
        <v>66436602.590000004</v>
      </c>
      <c r="T60" s="189">
        <v>31602176.949999999</v>
      </c>
      <c r="U60" s="189">
        <v>73863608.219999999</v>
      </c>
      <c r="V60" s="189">
        <v>65599413.960000001</v>
      </c>
      <c r="W60" s="189">
        <v>42992351.93</v>
      </c>
      <c r="X60" s="189">
        <v>21447270.34</v>
      </c>
      <c r="Y60" s="189">
        <v>66735452.950000003</v>
      </c>
      <c r="Z60" s="189">
        <v>50434192.5</v>
      </c>
      <c r="AA60" s="189">
        <v>34029106.950000003</v>
      </c>
      <c r="AB60" s="189">
        <v>23758255.75</v>
      </c>
      <c r="AC60" s="189">
        <v>131808348.7</v>
      </c>
      <c r="AD60" s="189">
        <v>115569220.15000001</v>
      </c>
      <c r="AE60" s="189">
        <v>84435392.659999996</v>
      </c>
      <c r="AF60" s="189">
        <v>32768641.609999999</v>
      </c>
      <c r="AG60" s="189">
        <v>111943594.04000001</v>
      </c>
      <c r="AH60" s="189">
        <v>53847767.289999999</v>
      </c>
      <c r="AI60" s="189">
        <v>36586018.719999999</v>
      </c>
      <c r="AJ60" s="189">
        <v>15210768.869999999</v>
      </c>
      <c r="AK60" s="189">
        <v>55928893.549999997</v>
      </c>
      <c r="AL60" s="189">
        <v>23815385.109999999</v>
      </c>
      <c r="AM60" s="189">
        <v>8954660.9600000009</v>
      </c>
      <c r="AN60" s="189">
        <v>8088837.9299999997</v>
      </c>
      <c r="AO60" s="189">
        <v>14607326.939999999</v>
      </c>
      <c r="AP60" s="189">
        <v>41944721.200000003</v>
      </c>
      <c r="AQ60" s="189">
        <v>27776218.809999999</v>
      </c>
      <c r="AR60" s="189">
        <v>8115013.5800000001</v>
      </c>
      <c r="AS60" s="189">
        <v>72074565.709999993</v>
      </c>
      <c r="AT60" s="189">
        <v>18532907.170000002</v>
      </c>
      <c r="AU60" s="189">
        <v>8748547.2599999998</v>
      </c>
      <c r="AV60" s="189">
        <v>5782941.2400000002</v>
      </c>
      <c r="AW60" s="189">
        <v>16250086.6</v>
      </c>
      <c r="AX60" s="189">
        <v>5871341.96</v>
      </c>
      <c r="AY60" s="189">
        <v>5586814.9699999997</v>
      </c>
      <c r="AZ60" s="189">
        <v>852390.2</v>
      </c>
      <c r="BA60" s="189">
        <v>8200839.7300000004</v>
      </c>
      <c r="BB60" s="189">
        <v>1547169.57</v>
      </c>
      <c r="BC60" s="189">
        <v>1670112.12</v>
      </c>
      <c r="BD60" s="189">
        <v>1400002.36</v>
      </c>
      <c r="BE60" s="189">
        <v>8647510.0199999996</v>
      </c>
      <c r="BF60" s="189">
        <v>14149383.75</v>
      </c>
      <c r="BG60" s="189">
        <v>6361492.7800000003</v>
      </c>
      <c r="BH60" s="189">
        <v>1829394.91</v>
      </c>
      <c r="BI60" s="189">
        <v>14648223.16</v>
      </c>
      <c r="BJ60" s="189">
        <v>7723545.4000000004</v>
      </c>
      <c r="BK60" s="189">
        <v>6745211.8600000003</v>
      </c>
      <c r="BL60" s="189">
        <v>2692657.36</v>
      </c>
      <c r="BM60" s="189">
        <v>8567968.0800000001</v>
      </c>
      <c r="BN60" s="189">
        <v>16815097.780000001</v>
      </c>
      <c r="BO60" s="189">
        <v>12126463.49</v>
      </c>
      <c r="BP60" s="189">
        <v>10693541.310000001</v>
      </c>
      <c r="BQ60" s="189">
        <v>48744017.509999998</v>
      </c>
      <c r="BR60" s="189">
        <v>19695816.390000001</v>
      </c>
      <c r="BS60" s="189">
        <v>41976926.869999997</v>
      </c>
      <c r="BT60" s="189">
        <v>24816640.73</v>
      </c>
      <c r="BU60" s="189">
        <v>68361348.510000005</v>
      </c>
      <c r="BV60" s="189">
        <v>36137562.890000001</v>
      </c>
      <c r="BW60" s="189">
        <v>64620217.200000003</v>
      </c>
      <c r="BX60" s="189">
        <v>31910918.52</v>
      </c>
      <c r="BY60" s="189">
        <v>58314806.049999997</v>
      </c>
      <c r="BZ60" s="189">
        <v>19864020</v>
      </c>
      <c r="CA60" s="189">
        <v>36217246.880000003</v>
      </c>
      <c r="CB60" s="189">
        <v>16912000</v>
      </c>
      <c r="CC60" s="189">
        <v>25845369.120000001</v>
      </c>
      <c r="CD60" s="189">
        <v>0</v>
      </c>
      <c r="CE60" s="189">
        <v>0</v>
      </c>
      <c r="CF60" s="189">
        <v>0</v>
      </c>
      <c r="CG60" s="189">
        <v>4330000</v>
      </c>
      <c r="CH60" s="189">
        <v>4220000</v>
      </c>
      <c r="CI60" s="189">
        <v>12510000</v>
      </c>
      <c r="CJ60" s="189">
        <v>3630000</v>
      </c>
      <c r="CK60" s="189">
        <v>0</v>
      </c>
    </row>
    <row r="61" spans="1:89" x14ac:dyDescent="0.25">
      <c r="A61" s="22" t="s">
        <v>94</v>
      </c>
      <c r="B61" s="189">
        <v>1797840940.6700001</v>
      </c>
      <c r="C61" s="189">
        <v>1228875285.0899999</v>
      </c>
      <c r="D61" s="189">
        <v>694372436.10000002</v>
      </c>
      <c r="E61" s="189">
        <v>2064694943.3599999</v>
      </c>
      <c r="F61" s="189">
        <v>1549175168.3699999</v>
      </c>
      <c r="G61" s="189">
        <v>981005945.78999996</v>
      </c>
      <c r="H61" s="189">
        <v>518001362.88999999</v>
      </c>
      <c r="I61" s="189">
        <v>1584427028.99</v>
      </c>
      <c r="J61" s="189">
        <v>1264624129.22</v>
      </c>
      <c r="K61" s="189">
        <v>792225667.45000005</v>
      </c>
      <c r="L61" s="189">
        <v>427119848.36000001</v>
      </c>
      <c r="M61" s="189">
        <v>1225421617.9300001</v>
      </c>
      <c r="N61" s="189">
        <v>932660935.76999998</v>
      </c>
      <c r="O61" s="189">
        <v>577425424.76999998</v>
      </c>
      <c r="P61" s="189">
        <v>326451936.24000001</v>
      </c>
      <c r="Q61" s="189">
        <v>934002673.28999996</v>
      </c>
      <c r="R61" s="189">
        <v>691694383.64999998</v>
      </c>
      <c r="S61" s="189">
        <v>416800319.58999997</v>
      </c>
      <c r="T61" s="189">
        <v>219295516.68000001</v>
      </c>
      <c r="U61" s="189">
        <v>548621308.00999999</v>
      </c>
      <c r="V61" s="189">
        <v>430091021.62</v>
      </c>
      <c r="W61" s="189">
        <v>278912816.16000003</v>
      </c>
      <c r="X61" s="189">
        <v>141651198.49000001</v>
      </c>
      <c r="Y61" s="189">
        <v>445571620.41000003</v>
      </c>
      <c r="Z61" s="189">
        <v>374958593.58999997</v>
      </c>
      <c r="AA61" s="189">
        <v>268171299.30000001</v>
      </c>
      <c r="AB61" s="189">
        <v>153307563.28999999</v>
      </c>
      <c r="AC61" s="189">
        <v>670373100.25999999</v>
      </c>
      <c r="AD61" s="189">
        <v>614528306.67999995</v>
      </c>
      <c r="AE61" s="189">
        <v>417740185.30000001</v>
      </c>
      <c r="AF61" s="189">
        <v>196899901.72999999</v>
      </c>
      <c r="AG61" s="189">
        <v>721681608.49000001</v>
      </c>
      <c r="AH61" s="189">
        <v>338080660.92000002</v>
      </c>
      <c r="AI61" s="189">
        <v>218126690.47</v>
      </c>
      <c r="AJ61" s="189">
        <v>99926719</v>
      </c>
      <c r="AK61" s="189">
        <v>277622323.13999999</v>
      </c>
      <c r="AL61" s="189">
        <v>159206219.53999999</v>
      </c>
      <c r="AM61" s="189">
        <v>71662982.379999995</v>
      </c>
      <c r="AN61" s="189">
        <v>43957477.670000002</v>
      </c>
      <c r="AO61" s="189">
        <v>39615160.399999999</v>
      </c>
      <c r="AP61" s="189">
        <v>158932192.69</v>
      </c>
      <c r="AQ61" s="189">
        <v>98575705.75</v>
      </c>
      <c r="AR61" s="189">
        <v>43816060.310000002</v>
      </c>
      <c r="AS61" s="189">
        <v>418985767.25</v>
      </c>
      <c r="AT61" s="189">
        <v>229945221.69999999</v>
      </c>
      <c r="AU61" s="189">
        <v>63770321.649999999</v>
      </c>
      <c r="AV61" s="189">
        <v>23173278.41</v>
      </c>
      <c r="AW61" s="189">
        <v>27727676.199999999</v>
      </c>
      <c r="AX61" s="189">
        <v>39272744.68</v>
      </c>
      <c r="AY61" s="189">
        <v>30526992.739999998</v>
      </c>
      <c r="AZ61" s="189">
        <v>12666614.279999999</v>
      </c>
      <c r="BA61" s="189">
        <v>42352335.289999999</v>
      </c>
      <c r="BB61" s="189">
        <v>22296819.32</v>
      </c>
      <c r="BC61" s="189">
        <v>21603226.66</v>
      </c>
      <c r="BD61" s="189">
        <v>13824336.5</v>
      </c>
      <c r="BE61" s="189">
        <v>48578464.57</v>
      </c>
      <c r="BF61" s="189">
        <v>53775444.859999999</v>
      </c>
      <c r="BG61" s="189">
        <v>40269471.909999996</v>
      </c>
      <c r="BH61" s="189">
        <v>5605310.1200000001</v>
      </c>
      <c r="BI61" s="189">
        <v>62235110.630000003</v>
      </c>
      <c r="BJ61" s="189">
        <v>10213360.550000001</v>
      </c>
      <c r="BK61" s="189">
        <v>-10780406.539999999</v>
      </c>
      <c r="BL61" s="189">
        <v>7921967.7400000002</v>
      </c>
      <c r="BM61" s="189">
        <v>-636968930.75</v>
      </c>
      <c r="BN61" s="189">
        <v>29053887.82</v>
      </c>
      <c r="BO61" s="189">
        <v>36711760.32</v>
      </c>
      <c r="BP61" s="189">
        <v>24723630.93</v>
      </c>
      <c r="BQ61" s="189">
        <v>-6698279.8300000001</v>
      </c>
      <c r="BR61" s="189">
        <v>111281988.8</v>
      </c>
      <c r="BS61" s="189">
        <v>236537979.59999999</v>
      </c>
      <c r="BT61" s="189">
        <v>143751131.69999999</v>
      </c>
      <c r="BU61" s="189">
        <v>264521548.15000001</v>
      </c>
      <c r="BV61" s="189">
        <v>169731932.05000001</v>
      </c>
      <c r="BW61" s="189">
        <v>282165432.33999997</v>
      </c>
      <c r="BX61" s="189">
        <v>166376536.94999999</v>
      </c>
      <c r="BY61" s="189">
        <v>324127176.69</v>
      </c>
      <c r="BZ61" s="189">
        <v>134564860</v>
      </c>
      <c r="CA61" s="189">
        <v>217173477.78999999</v>
      </c>
      <c r="CB61" s="189">
        <v>115658000</v>
      </c>
      <c r="CC61" s="189">
        <v>174574248.21000001</v>
      </c>
      <c r="CD61" s="189">
        <v>131142193.81999999</v>
      </c>
      <c r="CE61" s="189">
        <v>52857998.969999999</v>
      </c>
      <c r="CF61" s="189">
        <v>0</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113990451.59999999</v>
      </c>
      <c r="C65" s="189">
        <v>76902741.540000007</v>
      </c>
      <c r="D65" s="189">
        <v>39113264.509999998</v>
      </c>
      <c r="E65" s="189">
        <v>320623463.23000002</v>
      </c>
      <c r="F65" s="189">
        <v>238589870.72999999</v>
      </c>
      <c r="G65" s="189">
        <v>181665882.11000001</v>
      </c>
      <c r="H65" s="189">
        <v>103187613.01000001</v>
      </c>
      <c r="I65" s="189">
        <v>200239260.71000001</v>
      </c>
      <c r="J65" s="189">
        <v>130758204.67</v>
      </c>
      <c r="K65" s="189">
        <v>67315479.040000007</v>
      </c>
      <c r="L65" s="189">
        <v>27283315.309999999</v>
      </c>
      <c r="M65" s="189">
        <v>201749610.84</v>
      </c>
      <c r="N65" s="189">
        <v>97684604.609999999</v>
      </c>
      <c r="O65" s="189">
        <v>71820527.819999993</v>
      </c>
      <c r="P65" s="189">
        <v>30964125.82</v>
      </c>
      <c r="Q65" s="189">
        <v>177965089.25999999</v>
      </c>
      <c r="R65" s="189">
        <v>90760162.129999995</v>
      </c>
      <c r="S65" s="189">
        <v>56378070.460000001</v>
      </c>
      <c r="T65" s="189">
        <v>22987140.989999998</v>
      </c>
      <c r="U65" s="189">
        <v>116861930.2</v>
      </c>
      <c r="V65" s="189">
        <v>73812914.090000004</v>
      </c>
      <c r="W65" s="189">
        <v>38581681.439999998</v>
      </c>
      <c r="X65" s="189">
        <v>16406187.35</v>
      </c>
      <c r="Y65" s="189">
        <v>55622690.399999999</v>
      </c>
      <c r="Z65" s="189">
        <v>5356978.26</v>
      </c>
      <c r="AA65" s="189">
        <v>5062792.63</v>
      </c>
      <c r="AB65" s="189">
        <v>3538026.66</v>
      </c>
      <c r="AC65" s="189">
        <v>77371574.280000001</v>
      </c>
      <c r="AD65" s="189">
        <v>65008690.75</v>
      </c>
      <c r="AE65" s="189">
        <v>29611899.969999999</v>
      </c>
      <c r="AF65" s="189">
        <v>21646894.239999998</v>
      </c>
      <c r="AG65" s="189">
        <v>4004480.96</v>
      </c>
      <c r="AH65" s="189">
        <v>84650.72</v>
      </c>
      <c r="AI65" s="189">
        <v>437609.93</v>
      </c>
      <c r="AJ65" s="189">
        <v>1289048.95</v>
      </c>
      <c r="AK65" s="189">
        <v>-7283064.75</v>
      </c>
      <c r="AL65" s="189">
        <v>-5112628.04</v>
      </c>
      <c r="AM65" s="189">
        <v>-22871620.550000001</v>
      </c>
      <c r="AN65" s="189">
        <v>11055072.869999999</v>
      </c>
      <c r="AO65" s="189">
        <v>62913701.07</v>
      </c>
      <c r="AP65" s="189">
        <v>49295350.840000004</v>
      </c>
      <c r="AQ65" s="189">
        <v>40749752.700000003</v>
      </c>
      <c r="AR65" s="189">
        <v>16222974.789999999</v>
      </c>
      <c r="AS65" s="189">
        <v>285100198.74000001</v>
      </c>
      <c r="AT65" s="189">
        <v>176738662.34</v>
      </c>
      <c r="AU65" s="189">
        <v>29295173.719999999</v>
      </c>
      <c r="AV65" s="189">
        <v>13882411.359999999</v>
      </c>
      <c r="AW65" s="189">
        <v>44407031.920000002</v>
      </c>
      <c r="AX65" s="189">
        <v>30964617.920000002</v>
      </c>
      <c r="AY65" s="189">
        <v>12989562.16</v>
      </c>
      <c r="AZ65" s="189">
        <v>4770261.76</v>
      </c>
      <c r="BA65" s="189">
        <v>26058281.710000001</v>
      </c>
      <c r="BB65" s="189">
        <v>22216810.960000001</v>
      </c>
      <c r="BC65" s="189">
        <v>10133181.210000001</v>
      </c>
      <c r="BD65" s="189">
        <v>6743770.8899999997</v>
      </c>
      <c r="BE65" s="189">
        <v>34636461.399999999</v>
      </c>
      <c r="BF65" s="189">
        <v>20534871.050000001</v>
      </c>
      <c r="BG65" s="189">
        <v>13568055.609999999</v>
      </c>
      <c r="BH65" s="189">
        <v>6386110.6600000001</v>
      </c>
      <c r="BI65" s="189">
        <v>56675673.390000001</v>
      </c>
      <c r="BJ65" s="189">
        <v>35962583.600000001</v>
      </c>
      <c r="BK65" s="189">
        <v>23739846.239999998</v>
      </c>
      <c r="BL65" s="189">
        <v>2932907.34</v>
      </c>
      <c r="BM65" s="189">
        <v>27405251.039999999</v>
      </c>
      <c r="BN65" s="189">
        <v>3713381.3</v>
      </c>
      <c r="BO65" s="189">
        <v>-10625718.93</v>
      </c>
      <c r="BP65" s="189">
        <v>4557679.6900000004</v>
      </c>
      <c r="BQ65" s="189">
        <v>21254694.370000001</v>
      </c>
      <c r="BR65" s="189">
        <v>14419224.66</v>
      </c>
      <c r="BS65" s="189">
        <v>17274579.829999998</v>
      </c>
      <c r="BT65" s="189">
        <v>6547700.0800000001</v>
      </c>
      <c r="BU65" s="189">
        <v>-24371562.48</v>
      </c>
      <c r="BV65" s="189">
        <v>-8975034.6300000008</v>
      </c>
      <c r="BW65" s="189">
        <v>-45646454.090000004</v>
      </c>
      <c r="BX65" s="189">
        <v>-11084069.25</v>
      </c>
      <c r="BY65" s="189">
        <v>-22740004.100000001</v>
      </c>
      <c r="BZ65" s="189">
        <v>-3442370</v>
      </c>
      <c r="CA65" s="189">
        <v>-12289828.140000001</v>
      </c>
      <c r="CB65" s="189">
        <v>-1266000</v>
      </c>
      <c r="CC65" s="189">
        <v>745986.91</v>
      </c>
      <c r="CD65" s="189">
        <v>0</v>
      </c>
      <c r="CE65" s="189">
        <v>0</v>
      </c>
      <c r="CF65" s="189">
        <v>0</v>
      </c>
      <c r="CG65" s="189">
        <v>0</v>
      </c>
      <c r="CH65" s="189">
        <v>0</v>
      </c>
      <c r="CI65" s="189">
        <v>0</v>
      </c>
      <c r="CJ65" s="189">
        <v>0</v>
      </c>
      <c r="CK65" s="189">
        <v>0</v>
      </c>
    </row>
    <row r="66" spans="1:89" x14ac:dyDescent="0.25">
      <c r="A66" s="22" t="s">
        <v>99</v>
      </c>
      <c r="B66" s="189">
        <v>0</v>
      </c>
      <c r="C66" s="189">
        <v>0</v>
      </c>
      <c r="D66" s="189">
        <v>0</v>
      </c>
      <c r="E66" s="189">
        <v>0</v>
      </c>
      <c r="F66" s="189">
        <v>0</v>
      </c>
      <c r="G66" s="189">
        <v>0</v>
      </c>
      <c r="H66" s="189">
        <v>0</v>
      </c>
      <c r="I66" s="189">
        <v>0</v>
      </c>
      <c r="J66" s="189">
        <v>0</v>
      </c>
      <c r="K66" s="189">
        <v>0</v>
      </c>
      <c r="L66" s="189">
        <v>0</v>
      </c>
      <c r="M66" s="189">
        <v>-263002.03999999998</v>
      </c>
      <c r="N66" s="189">
        <v>0</v>
      </c>
      <c r="O66" s="189">
        <v>0</v>
      </c>
      <c r="P66" s="189">
        <v>0</v>
      </c>
      <c r="Q66" s="189">
        <v>-319108.43</v>
      </c>
      <c r="R66" s="189">
        <v>0</v>
      </c>
      <c r="S66" s="189">
        <v>0</v>
      </c>
      <c r="T66" s="189">
        <v>0</v>
      </c>
      <c r="U66" s="189">
        <v>-116701.92</v>
      </c>
      <c r="V66" s="189">
        <v>0</v>
      </c>
      <c r="W66" s="189">
        <v>0</v>
      </c>
      <c r="X66" s="189">
        <v>0</v>
      </c>
      <c r="Y66" s="189">
        <v>-143000.95000000001</v>
      </c>
      <c r="Z66" s="189">
        <v>0</v>
      </c>
      <c r="AA66" s="189">
        <v>0</v>
      </c>
      <c r="AB66" s="189">
        <v>0</v>
      </c>
      <c r="AC66" s="189">
        <v>0</v>
      </c>
      <c r="AD66" s="189">
        <v>24693027.379999999</v>
      </c>
      <c r="AE66" s="189">
        <v>-1078070.6299999999</v>
      </c>
      <c r="AF66" s="189">
        <v>-319761.06</v>
      </c>
      <c r="AG66" s="189">
        <v>0</v>
      </c>
      <c r="AH66" s="189">
        <v>0</v>
      </c>
      <c r="AI66" s="189">
        <v>0</v>
      </c>
      <c r="AJ66" s="189">
        <v>0</v>
      </c>
      <c r="AK66" s="189">
        <v>12248086.380000001</v>
      </c>
      <c r="AL66" s="189">
        <v>0</v>
      </c>
      <c r="AM66" s="189">
        <v>0</v>
      </c>
      <c r="AN66" s="189">
        <v>0</v>
      </c>
      <c r="AO66" s="189">
        <v>0</v>
      </c>
      <c r="AP66" s="189">
        <v>48596734.090000004</v>
      </c>
      <c r="AQ66" s="189">
        <v>40159135.950000003</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113990451.59999999</v>
      </c>
      <c r="C67" s="4">
        <f t="shared" ref="C67:BN67" si="67">C65-C66</f>
        <v>76902741.540000007</v>
      </c>
      <c r="D67" s="4">
        <f t="shared" si="67"/>
        <v>39113264.509999998</v>
      </c>
      <c r="E67" s="4">
        <f t="shared" si="67"/>
        <v>320623463.23000002</v>
      </c>
      <c r="F67" s="4">
        <f t="shared" si="67"/>
        <v>238589870.72999999</v>
      </c>
      <c r="G67" s="4">
        <f t="shared" si="67"/>
        <v>181665882.11000001</v>
      </c>
      <c r="H67" s="4">
        <f t="shared" si="67"/>
        <v>103187613.01000001</v>
      </c>
      <c r="I67" s="4">
        <f t="shared" si="67"/>
        <v>200239260.71000001</v>
      </c>
      <c r="J67" s="4">
        <f t="shared" si="67"/>
        <v>130758204.67</v>
      </c>
      <c r="K67" s="4">
        <f t="shared" si="67"/>
        <v>67315479.040000007</v>
      </c>
      <c r="L67" s="4">
        <f t="shared" si="67"/>
        <v>27283315.309999999</v>
      </c>
      <c r="M67" s="4">
        <f t="shared" si="67"/>
        <v>202012612.88</v>
      </c>
      <c r="N67" s="4">
        <f t="shared" si="67"/>
        <v>97684604.609999999</v>
      </c>
      <c r="O67" s="4">
        <f t="shared" si="67"/>
        <v>71820527.819999993</v>
      </c>
      <c r="P67" s="4">
        <f t="shared" si="67"/>
        <v>30964125.82</v>
      </c>
      <c r="Q67" s="4">
        <f t="shared" si="67"/>
        <v>178284197.69</v>
      </c>
      <c r="R67" s="4">
        <f t="shared" si="67"/>
        <v>90760162.129999995</v>
      </c>
      <c r="S67" s="4">
        <f t="shared" si="67"/>
        <v>56378070.460000001</v>
      </c>
      <c r="T67" s="4">
        <f t="shared" si="67"/>
        <v>22987140.989999998</v>
      </c>
      <c r="U67" s="4">
        <f t="shared" si="67"/>
        <v>116978632.12</v>
      </c>
      <c r="V67" s="4">
        <f t="shared" si="67"/>
        <v>73812914.090000004</v>
      </c>
      <c r="W67" s="4">
        <f t="shared" si="67"/>
        <v>38581681.439999998</v>
      </c>
      <c r="X67" s="4">
        <f t="shared" si="67"/>
        <v>16406187.35</v>
      </c>
      <c r="Y67" s="4">
        <f t="shared" si="67"/>
        <v>55765691.350000001</v>
      </c>
      <c r="Z67" s="4">
        <f t="shared" si="67"/>
        <v>5356978.26</v>
      </c>
      <c r="AA67" s="4">
        <f t="shared" si="67"/>
        <v>5062792.63</v>
      </c>
      <c r="AB67" s="4">
        <f t="shared" si="67"/>
        <v>3538026.66</v>
      </c>
      <c r="AC67" s="4">
        <f t="shared" si="67"/>
        <v>77371574.280000001</v>
      </c>
      <c r="AD67" s="4">
        <f t="shared" si="67"/>
        <v>40315663.370000005</v>
      </c>
      <c r="AE67" s="4">
        <f t="shared" si="67"/>
        <v>30689970.599999998</v>
      </c>
      <c r="AF67" s="4">
        <f t="shared" si="67"/>
        <v>21966655.299999997</v>
      </c>
      <c r="AG67" s="4">
        <f t="shared" si="67"/>
        <v>4004480.96</v>
      </c>
      <c r="AH67" s="4">
        <f t="shared" si="67"/>
        <v>84650.72</v>
      </c>
      <c r="AI67" s="4">
        <f t="shared" si="67"/>
        <v>437609.93</v>
      </c>
      <c r="AJ67" s="4">
        <f t="shared" si="67"/>
        <v>1289048.95</v>
      </c>
      <c r="AK67" s="4">
        <f t="shared" si="67"/>
        <v>-19531151.130000003</v>
      </c>
      <c r="AL67" s="4">
        <f t="shared" si="67"/>
        <v>-5112628.04</v>
      </c>
      <c r="AM67" s="4">
        <f t="shared" si="67"/>
        <v>-22871620.550000001</v>
      </c>
      <c r="AN67" s="4">
        <f t="shared" si="67"/>
        <v>11055072.869999999</v>
      </c>
      <c r="AO67" s="4">
        <f t="shared" si="67"/>
        <v>62913701.07</v>
      </c>
      <c r="AP67" s="4">
        <f t="shared" si="67"/>
        <v>698616.75</v>
      </c>
      <c r="AQ67" s="4">
        <f t="shared" si="67"/>
        <v>590616.75</v>
      </c>
      <c r="AR67" s="4">
        <f t="shared" si="67"/>
        <v>16222974.789999999</v>
      </c>
      <c r="AS67" s="4">
        <f t="shared" si="67"/>
        <v>285100198.74000001</v>
      </c>
      <c r="AT67" s="4">
        <f t="shared" si="67"/>
        <v>176738662.34</v>
      </c>
      <c r="AU67" s="4">
        <f t="shared" si="67"/>
        <v>29295173.719999999</v>
      </c>
      <c r="AV67" s="4">
        <f t="shared" si="67"/>
        <v>13882411.359999999</v>
      </c>
      <c r="AW67" s="4">
        <f t="shared" si="67"/>
        <v>44407031.920000002</v>
      </c>
      <c r="AX67" s="4">
        <f t="shared" si="67"/>
        <v>30964617.920000002</v>
      </c>
      <c r="AY67" s="4">
        <f t="shared" si="67"/>
        <v>12989562.16</v>
      </c>
      <c r="AZ67" s="4">
        <f t="shared" si="67"/>
        <v>4770261.76</v>
      </c>
      <c r="BA67" s="4">
        <f t="shared" si="67"/>
        <v>26058281.710000001</v>
      </c>
      <c r="BB67" s="4">
        <f t="shared" si="67"/>
        <v>22216810.960000001</v>
      </c>
      <c r="BC67" s="4">
        <f t="shared" si="67"/>
        <v>10133181.210000001</v>
      </c>
      <c r="BD67" s="4">
        <f t="shared" si="67"/>
        <v>6743770.8899999997</v>
      </c>
      <c r="BE67" s="4">
        <f t="shared" si="67"/>
        <v>34636461.399999999</v>
      </c>
      <c r="BF67" s="4">
        <f t="shared" si="67"/>
        <v>20534871.050000001</v>
      </c>
      <c r="BG67" s="4">
        <f t="shared" si="67"/>
        <v>13568055.609999999</v>
      </c>
      <c r="BH67" s="4">
        <f t="shared" si="67"/>
        <v>6386110.6600000001</v>
      </c>
      <c r="BI67" s="4">
        <f t="shared" si="67"/>
        <v>56675673.390000001</v>
      </c>
      <c r="BJ67" s="4">
        <f t="shared" si="67"/>
        <v>35962583.600000001</v>
      </c>
      <c r="BK67" s="4">
        <f t="shared" si="67"/>
        <v>23739846.239999998</v>
      </c>
      <c r="BL67" s="4">
        <f t="shared" si="67"/>
        <v>2932907.34</v>
      </c>
      <c r="BM67" s="4">
        <f t="shared" si="67"/>
        <v>27405251.039999999</v>
      </c>
      <c r="BN67" s="4">
        <f t="shared" si="67"/>
        <v>3713381.3</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9">
        <v>-411575061.93000001</v>
      </c>
      <c r="C68" s="189">
        <v>-231352118.97999999</v>
      </c>
      <c r="D68" s="189">
        <v>-69542219.959999993</v>
      </c>
      <c r="E68" s="189">
        <v>-71808982.799999997</v>
      </c>
      <c r="F68" s="189">
        <v>-26335907.670000002</v>
      </c>
      <c r="G68" s="189">
        <v>-23523197.84</v>
      </c>
      <c r="H68" s="189">
        <v>-18400643.850000001</v>
      </c>
      <c r="I68" s="189">
        <v>-154825748.21000001</v>
      </c>
      <c r="J68" s="189">
        <v>-94016729.519999996</v>
      </c>
      <c r="K68" s="189">
        <v>-63399464.469999999</v>
      </c>
      <c r="L68" s="189">
        <v>-30693728.100000001</v>
      </c>
      <c r="M68" s="189">
        <v>-110112851.91</v>
      </c>
      <c r="N68" s="189">
        <v>-81924696.400000006</v>
      </c>
      <c r="O68" s="189">
        <v>-11205277.58</v>
      </c>
      <c r="P68" s="189">
        <v>-11914487.390000001</v>
      </c>
      <c r="Q68" s="189">
        <v>-14860124.49</v>
      </c>
      <c r="R68" s="189">
        <v>-43416185.100000001</v>
      </c>
      <c r="S68" s="189">
        <v>-9899828.8599999994</v>
      </c>
      <c r="T68" s="189">
        <v>-2706279.81</v>
      </c>
      <c r="U68" s="189">
        <v>24609694.16</v>
      </c>
      <c r="V68" s="189">
        <v>22101561.23</v>
      </c>
      <c r="W68" s="189">
        <v>20143097.739999998</v>
      </c>
      <c r="X68" s="189">
        <v>8861929.1999999993</v>
      </c>
      <c r="Y68" s="189">
        <v>-3052363.24</v>
      </c>
      <c r="Z68" s="189">
        <v>-51906392.020000003</v>
      </c>
      <c r="AA68" s="189">
        <v>-30539990.760000002</v>
      </c>
      <c r="AB68" s="189">
        <v>-16174527.67</v>
      </c>
      <c r="AC68" s="189">
        <v>-1018277.92</v>
      </c>
      <c r="AD68" s="189">
        <v>1975566.89</v>
      </c>
      <c r="AE68" s="189">
        <v>1111770.69</v>
      </c>
      <c r="AF68" s="189">
        <v>3756582.06</v>
      </c>
      <c r="AG68" s="189">
        <v>33838215.659999996</v>
      </c>
      <c r="AH68" s="189">
        <v>21508698.399999999</v>
      </c>
      <c r="AI68" s="189">
        <v>11221531.82</v>
      </c>
      <c r="AJ68" s="189">
        <v>-1171952.69</v>
      </c>
      <c r="AK68" s="189">
        <v>1472283.08</v>
      </c>
      <c r="AL68" s="189">
        <v>2392171.0099999998</v>
      </c>
      <c r="AM68" s="189">
        <v>2212812.2000000002</v>
      </c>
      <c r="AN68" s="189">
        <v>749646.93</v>
      </c>
      <c r="AO68" s="189">
        <v>16888023.620000001</v>
      </c>
      <c r="AP68" s="189">
        <v>34521027.659999996</v>
      </c>
      <c r="AQ68" s="189">
        <v>29739572.25</v>
      </c>
      <c r="AR68" s="189">
        <v>11695243.279999999</v>
      </c>
      <c r="AS68" s="189">
        <v>51577277.229999997</v>
      </c>
      <c r="AT68" s="189">
        <v>19190194.890000001</v>
      </c>
      <c r="AU68" s="189">
        <v>12636907.119999999</v>
      </c>
      <c r="AV68" s="189">
        <v>5693588.3300000001</v>
      </c>
      <c r="AW68" s="189">
        <v>52133222.32</v>
      </c>
      <c r="AX68" s="189">
        <v>33842199.990000002</v>
      </c>
      <c r="AY68" s="189">
        <v>21271490.68</v>
      </c>
      <c r="AZ68" s="189">
        <v>9597118.6899999995</v>
      </c>
      <c r="BA68" s="189">
        <v>41678261.390000001</v>
      </c>
      <c r="BB68" s="189">
        <v>28119610.609999999</v>
      </c>
      <c r="BC68" s="189">
        <v>15055539.25</v>
      </c>
      <c r="BD68" s="189">
        <v>7862021.6200000001</v>
      </c>
      <c r="BE68" s="189">
        <v>11899212.73</v>
      </c>
      <c r="BF68" s="189">
        <v>12821909.949999999</v>
      </c>
      <c r="BG68" s="189">
        <v>7134073.9699999997</v>
      </c>
      <c r="BH68" s="189">
        <v>7382419.7599999998</v>
      </c>
      <c r="BI68" s="189">
        <v>12939147.449999999</v>
      </c>
      <c r="BJ68" s="189">
        <v>10535351.630000001</v>
      </c>
      <c r="BK68" s="189">
        <v>7370188.5300000003</v>
      </c>
      <c r="BL68" s="189">
        <v>9144810.2799999993</v>
      </c>
      <c r="BM68" s="189">
        <v>32700945.350000001</v>
      </c>
      <c r="BN68" s="189">
        <v>21978103.609999999</v>
      </c>
      <c r="BO68" s="189">
        <v>9242019.3499999996</v>
      </c>
      <c r="BP68" s="189">
        <v>7593114.3499999996</v>
      </c>
      <c r="BQ68" s="189">
        <v>2252723.4900000002</v>
      </c>
      <c r="BR68" s="189">
        <v>3485280.93</v>
      </c>
      <c r="BS68" s="189">
        <v>21614983.890000001</v>
      </c>
      <c r="BT68" s="189">
        <v>12077603.27</v>
      </c>
      <c r="BU68" s="189">
        <v>22023607.5</v>
      </c>
      <c r="BV68" s="189">
        <v>6067545.0599999996</v>
      </c>
      <c r="BW68" s="189">
        <v>-15560870.4</v>
      </c>
      <c r="BX68" s="189">
        <v>-1880458.13</v>
      </c>
      <c r="BY68" s="189">
        <v>-6710113.1100000003</v>
      </c>
      <c r="BZ68" s="189">
        <v>0</v>
      </c>
      <c r="CA68" s="189">
        <v>5020629.4800000004</v>
      </c>
      <c r="CB68" s="189">
        <v>0</v>
      </c>
      <c r="CC68" s="189">
        <v>9165945.8100000005</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9110742263.6800003</v>
      </c>
      <c r="C70" s="189">
        <v>8622523566.4899998</v>
      </c>
      <c r="D70" s="189">
        <v>8810025018.1700001</v>
      </c>
      <c r="E70" s="189">
        <v>8218298013.04</v>
      </c>
      <c r="F70" s="189">
        <v>7810740135.6700001</v>
      </c>
      <c r="G70" s="189">
        <v>7309450551.46</v>
      </c>
      <c r="H70" s="189">
        <v>7376356291.9399996</v>
      </c>
      <c r="I70" s="189">
        <v>6959095067.3999996</v>
      </c>
      <c r="J70" s="189">
        <v>6739578302.8000002</v>
      </c>
      <c r="K70" s="189">
        <v>6323773822.8900003</v>
      </c>
      <c r="L70" s="189">
        <v>6369135713.21</v>
      </c>
      <c r="M70" s="189">
        <v>5987727087.1000004</v>
      </c>
      <c r="N70" s="189">
        <v>5677000830.0500002</v>
      </c>
      <c r="O70" s="189">
        <v>5365874542.75</v>
      </c>
      <c r="P70" s="189">
        <v>5424310013.9799995</v>
      </c>
      <c r="Q70" s="189">
        <v>5144696094.71</v>
      </c>
      <c r="R70" s="189">
        <v>4937332003.8400002</v>
      </c>
      <c r="S70" s="189">
        <v>4700982730.5699997</v>
      </c>
      <c r="T70" s="189">
        <v>4722261003.8699999</v>
      </c>
      <c r="U70" s="189">
        <v>4534329385.6599998</v>
      </c>
      <c r="V70" s="189">
        <v>4424615823.21</v>
      </c>
      <c r="W70" s="189">
        <v>4296147519.4899998</v>
      </c>
      <c r="X70" s="189">
        <v>4370716339.1300001</v>
      </c>
      <c r="Y70" s="189">
        <v>4250543076.1300001</v>
      </c>
      <c r="Z70" s="189">
        <v>4163163893.8800001</v>
      </c>
      <c r="AA70" s="189">
        <v>4072745358.3299999</v>
      </c>
      <c r="AB70" s="189">
        <v>4094527400.6300001</v>
      </c>
      <c r="AC70" s="189">
        <v>3965029031.2399998</v>
      </c>
      <c r="AD70" s="189">
        <v>3929455599.5100002</v>
      </c>
      <c r="AE70" s="189">
        <v>3764437909.5500002</v>
      </c>
      <c r="AF70" s="189">
        <v>3658960517.4299998</v>
      </c>
      <c r="AG70" s="189">
        <v>3510842281.8000002</v>
      </c>
      <c r="AH70" s="189">
        <v>2186952952.8499999</v>
      </c>
      <c r="AI70" s="189">
        <v>2084798454.97</v>
      </c>
      <c r="AJ70" s="189">
        <v>1999517695.76</v>
      </c>
      <c r="AK70" s="189">
        <v>1914705784.03</v>
      </c>
      <c r="AL70" s="189">
        <v>1833686252.1500001</v>
      </c>
      <c r="AM70" s="189">
        <v>1769754569.04</v>
      </c>
      <c r="AN70" s="189">
        <v>1733456627.49</v>
      </c>
      <c r="AO70" s="189">
        <v>1695797240.95</v>
      </c>
      <c r="AP70" s="189">
        <v>1821773803.76</v>
      </c>
      <c r="AQ70" s="189">
        <v>1777358186.6600001</v>
      </c>
      <c r="AR70" s="189">
        <v>1746182427.1600001</v>
      </c>
      <c r="AS70" s="189">
        <v>1718490427.05</v>
      </c>
      <c r="AT70" s="189">
        <v>1495716611.1600001</v>
      </c>
      <c r="AU70" s="189">
        <v>1341871365.3800001</v>
      </c>
      <c r="AV70" s="189">
        <v>1352054706.97</v>
      </c>
      <c r="AW70" s="189">
        <v>1314446221.21</v>
      </c>
      <c r="AX70" s="189">
        <v>1336443360.47</v>
      </c>
      <c r="AY70" s="189">
        <v>1283364765.23</v>
      </c>
      <c r="AZ70" s="189">
        <v>1269747453.5599999</v>
      </c>
      <c r="BA70" s="189">
        <v>1257933229.48</v>
      </c>
      <c r="BB70" s="189">
        <v>1247299505.3900001</v>
      </c>
      <c r="BC70" s="189">
        <v>1246510380.47</v>
      </c>
      <c r="BD70" s="189">
        <v>1230971654.26</v>
      </c>
      <c r="BE70" s="189">
        <v>1218547320.1300001</v>
      </c>
      <c r="BF70" s="189">
        <v>1221303296.6700001</v>
      </c>
      <c r="BG70" s="189">
        <v>1215643740.04</v>
      </c>
      <c r="BH70" s="189">
        <v>1190739844.0599999</v>
      </c>
      <c r="BI70" s="189">
        <v>1186963928.8499999</v>
      </c>
      <c r="BJ70" s="189">
        <v>1012454852.25</v>
      </c>
      <c r="BK70" s="189">
        <v>992439418.70000005</v>
      </c>
      <c r="BL70" s="189">
        <v>0</v>
      </c>
      <c r="BM70" s="189">
        <v>1137814245.5599999</v>
      </c>
      <c r="BN70" s="189">
        <v>2099820412.5999999</v>
      </c>
      <c r="BO70" s="189">
        <v>2102476177.1800001</v>
      </c>
      <c r="BP70" s="189">
        <v>2103690720.0699999</v>
      </c>
      <c r="BQ70" s="189">
        <v>1967932475.95</v>
      </c>
      <c r="BR70" s="189">
        <v>2177458512.8099999</v>
      </c>
      <c r="BS70" s="189">
        <v>2074414991.5999999</v>
      </c>
      <c r="BT70" s="189">
        <v>2138142090.6700001</v>
      </c>
      <c r="BU70" s="189">
        <v>2021612426.0899999</v>
      </c>
      <c r="BV70" s="189">
        <v>2060831379.9200001</v>
      </c>
      <c r="BW70" s="189">
        <v>1903739656.29</v>
      </c>
      <c r="BX70" s="189">
        <v>1923476556.95</v>
      </c>
      <c r="BY70" s="189">
        <v>1758303927.23</v>
      </c>
      <c r="BZ70" s="189">
        <v>1741646450</v>
      </c>
      <c r="CA70" s="189">
        <v>906035354.87</v>
      </c>
      <c r="CB70" s="189">
        <v>638753000</v>
      </c>
      <c r="CC70" s="189">
        <v>0</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44" sqref="A44:XFD4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1.5546875" bestFit="1" customWidth="1"/>
    <col min="18" max="20" width="20.33203125" hidden="1" customWidth="1"/>
    <col min="21" max="21" width="21.5546875" bestFit="1" customWidth="1"/>
    <col min="22" max="24" width="20.3320312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18.109375" bestFit="1" customWidth="1"/>
    <col min="54" max="56" width="20.33203125" hidden="1" customWidth="1"/>
    <col min="57" max="57" width="18.109375" bestFit="1" customWidth="1"/>
    <col min="58" max="59" width="18.109375" hidden="1" customWidth="1"/>
    <col min="60"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2" width="20.33203125" bestFit="1" customWidth="1"/>
    <col min="73" max="74" width="18.109375" hidden="1" customWidth="1"/>
  </cols>
  <sheetData>
    <row r="1" spans="1:74" s="6" customFormat="1" x14ac:dyDescent="0.25">
      <c r="A1" s="104">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4226057.0999999996</v>
      </c>
      <c r="C3" s="192">
        <v>1793467.1</v>
      </c>
      <c r="D3" s="192">
        <v>731585.54</v>
      </c>
      <c r="E3" s="192">
        <v>5269840.7300000004</v>
      </c>
      <c r="F3" s="192">
        <v>840384.69</v>
      </c>
      <c r="G3" s="192">
        <v>723271.02</v>
      </c>
      <c r="H3" s="192">
        <v>425120.74</v>
      </c>
      <c r="I3" s="192">
        <v>5447359.1299999999</v>
      </c>
      <c r="J3" s="192">
        <v>823553.94</v>
      </c>
      <c r="K3" s="192">
        <v>708034.2</v>
      </c>
      <c r="L3" s="192">
        <v>116500</v>
      </c>
      <c r="M3" s="192">
        <v>6561716.5199999996</v>
      </c>
      <c r="N3" s="192">
        <v>462167.75</v>
      </c>
      <c r="O3" s="192">
        <v>32937.800000000003</v>
      </c>
      <c r="P3" s="192">
        <v>4440</v>
      </c>
      <c r="Q3" s="192">
        <v>7650553.5099999998</v>
      </c>
      <c r="R3" s="192">
        <v>844540</v>
      </c>
      <c r="S3" s="192">
        <v>264120</v>
      </c>
      <c r="T3" s="192">
        <v>72000</v>
      </c>
      <c r="U3" s="192">
        <v>100768702.18000001</v>
      </c>
      <c r="V3" s="192">
        <v>21044377.77</v>
      </c>
      <c r="W3" s="192">
        <v>16794737.420000002</v>
      </c>
      <c r="X3" s="192">
        <v>4750805.93</v>
      </c>
      <c r="Y3" s="192">
        <v>8960865.2599999998</v>
      </c>
      <c r="Z3" s="192">
        <v>6614626.2999999998</v>
      </c>
      <c r="AA3" s="192">
        <v>5409242.6500000004</v>
      </c>
      <c r="AB3" s="192">
        <v>111450.08</v>
      </c>
      <c r="AC3" s="192">
        <v>20230813.199999999</v>
      </c>
      <c r="AD3" s="192">
        <v>18151988.899999999</v>
      </c>
      <c r="AE3" s="192">
        <v>18117988.899999999</v>
      </c>
      <c r="AF3" s="192">
        <v>14308988.9</v>
      </c>
      <c r="AG3" s="192">
        <v>32321054.850000001</v>
      </c>
      <c r="AH3" s="192">
        <v>19406700.949999999</v>
      </c>
      <c r="AI3" s="192">
        <v>14480508.130000001</v>
      </c>
      <c r="AJ3" s="192">
        <v>8059249.0999999996</v>
      </c>
      <c r="AK3" s="192">
        <v>156140450.28</v>
      </c>
      <c r="AL3" s="192">
        <v>752190</v>
      </c>
      <c r="AM3" s="192">
        <v>751780</v>
      </c>
      <c r="AN3" s="192">
        <v>1155562.81</v>
      </c>
      <c r="AO3" s="192">
        <v>21949684.73</v>
      </c>
      <c r="AP3" s="192">
        <v>6820193.6500000004</v>
      </c>
      <c r="AQ3" s="192">
        <v>2251212.94</v>
      </c>
      <c r="AR3" s="192">
        <v>2607704.65</v>
      </c>
      <c r="AS3" s="192">
        <v>69464772.280000001</v>
      </c>
      <c r="AT3" s="192">
        <v>9428725.2400000002</v>
      </c>
      <c r="AU3" s="192">
        <v>728600</v>
      </c>
      <c r="AV3" s="192">
        <v>105000</v>
      </c>
      <c r="AW3" s="192">
        <v>31258789.989999998</v>
      </c>
      <c r="AX3" s="192">
        <v>1343342</v>
      </c>
      <c r="AY3" s="192">
        <v>873000</v>
      </c>
      <c r="AZ3" s="192">
        <v>0</v>
      </c>
      <c r="BA3" s="192">
        <v>36822761.039999999</v>
      </c>
      <c r="BB3" s="192">
        <v>31000</v>
      </c>
      <c r="BC3" s="192">
        <v>10000</v>
      </c>
      <c r="BD3" s="192">
        <v>10000</v>
      </c>
      <c r="BE3" s="192">
        <v>55737093.259999998</v>
      </c>
      <c r="BF3" s="192">
        <v>55324855.159999996</v>
      </c>
      <c r="BG3" s="192">
        <v>55324555.159999996</v>
      </c>
      <c r="BH3" s="192">
        <v>449692.57</v>
      </c>
      <c r="BI3" s="192">
        <v>17695909.02</v>
      </c>
      <c r="BJ3" s="192">
        <v>19155126.41</v>
      </c>
      <c r="BK3" s="192">
        <v>10593783.51</v>
      </c>
      <c r="BL3" s="192">
        <v>0</v>
      </c>
      <c r="BM3" s="192">
        <v>369000</v>
      </c>
      <c r="BN3" s="192">
        <v>14770.45</v>
      </c>
      <c r="BO3" s="192">
        <v>0</v>
      </c>
      <c r="BP3" s="192">
        <v>900</v>
      </c>
      <c r="BQ3" s="192">
        <v>19739.54</v>
      </c>
      <c r="BR3" s="192">
        <v>0</v>
      </c>
      <c r="BS3" s="192">
        <v>2800</v>
      </c>
      <c r="BT3" s="192">
        <v>160000</v>
      </c>
      <c r="BU3" s="192">
        <v>0</v>
      </c>
      <c r="BV3" s="192">
        <v>0</v>
      </c>
    </row>
    <row r="4" spans="1:74" s="192" customFormat="1" x14ac:dyDescent="0.25">
      <c r="A4" s="192" t="s">
        <v>304</v>
      </c>
      <c r="B4" s="192">
        <v>243267106.03</v>
      </c>
      <c r="C4" s="192">
        <v>190893692.74000001</v>
      </c>
      <c r="D4" s="192">
        <v>127503144.01000001</v>
      </c>
      <c r="E4" s="192">
        <v>209521425.78999999</v>
      </c>
      <c r="F4" s="192">
        <v>104042380.39</v>
      </c>
      <c r="G4" s="192">
        <v>79751100.920000002</v>
      </c>
      <c r="H4" s="192">
        <v>53959515.979999997</v>
      </c>
      <c r="I4" s="192">
        <v>63305378</v>
      </c>
      <c r="J4" s="192">
        <v>17222953.390000001</v>
      </c>
      <c r="K4" s="192">
        <v>10938428.51</v>
      </c>
      <c r="L4" s="192">
        <v>3643548.6</v>
      </c>
      <c r="M4" s="192">
        <v>113960753.52</v>
      </c>
      <c r="N4" s="192">
        <v>63575280.090000004</v>
      </c>
      <c r="O4" s="192">
        <v>39130538.799999997</v>
      </c>
      <c r="P4" s="192">
        <v>21097886.030000001</v>
      </c>
      <c r="Q4" s="192">
        <v>78485490.25</v>
      </c>
      <c r="R4" s="192">
        <v>55907723.729999997</v>
      </c>
      <c r="S4" s="192">
        <v>28747550.399999999</v>
      </c>
      <c r="T4" s="192">
        <v>22942809.960000001</v>
      </c>
      <c r="U4" s="192">
        <v>59527350.439999998</v>
      </c>
      <c r="V4" s="192">
        <v>77524540.480000004</v>
      </c>
      <c r="W4" s="192">
        <v>30407330.539999999</v>
      </c>
      <c r="X4" s="192">
        <v>17033366.399999999</v>
      </c>
      <c r="Y4" s="192">
        <v>91407867.769999996</v>
      </c>
      <c r="Z4" s="192">
        <v>112947355.47</v>
      </c>
      <c r="AA4" s="192">
        <v>86310128.349999994</v>
      </c>
      <c r="AB4" s="192">
        <v>55646111.640000001</v>
      </c>
      <c r="AC4" s="192">
        <v>215268857.19999999</v>
      </c>
      <c r="AD4" s="192">
        <v>195105572.15000001</v>
      </c>
      <c r="AE4" s="192">
        <v>151044435.96000001</v>
      </c>
      <c r="AF4" s="192">
        <v>27090152.149999999</v>
      </c>
      <c r="AG4" s="192">
        <v>200687304.25999999</v>
      </c>
      <c r="AH4" s="192">
        <v>74142881.530000001</v>
      </c>
      <c r="AI4" s="192">
        <v>60482869.950000003</v>
      </c>
      <c r="AJ4" s="192">
        <v>16506899.27</v>
      </c>
      <c r="AK4" s="192">
        <v>108674341.04000001</v>
      </c>
      <c r="AL4" s="192">
        <v>63437310.509999998</v>
      </c>
      <c r="AM4" s="192">
        <v>18336868.120000001</v>
      </c>
      <c r="AN4" s="192">
        <v>4516646.4400000004</v>
      </c>
      <c r="AO4" s="192">
        <v>150627295.75999999</v>
      </c>
      <c r="AP4" s="192">
        <v>104849980.75</v>
      </c>
      <c r="AQ4" s="192">
        <v>50635521.299999997</v>
      </c>
      <c r="AR4" s="192">
        <v>13393754.720000001</v>
      </c>
      <c r="AS4" s="192">
        <v>119406625.48999999</v>
      </c>
      <c r="AT4" s="192">
        <v>46239600.909999996</v>
      </c>
      <c r="AU4" s="192">
        <v>29757714.600000001</v>
      </c>
      <c r="AV4" s="192">
        <v>16161303.640000001</v>
      </c>
      <c r="AW4" s="192">
        <v>209458620.37</v>
      </c>
      <c r="AX4" s="192">
        <v>156861900.34</v>
      </c>
      <c r="AY4" s="192">
        <v>8257540.04</v>
      </c>
      <c r="AZ4" s="192">
        <v>4537381.79</v>
      </c>
      <c r="BA4" s="192">
        <v>36586419.869999997</v>
      </c>
      <c r="BB4" s="192">
        <v>27141339.530000001</v>
      </c>
      <c r="BC4" s="192">
        <v>18765129.469999999</v>
      </c>
      <c r="BD4" s="192">
        <v>10340590.369999999</v>
      </c>
      <c r="BE4" s="192">
        <v>32870162.77</v>
      </c>
      <c r="BF4" s="192">
        <v>16990848.41</v>
      </c>
      <c r="BG4" s="192">
        <v>11326768.779999999</v>
      </c>
      <c r="BH4" s="192">
        <v>23440868.77</v>
      </c>
      <c r="BI4" s="192">
        <v>70684022.5</v>
      </c>
      <c r="BJ4" s="192">
        <v>25305358.43</v>
      </c>
      <c r="BK4" s="192">
        <v>15978509.74</v>
      </c>
      <c r="BL4" s="192">
        <v>0</v>
      </c>
      <c r="BM4" s="192">
        <v>73065685.459999993</v>
      </c>
      <c r="BN4" s="192">
        <v>67122727.099999994</v>
      </c>
      <c r="BO4" s="192">
        <v>65235985.68</v>
      </c>
      <c r="BP4" s="192">
        <v>13502999.359999999</v>
      </c>
      <c r="BQ4" s="192">
        <v>114347430.56</v>
      </c>
      <c r="BR4" s="192">
        <v>24941583.75</v>
      </c>
      <c r="BS4" s="192">
        <v>126906432.29000001</v>
      </c>
      <c r="BT4" s="192">
        <v>233961807.59999999</v>
      </c>
      <c r="BU4" s="192">
        <v>49999784.840000004</v>
      </c>
      <c r="BV4" s="192">
        <v>0</v>
      </c>
    </row>
    <row r="5" spans="1:74" s="47" customFormat="1" x14ac:dyDescent="0.25">
      <c r="A5" s="47" t="s">
        <v>295</v>
      </c>
      <c r="E5" s="47">
        <f>E4-E3</f>
        <v>204251585.06</v>
      </c>
      <c r="F5" s="47">
        <f t="shared" ref="F5:AR5" si="0">F4-F3</f>
        <v>103201995.7</v>
      </c>
      <c r="G5" s="47">
        <f t="shared" si="0"/>
        <v>79027829.900000006</v>
      </c>
      <c r="H5" s="47">
        <f t="shared" si="0"/>
        <v>53534395.239999995</v>
      </c>
      <c r="I5" s="47">
        <f t="shared" si="0"/>
        <v>57858018.869999997</v>
      </c>
      <c r="J5" s="47">
        <f t="shared" si="0"/>
        <v>16399399.450000001</v>
      </c>
      <c r="K5" s="47">
        <f t="shared" si="0"/>
        <v>10230394.310000001</v>
      </c>
      <c r="L5" s="47">
        <f t="shared" si="0"/>
        <v>3527048.6</v>
      </c>
      <c r="M5" s="47">
        <f t="shared" si="0"/>
        <v>107399037</v>
      </c>
      <c r="N5" s="47">
        <f t="shared" si="0"/>
        <v>63113112.340000004</v>
      </c>
      <c r="O5" s="47">
        <f t="shared" si="0"/>
        <v>39097601</v>
      </c>
      <c r="P5" s="47">
        <f t="shared" si="0"/>
        <v>21093446.030000001</v>
      </c>
      <c r="Q5" s="47">
        <f t="shared" si="0"/>
        <v>70834936.739999995</v>
      </c>
      <c r="R5" s="47">
        <f t="shared" si="0"/>
        <v>55063183.729999997</v>
      </c>
      <c r="S5" s="47">
        <f t="shared" si="0"/>
        <v>28483430.399999999</v>
      </c>
      <c r="T5" s="47">
        <f t="shared" si="0"/>
        <v>22870809.960000001</v>
      </c>
      <c r="U5" s="47">
        <f t="shared" si="0"/>
        <v>-41241351.74000001</v>
      </c>
      <c r="V5" s="47">
        <f t="shared" si="0"/>
        <v>56480162.710000008</v>
      </c>
      <c r="W5" s="47">
        <f t="shared" si="0"/>
        <v>13612593.119999997</v>
      </c>
      <c r="X5" s="47">
        <f t="shared" si="0"/>
        <v>12282560.469999999</v>
      </c>
      <c r="Y5" s="47">
        <f t="shared" si="0"/>
        <v>82447002.50999999</v>
      </c>
      <c r="Z5" s="47">
        <f t="shared" si="0"/>
        <v>106332729.17</v>
      </c>
      <c r="AA5" s="47">
        <f t="shared" si="0"/>
        <v>80900885.699999988</v>
      </c>
      <c r="AB5" s="47">
        <f t="shared" si="0"/>
        <v>55534661.560000002</v>
      </c>
      <c r="AC5" s="47">
        <f t="shared" si="0"/>
        <v>195038044</v>
      </c>
      <c r="AD5" s="47">
        <f t="shared" si="0"/>
        <v>176953583.25</v>
      </c>
      <c r="AE5" s="47">
        <f t="shared" si="0"/>
        <v>132926447.06</v>
      </c>
      <c r="AF5" s="47">
        <f t="shared" si="0"/>
        <v>12781163.249999998</v>
      </c>
      <c r="AG5" s="47">
        <f t="shared" si="0"/>
        <v>168366249.41</v>
      </c>
      <c r="AH5" s="47">
        <f t="shared" si="0"/>
        <v>54736180.579999998</v>
      </c>
      <c r="AI5" s="47">
        <f t="shared" si="0"/>
        <v>46002361.82</v>
      </c>
      <c r="AJ5" s="47">
        <f t="shared" si="0"/>
        <v>8447650.1699999999</v>
      </c>
      <c r="AK5" s="47">
        <f t="shared" si="0"/>
        <v>-47466109.239999995</v>
      </c>
      <c r="AL5" s="47">
        <f t="shared" si="0"/>
        <v>62685120.509999998</v>
      </c>
      <c r="AM5" s="47">
        <f t="shared" si="0"/>
        <v>17585088.120000001</v>
      </c>
      <c r="AN5" s="47">
        <f t="shared" si="0"/>
        <v>3361083.6300000004</v>
      </c>
      <c r="AO5" s="47">
        <f t="shared" si="0"/>
        <v>128677611.02999999</v>
      </c>
      <c r="AP5" s="47">
        <f t="shared" si="0"/>
        <v>98029787.099999994</v>
      </c>
      <c r="AQ5" s="47">
        <f t="shared" si="0"/>
        <v>48384308.359999999</v>
      </c>
      <c r="AR5" s="47">
        <f t="shared" si="0"/>
        <v>10786050.07</v>
      </c>
    </row>
    <row r="6" spans="1:74" s="105" customFormat="1" x14ac:dyDescent="0.25">
      <c r="A6" s="105" t="s">
        <v>305</v>
      </c>
      <c r="B6" s="192">
        <v>0</v>
      </c>
      <c r="C6" s="192">
        <v>75295970.760000005</v>
      </c>
      <c r="D6" s="192">
        <v>0</v>
      </c>
      <c r="E6" s="192">
        <v>132722857.51000001</v>
      </c>
      <c r="F6" s="192">
        <v>0</v>
      </c>
      <c r="G6" s="192">
        <v>64952458.100000001</v>
      </c>
      <c r="H6" s="192">
        <v>0</v>
      </c>
      <c r="I6" s="192">
        <v>122429528.37</v>
      </c>
      <c r="J6" s="192">
        <v>0</v>
      </c>
      <c r="K6" s="192">
        <v>63102659.920000002</v>
      </c>
      <c r="L6" s="192">
        <v>0</v>
      </c>
      <c r="M6" s="192">
        <v>119394344.09999999</v>
      </c>
      <c r="N6" s="192">
        <v>0</v>
      </c>
      <c r="O6" s="192">
        <v>57610111.520000003</v>
      </c>
      <c r="P6" s="192">
        <v>0</v>
      </c>
      <c r="Q6" s="192">
        <v>127729309.76000001</v>
      </c>
      <c r="R6" s="192">
        <v>0</v>
      </c>
      <c r="S6" s="192">
        <v>67451231.079999998</v>
      </c>
      <c r="T6" s="192">
        <v>0</v>
      </c>
      <c r="U6" s="192">
        <v>118173198.75</v>
      </c>
      <c r="V6" s="192">
        <v>0</v>
      </c>
      <c r="W6" s="192">
        <v>61997041.149999999</v>
      </c>
      <c r="X6" s="192">
        <v>0</v>
      </c>
      <c r="Y6" s="192">
        <v>118416902.29000001</v>
      </c>
      <c r="Z6" s="192">
        <v>0</v>
      </c>
      <c r="AA6" s="192">
        <v>62992296.640000001</v>
      </c>
      <c r="AB6" s="192">
        <v>0</v>
      </c>
      <c r="AC6" s="192">
        <v>101674248.09</v>
      </c>
      <c r="AD6" s="192">
        <v>0</v>
      </c>
      <c r="AE6" s="192">
        <v>49139540.409999996</v>
      </c>
      <c r="AF6" s="192">
        <v>0</v>
      </c>
      <c r="AG6" s="192">
        <v>73985120.560000002</v>
      </c>
      <c r="AH6" s="192">
        <v>0</v>
      </c>
      <c r="AI6" s="192">
        <v>21235648.120000001</v>
      </c>
      <c r="AJ6" s="192">
        <v>0</v>
      </c>
      <c r="AK6" s="192">
        <v>45747983.530000001</v>
      </c>
      <c r="AL6" s="192">
        <v>0</v>
      </c>
      <c r="AM6" s="192">
        <v>0</v>
      </c>
      <c r="AN6" s="192">
        <v>0</v>
      </c>
      <c r="AO6" s="192">
        <v>0</v>
      </c>
      <c r="AP6" s="192">
        <v>0</v>
      </c>
      <c r="AQ6" s="192">
        <v>43173858.549999997</v>
      </c>
      <c r="AR6" s="192">
        <v>0</v>
      </c>
      <c r="AS6" s="192">
        <v>74019433.780000001</v>
      </c>
      <c r="AT6" s="192">
        <v>0</v>
      </c>
      <c r="AU6" s="192">
        <v>0</v>
      </c>
      <c r="AV6" s="192">
        <v>0</v>
      </c>
      <c r="AW6" s="192">
        <v>64496796.390000001</v>
      </c>
      <c r="AX6" s="192">
        <v>44196353.619999997</v>
      </c>
      <c r="AY6" s="192">
        <v>29971319.100000001</v>
      </c>
      <c r="AZ6" s="192">
        <v>15481299</v>
      </c>
      <c r="BA6" s="192">
        <v>64612079.659999996</v>
      </c>
      <c r="BB6" s="192">
        <v>46736269.789999999</v>
      </c>
      <c r="BC6" s="192">
        <v>31660422.449999999</v>
      </c>
      <c r="BD6" s="192">
        <v>15323595.890000001</v>
      </c>
      <c r="BE6" s="192">
        <v>66524300.740000002</v>
      </c>
      <c r="BF6" s="192">
        <v>82845511.590000004</v>
      </c>
      <c r="BG6" s="192">
        <v>36528281.979999997</v>
      </c>
      <c r="BH6" s="192">
        <v>16199518.619999999</v>
      </c>
      <c r="BI6" s="192">
        <v>74107577.340000004</v>
      </c>
      <c r="BJ6" s="192">
        <v>52973848.18</v>
      </c>
      <c r="BK6" s="192">
        <v>35566960.799999997</v>
      </c>
      <c r="BL6" s="192">
        <v>0</v>
      </c>
      <c r="BM6" s="192">
        <v>104647982.18000001</v>
      </c>
      <c r="BN6" s="192">
        <v>39118076.439999998</v>
      </c>
      <c r="BO6" s="192">
        <v>59567407.759999998</v>
      </c>
      <c r="BP6" s="192">
        <v>27956523.690000001</v>
      </c>
      <c r="BQ6" s="192">
        <v>57663184.75</v>
      </c>
      <c r="BR6" s="192">
        <v>27962043.77</v>
      </c>
      <c r="BS6" s="192">
        <v>47644861.729999997</v>
      </c>
      <c r="BT6" s="192">
        <v>24048938.690000001</v>
      </c>
      <c r="BU6" s="192">
        <v>11181467.130000001</v>
      </c>
      <c r="BV6" s="192">
        <v>0</v>
      </c>
    </row>
    <row r="7" spans="1:74" s="192" customFormat="1" x14ac:dyDescent="0.25">
      <c r="A7" s="192" t="s">
        <v>306</v>
      </c>
      <c r="B7" s="192">
        <v>0</v>
      </c>
      <c r="C7" s="192">
        <v>2619114.4500000002</v>
      </c>
      <c r="D7" s="192">
        <v>0</v>
      </c>
      <c r="E7" s="192">
        <v>5238138.8799999999</v>
      </c>
      <c r="F7" s="192">
        <v>0</v>
      </c>
      <c r="G7" s="192">
        <v>2619069.42</v>
      </c>
      <c r="H7" s="192">
        <v>0</v>
      </c>
      <c r="I7" s="192">
        <v>5238138.8799999999</v>
      </c>
      <c r="J7" s="192">
        <v>0</v>
      </c>
      <c r="K7" s="192">
        <v>2619069.42</v>
      </c>
      <c r="L7" s="192">
        <v>0</v>
      </c>
      <c r="M7" s="192">
        <v>5238952.67</v>
      </c>
      <c r="N7" s="192">
        <v>0</v>
      </c>
      <c r="O7" s="192">
        <v>2619476.35</v>
      </c>
      <c r="P7" s="192">
        <v>0</v>
      </c>
      <c r="Q7" s="192">
        <v>5553777.0599999996</v>
      </c>
      <c r="R7" s="192">
        <v>0</v>
      </c>
      <c r="S7" s="192">
        <v>2893989.24</v>
      </c>
      <c r="T7" s="192">
        <v>0</v>
      </c>
      <c r="U7" s="192">
        <v>5680896.8600000003</v>
      </c>
      <c r="V7" s="192">
        <v>0</v>
      </c>
      <c r="W7" s="192">
        <v>2886528.31</v>
      </c>
      <c r="X7" s="192">
        <v>0</v>
      </c>
      <c r="Y7" s="192">
        <v>7679470.8399999999</v>
      </c>
      <c r="Z7" s="192">
        <v>0</v>
      </c>
      <c r="AA7" s="192">
        <v>3894350.32</v>
      </c>
      <c r="AB7" s="192">
        <v>0</v>
      </c>
      <c r="AC7" s="192">
        <v>6920205.54</v>
      </c>
      <c r="AD7" s="192">
        <v>0</v>
      </c>
      <c r="AE7" s="192">
        <v>3080816.34</v>
      </c>
      <c r="AF7" s="192">
        <v>0</v>
      </c>
      <c r="AG7" s="192">
        <v>6220449.5899999999</v>
      </c>
      <c r="AH7" s="192">
        <v>0</v>
      </c>
      <c r="AI7" s="192">
        <v>2283869.59</v>
      </c>
      <c r="AJ7" s="192">
        <v>0</v>
      </c>
      <c r="AK7" s="192">
        <v>3658819.23</v>
      </c>
      <c r="AL7" s="192">
        <v>0</v>
      </c>
      <c r="AM7" s="192">
        <v>0</v>
      </c>
      <c r="AN7" s="192">
        <v>0</v>
      </c>
      <c r="AO7" s="192">
        <v>0</v>
      </c>
      <c r="AP7" s="192">
        <v>0</v>
      </c>
      <c r="AQ7" s="192">
        <v>2362081.62</v>
      </c>
      <c r="AR7" s="192">
        <v>0</v>
      </c>
      <c r="AS7" s="192">
        <v>8104568.5199999996</v>
      </c>
      <c r="AT7" s="192">
        <v>0</v>
      </c>
      <c r="AU7" s="192">
        <v>0</v>
      </c>
      <c r="AV7" s="192">
        <v>0</v>
      </c>
      <c r="AW7" s="192">
        <v>5111825.95</v>
      </c>
      <c r="AX7" s="192">
        <v>5240215.6100000003</v>
      </c>
      <c r="AY7" s="192">
        <v>2284633.37</v>
      </c>
      <c r="AZ7" s="192">
        <v>1169157.1499999999</v>
      </c>
      <c r="BA7" s="192">
        <v>4641177.53</v>
      </c>
      <c r="BB7" s="192">
        <v>0</v>
      </c>
      <c r="BC7" s="192">
        <v>3434701.46</v>
      </c>
      <c r="BD7" s="192">
        <v>0</v>
      </c>
      <c r="BE7" s="192">
        <v>5807866.8799999999</v>
      </c>
      <c r="BF7" s="192">
        <v>0</v>
      </c>
      <c r="BG7" s="192">
        <v>0</v>
      </c>
      <c r="BH7" s="192">
        <v>0</v>
      </c>
      <c r="BI7" s="192">
        <v>0</v>
      </c>
      <c r="BJ7" s="192">
        <v>0</v>
      </c>
      <c r="BK7" s="192">
        <v>1847233.03</v>
      </c>
      <c r="BL7" s="192">
        <v>0</v>
      </c>
      <c r="BM7" s="192">
        <v>0</v>
      </c>
      <c r="BN7" s="192">
        <v>0</v>
      </c>
      <c r="BO7" s="192">
        <v>19538614.559999999</v>
      </c>
      <c r="BP7" s="192">
        <v>1848489.94</v>
      </c>
      <c r="BQ7" s="192">
        <v>8639473.6600000001</v>
      </c>
      <c r="BR7" s="192">
        <v>196667.67</v>
      </c>
      <c r="BS7" s="192">
        <v>5201971.04</v>
      </c>
      <c r="BT7" s="192">
        <v>1563614.61</v>
      </c>
      <c r="BU7" s="192">
        <v>205697.33</v>
      </c>
      <c r="BV7" s="192">
        <v>0</v>
      </c>
    </row>
    <row r="8" spans="1:74" s="192" customFormat="1" x14ac:dyDescent="0.25">
      <c r="A8" s="192" t="s">
        <v>307</v>
      </c>
      <c r="B8" s="192">
        <v>0</v>
      </c>
      <c r="C8" s="192">
        <v>4936234.8600000003</v>
      </c>
      <c r="D8" s="192">
        <v>0</v>
      </c>
      <c r="E8" s="192">
        <v>5127040.9800000004</v>
      </c>
      <c r="F8" s="192">
        <v>0</v>
      </c>
      <c r="G8" s="192">
        <v>1681848.52</v>
      </c>
      <c r="H8" s="192">
        <v>0</v>
      </c>
      <c r="I8" s="192">
        <v>2384206.2000000002</v>
      </c>
      <c r="J8" s="192">
        <v>0</v>
      </c>
      <c r="K8" s="192">
        <v>1469902.32</v>
      </c>
      <c r="L8" s="192">
        <v>0</v>
      </c>
      <c r="M8" s="192">
        <v>3143625.56</v>
      </c>
      <c r="N8" s="192">
        <v>0</v>
      </c>
      <c r="O8" s="192">
        <v>3014839</v>
      </c>
      <c r="P8" s="192">
        <v>0</v>
      </c>
      <c r="Q8" s="192">
        <v>3239931.94</v>
      </c>
      <c r="R8" s="192">
        <v>0</v>
      </c>
      <c r="S8" s="192">
        <v>6551177.0499999998</v>
      </c>
      <c r="T8" s="192">
        <v>0</v>
      </c>
      <c r="U8" s="192">
        <v>22648837.350000001</v>
      </c>
      <c r="V8" s="192">
        <v>0</v>
      </c>
      <c r="W8" s="192">
        <v>13664749.380000001</v>
      </c>
      <c r="X8" s="192">
        <v>0</v>
      </c>
      <c r="Y8" s="192">
        <v>32813580.280000001</v>
      </c>
      <c r="Z8" s="192">
        <v>0</v>
      </c>
      <c r="AA8" s="192">
        <v>17686233.600000001</v>
      </c>
      <c r="AB8" s="192">
        <v>0</v>
      </c>
      <c r="AC8" s="192">
        <v>34041049.280000001</v>
      </c>
      <c r="AD8" s="192">
        <v>0</v>
      </c>
      <c r="AE8" s="192">
        <v>22566793.190000001</v>
      </c>
      <c r="AF8" s="192">
        <v>0</v>
      </c>
      <c r="AG8" s="192">
        <v>26805170.649999999</v>
      </c>
      <c r="AH8" s="192">
        <v>0</v>
      </c>
      <c r="AI8" s="192">
        <v>8471187.8100000005</v>
      </c>
      <c r="AJ8" s="192">
        <v>0</v>
      </c>
      <c r="AK8" s="192">
        <v>12005805.09</v>
      </c>
      <c r="AL8" s="192">
        <v>0</v>
      </c>
      <c r="AM8" s="192">
        <v>0</v>
      </c>
      <c r="AN8" s="192">
        <v>0</v>
      </c>
      <c r="AO8" s="192">
        <v>0</v>
      </c>
      <c r="AP8" s="192">
        <v>0</v>
      </c>
      <c r="AQ8" s="192">
        <v>5556391.4900000002</v>
      </c>
      <c r="AR8" s="192">
        <v>0</v>
      </c>
      <c r="AS8" s="192">
        <v>21812791.32</v>
      </c>
      <c r="AT8" s="192">
        <v>0</v>
      </c>
      <c r="AU8" s="192">
        <v>0</v>
      </c>
      <c r="AV8" s="192">
        <v>0</v>
      </c>
      <c r="AW8" s="192">
        <v>1627604.79</v>
      </c>
      <c r="AX8" s="192">
        <v>0</v>
      </c>
      <c r="AY8" s="192">
        <v>789055.76</v>
      </c>
      <c r="AZ8" s="192">
        <v>507003.5</v>
      </c>
      <c r="BA8" s="192">
        <v>5443536.4900000002</v>
      </c>
      <c r="BB8" s="192">
        <v>5408523.9900000002</v>
      </c>
      <c r="BC8" s="192">
        <v>-12378298.32</v>
      </c>
      <c r="BD8" s="192">
        <v>1613067.35</v>
      </c>
      <c r="BE8" s="192">
        <v>2055301.43</v>
      </c>
      <c r="BF8" s="192">
        <v>3649154.66</v>
      </c>
      <c r="BG8" s="192">
        <v>3006414.67</v>
      </c>
      <c r="BH8" s="192">
        <v>1641796.74</v>
      </c>
      <c r="BI8" s="192">
        <v>5800793.9500000002</v>
      </c>
      <c r="BJ8" s="192">
        <v>5035270.6399999997</v>
      </c>
      <c r="BK8" s="192">
        <v>0</v>
      </c>
      <c r="BL8" s="192">
        <v>0</v>
      </c>
      <c r="BM8" s="192">
        <v>16564494.83</v>
      </c>
      <c r="BN8" s="192">
        <v>10135362.720000001</v>
      </c>
      <c r="BO8" s="192">
        <v>0</v>
      </c>
      <c r="BP8" s="192">
        <v>12196587.91</v>
      </c>
      <c r="BQ8" s="192">
        <v>0</v>
      </c>
      <c r="BR8" s="192">
        <v>0</v>
      </c>
      <c r="BS8" s="192">
        <v>0</v>
      </c>
      <c r="BT8" s="192">
        <v>0</v>
      </c>
      <c r="BU8" s="192">
        <v>0</v>
      </c>
      <c r="BV8" s="192">
        <v>0</v>
      </c>
    </row>
    <row r="9" spans="1:74" s="192" customFormat="1" x14ac:dyDescent="0.25">
      <c r="A9" s="192" t="s">
        <v>308</v>
      </c>
      <c r="B9" s="192">
        <v>0</v>
      </c>
      <c r="C9" s="192">
        <v>-634455.9</v>
      </c>
      <c r="D9" s="192">
        <v>0</v>
      </c>
      <c r="E9" s="192">
        <v>975423</v>
      </c>
      <c r="F9" s="192">
        <v>0</v>
      </c>
      <c r="G9" s="192">
        <v>-2324085.5299999998</v>
      </c>
      <c r="H9" s="192">
        <v>0</v>
      </c>
      <c r="I9" s="192">
        <v>1833734.45</v>
      </c>
      <c r="J9" s="192">
        <v>0</v>
      </c>
      <c r="K9" s="192">
        <v>121746.3</v>
      </c>
      <c r="L9" s="192">
        <v>0</v>
      </c>
      <c r="M9" s="192">
        <v>280195.57</v>
      </c>
      <c r="N9" s="192">
        <v>0</v>
      </c>
      <c r="O9" s="192">
        <v>16780.87</v>
      </c>
      <c r="P9" s="192">
        <v>0</v>
      </c>
      <c r="Q9" s="192">
        <v>3482781.03</v>
      </c>
      <c r="R9" s="192">
        <v>0</v>
      </c>
      <c r="S9" s="192">
        <v>-591204.6</v>
      </c>
      <c r="T9" s="192">
        <v>0</v>
      </c>
      <c r="U9" s="192">
        <v>940175.27</v>
      </c>
      <c r="V9" s="192">
        <v>0</v>
      </c>
      <c r="W9" s="192">
        <v>-1068313.6000000001</v>
      </c>
      <c r="X9" s="192">
        <v>0</v>
      </c>
      <c r="Y9" s="192">
        <v>-7145341.5700000003</v>
      </c>
      <c r="Z9" s="192">
        <v>0</v>
      </c>
      <c r="AA9" s="192">
        <v>-7549807.5499999998</v>
      </c>
      <c r="AB9" s="192">
        <v>0</v>
      </c>
      <c r="AC9" s="192">
        <v>-8294522.4199999999</v>
      </c>
      <c r="AD9" s="192">
        <v>0</v>
      </c>
      <c r="AE9" s="192">
        <v>-13723704.630000001</v>
      </c>
      <c r="AF9" s="192">
        <v>0</v>
      </c>
      <c r="AG9" s="192">
        <v>-16586270.699999999</v>
      </c>
      <c r="AH9" s="192">
        <v>0</v>
      </c>
      <c r="AI9" s="192">
        <v>2131225.1</v>
      </c>
      <c r="AJ9" s="192">
        <v>0</v>
      </c>
      <c r="AK9" s="192">
        <v>-78320039.719999999</v>
      </c>
      <c r="AL9" s="192">
        <v>0</v>
      </c>
      <c r="AM9" s="192">
        <v>0</v>
      </c>
      <c r="AN9" s="192">
        <v>0</v>
      </c>
      <c r="AO9" s="192">
        <v>0</v>
      </c>
      <c r="AP9" s="192">
        <v>0</v>
      </c>
      <c r="AQ9" s="192">
        <v>-1051530.49</v>
      </c>
      <c r="AR9" s="192">
        <v>0</v>
      </c>
      <c r="AS9" s="192">
        <v>4534752.26</v>
      </c>
      <c r="AT9" s="192">
        <v>0</v>
      </c>
      <c r="AU9" s="192">
        <v>0</v>
      </c>
      <c r="AV9" s="192">
        <v>0</v>
      </c>
      <c r="AW9" s="192">
        <v>-1988125.26</v>
      </c>
      <c r="AX9" s="192">
        <v>-59804.4</v>
      </c>
      <c r="AY9" s="192">
        <v>-59804.4</v>
      </c>
      <c r="AZ9" s="192">
        <v>0</v>
      </c>
      <c r="BA9" s="192">
        <v>-3777191.07</v>
      </c>
      <c r="BB9" s="192">
        <v>137897.32</v>
      </c>
      <c r="BC9" s="192">
        <v>0</v>
      </c>
      <c r="BD9" s="192">
        <v>84043.98</v>
      </c>
      <c r="BE9" s="192">
        <v>-6288512.25</v>
      </c>
      <c r="BF9" s="192">
        <v>-4494386.25</v>
      </c>
      <c r="BG9" s="192">
        <v>-4550821.99</v>
      </c>
      <c r="BH9" s="192">
        <v>-650430.30000000005</v>
      </c>
      <c r="BI9" s="192">
        <v>561673.96</v>
      </c>
      <c r="BJ9" s="192">
        <v>6459910.2199999997</v>
      </c>
      <c r="BK9" s="192">
        <v>6396483.1900000004</v>
      </c>
      <c r="BL9" s="192">
        <v>0</v>
      </c>
      <c r="BM9" s="192">
        <v>2621677.35</v>
      </c>
      <c r="BN9" s="192">
        <v>-12507.54</v>
      </c>
      <c r="BO9" s="192">
        <v>169020.35</v>
      </c>
      <c r="BP9" s="192">
        <v>-900</v>
      </c>
      <c r="BQ9" s="192">
        <v>1402071.71</v>
      </c>
      <c r="BR9" s="192">
        <v>0</v>
      </c>
      <c r="BS9" s="192">
        <v>1148009.55</v>
      </c>
      <c r="BT9" s="192">
        <v>285147</v>
      </c>
      <c r="BU9" s="192">
        <v>0</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138614.56</v>
      </c>
      <c r="V10" s="189">
        <v>0</v>
      </c>
      <c r="W10" s="189">
        <v>0</v>
      </c>
      <c r="X10" s="189">
        <v>0</v>
      </c>
      <c r="Y10" s="189">
        <v>0</v>
      </c>
      <c r="Z10" s="189">
        <v>0</v>
      </c>
      <c r="AA10" s="189">
        <v>0</v>
      </c>
      <c r="AB10" s="189">
        <v>0</v>
      </c>
      <c r="AC10" s="189">
        <v>0</v>
      </c>
      <c r="AD10" s="189">
        <v>0</v>
      </c>
      <c r="AE10" s="189">
        <v>0</v>
      </c>
      <c r="AF10" s="189">
        <v>0</v>
      </c>
      <c r="AG10" s="189">
        <v>7290907.3399999999</v>
      </c>
      <c r="AH10" s="189">
        <v>0</v>
      </c>
      <c r="AI10" s="189">
        <v>0</v>
      </c>
      <c r="AJ10" s="189">
        <v>0</v>
      </c>
      <c r="AK10" s="189">
        <v>1883727.57</v>
      </c>
      <c r="AL10" s="189">
        <v>0</v>
      </c>
      <c r="AM10" s="189">
        <v>0</v>
      </c>
      <c r="AN10" s="189">
        <v>0</v>
      </c>
      <c r="AO10" s="189">
        <v>0</v>
      </c>
      <c r="AP10" s="189">
        <v>0</v>
      </c>
      <c r="AQ10" s="189">
        <v>0</v>
      </c>
      <c r="AR10" s="189">
        <v>0</v>
      </c>
      <c r="AS10" s="189">
        <v>320974.98</v>
      </c>
      <c r="AT10" s="189">
        <v>0</v>
      </c>
      <c r="AU10" s="189">
        <v>0</v>
      </c>
      <c r="AV10" s="189">
        <v>0</v>
      </c>
      <c r="AW10" s="189">
        <v>0</v>
      </c>
      <c r="AX10" s="189">
        <v>42424.54</v>
      </c>
      <c r="AY10" s="189">
        <v>42424.54</v>
      </c>
      <c r="AZ10" s="189">
        <v>0</v>
      </c>
      <c r="BA10" s="189">
        <v>0</v>
      </c>
      <c r="BB10" s="189">
        <v>517067.89</v>
      </c>
      <c r="BC10" s="189">
        <v>0</v>
      </c>
      <c r="BD10" s="189">
        <v>0</v>
      </c>
      <c r="BE10" s="189">
        <v>0</v>
      </c>
      <c r="BF10" s="189">
        <v>0</v>
      </c>
      <c r="BG10" s="189">
        <v>23000</v>
      </c>
      <c r="BH10" s="189">
        <v>0</v>
      </c>
      <c r="BI10" s="189">
        <v>914696.03</v>
      </c>
      <c r="BJ10" s="189">
        <v>630110.76</v>
      </c>
      <c r="BK10" s="189">
        <v>0</v>
      </c>
      <c r="BL10" s="189">
        <v>0</v>
      </c>
      <c r="BM10" s="189">
        <v>0</v>
      </c>
      <c r="BN10" s="189">
        <v>0</v>
      </c>
      <c r="BO10" s="189">
        <v>0</v>
      </c>
      <c r="BP10" s="189">
        <v>0</v>
      </c>
      <c r="BQ10" s="189">
        <v>0</v>
      </c>
      <c r="BR10" s="189">
        <v>0</v>
      </c>
      <c r="BS10" s="189">
        <v>0</v>
      </c>
      <c r="BT10" s="189">
        <v>0</v>
      </c>
      <c r="BU10" s="189">
        <v>0</v>
      </c>
      <c r="BV10" s="189">
        <v>0</v>
      </c>
    </row>
    <row r="11" spans="1:74" s="47" customFormat="1" x14ac:dyDescent="0.25">
      <c r="A11" s="135" t="s">
        <v>296</v>
      </c>
      <c r="E11" s="47">
        <f>E5-E6-E7-E8-E9-E10</f>
        <v>60188124.689999998</v>
      </c>
      <c r="F11" s="47">
        <f t="shared" ref="F11:BQ11" si="1">F5-F6-F7-F8-F9-F10</f>
        <v>103201995.7</v>
      </c>
      <c r="G11" s="47">
        <f t="shared" si="1"/>
        <v>12098539.390000004</v>
      </c>
      <c r="H11" s="47">
        <f t="shared" si="1"/>
        <v>53534395.239999995</v>
      </c>
      <c r="I11" s="47">
        <f t="shared" si="1"/>
        <v>-74027589.030000016</v>
      </c>
      <c r="J11" s="47">
        <f t="shared" si="1"/>
        <v>16399399.450000001</v>
      </c>
      <c r="K11" s="47">
        <f t="shared" si="1"/>
        <v>-57082983.649999999</v>
      </c>
      <c r="L11" s="47">
        <f t="shared" si="1"/>
        <v>3527048.6</v>
      </c>
      <c r="M11" s="47">
        <f t="shared" si="1"/>
        <v>-20658080.899999995</v>
      </c>
      <c r="N11" s="47">
        <f t="shared" si="1"/>
        <v>63113112.340000004</v>
      </c>
      <c r="O11" s="47">
        <f t="shared" si="1"/>
        <v>-24163606.740000006</v>
      </c>
      <c r="P11" s="47">
        <f t="shared" si="1"/>
        <v>21093446.030000001</v>
      </c>
      <c r="Q11" s="47">
        <f t="shared" si="1"/>
        <v>-69170863.050000012</v>
      </c>
      <c r="R11" s="47">
        <f t="shared" si="1"/>
        <v>55063183.729999997</v>
      </c>
      <c r="S11" s="47">
        <f t="shared" si="1"/>
        <v>-47821762.369999997</v>
      </c>
      <c r="T11" s="47">
        <f t="shared" si="1"/>
        <v>22870809.960000001</v>
      </c>
      <c r="U11" s="47">
        <f t="shared" si="1"/>
        <v>-188823074.53000003</v>
      </c>
      <c r="V11" s="47">
        <f t="shared" si="1"/>
        <v>56480162.710000008</v>
      </c>
      <c r="W11" s="47">
        <f t="shared" si="1"/>
        <v>-63867412.120000005</v>
      </c>
      <c r="X11" s="47">
        <f t="shared" si="1"/>
        <v>12282560.469999999</v>
      </c>
      <c r="Y11" s="47">
        <f t="shared" si="1"/>
        <v>-69317609.330000013</v>
      </c>
      <c r="Z11" s="47">
        <f t="shared" si="1"/>
        <v>106332729.17</v>
      </c>
      <c r="AA11" s="47">
        <f t="shared" si="1"/>
        <v>3877812.6899999855</v>
      </c>
      <c r="AB11" s="47">
        <f t="shared" si="1"/>
        <v>55534661.560000002</v>
      </c>
      <c r="AC11" s="47">
        <f t="shared" si="1"/>
        <v>60697063.50999999</v>
      </c>
      <c r="AD11" s="47">
        <f t="shared" si="1"/>
        <v>176953583.25</v>
      </c>
      <c r="AE11" s="47">
        <f t="shared" si="1"/>
        <v>71863001.75</v>
      </c>
      <c r="AF11" s="47">
        <f t="shared" si="1"/>
        <v>12781163.249999998</v>
      </c>
      <c r="AG11" s="47">
        <f t="shared" si="1"/>
        <v>70650871.969999984</v>
      </c>
      <c r="AH11" s="47">
        <f t="shared" si="1"/>
        <v>54736180.579999998</v>
      </c>
      <c r="AI11" s="47">
        <f t="shared" si="1"/>
        <v>11880431.199999999</v>
      </c>
      <c r="AJ11" s="47">
        <f t="shared" si="1"/>
        <v>8447650.1699999999</v>
      </c>
      <c r="AK11" s="47">
        <f t="shared" si="1"/>
        <v>-32442404.940000005</v>
      </c>
      <c r="AL11" s="47">
        <f t="shared" si="1"/>
        <v>62685120.509999998</v>
      </c>
      <c r="AM11" s="47">
        <f t="shared" si="1"/>
        <v>17585088.120000001</v>
      </c>
      <c r="AN11" s="47">
        <f t="shared" si="1"/>
        <v>3361083.6300000004</v>
      </c>
      <c r="AO11" s="47">
        <f t="shared" si="1"/>
        <v>128677611.02999999</v>
      </c>
      <c r="AP11" s="47">
        <f t="shared" si="1"/>
        <v>98029787.099999994</v>
      </c>
      <c r="AQ11" s="47">
        <f t="shared" si="1"/>
        <v>-1656492.809999998</v>
      </c>
      <c r="AR11" s="47">
        <f t="shared" si="1"/>
        <v>10786050.07</v>
      </c>
      <c r="AS11" s="47">
        <f t="shared" si="1"/>
        <v>-108792520.86000001</v>
      </c>
      <c r="AT11" s="47">
        <f t="shared" si="1"/>
        <v>0</v>
      </c>
      <c r="AU11" s="47">
        <f t="shared" si="1"/>
        <v>0</v>
      </c>
      <c r="AV11" s="47">
        <f t="shared" si="1"/>
        <v>0</v>
      </c>
      <c r="AW11" s="47">
        <f t="shared" si="1"/>
        <v>-69248101.870000005</v>
      </c>
      <c r="AX11" s="47">
        <f t="shared" si="1"/>
        <v>-49419189.369999997</v>
      </c>
      <c r="AY11" s="47">
        <f t="shared" si="1"/>
        <v>-33027628.370000005</v>
      </c>
      <c r="AZ11" s="47">
        <f t="shared" si="1"/>
        <v>-17157459.649999999</v>
      </c>
      <c r="BA11" s="47">
        <f t="shared" si="1"/>
        <v>-70919602.609999999</v>
      </c>
      <c r="BB11" s="47">
        <f t="shared" si="1"/>
        <v>-52799758.990000002</v>
      </c>
      <c r="BC11" s="47">
        <f t="shared" si="1"/>
        <v>-22716825.589999996</v>
      </c>
      <c r="BD11" s="47">
        <f t="shared" si="1"/>
        <v>-17020707.220000003</v>
      </c>
      <c r="BE11" s="47">
        <f t="shared" si="1"/>
        <v>-68098956.800000012</v>
      </c>
      <c r="BF11" s="47">
        <f t="shared" si="1"/>
        <v>-82000280</v>
      </c>
      <c r="BG11" s="47">
        <f t="shared" si="1"/>
        <v>-35006874.659999996</v>
      </c>
      <c r="BH11" s="47">
        <f t="shared" si="1"/>
        <v>-17190885.059999999</v>
      </c>
      <c r="BI11" s="47">
        <f t="shared" si="1"/>
        <v>-81384741.280000001</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1557920213.7</v>
      </c>
      <c r="F12" s="26">
        <f t="shared" si="3"/>
        <v>1574265096.8299999</v>
      </c>
      <c r="G12" s="26">
        <f t="shared" si="3"/>
        <v>1575099880.21</v>
      </c>
      <c r="H12" s="26">
        <f t="shared" si="3"/>
        <v>1592738527.1300001</v>
      </c>
      <c r="I12" s="26">
        <f t="shared" si="3"/>
        <v>1574975654.3199999</v>
      </c>
      <c r="J12" s="26">
        <f t="shared" si="3"/>
        <v>1549326111.99</v>
      </c>
      <c r="K12" s="26">
        <f t="shared" si="3"/>
        <v>1547280231.3199999</v>
      </c>
      <c r="L12" s="26">
        <f t="shared" si="3"/>
        <v>1582797070.1900001</v>
      </c>
      <c r="M12" s="26">
        <f t="shared" si="3"/>
        <v>1581754599.97</v>
      </c>
      <c r="N12" s="26">
        <f t="shared" si="3"/>
        <v>1611648797.77</v>
      </c>
      <c r="O12" s="26">
        <f t="shared" si="3"/>
        <v>1587641776.73</v>
      </c>
      <c r="P12" s="26">
        <f t="shared" si="3"/>
        <v>1611269167.27</v>
      </c>
      <c r="Q12" s="26">
        <f t="shared" si="3"/>
        <v>1605874552.1199999</v>
      </c>
      <c r="R12" s="192">
        <f t="shared" ref="R12" si="4">V34</f>
        <v>1611279806.4100001</v>
      </c>
      <c r="S12" s="192">
        <f t="shared" ref="S12" si="5">W34</f>
        <v>1600898347.98</v>
      </c>
      <c r="T12" s="192">
        <f t="shared" ref="T12" si="6">X34</f>
        <v>1644449852.6300001</v>
      </c>
      <c r="U12" s="192">
        <f t="shared" ref="U12" si="7">Y34</f>
        <v>1744796834.01</v>
      </c>
      <c r="V12" s="192">
        <f t="shared" ref="V12" si="8">Z34</f>
        <v>1784322435.9000001</v>
      </c>
      <c r="W12" s="192">
        <f t="shared" ref="W12" si="9">AA34</f>
        <v>1787641482.99</v>
      </c>
      <c r="X12" s="192">
        <f t="shared" ref="X12" si="10">AB34</f>
        <v>1811956354.54</v>
      </c>
      <c r="Y12" s="192">
        <f t="shared" ref="Y12" si="11">AC34</f>
        <v>1850791387.3199999</v>
      </c>
      <c r="Z12" s="192">
        <f t="shared" ref="Z12" si="12">AD34</f>
        <v>1810666935.1400001</v>
      </c>
      <c r="AA12" s="192">
        <f t="shared" ref="AA12" si="13">AE34</f>
        <v>1908184567.9300001</v>
      </c>
      <c r="AB12" s="192">
        <f t="shared" ref="AB12" si="14">AF34</f>
        <v>1856931438.05</v>
      </c>
      <c r="AC12" s="192">
        <f t="shared" ref="AC12" si="15">AG34</f>
        <v>1758417230.4300001</v>
      </c>
      <c r="AD12" s="192">
        <f t="shared" ref="AD12" si="16">AH34</f>
        <v>1062047289.78</v>
      </c>
      <c r="AE12" s="192">
        <f t="shared" ref="AE12" si="17">AI34</f>
        <v>1042403547.71</v>
      </c>
      <c r="AF12" s="192">
        <f t="shared" ref="AF12" si="18">AJ34</f>
        <v>1021477772.41</v>
      </c>
      <c r="AG12" s="192">
        <f t="shared" ref="AG12" si="19">AK34</f>
        <v>997385386.09000003</v>
      </c>
      <c r="AH12" s="192">
        <f t="shared" ref="AH12" si="20">AL34</f>
        <v>976270370.20000005</v>
      </c>
      <c r="AI12" s="192">
        <f t="shared" ref="AI12" si="21">AM34</f>
        <v>875201102.08000004</v>
      </c>
      <c r="AJ12" s="192">
        <f t="shared" ref="AJ12" si="22">AN34</f>
        <v>949235044.42999995</v>
      </c>
      <c r="AK12" s="192">
        <f t="shared" ref="AK12" si="23">AO34</f>
        <v>1008725433.4</v>
      </c>
      <c r="AL12" s="192">
        <f t="shared" ref="AL12" si="24">AP34</f>
        <v>1100540967.9400001</v>
      </c>
      <c r="AM12" s="192">
        <f t="shared" ref="AM12" si="25">AQ34</f>
        <v>1127169277.47</v>
      </c>
      <c r="AN12" s="192">
        <f t="shared" ref="AN12" si="26">AR34</f>
        <v>1129349547.9400001</v>
      </c>
      <c r="AO12" s="192">
        <f t="shared" ref="AO12" si="27">AS34</f>
        <v>1122447457.1099999</v>
      </c>
      <c r="AP12" s="192">
        <f t="shared" ref="AP12" si="28">AT34</f>
        <v>1176648617.8199999</v>
      </c>
      <c r="AQ12" s="192">
        <f t="shared" ref="AQ12" si="29">AU34</f>
        <v>1100515768.74</v>
      </c>
      <c r="AR12" s="192">
        <f t="shared" ref="AR12" si="30">AV34</f>
        <v>1182521439.48</v>
      </c>
      <c r="AS12" s="192">
        <f t="shared" ref="AS12" si="31">AW34</f>
        <v>1158292663.9300001</v>
      </c>
      <c r="AT12" s="192">
        <f t="shared" ref="AT12" si="32">AX34</f>
        <v>1225582391.05</v>
      </c>
      <c r="AU12" s="192">
        <f t="shared" ref="AU12" si="33">AY34</f>
        <v>1059988120.22</v>
      </c>
      <c r="AV12" s="192">
        <f t="shared" ref="AV12" si="34">AZ34</f>
        <v>945454823.67999995</v>
      </c>
      <c r="AW12" s="192">
        <f t="shared" ref="AW12" si="35">BA34</f>
        <v>953782480.66999996</v>
      </c>
      <c r="AX12" s="192">
        <f t="shared" ref="AX12" si="36">BB34</f>
        <v>1017626309.47</v>
      </c>
      <c r="AY12" s="192">
        <f t="shared" ref="AY12" si="37">BC34</f>
        <v>1024816659.09</v>
      </c>
      <c r="AZ12" s="192">
        <f t="shared" ref="AZ12" si="38">BD34</f>
        <v>1027024215.91</v>
      </c>
      <c r="BA12" s="192">
        <f t="shared" ref="BA12" si="39">BE34</f>
        <v>992241526.47000003</v>
      </c>
      <c r="BB12" s="192">
        <f t="shared" ref="BB12" si="40">BF34</f>
        <v>962494452.22000003</v>
      </c>
      <c r="BC12" s="192">
        <f t="shared" ref="BC12" si="41">BG34</f>
        <v>986941801.27999997</v>
      </c>
      <c r="BD12" s="192">
        <f t="shared" ref="BD12" si="42">BH34</f>
        <v>1005897524.88</v>
      </c>
      <c r="BE12" s="192">
        <f t="shared" ref="BE12" si="43">BI34</f>
        <v>993972856.73000002</v>
      </c>
      <c r="BF12" s="192">
        <f t="shared" ref="BF12" si="44">BJ34</f>
        <v>825865641.13</v>
      </c>
      <c r="BG12" s="192">
        <f t="shared" ref="BG12" si="45">BK34</f>
        <v>816270896.63999999</v>
      </c>
      <c r="BH12" s="192">
        <f t="shared" ref="BH12" si="46">BL34</f>
        <v>0</v>
      </c>
      <c r="BI12" s="192">
        <f t="shared" ref="BI12" si="47">BM34</f>
        <v>1013148133.48</v>
      </c>
      <c r="BJ12" s="192">
        <f t="shared" ref="BJ12" si="48">BN34</f>
        <v>1057000381.14</v>
      </c>
      <c r="BK12" s="192">
        <f t="shared" ref="BK12" si="49">BO34</f>
        <v>1030127290.25</v>
      </c>
      <c r="BL12" s="192">
        <f t="shared" ref="BL12" si="50">BP34</f>
        <v>1048339198.6</v>
      </c>
      <c r="BM12" s="192">
        <f t="shared" ref="BM12" si="51">BQ34</f>
        <v>1100540967.9400001</v>
      </c>
      <c r="BN12" s="192">
        <f t="shared" ref="BN12" si="52">BR34</f>
        <v>1127169277.47</v>
      </c>
    </row>
    <row r="13" spans="1:74" s="219" customFormat="1" x14ac:dyDescent="0.25">
      <c r="A13" s="219" t="s">
        <v>351</v>
      </c>
      <c r="E13" s="219">
        <f>E11/E12</f>
        <v>3.8633637435806507E-2</v>
      </c>
      <c r="F13" s="219">
        <f t="shared" ref="F13:AR13" si="53">F11/F12</f>
        <v>6.5555665248382536E-2</v>
      </c>
      <c r="G13" s="219">
        <f t="shared" si="53"/>
        <v>7.6811252048263551E-3</v>
      </c>
      <c r="H13" s="219">
        <f t="shared" si="53"/>
        <v>3.3611540330141389E-2</v>
      </c>
      <c r="I13" s="219">
        <f t="shared" si="53"/>
        <v>-4.7002370371217982E-2</v>
      </c>
      <c r="J13" s="219">
        <f t="shared" si="53"/>
        <v>1.0584859651617264E-2</v>
      </c>
      <c r="K13" s="219">
        <f t="shared" si="53"/>
        <v>-3.6892466209111935E-2</v>
      </c>
      <c r="L13" s="219">
        <f t="shared" si="53"/>
        <v>2.2283643724312751E-3</v>
      </c>
      <c r="M13" s="219">
        <f t="shared" si="53"/>
        <v>-1.3060231277589963E-2</v>
      </c>
      <c r="N13" s="219">
        <f t="shared" si="53"/>
        <v>3.9160586616220676E-2</v>
      </c>
      <c r="O13" s="219">
        <f t="shared" si="53"/>
        <v>-1.521981034649314E-2</v>
      </c>
      <c r="P13" s="219">
        <f t="shared" si="53"/>
        <v>1.3091199446048469E-2</v>
      </c>
      <c r="Q13" s="219">
        <f t="shared" si="53"/>
        <v>-4.3073640440147644E-2</v>
      </c>
      <c r="R13" s="219">
        <f t="shared" si="53"/>
        <v>3.4173570295455459E-2</v>
      </c>
      <c r="S13" s="219">
        <f t="shared" si="53"/>
        <v>-2.9871829420238388E-2</v>
      </c>
      <c r="T13" s="219">
        <f t="shared" si="53"/>
        <v>1.3907879235978086E-2</v>
      </c>
      <c r="U13" s="219">
        <f t="shared" si="53"/>
        <v>-0.10822066549492479</v>
      </c>
      <c r="V13" s="219">
        <f t="shared" si="53"/>
        <v>3.1653563040870358E-2</v>
      </c>
      <c r="W13" s="219">
        <f t="shared" si="53"/>
        <v>-3.5727192911844771E-2</v>
      </c>
      <c r="X13" s="219">
        <f t="shared" si="53"/>
        <v>6.7786182814089709E-3</v>
      </c>
      <c r="Y13" s="219">
        <f t="shared" si="53"/>
        <v>-3.7452956505473013E-2</v>
      </c>
      <c r="Z13" s="219">
        <f t="shared" si="53"/>
        <v>5.8725725370236792E-2</v>
      </c>
      <c r="AA13" s="219">
        <f t="shared" si="53"/>
        <v>2.0322000057922274E-3</v>
      </c>
      <c r="AB13" s="219">
        <f t="shared" si="53"/>
        <v>2.9906683909836779E-2</v>
      </c>
      <c r="AC13" s="219">
        <f t="shared" si="53"/>
        <v>3.4518009980576247E-2</v>
      </c>
      <c r="AD13" s="219">
        <f t="shared" si="53"/>
        <v>0.16661554052518265</v>
      </c>
      <c r="AE13" s="219">
        <f t="shared" si="53"/>
        <v>6.893971332683195E-2</v>
      </c>
      <c r="AF13" s="219">
        <f t="shared" si="53"/>
        <v>1.2512424249668259E-2</v>
      </c>
      <c r="AG13" s="219">
        <f t="shared" si="53"/>
        <v>7.0836080972640936E-2</v>
      </c>
      <c r="AH13" s="219">
        <f t="shared" si="53"/>
        <v>5.6066620734158586E-2</v>
      </c>
      <c r="AI13" s="219">
        <f t="shared" si="53"/>
        <v>1.3574515813297088E-2</v>
      </c>
      <c r="AJ13" s="219">
        <f t="shared" si="53"/>
        <v>8.8994293031739845E-3</v>
      </c>
      <c r="AK13" s="219">
        <f t="shared" si="53"/>
        <v>-3.2161779475163979E-2</v>
      </c>
      <c r="AL13" s="219">
        <f t="shared" si="53"/>
        <v>5.6958461643944455E-2</v>
      </c>
      <c r="AM13" s="219">
        <f t="shared" si="53"/>
        <v>1.5601106658505455E-2</v>
      </c>
      <c r="AN13" s="219">
        <f t="shared" si="53"/>
        <v>2.9761234120390932E-3</v>
      </c>
      <c r="AO13" s="219">
        <f t="shared" si="53"/>
        <v>0.11464020896025744</v>
      </c>
      <c r="AP13" s="219">
        <f t="shared" si="53"/>
        <v>8.3312711726651001E-2</v>
      </c>
      <c r="AQ13" s="219">
        <f t="shared" si="53"/>
        <v>-1.5051967968587546E-3</v>
      </c>
      <c r="AR13" s="219">
        <f t="shared" si="53"/>
        <v>9.1212300343096013E-3</v>
      </c>
    </row>
    <row r="14" spans="1:74" s="48" customFormat="1" x14ac:dyDescent="0.25">
      <c r="A14" s="46" t="s">
        <v>293</v>
      </c>
    </row>
    <row r="15" spans="1:74" s="26" customFormat="1" x14ac:dyDescent="0.25">
      <c r="A15" s="17" t="s">
        <v>313</v>
      </c>
      <c r="B15" s="189">
        <v>0</v>
      </c>
      <c r="C15" s="189">
        <v>0</v>
      </c>
      <c r="D15" s="189">
        <v>0</v>
      </c>
      <c r="E15" s="189">
        <v>0</v>
      </c>
      <c r="F15" s="189">
        <v>2415000</v>
      </c>
      <c r="G15" s="189">
        <v>2415000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34472210.509999998</v>
      </c>
      <c r="AD15" s="189">
        <v>-3027789.49</v>
      </c>
      <c r="AE15" s="189">
        <v>-3027789.49</v>
      </c>
      <c r="AF15" s="189">
        <v>-3027789.49</v>
      </c>
      <c r="AG15" s="189">
        <v>0</v>
      </c>
      <c r="AH15" s="189">
        <v>0</v>
      </c>
      <c r="AI15" s="189">
        <v>0</v>
      </c>
      <c r="AJ15" s="189">
        <v>0</v>
      </c>
      <c r="AK15" s="189">
        <v>33622525.460000001</v>
      </c>
      <c r="AL15" s="189">
        <v>43081975.82</v>
      </c>
      <c r="AM15" s="189">
        <v>9321975.8200000003</v>
      </c>
      <c r="AN15" s="189">
        <v>0</v>
      </c>
      <c r="AO15" s="189">
        <v>7216043.4800000004</v>
      </c>
      <c r="AP15" s="189">
        <v>343101.75</v>
      </c>
      <c r="AQ15" s="189">
        <v>343101.75</v>
      </c>
      <c r="AR15" s="189">
        <v>480</v>
      </c>
      <c r="AS15" s="189">
        <v>34222738.119999997</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29450000</v>
      </c>
      <c r="AH16" s="189">
        <v>11819500</v>
      </c>
      <c r="AI16" s="189">
        <v>11450000</v>
      </c>
      <c r="AJ16" s="189">
        <v>0</v>
      </c>
      <c r="AK16" s="189">
        <v>5248520</v>
      </c>
      <c r="AL16" s="189">
        <v>0</v>
      </c>
      <c r="AM16" s="189">
        <v>0</v>
      </c>
      <c r="AN16" s="189">
        <v>0</v>
      </c>
      <c r="AO16" s="189">
        <v>8805437.3000000007</v>
      </c>
      <c r="AP16" s="189">
        <v>0</v>
      </c>
      <c r="AQ16" s="189">
        <v>0</v>
      </c>
      <c r="AR16" s="189">
        <v>0</v>
      </c>
      <c r="AS16" s="189">
        <v>15403867</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-2415000</v>
      </c>
      <c r="G17" s="47">
        <f t="shared" si="54"/>
        <v>-2415000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-34472210.509999998</v>
      </c>
      <c r="AD17" s="47">
        <f t="shared" si="54"/>
        <v>3027789.49</v>
      </c>
      <c r="AE17" s="47">
        <f t="shared" si="54"/>
        <v>3027789.49</v>
      </c>
      <c r="AF17" s="47">
        <f t="shared" si="54"/>
        <v>3027789.49</v>
      </c>
      <c r="AG17" s="47">
        <f t="shared" si="54"/>
        <v>29450000</v>
      </c>
      <c r="AH17" s="47">
        <f t="shared" si="54"/>
        <v>11819500</v>
      </c>
      <c r="AI17" s="47">
        <f t="shared" si="54"/>
        <v>11450000</v>
      </c>
      <c r="AJ17" s="47">
        <f t="shared" si="54"/>
        <v>0</v>
      </c>
      <c r="AK17" s="47">
        <f t="shared" si="54"/>
        <v>-28374005.460000001</v>
      </c>
      <c r="AL17" s="47">
        <f t="shared" si="54"/>
        <v>-43081975.82</v>
      </c>
      <c r="AM17" s="47">
        <f t="shared" si="54"/>
        <v>-9321975.8200000003</v>
      </c>
      <c r="AN17" s="47">
        <f t="shared" si="54"/>
        <v>0</v>
      </c>
      <c r="AO17" s="47">
        <f t="shared" si="54"/>
        <v>1589393.8200000003</v>
      </c>
      <c r="AP17" s="47">
        <f t="shared" si="54"/>
        <v>-343101.75</v>
      </c>
      <c r="AQ17" s="47">
        <f t="shared" si="54"/>
        <v>-343101.75</v>
      </c>
      <c r="AR17" s="47">
        <f t="shared" si="54"/>
        <v>-480</v>
      </c>
      <c r="AS17" s="47">
        <f t="shared" si="54"/>
        <v>-18818871.119999997</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204251585.06</v>
      </c>
      <c r="F19" s="192">
        <f t="shared" ref="F19:AS19" si="55">F5+F17</f>
        <v>100786995.7</v>
      </c>
      <c r="G19" s="192">
        <f t="shared" si="55"/>
        <v>76612829.900000006</v>
      </c>
      <c r="H19" s="192">
        <f t="shared" si="55"/>
        <v>53534395.239999995</v>
      </c>
      <c r="I19" s="192">
        <f t="shared" si="55"/>
        <v>57858018.869999997</v>
      </c>
      <c r="J19" s="192">
        <f t="shared" si="55"/>
        <v>16399399.450000001</v>
      </c>
      <c r="K19" s="192">
        <f t="shared" si="55"/>
        <v>10230394.310000001</v>
      </c>
      <c r="L19" s="192">
        <f t="shared" si="55"/>
        <v>3527048.6</v>
      </c>
      <c r="M19" s="192">
        <f t="shared" si="55"/>
        <v>107399037</v>
      </c>
      <c r="N19" s="192">
        <f t="shared" si="55"/>
        <v>63113112.340000004</v>
      </c>
      <c r="O19" s="192">
        <f t="shared" si="55"/>
        <v>39097601</v>
      </c>
      <c r="P19" s="192">
        <f t="shared" si="55"/>
        <v>21093446.030000001</v>
      </c>
      <c r="Q19" s="192">
        <f t="shared" si="55"/>
        <v>70834936.739999995</v>
      </c>
      <c r="R19" s="192">
        <f t="shared" si="55"/>
        <v>55063183.729999997</v>
      </c>
      <c r="S19" s="192">
        <f t="shared" si="55"/>
        <v>28483430.399999999</v>
      </c>
      <c r="T19" s="192">
        <f t="shared" si="55"/>
        <v>22870809.960000001</v>
      </c>
      <c r="U19" s="192">
        <f t="shared" si="55"/>
        <v>-41241351.74000001</v>
      </c>
      <c r="V19" s="192">
        <f t="shared" si="55"/>
        <v>56480162.710000008</v>
      </c>
      <c r="W19" s="192">
        <f t="shared" si="55"/>
        <v>13612593.119999997</v>
      </c>
      <c r="X19" s="192">
        <f t="shared" si="55"/>
        <v>12282560.469999999</v>
      </c>
      <c r="Y19" s="192">
        <f t="shared" si="55"/>
        <v>82447002.50999999</v>
      </c>
      <c r="Z19" s="192">
        <f t="shared" si="55"/>
        <v>106332729.17</v>
      </c>
      <c r="AA19" s="192">
        <f t="shared" si="55"/>
        <v>80900885.699999988</v>
      </c>
      <c r="AB19" s="192">
        <f t="shared" si="55"/>
        <v>55534661.560000002</v>
      </c>
      <c r="AC19" s="192">
        <f t="shared" si="55"/>
        <v>160565833.49000001</v>
      </c>
      <c r="AD19" s="192">
        <f t="shared" si="55"/>
        <v>179981372.74000001</v>
      </c>
      <c r="AE19" s="192">
        <f t="shared" si="55"/>
        <v>135954236.55000001</v>
      </c>
      <c r="AF19" s="192">
        <f t="shared" si="55"/>
        <v>15808952.739999998</v>
      </c>
      <c r="AG19" s="192">
        <f t="shared" si="55"/>
        <v>197816249.41</v>
      </c>
      <c r="AH19" s="192">
        <f t="shared" si="55"/>
        <v>66555680.579999998</v>
      </c>
      <c r="AI19" s="192">
        <f t="shared" si="55"/>
        <v>57452361.82</v>
      </c>
      <c r="AJ19" s="192">
        <f t="shared" si="55"/>
        <v>8447650.1699999999</v>
      </c>
      <c r="AK19" s="192">
        <f t="shared" si="55"/>
        <v>-75840114.699999988</v>
      </c>
      <c r="AL19" s="192">
        <f t="shared" si="55"/>
        <v>19603144.689999998</v>
      </c>
      <c r="AM19" s="192">
        <f t="shared" si="55"/>
        <v>8263112.3000000007</v>
      </c>
      <c r="AN19" s="192">
        <f t="shared" si="55"/>
        <v>3361083.6300000004</v>
      </c>
      <c r="AO19" s="192">
        <f t="shared" si="55"/>
        <v>130267004.84999999</v>
      </c>
      <c r="AP19" s="192">
        <f t="shared" si="55"/>
        <v>97686685.349999994</v>
      </c>
      <c r="AQ19" s="192">
        <f t="shared" si="55"/>
        <v>48041206.609999999</v>
      </c>
      <c r="AR19" s="192">
        <f t="shared" si="55"/>
        <v>10785570.07</v>
      </c>
      <c r="AS19" s="192">
        <f t="shared" si="55"/>
        <v>-18818871.119999997</v>
      </c>
    </row>
    <row r="20" spans="1:74" s="192" customFormat="1" x14ac:dyDescent="0.25">
      <c r="A20" s="192" t="s">
        <v>300</v>
      </c>
      <c r="B20" s="189">
        <v>285503757.43000001</v>
      </c>
      <c r="C20" s="189">
        <v>173229022.41</v>
      </c>
      <c r="D20" s="189">
        <v>284655859.29000002</v>
      </c>
      <c r="E20" s="189">
        <v>2015753818.3</v>
      </c>
      <c r="F20" s="189">
        <v>689222217.41999996</v>
      </c>
      <c r="G20" s="189">
        <v>-142410692.24000001</v>
      </c>
      <c r="H20" s="189">
        <v>-168999611.81999999</v>
      </c>
      <c r="I20" s="189">
        <v>3896072787.3800001</v>
      </c>
      <c r="J20" s="189">
        <v>1927294085.23</v>
      </c>
      <c r="K20" s="189">
        <v>1607097392.8800001</v>
      </c>
      <c r="L20" s="189">
        <v>573548265.89999998</v>
      </c>
      <c r="M20" s="189">
        <v>3598695468.8000002</v>
      </c>
      <c r="N20" s="189">
        <v>2573223119.8099999</v>
      </c>
      <c r="O20" s="189">
        <v>1365269483.46</v>
      </c>
      <c r="P20" s="189">
        <v>394282134.54000002</v>
      </c>
      <c r="Q20" s="189">
        <v>1657114317.3299999</v>
      </c>
      <c r="R20" s="189">
        <v>1013018933.4400001</v>
      </c>
      <c r="S20" s="189">
        <v>825104435.83000004</v>
      </c>
      <c r="T20" s="189">
        <v>271964312.52999997</v>
      </c>
      <c r="U20" s="189">
        <v>904882101.00999999</v>
      </c>
      <c r="V20" s="189">
        <v>924148130.88999999</v>
      </c>
      <c r="W20" s="189">
        <v>931122295.82000005</v>
      </c>
      <c r="X20" s="189">
        <v>277826039.48000002</v>
      </c>
      <c r="Y20" s="189">
        <v>344757698.14999998</v>
      </c>
      <c r="Z20" s="189">
        <v>646968839.80999994</v>
      </c>
      <c r="AA20" s="189">
        <v>909437610.73000002</v>
      </c>
      <c r="AB20" s="189">
        <v>-1660902.67</v>
      </c>
      <c r="AC20" s="189">
        <v>242531309.06999999</v>
      </c>
      <c r="AD20" s="189">
        <v>759702240.78999996</v>
      </c>
      <c r="AE20" s="189">
        <v>-509000827.63</v>
      </c>
      <c r="AF20" s="189">
        <v>-735923388.15999997</v>
      </c>
      <c r="AG20" s="189">
        <v>724134271.23000002</v>
      </c>
      <c r="AH20" s="189">
        <v>981007550.61000001</v>
      </c>
      <c r="AI20" s="189">
        <v>502850482.81999999</v>
      </c>
      <c r="AJ20" s="189">
        <v>-386451128.54000002</v>
      </c>
      <c r="AK20" s="189">
        <v>139034407.22999999</v>
      </c>
      <c r="AL20" s="189">
        <v>364408055.56</v>
      </c>
      <c r="AM20" s="189">
        <v>103869295.3</v>
      </c>
      <c r="AN20" s="189">
        <v>24940968.359999999</v>
      </c>
      <c r="AO20" s="189">
        <v>-134715670.16</v>
      </c>
      <c r="AP20" s="189">
        <v>-352369786</v>
      </c>
      <c r="AQ20" s="189">
        <v>-34998529.030000001</v>
      </c>
      <c r="AR20" s="189">
        <v>-168450941.12</v>
      </c>
      <c r="AS20" s="189">
        <v>372922270.44999999</v>
      </c>
      <c r="AT20" s="189">
        <v>200004712.86000001</v>
      </c>
      <c r="AU20" s="189">
        <v>95451032.409999996</v>
      </c>
      <c r="AV20" s="189">
        <v>5201950.2699999996</v>
      </c>
      <c r="AW20" s="189">
        <v>267346663.90000001</v>
      </c>
      <c r="AX20" s="189">
        <v>1346400.95</v>
      </c>
      <c r="AY20" s="189">
        <v>65978433.439999998</v>
      </c>
      <c r="AZ20" s="189">
        <v>8023632.8499999996</v>
      </c>
      <c r="BA20" s="189">
        <v>65829110.939999998</v>
      </c>
      <c r="BB20" s="189">
        <v>-241294227.90000001</v>
      </c>
      <c r="BC20" s="189">
        <v>-238852387.12</v>
      </c>
      <c r="BD20" s="189">
        <v>-48360044.420000002</v>
      </c>
      <c r="BE20" s="189">
        <v>-179327253.78999999</v>
      </c>
      <c r="BF20" s="189">
        <v>-235585130.47</v>
      </c>
      <c r="BG20" s="189">
        <v>-33015230.77</v>
      </c>
      <c r="BH20" s="189">
        <v>5720800.9199999999</v>
      </c>
      <c r="BI20" s="189">
        <v>191451894.81999999</v>
      </c>
      <c r="BJ20" s="189">
        <v>10012713.58</v>
      </c>
      <c r="BK20" s="189">
        <v>103885212.09999999</v>
      </c>
      <c r="BL20" s="189">
        <v>53739026.68</v>
      </c>
      <c r="BM20" s="189">
        <v>86553355.260000005</v>
      </c>
      <c r="BN20" s="189">
        <v>54847398.829999998</v>
      </c>
      <c r="BO20" s="189">
        <v>96441569.840000004</v>
      </c>
      <c r="BP20" s="189">
        <v>41720009.359999999</v>
      </c>
      <c r="BQ20" s="189">
        <v>195693176.84999999</v>
      </c>
      <c r="BR20" s="189">
        <v>144842011.44</v>
      </c>
      <c r="BS20" s="189">
        <v>215586300.55000001</v>
      </c>
      <c r="BT20" s="189">
        <v>-50870453.439999998</v>
      </c>
      <c r="BU20" s="189">
        <v>-64035949.789999999</v>
      </c>
      <c r="BV20" s="189">
        <v>0</v>
      </c>
    </row>
    <row r="21" spans="1:74" s="220" customFormat="1" x14ac:dyDescent="0.25">
      <c r="A21" s="220" t="s">
        <v>667</v>
      </c>
      <c r="E21" s="220">
        <f>E20/E19</f>
        <v>9.8689751548702134</v>
      </c>
      <c r="F21" s="220">
        <f t="shared" ref="F21:AS21" si="56">F20/F19</f>
        <v>6.8384042269850092</v>
      </c>
      <c r="G21" s="220">
        <f t="shared" si="56"/>
        <v>-1.8588360777938056</v>
      </c>
      <c r="H21" s="220">
        <f t="shared" si="56"/>
        <v>-3.1568417101259478</v>
      </c>
      <c r="I21" s="220">
        <f t="shared" si="56"/>
        <v>67.33851008853253</v>
      </c>
      <c r="J21" s="220">
        <f t="shared" si="56"/>
        <v>117.52223556149795</v>
      </c>
      <c r="K21" s="220">
        <f t="shared" si="56"/>
        <v>157.0904643733131</v>
      </c>
      <c r="L21" s="220">
        <f t="shared" si="56"/>
        <v>162.61422252588181</v>
      </c>
      <c r="M21" s="220">
        <f t="shared" si="56"/>
        <v>33.507707045827608</v>
      </c>
      <c r="N21" s="220">
        <f t="shared" si="56"/>
        <v>40.771608694365327</v>
      </c>
      <c r="O21" s="220">
        <f t="shared" si="56"/>
        <v>34.919520598207548</v>
      </c>
      <c r="P21" s="220">
        <f t="shared" si="56"/>
        <v>18.692163147701667</v>
      </c>
      <c r="Q21" s="220">
        <f t="shared" si="56"/>
        <v>23.39402551332045</v>
      </c>
      <c r="R21" s="220">
        <f t="shared" si="56"/>
        <v>18.39739122981511</v>
      </c>
      <c r="S21" s="220">
        <f t="shared" si="56"/>
        <v>28.967874453422578</v>
      </c>
      <c r="T21" s="220">
        <f t="shared" si="56"/>
        <v>11.89132842280851</v>
      </c>
      <c r="U21" s="220">
        <f t="shared" si="56"/>
        <v>-21.941135846242265</v>
      </c>
      <c r="V21" s="220">
        <f t="shared" si="56"/>
        <v>16.362348947808119</v>
      </c>
      <c r="W21" s="220">
        <f t="shared" si="56"/>
        <v>68.401537283294644</v>
      </c>
      <c r="X21" s="220">
        <f t="shared" si="56"/>
        <v>22.619553973179016</v>
      </c>
      <c r="Y21" s="220">
        <f t="shared" si="56"/>
        <v>4.1815674027468051</v>
      </c>
      <c r="Z21" s="220">
        <f t="shared" si="56"/>
        <v>6.0843810260494227</v>
      </c>
      <c r="AA21" s="220">
        <f t="shared" si="56"/>
        <v>11.241380151292956</v>
      </c>
      <c r="AB21" s="220">
        <f t="shared" si="56"/>
        <v>-2.9907496027603411E-2</v>
      </c>
      <c r="AC21" s="220">
        <f t="shared" si="56"/>
        <v>1.5104789343936285</v>
      </c>
      <c r="AD21" s="220">
        <f t="shared" si="56"/>
        <v>4.2210048141340781</v>
      </c>
      <c r="AE21" s="220">
        <f t="shared" si="56"/>
        <v>-3.7439129559070734</v>
      </c>
      <c r="AF21" s="220">
        <f t="shared" si="56"/>
        <v>-46.551052448778464</v>
      </c>
      <c r="AG21" s="220">
        <f t="shared" si="56"/>
        <v>3.6606409907668263</v>
      </c>
      <c r="AH21" s="220">
        <f t="shared" si="56"/>
        <v>14.739651703070303</v>
      </c>
      <c r="AI21" s="220">
        <f t="shared" si="56"/>
        <v>8.7524771287113641</v>
      </c>
      <c r="AJ21" s="220">
        <f t="shared" si="56"/>
        <v>-45.746582867789378</v>
      </c>
      <c r="AK21" s="220">
        <f t="shared" si="56"/>
        <v>-1.8332568163956113</v>
      </c>
      <c r="AL21" s="220">
        <f t="shared" si="56"/>
        <v>18.589265208346532</v>
      </c>
      <c r="AM21" s="220">
        <f t="shared" si="56"/>
        <v>12.570238855400765</v>
      </c>
      <c r="AN21" s="220">
        <f t="shared" si="56"/>
        <v>7.4205140679584929</v>
      </c>
      <c r="AO21" s="220">
        <f t="shared" si="56"/>
        <v>-1.0341503615218801</v>
      </c>
      <c r="AP21" s="220">
        <f t="shared" si="56"/>
        <v>-3.607142413907281</v>
      </c>
      <c r="AQ21" s="220">
        <f t="shared" si="56"/>
        <v>-0.72851061619078683</v>
      </c>
      <c r="AR21" s="220">
        <f t="shared" si="56"/>
        <v>-15.618176881400577</v>
      </c>
      <c r="AS21" s="220">
        <f t="shared" si="56"/>
        <v>-19.816399616748107</v>
      </c>
    </row>
    <row r="22" spans="1:74" s="192" customFormat="1" x14ac:dyDescent="0.25">
      <c r="A22" s="192" t="s">
        <v>301</v>
      </c>
      <c r="E22" s="192">
        <f>I35</f>
        <v>4363887921.4300003</v>
      </c>
      <c r="F22" s="192">
        <f t="shared" ref="F22:Y22" si="57">J35</f>
        <v>2160491687.1300001</v>
      </c>
      <c r="G22" s="192">
        <f t="shared" si="57"/>
        <v>2150149988.2800002</v>
      </c>
      <c r="H22" s="192">
        <f t="shared" si="57"/>
        <v>2385271932.0399995</v>
      </c>
      <c r="I22" s="192">
        <f t="shared" si="57"/>
        <v>3134819575.0699997</v>
      </c>
      <c r="J22" s="192">
        <f t="shared" si="57"/>
        <v>4132651530.9299998</v>
      </c>
      <c r="K22" s="192">
        <f t="shared" si="57"/>
        <v>2888282944.3000002</v>
      </c>
      <c r="L22" s="192">
        <f t="shared" si="57"/>
        <v>2236587173.48</v>
      </c>
      <c r="M22" s="192">
        <f t="shared" si="57"/>
        <v>3133593041.48</v>
      </c>
      <c r="N22" s="192">
        <f t="shared" si="57"/>
        <v>2391619447.2599998</v>
      </c>
      <c r="O22" s="192">
        <f t="shared" si="57"/>
        <v>2175995351.23</v>
      </c>
      <c r="P22" s="192">
        <f t="shared" si="57"/>
        <v>1680750281.25</v>
      </c>
      <c r="Q22" s="192">
        <f t="shared" si="57"/>
        <v>1642169421.5999999</v>
      </c>
      <c r="R22" s="192">
        <f t="shared" si="57"/>
        <v>1490558425.47</v>
      </c>
      <c r="S22" s="192">
        <f t="shared" si="57"/>
        <v>1562020929.05</v>
      </c>
      <c r="T22" s="192">
        <f t="shared" si="57"/>
        <v>1428021705.3800001</v>
      </c>
      <c r="U22" s="192">
        <f t="shared" si="57"/>
        <v>1410852129.3800001</v>
      </c>
      <c r="V22" s="192">
        <f t="shared" si="57"/>
        <v>2837657323.9299998</v>
      </c>
      <c r="W22" s="192">
        <f t="shared" si="57"/>
        <v>3126324032.8800001</v>
      </c>
      <c r="X22" s="192">
        <f t="shared" si="57"/>
        <v>2327841653.0799999</v>
      </c>
      <c r="Y22" s="192">
        <f t="shared" si="57"/>
        <v>2425270190.7199998</v>
      </c>
      <c r="Z22" s="192">
        <f t="shared" ref="Z22" si="58">AD35</f>
        <v>2987907818.6100001</v>
      </c>
      <c r="AA22" s="192">
        <f t="shared" ref="AA22" si="59">AE35</f>
        <v>1699642180.29</v>
      </c>
      <c r="AB22" s="192">
        <f t="shared" ref="AB22" si="60">AF35</f>
        <v>1553559240.3299999</v>
      </c>
      <c r="AC22" s="192">
        <f t="shared" ref="AC22" si="61">AG35</f>
        <v>2223903909.7200003</v>
      </c>
      <c r="AD22" s="192">
        <f t="shared" ref="AD22" si="62">AH35</f>
        <v>1787122883.78</v>
      </c>
      <c r="AE22" s="192">
        <f t="shared" ref="AE22" si="63">AI35</f>
        <v>1296161428.4000001</v>
      </c>
      <c r="AF22" s="192">
        <f t="shared" ref="AF22" si="64">AJ35</f>
        <v>456759416.60000002</v>
      </c>
      <c r="AG22" s="192">
        <f t="shared" ref="AG22" si="65">AK35</f>
        <v>852761786.80999994</v>
      </c>
      <c r="AH22" s="192">
        <f t="shared" ref="AH22" si="66">AL35</f>
        <v>1000109782.36</v>
      </c>
      <c r="AI22" s="192">
        <f t="shared" ref="AI22" si="67">AM35</f>
        <v>762706399.98000002</v>
      </c>
      <c r="AJ22" s="192">
        <f t="shared" ref="AJ22" si="68">AN35</f>
        <v>649268873.91999996</v>
      </c>
      <c r="AK22" s="192">
        <f t="shared" ref="AK22" si="69">AO35</f>
        <v>657316721.96000004</v>
      </c>
      <c r="AL22" s="192">
        <f t="shared" ref="AL22" si="70">AP35</f>
        <v>568427487.20000005</v>
      </c>
      <c r="AM22" s="192">
        <f t="shared" ref="AM22" si="71">AQ35</f>
        <v>817795470.32999992</v>
      </c>
      <c r="AN22" s="192">
        <f t="shared" ref="AN22" si="72">AR35</f>
        <v>780711132.46000004</v>
      </c>
      <c r="AO22" s="192">
        <f t="shared" ref="AO22" si="73">AS35</f>
        <v>962092731.79999995</v>
      </c>
      <c r="AP22" s="192">
        <f t="shared" ref="AP22" si="74">AT35</f>
        <v>917953360.34000003</v>
      </c>
      <c r="AQ22" s="192">
        <f t="shared" ref="AQ22" si="75">AU35</f>
        <v>627990913.44000006</v>
      </c>
      <c r="AR22" s="192">
        <f t="shared" ref="AR22" si="76">AV35</f>
        <v>506634140.81999999</v>
      </c>
      <c r="AS22" s="192">
        <f t="shared" ref="AS22" si="77">AW35</f>
        <v>723390307.28999996</v>
      </c>
    </row>
    <row r="23" spans="1:74" s="192" customFormat="1" x14ac:dyDescent="0.25">
      <c r="A23" s="192" t="s">
        <v>302</v>
      </c>
      <c r="E23" s="192">
        <f>E20+E22-E19</f>
        <v>6175390154.6700001</v>
      </c>
      <c r="F23" s="192">
        <f t="shared" ref="F23:AS23" si="78">F20+F22-F19</f>
        <v>2748926908.8500004</v>
      </c>
      <c r="G23" s="192">
        <f t="shared" si="78"/>
        <v>1931126466.1400001</v>
      </c>
      <c r="H23" s="192">
        <f t="shared" si="78"/>
        <v>2162737924.9799995</v>
      </c>
      <c r="I23" s="192">
        <f t="shared" si="78"/>
        <v>6973034343.5799999</v>
      </c>
      <c r="J23" s="192">
        <f t="shared" si="78"/>
        <v>6043546216.71</v>
      </c>
      <c r="K23" s="192">
        <f t="shared" si="78"/>
        <v>4485149942.8699999</v>
      </c>
      <c r="L23" s="192">
        <f t="shared" si="78"/>
        <v>2806608390.7800002</v>
      </c>
      <c r="M23" s="192">
        <f t="shared" si="78"/>
        <v>6624889473.2800007</v>
      </c>
      <c r="N23" s="192">
        <f t="shared" si="78"/>
        <v>4901729454.7299995</v>
      </c>
      <c r="O23" s="192">
        <f t="shared" si="78"/>
        <v>3502167233.6900001</v>
      </c>
      <c r="P23" s="192">
        <f t="shared" si="78"/>
        <v>2053938969.76</v>
      </c>
      <c r="Q23" s="192">
        <f t="shared" si="78"/>
        <v>3228448802.1900001</v>
      </c>
      <c r="R23" s="192">
        <f t="shared" si="78"/>
        <v>2448514175.1799998</v>
      </c>
      <c r="S23" s="192">
        <f t="shared" si="78"/>
        <v>2358641934.48</v>
      </c>
      <c r="T23" s="192">
        <f t="shared" si="78"/>
        <v>1677115207.95</v>
      </c>
      <c r="U23" s="192">
        <f t="shared" si="78"/>
        <v>2356975582.1300001</v>
      </c>
      <c r="V23" s="192">
        <f t="shared" si="78"/>
        <v>3705325292.1099997</v>
      </c>
      <c r="W23" s="192">
        <f t="shared" si="78"/>
        <v>4043833735.5800004</v>
      </c>
      <c r="X23" s="192">
        <f t="shared" si="78"/>
        <v>2593385132.0900002</v>
      </c>
      <c r="Y23" s="192">
        <f t="shared" si="78"/>
        <v>2687580886.3599997</v>
      </c>
      <c r="Z23" s="192">
        <f t="shared" si="78"/>
        <v>3528543929.25</v>
      </c>
      <c r="AA23" s="192">
        <f t="shared" si="78"/>
        <v>2528178905.3200002</v>
      </c>
      <c r="AB23" s="192">
        <f t="shared" si="78"/>
        <v>1496363676.0999999</v>
      </c>
      <c r="AC23" s="192">
        <f t="shared" si="78"/>
        <v>2305869385.3000002</v>
      </c>
      <c r="AD23" s="192">
        <f t="shared" si="78"/>
        <v>2366843751.8299999</v>
      </c>
      <c r="AE23" s="192">
        <f t="shared" si="78"/>
        <v>651206364.22000003</v>
      </c>
      <c r="AF23" s="192">
        <f t="shared" si="78"/>
        <v>-294972924.29999995</v>
      </c>
      <c r="AG23" s="192">
        <f t="shared" si="78"/>
        <v>1379079808.6299999</v>
      </c>
      <c r="AH23" s="192">
        <f t="shared" si="78"/>
        <v>1914561652.3900001</v>
      </c>
      <c r="AI23" s="192">
        <f t="shared" si="78"/>
        <v>1208104520.98</v>
      </c>
      <c r="AJ23" s="192">
        <f t="shared" si="78"/>
        <v>254370095.20999995</v>
      </c>
      <c r="AK23" s="192">
        <f t="shared" si="78"/>
        <v>872191243.8900001</v>
      </c>
      <c r="AL23" s="192">
        <f t="shared" si="78"/>
        <v>913232398.06999993</v>
      </c>
      <c r="AM23" s="192">
        <f t="shared" si="78"/>
        <v>913401653.32999992</v>
      </c>
      <c r="AN23" s="192">
        <f t="shared" si="78"/>
        <v>802291017.19000006</v>
      </c>
      <c r="AO23" s="192">
        <f t="shared" si="78"/>
        <v>697110056.78999996</v>
      </c>
      <c r="AP23" s="192">
        <f t="shared" si="78"/>
        <v>467896888.99000001</v>
      </c>
      <c r="AQ23" s="192">
        <f t="shared" si="78"/>
        <v>544951177.80000007</v>
      </c>
      <c r="AR23" s="192">
        <f t="shared" si="78"/>
        <v>327397629.63</v>
      </c>
      <c r="AS23" s="192">
        <f t="shared" si="78"/>
        <v>1115131448.8599999</v>
      </c>
    </row>
    <row r="24" spans="1:74" s="220" customFormat="1" x14ac:dyDescent="0.25">
      <c r="A24" s="220" t="s">
        <v>303</v>
      </c>
      <c r="B24" s="189">
        <v>-735288019.25</v>
      </c>
      <c r="C24" s="189">
        <v>-726052833.40999997</v>
      </c>
      <c r="D24" s="189">
        <v>-90669405.319999993</v>
      </c>
      <c r="E24" s="189">
        <v>-587583335.11000001</v>
      </c>
      <c r="F24" s="189">
        <v>-533859514.69</v>
      </c>
      <c r="G24" s="189">
        <v>-484323953.01999998</v>
      </c>
      <c r="H24" s="189">
        <v>-60357981.219999999</v>
      </c>
      <c r="I24" s="189">
        <v>-280741910.69999999</v>
      </c>
      <c r="J24" s="189">
        <v>-376001781.76999998</v>
      </c>
      <c r="K24" s="189">
        <v>-376001781.76999998</v>
      </c>
      <c r="L24" s="189">
        <v>0</v>
      </c>
      <c r="M24" s="189">
        <v>-286688438.01999998</v>
      </c>
      <c r="N24" s="189">
        <v>-185853691.09999999</v>
      </c>
      <c r="O24" s="189">
        <v>-270220502.95999998</v>
      </c>
      <c r="P24" s="189">
        <v>116148521.47</v>
      </c>
      <c r="Q24" s="189">
        <v>-193287158.13999999</v>
      </c>
      <c r="R24" s="189">
        <v>-89998856.700000003</v>
      </c>
      <c r="S24" s="189">
        <v>-134190940.03</v>
      </c>
      <c r="T24" s="189">
        <v>0</v>
      </c>
      <c r="U24" s="189">
        <v>-189716383.08000001</v>
      </c>
      <c r="V24" s="189">
        <v>-183312022.63</v>
      </c>
      <c r="W24" s="189">
        <v>-182583655.47</v>
      </c>
      <c r="X24" s="189">
        <v>0</v>
      </c>
      <c r="Y24" s="189">
        <v>-132586903.59</v>
      </c>
      <c r="Z24" s="189">
        <v>-125620078.36</v>
      </c>
      <c r="AA24" s="189">
        <v>-125620078.36</v>
      </c>
      <c r="AB24" s="189">
        <v>0</v>
      </c>
      <c r="AC24" s="189">
        <v>-80871729.310000002</v>
      </c>
      <c r="AD24" s="189">
        <v>-75321186.040000007</v>
      </c>
      <c r="AE24" s="189">
        <v>-46067231.759999998</v>
      </c>
      <c r="AF24" s="189">
        <v>76191910.280000001</v>
      </c>
      <c r="AG24" s="189">
        <v>7787447.3799999999</v>
      </c>
      <c r="AH24" s="189">
        <v>-2086379.76</v>
      </c>
      <c r="AI24" s="189">
        <v>-2035831.41</v>
      </c>
      <c r="AJ24" s="189">
        <v>-1216487.5</v>
      </c>
      <c r="AK24" s="189">
        <v>-38493747.280000001</v>
      </c>
      <c r="AL24" s="189">
        <v>-20796912.25</v>
      </c>
      <c r="AM24" s="189">
        <v>-8010106.1699999999</v>
      </c>
      <c r="AN24" s="189">
        <v>-1793422.67</v>
      </c>
      <c r="AO24" s="189">
        <v>-79416166.129999995</v>
      </c>
      <c r="AP24" s="189">
        <v>-83489642.909999996</v>
      </c>
      <c r="AQ24" s="189">
        <v>-9370705</v>
      </c>
      <c r="AR24" s="189">
        <v>17191806.850000001</v>
      </c>
      <c r="AS24" s="189">
        <v>-458277493.05000001</v>
      </c>
      <c r="AT24" s="189">
        <v>-228001037.49000001</v>
      </c>
      <c r="AU24" s="189">
        <v>-217702659.59</v>
      </c>
      <c r="AV24" s="189">
        <v>-200569856.78</v>
      </c>
      <c r="AW24" s="189">
        <v>-178672387.02000001</v>
      </c>
      <c r="AX24" s="189">
        <v>-37060995.020000003</v>
      </c>
      <c r="AY24" s="189">
        <v>46188222.079999998</v>
      </c>
      <c r="AZ24" s="189">
        <v>10710146.529999999</v>
      </c>
      <c r="BA24" s="189">
        <v>-21606902.670000002</v>
      </c>
      <c r="BB24" s="189">
        <v>17152429.489999998</v>
      </c>
      <c r="BC24" s="189">
        <v>-557748.91</v>
      </c>
      <c r="BD24" s="189">
        <v>-4689074.62</v>
      </c>
      <c r="BE24" s="189">
        <v>-48803511.390000001</v>
      </c>
      <c r="BF24" s="189">
        <v>-55316193.469999999</v>
      </c>
      <c r="BG24" s="189">
        <v>-21532730.09</v>
      </c>
      <c r="BH24" s="189">
        <v>-15014458.07</v>
      </c>
      <c r="BI24" s="189">
        <v>82852846.150000006</v>
      </c>
      <c r="BJ24" s="189">
        <v>37370881.409999996</v>
      </c>
      <c r="BK24" s="189">
        <v>-40350497.149999999</v>
      </c>
      <c r="BL24" s="189">
        <v>0</v>
      </c>
      <c r="BM24" s="189">
        <v>60280886.299999997</v>
      </c>
      <c r="BN24" s="189">
        <v>69351304.299999997</v>
      </c>
      <c r="BO24" s="189">
        <v>-91905628.060000002</v>
      </c>
      <c r="BP24" s="189">
        <v>-3819188.16</v>
      </c>
      <c r="BQ24" s="189">
        <v>-21954330</v>
      </c>
      <c r="BR24" s="189">
        <v>293493042</v>
      </c>
      <c r="BS24" s="189">
        <v>9884971.0099999998</v>
      </c>
      <c r="BT24" s="189">
        <v>-116479291.3</v>
      </c>
      <c r="BU24" s="189">
        <v>-5621925.0300000003</v>
      </c>
      <c r="BV24" s="189">
        <v>0</v>
      </c>
    </row>
    <row r="25" spans="1:74" s="241" customFormat="1" ht="138.6" customHeight="1" x14ac:dyDescent="0.25">
      <c r="A25" s="272" t="s">
        <v>743</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631</v>
      </c>
      <c r="E26" s="26">
        <f>现金流量表!E15</f>
        <v>11100000000</v>
      </c>
      <c r="F26" s="26">
        <f>现金流量表!F15</f>
        <v>6895000000</v>
      </c>
      <c r="G26" s="26">
        <f>现金流量表!G15</f>
        <v>2895000000</v>
      </c>
      <c r="H26" s="26">
        <f>现金流量表!H15</f>
        <v>1535000000</v>
      </c>
      <c r="I26" s="26">
        <f>现金流量表!I15</f>
        <v>8998000000</v>
      </c>
      <c r="J26" s="26">
        <f>现金流量表!J15</f>
        <v>6210000000</v>
      </c>
      <c r="K26" s="26">
        <f>现金流量表!K15</f>
        <v>3310000000</v>
      </c>
      <c r="L26" s="26">
        <f>现金流量表!L15</f>
        <v>1895000000</v>
      </c>
      <c r="M26" s="26">
        <f>现金流量表!M15</f>
        <v>8274398907.7600002</v>
      </c>
      <c r="N26" s="26">
        <f>现金流量表!N15</f>
        <v>5143950000</v>
      </c>
      <c r="O26" s="26">
        <f>现金流量表!O15</f>
        <v>3091000000</v>
      </c>
      <c r="P26" s="26">
        <f>现金流量表!P15</f>
        <v>1726000000</v>
      </c>
      <c r="Q26" s="26">
        <f>现金流量表!Q15</f>
        <v>10101899999.969999</v>
      </c>
      <c r="R26" s="26">
        <f>现金流量表!R15</f>
        <v>5440020000</v>
      </c>
      <c r="S26" s="26">
        <f>现金流量表!S15</f>
        <v>4001000000</v>
      </c>
      <c r="T26" s="26">
        <f>现金流量表!T15</f>
        <v>2298000000</v>
      </c>
      <c r="U26" s="26">
        <f>现金流量表!U15</f>
        <v>11187730000</v>
      </c>
      <c r="V26" s="26">
        <f>现金流量表!V15</f>
        <v>7593702834.7700005</v>
      </c>
      <c r="W26" s="26">
        <f>现金流量表!W15</f>
        <v>4832824376.4200001</v>
      </c>
      <c r="X26" s="26">
        <f>现金流量表!X15</f>
        <v>2420499865.02</v>
      </c>
      <c r="Y26" s="26">
        <f>现金流量表!Y15</f>
        <v>10539392774.02</v>
      </c>
      <c r="Z26" s="26">
        <f>现金流量表!Z15</f>
        <v>0</v>
      </c>
      <c r="AA26" s="26">
        <f>现金流量表!AA15</f>
        <v>0</v>
      </c>
      <c r="AB26" s="26">
        <f>现金流量表!AB15</f>
        <v>0</v>
      </c>
      <c r="AC26" s="26">
        <f>现金流量表!AC15</f>
        <v>127200000</v>
      </c>
      <c r="AD26" s="26">
        <f>现金流量表!AD15</f>
        <v>0</v>
      </c>
      <c r="AE26" s="26">
        <f>现金流量表!AE15</f>
        <v>0</v>
      </c>
      <c r="AF26" s="26">
        <f>现金流量表!AF15</f>
        <v>0</v>
      </c>
      <c r="AG26" s="26">
        <f>现金流量表!AG15</f>
        <v>12699593.380000001</v>
      </c>
      <c r="AH26" s="26">
        <f>现金流量表!AH15</f>
        <v>0</v>
      </c>
      <c r="AI26" s="26">
        <f>现金流量表!AI15</f>
        <v>0</v>
      </c>
      <c r="AJ26" s="26">
        <f>现金流量表!AJ15</f>
        <v>0</v>
      </c>
      <c r="AK26" s="26">
        <f>现金流量表!AK15</f>
        <v>14408527.57</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265192945.30000001</v>
      </c>
      <c r="AT26" s="26">
        <f>现金流量表!AT15</f>
        <v>115264702.63</v>
      </c>
      <c r="AU26" s="26">
        <f>现金流量表!AU15</f>
        <v>340300</v>
      </c>
      <c r="AV26" s="26">
        <f>现金流量表!AV15</f>
        <v>0</v>
      </c>
      <c r="AW26" s="26">
        <f>现金流量表!AW15</f>
        <v>11446227.710000001</v>
      </c>
      <c r="AX26" s="26">
        <f>现金流量表!AX15</f>
        <v>43195500</v>
      </c>
      <c r="AY26" s="26">
        <f>现金流量表!AY15</f>
        <v>350000</v>
      </c>
      <c r="AZ26" s="26">
        <f>现金流量表!AZ15</f>
        <v>0</v>
      </c>
      <c r="BA26" s="26">
        <f>现金流量表!BA15</f>
        <v>1791267.34</v>
      </c>
      <c r="BB26" s="26">
        <f>现金流量表!BB15</f>
        <v>1791267.34</v>
      </c>
      <c r="BC26" s="26">
        <f>现金流量表!BC15</f>
        <v>771267.34</v>
      </c>
      <c r="BD26" s="26">
        <f>现金流量表!BD15</f>
        <v>771267.34</v>
      </c>
      <c r="BE26" s="26">
        <f>现金流量表!BE15</f>
        <v>333500</v>
      </c>
      <c r="BF26" s="26">
        <f>现金流量表!BF15</f>
        <v>6235000</v>
      </c>
      <c r="BG26" s="26">
        <f>现金流量表!BG15</f>
        <v>0</v>
      </c>
      <c r="BH26" s="26">
        <f>现金流量表!BH15</f>
        <v>0</v>
      </c>
      <c r="BI26" s="26">
        <f>现金流量表!BI15</f>
        <v>14949291.84</v>
      </c>
      <c r="BJ26" s="26">
        <f>现金流量表!BJ15</f>
        <v>4444631.82</v>
      </c>
      <c r="BK26" s="26">
        <f>现金流量表!BK15</f>
        <v>2560010.1</v>
      </c>
      <c r="BL26" s="26">
        <f>现金流量表!BL15</f>
        <v>0</v>
      </c>
      <c r="BM26" s="26">
        <f>现金流量表!BM15</f>
        <v>3000000</v>
      </c>
      <c r="BN26" s="26">
        <f>现金流量表!BN15</f>
        <v>3000000</v>
      </c>
      <c r="BO26" s="26">
        <f>现金流量表!BO15</f>
        <v>24654922.09</v>
      </c>
      <c r="BP26" s="26">
        <f>现金流量表!BP15</f>
        <v>0</v>
      </c>
      <c r="BQ26" s="26">
        <f>现金流量表!BQ15</f>
        <v>13983640.65</v>
      </c>
      <c r="BR26" s="26">
        <f>现金流量表!BR15</f>
        <v>28082173.649999999</v>
      </c>
      <c r="BS26" s="26">
        <f>现金流量表!BS15</f>
        <v>4501919.22</v>
      </c>
      <c r="BT26" s="26">
        <f>现金流量表!BT15</f>
        <v>32900</v>
      </c>
      <c r="BU26" s="26">
        <f>现金流量表!BU15</f>
        <v>0</v>
      </c>
      <c r="BV26" s="26">
        <f>现金流量表!BV15</f>
        <v>0</v>
      </c>
    </row>
    <row r="27" spans="1:74" s="26" customFormat="1" x14ac:dyDescent="0.25">
      <c r="A27" s="17" t="s">
        <v>632</v>
      </c>
      <c r="E27" s="26">
        <f>现金流量表!E22</f>
        <v>15448983636.67</v>
      </c>
      <c r="F27" s="26">
        <f>现金流量表!F22</f>
        <v>8545000000</v>
      </c>
      <c r="G27" s="26">
        <f>现金流量表!G22</f>
        <v>3465000000</v>
      </c>
      <c r="H27" s="26">
        <f>现金流量表!H22</f>
        <v>1630000000</v>
      </c>
      <c r="I27" s="26">
        <f>现金流量表!I22</f>
        <v>11471000000</v>
      </c>
      <c r="J27" s="26">
        <f>现金流量表!J22</f>
        <v>8756000000</v>
      </c>
      <c r="K27" s="26">
        <f>现金流量表!K22</f>
        <v>5506000000</v>
      </c>
      <c r="L27" s="26">
        <f>现金流量表!L22</f>
        <v>3146000000</v>
      </c>
      <c r="M27" s="26">
        <f>现金流量表!M22</f>
        <v>10456050000</v>
      </c>
      <c r="N27" s="26">
        <f>现金流量表!N22</f>
        <v>7681050000</v>
      </c>
      <c r="O27" s="26">
        <f>现金流量表!O22</f>
        <v>4631200000</v>
      </c>
      <c r="P27" s="26">
        <f>现金流量表!P22</f>
        <v>2451000000</v>
      </c>
      <c r="Q27" s="26">
        <f>现金流量表!Q22</f>
        <v>11706999999.969999</v>
      </c>
      <c r="R27" s="26">
        <f>现金流量表!R22</f>
        <v>5644120000</v>
      </c>
      <c r="S27" s="26">
        <f>现金流量表!S22</f>
        <v>4163370000</v>
      </c>
      <c r="T27" s="26">
        <f>现金流量表!T22</f>
        <v>2489370000</v>
      </c>
      <c r="U27" s="26">
        <f>现金流量表!U22</f>
        <v>11794790000</v>
      </c>
      <c r="V27" s="26">
        <f>现金流量表!V22</f>
        <v>8156060000</v>
      </c>
      <c r="W27" s="26">
        <f>现金流量表!W22</f>
        <v>5424060000</v>
      </c>
      <c r="X27" s="26">
        <f>现金流量表!X22</f>
        <v>2661080000</v>
      </c>
      <c r="Y27" s="26">
        <f>现金流量表!Y22</f>
        <v>11662691112.91</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31233800</v>
      </c>
      <c r="AT27" s="26">
        <f>现金流量表!AT22</f>
        <v>148500</v>
      </c>
      <c r="AU27" s="26">
        <f>现金流量表!AU22</f>
        <v>11148500</v>
      </c>
      <c r="AV27" s="26">
        <f>现金流量表!AV22</f>
        <v>0</v>
      </c>
      <c r="AW27" s="26">
        <f>现金流量表!AW22</f>
        <v>66573150.369999997</v>
      </c>
      <c r="AX27" s="26">
        <f>现金流量表!AX22</f>
        <v>123624136.59999999</v>
      </c>
      <c r="AY27" s="26">
        <f>现金流量表!AY22</f>
        <v>123624136.59999999</v>
      </c>
      <c r="AZ27" s="26">
        <f>现金流量表!AZ22</f>
        <v>0</v>
      </c>
      <c r="BA27" s="26">
        <f>现金流量表!BA22</f>
        <v>34118120</v>
      </c>
      <c r="BB27" s="26">
        <f>现金流量表!BB22</f>
        <v>33768120</v>
      </c>
      <c r="BC27" s="26">
        <f>现金流量表!BC22</f>
        <v>33768120</v>
      </c>
      <c r="BD27" s="26">
        <f>现金流量表!BD22</f>
        <v>33768120</v>
      </c>
      <c r="BE27" s="26">
        <f>现金流量表!BE22</f>
        <v>61000000</v>
      </c>
      <c r="BF27" s="26">
        <f>现金流量表!BF22</f>
        <v>60890000</v>
      </c>
      <c r="BG27" s="26">
        <f>现金流量表!BG22</f>
        <v>60890000</v>
      </c>
      <c r="BH27" s="26">
        <f>现金流量表!BH22</f>
        <v>30000000</v>
      </c>
      <c r="BI27" s="26">
        <f>现金流量表!BI22</f>
        <v>8604025</v>
      </c>
      <c r="BJ27" s="26">
        <f>现金流量表!BJ22</f>
        <v>10702494.6</v>
      </c>
      <c r="BK27" s="26">
        <f>现金流量表!BK22</f>
        <v>3104025</v>
      </c>
      <c r="BL27" s="26">
        <f>现金流量表!BL22</f>
        <v>0</v>
      </c>
      <c r="BM27" s="26">
        <f>现金流量表!BM22</f>
        <v>0</v>
      </c>
      <c r="BN27" s="26">
        <f>现金流量表!BN22</f>
        <v>0</v>
      </c>
      <c r="BO27" s="26">
        <f>现金流量表!BO22</f>
        <v>16806200</v>
      </c>
      <c r="BP27" s="26">
        <f>现金流量表!BP22</f>
        <v>0</v>
      </c>
      <c r="BQ27" s="26">
        <f>现金流量表!BQ22</f>
        <v>75670105.980000004</v>
      </c>
      <c r="BR27" s="26">
        <f>现金流量表!BR22</f>
        <v>59061821.689999998</v>
      </c>
      <c r="BS27" s="26">
        <f>现金流量表!BS22</f>
        <v>9620800</v>
      </c>
      <c r="BT27" s="26">
        <f>现金流量表!BT22</f>
        <v>29150500</v>
      </c>
      <c r="BU27" s="26">
        <f>现金流量表!BU22</f>
        <v>50963785</v>
      </c>
      <c r="BV27" s="26">
        <f>现金流量表!BV22</f>
        <v>0</v>
      </c>
    </row>
    <row r="28" spans="1:74" s="26" customFormat="1" x14ac:dyDescent="0.25">
      <c r="A28" s="17" t="s">
        <v>633</v>
      </c>
      <c r="E28" s="26">
        <f>E27-E26</f>
        <v>4348983636.6700001</v>
      </c>
      <c r="F28" s="26">
        <f t="shared" ref="F28:BQ28" si="79">F27-F26</f>
        <v>1650000000</v>
      </c>
      <c r="G28" s="26">
        <f t="shared" si="79"/>
        <v>570000000</v>
      </c>
      <c r="H28" s="26">
        <f t="shared" si="79"/>
        <v>95000000</v>
      </c>
      <c r="I28" s="26">
        <f t="shared" si="79"/>
        <v>2473000000</v>
      </c>
      <c r="J28" s="26">
        <f t="shared" si="79"/>
        <v>2546000000</v>
      </c>
      <c r="K28" s="26">
        <f t="shared" si="79"/>
        <v>2196000000</v>
      </c>
      <c r="L28" s="26">
        <f t="shared" si="79"/>
        <v>1251000000</v>
      </c>
      <c r="M28" s="26">
        <f t="shared" si="79"/>
        <v>2181651092.2399998</v>
      </c>
      <c r="N28" s="26">
        <f t="shared" si="79"/>
        <v>2537100000</v>
      </c>
      <c r="O28" s="26">
        <f t="shared" si="79"/>
        <v>1540200000</v>
      </c>
      <c r="P28" s="26">
        <f t="shared" si="79"/>
        <v>725000000</v>
      </c>
      <c r="Q28" s="26">
        <f t="shared" si="79"/>
        <v>1605100000</v>
      </c>
      <c r="R28" s="26">
        <f t="shared" si="79"/>
        <v>204100000</v>
      </c>
      <c r="S28" s="26">
        <f t="shared" si="79"/>
        <v>162370000</v>
      </c>
      <c r="T28" s="26">
        <f t="shared" si="79"/>
        <v>191370000</v>
      </c>
      <c r="U28" s="26">
        <f t="shared" si="79"/>
        <v>607060000</v>
      </c>
      <c r="V28" s="26">
        <f t="shared" si="79"/>
        <v>562357165.22999954</v>
      </c>
      <c r="W28" s="26">
        <f t="shared" si="79"/>
        <v>591235623.57999992</v>
      </c>
      <c r="X28" s="26">
        <f t="shared" si="79"/>
        <v>240580134.98000002</v>
      </c>
      <c r="Y28" s="26">
        <f t="shared" si="79"/>
        <v>1123298338.8899994</v>
      </c>
      <c r="Z28" s="26">
        <f t="shared" si="79"/>
        <v>0</v>
      </c>
      <c r="AA28" s="26">
        <f t="shared" si="79"/>
        <v>0</v>
      </c>
      <c r="AB28" s="26">
        <f t="shared" si="79"/>
        <v>0</v>
      </c>
      <c r="AC28" s="26">
        <f t="shared" si="79"/>
        <v>-127200000</v>
      </c>
      <c r="AD28" s="26">
        <f t="shared" si="79"/>
        <v>0</v>
      </c>
      <c r="AE28" s="26">
        <f t="shared" si="79"/>
        <v>0</v>
      </c>
      <c r="AF28" s="26">
        <f t="shared" si="79"/>
        <v>0</v>
      </c>
      <c r="AG28" s="26">
        <f t="shared" si="79"/>
        <v>-12699593.380000001</v>
      </c>
      <c r="AH28" s="26">
        <f t="shared" si="79"/>
        <v>0</v>
      </c>
      <c r="AI28" s="26">
        <f t="shared" si="79"/>
        <v>0</v>
      </c>
      <c r="AJ28" s="26">
        <f t="shared" si="79"/>
        <v>0</v>
      </c>
      <c r="AK28" s="26">
        <f t="shared" si="79"/>
        <v>-14408527.57</v>
      </c>
      <c r="AL28" s="26">
        <f t="shared" si="79"/>
        <v>0</v>
      </c>
      <c r="AM28" s="26">
        <f t="shared" si="79"/>
        <v>0</v>
      </c>
      <c r="AN28" s="26">
        <f t="shared" si="79"/>
        <v>0</v>
      </c>
      <c r="AO28" s="26">
        <f t="shared" si="79"/>
        <v>0</v>
      </c>
      <c r="AP28" s="26">
        <f t="shared" si="79"/>
        <v>0</v>
      </c>
      <c r="AQ28" s="26">
        <f t="shared" si="79"/>
        <v>0</v>
      </c>
      <c r="AR28" s="26">
        <f t="shared" si="79"/>
        <v>0</v>
      </c>
      <c r="AS28" s="26">
        <f t="shared" si="79"/>
        <v>-233959145.30000001</v>
      </c>
      <c r="AT28" s="26">
        <f t="shared" si="79"/>
        <v>-115116202.63</v>
      </c>
      <c r="AU28" s="26">
        <f t="shared" si="79"/>
        <v>10808200</v>
      </c>
      <c r="AV28" s="26">
        <f t="shared" si="79"/>
        <v>0</v>
      </c>
      <c r="AW28" s="26">
        <f t="shared" si="79"/>
        <v>55126922.659999996</v>
      </c>
      <c r="AX28" s="26">
        <f t="shared" si="79"/>
        <v>80428636.599999994</v>
      </c>
      <c r="AY28" s="26">
        <f t="shared" si="79"/>
        <v>123274136.59999999</v>
      </c>
      <c r="AZ28" s="26">
        <f t="shared" si="79"/>
        <v>0</v>
      </c>
      <c r="BA28" s="26">
        <f t="shared" si="79"/>
        <v>32326852.66</v>
      </c>
      <c r="BB28" s="26">
        <f t="shared" si="79"/>
        <v>31976852.66</v>
      </c>
      <c r="BC28" s="26">
        <f t="shared" si="79"/>
        <v>32996852.66</v>
      </c>
      <c r="BD28" s="26">
        <f t="shared" si="79"/>
        <v>32996852.66</v>
      </c>
      <c r="BE28" s="26">
        <f t="shared" si="79"/>
        <v>60666500</v>
      </c>
      <c r="BF28" s="26">
        <f t="shared" si="79"/>
        <v>54655000</v>
      </c>
      <c r="BG28" s="26">
        <f t="shared" si="79"/>
        <v>60890000</v>
      </c>
      <c r="BH28" s="26">
        <f t="shared" si="79"/>
        <v>30000000</v>
      </c>
      <c r="BI28" s="26">
        <f t="shared" si="79"/>
        <v>-6345266.8399999999</v>
      </c>
      <c r="BJ28" s="26">
        <f t="shared" si="79"/>
        <v>6257862.7799999993</v>
      </c>
      <c r="BK28" s="26">
        <f t="shared" si="79"/>
        <v>544014.89999999991</v>
      </c>
      <c r="BL28" s="26">
        <f t="shared" si="79"/>
        <v>0</v>
      </c>
      <c r="BM28" s="26">
        <f t="shared" si="79"/>
        <v>-3000000</v>
      </c>
      <c r="BN28" s="26">
        <f t="shared" si="79"/>
        <v>-3000000</v>
      </c>
      <c r="BO28" s="26">
        <f t="shared" si="79"/>
        <v>-7848722.0899999999</v>
      </c>
      <c r="BP28" s="26">
        <f t="shared" si="79"/>
        <v>0</v>
      </c>
      <c r="BQ28" s="26">
        <f t="shared" si="79"/>
        <v>61686465.330000006</v>
      </c>
      <c r="BR28" s="26">
        <f t="shared" ref="BR28:BV28" si="80">BR27-BR26</f>
        <v>30979648.039999999</v>
      </c>
      <c r="BS28" s="26">
        <f t="shared" si="80"/>
        <v>5118880.78</v>
      </c>
      <c r="BT28" s="26">
        <f t="shared" si="80"/>
        <v>29117600</v>
      </c>
      <c r="BU28" s="26">
        <f t="shared" si="80"/>
        <v>50963785</v>
      </c>
      <c r="BV28" s="26">
        <f t="shared" si="80"/>
        <v>0</v>
      </c>
    </row>
    <row r="29" spans="1:74" s="26" customFormat="1" ht="16.2" customHeight="1" x14ac:dyDescent="0.25">
      <c r="A29" s="180" t="s">
        <v>634</v>
      </c>
      <c r="E29" s="181">
        <f>POWER(E28/U28,1/5)-1</f>
        <v>0.48262470058156248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1836953350.6900001</v>
      </c>
      <c r="C31" s="189">
        <v>1810991194.52</v>
      </c>
      <c r="D31" s="189">
        <v>1791846719.48</v>
      </c>
      <c r="E31" s="189">
        <v>1773447213.4000001</v>
      </c>
      <c r="F31" s="189">
        <v>1686281497.9100001</v>
      </c>
      <c r="G31" s="189">
        <v>1650028568.1099999</v>
      </c>
      <c r="H31" s="189">
        <v>1643943768.2</v>
      </c>
      <c r="I31" s="189">
        <v>1558120213.7</v>
      </c>
      <c r="J31" s="189">
        <v>1574465096.8299999</v>
      </c>
      <c r="K31" s="189">
        <v>1575299880.21</v>
      </c>
      <c r="L31" s="189">
        <v>1592938527.1300001</v>
      </c>
      <c r="M31" s="189">
        <v>1575175654.3199999</v>
      </c>
      <c r="N31" s="189">
        <v>1549526111.99</v>
      </c>
      <c r="O31" s="189">
        <v>1547480231.3199999</v>
      </c>
      <c r="P31" s="189">
        <v>1582997070.1900001</v>
      </c>
      <c r="Q31" s="189">
        <v>1581954599.97</v>
      </c>
      <c r="R31" s="189">
        <v>1612149853.77</v>
      </c>
      <c r="S31" s="189">
        <v>1587893440.73</v>
      </c>
      <c r="T31" s="189">
        <v>1611539647.27</v>
      </c>
      <c r="U31" s="189">
        <v>1606187368.1199999</v>
      </c>
      <c r="V31" s="189">
        <v>1611580862.4100001</v>
      </c>
      <c r="W31" s="189">
        <v>1601140603.98</v>
      </c>
      <c r="X31" s="189">
        <v>1644797948.6300001</v>
      </c>
      <c r="Y31" s="189">
        <v>1745083778.01</v>
      </c>
      <c r="Z31" s="189">
        <v>1784498835.9000001</v>
      </c>
      <c r="AA31" s="189">
        <v>1787869626.99</v>
      </c>
      <c r="AB31" s="189">
        <v>1812219778.54</v>
      </c>
      <c r="AC31" s="189">
        <v>1851075979.3199999</v>
      </c>
      <c r="AD31" s="189">
        <v>1810925655.1400001</v>
      </c>
      <c r="AE31" s="189">
        <v>1908506791.9300001</v>
      </c>
      <c r="AF31" s="189">
        <v>1857281886.05</v>
      </c>
      <c r="AG31" s="189">
        <v>1758730046.4300001</v>
      </c>
      <c r="AH31" s="189">
        <v>1062371865.78</v>
      </c>
      <c r="AI31" s="189">
        <v>1042718715.71</v>
      </c>
      <c r="AJ31" s="189">
        <v>1021903484.41</v>
      </c>
      <c r="AK31" s="189">
        <v>997698202.09000003</v>
      </c>
      <c r="AL31" s="189">
        <v>976550258.20000005</v>
      </c>
      <c r="AM31" s="189">
        <v>887380384.08000004</v>
      </c>
      <c r="AN31" s="189">
        <v>958920430.42999995</v>
      </c>
      <c r="AO31" s="189">
        <v>1015770759.4</v>
      </c>
      <c r="AP31" s="189">
        <v>1109432943.9400001</v>
      </c>
      <c r="AQ31" s="189">
        <v>1138297762.47</v>
      </c>
      <c r="AR31" s="189">
        <v>1143844784.9400001</v>
      </c>
      <c r="AS31" s="189">
        <v>1144922115.1099999</v>
      </c>
      <c r="AT31" s="189">
        <v>1176648617.8199999</v>
      </c>
      <c r="AU31" s="189">
        <v>1100515768.74</v>
      </c>
      <c r="AV31" s="189">
        <v>1182521439.48</v>
      </c>
      <c r="AW31" s="189">
        <v>1158292663.9300001</v>
      </c>
      <c r="AX31" s="189">
        <v>1225582391.05</v>
      </c>
      <c r="AY31" s="189">
        <v>1059988120.22</v>
      </c>
      <c r="AZ31" s="189">
        <v>945454823.67999995</v>
      </c>
      <c r="BA31" s="189">
        <v>953782480.66999996</v>
      </c>
      <c r="BB31" s="189">
        <v>1017626309.47</v>
      </c>
      <c r="BC31" s="189">
        <v>1024816659.09</v>
      </c>
      <c r="BD31" s="189">
        <v>1027024215.91</v>
      </c>
      <c r="BE31" s="189">
        <v>992241526.47000003</v>
      </c>
      <c r="BF31" s="189">
        <v>962494452.22000003</v>
      </c>
      <c r="BG31" s="189">
        <v>986941801.27999997</v>
      </c>
      <c r="BH31" s="189">
        <v>1005897524.88</v>
      </c>
      <c r="BI31" s="189">
        <v>993972856.73000002</v>
      </c>
      <c r="BJ31" s="189">
        <v>825865641.13</v>
      </c>
      <c r="BK31" s="189">
        <v>816270896.63999999</v>
      </c>
      <c r="BL31" s="189">
        <v>0</v>
      </c>
      <c r="BM31" s="189">
        <v>1013148133.48</v>
      </c>
      <c r="BN31" s="189">
        <v>1057000381.14</v>
      </c>
      <c r="BO31" s="189">
        <v>1030127290.25</v>
      </c>
      <c r="BP31" s="189">
        <v>1048339198.6</v>
      </c>
      <c r="BQ31" s="189">
        <v>1030162896.24</v>
      </c>
      <c r="BR31" s="189">
        <v>1019647183.3200001</v>
      </c>
      <c r="BS31" s="189">
        <v>1009325422.1799999</v>
      </c>
      <c r="BT31" s="189">
        <v>928782573.26999998</v>
      </c>
      <c r="BU31" s="189">
        <v>925104369.62</v>
      </c>
      <c r="BV31" s="189">
        <v>1052544854.59</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200000</v>
      </c>
      <c r="C33" s="189">
        <v>200000</v>
      </c>
      <c r="D33" s="189">
        <v>200000</v>
      </c>
      <c r="E33" s="189">
        <v>200000</v>
      </c>
      <c r="F33" s="189">
        <v>200000</v>
      </c>
      <c r="G33" s="189">
        <v>200000</v>
      </c>
      <c r="H33" s="189">
        <v>200000</v>
      </c>
      <c r="I33" s="189">
        <v>200000</v>
      </c>
      <c r="J33" s="189">
        <v>200000</v>
      </c>
      <c r="K33" s="189">
        <v>200000</v>
      </c>
      <c r="L33" s="189">
        <v>200000</v>
      </c>
      <c r="M33" s="189">
        <v>200000</v>
      </c>
      <c r="N33" s="189">
        <v>200000</v>
      </c>
      <c r="O33" s="189">
        <v>200000</v>
      </c>
      <c r="P33" s="189">
        <v>200000</v>
      </c>
      <c r="Q33" s="189">
        <v>200000</v>
      </c>
      <c r="R33" s="189">
        <v>501056</v>
      </c>
      <c r="S33" s="189">
        <v>251664</v>
      </c>
      <c r="T33" s="189">
        <v>270480</v>
      </c>
      <c r="U33" s="189">
        <v>312816</v>
      </c>
      <c r="V33" s="189">
        <v>301056</v>
      </c>
      <c r="W33" s="189">
        <v>242256</v>
      </c>
      <c r="X33" s="189">
        <v>348096</v>
      </c>
      <c r="Y33" s="189">
        <v>286944</v>
      </c>
      <c r="Z33" s="189">
        <v>176400</v>
      </c>
      <c r="AA33" s="189">
        <v>228144</v>
      </c>
      <c r="AB33" s="189">
        <v>263424</v>
      </c>
      <c r="AC33" s="189">
        <v>284592</v>
      </c>
      <c r="AD33" s="189">
        <v>258720</v>
      </c>
      <c r="AE33" s="189">
        <v>322224</v>
      </c>
      <c r="AF33" s="189">
        <v>350448</v>
      </c>
      <c r="AG33" s="189">
        <v>312816</v>
      </c>
      <c r="AH33" s="189">
        <v>324576</v>
      </c>
      <c r="AI33" s="189">
        <v>315168</v>
      </c>
      <c r="AJ33" s="189">
        <v>425712</v>
      </c>
      <c r="AK33" s="189">
        <v>312816</v>
      </c>
      <c r="AL33" s="189">
        <v>279888</v>
      </c>
      <c r="AM33" s="189">
        <v>12179282</v>
      </c>
      <c r="AN33" s="189">
        <v>9685386</v>
      </c>
      <c r="AO33" s="189">
        <v>7045326</v>
      </c>
      <c r="AP33" s="189">
        <v>8891976</v>
      </c>
      <c r="AQ33" s="189">
        <v>11128485</v>
      </c>
      <c r="AR33" s="189">
        <v>14495237</v>
      </c>
      <c r="AS33" s="189">
        <v>22474658</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1773247213.4000001</v>
      </c>
      <c r="F34" s="49">
        <f t="shared" ref="F34:BP34" si="81">F31-F32-F33</f>
        <v>1686081497.9100001</v>
      </c>
      <c r="G34" s="49">
        <f t="shared" si="81"/>
        <v>1649828568.1099999</v>
      </c>
      <c r="H34" s="49">
        <f t="shared" si="81"/>
        <v>1643743768.2</v>
      </c>
      <c r="I34" s="49">
        <f t="shared" si="81"/>
        <v>1557920213.7</v>
      </c>
      <c r="J34" s="49">
        <f t="shared" si="81"/>
        <v>1574265096.8299999</v>
      </c>
      <c r="K34" s="49">
        <f t="shared" si="81"/>
        <v>1575099880.21</v>
      </c>
      <c r="L34" s="49">
        <f t="shared" si="81"/>
        <v>1592738527.1300001</v>
      </c>
      <c r="M34" s="49">
        <f t="shared" si="81"/>
        <v>1574975654.3199999</v>
      </c>
      <c r="N34" s="49">
        <f t="shared" si="81"/>
        <v>1549326111.99</v>
      </c>
      <c r="O34" s="49">
        <f t="shared" si="81"/>
        <v>1547280231.3199999</v>
      </c>
      <c r="P34" s="49">
        <f t="shared" si="81"/>
        <v>1582797070.1900001</v>
      </c>
      <c r="Q34" s="49">
        <f t="shared" si="81"/>
        <v>1581754599.97</v>
      </c>
      <c r="R34" s="49">
        <f t="shared" si="81"/>
        <v>1611648797.77</v>
      </c>
      <c r="S34" s="49">
        <f t="shared" si="81"/>
        <v>1587641776.73</v>
      </c>
      <c r="T34" s="49">
        <f t="shared" si="81"/>
        <v>1611269167.27</v>
      </c>
      <c r="U34" s="49">
        <f t="shared" si="81"/>
        <v>1605874552.1199999</v>
      </c>
      <c r="V34" s="49">
        <f t="shared" si="81"/>
        <v>1611279806.4100001</v>
      </c>
      <c r="W34" s="49">
        <f t="shared" si="81"/>
        <v>1600898347.98</v>
      </c>
      <c r="X34" s="49">
        <f t="shared" si="81"/>
        <v>1644449852.6300001</v>
      </c>
      <c r="Y34" s="49">
        <f t="shared" si="81"/>
        <v>1744796834.01</v>
      </c>
      <c r="Z34" s="49">
        <f t="shared" si="81"/>
        <v>1784322435.9000001</v>
      </c>
      <c r="AA34" s="49">
        <f t="shared" si="81"/>
        <v>1787641482.99</v>
      </c>
      <c r="AB34" s="49">
        <f t="shared" si="81"/>
        <v>1811956354.54</v>
      </c>
      <c r="AC34" s="49">
        <f t="shared" si="81"/>
        <v>1850791387.3199999</v>
      </c>
      <c r="AD34" s="49">
        <f t="shared" si="81"/>
        <v>1810666935.1400001</v>
      </c>
      <c r="AE34" s="49">
        <f t="shared" si="81"/>
        <v>1908184567.9300001</v>
      </c>
      <c r="AF34" s="49">
        <f t="shared" si="81"/>
        <v>1856931438.05</v>
      </c>
      <c r="AG34" s="49">
        <f t="shared" si="81"/>
        <v>1758417230.4300001</v>
      </c>
      <c r="AH34" s="49">
        <f t="shared" si="81"/>
        <v>1062047289.78</v>
      </c>
      <c r="AI34" s="49">
        <f t="shared" si="81"/>
        <v>1042403547.71</v>
      </c>
      <c r="AJ34" s="49">
        <f t="shared" si="81"/>
        <v>1021477772.41</v>
      </c>
      <c r="AK34" s="49">
        <f t="shared" si="81"/>
        <v>997385386.09000003</v>
      </c>
      <c r="AL34" s="49">
        <f t="shared" si="81"/>
        <v>976270370.20000005</v>
      </c>
      <c r="AM34" s="49">
        <f t="shared" si="81"/>
        <v>875201102.08000004</v>
      </c>
      <c r="AN34" s="49">
        <f t="shared" si="81"/>
        <v>949235044.42999995</v>
      </c>
      <c r="AO34" s="49">
        <f t="shared" si="81"/>
        <v>1008725433.4</v>
      </c>
      <c r="AP34" s="49">
        <f t="shared" si="81"/>
        <v>1100540967.9400001</v>
      </c>
      <c r="AQ34" s="49">
        <f t="shared" si="81"/>
        <v>1127169277.47</v>
      </c>
      <c r="AR34" s="49">
        <f t="shared" si="81"/>
        <v>1129349547.9400001</v>
      </c>
      <c r="AS34" s="49">
        <f t="shared" si="81"/>
        <v>1122447457.1099999</v>
      </c>
      <c r="AT34" s="49">
        <f t="shared" si="81"/>
        <v>1176648617.8199999</v>
      </c>
      <c r="AU34" s="49">
        <f t="shared" si="81"/>
        <v>1100515768.74</v>
      </c>
      <c r="AV34" s="49">
        <f t="shared" si="81"/>
        <v>1182521439.48</v>
      </c>
      <c r="AW34" s="49">
        <f t="shared" si="81"/>
        <v>1158292663.9300001</v>
      </c>
      <c r="AX34" s="49">
        <f t="shared" si="81"/>
        <v>1225582391.05</v>
      </c>
      <c r="AY34" s="49">
        <f t="shared" si="81"/>
        <v>1059988120.22</v>
      </c>
      <c r="AZ34" s="49">
        <f t="shared" si="81"/>
        <v>945454823.67999995</v>
      </c>
      <c r="BA34" s="49">
        <f t="shared" si="81"/>
        <v>953782480.66999996</v>
      </c>
      <c r="BB34" s="49">
        <f t="shared" si="81"/>
        <v>1017626309.47</v>
      </c>
      <c r="BC34" s="49">
        <f t="shared" si="81"/>
        <v>1024816659.09</v>
      </c>
      <c r="BD34" s="49">
        <f t="shared" si="81"/>
        <v>1027024215.91</v>
      </c>
      <c r="BE34" s="49">
        <f t="shared" si="81"/>
        <v>992241526.47000003</v>
      </c>
      <c r="BF34" s="49">
        <f t="shared" si="81"/>
        <v>962494452.22000003</v>
      </c>
      <c r="BG34" s="49">
        <f t="shared" si="81"/>
        <v>986941801.27999997</v>
      </c>
      <c r="BH34" s="49">
        <f t="shared" si="81"/>
        <v>1005897524.88</v>
      </c>
      <c r="BI34" s="49">
        <f t="shared" si="81"/>
        <v>993972856.73000002</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1100540967.9400001</v>
      </c>
      <c r="BR34" s="49">
        <f>AQ31-AQ32-AQ33</f>
        <v>1127169277.47</v>
      </c>
      <c r="BS34" s="49">
        <f>AR31-AR32-AR33</f>
        <v>1129349547.9400001</v>
      </c>
      <c r="BT34" s="49"/>
      <c r="BU34" s="50"/>
    </row>
    <row r="35" spans="1:74" s="106" customFormat="1" ht="15" thickBot="1" x14ac:dyDescent="0.3">
      <c r="A35" s="139" t="s">
        <v>317</v>
      </c>
      <c r="B35" s="33">
        <f>SUM(B22:B31)</f>
        <v>1101708704.4400001</v>
      </c>
      <c r="C35" s="33">
        <f>SUM(C22:C31)</f>
        <v>1084981642.1100001</v>
      </c>
      <c r="D35" s="33">
        <f>SUM(D22:D31)</f>
        <v>1701220504.1600001</v>
      </c>
      <c r="E35" s="33">
        <f>资产资本表!E17</f>
        <v>1716374487.0599999</v>
      </c>
      <c r="F35" s="33">
        <f>资产资本表!F17</f>
        <v>3216372375.4299998</v>
      </c>
      <c r="G35" s="33">
        <f>资产资本表!G17</f>
        <v>3547322430.7200003</v>
      </c>
      <c r="H35" s="33">
        <f>资产资本表!H17</f>
        <v>4277053370.46</v>
      </c>
      <c r="I35" s="33">
        <f>资产资本表!I17</f>
        <v>4363887921.4300003</v>
      </c>
      <c r="J35" s="33">
        <f>资产资本表!J17</f>
        <v>2160491687.1300001</v>
      </c>
      <c r="K35" s="33">
        <f>资产资本表!K17</f>
        <v>2150149988.2800002</v>
      </c>
      <c r="L35" s="33">
        <f>资产资本表!L17</f>
        <v>2385271932.0399995</v>
      </c>
      <c r="M35" s="33">
        <f>资产资本表!M17</f>
        <v>3134819575.0699997</v>
      </c>
      <c r="N35" s="33">
        <f>资产资本表!N17</f>
        <v>4132651530.9299998</v>
      </c>
      <c r="O35" s="33">
        <f>资产资本表!O17</f>
        <v>2888282944.3000002</v>
      </c>
      <c r="P35" s="33">
        <f>资产资本表!P17</f>
        <v>2236587173.48</v>
      </c>
      <c r="Q35" s="33">
        <f>资产资本表!Q17</f>
        <v>3133593041.48</v>
      </c>
      <c r="R35" s="33">
        <f>资产资本表!R17</f>
        <v>2391619447.2599998</v>
      </c>
      <c r="S35" s="33">
        <f>资产资本表!S17</f>
        <v>2175995351.23</v>
      </c>
      <c r="T35" s="33">
        <f>资产资本表!T17</f>
        <v>1680750281.25</v>
      </c>
      <c r="U35" s="33">
        <f>资产资本表!U17</f>
        <v>1642169421.5999999</v>
      </c>
      <c r="V35" s="33">
        <f>资产资本表!V17</f>
        <v>1490558425.47</v>
      </c>
      <c r="W35" s="33">
        <f>资产资本表!W17</f>
        <v>1562020929.05</v>
      </c>
      <c r="X35" s="33">
        <f>资产资本表!X17</f>
        <v>1428021705.3800001</v>
      </c>
      <c r="Y35" s="33">
        <f>资产资本表!Y17</f>
        <v>1410852129.3800001</v>
      </c>
      <c r="Z35" s="33">
        <f>资产资本表!Z17</f>
        <v>2837657323.9299998</v>
      </c>
      <c r="AA35" s="33">
        <f>资产资本表!AA17</f>
        <v>3126324032.8800001</v>
      </c>
      <c r="AB35" s="33">
        <f>资产资本表!AB17</f>
        <v>2327841653.0799999</v>
      </c>
      <c r="AC35" s="33">
        <f>资产资本表!AC17</f>
        <v>2425270190.7199998</v>
      </c>
      <c r="AD35" s="33">
        <f>资产资本表!AD17</f>
        <v>2987907818.6100001</v>
      </c>
      <c r="AE35" s="33">
        <f>资产资本表!AE17</f>
        <v>1699642180.29</v>
      </c>
      <c r="AF35" s="33">
        <f>资产资本表!AF17</f>
        <v>1553559240.3299999</v>
      </c>
      <c r="AG35" s="33">
        <f>资产资本表!AG17</f>
        <v>2223903909.7200003</v>
      </c>
      <c r="AH35" s="33">
        <f>资产资本表!AH17</f>
        <v>1787122883.78</v>
      </c>
      <c r="AI35" s="33">
        <f>资产资本表!AI17</f>
        <v>1296161428.4000001</v>
      </c>
      <c r="AJ35" s="33">
        <f>资产资本表!AJ17</f>
        <v>456759416.60000002</v>
      </c>
      <c r="AK35" s="33">
        <f>资产资本表!AK17</f>
        <v>852761786.80999994</v>
      </c>
      <c r="AL35" s="33">
        <f>资产资本表!AL17</f>
        <v>1000109782.36</v>
      </c>
      <c r="AM35" s="33">
        <f>资产资本表!AM17</f>
        <v>762706399.98000002</v>
      </c>
      <c r="AN35" s="33">
        <f>资产资本表!AN17</f>
        <v>649268873.91999996</v>
      </c>
      <c r="AO35" s="33">
        <f>资产资本表!AO17</f>
        <v>657316721.96000004</v>
      </c>
      <c r="AP35" s="33">
        <f>资产资本表!AP17</f>
        <v>568427487.20000005</v>
      </c>
      <c r="AQ35" s="33">
        <f>资产资本表!AQ17</f>
        <v>817795470.32999992</v>
      </c>
      <c r="AR35" s="33">
        <f>资产资本表!AR17</f>
        <v>780711132.46000004</v>
      </c>
      <c r="AS35" s="33">
        <f>资产资本表!AS17</f>
        <v>962092731.79999995</v>
      </c>
      <c r="AT35" s="33">
        <f>资产资本表!AT17</f>
        <v>917953360.34000003</v>
      </c>
      <c r="AU35" s="33">
        <f>资产资本表!AU17</f>
        <v>627990913.44000006</v>
      </c>
      <c r="AV35" s="33">
        <f>资产资本表!AV17</f>
        <v>506634140.81999999</v>
      </c>
      <c r="AW35" s="33">
        <f>资产资本表!AW17</f>
        <v>723390307.28999996</v>
      </c>
      <c r="AX35" s="33">
        <f>资产资本表!AX17</f>
        <v>728951387.90999997</v>
      </c>
      <c r="AY35" s="33">
        <f>资产资本表!AY17</f>
        <v>867488924.61000001</v>
      </c>
      <c r="AZ35" s="33">
        <f>资产资本表!AZ17</f>
        <v>897097398.87</v>
      </c>
      <c r="BA35" s="33">
        <f>资产资本表!BA17</f>
        <v>882627720.63</v>
      </c>
      <c r="BB35" s="33">
        <f>资产资本表!BB17</f>
        <v>612399434.42999995</v>
      </c>
      <c r="BC35" s="33">
        <f>资产资本表!BC17</f>
        <v>558867662.02999997</v>
      </c>
      <c r="BD35" s="33">
        <f>资产资本表!BD17</f>
        <v>755254548.26999998</v>
      </c>
      <c r="BE35" s="33">
        <f>资产资本表!BE17</f>
        <v>859765858.58000004</v>
      </c>
      <c r="BF35" s="33">
        <f>资产资本表!BF17</f>
        <v>679024133.63999999</v>
      </c>
      <c r="BG35" s="33">
        <f>资产资本表!BG17</f>
        <v>873989137.36000001</v>
      </c>
      <c r="BH35" s="33">
        <f>资产资本表!BH17</f>
        <v>883034753.75</v>
      </c>
      <c r="BI35" s="33">
        <f>资产资本表!BI17</f>
        <v>944988552.32000005</v>
      </c>
      <c r="BJ35" s="33">
        <f>资产资本表!BJ17</f>
        <v>733461104.13000011</v>
      </c>
      <c r="BK35" s="33">
        <f>资产资本表!BK17</f>
        <v>738675563.97000003</v>
      </c>
      <c r="BL35" s="33">
        <f>资产资本表!BL17</f>
        <v>0</v>
      </c>
      <c r="BM35" s="33">
        <f>资产资本表!BM17</f>
        <v>684570788.87</v>
      </c>
      <c r="BN35" s="33">
        <f>资产资本表!BN17</f>
        <v>660989962.95000005</v>
      </c>
      <c r="BO35" s="33">
        <f>资产资本表!BO17</f>
        <v>716546758.66999996</v>
      </c>
      <c r="BP35" s="33">
        <f>资产资本表!BP17</f>
        <v>615148472.08000004</v>
      </c>
      <c r="BQ35" s="33">
        <f>资产资本表!BQ17</f>
        <v>599871821.51999998</v>
      </c>
      <c r="BR35" s="33">
        <f>资产资本表!BR17</f>
        <v>694886922.25999999</v>
      </c>
      <c r="BS35" s="33">
        <f>资产资本表!BS17</f>
        <v>688880036.44000006</v>
      </c>
      <c r="BT35" s="33">
        <f>资产资本表!BT17</f>
        <v>1096543021.74</v>
      </c>
      <c r="BU35" s="33">
        <f>资产资本表!BU17</f>
        <v>656804743.50999999</v>
      </c>
      <c r="BV35" s="33">
        <f>资产资本表!BV17</f>
        <v>659017600.60000002</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314">
        <v>5476557.5999999996</v>
      </c>
      <c r="BB40" s="189">
        <v>7399903.46</v>
      </c>
      <c r="BC40" s="189">
        <v>7399903.8600000003</v>
      </c>
      <c r="BD40" s="189">
        <v>0</v>
      </c>
      <c r="BE40" s="189">
        <v>0</v>
      </c>
      <c r="BF40" s="189">
        <v>0</v>
      </c>
      <c r="BG40" s="189">
        <v>0</v>
      </c>
      <c r="BH40" s="189">
        <v>0</v>
      </c>
      <c r="BI40" s="189">
        <v>7300533.5999999996</v>
      </c>
      <c r="BJ40" s="189">
        <v>0</v>
      </c>
      <c r="BK40" s="189">
        <v>0</v>
      </c>
      <c r="BL40" s="189">
        <v>0</v>
      </c>
      <c r="BM40" s="189">
        <v>0</v>
      </c>
      <c r="BN40" s="189">
        <v>0</v>
      </c>
      <c r="BO40" s="189">
        <v>0</v>
      </c>
      <c r="BP40" s="189">
        <v>0</v>
      </c>
      <c r="BQ40" s="189">
        <v>456000</v>
      </c>
      <c r="BR40" s="189">
        <v>0</v>
      </c>
      <c r="BS40" s="189">
        <v>23895989.850000001</v>
      </c>
      <c r="BT40" s="189">
        <v>14332870.529999999</v>
      </c>
      <c r="BU40" s="189">
        <v>4968310.9800000004</v>
      </c>
      <c r="BV40" s="189">
        <v>0</v>
      </c>
    </row>
    <row r="41" spans="1:74" s="53" customFormat="1" ht="21.75" customHeight="1" x14ac:dyDescent="0.25">
      <c r="A41" s="140" t="s">
        <v>635</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4" s="26" customFormat="1" x14ac:dyDescent="0.25">
      <c r="A42" s="17" t="s">
        <v>322</v>
      </c>
      <c r="E42" s="26">
        <f>E40-E41</f>
        <v>-474365823</v>
      </c>
      <c r="F42" s="26">
        <f t="shared" ref="F42:Y42" si="82">F40-F41</f>
        <v>0</v>
      </c>
      <c r="G42" s="26">
        <f t="shared" si="82"/>
        <v>0</v>
      </c>
      <c r="H42" s="26">
        <f t="shared" si="82"/>
        <v>0</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5476557.5999999996</v>
      </c>
      <c r="BB42" s="26">
        <f t="shared" si="83"/>
        <v>7399903.46</v>
      </c>
      <c r="BC42" s="26">
        <f t="shared" si="83"/>
        <v>7399903.8600000003</v>
      </c>
      <c r="BD42" s="26">
        <f t="shared" si="83"/>
        <v>0</v>
      </c>
      <c r="BE42" s="26">
        <f t="shared" si="83"/>
        <v>0</v>
      </c>
      <c r="BF42" s="26">
        <f t="shared" si="83"/>
        <v>0</v>
      </c>
      <c r="BG42" s="26">
        <f t="shared" si="83"/>
        <v>0</v>
      </c>
      <c r="BH42" s="26">
        <f t="shared" si="83"/>
        <v>0</v>
      </c>
      <c r="BI42" s="26">
        <f t="shared" si="83"/>
        <v>7300533.5999999996</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1" t="s">
        <v>321</v>
      </c>
    </row>
    <row r="44" spans="1:74" s="192" customFormat="1" x14ac:dyDescent="0.25">
      <c r="A44" s="192" t="s">
        <v>324</v>
      </c>
      <c r="B44" s="192">
        <v>0</v>
      </c>
      <c r="C44" s="192">
        <v>0</v>
      </c>
      <c r="D44" s="192">
        <v>0</v>
      </c>
      <c r="E44" s="192">
        <v>680166782.34000003</v>
      </c>
      <c r="F44" s="192">
        <v>429950000</v>
      </c>
      <c r="G44" s="192">
        <v>170000000</v>
      </c>
      <c r="H44" s="192">
        <v>0</v>
      </c>
      <c r="I44" s="192">
        <v>183813064.12</v>
      </c>
      <c r="J44" s="192">
        <v>0</v>
      </c>
      <c r="K44" s="192">
        <v>0</v>
      </c>
      <c r="L44" s="192">
        <v>0</v>
      </c>
      <c r="M44" s="192">
        <v>215915154.66</v>
      </c>
      <c r="N44" s="192">
        <v>214745075.97999999</v>
      </c>
      <c r="O44" s="192">
        <v>114978442.79000001</v>
      </c>
      <c r="P44" s="192">
        <v>116148521.47</v>
      </c>
      <c r="Q44" s="192">
        <v>100360740</v>
      </c>
      <c r="R44" s="192">
        <v>100360740</v>
      </c>
      <c r="S44" s="192">
        <v>50117340</v>
      </c>
      <c r="T44" s="192">
        <v>0</v>
      </c>
      <c r="U44" s="192">
        <v>0</v>
      </c>
      <c r="V44" s="192">
        <v>0</v>
      </c>
      <c r="W44" s="192">
        <v>0</v>
      </c>
      <c r="X44" s="192">
        <v>0</v>
      </c>
      <c r="Y44" s="192">
        <v>0</v>
      </c>
      <c r="Z44" s="192">
        <v>0</v>
      </c>
      <c r="AA44" s="192">
        <v>0</v>
      </c>
      <c r="AB44" s="192">
        <v>0</v>
      </c>
      <c r="AC44" s="192">
        <v>83597256.840000004</v>
      </c>
      <c r="AD44" s="192">
        <v>76635770.480000004</v>
      </c>
      <c r="AE44" s="192">
        <v>76635770.480000004</v>
      </c>
      <c r="AF44" s="192">
        <v>76635770.480000004</v>
      </c>
      <c r="AG44" s="192">
        <v>9039354.8800000008</v>
      </c>
      <c r="AH44" s="192">
        <v>0</v>
      </c>
      <c r="AI44" s="192">
        <v>0</v>
      </c>
      <c r="AJ44" s="192">
        <v>0</v>
      </c>
      <c r="AK44" s="192">
        <v>23900000</v>
      </c>
      <c r="AL44" s="192">
        <v>23900000</v>
      </c>
      <c r="AM44" s="192">
        <v>23900000</v>
      </c>
      <c r="AN44" s="192">
        <v>18900000</v>
      </c>
      <c r="AO44" s="192">
        <v>196910000</v>
      </c>
      <c r="AP44" s="192">
        <v>182900000</v>
      </c>
      <c r="AQ44" s="192">
        <v>182900000</v>
      </c>
      <c r="AR44" s="192">
        <v>133000000</v>
      </c>
      <c r="AS44" s="192">
        <v>410000000</v>
      </c>
      <c r="AT44" s="192">
        <v>372000000</v>
      </c>
      <c r="AU44" s="192">
        <v>215928554.94999999</v>
      </c>
      <c r="AV44" s="192">
        <v>108500000</v>
      </c>
      <c r="AW44" s="192">
        <v>899500000</v>
      </c>
      <c r="AX44" s="192">
        <v>801500000</v>
      </c>
      <c r="AY44" s="192">
        <v>521000000</v>
      </c>
      <c r="AZ44" s="192">
        <v>290500000</v>
      </c>
      <c r="BA44" s="192">
        <v>986034970</v>
      </c>
      <c r="BB44" s="192">
        <v>907749575</v>
      </c>
      <c r="BC44" s="192">
        <v>401582014.5</v>
      </c>
      <c r="BD44" s="192">
        <v>259250000</v>
      </c>
      <c r="BE44" s="192">
        <v>912290000</v>
      </c>
      <c r="BF44" s="192">
        <v>922140000</v>
      </c>
      <c r="BG44" s="192">
        <v>534170000</v>
      </c>
      <c r="BH44" s="192">
        <v>228560000</v>
      </c>
      <c r="BI44" s="192">
        <v>793990000</v>
      </c>
      <c r="BJ44" s="192">
        <v>575490000</v>
      </c>
      <c r="BK44" s="192">
        <v>305090000</v>
      </c>
      <c r="BL44" s="192">
        <v>0</v>
      </c>
      <c r="BM44" s="192">
        <v>858290000</v>
      </c>
      <c r="BN44" s="192">
        <v>571200000</v>
      </c>
      <c r="BO44" s="192">
        <v>629200000</v>
      </c>
      <c r="BP44" s="192">
        <v>620680000</v>
      </c>
      <c r="BQ44" s="192">
        <v>1279400000</v>
      </c>
      <c r="BR44" s="192">
        <v>835150318.66999996</v>
      </c>
      <c r="BS44" s="192">
        <v>1840550000</v>
      </c>
      <c r="BT44" s="192">
        <v>2048145699</v>
      </c>
      <c r="BU44" s="192">
        <v>521350000</v>
      </c>
      <c r="BV44" s="192">
        <v>0</v>
      </c>
    </row>
    <row r="45" spans="1:74" s="192" customFormat="1" x14ac:dyDescent="0.25">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442452.66</v>
      </c>
      <c r="AM46" s="192">
        <v>442452.66</v>
      </c>
      <c r="AN46" s="192">
        <v>197360</v>
      </c>
      <c r="AO46" s="192">
        <v>562686.25</v>
      </c>
      <c r="AP46" s="192">
        <v>50000</v>
      </c>
      <c r="AQ46" s="192">
        <v>50000</v>
      </c>
      <c r="AR46" s="192">
        <v>0</v>
      </c>
      <c r="AS46" s="192">
        <v>1708661.5</v>
      </c>
      <c r="AT46" s="192">
        <v>525950.47</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81393672.340000004</v>
      </c>
      <c r="C47" s="192">
        <v>81393672.340000004</v>
      </c>
      <c r="D47" s="192">
        <v>81393672.340000004</v>
      </c>
      <c r="E47" s="192">
        <v>782586174.12</v>
      </c>
      <c r="F47" s="192">
        <v>464293064.12</v>
      </c>
      <c r="G47" s="192">
        <v>183813064.12</v>
      </c>
      <c r="H47" s="192">
        <v>60357981.219999999</v>
      </c>
      <c r="I47" s="192">
        <v>0</v>
      </c>
      <c r="J47" s="192">
        <v>0</v>
      </c>
      <c r="K47" s="192">
        <v>0</v>
      </c>
      <c r="L47" s="192">
        <v>0</v>
      </c>
      <c r="M47" s="192">
        <v>215915154.66</v>
      </c>
      <c r="N47" s="192">
        <v>114978442.79000001</v>
      </c>
      <c r="O47" s="192">
        <v>99744320.469999999</v>
      </c>
      <c r="P47" s="192">
        <v>0</v>
      </c>
      <c r="Q47" s="192">
        <v>100360740</v>
      </c>
      <c r="R47" s="192">
        <v>0</v>
      </c>
      <c r="S47" s="192">
        <v>0</v>
      </c>
      <c r="T47" s="192">
        <v>0</v>
      </c>
      <c r="U47" s="192">
        <v>0</v>
      </c>
      <c r="V47" s="192">
        <v>0</v>
      </c>
      <c r="W47" s="192">
        <v>0</v>
      </c>
      <c r="X47" s="192">
        <v>0</v>
      </c>
      <c r="Y47" s="192">
        <v>6961486.3600000003</v>
      </c>
      <c r="Z47" s="192">
        <v>6961486.3600000003</v>
      </c>
      <c r="AA47" s="192">
        <v>6961486.3600000003</v>
      </c>
      <c r="AB47" s="192">
        <v>0</v>
      </c>
      <c r="AC47" s="192">
        <v>85675125.359999999</v>
      </c>
      <c r="AD47" s="192">
        <v>75246626.25</v>
      </c>
      <c r="AE47" s="192">
        <v>46065260.920000002</v>
      </c>
      <c r="AF47" s="192">
        <v>0</v>
      </c>
      <c r="AG47" s="192">
        <v>1000000</v>
      </c>
      <c r="AH47" s="192">
        <v>1000000</v>
      </c>
      <c r="AI47" s="192">
        <v>1000000</v>
      </c>
      <c r="AJ47" s="192">
        <v>1000000</v>
      </c>
      <c r="AK47" s="192">
        <v>57810000</v>
      </c>
      <c r="AL47" s="192">
        <v>40910000</v>
      </c>
      <c r="AM47" s="192">
        <v>28910000</v>
      </c>
      <c r="AN47" s="192">
        <v>18900000</v>
      </c>
      <c r="AO47" s="192">
        <v>245480000</v>
      </c>
      <c r="AP47" s="192">
        <v>252480000</v>
      </c>
      <c r="AQ47" s="192">
        <v>181600000</v>
      </c>
      <c r="AR47" s="192">
        <v>111000000</v>
      </c>
      <c r="AS47" s="192">
        <v>801040000</v>
      </c>
      <c r="AT47" s="192">
        <v>564300000</v>
      </c>
      <c r="AU47" s="192">
        <v>407594631.95999998</v>
      </c>
      <c r="AV47" s="192">
        <v>303561380</v>
      </c>
      <c r="AW47" s="192">
        <v>1082125100</v>
      </c>
      <c r="AX47" s="192">
        <v>791240400</v>
      </c>
      <c r="AY47" s="192">
        <v>446240400</v>
      </c>
      <c r="AZ47" s="192">
        <v>266350400</v>
      </c>
      <c r="BA47" s="192">
        <v>991399870</v>
      </c>
      <c r="BB47" s="192">
        <v>866564945</v>
      </c>
      <c r="BC47" s="192">
        <v>409890000</v>
      </c>
      <c r="BD47" s="192">
        <v>254142500</v>
      </c>
      <c r="BE47" s="192">
        <v>835490000</v>
      </c>
      <c r="BF47" s="192">
        <v>945240000</v>
      </c>
      <c r="BG47" s="192">
        <v>521655000</v>
      </c>
      <c r="BH47" s="192">
        <v>234300000</v>
      </c>
      <c r="BI47" s="192">
        <v>672690000</v>
      </c>
      <c r="BJ47" s="192">
        <v>509290000</v>
      </c>
      <c r="BK47" s="192">
        <v>321890000</v>
      </c>
      <c r="BL47" s="192">
        <v>0</v>
      </c>
      <c r="BM47" s="192">
        <v>749090000</v>
      </c>
      <c r="BN47" s="192">
        <v>479200000</v>
      </c>
      <c r="BO47" s="192">
        <v>570890000</v>
      </c>
      <c r="BP47" s="192">
        <v>533200000</v>
      </c>
      <c r="BQ47" s="192">
        <v>1137660000</v>
      </c>
      <c r="BR47" s="192">
        <v>493371069.97000003</v>
      </c>
      <c r="BS47" s="192">
        <v>1638700000</v>
      </c>
      <c r="BT47" s="192">
        <v>2064140000</v>
      </c>
      <c r="BU47" s="192">
        <v>523950000</v>
      </c>
      <c r="BV47" s="192">
        <v>0</v>
      </c>
    </row>
    <row r="48" spans="1:74" s="192" customFormat="1" x14ac:dyDescent="0.25">
      <c r="A48" s="192" t="s">
        <v>599</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600</v>
      </c>
      <c r="E49" s="192">
        <f>E44+E48-E45-E46-E47</f>
        <v>-145891391.20999992</v>
      </c>
      <c r="F49" s="192">
        <f t="shared" ref="F49:BQ49" si="85">F44+F48-F45-F46-F47</f>
        <v>-34343064.120000005</v>
      </c>
      <c r="G49" s="192">
        <f t="shared" si="85"/>
        <v>-13813064.120000005</v>
      </c>
      <c r="H49" s="192">
        <f t="shared" si="85"/>
        <v>-60357981.219999999</v>
      </c>
      <c r="I49" s="192">
        <f t="shared" si="85"/>
        <v>170049234.45000002</v>
      </c>
      <c r="J49" s="192">
        <f t="shared" si="85"/>
        <v>0</v>
      </c>
      <c r="K49" s="192">
        <f t="shared" si="85"/>
        <v>0</v>
      </c>
      <c r="L49" s="192">
        <f t="shared" si="85"/>
        <v>0</v>
      </c>
      <c r="M49" s="192">
        <f t="shared" si="85"/>
        <v>-9536939</v>
      </c>
      <c r="N49" s="192">
        <f t="shared" si="85"/>
        <v>99766633.189999983</v>
      </c>
      <c r="O49" s="192">
        <f t="shared" si="85"/>
        <v>15234122.320000008</v>
      </c>
      <c r="P49" s="192">
        <f t="shared" si="85"/>
        <v>116148521.47</v>
      </c>
      <c r="Q49" s="192">
        <f t="shared" si="85"/>
        <v>-13417678.560000002</v>
      </c>
      <c r="R49" s="192">
        <f t="shared" si="85"/>
        <v>100360740</v>
      </c>
      <c r="S49" s="192">
        <f t="shared" si="85"/>
        <v>50117340</v>
      </c>
      <c r="T49" s="192">
        <f t="shared" si="85"/>
        <v>0</v>
      </c>
      <c r="U49" s="192">
        <f t="shared" si="85"/>
        <v>-5169679.7</v>
      </c>
      <c r="V49" s="192">
        <f t="shared" si="85"/>
        <v>0</v>
      </c>
      <c r="W49" s="192">
        <f t="shared" si="85"/>
        <v>0</v>
      </c>
      <c r="X49" s="192">
        <f t="shared" si="85"/>
        <v>0</v>
      </c>
      <c r="Y49" s="192">
        <f t="shared" si="85"/>
        <v>-15745048.330000002</v>
      </c>
      <c r="Z49" s="192">
        <f t="shared" si="85"/>
        <v>-6961486.3600000003</v>
      </c>
      <c r="AA49" s="192">
        <f t="shared" si="85"/>
        <v>-6961486.3600000003</v>
      </c>
      <c r="AB49" s="192">
        <f t="shared" si="85"/>
        <v>0</v>
      </c>
      <c r="AC49" s="192">
        <f t="shared" si="85"/>
        <v>-13065607.950000003</v>
      </c>
      <c r="AD49" s="192">
        <f t="shared" si="85"/>
        <v>1389144.2300000042</v>
      </c>
      <c r="AE49" s="192">
        <f t="shared" si="85"/>
        <v>30570509.560000002</v>
      </c>
      <c r="AF49" s="192">
        <f t="shared" si="85"/>
        <v>76635770.480000004</v>
      </c>
      <c r="AG49" s="192">
        <f t="shared" si="85"/>
        <v>-19824250.32</v>
      </c>
      <c r="AH49" s="192">
        <f t="shared" si="85"/>
        <v>-1000000</v>
      </c>
      <c r="AI49" s="192">
        <f t="shared" si="85"/>
        <v>-1000000</v>
      </c>
      <c r="AJ49" s="192">
        <f t="shared" si="85"/>
        <v>-1000000</v>
      </c>
      <c r="AK49" s="192">
        <f t="shared" si="85"/>
        <v>-39592608.549999997</v>
      </c>
      <c r="AL49" s="192">
        <f t="shared" si="85"/>
        <v>-17452452.66</v>
      </c>
      <c r="AM49" s="192">
        <f t="shared" si="85"/>
        <v>-5452452.6600000001</v>
      </c>
      <c r="AN49" s="192">
        <f t="shared" si="85"/>
        <v>-197360</v>
      </c>
      <c r="AO49" s="192">
        <f t="shared" si="85"/>
        <v>-77576760.889999986</v>
      </c>
      <c r="AP49" s="192">
        <f t="shared" si="85"/>
        <v>-69630000</v>
      </c>
      <c r="AQ49" s="192">
        <f t="shared" si="85"/>
        <v>1250000</v>
      </c>
      <c r="AR49" s="192">
        <f t="shared" si="85"/>
        <v>22000000</v>
      </c>
      <c r="AS49" s="192">
        <f t="shared" si="85"/>
        <v>-432419412.51999998</v>
      </c>
      <c r="AT49" s="192">
        <f t="shared" si="85"/>
        <v>-192825950.47000003</v>
      </c>
      <c r="AU49" s="192">
        <f t="shared" si="85"/>
        <v>-191666077.00999999</v>
      </c>
      <c r="AV49" s="192">
        <f t="shared" si="85"/>
        <v>-195061380</v>
      </c>
      <c r="AW49" s="192">
        <f t="shared" si="85"/>
        <v>-237688412.94000006</v>
      </c>
      <c r="AX49" s="192">
        <f t="shared" si="85"/>
        <v>10259600</v>
      </c>
      <c r="AY49" s="192">
        <f t="shared" si="85"/>
        <v>74759600</v>
      </c>
      <c r="AZ49" s="192">
        <f t="shared" si="85"/>
        <v>24149600</v>
      </c>
      <c r="BA49" s="192">
        <f t="shared" si="85"/>
        <v>-50104788.629999995</v>
      </c>
      <c r="BB49" s="192">
        <f t="shared" si="85"/>
        <v>41184630</v>
      </c>
      <c r="BC49" s="192">
        <f t="shared" si="85"/>
        <v>-8307985.5</v>
      </c>
      <c r="BD49" s="192">
        <f t="shared" si="85"/>
        <v>5107500</v>
      </c>
      <c r="BE49" s="192">
        <f t="shared" si="85"/>
        <v>76800000</v>
      </c>
      <c r="BF49" s="192">
        <f t="shared" si="85"/>
        <v>-23100000</v>
      </c>
      <c r="BG49" s="192">
        <f t="shared" si="85"/>
        <v>12515000</v>
      </c>
      <c r="BH49" s="192">
        <f t="shared" si="85"/>
        <v>-5740000</v>
      </c>
      <c r="BI49" s="192">
        <f t="shared" si="85"/>
        <v>121300000</v>
      </c>
      <c r="BJ49" s="192">
        <f t="shared" si="85"/>
        <v>66200000</v>
      </c>
      <c r="BK49" s="192">
        <f t="shared" si="85"/>
        <v>-16800000</v>
      </c>
      <c r="BL49" s="192">
        <f t="shared" si="85"/>
        <v>0</v>
      </c>
      <c r="BM49" s="192">
        <f t="shared" si="85"/>
        <v>109200000</v>
      </c>
      <c r="BN49" s="192">
        <f t="shared" si="85"/>
        <v>92000000</v>
      </c>
      <c r="BO49" s="192">
        <f t="shared" si="85"/>
        <v>58310000</v>
      </c>
      <c r="BP49" s="192">
        <f t="shared" si="85"/>
        <v>87480000</v>
      </c>
      <c r="BQ49" s="192">
        <f t="shared" si="85"/>
        <v>141740000</v>
      </c>
      <c r="BR49" s="192">
        <f t="shared" ref="BR49:BV49" si="86">BR44+BR48-BR45-BR46-BR47</f>
        <v>341779248.69999993</v>
      </c>
      <c r="BS49" s="192">
        <f t="shared" si="86"/>
        <v>201850000</v>
      </c>
      <c r="BT49" s="192">
        <f t="shared" si="86"/>
        <v>-15994301</v>
      </c>
      <c r="BU49" s="192">
        <f t="shared" si="86"/>
        <v>-2600000</v>
      </c>
      <c r="BV49" s="192">
        <f t="shared" si="86"/>
        <v>0</v>
      </c>
    </row>
    <row r="50" spans="1:74" s="26" customFormat="1" x14ac:dyDescent="0.25"/>
    <row r="51" spans="1:74" s="16" customFormat="1" ht="120" customHeight="1" x14ac:dyDescent="0.25">
      <c r="A51" s="274" t="s">
        <v>668</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81393672.340000004</v>
      </c>
      <c r="F4" s="26">
        <f>资产资本表!F89</f>
        <v>149470000</v>
      </c>
      <c r="G4" s="26">
        <f>资产资本表!G89</f>
        <v>170000000</v>
      </c>
      <c r="H4" s="26">
        <f>资产资本表!H89</f>
        <v>123455086.90000001</v>
      </c>
      <c r="I4" s="26">
        <f>资产资本表!I89</f>
        <v>183813064.12</v>
      </c>
      <c r="J4" s="26">
        <f>资产资本表!J89</f>
        <v>0</v>
      </c>
      <c r="K4" s="26">
        <f>资产资本表!K89</f>
        <v>0</v>
      </c>
      <c r="L4" s="26">
        <f>资产资本表!L89</f>
        <v>0</v>
      </c>
      <c r="M4" s="26">
        <f>资产资本表!M89</f>
        <v>0</v>
      </c>
      <c r="N4" s="26">
        <f>资产资本表!N89</f>
        <v>99766633.189999998</v>
      </c>
      <c r="O4" s="26">
        <f>资产资本表!O89</f>
        <v>15234122.32</v>
      </c>
      <c r="P4" s="26">
        <f>资产资本表!P89</f>
        <v>116148521.47</v>
      </c>
      <c r="Q4" s="26">
        <f>资产资本表!Q89</f>
        <v>0</v>
      </c>
      <c r="R4" s="26">
        <f>资产资本表!R89</f>
        <v>100851940</v>
      </c>
      <c r="S4" s="26">
        <f>资产资本表!S89</f>
        <v>50634340</v>
      </c>
      <c r="T4" s="26">
        <f>资产资本表!T89</f>
        <v>542800</v>
      </c>
      <c r="U4" s="26">
        <f>资产资本表!U89</f>
        <v>568600</v>
      </c>
      <c r="V4" s="26">
        <f>资产资本表!V89</f>
        <v>744400</v>
      </c>
      <c r="W4" s="26">
        <f>资产资本表!W89</f>
        <v>920200</v>
      </c>
      <c r="X4" s="26">
        <f>资产资本表!X89</f>
        <v>1096000</v>
      </c>
      <c r="Y4" s="26">
        <f>资产资本表!Y89</f>
        <v>1271800</v>
      </c>
      <c r="Z4" s="26">
        <f>资产资本表!Z89</f>
        <v>7292450</v>
      </c>
      <c r="AA4" s="26">
        <f>资产资本表!AA89</f>
        <v>7318250</v>
      </c>
      <c r="AB4" s="26">
        <f>资产资本表!AB89</f>
        <v>14605536.359999999</v>
      </c>
      <c r="AC4" s="26">
        <f>资产资本表!AC89</f>
        <v>13582736.359999999</v>
      </c>
      <c r="AD4" s="26">
        <f>资产资本表!AD89</f>
        <v>17886018.630000003</v>
      </c>
      <c r="AE4" s="26">
        <f>资产资本表!AE89</f>
        <v>47639614.439999998</v>
      </c>
      <c r="AF4" s="26">
        <f>资产资本表!AF89</f>
        <v>93717475.359999999</v>
      </c>
      <c r="AG4" s="26">
        <f>资产资本表!AG89</f>
        <v>17064204.880000003</v>
      </c>
      <c r="AH4" s="26">
        <f>资产资本表!AH89</f>
        <v>4974950</v>
      </c>
      <c r="AI4" s="26">
        <f>资产资本表!AI89</f>
        <v>5176300</v>
      </c>
      <c r="AJ4" s="26">
        <f>资产资本表!AJ89</f>
        <v>5338900</v>
      </c>
      <c r="AK4" s="26">
        <f>资产资本表!AK89</f>
        <v>4679000</v>
      </c>
      <c r="AL4" s="26">
        <f>资产资本表!AL89</f>
        <v>18342452.66</v>
      </c>
      <c r="AM4" s="26">
        <f>资产资本表!AM89</f>
        <v>30342452.66</v>
      </c>
      <c r="AN4" s="26">
        <f>资产资本表!AN89</f>
        <v>75107360</v>
      </c>
      <c r="AO4" s="26">
        <f>资产资本表!AO89</f>
        <v>75492686.25</v>
      </c>
      <c r="AP4" s="26">
        <f>资产资本表!AP89</f>
        <v>128042111.09</v>
      </c>
      <c r="AQ4" s="26">
        <f>资产资本表!AQ89</f>
        <v>202028626.38999999</v>
      </c>
      <c r="AR4" s="26">
        <f>资产资本表!AR89</f>
        <v>222754564.94</v>
      </c>
      <c r="AS4" s="26">
        <f>资产资本表!AS89</f>
        <v>202148957.03999999</v>
      </c>
      <c r="AT4" s="26">
        <f>资产资本表!AT89</f>
        <v>376041983.55000001</v>
      </c>
      <c r="AU4" s="26">
        <f>资产资本表!AU89</f>
        <v>402068064</v>
      </c>
      <c r="AV4" s="26">
        <f>资产资本表!AV89</f>
        <v>455368064</v>
      </c>
      <c r="AW4" s="26">
        <f>资产资本表!AW89</f>
        <v>560368064</v>
      </c>
      <c r="AX4" s="26">
        <f>资产资本表!AX89</f>
        <v>713248064</v>
      </c>
      <c r="AY4" s="26">
        <f>资产资本表!AY89</f>
        <v>722948064</v>
      </c>
      <c r="AZ4" s="26">
        <f>资产资本表!AZ89</f>
        <v>732338064</v>
      </c>
      <c r="BA4" s="26">
        <f>资产资本表!BA89</f>
        <v>708193164</v>
      </c>
      <c r="BB4" s="26">
        <f>资产资本表!BB89</f>
        <v>737542694</v>
      </c>
      <c r="BC4" s="26">
        <f>资产资本表!BC89</f>
        <v>699543089</v>
      </c>
      <c r="BD4" s="26">
        <f>资产资本表!BD89</f>
        <v>715946314</v>
      </c>
      <c r="BE4" s="26">
        <f>资产资本表!BE89</f>
        <v>713558064</v>
      </c>
      <c r="BF4" s="26">
        <f>资产资本表!BF89</f>
        <v>637558064</v>
      </c>
      <c r="BG4" s="26">
        <f>资产资本表!BG89</f>
        <v>630758064</v>
      </c>
      <c r="BH4" s="26">
        <f>资产资本表!BH89</f>
        <v>651958064</v>
      </c>
      <c r="BI4" s="26">
        <f>资产资本表!BI89</f>
        <v>636758064</v>
      </c>
      <c r="BJ4" s="26">
        <f>资产资本表!BJ89</f>
        <v>634958064</v>
      </c>
      <c r="BK4" s="26">
        <f>资产资本表!BK89</f>
        <v>487958064</v>
      </c>
      <c r="BL4" s="26">
        <f>资产资本表!BL89</f>
        <v>0</v>
      </c>
      <c r="BM4" s="26">
        <f>资产资本表!BM89</f>
        <v>642358064</v>
      </c>
      <c r="BN4" s="26">
        <f>资产资本表!BN89</f>
        <v>697258064</v>
      </c>
      <c r="BO4" s="26">
        <f>资产资本表!BO89</f>
        <v>701968064</v>
      </c>
      <c r="BP4" s="26">
        <f>资产资本表!BP89</f>
        <v>676568064</v>
      </c>
      <c r="BQ4" s="26">
        <f>资产资本表!BQ89</f>
        <v>533158064</v>
      </c>
      <c r="BR4" s="26">
        <f>资产资本表!BR89</f>
        <v>639138064</v>
      </c>
      <c r="BS4" s="26">
        <f>资产资本表!BS89</f>
        <v>551658064</v>
      </c>
      <c r="BT4" s="26">
        <f>资产资本表!BT89</f>
        <v>664335413.96000004</v>
      </c>
      <c r="BU4" s="26">
        <f>资产资本表!BU89</f>
        <v>417197329.68000001</v>
      </c>
      <c r="BV4" s="26">
        <f>资产资本表!BV89</f>
        <v>338642484.33999997</v>
      </c>
    </row>
    <row r="5" spans="1:74" s="63" customFormat="1" x14ac:dyDescent="0.25">
      <c r="A5" s="63" t="s">
        <v>333</v>
      </c>
      <c r="E5" s="63">
        <f>IF(E4+I4=0,0,E3/((E4+I4)/2))</f>
        <v>0.32783480548245197</v>
      </c>
      <c r="F5" s="63">
        <f t="shared" ref="F5:BQ5" si="0">IF(F4+J4=0,0,F3/((F4+J4)/2))</f>
        <v>0</v>
      </c>
      <c r="G5" s="63">
        <f t="shared" si="0"/>
        <v>0</v>
      </c>
      <c r="H5" s="63">
        <f t="shared" si="0"/>
        <v>0</v>
      </c>
      <c r="I5" s="63">
        <f t="shared" si="0"/>
        <v>0.14975899276685209</v>
      </c>
      <c r="J5" s="63">
        <f t="shared" si="0"/>
        <v>0</v>
      </c>
      <c r="K5" s="63">
        <f t="shared" si="0"/>
        <v>0</v>
      </c>
      <c r="L5" s="63">
        <f t="shared" si="0"/>
        <v>0</v>
      </c>
      <c r="M5" s="63">
        <f t="shared" si="0"/>
        <v>0</v>
      </c>
      <c r="N5" s="63">
        <f t="shared" si="0"/>
        <v>0</v>
      </c>
      <c r="O5" s="63">
        <f t="shared" si="0"/>
        <v>0</v>
      </c>
      <c r="P5" s="63">
        <f t="shared" si="0"/>
        <v>0</v>
      </c>
      <c r="Q5" s="63">
        <f t="shared" si="0"/>
        <v>47.195492648610625</v>
      </c>
      <c r="R5" s="63">
        <f t="shared" si="0"/>
        <v>0</v>
      </c>
      <c r="S5" s="63">
        <f t="shared" si="0"/>
        <v>0</v>
      </c>
      <c r="T5" s="63">
        <f t="shared" si="0"/>
        <v>0</v>
      </c>
      <c r="U5" s="63">
        <f t="shared" si="0"/>
        <v>5.6179957617909153</v>
      </c>
      <c r="V5" s="63">
        <f t="shared" si="0"/>
        <v>0</v>
      </c>
      <c r="W5" s="63">
        <f t="shared" si="0"/>
        <v>0</v>
      </c>
      <c r="X5" s="63">
        <f t="shared" si="0"/>
        <v>0</v>
      </c>
      <c r="Y5" s="63">
        <f t="shared" si="0"/>
        <v>1.1826100468072773</v>
      </c>
      <c r="Z5" s="63">
        <f t="shared" si="0"/>
        <v>0</v>
      </c>
      <c r="AA5" s="63">
        <f t="shared" si="0"/>
        <v>0</v>
      </c>
      <c r="AB5" s="63">
        <f t="shared" si="0"/>
        <v>0</v>
      </c>
      <c r="AC5" s="63">
        <f t="shared" si="0"/>
        <v>0.71705292505073492</v>
      </c>
      <c r="AD5" s="63">
        <f t="shared" si="0"/>
        <v>0</v>
      </c>
      <c r="AE5" s="63">
        <f t="shared" si="0"/>
        <v>0</v>
      </c>
      <c r="AF5" s="63">
        <f t="shared" si="0"/>
        <v>0</v>
      </c>
      <c r="AG5" s="63">
        <f t="shared" si="0"/>
        <v>2.562971314834062</v>
      </c>
      <c r="AH5" s="63">
        <f t="shared" si="0"/>
        <v>0</v>
      </c>
      <c r="AI5" s="63">
        <f t="shared" si="0"/>
        <v>0</v>
      </c>
      <c r="AJ5" s="63">
        <f t="shared" si="0"/>
        <v>0</v>
      </c>
      <c r="AK5" s="63">
        <f t="shared" si="0"/>
        <v>0.14176098360410874</v>
      </c>
      <c r="AL5" s="63">
        <f t="shared" si="0"/>
        <v>0</v>
      </c>
      <c r="AM5" s="63">
        <f t="shared" si="0"/>
        <v>0</v>
      </c>
      <c r="AN5" s="63">
        <f t="shared" si="0"/>
        <v>0</v>
      </c>
      <c r="AO5" s="63">
        <f t="shared" si="0"/>
        <v>0.20489775455110551</v>
      </c>
      <c r="AP5" s="63">
        <f t="shared" si="0"/>
        <v>0</v>
      </c>
      <c r="AQ5" s="63">
        <f t="shared" si="0"/>
        <v>0</v>
      </c>
      <c r="AR5" s="63">
        <f t="shared" si="0"/>
        <v>0</v>
      </c>
      <c r="AS5" s="63">
        <f t="shared" si="0"/>
        <v>0.10405210618352601</v>
      </c>
      <c r="AT5" s="63">
        <f t="shared" si="0"/>
        <v>0</v>
      </c>
      <c r="AU5" s="63">
        <f t="shared" si="0"/>
        <v>0</v>
      </c>
      <c r="AV5" s="63">
        <f t="shared" si="0"/>
        <v>0</v>
      </c>
      <c r="AW5" s="63">
        <f t="shared" si="0"/>
        <v>8.6812227466248865E-2</v>
      </c>
      <c r="AX5" s="63">
        <f t="shared" si="0"/>
        <v>0</v>
      </c>
      <c r="AY5" s="63">
        <f t="shared" si="0"/>
        <v>0</v>
      </c>
      <c r="AZ5" s="63">
        <f t="shared" si="0"/>
        <v>0</v>
      </c>
      <c r="BA5" s="63">
        <f t="shared" si="0"/>
        <v>6.293631086633393E-2</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0.1882782344495264</v>
      </c>
      <c r="F6" s="63">
        <f>股权价值增加表!F41</f>
        <v>0.15746522581352468</v>
      </c>
      <c r="G6" s="63">
        <f>股权价值增加表!G41</f>
        <v>0.15892844921953653</v>
      </c>
      <c r="H6" s="63">
        <f>股权价值增加表!H41</f>
        <v>0.16405934498879859</v>
      </c>
      <c r="I6" s="63">
        <f>股权价值增加表!I41</f>
        <v>0.1446029475996457</v>
      </c>
      <c r="J6" s="63">
        <f>股权价值增加表!J41</f>
        <v>0.15334085262136157</v>
      </c>
      <c r="K6" s="63">
        <f>股权价值增加表!K41</f>
        <v>0.15365583617141931</v>
      </c>
      <c r="L6" s="63">
        <f>股权价值增加表!L41</f>
        <v>0.15027912863503362</v>
      </c>
      <c r="M6" s="63">
        <f>股权价值增加表!M41</f>
        <v>0.1315601001662598</v>
      </c>
      <c r="N6" s="63">
        <f>股权价值增加表!N41</f>
        <v>0.14343097424350362</v>
      </c>
      <c r="O6" s="63">
        <f>股权价值增加表!O41</f>
        <v>0.13667575900198037</v>
      </c>
      <c r="P6" s="63">
        <f>股权价值增加表!P41</f>
        <v>0.15092901827091645</v>
      </c>
      <c r="Q6" s="63">
        <f>股权价值增加表!Q41</f>
        <v>0.15356882445531284</v>
      </c>
      <c r="R6" s="63">
        <f>股权价值增加表!R41</f>
        <v>0.15807373396878474</v>
      </c>
      <c r="S6" s="63">
        <f>股权价值增加表!S41</f>
        <v>0.15931033143942946</v>
      </c>
      <c r="T6" s="63">
        <f>股权价值增加表!T41</f>
        <v>0.14395130793856953</v>
      </c>
      <c r="U6" s="63">
        <f>股权价值增加表!U41</f>
        <v>0.14465410354232525</v>
      </c>
      <c r="V6" s="63">
        <f>股权价值增加表!V41</f>
        <v>0.15276336592617809</v>
      </c>
      <c r="W6" s="63">
        <f>股权价值增加表!W41</f>
        <v>0.15445810636504517</v>
      </c>
      <c r="X6" s="63">
        <f>股权价值增加表!X41</f>
        <v>0.15144181311292368</v>
      </c>
      <c r="Y6" s="63">
        <f>股权价值增加表!Y41</f>
        <v>0.15406608914851072</v>
      </c>
      <c r="Z6" s="63">
        <f>股权价值增加表!Z41</f>
        <v>0.13446729575756661</v>
      </c>
      <c r="AA6" s="63">
        <f>股权价值增加表!AA41</f>
        <v>0.12685926051926014</v>
      </c>
      <c r="AB6" s="63">
        <f>股权价值增加表!AB41</f>
        <v>0.15502269950937761</v>
      </c>
      <c r="AC6" s="63">
        <f>股权价值增加表!AC41</f>
        <v>0.20800956995717074</v>
      </c>
      <c r="AD6" s="63">
        <f>股权价值增加表!AD41</f>
        <v>0.18848585720577457</v>
      </c>
      <c r="AE6" s="63">
        <f>股权价值增加表!AE41</f>
        <v>0.20248596815091821</v>
      </c>
      <c r="AF6" s="63">
        <f>股权价值增加表!AF41</f>
        <v>0.16667596843933613</v>
      </c>
      <c r="AG6" s="63">
        <f>股权价值增加表!AG41</f>
        <v>0.16164925912989508</v>
      </c>
      <c r="AH6" s="63">
        <f>股权价值增加表!AH41</f>
        <v>0.15927020220124469</v>
      </c>
      <c r="AI6" s="63">
        <f>股权价值增加表!AI41</f>
        <v>0.16772676155231966</v>
      </c>
      <c r="AJ6" s="63">
        <f>股权价值增加表!AJ41</f>
        <v>0.15207319758634791</v>
      </c>
      <c r="AK6" s="63">
        <f>股权价值增加表!AK41</f>
        <v>0.20726051922836816</v>
      </c>
      <c r="AL6" s="63">
        <f>股权价值增加表!AL41</f>
        <v>0.1494887932456761</v>
      </c>
      <c r="AM6" s="63">
        <f>股权价值增加表!AM41</f>
        <v>0.1249551813587249</v>
      </c>
      <c r="AN6" s="63">
        <f>股权价值增加表!AN41</f>
        <v>0.18401506088963915</v>
      </c>
      <c r="AO6" s="63">
        <f>股权价值增加表!AO41</f>
        <v>0.74696014123353094</v>
      </c>
      <c r="AP6" s="63">
        <f>股权价值增加表!AP41</f>
        <v>0.26391582781352463</v>
      </c>
      <c r="AQ6" s="63">
        <f>股权价值增加表!AQ41</f>
        <v>0.28177550034938537</v>
      </c>
      <c r="AR6" s="63">
        <f>股权价值增加表!AR41</f>
        <v>0.18520637233439047</v>
      </c>
      <c r="AS6" s="63">
        <f>股权价值增加表!AS41</f>
        <v>0.18479126666915385</v>
      </c>
      <c r="AT6" s="63">
        <f>股权价值增加表!AT41</f>
        <v>8.0597052780592801E-2</v>
      </c>
      <c r="AU6" s="63">
        <f>股权价值增加表!AU41</f>
        <v>0.13718838222877128</v>
      </c>
      <c r="AV6" s="63">
        <f>股权价值增加表!AV41</f>
        <v>0.24955214094801856</v>
      </c>
      <c r="AW6" s="63">
        <f>股权价值增加表!AW41</f>
        <v>-0.68601591529951278</v>
      </c>
      <c r="AX6" s="63">
        <f>股权价值增加表!AX41</f>
        <v>-2.1926267686735921</v>
      </c>
      <c r="AY6" s="63">
        <f>股权价值增加表!AY41</f>
        <v>0.67938734587375293</v>
      </c>
      <c r="AZ6" s="63">
        <f>股权价值增加表!AZ41</f>
        <v>7.6727659412150651E-2</v>
      </c>
      <c r="BA6" s="63">
        <f>股权价值增加表!BA41</f>
        <v>-2.6549154776683217</v>
      </c>
      <c r="BB6" s="63">
        <f>股权价值增加表!BB41</f>
        <v>-0.13886941863409324</v>
      </c>
      <c r="BC6" s="63">
        <f>股权价值增加表!BC41</f>
        <v>-0.88366342939698772</v>
      </c>
      <c r="BD6" s="63">
        <f>股权价值增加表!BD41</f>
        <v>0.27333680870086935</v>
      </c>
      <c r="BE6" s="63">
        <f>股权价值增加表!BE41</f>
        <v>0.97795139187892821</v>
      </c>
      <c r="BF6" s="63">
        <f>股权价值增加表!BF41</f>
        <v>0.38414339498041505</v>
      </c>
      <c r="BG6" s="63">
        <f>股权价值增加表!BG41</f>
        <v>0.28366112820661671</v>
      </c>
      <c r="BH6" s="63">
        <f>股权价值增加表!BH41</f>
        <v>0.56746778126326713</v>
      </c>
      <c r="BI6" s="63">
        <f>股权价值增加表!BI41</f>
        <v>0.2637011229685064</v>
      </c>
      <c r="BJ6" s="63">
        <f>股权价值增加表!BJ41</f>
        <v>3.8281545928557552</v>
      </c>
      <c r="BK6" s="63">
        <f>股权价值增加表!BK41</f>
        <v>-0.43849100022077103</v>
      </c>
      <c r="BL6" s="63">
        <f>股权价值增加表!BL41</f>
        <v>0.66369850107530315</v>
      </c>
      <c r="BM6" s="63">
        <f>股权价值增加表!BM41</f>
        <v>-1.3246671566688508E-2</v>
      </c>
      <c r="BN6" s="63">
        <f>股权价值增加表!BN41</f>
        <v>0.62987617472076085</v>
      </c>
      <c r="BO6" s="63">
        <f>股权价值增加表!BO41</f>
        <v>0.29928474514043735</v>
      </c>
      <c r="BP6" s="63">
        <f>股权价值增加表!BP41</f>
        <v>0.35511168844433233</v>
      </c>
      <c r="BQ6" s="63">
        <f>股权价值增加表!BQ41</f>
        <v>-0.99025557074771331</v>
      </c>
      <c r="BR6" s="63">
        <f>股权价值增加表!BR41</f>
        <v>0.18594609629793474</v>
      </c>
      <c r="BS6" s="63">
        <f>股权价值增加表!BS41</f>
        <v>0.19059768967126278</v>
      </c>
      <c r="BT6" s="63">
        <f>股权价值增加表!BT41</f>
        <v>0.17804195347761015</v>
      </c>
      <c r="BU6" s="63">
        <f>股权价值增加表!BU41</f>
        <v>0.26831850158733639</v>
      </c>
    </row>
    <row r="7" spans="1:74" s="63" customFormat="1" x14ac:dyDescent="0.25">
      <c r="A7" s="63" t="s">
        <v>330</v>
      </c>
      <c r="E7" s="63">
        <f>E5*(1-E6)</f>
        <v>0.26611064711511201</v>
      </c>
      <c r="F7" s="63">
        <f t="shared" ref="F7:BQ7" si="2">F5*(1-F6)</f>
        <v>0</v>
      </c>
      <c r="G7" s="63">
        <f t="shared" si="2"/>
        <v>0</v>
      </c>
      <c r="H7" s="63">
        <f t="shared" si="2"/>
        <v>0</v>
      </c>
      <c r="I7" s="63">
        <f t="shared" si="2"/>
        <v>0.12810340098321124</v>
      </c>
      <c r="J7" s="63">
        <f t="shared" si="2"/>
        <v>0</v>
      </c>
      <c r="K7" s="63">
        <f t="shared" si="2"/>
        <v>0</v>
      </c>
      <c r="L7" s="63">
        <f t="shared" si="2"/>
        <v>0</v>
      </c>
      <c r="M7" s="63">
        <f t="shared" si="2"/>
        <v>0</v>
      </c>
      <c r="N7" s="63">
        <f t="shared" si="2"/>
        <v>0</v>
      </c>
      <c r="O7" s="63">
        <f t="shared" si="2"/>
        <v>0</v>
      </c>
      <c r="P7" s="63">
        <f t="shared" si="2"/>
        <v>0</v>
      </c>
      <c r="Q7" s="63">
        <f t="shared" si="2"/>
        <v>39.94773632297413</v>
      </c>
      <c r="R7" s="63">
        <f t="shared" si="2"/>
        <v>0</v>
      </c>
      <c r="S7" s="63">
        <f t="shared" si="2"/>
        <v>0</v>
      </c>
      <c r="T7" s="63">
        <f t="shared" si="2"/>
        <v>0</v>
      </c>
      <c r="U7" s="63">
        <f t="shared" si="2"/>
        <v>4.8053296211644678</v>
      </c>
      <c r="V7" s="63">
        <f t="shared" si="2"/>
        <v>0</v>
      </c>
      <c r="W7" s="63">
        <f t="shared" si="2"/>
        <v>0</v>
      </c>
      <c r="X7" s="63">
        <f t="shared" si="2"/>
        <v>0</v>
      </c>
      <c r="Y7" s="63">
        <f t="shared" si="2"/>
        <v>1.0004099419079429</v>
      </c>
      <c r="Z7" s="63">
        <f t="shared" si="2"/>
        <v>0</v>
      </c>
      <c r="AA7" s="63">
        <f t="shared" si="2"/>
        <v>0</v>
      </c>
      <c r="AB7" s="63">
        <f t="shared" si="2"/>
        <v>0</v>
      </c>
      <c r="AC7" s="63">
        <f t="shared" si="2"/>
        <v>0.56789905447440026</v>
      </c>
      <c r="AD7" s="63">
        <f t="shared" si="2"/>
        <v>0</v>
      </c>
      <c r="AE7" s="63">
        <f t="shared" si="2"/>
        <v>0</v>
      </c>
      <c r="AF7" s="63">
        <f t="shared" si="2"/>
        <v>0</v>
      </c>
      <c r="AG7" s="63">
        <f t="shared" si="2"/>
        <v>2.1486689006199629</v>
      </c>
      <c r="AH7" s="63">
        <f t="shared" si="2"/>
        <v>0</v>
      </c>
      <c r="AI7" s="63">
        <f t="shared" si="2"/>
        <v>0</v>
      </c>
      <c r="AJ7" s="63">
        <f t="shared" si="2"/>
        <v>0</v>
      </c>
      <c r="AK7" s="63">
        <f t="shared" si="2"/>
        <v>0.11237952853599698</v>
      </c>
      <c r="AL7" s="63">
        <f t="shared" si="2"/>
        <v>0</v>
      </c>
      <c r="AM7" s="63">
        <f t="shared" si="2"/>
        <v>0</v>
      </c>
      <c r="AN7" s="63">
        <f t="shared" si="2"/>
        <v>0</v>
      </c>
      <c r="AO7" s="63">
        <f t="shared" si="2"/>
        <v>5.1847298873178384E-2</v>
      </c>
      <c r="AP7" s="63">
        <f t="shared" si="2"/>
        <v>0</v>
      </c>
      <c r="AQ7" s="63">
        <f t="shared" si="2"/>
        <v>0</v>
      </c>
      <c r="AR7" s="63">
        <f t="shared" si="2"/>
        <v>0</v>
      </c>
      <c r="AS7" s="63">
        <f t="shared" si="2"/>
        <v>8.4824185682278938E-2</v>
      </c>
      <c r="AT7" s="63">
        <f t="shared" si="2"/>
        <v>0</v>
      </c>
      <c r="AU7" s="63">
        <f t="shared" si="2"/>
        <v>0</v>
      </c>
      <c r="AV7" s="63">
        <f t="shared" si="2"/>
        <v>0</v>
      </c>
      <c r="AW7" s="63">
        <f t="shared" si="2"/>
        <v>0.14636679715069709</v>
      </c>
      <c r="AX7" s="63">
        <f t="shared" si="2"/>
        <v>0</v>
      </c>
      <c r="AY7" s="63">
        <f t="shared" si="2"/>
        <v>0</v>
      </c>
      <c r="AZ7" s="63">
        <f t="shared" si="2"/>
        <v>0</v>
      </c>
      <c r="BA7" s="63">
        <f t="shared" si="2"/>
        <v>0.23002689669270887</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8218298013.04</v>
      </c>
      <c r="F8" s="26">
        <f>资产资本表!F107</f>
        <v>7810740135.6700001</v>
      </c>
      <c r="G8" s="26">
        <f>资产资本表!G107</f>
        <v>7309450551.46</v>
      </c>
      <c r="H8" s="26">
        <f>资产资本表!H107</f>
        <v>7376356291.9399996</v>
      </c>
      <c r="I8" s="26">
        <f>资产资本表!I107</f>
        <v>6959095067.4000006</v>
      </c>
      <c r="J8" s="26">
        <f>资产资本表!J107</f>
        <v>6739578302.8000002</v>
      </c>
      <c r="K8" s="26">
        <f>资产资本表!K107</f>
        <v>6323773822.8899994</v>
      </c>
      <c r="L8" s="26">
        <f>资产资本表!L107</f>
        <v>6369135713.210001</v>
      </c>
      <c r="M8" s="26">
        <f>资产资本表!M107</f>
        <v>5987727087.1000004</v>
      </c>
      <c r="N8" s="26">
        <f>资产资本表!N107</f>
        <v>5677000830.0500002</v>
      </c>
      <c r="O8" s="26">
        <f>资产资本表!O107</f>
        <v>5365874542.75</v>
      </c>
      <c r="P8" s="26">
        <f>资产资本表!P107</f>
        <v>5424310013.9799995</v>
      </c>
      <c r="Q8" s="26">
        <f>资产资本表!Q107</f>
        <v>5144696094.71</v>
      </c>
      <c r="R8" s="26">
        <f>资产资本表!R107</f>
        <v>4937332003.8400002</v>
      </c>
      <c r="S8" s="26">
        <f>资产资本表!S107</f>
        <v>4700982730.5699997</v>
      </c>
      <c r="T8" s="26">
        <f>资产资本表!T107</f>
        <v>4722261003.8699999</v>
      </c>
      <c r="U8" s="26">
        <f>资产资本表!U107</f>
        <v>4534329385.6599998</v>
      </c>
      <c r="V8" s="26">
        <f>资产资本表!V107</f>
        <v>4424615823.21</v>
      </c>
      <c r="W8" s="26">
        <f>资产资本表!W107</f>
        <v>4296147519.4899998</v>
      </c>
      <c r="X8" s="26">
        <f>资产资本表!X107</f>
        <v>4370716339.1300001</v>
      </c>
      <c r="Y8" s="26">
        <f>资产资本表!Y107</f>
        <v>4250543076.1300001</v>
      </c>
      <c r="Z8" s="26">
        <f>资产资本表!Z107</f>
        <v>4163163893.8800001</v>
      </c>
      <c r="AA8" s="26">
        <f>资产资本表!AA107</f>
        <v>4072745358.3299999</v>
      </c>
      <c r="AB8" s="26">
        <f>资产资本表!AB107</f>
        <v>4094527400.6300001</v>
      </c>
      <c r="AC8" s="26">
        <f>资产资本表!AC107</f>
        <v>3965029031.2399998</v>
      </c>
      <c r="AD8" s="26">
        <f>资产资本表!AD107</f>
        <v>3929455599.5099998</v>
      </c>
      <c r="AE8" s="26">
        <f>资产资本表!AE107</f>
        <v>3764437909.5500002</v>
      </c>
      <c r="AF8" s="26">
        <f>资产资本表!AF107</f>
        <v>3658960517.4300003</v>
      </c>
      <c r="AG8" s="26">
        <f>资产资本表!AG107</f>
        <v>3510842281.8000002</v>
      </c>
      <c r="AH8" s="26">
        <f>资产资本表!AH107</f>
        <v>2186952952.8499999</v>
      </c>
      <c r="AI8" s="26">
        <f>资产资本表!AI107</f>
        <v>2084798454.97</v>
      </c>
      <c r="AJ8" s="26">
        <f>资产资本表!AJ107</f>
        <v>1999517695.76</v>
      </c>
      <c r="AK8" s="26">
        <f>资产资本表!AK107</f>
        <v>1914705784.03</v>
      </c>
      <c r="AL8" s="26">
        <f>资产资本表!AL107</f>
        <v>1833686252.1499999</v>
      </c>
      <c r="AM8" s="26">
        <f>资产资本表!AM107</f>
        <v>1769754569.04</v>
      </c>
      <c r="AN8" s="26">
        <f>资产资本表!AN107</f>
        <v>1733456627.49</v>
      </c>
      <c r="AO8" s="26">
        <f>资产资本表!AO107</f>
        <v>1695797240.9499998</v>
      </c>
      <c r="AP8" s="26">
        <f>资产资本表!AP107</f>
        <v>1821773803.76</v>
      </c>
      <c r="AQ8" s="26">
        <f>资产资本表!AQ107</f>
        <v>1777358186.6600001</v>
      </c>
      <c r="AR8" s="26">
        <f>资产资本表!AR107</f>
        <v>1746182427.1600001</v>
      </c>
      <c r="AS8" s="26">
        <f>资产资本表!AS107</f>
        <v>1718490427.05</v>
      </c>
      <c r="AT8" s="26">
        <f>资产资本表!AT107</f>
        <v>1495716611.1600001</v>
      </c>
      <c r="AU8" s="26">
        <f>资产资本表!AU107</f>
        <v>1341871365.3799999</v>
      </c>
      <c r="AV8" s="26">
        <f>资产资本表!AV107</f>
        <v>1352054706.97</v>
      </c>
      <c r="AW8" s="26">
        <f>资产资本表!AW107</f>
        <v>1314446221.21</v>
      </c>
      <c r="AX8" s="26">
        <f>资产资本表!AX107</f>
        <v>1336443360.47</v>
      </c>
      <c r="AY8" s="26">
        <f>资产资本表!AY107</f>
        <v>1283364765.23</v>
      </c>
      <c r="AZ8" s="26">
        <f>资产资本表!AZ107</f>
        <v>1269747453.5599999</v>
      </c>
      <c r="BA8" s="26">
        <f>资产资本表!BA107</f>
        <v>1257933229.48</v>
      </c>
      <c r="BB8" s="26">
        <f>资产资本表!BB107</f>
        <v>1247299505.3900001</v>
      </c>
      <c r="BC8" s="26">
        <f>资产资本表!BC107</f>
        <v>1246510380.47</v>
      </c>
      <c r="BD8" s="26">
        <f>资产资本表!BD107</f>
        <v>1230971654.26</v>
      </c>
      <c r="BE8" s="26">
        <f>资产资本表!BE107</f>
        <v>1218547320.1299999</v>
      </c>
      <c r="BF8" s="26">
        <f>资产资本表!BF107</f>
        <v>1221303296.6700001</v>
      </c>
      <c r="BG8" s="26">
        <f>资产资本表!BG107</f>
        <v>1215643740.0400002</v>
      </c>
      <c r="BH8" s="26">
        <f>资产资本表!BH107</f>
        <v>1190739844.0600002</v>
      </c>
      <c r="BI8" s="26">
        <f>资产资本表!BI107</f>
        <v>1186963928.8500001</v>
      </c>
      <c r="BJ8" s="26">
        <f>资产资本表!BJ107</f>
        <v>1012454852.25</v>
      </c>
      <c r="BK8" s="26">
        <f>资产资本表!BK107</f>
        <v>992439418.70000005</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742</v>
      </c>
      <c r="E9" s="63">
        <f>股东权益回报率分析表!E14</f>
        <v>0.18690035226306229</v>
      </c>
      <c r="F9" s="63">
        <f>股东权益回报率分析表!F14</f>
        <v>0.16157570726320716</v>
      </c>
      <c r="G9" s="63">
        <f>股东权益回报率分析表!G14</f>
        <v>0.10733186058195505</v>
      </c>
      <c r="H9" s="63">
        <f>股东权益回报率分析表!H14</f>
        <v>5.4975263535344709E-2</v>
      </c>
      <c r="I9" s="63">
        <f>股东权益回报率分析表!I14</f>
        <v>0.20541294522997128</v>
      </c>
      <c r="J9" s="63">
        <f>股东权益回报率分析表!J14</f>
        <v>0.16395758076301581</v>
      </c>
      <c r="K9" s="63">
        <f>股东权益回报率分析表!K14</f>
        <v>0.11088126658197796</v>
      </c>
      <c r="L9" s="63">
        <f>股东权益回报率分析表!L14</f>
        <v>5.8657606771533033E-2</v>
      </c>
      <c r="M9" s="63">
        <f>股东权益回报率分析表!M14</f>
        <v>0.18994631266349921</v>
      </c>
      <c r="N9" s="63">
        <f>股东权益回报率分析表!N14</f>
        <v>0.14090476568821542</v>
      </c>
      <c r="O9" s="63">
        <f>股东权益回报率分析表!O14</f>
        <v>9.2898608120369833E-2</v>
      </c>
      <c r="P9" s="63">
        <f>股东权益回报率分析表!P14</f>
        <v>5.1117776481317143E-2</v>
      </c>
      <c r="Q9" s="63">
        <f>股东权益回报率分析表!Q14</f>
        <v>0.15339133122973797</v>
      </c>
      <c r="R9" s="63">
        <f>股东权益回报率分析表!R14</f>
        <v>0.11799490905754363</v>
      </c>
      <c r="S9" s="63">
        <f>股东权益回报率分析表!S14</f>
        <v>7.4577965047638223E-2</v>
      </c>
      <c r="T9" s="63">
        <f>股东权益回报率分析表!T14</f>
        <v>3.9796957020373461E-2</v>
      </c>
      <c r="U9" s="63">
        <f>股东权益回报率分析表!U14</f>
        <v>9.6322660978549121E-2</v>
      </c>
      <c r="V9" s="63">
        <f>股东权益回报率分析表!V14</f>
        <v>8.2226139130889275E-2</v>
      </c>
      <c r="W9" s="63">
        <f>股东权益回报率分析表!W14</f>
        <v>5.478181824583591E-2</v>
      </c>
      <c r="X9" s="63">
        <f>股东权益回报率分析表!X14</f>
        <v>2.7495095461610438E-2</v>
      </c>
      <c r="Y9" s="63">
        <f>股东权益回报率分析表!Y14</f>
        <v>8.6206808470606355E-2</v>
      </c>
      <c r="Z9" s="63">
        <f>股东权益回报率分析表!Z14</f>
        <v>7.7977332558831478E-2</v>
      </c>
      <c r="AA9" s="63">
        <f>股东权益回报率分析表!AA14</f>
        <v>5.7507616922565841E-2</v>
      </c>
      <c r="AB9" s="63">
        <f>股东权益回报率分析表!AB14</f>
        <v>3.1627183491329147E-2</v>
      </c>
      <c r="AC9" s="63">
        <f>股东权益回报率分析表!AC14</f>
        <v>0.12657069517926164</v>
      </c>
      <c r="AD9" s="63">
        <f>股东权益回报率分析表!AD14</f>
        <v>0.12662723410643623</v>
      </c>
      <c r="AE9" s="63">
        <f>股东权益回报率分析表!AE14</f>
        <v>8.8342114318403872E-2</v>
      </c>
      <c r="AF9" s="63">
        <f>股东权益回报率分析表!AF14</f>
        <v>4.4775622707476787E-2</v>
      </c>
      <c r="AG9" s="63">
        <f>股东权益回报率分析表!AG14</f>
        <v>0.16536361588773643</v>
      </c>
      <c r="AH9" s="63">
        <f>股东权益回报率分析表!AH14</f>
        <v>0.12997210994391953</v>
      </c>
      <c r="AI9" s="63">
        <f>股东权益回报率分析表!AI14</f>
        <v>8.7079242848255189E-2</v>
      </c>
      <c r="AJ9" s="63">
        <f>股东权益回报率分析表!AJ14</f>
        <v>4.2416184617843002E-2</v>
      </c>
      <c r="AK9" s="63">
        <f>股东权益回报率分析表!AK14</f>
        <v>0.11172441376854814</v>
      </c>
      <c r="AL9" s="63">
        <f>股东权益回报率分析表!AL14</f>
        <v>7.389311659567166E-2</v>
      </c>
      <c r="AM9" s="63">
        <f>股东权益回报率分析表!AM14</f>
        <v>3.5433343423442024E-2</v>
      </c>
      <c r="AN9" s="63">
        <f>股东权益回报率分析表!AN14</f>
        <v>2.0691974157978698E-2</v>
      </c>
      <c r="AO9" s="63">
        <f>股东权益回报率分析表!AO14</f>
        <v>2.918020468784057E-3</v>
      </c>
      <c r="AP9" s="63">
        <f>股东权益回报率分析表!AP14</f>
        <v>6.4216244216788662E-2</v>
      </c>
      <c r="AQ9" s="63">
        <f>股东权益回报率分析表!AQ14</f>
        <v>3.9834113051261652E-2</v>
      </c>
      <c r="AR9" s="63">
        <f>股东权益回报率分析表!AR14</f>
        <v>2.0445198723059273E-2</v>
      </c>
      <c r="AS9" s="63">
        <f>股东权益回报率分析表!AS14</f>
        <v>0.18502154289320882</v>
      </c>
      <c r="AT9" s="63">
        <f>股东权益回报率分析表!AT14</f>
        <v>0.14134516722792795</v>
      </c>
      <c r="AU9" s="63">
        <f>股东权益回报率分析表!AU14</f>
        <v>4.1003762208174512E-2</v>
      </c>
      <c r="AV9" s="63">
        <f>股东权益回报率分析表!AV14</f>
        <v>1.2862154970764716E-2</v>
      </c>
      <c r="AW9" s="63">
        <f>股东权益回报率分析表!AW14</f>
        <v>-3.0383677388669188E-2</v>
      </c>
      <c r="AX9" s="63">
        <f>股东权益回报率分析表!AX14</f>
        <v>-6.3969102341854068E-3</v>
      </c>
      <c r="AY9" s="63">
        <f>股东权益回报率分析表!AY14</f>
        <v>2.0543639356716587E-3</v>
      </c>
      <c r="AZ9" s="63">
        <f>股东权益回报率分析表!AZ14</f>
        <v>8.0779092970358953E-3</v>
      </c>
      <c r="BA9" s="63">
        <f>股东权益回报率分析表!BA14</f>
        <v>-8.9748536133886433E-3</v>
      </c>
      <c r="BB9" s="63">
        <f>股东权益回报率分析表!BB14</f>
        <v>-1.0172658816242139E-2</v>
      </c>
      <c r="BC9" s="63">
        <f>股东权益回报率分析表!BC14</f>
        <v>-2.856052276642563E-3</v>
      </c>
      <c r="BD9" s="63">
        <f>股东权益回报率分析表!BD14</f>
        <v>3.0235402717192681E-3</v>
      </c>
      <c r="BE9" s="63">
        <f>股东权益回报率分析表!BE14</f>
        <v>1.5999727444239803E-4</v>
      </c>
      <c r="BF9" s="63">
        <f>股东权益回报率分析表!BF14</f>
        <v>1.8573777096852637E-2</v>
      </c>
      <c r="BG9" s="63">
        <f>股东权益回报率分析表!BG14</f>
        <v>1.3215129195229007E-2</v>
      </c>
      <c r="BH9" s="63">
        <f>股东权益回报率分析表!BH14</f>
        <v>1.171029496456244E-3</v>
      </c>
      <c r="BI9" s="63">
        <f>股东权益回报率分析表!BI14</f>
        <v>3.4457961809864747E-2</v>
      </c>
      <c r="BJ9" s="63">
        <f>股东权益回报率分析表!BJ14</f>
        <v>-5.635788872283551E-3</v>
      </c>
      <c r="BK9" s="63">
        <f>股东权益回报率分析表!BK14</f>
        <v>-2.229656978859788E-2</v>
      </c>
      <c r="BL9" s="63" t="e">
        <f>股东权益回报率分析表!BL14</f>
        <v>#DIV/0!</v>
      </c>
      <c r="BM9" s="63">
        <f>股东权益回报率分析表!BM14</f>
        <v>-0.57598992910960256</v>
      </c>
      <c r="BN9" s="63">
        <f>股东权益回报率分析表!BN14</f>
        <v>4.7055360452303808E-3</v>
      </c>
      <c r="BO9" s="63">
        <f>股东权益回报率分析表!BO14</f>
        <v>1.3503926683288762E-2</v>
      </c>
      <c r="BP9" s="63">
        <f>股东权益回报率分析表!BP14</f>
        <v>9.2312220683056622E-3</v>
      </c>
      <c r="BQ9" s="63">
        <f>股东权益回报率分析表!BQ14</f>
        <v>-4.9782039184401911E-2</v>
      </c>
      <c r="BR9" s="63">
        <f>股东权益回报率分析表!BR14</f>
        <v>3.9599544989137439E-2</v>
      </c>
      <c r="BS9" s="63">
        <f>股东权益回报率分析表!BS14</f>
        <v>8.593336255852381E-2</v>
      </c>
      <c r="BT9" s="63">
        <f>股东权益回报率分析表!BT14</f>
        <v>5.3583827379825234E-2</v>
      </c>
      <c r="BU9" s="63">
        <f>股东权益回报率分析表!BU14</f>
        <v>9.2211306674913202E-2</v>
      </c>
      <c r="BV9" s="63">
        <f>股东权益回报率分析表!BV14</f>
        <v>6.3045034943637002E-2</v>
      </c>
    </row>
    <row r="10" spans="1:74" s="26" customFormat="1" x14ac:dyDescent="0.25">
      <c r="A10" s="17" t="s">
        <v>332</v>
      </c>
      <c r="E10" s="26">
        <f>资产资本表!E70</f>
        <v>8308941551.6899986</v>
      </c>
      <c r="F10" s="26">
        <f>资产资本表!F70</f>
        <v>7968731136.8100014</v>
      </c>
      <c r="G10" s="26">
        <f>资产资本表!G70</f>
        <v>7490464371.6600037</v>
      </c>
      <c r="H10" s="26">
        <f>资产资本表!H70</f>
        <v>7508689403.7900009</v>
      </c>
      <c r="I10" s="26">
        <f>资产资本表!I70</f>
        <v>7151786156.4699993</v>
      </c>
      <c r="J10" s="26">
        <f>资产资本表!J70</f>
        <v>6756513853.2900009</v>
      </c>
      <c r="K10" s="26">
        <f>资产资本表!K70</f>
        <v>6340709373.3899975</v>
      </c>
      <c r="L10" s="26">
        <f>资产资本表!L70</f>
        <v>6384321231.7099991</v>
      </c>
      <c r="M10" s="26">
        <f>资产资本表!M70</f>
        <v>6003108760.5999994</v>
      </c>
      <c r="N10" s="26">
        <f>资产资本表!N70</f>
        <v>5791723292.5999985</v>
      </c>
      <c r="O10" s="26">
        <f>资产资本表!O70</f>
        <v>5396282954.5099993</v>
      </c>
      <c r="P10" s="26">
        <f>资产资本表!P70</f>
        <v>5554503018.1900005</v>
      </c>
      <c r="Q10" s="26">
        <f>资产资本表!Q70</f>
        <v>5158745053.8099995</v>
      </c>
      <c r="R10" s="26">
        <f>资产资本表!R70</f>
        <v>5052405561.6800003</v>
      </c>
      <c r="S10" s="26">
        <f>资产资本表!S70</f>
        <v>4765867651.8199997</v>
      </c>
      <c r="T10" s="26">
        <f>资产资本表!T70</f>
        <v>4737136414.499999</v>
      </c>
      <c r="U10" s="26">
        <f>资产资本表!U70</f>
        <v>4549948661.5799999</v>
      </c>
      <c r="V10" s="26">
        <f>资产资本表!V70</f>
        <v>4442205441.5500002</v>
      </c>
      <c r="W10" s="26">
        <f>资产资本表!W70</f>
        <v>4316849546.079999</v>
      </c>
      <c r="X10" s="26">
        <f>资产资本表!X70</f>
        <v>4390102571.4899988</v>
      </c>
      <c r="Y10" s="26">
        <f>资产资本表!Y70</f>
        <v>4269566443.7499981</v>
      </c>
      <c r="Z10" s="26">
        <f>资产资本表!Z70</f>
        <v>4199662721.8599992</v>
      </c>
      <c r="AA10" s="26">
        <f>资产资本表!AA70</f>
        <v>4103192454.9400005</v>
      </c>
      <c r="AB10" s="26">
        <f>资产资本表!AB70</f>
        <v>4131800059.5800004</v>
      </c>
      <c r="AC10" s="26">
        <f>资产资本表!AC70</f>
        <v>4001602474.8900008</v>
      </c>
      <c r="AD10" s="26">
        <f>资产资本表!AD70</f>
        <v>3964714846.8699999</v>
      </c>
      <c r="AE10" s="26">
        <f>资产资本表!AE70</f>
        <v>3834877349.2600002</v>
      </c>
      <c r="AF10" s="26">
        <f>资产资本表!AF70</f>
        <v>3790073458.5700006</v>
      </c>
      <c r="AG10" s="26">
        <f>资产资本表!AG70</f>
        <v>3549113988.8100014</v>
      </c>
      <c r="AH10" s="26">
        <f>资产资本表!AH70</f>
        <v>2216037107.4700003</v>
      </c>
      <c r="AI10" s="26">
        <f>资产资本表!AI70</f>
        <v>2110683959.5899999</v>
      </c>
      <c r="AJ10" s="26">
        <f>资产资本表!AJ70</f>
        <v>2018789798.7300003</v>
      </c>
      <c r="AK10" s="26">
        <f>资产资本表!AK70</f>
        <v>1933566206.9999995</v>
      </c>
      <c r="AL10" s="26">
        <f>资产资本表!AL70</f>
        <v>1863386910.6100006</v>
      </c>
      <c r="AM10" s="26">
        <f>资产资本表!AM70</f>
        <v>1814871177.5</v>
      </c>
      <c r="AN10" s="26">
        <f>资产资本表!AN70</f>
        <v>1830633782.99</v>
      </c>
      <c r="AO10" s="26">
        <f>资产资本表!AO70</f>
        <v>1793359722.6999996</v>
      </c>
      <c r="AP10" s="26">
        <f>资产资本表!AP70</f>
        <v>1962900890.6800003</v>
      </c>
      <c r="AQ10" s="26">
        <f>资产资本表!AQ70</f>
        <v>1992472868.8799999</v>
      </c>
      <c r="AR10" s="26">
        <f>资产资本表!AR70</f>
        <v>1982444184.8800001</v>
      </c>
      <c r="AS10" s="26">
        <f>资产资本表!AS70</f>
        <v>1934146576.8699996</v>
      </c>
      <c r="AT10" s="26">
        <f>资产资本表!AT70</f>
        <v>1877027622.3799999</v>
      </c>
      <c r="AU10" s="26">
        <f>资产资本表!AU70</f>
        <v>1743939429.3799996</v>
      </c>
      <c r="AV10" s="26">
        <f>资产资本表!AV70</f>
        <v>1807422770.9699998</v>
      </c>
      <c r="AW10" s="26">
        <f>资产资本表!AW70</f>
        <v>2045350967.9700003</v>
      </c>
      <c r="AX10" s="26">
        <f>资产资本表!AX70</f>
        <v>2319820046.9699998</v>
      </c>
      <c r="AY10" s="26">
        <f>资产资本表!AY70</f>
        <v>2197770621.25</v>
      </c>
      <c r="AZ10" s="26">
        <f>资产资本表!AZ70</f>
        <v>2152632956.1599998</v>
      </c>
      <c r="BA10" s="26">
        <f>资产资本表!BA70</f>
        <v>2064693949.0599997</v>
      </c>
      <c r="BB10" s="26">
        <f>资产资本表!BB70</f>
        <v>2112602996.9499998</v>
      </c>
      <c r="BC10" s="26">
        <f>资产资本表!BC70</f>
        <v>2047597173.99</v>
      </c>
      <c r="BD10" s="26">
        <f>资产资本表!BD70</f>
        <v>2072833534.0700004</v>
      </c>
      <c r="BE10" s="26">
        <f>资产资本表!BE70</f>
        <v>2023370196.0599999</v>
      </c>
      <c r="BF10" s="26">
        <f>资产资本表!BF70</f>
        <v>1935057599.8400002</v>
      </c>
      <c r="BG10" s="26">
        <f>资产资本表!BG70</f>
        <v>1930198210.8499999</v>
      </c>
      <c r="BH10" s="26">
        <f>资产资本表!BH70</f>
        <v>1894704090.3900001</v>
      </c>
      <c r="BI10" s="26">
        <f>资产资本表!BI70</f>
        <v>1857673383.1100001</v>
      </c>
      <c r="BJ10" s="26">
        <f>资产资本表!BJ70</f>
        <v>1628147352.5200002</v>
      </c>
      <c r="BK10" s="26">
        <f>资产资本表!BK70</f>
        <v>1637862052.9499998</v>
      </c>
      <c r="BL10" s="26">
        <f>资产资本表!BL70</f>
        <v>0</v>
      </c>
      <c r="BM10" s="26">
        <f>资产资本表!BM70</f>
        <v>1862825259.6399996</v>
      </c>
      <c r="BN10" s="26">
        <f>资产资本表!BN70</f>
        <v>2816935867.8800001</v>
      </c>
      <c r="BO10" s="26">
        <f>资产资本表!BO70</f>
        <v>2857540852.3000002</v>
      </c>
      <c r="BP10" s="26">
        <f>资产资本表!BP70</f>
        <v>2857020155.2800002</v>
      </c>
      <c r="BQ10" s="26">
        <f>资产资本表!BQ70</f>
        <v>2504318409.2999997</v>
      </c>
      <c r="BR10" s="26">
        <f>资产资本表!BR70</f>
        <v>2871633678.5099998</v>
      </c>
      <c r="BS10" s="26">
        <f>资产资本表!BS70</f>
        <v>2745347784.3800001</v>
      </c>
      <c r="BT10" s="26">
        <f>资产资本表!BT70</f>
        <v>2974544716.1199999</v>
      </c>
      <c r="BU10" s="26">
        <f>资产资本表!BU70</f>
        <v>2630676870.54</v>
      </c>
    </row>
    <row r="11" spans="1:74" s="63" customFormat="1" x14ac:dyDescent="0.25">
      <c r="A11" s="17" t="s">
        <v>348</v>
      </c>
      <c r="E11" s="63">
        <f>E4/E10</f>
        <v>9.7959134546379036E-3</v>
      </c>
      <c r="F11" s="63">
        <f t="shared" ref="F11:BQ11" si="3">F4/F10</f>
        <v>1.875706400854114E-2</v>
      </c>
      <c r="G11" s="63">
        <f t="shared" si="3"/>
        <v>2.2695522141883622E-2</v>
      </c>
      <c r="H11" s="63">
        <f t="shared" si="3"/>
        <v>1.6441629192663933E-2</v>
      </c>
      <c r="I11" s="63">
        <f t="shared" si="3"/>
        <v>2.57017002603902E-2</v>
      </c>
      <c r="J11" s="63">
        <f t="shared" si="3"/>
        <v>0</v>
      </c>
      <c r="K11" s="63">
        <f t="shared" si="3"/>
        <v>0</v>
      </c>
      <c r="L11" s="63">
        <f t="shared" si="3"/>
        <v>0</v>
      </c>
      <c r="M11" s="63">
        <f t="shared" si="3"/>
        <v>0</v>
      </c>
      <c r="N11" s="63">
        <f t="shared" si="3"/>
        <v>1.7225725082113365E-2</v>
      </c>
      <c r="O11" s="63">
        <f t="shared" si="3"/>
        <v>2.8230770047497091E-3</v>
      </c>
      <c r="P11" s="63">
        <f t="shared" si="3"/>
        <v>2.0910695536510544E-2</v>
      </c>
      <c r="Q11" s="63">
        <f t="shared" si="3"/>
        <v>0</v>
      </c>
      <c r="R11" s="63">
        <f t="shared" si="3"/>
        <v>1.9961172706504826E-2</v>
      </c>
      <c r="S11" s="63">
        <f t="shared" si="3"/>
        <v>1.0624369726394658E-2</v>
      </c>
      <c r="T11" s="63">
        <f t="shared" si="3"/>
        <v>1.145839917842628E-4</v>
      </c>
      <c r="U11" s="63">
        <f t="shared" si="3"/>
        <v>1.2496844300712392E-4</v>
      </c>
      <c r="V11" s="63">
        <f t="shared" si="3"/>
        <v>1.6757441991252427E-4</v>
      </c>
      <c r="W11" s="63">
        <f t="shared" si="3"/>
        <v>2.131647142614933E-4</v>
      </c>
      <c r="X11" s="63">
        <f t="shared" si="3"/>
        <v>2.4965248126947935E-4</v>
      </c>
      <c r="Y11" s="63">
        <f t="shared" si="3"/>
        <v>2.9787567818782243E-4</v>
      </c>
      <c r="Z11" s="63">
        <f t="shared" si="3"/>
        <v>1.7364370624434881E-3</v>
      </c>
      <c r="AA11" s="63">
        <f t="shared" si="3"/>
        <v>1.7835502673507943E-3</v>
      </c>
      <c r="AB11" s="63">
        <f t="shared" si="3"/>
        <v>3.5349087926303626E-3</v>
      </c>
      <c r="AC11" s="63">
        <f t="shared" si="3"/>
        <v>3.3943242601511465E-3</v>
      </c>
      <c r="AD11" s="63">
        <f t="shared" si="3"/>
        <v>4.5113001365332424E-3</v>
      </c>
      <c r="AE11" s="63">
        <f t="shared" si="3"/>
        <v>1.2422721798180275E-2</v>
      </c>
      <c r="AF11" s="63">
        <f t="shared" si="3"/>
        <v>2.4727086792497081E-2</v>
      </c>
      <c r="AG11" s="63">
        <f t="shared" si="3"/>
        <v>4.8080182642207944E-3</v>
      </c>
      <c r="AH11" s="63">
        <f t="shared" si="3"/>
        <v>2.2449759452267425E-3</v>
      </c>
      <c r="AI11" s="63">
        <f t="shared" si="3"/>
        <v>2.4524277907553224E-3</v>
      </c>
      <c r="AJ11" s="63">
        <f t="shared" si="3"/>
        <v>2.64460420959064E-3</v>
      </c>
      <c r="AK11" s="63">
        <f t="shared" si="3"/>
        <v>2.4198809345451085E-3</v>
      </c>
      <c r="AL11" s="63">
        <f t="shared" si="3"/>
        <v>9.8436092663092677E-3</v>
      </c>
      <c r="AM11" s="63">
        <f t="shared" si="3"/>
        <v>1.671879141405341E-2</v>
      </c>
      <c r="AN11" s="63">
        <f t="shared" si="3"/>
        <v>4.1028063995042247E-2</v>
      </c>
      <c r="AO11" s="63">
        <f t="shared" si="3"/>
        <v>4.2095673999158235E-2</v>
      </c>
      <c r="AP11" s="63">
        <f t="shared" si="3"/>
        <v>6.5231062708236309E-2</v>
      </c>
      <c r="AQ11" s="63">
        <f t="shared" si="3"/>
        <v>0.10139592340023351</v>
      </c>
      <c r="AR11" s="63">
        <f t="shared" si="3"/>
        <v>0.11236359976181808</v>
      </c>
      <c r="AS11" s="63">
        <f t="shared" si="3"/>
        <v>0.10451584148660265</v>
      </c>
      <c r="AT11" s="63">
        <f t="shared" si="3"/>
        <v>0.20033907816081739</v>
      </c>
      <c r="AU11" s="63">
        <f t="shared" si="3"/>
        <v>0.23055162193502449</v>
      </c>
      <c r="AV11" s="63">
        <f t="shared" si="3"/>
        <v>0.25194330364423539</v>
      </c>
      <c r="AW11" s="63">
        <f t="shared" si="3"/>
        <v>0.27397159351881906</v>
      </c>
      <c r="AX11" s="63">
        <f t="shared" si="3"/>
        <v>0.30745835864794724</v>
      </c>
      <c r="AY11" s="63">
        <f t="shared" si="3"/>
        <v>0.32894609519751311</v>
      </c>
      <c r="AZ11" s="63">
        <f t="shared" si="3"/>
        <v>0.34020572894432966</v>
      </c>
      <c r="BA11" s="63">
        <f t="shared" si="3"/>
        <v>0.34300152055098604</v>
      </c>
      <c r="BB11" s="63">
        <f t="shared" si="3"/>
        <v>0.34911561474863129</v>
      </c>
      <c r="BC11" s="63">
        <f t="shared" si="3"/>
        <v>0.34164097210431899</v>
      </c>
      <c r="BD11" s="63">
        <f t="shared" si="3"/>
        <v>0.3453949881803785</v>
      </c>
      <c r="BE11" s="63">
        <f t="shared" si="3"/>
        <v>0.35265818651943837</v>
      </c>
      <c r="BF11" s="63">
        <f t="shared" si="3"/>
        <v>0.32947756389924326</v>
      </c>
      <c r="BG11" s="63">
        <f t="shared" si="3"/>
        <v>0.32678408904038592</v>
      </c>
      <c r="BH11" s="63">
        <f t="shared" si="3"/>
        <v>0.34409492611893971</v>
      </c>
      <c r="BI11" s="63">
        <f t="shared" si="3"/>
        <v>0.34277180789121264</v>
      </c>
      <c r="BJ11" s="63">
        <f t="shared" si="3"/>
        <v>0.38998808247744282</v>
      </c>
      <c r="BK11" s="63">
        <f t="shared" si="3"/>
        <v>0.29792378614616832</v>
      </c>
      <c r="BL11" s="63" t="e">
        <f t="shared" si="3"/>
        <v>#DIV/0!</v>
      </c>
      <c r="BM11" s="63">
        <f t="shared" si="3"/>
        <v>0.3448300159533691</v>
      </c>
      <c r="BN11" s="63">
        <f t="shared" si="3"/>
        <v>0.24752358473987907</v>
      </c>
      <c r="BO11" s="63">
        <f t="shared" si="3"/>
        <v>0.24565460313016851</v>
      </c>
      <c r="BP11" s="63">
        <f t="shared" si="3"/>
        <v>0.23680899231657448</v>
      </c>
      <c r="BQ11" s="63">
        <f t="shared" si="3"/>
        <v>0.21289547767571093</v>
      </c>
      <c r="BR11" s="63">
        <f>BR4/BR10</f>
        <v>0.22256949721094949</v>
      </c>
      <c r="BS11" s="63">
        <f>BS4/BS10</f>
        <v>0.20094287038557651</v>
      </c>
      <c r="BT11" s="63">
        <f>BT4/BT10</f>
        <v>0.22334020072374641</v>
      </c>
      <c r="BU11" s="63">
        <f>BU4/BU10</f>
        <v>0.15858934799330249</v>
      </c>
      <c r="BV11" s="63" t="e">
        <f>BV4/BV10*100</f>
        <v>#DIV/0!</v>
      </c>
    </row>
    <row r="12" spans="1:74" s="63" customFormat="1" x14ac:dyDescent="0.25">
      <c r="A12" s="17" t="s">
        <v>349</v>
      </c>
      <c r="E12" s="63">
        <f>E8/E10</f>
        <v>0.98909084411220072</v>
      </c>
      <c r="F12" s="63">
        <f t="shared" ref="F12:BQ12" si="4">F8/F10</f>
        <v>0.980173631356416</v>
      </c>
      <c r="G12" s="63">
        <f t="shared" si="4"/>
        <v>0.97583409903331697</v>
      </c>
      <c r="H12" s="63">
        <f t="shared" si="4"/>
        <v>0.98237600402232561</v>
      </c>
      <c r="I12" s="63">
        <f t="shared" si="4"/>
        <v>0.97305692803808497</v>
      </c>
      <c r="J12" s="63">
        <f t="shared" si="4"/>
        <v>0.99749344841766974</v>
      </c>
      <c r="K12" s="63">
        <f t="shared" si="4"/>
        <v>0.99732907636942458</v>
      </c>
      <c r="L12" s="63">
        <f t="shared" si="4"/>
        <v>0.99762143570962969</v>
      </c>
      <c r="M12" s="63">
        <f t="shared" si="4"/>
        <v>0.99743771533826719</v>
      </c>
      <c r="N12" s="63">
        <f t="shared" si="4"/>
        <v>0.98019199869293172</v>
      </c>
      <c r="O12" s="63">
        <f t="shared" si="4"/>
        <v>0.99436493378565605</v>
      </c>
      <c r="P12" s="63">
        <f t="shared" si="4"/>
        <v>0.97656081853162335</v>
      </c>
      <c r="Q12" s="63">
        <f t="shared" si="4"/>
        <v>0.99727667117613739</v>
      </c>
      <c r="R12" s="63">
        <f t="shared" si="4"/>
        <v>0.97722400618177285</v>
      </c>
      <c r="S12" s="63">
        <f t="shared" si="4"/>
        <v>0.9863854966209098</v>
      </c>
      <c r="T12" s="63">
        <f t="shared" si="4"/>
        <v>0.99685983063851258</v>
      </c>
      <c r="U12" s="63">
        <f t="shared" si="4"/>
        <v>0.996567153372105</v>
      </c>
      <c r="V12" s="63">
        <f t="shared" si="4"/>
        <v>0.99604034109375572</v>
      </c>
      <c r="W12" s="63">
        <f t="shared" si="4"/>
        <v>0.9952043668955759</v>
      </c>
      <c r="X12" s="63">
        <f t="shared" si="4"/>
        <v>0.99558410491684279</v>
      </c>
      <c r="Y12" s="63">
        <f t="shared" si="4"/>
        <v>0.99554442637897222</v>
      </c>
      <c r="Z12" s="63">
        <f t="shared" si="4"/>
        <v>0.99130910494549573</v>
      </c>
      <c r="AA12" s="63">
        <f t="shared" si="4"/>
        <v>0.9925796567077072</v>
      </c>
      <c r="AB12" s="63">
        <f t="shared" si="4"/>
        <v>0.99097907487958425</v>
      </c>
      <c r="AC12" s="63">
        <f t="shared" si="4"/>
        <v>0.99086030062218855</v>
      </c>
      <c r="AD12" s="63">
        <f t="shared" si="4"/>
        <v>0.99110673813330208</v>
      </c>
      <c r="AE12" s="63">
        <f t="shared" si="4"/>
        <v>0.98163189241929927</v>
      </c>
      <c r="AF12" s="63">
        <f t="shared" si="4"/>
        <v>0.96540622693116096</v>
      </c>
      <c r="AG12" s="63">
        <f t="shared" si="4"/>
        <v>0.98921654612090004</v>
      </c>
      <c r="AH12" s="63">
        <f t="shared" si="4"/>
        <v>0.98687560126048379</v>
      </c>
      <c r="AI12" s="63">
        <f t="shared" si="4"/>
        <v>0.9877359637370684</v>
      </c>
      <c r="AJ12" s="63">
        <f t="shared" si="4"/>
        <v>0.99045363564739419</v>
      </c>
      <c r="AK12" s="63">
        <f t="shared" si="4"/>
        <v>0.99024578372247096</v>
      </c>
      <c r="AL12" s="63">
        <f t="shared" si="4"/>
        <v>0.98406092782401378</v>
      </c>
      <c r="AM12" s="63">
        <f t="shared" si="4"/>
        <v>0.97514060004955916</v>
      </c>
      <c r="AN12" s="63">
        <f t="shared" si="4"/>
        <v>0.94691611375090046</v>
      </c>
      <c r="AO12" s="63">
        <f t="shared" si="4"/>
        <v>0.94559792967630929</v>
      </c>
      <c r="AP12" s="63">
        <f t="shared" si="4"/>
        <v>0.92810279541362362</v>
      </c>
      <c r="AQ12" s="63">
        <f t="shared" si="4"/>
        <v>0.89203633054189635</v>
      </c>
      <c r="AR12" s="63">
        <f t="shared" si="4"/>
        <v>0.88082299641929074</v>
      </c>
      <c r="AS12" s="63">
        <f t="shared" si="4"/>
        <v>0.88850061706854044</v>
      </c>
      <c r="AT12" s="63">
        <f t="shared" si="4"/>
        <v>0.79685380935603289</v>
      </c>
      <c r="AU12" s="63">
        <f t="shared" si="4"/>
        <v>0.76944837806497568</v>
      </c>
      <c r="AV12" s="63">
        <f t="shared" si="4"/>
        <v>0.74805669635576477</v>
      </c>
      <c r="AW12" s="63">
        <f t="shared" si="4"/>
        <v>0.64265069506119077</v>
      </c>
      <c r="AX12" s="63">
        <f t="shared" si="4"/>
        <v>0.57609785820049997</v>
      </c>
      <c r="AY12" s="63">
        <f t="shared" si="4"/>
        <v>0.58393935782983386</v>
      </c>
      <c r="AZ12" s="63">
        <f t="shared" si="4"/>
        <v>0.58985785288034154</v>
      </c>
      <c r="BA12" s="63">
        <f t="shared" si="4"/>
        <v>0.6092589315974426</v>
      </c>
      <c r="BB12" s="63">
        <f t="shared" si="4"/>
        <v>0.59040884974164443</v>
      </c>
      <c r="BC12" s="63">
        <f t="shared" si="4"/>
        <v>0.60876738662469343</v>
      </c>
      <c r="BD12" s="63">
        <f t="shared" si="4"/>
        <v>0.59385938814053829</v>
      </c>
      <c r="BE12" s="63">
        <f t="shared" si="4"/>
        <v>0.60223646790034346</v>
      </c>
      <c r="BF12" s="63">
        <f t="shared" si="4"/>
        <v>0.63114570686215399</v>
      </c>
      <c r="BG12" s="63">
        <f t="shared" si="4"/>
        <v>0.62980254214652287</v>
      </c>
      <c r="BH12" s="63">
        <f t="shared" si="4"/>
        <v>0.62845689208118083</v>
      </c>
      <c r="BI12" s="63">
        <f t="shared" si="4"/>
        <v>0.6389518952265224</v>
      </c>
      <c r="BJ12" s="63">
        <f t="shared" si="4"/>
        <v>0.62184473087337655</v>
      </c>
      <c r="BK12" s="63">
        <f t="shared" si="4"/>
        <v>0.60593590095850214</v>
      </c>
      <c r="BL12" s="63" t="e">
        <f t="shared" si="4"/>
        <v>#DIV/0!</v>
      </c>
      <c r="BM12" s="63">
        <f t="shared" si="4"/>
        <v>0.61080030972947419</v>
      </c>
      <c r="BN12" s="63">
        <f t="shared" si="4"/>
        <v>0.74542712759034357</v>
      </c>
      <c r="BO12" s="63">
        <f t="shared" si="4"/>
        <v>0.73576417131105654</v>
      </c>
      <c r="BP12" s="63">
        <f t="shared" si="4"/>
        <v>0.73632337391187541</v>
      </c>
      <c r="BQ12" s="63">
        <f t="shared" si="4"/>
        <v>0.78581560102018788</v>
      </c>
      <c r="BR12" s="63">
        <f>BR8/BR10</f>
        <v>0.7582647219612686</v>
      </c>
      <c r="BS12" s="63">
        <f>BS8/BS10</f>
        <v>0.75561100251219315</v>
      </c>
      <c r="BT12" s="63">
        <f>BT8/BT10</f>
        <v>0.71881322848593632</v>
      </c>
      <c r="BU12" s="63">
        <f>BU8/BU10</f>
        <v>0.76847614723393343</v>
      </c>
      <c r="BV12" s="63" t="e">
        <f>BV8/BV10*100</f>
        <v>#DIV/0!</v>
      </c>
    </row>
    <row r="13" spans="1:74" s="63" customFormat="1" x14ac:dyDescent="0.25">
      <c r="A13" s="63" t="s">
        <v>350</v>
      </c>
      <c r="E13" s="63">
        <f>E5*E11*(1-E6)+E9*E12</f>
        <v>0.18746822405323726</v>
      </c>
      <c r="F13" s="63">
        <f t="shared" ref="F13:J13" si="5">F5*F11*(1-F6)+F9*F12</f>
        <v>0.15837224772715899</v>
      </c>
      <c r="G13" s="63">
        <f t="shared" si="5"/>
        <v>0.1047380894685617</v>
      </c>
      <c r="H13" s="63">
        <f t="shared" si="5"/>
        <v>5.4006379711926206E-2</v>
      </c>
      <c r="I13" s="63">
        <f t="shared" si="5"/>
        <v>0.20317096467913831</v>
      </c>
      <c r="J13" s="63">
        <f t="shared" si="5"/>
        <v>0.16354661262951922</v>
      </c>
      <c r="K13" s="63">
        <f t="shared" ref="K13" si="6">K5*K11*(1-K6)+K9*K12</f>
        <v>0.11058511118687601</v>
      </c>
      <c r="L13" s="63">
        <f t="shared" ref="L13" si="7">L5*L11*(1-L6)+L9*L12</f>
        <v>5.8518085882707682E-2</v>
      </c>
      <c r="M13" s="63">
        <f t="shared" ref="M13" si="8">M5*M11*(1-M6)+M9*M12</f>
        <v>0.18945961614000881</v>
      </c>
      <c r="N13" s="63">
        <f t="shared" ref="N13:O13" si="9">N5*N11*(1-N6)+N9*N12</f>
        <v>0.13811372390529109</v>
      </c>
      <c r="O13" s="63">
        <f t="shared" si="9"/>
        <v>9.2375118312391161E-2</v>
      </c>
      <c r="P13" s="63">
        <f t="shared" ref="P13" si="10">P5*P11*(1-P6)+P9*P12</f>
        <v>4.9919617642111634E-2</v>
      </c>
      <c r="Q13" s="63">
        <f t="shared" ref="Q13" si="11">Q5*Q11*(1-Q6)+Q9*Q12</f>
        <v>0.15297359619606937</v>
      </c>
      <c r="R13" s="63">
        <f t="shared" ref="R13" si="12">R5*R11*(1-R6)+R9*R12</f>
        <v>0.11530745773826674</v>
      </c>
      <c r="S13" s="63">
        <f t="shared" ref="S13:T13" si="13">S5*S11*(1-S6)+S9*S12</f>
        <v>7.3562623090491483E-2</v>
      </c>
      <c r="T13" s="63">
        <f t="shared" si="13"/>
        <v>3.9671987835257654E-2</v>
      </c>
      <c r="U13" s="63">
        <f t="shared" ref="U13" si="14">U5*U11*(1-U6)+U9*U12</f>
        <v>9.6592514617511976E-2</v>
      </c>
      <c r="V13" s="63">
        <f t="shared" ref="V13" si="15">V5*V11*(1-V6)+V9*V12</f>
        <v>8.1900551666753571E-2</v>
      </c>
      <c r="W13" s="63">
        <f t="shared" ref="W13" si="16">W5*W11*(1-W6)+W9*W12</f>
        <v>5.4519104744735633E-2</v>
      </c>
      <c r="X13" s="63">
        <f t="shared" ref="X13:Y13" si="17">X5*X11*(1-X6)+X9*X12</f>
        <v>2.7373680004750576E-2</v>
      </c>
      <c r="Y13" s="63">
        <f t="shared" si="17"/>
        <v>8.6120705478743398E-2</v>
      </c>
      <c r="Z13" s="63">
        <f t="shared" ref="Z13" si="18">Z5*Z11*(1-Z6)+Z9*Z12</f>
        <v>7.7299639744932494E-2</v>
      </c>
      <c r="AA13" s="63">
        <f t="shared" ref="AA13" si="19">AA5*AA11*(1-AA6)+AA9*AA12</f>
        <v>5.7080890663078733E-2</v>
      </c>
      <c r="AB13" s="63">
        <f t="shared" ref="AB13" si="20">AB5*AB11*(1-AB6)+AB9*AB12</f>
        <v>3.1341877037284215E-2</v>
      </c>
      <c r="AC13" s="63">
        <f t="shared" ref="AC13:AD13" si="21">AC5*AC11*(1-AC6)+AC9*AC12</f>
        <v>0.12734151061320195</v>
      </c>
      <c r="AD13" s="63">
        <f t="shared" si="21"/>
        <v>0.12550110495407202</v>
      </c>
      <c r="AE13" s="63">
        <f t="shared" ref="AE13" si="22">AE5*AE11*(1-AE6)+AE9*AE12</f>
        <v>8.6719436858696861E-2</v>
      </c>
      <c r="AF13" s="63">
        <f t="shared" ref="AF13" si="23">AF5*AF11*(1-AF6)+AF9*AF12</f>
        <v>4.3226664976518378E-2</v>
      </c>
      <c r="AG13" s="63">
        <f t="shared" ref="AG13" si="24">AG5*AG11*(1-AG6)+AG9*AG12</f>
        <v>0.17391126428047382</v>
      </c>
      <c r="AH13" s="63">
        <f t="shared" ref="AH13:AI13" si="25">AH5*AH11*(1-AH6)+AH9*AH12</f>
        <v>0.12826630414799928</v>
      </c>
      <c r="AI13" s="63">
        <f t="shared" si="25"/>
        <v>8.6011299856215556E-2</v>
      </c>
      <c r="AJ13" s="63">
        <f t="shared" ref="AJ13" si="26">AJ5*AJ11*(1-AJ6)+AJ9*AJ12</f>
        <v>4.2011264265033675E-2</v>
      </c>
      <c r="AK13" s="63">
        <f t="shared" ref="AK13" si="27">AK5*AK11*(1-AK6)+AK9*AK12</f>
        <v>0.110906574751707</v>
      </c>
      <c r="AL13" s="63">
        <f t="shared" ref="AL13" si="28">AL5*AL11*(1-AL6)+AL9*AL12</f>
        <v>7.2715328876944679E-2</v>
      </c>
      <c r="AM13" s="63">
        <f t="shared" ref="AM13:AN13" si="29">AM5*AM11*(1-AM6)+AM9*AM12</f>
        <v>3.4552491767697355E-2</v>
      </c>
      <c r="AN13" s="63">
        <f t="shared" si="29"/>
        <v>1.9593563755507248E-2</v>
      </c>
      <c r="AO13" s="63">
        <f t="shared" ref="AO13" si="30">AO5*AO11*(1-AO6)+AO9*AO12</f>
        <v>4.9418211051375392E-3</v>
      </c>
      <c r="AP13" s="63">
        <f t="shared" ref="AP13" si="31">AP5*AP11*(1-AP6)+AP9*AP12</f>
        <v>5.9599275768565496E-2</v>
      </c>
      <c r="AQ13" s="63">
        <f t="shared" ref="AQ13" si="32">AQ5*AQ11*(1-AQ6)+AQ9*AQ12</f>
        <v>3.5533476036638506E-2</v>
      </c>
      <c r="AR13" s="63">
        <f t="shared" ref="AR13:AS13" si="33">AR5*AR11*(1-AR6)+AR9*AR12</f>
        <v>1.8008601201632925E-2</v>
      </c>
      <c r="AS13" s="63">
        <f t="shared" si="33"/>
        <v>0.17325722617658867</v>
      </c>
      <c r="AT13" s="63">
        <f t="shared" ref="AT13" si="34">AT5*AT11*(1-AT6)+AT9*AT12</f>
        <v>0.11263143493963988</v>
      </c>
      <c r="AU13" s="63">
        <f t="shared" ref="AU13" si="35">AU5*AU11*(1-AU6)+AU9*AU12</f>
        <v>3.155027832564182E-2</v>
      </c>
      <c r="AV13" s="63">
        <f t="shared" ref="AV13" si="36">AV5*AV11*(1-AV6)+AV9*AV12</f>
        <v>9.621621155446132E-3</v>
      </c>
      <c r="AW13" s="63">
        <f t="shared" ref="AW13:AX13" si="37">AW5*AW11*(1-AW6)+AW9*AW12</f>
        <v>2.0574253261278989E-2</v>
      </c>
      <c r="AX13" s="63">
        <f t="shared" si="37"/>
        <v>-3.6852462850150715E-3</v>
      </c>
      <c r="AY13" s="63">
        <f t="shared" ref="AY13" si="38">AY5*AY11*(1-AY6)+AY9*AY12</f>
        <v>1.1996239573448784E-3</v>
      </c>
      <c r="AZ13" s="63">
        <f t="shared" ref="AZ13" si="39">AZ5*AZ11*(1-AZ6)+AZ9*AZ12</f>
        <v>4.7648182337117423E-3</v>
      </c>
      <c r="BA13" s="63">
        <f t="shared" ref="BA13" si="40">BA5*BA11*(1-BA6)+BA9*BA12</f>
        <v>7.3431565609487118E-2</v>
      </c>
      <c r="BB13" s="63">
        <f t="shared" ref="BB13:BC13" si="41">BB5*BB11*(1-BB6)+BB9*BB12</f>
        <v>-6.00602779051172E-3</v>
      </c>
      <c r="BC13" s="63">
        <f t="shared" si="41"/>
        <v>-1.738671480515199E-3</v>
      </c>
      <c r="BD13" s="63">
        <f t="shared" ref="BD13" si="42">BD5*BD11*(1-BD6)+BD9*BD12</f>
        <v>1.7955577757814815E-3</v>
      </c>
      <c r="BE13" s="63">
        <f t="shared" ref="BE13" si="43">BE5*BE11*(1-BE6)+BE9*BE12</f>
        <v>9.6356193433871687E-5</v>
      </c>
      <c r="BF13" s="63">
        <f t="shared" ref="BF13" si="44">BF5*BF11*(1-BF6)+BF9*BF12</f>
        <v>1.1722759674893144E-2</v>
      </c>
      <c r="BG13" s="63">
        <f t="shared" ref="BG13:BH13" si="45">BG5*BG11*(1-BG6)+BG9*BG12</f>
        <v>8.3229219619499611E-3</v>
      </c>
      <c r="BH13" s="63">
        <f t="shared" si="45"/>
        <v>7.3594155787828127E-4</v>
      </c>
      <c r="BI13" s="63">
        <f t="shared" ref="BI13" si="46">BI5*BI11*(1-BI6)+BI9*BI12</f>
        <v>2.2016980004056209E-2</v>
      </c>
      <c r="BJ13" s="63">
        <f t="shared" ref="BJ13" si="47">BJ5*BJ11*(1-BJ6)+BJ9*BJ12</f>
        <v>-3.5045856145443353E-3</v>
      </c>
      <c r="BK13" s="63">
        <f t="shared" ref="BK13" si="48">BK5*BK11*(1-BK6)+BK9*BK12</f>
        <v>-1.3510292103138175E-2</v>
      </c>
      <c r="BL13" s="63" t="e">
        <f t="shared" ref="BL13:BM13" si="49">BL5*BL11*(1-BL6)+BL9*BL12</f>
        <v>#DIV/0!</v>
      </c>
      <c r="BM13" s="63">
        <f t="shared" si="49"/>
        <v>-0.3518148271012031</v>
      </c>
      <c r="BN13" s="63">
        <f t="shared" ref="BN13" si="50">BN5*BN11*(1-BN6)+BN9*BN12</f>
        <v>3.5076342179689076E-3</v>
      </c>
      <c r="BO13" s="63">
        <f t="shared" ref="BO13" si="51">BO5*BO11*(1-BO6)+BO9*BO12</f>
        <v>9.9357054255752204E-3</v>
      </c>
      <c r="BP13" s="63">
        <f t="shared" ref="BP13" si="52">BP5*BP11*(1-BP6)+BP9*BP12</f>
        <v>6.7971645786645864E-3</v>
      </c>
      <c r="BQ13" s="63">
        <f t="shared" ref="BQ13:BR13" si="53">BQ5*BQ11*(1-BQ6)+BQ9*BQ12</f>
        <v>-3.911950304170133E-2</v>
      </c>
      <c r="BR13" s="63">
        <f t="shared" si="53"/>
        <v>3.0026937970981046E-2</v>
      </c>
      <c r="BS13" s="63">
        <f t="shared" ref="BS13" si="54">BS5*BS11*(1-BS6)+BS9*BS12</f>
        <v>6.4932194232089943E-2</v>
      </c>
      <c r="BT13" s="63">
        <f t="shared" ref="BT13" si="55">BT5*BT11*(1-BT6)+BT9*BT12</f>
        <v>3.8516763953525289E-2</v>
      </c>
      <c r="BU13" s="63">
        <f t="shared" ref="BU13" si="56">BU5*BU11*(1-BU6)+BU9*BU12</f>
        <v>7.0862189684943983E-2</v>
      </c>
      <c r="BV13" s="63" t="e">
        <f t="shared" ref="BV13" si="57">BV5*BV11*(1-BV6)+BV9*BV12</f>
        <v>#DIV/0!</v>
      </c>
    </row>
    <row r="14" spans="1:74" s="16" customFormat="1" ht="56.4" customHeight="1" x14ac:dyDescent="0.25">
      <c r="A14" s="276" t="s">
        <v>669</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t="s">
        <v>334</v>
      </c>
      <c r="E16" s="45">
        <f>(股东权益回报率分析表!E14+股东权益回报率分析表!I14+股东权益回报率分析表!M14)/3</f>
        <v>0.19408653671884424</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3" width="21.44140625" hidden="1" customWidth="1"/>
    <col min="64" max="64" width="9.554687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3" width="17.77734375" bestFit="1" customWidth="1"/>
    <col min="84" max="84" width="9.5546875" hidden="1" customWidth="1"/>
    <col min="85" max="90" width="8.5546875" bestFit="1" customWidth="1"/>
  </cols>
  <sheetData>
    <row r="1" spans="1:90"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89"/>
      <c r="CH1" s="189"/>
      <c r="CI1" s="189"/>
      <c r="CJ1" s="189"/>
      <c r="CK1" s="189"/>
      <c r="CL1" s="189"/>
    </row>
    <row r="2" spans="1:90" s="26" customFormat="1" x14ac:dyDescent="0.25">
      <c r="A2" s="41" t="s">
        <v>553</v>
      </c>
      <c r="E2" s="26">
        <f>资产资本表!E17</f>
        <v>1716374487.0599999</v>
      </c>
      <c r="F2" s="26">
        <f>资产资本表!F17</f>
        <v>3216372375.4299998</v>
      </c>
      <c r="G2" s="26">
        <f>资产资本表!G17</f>
        <v>3547322430.7200003</v>
      </c>
      <c r="H2" s="26">
        <f>资产资本表!H17</f>
        <v>4277053370.46</v>
      </c>
      <c r="I2" s="26">
        <f>资产资本表!I17</f>
        <v>4363887921.4300003</v>
      </c>
      <c r="J2" s="26">
        <f>资产资本表!J17</f>
        <v>2160491687.1300001</v>
      </c>
      <c r="K2" s="26">
        <f>资产资本表!K17</f>
        <v>2150149988.2800002</v>
      </c>
      <c r="L2" s="26">
        <f>资产资本表!L17</f>
        <v>2385271932.0399995</v>
      </c>
      <c r="M2" s="26">
        <f>资产资本表!M17</f>
        <v>3134819575.0699997</v>
      </c>
      <c r="N2" s="26">
        <f>资产资本表!N17</f>
        <v>4132651530.9299998</v>
      </c>
      <c r="O2" s="26">
        <f>资产资本表!O17</f>
        <v>2888282944.3000002</v>
      </c>
      <c r="P2" s="26">
        <f>资产资本表!P17</f>
        <v>2236587173.48</v>
      </c>
      <c r="Q2" s="26">
        <f>资产资本表!Q17</f>
        <v>3133593041.48</v>
      </c>
      <c r="R2" s="26">
        <f>资产资本表!R17</f>
        <v>2391619447.2599998</v>
      </c>
      <c r="S2" s="26">
        <f>资产资本表!S17</f>
        <v>2175995351.23</v>
      </c>
      <c r="T2" s="26">
        <f>资产资本表!T17</f>
        <v>1680750281.25</v>
      </c>
      <c r="U2" s="26">
        <f>资产资本表!U17</f>
        <v>1642169421.5999999</v>
      </c>
      <c r="V2" s="26">
        <f>资产资本表!V17</f>
        <v>1490558425.47</v>
      </c>
      <c r="W2" s="26">
        <f>资产资本表!W17</f>
        <v>1562020929.05</v>
      </c>
      <c r="X2" s="26">
        <f>资产资本表!X17</f>
        <v>1428021705.3800001</v>
      </c>
      <c r="Y2" s="26">
        <f>资产资本表!Y17</f>
        <v>1410852129.3800001</v>
      </c>
      <c r="Z2" s="26">
        <f>资产资本表!Z17</f>
        <v>2837657323.9299998</v>
      </c>
      <c r="AA2" s="26">
        <f>资产资本表!AA17</f>
        <v>3126324032.8800001</v>
      </c>
      <c r="AB2" s="26">
        <f>资产资本表!AB17</f>
        <v>2327841653.0799999</v>
      </c>
      <c r="AC2" s="26">
        <f>资产资本表!AC17</f>
        <v>2425270190.7199998</v>
      </c>
      <c r="AD2" s="26">
        <f>资产资本表!AD17</f>
        <v>2987907818.6100001</v>
      </c>
      <c r="AE2" s="26">
        <f>资产资本表!AE17</f>
        <v>1699642180.29</v>
      </c>
      <c r="AF2" s="26">
        <f>资产资本表!AF17</f>
        <v>1553559240.3299999</v>
      </c>
      <c r="AG2" s="26">
        <f>资产资本表!AG17</f>
        <v>2223903909.7200003</v>
      </c>
      <c r="AH2" s="26">
        <f>资产资本表!AH17</f>
        <v>1787122883.78</v>
      </c>
      <c r="AI2" s="26">
        <f>资产资本表!AI17</f>
        <v>1296161428.4000001</v>
      </c>
      <c r="AJ2" s="26">
        <f>资产资本表!AJ17</f>
        <v>456759416.60000002</v>
      </c>
      <c r="AK2" s="26">
        <f>资产资本表!AK17</f>
        <v>852761786.80999994</v>
      </c>
      <c r="AL2" s="26">
        <f>资产资本表!AL17</f>
        <v>1000109782.36</v>
      </c>
      <c r="AM2" s="26">
        <f>资产资本表!AM17</f>
        <v>762706399.98000002</v>
      </c>
      <c r="AN2" s="26">
        <f>资产资本表!AN17</f>
        <v>649268873.91999996</v>
      </c>
      <c r="AO2" s="26">
        <f>资产资本表!AO17</f>
        <v>657316721.96000004</v>
      </c>
      <c r="AP2" s="26">
        <f>资产资本表!AP17</f>
        <v>568427487.20000005</v>
      </c>
      <c r="AQ2" s="26">
        <f>资产资本表!AQ17</f>
        <v>817795470.32999992</v>
      </c>
      <c r="AR2" s="26">
        <f>资产资本表!AR17</f>
        <v>780711132.46000004</v>
      </c>
      <c r="AS2" s="26">
        <f>资产资本表!AS17</f>
        <v>962092731.79999995</v>
      </c>
      <c r="AT2" s="26">
        <f>资产资本表!AT17</f>
        <v>917953360.34000003</v>
      </c>
      <c r="AU2" s="26">
        <f>资产资本表!AU17</f>
        <v>627990913.44000006</v>
      </c>
      <c r="AV2" s="26">
        <f>资产资本表!AV17</f>
        <v>506634140.81999999</v>
      </c>
      <c r="AW2" s="26">
        <f>资产资本表!AW17</f>
        <v>723390307.28999996</v>
      </c>
      <c r="AX2" s="26">
        <f>资产资本表!AX17</f>
        <v>728951387.90999997</v>
      </c>
      <c r="AY2" s="26">
        <f>资产资本表!AY17</f>
        <v>867488924.61000001</v>
      </c>
      <c r="AZ2" s="26">
        <f>资产资本表!AZ17</f>
        <v>897097398.87</v>
      </c>
      <c r="BA2" s="26">
        <f>资产资本表!BA17</f>
        <v>882627720.63</v>
      </c>
      <c r="BB2" s="26">
        <f>资产资本表!BB17</f>
        <v>612399434.42999995</v>
      </c>
      <c r="BC2" s="26">
        <f>资产资本表!BC17</f>
        <v>558867662.02999997</v>
      </c>
      <c r="BD2" s="26">
        <f>资产资本表!BD17</f>
        <v>755254548.26999998</v>
      </c>
      <c r="BE2" s="26">
        <f>资产资本表!BE17</f>
        <v>859765858.58000004</v>
      </c>
      <c r="BF2" s="26">
        <f>资产资本表!BF17</f>
        <v>679024133.63999999</v>
      </c>
      <c r="BG2" s="26">
        <f>资产资本表!BG17</f>
        <v>873989137.36000001</v>
      </c>
      <c r="BH2" s="26">
        <f>资产资本表!BH17</f>
        <v>883034753.75</v>
      </c>
      <c r="BI2" s="26">
        <f>资产资本表!BI17</f>
        <v>944988552.32000005</v>
      </c>
      <c r="BJ2" s="26">
        <f>资产资本表!BJ17</f>
        <v>733461104.13000011</v>
      </c>
      <c r="BK2" s="26">
        <f>资产资本表!BK17</f>
        <v>738675563.97000003</v>
      </c>
      <c r="BL2" s="26">
        <f>资产资本表!BL17</f>
        <v>0</v>
      </c>
      <c r="BM2" s="26">
        <f>资产资本表!BM17</f>
        <v>684570788.87</v>
      </c>
      <c r="BN2" s="26">
        <f>资产资本表!BN17</f>
        <v>660989962.95000005</v>
      </c>
      <c r="BO2" s="26">
        <f>资产资本表!BO17</f>
        <v>716546758.66999996</v>
      </c>
      <c r="BP2" s="26">
        <f>资产资本表!BP17</f>
        <v>615148472.08000004</v>
      </c>
      <c r="BQ2" s="26">
        <f>资产资本表!BQ17</f>
        <v>599871821.51999998</v>
      </c>
      <c r="BR2" s="26">
        <f>资产资本表!BR17</f>
        <v>694886922.25999999</v>
      </c>
      <c r="BS2" s="26">
        <f>资产资本表!BS17</f>
        <v>688880036.44000006</v>
      </c>
      <c r="BT2" s="26">
        <f>资产资本表!BT17</f>
        <v>1096543021.74</v>
      </c>
      <c r="BU2" s="26">
        <f>资产资本表!BU17</f>
        <v>656804743.50999999</v>
      </c>
      <c r="BV2" s="26">
        <f>资产资本表!BV17</f>
        <v>659017600.60000002</v>
      </c>
      <c r="BW2" s="26">
        <f>资产资本表!BW17</f>
        <v>549067557.79999995</v>
      </c>
      <c r="BX2" s="26">
        <f>资产资本表!BX17</f>
        <v>826665377.1099999</v>
      </c>
      <c r="BY2" s="26">
        <f>资产资本表!BY17</f>
        <v>964470015.25</v>
      </c>
      <c r="BZ2" s="26">
        <f>资产资本表!BZ17</f>
        <v>0</v>
      </c>
      <c r="CA2" s="26">
        <f>资产资本表!CA17</f>
        <v>467397035.52999997</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2595011.08</v>
      </c>
      <c r="O3" s="26">
        <f>资产资本表!O19</f>
        <v>2726599.21</v>
      </c>
      <c r="P3" s="26">
        <f>资产资本表!P19</f>
        <v>2774768.17</v>
      </c>
      <c r="Q3" s="26">
        <f>资产资本表!Q19</f>
        <v>2850040.45</v>
      </c>
      <c r="R3" s="26">
        <f>资产资本表!R19</f>
        <v>3169463.53</v>
      </c>
      <c r="S3" s="26">
        <f>资产资本表!S19</f>
        <v>4598996.45</v>
      </c>
      <c r="T3" s="26">
        <f>资产资本表!T19</f>
        <v>4560311.21</v>
      </c>
      <c r="U3" s="26">
        <f>资产资本表!U19</f>
        <v>4579148.88</v>
      </c>
      <c r="V3" s="26">
        <f>资产资本表!V19</f>
        <v>4685470.12</v>
      </c>
      <c r="W3" s="26">
        <f>资产资本表!W19</f>
        <v>4748975.83</v>
      </c>
      <c r="X3" s="26">
        <f>资产资本表!X19</f>
        <v>4726423.12</v>
      </c>
      <c r="Y3" s="26">
        <f>资产资本表!Y19</f>
        <v>5695850.7999999998</v>
      </c>
      <c r="Z3" s="26">
        <f>资产资本表!Z19</f>
        <v>5903024.8899999997</v>
      </c>
      <c r="AA3" s="26">
        <f>资产资本表!AA19</f>
        <v>5889739.2599999998</v>
      </c>
      <c r="AB3" s="26">
        <f>资产资本表!AB19</f>
        <v>5828373.2800000003</v>
      </c>
      <c r="AC3" s="26">
        <f>资产资本表!AC19</f>
        <v>5838851.75</v>
      </c>
      <c r="AD3" s="26">
        <f>资产资本表!AD19</f>
        <v>5877852.4000000004</v>
      </c>
      <c r="AE3" s="26">
        <f>资产资本表!AE19</f>
        <v>108269047.88</v>
      </c>
      <c r="AF3" s="26">
        <f>资产资本表!AF19</f>
        <v>109027357.45</v>
      </c>
      <c r="AG3" s="26">
        <f>资产资本表!AG19</f>
        <v>109347118.51000001</v>
      </c>
      <c r="AH3" s="26">
        <f>资产资本表!AH19</f>
        <v>122160831.65000001</v>
      </c>
      <c r="AI3" s="26">
        <f>资产资本表!AI19</f>
        <v>144462637.56</v>
      </c>
      <c r="AJ3" s="26">
        <f>资产资本表!AJ19</f>
        <v>145349076.58000001</v>
      </c>
      <c r="AK3" s="26">
        <f>资产资本表!AK19</f>
        <v>144060027.63</v>
      </c>
      <c r="AL3" s="26">
        <f>资产资本表!AL19</f>
        <v>149060450.34999999</v>
      </c>
      <c r="AM3" s="26">
        <f>资产资本表!AM19</f>
        <v>176971435.46000001</v>
      </c>
      <c r="AN3" s="26">
        <f>资产资本表!AN19</f>
        <v>223695565.96000001</v>
      </c>
      <c r="AO3" s="26">
        <f>资产资本表!AO19</f>
        <v>218856545.66999999</v>
      </c>
      <c r="AP3" s="26">
        <f>资产资本表!AP19</f>
        <v>247642775.75999999</v>
      </c>
      <c r="AQ3" s="26">
        <f>资产资本表!AQ19</f>
        <v>242343156.62</v>
      </c>
      <c r="AR3" s="26">
        <f>资产资本表!AR19</f>
        <v>269466729.31999999</v>
      </c>
      <c r="AS3" s="26">
        <f>资产资本表!AS19</f>
        <v>254660465.09</v>
      </c>
      <c r="AT3" s="26">
        <f>资产资本表!AT19</f>
        <v>252633688.88999999</v>
      </c>
      <c r="AU3" s="26">
        <f>资产资本表!AU19</f>
        <v>208395070.62</v>
      </c>
      <c r="AV3" s="26">
        <f>资产资本表!AV19</f>
        <v>269360205.31999999</v>
      </c>
      <c r="AW3" s="26">
        <f>资产资本表!AW19</f>
        <v>301753067.99000001</v>
      </c>
      <c r="AX3" s="26">
        <f>资产资本表!AX19</f>
        <v>360948396.23000002</v>
      </c>
      <c r="AY3" s="26">
        <f>资产资本表!AY19</f>
        <v>461903705.42000002</v>
      </c>
      <c r="AZ3" s="26">
        <f>资产资本表!AZ19</f>
        <v>333793360.38</v>
      </c>
      <c r="BA3" s="26">
        <f>资产资本表!BA19</f>
        <v>329023098.62</v>
      </c>
      <c r="BB3" s="26">
        <f>资产资本表!BB19</f>
        <v>359455290.94999999</v>
      </c>
      <c r="BC3" s="26">
        <f>资产资本表!BC19</f>
        <v>351768956.56</v>
      </c>
      <c r="BD3" s="26">
        <f>资产资本表!BD19</f>
        <v>348304546.24000001</v>
      </c>
      <c r="BE3" s="26">
        <f>资产资本表!BE19</f>
        <v>308563922.69</v>
      </c>
      <c r="BF3" s="26">
        <f>资产资本表!BF19</f>
        <v>301999792.12</v>
      </c>
      <c r="BG3" s="26">
        <f>资产资本表!BG19</f>
        <v>315030354.95999998</v>
      </c>
      <c r="BH3" s="26">
        <f>资产资本表!BH19</f>
        <v>253101338.66</v>
      </c>
      <c r="BI3" s="26">
        <f>资产资本表!BI19</f>
        <v>244783701.88999999</v>
      </c>
      <c r="BJ3" s="26">
        <f>资产资本表!BJ19</f>
        <v>268423137.31999999</v>
      </c>
      <c r="BK3" s="26">
        <f>资产资本表!BK19</f>
        <v>249996565.91999999</v>
      </c>
      <c r="BL3" s="26">
        <f>资产资本表!BL19</f>
        <v>0</v>
      </c>
      <c r="BM3" s="26">
        <f>资产资本表!BM19</f>
        <v>251200945.66999999</v>
      </c>
      <c r="BN3" s="26">
        <f>资产资本表!BN19</f>
        <v>198611687.94999999</v>
      </c>
      <c r="BO3" s="26">
        <f>资产资本表!BO19</f>
        <v>186102224.62</v>
      </c>
      <c r="BP3" s="26">
        <f>资产资本表!BP19</f>
        <v>202515456.40000001</v>
      </c>
      <c r="BQ3" s="26">
        <f>资产资本表!BQ19</f>
        <v>236868936.91</v>
      </c>
      <c r="BR3" s="26">
        <f>资产资本表!BR19</f>
        <v>192122441.91999999</v>
      </c>
      <c r="BS3" s="26">
        <f>资产资本表!BS19</f>
        <v>183761267.22</v>
      </c>
      <c r="BT3" s="26">
        <f>资产资本表!BT19</f>
        <v>159977978.33000001</v>
      </c>
      <c r="BU3" s="26">
        <f>资产资本表!BU19</f>
        <v>165258630.91</v>
      </c>
      <c r="BV3" s="26">
        <f>资产资本表!BV19</f>
        <v>190345974.91999999</v>
      </c>
      <c r="BW3" s="26">
        <f>资产资本表!BW19</f>
        <v>234458173.80000001</v>
      </c>
      <c r="BX3" s="26">
        <f>资产资本表!BX19</f>
        <v>275764965.38999999</v>
      </c>
      <c r="BY3" s="26">
        <f>资产资本表!BY19</f>
        <v>220925759.05000001</v>
      </c>
      <c r="BZ3" s="26">
        <f>资产资本表!BZ19</f>
        <v>152594060</v>
      </c>
      <c r="CA3" s="26">
        <f>资产资本表!CA19</f>
        <v>150172810.05000001</v>
      </c>
      <c r="CB3" s="26">
        <f>资产资本表!CB19</f>
        <v>128335000</v>
      </c>
      <c r="CC3" s="26">
        <f>资产资本表!CC19</f>
        <v>58240248.189999998</v>
      </c>
      <c r="CD3" s="26">
        <f>资产资本表!CD19</f>
        <v>49205300.75</v>
      </c>
      <c r="CE3" s="26">
        <f>资产资本表!CE19</f>
        <v>38287366.619999997</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4881015676.2299995</v>
      </c>
      <c r="F4" s="26">
        <f>资产资本表!F50</f>
        <v>3128243085.7200012</v>
      </c>
      <c r="G4" s="26">
        <f>资产资本表!G50</f>
        <v>2356242222.0800037</v>
      </c>
      <c r="H4" s="26">
        <f>资产资本表!H50</f>
        <v>1651784141.3800011</v>
      </c>
      <c r="I4" s="26">
        <f>资产资本表!I50</f>
        <v>1294832924.5899982</v>
      </c>
      <c r="J4" s="26">
        <f>资产资本表!J50</f>
        <v>3087185450.7000008</v>
      </c>
      <c r="K4" s="26">
        <f>资产资本表!K50</f>
        <v>2682026108.3199978</v>
      </c>
      <c r="L4" s="26">
        <f>资产资本表!L50</f>
        <v>2474015598.0100002</v>
      </c>
      <c r="M4" s="26">
        <f>资产资本表!M50</f>
        <v>1362156578.7299995</v>
      </c>
      <c r="N4" s="26">
        <f>资产资本表!N50</f>
        <v>179732893.4299984</v>
      </c>
      <c r="O4" s="26">
        <f>资产资本表!O50</f>
        <v>1031829379.1399994</v>
      </c>
      <c r="P4" s="26">
        <f>资产资本表!P50</f>
        <v>1807405343.3800001</v>
      </c>
      <c r="Q4" s="26">
        <f>资产资本表!Q50</f>
        <v>516663926.03999996</v>
      </c>
      <c r="R4" s="26">
        <f>资产资本表!R50</f>
        <v>1058120373.6500006</v>
      </c>
      <c r="S4" s="26">
        <f>资产资本表!S50</f>
        <v>1011437902.3999996</v>
      </c>
      <c r="T4" s="26">
        <f>资产资本表!T50</f>
        <v>1455979374.4699993</v>
      </c>
      <c r="U4" s="26">
        <f>资产资本表!U50</f>
        <v>1313655853.3599997</v>
      </c>
      <c r="V4" s="26">
        <f>资产资本表!V50</f>
        <v>1347578109.3000002</v>
      </c>
      <c r="W4" s="26">
        <f>资产资本表!W50</f>
        <v>1160675682.6799994</v>
      </c>
      <c r="X4" s="26">
        <f>资产资本表!X50</f>
        <v>1323440914.599999</v>
      </c>
      <c r="Y4" s="26">
        <f>资产资本表!Y50</f>
        <v>1119178666.1899986</v>
      </c>
      <c r="Z4" s="26">
        <f>资产资本表!Z50</f>
        <v>-417165558.24000025</v>
      </c>
      <c r="AA4" s="26">
        <f>资产资本表!AA50</f>
        <v>-805607615.5999999</v>
      </c>
      <c r="AB4" s="26">
        <f>资产资本表!AB50</f>
        <v>-2565969.2099995613</v>
      </c>
      <c r="AC4" s="26">
        <f>资产资本表!AC50</f>
        <v>-268544666.86999893</v>
      </c>
      <c r="AD4" s="26">
        <f>资产资本表!AD50</f>
        <v>-832232950.33000088</v>
      </c>
      <c r="AE4" s="26">
        <f>资产资本表!AE50</f>
        <v>229325759.28999996</v>
      </c>
      <c r="AF4" s="26">
        <f>资产资本表!AF50</f>
        <v>382256800.96000099</v>
      </c>
      <c r="AG4" s="26">
        <f>资产资本表!AG50</f>
        <v>-432008478.93999958</v>
      </c>
      <c r="AH4" s="26">
        <f>资产资本表!AH50</f>
        <v>-633099424.68999958</v>
      </c>
      <c r="AI4" s="26">
        <f>资产资本表!AI50</f>
        <v>-227848786.32000017</v>
      </c>
      <c r="AJ4" s="26">
        <f>资产资本表!AJ50</f>
        <v>540601421.52000046</v>
      </c>
      <c r="AK4" s="26">
        <f>资产资本表!AK50</f>
        <v>83450911.499999762</v>
      </c>
      <c r="AL4" s="26">
        <f>资产资本表!AL50</f>
        <v>-112966303.74999952</v>
      </c>
      <c r="AM4" s="26">
        <f>资产资本表!AM50</f>
        <v>178534877.73000002</v>
      </c>
      <c r="AN4" s="26">
        <f>资产资本表!AN50</f>
        <v>233326982.53999996</v>
      </c>
      <c r="AO4" s="26">
        <f>资产资本表!AO50</f>
        <v>158593046.33999968</v>
      </c>
      <c r="AP4" s="26">
        <f>资产资本表!AP50</f>
        <v>329568351.70000029</v>
      </c>
      <c r="AQ4" s="26">
        <f>资产资本表!AQ50</f>
        <v>83958266.430000067</v>
      </c>
      <c r="AR4" s="26">
        <f>资产资本表!AR50</f>
        <v>109216693.83000016</v>
      </c>
      <c r="AS4" s="26">
        <f>资产资本表!AS50</f>
        <v>-113560422.69000006</v>
      </c>
      <c r="AT4" s="26">
        <f>资产资本表!AT50</f>
        <v>-217574355.78000021</v>
      </c>
      <c r="AU4" s="26">
        <f>资产资本表!AU50</f>
        <v>15432747.199999809</v>
      </c>
      <c r="AV4" s="26">
        <f>资产资本表!AV50</f>
        <v>118267190.6699996</v>
      </c>
      <c r="AW4" s="26">
        <f>资产资本表!AW50</f>
        <v>163667996.75000024</v>
      </c>
      <c r="AX4" s="26">
        <f>资产资本表!AX50</f>
        <v>365286268.00999999</v>
      </c>
      <c r="AY4" s="26">
        <f>资产资本表!AY50</f>
        <v>270293576.41999984</v>
      </c>
      <c r="AZ4" s="26">
        <f>资产资本表!AZ50</f>
        <v>310080733.6099999</v>
      </c>
      <c r="BA4" s="26">
        <f>资产资本表!BA50</f>
        <v>228283747.75999975</v>
      </c>
      <c r="BB4" s="26">
        <f>资产资本表!BB50</f>
        <v>482577253.05999994</v>
      </c>
      <c r="BC4" s="26">
        <f>资产资本表!BC50</f>
        <v>463912852.87</v>
      </c>
      <c r="BD4" s="26">
        <f>资产资本表!BD50</f>
        <v>290554769.89000034</v>
      </c>
      <c r="BE4" s="26">
        <f>资产资本表!BE50</f>
        <v>171362811.00999999</v>
      </c>
      <c r="BF4" s="26">
        <f>资产资本表!BF50</f>
        <v>293539013.98000002</v>
      </c>
      <c r="BG4" s="26">
        <f>资产资本表!BG50</f>
        <v>69267272.210000038</v>
      </c>
      <c r="BH4" s="26">
        <f>资产资本表!BH50</f>
        <v>5771811.7599999905</v>
      </c>
      <c r="BI4" s="26">
        <f>资产资本表!BI50</f>
        <v>-81288025.940000057</v>
      </c>
      <c r="BJ4" s="26">
        <f>资产资本表!BJ50</f>
        <v>68820607.260000229</v>
      </c>
      <c r="BK4" s="26">
        <f>资产资本表!BK50</f>
        <v>82915592.339999914</v>
      </c>
      <c r="BL4" s="26">
        <f>资产资本表!BL50</f>
        <v>0</v>
      </c>
      <c r="BM4" s="26">
        <f>资产资本表!BM50</f>
        <v>165111537.28999972</v>
      </c>
      <c r="BN4" s="26">
        <f>资产资本表!BN50</f>
        <v>1098950723.79</v>
      </c>
      <c r="BO4" s="26">
        <f>资产资本表!BO50</f>
        <v>1110872003.3800001</v>
      </c>
      <c r="BP4" s="26">
        <f>资产资本表!BP50</f>
        <v>1193537684.6000001</v>
      </c>
      <c r="BQ4" s="26">
        <f>资产资本表!BQ50</f>
        <v>868288774.6400001</v>
      </c>
      <c r="BR4" s="26">
        <f>资产资本表!BR50</f>
        <v>1157109972.9300001</v>
      </c>
      <c r="BS4" s="26">
        <f>资产资本表!BS50</f>
        <v>1047152725.7599998</v>
      </c>
      <c r="BT4" s="26">
        <f>资产资本表!BT50</f>
        <v>953931403.30000019</v>
      </c>
      <c r="BU4" s="26">
        <f>资产资本表!BU50</f>
        <v>1052502917.88</v>
      </c>
      <c r="BV4" s="26">
        <f>资产资本表!BV50</f>
        <v>870835088.74000013</v>
      </c>
      <c r="BW4" s="26">
        <f>资产资本表!BW50</f>
        <v>826572416.63000011</v>
      </c>
      <c r="BX4" s="26">
        <f>资产资本表!BX50</f>
        <v>691338390.57000005</v>
      </c>
      <c r="BY4" s="26">
        <f>资产资本表!BY50</f>
        <v>502187973.50999999</v>
      </c>
      <c r="BZ4" s="26">
        <f>资产资本表!BZ50</f>
        <v>0</v>
      </c>
      <c r="CA4" s="26">
        <f>资产资本表!CA50</f>
        <v>351156985.92999989</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17910495368.209999</v>
      </c>
      <c r="F5" s="26">
        <f>资产资本表!F33</f>
        <v>13745514106.150002</v>
      </c>
      <c r="G5" s="26">
        <f>资产资本表!G33</f>
        <v>13521065027.240002</v>
      </c>
      <c r="H5" s="26">
        <f>资产资本表!H33</f>
        <v>12545593402.68</v>
      </c>
      <c r="I5" s="26">
        <f>资产资本表!I33</f>
        <v>13029033605.76</v>
      </c>
      <c r="J5" s="26">
        <f>资产资本表!J33</f>
        <v>12960052893.09</v>
      </c>
      <c r="K5" s="26">
        <f>资产资本表!K33</f>
        <v>11824098371.939999</v>
      </c>
      <c r="L5" s="26">
        <f>资产资本表!L33</f>
        <v>11017164470.24</v>
      </c>
      <c r="M5" s="26">
        <f>资产资本表!M33</f>
        <v>9686703184.7299995</v>
      </c>
      <c r="N5" s="26">
        <f>资产资本表!N33</f>
        <v>6973042683.3199997</v>
      </c>
      <c r="O5" s="26">
        <f>资产资本表!O33</f>
        <v>6865704543.3999996</v>
      </c>
      <c r="P5" s="26">
        <f>资产资本表!P33</f>
        <v>7875184221.8699999</v>
      </c>
      <c r="Q5" s="26">
        <f>资产资本表!Q33</f>
        <v>6734675464.7800007</v>
      </c>
      <c r="R5" s="26">
        <f>资产资本表!R33</f>
        <v>6580990520.3400002</v>
      </c>
      <c r="S5" s="26">
        <f>资产资本表!S33</f>
        <v>5931718378.5799999</v>
      </c>
      <c r="T5" s="26">
        <f>资产资本表!T33</f>
        <v>5902966609.0900002</v>
      </c>
      <c r="U5" s="26">
        <f>资产资本表!U33</f>
        <v>5983950184.1199999</v>
      </c>
      <c r="V5" s="26">
        <f>资产资本表!V33</f>
        <v>5617999992.8900003</v>
      </c>
      <c r="W5" s="26">
        <f>资产资本表!W33</f>
        <v>4973998362.1799994</v>
      </c>
      <c r="X5" s="26">
        <f>资产资本表!X33</f>
        <v>5589248065.0599995</v>
      </c>
      <c r="Y5" s="26">
        <f>资产资本表!Y33</f>
        <v>5253105980.6299992</v>
      </c>
      <c r="Z5" s="26">
        <f>资产资本表!Z33</f>
        <v>3814718776.77</v>
      </c>
      <c r="AA5" s="26">
        <f>资产资本表!AA33</f>
        <v>2917334458.96</v>
      </c>
      <c r="AB5" s="26">
        <f>资产资本表!AB33</f>
        <v>3590384498.8699999</v>
      </c>
      <c r="AC5" s="26">
        <f>资产资本表!AC33</f>
        <v>4874366846.3800011</v>
      </c>
      <c r="AD5" s="26">
        <f>资产资本表!AD33</f>
        <v>6036875958.6299992</v>
      </c>
      <c r="AE5" s="26">
        <f>资产资本表!AE33</f>
        <v>6577217596.4899998</v>
      </c>
      <c r="AF5" s="26">
        <f>资产资本表!AF33</f>
        <v>5680616048.4300003</v>
      </c>
      <c r="AG5" s="26">
        <f>资产资本表!AG33</f>
        <v>4019255181.1700001</v>
      </c>
      <c r="AH5" s="26">
        <f>资产资本表!AH33</f>
        <v>3512013908.2000003</v>
      </c>
      <c r="AI5" s="26">
        <f>资产资本表!AI33</f>
        <v>3281754471.9400001</v>
      </c>
      <c r="AJ5" s="26">
        <f>资产资本表!AJ33</f>
        <v>3055186047.4400005</v>
      </c>
      <c r="AK5" s="26">
        <f>资产资本表!AK33</f>
        <v>2028482601.02</v>
      </c>
      <c r="AL5" s="26">
        <f>资产资本表!AL33</f>
        <v>1493934537.0300002</v>
      </c>
      <c r="AM5" s="26">
        <f>资产资本表!AM33</f>
        <v>1475747044.3099999</v>
      </c>
      <c r="AN5" s="26">
        <f>资产资本表!AN33</f>
        <v>1773717401.71</v>
      </c>
      <c r="AO5" s="26">
        <f>资产资本表!AO33</f>
        <v>1703720458.6999998</v>
      </c>
      <c r="AP5" s="26">
        <f>资产资本表!AP33</f>
        <v>2076535006.25</v>
      </c>
      <c r="AQ5" s="26">
        <f>资产资本表!AQ33</f>
        <v>1993838972.8300002</v>
      </c>
      <c r="AR5" s="26">
        <f>资产资本表!AR33</f>
        <v>1808757579.1600001</v>
      </c>
      <c r="AS5" s="26">
        <f>资产资本表!AS33</f>
        <v>1731980966.0599999</v>
      </c>
      <c r="AT5" s="26">
        <f>资产资本表!AT33</f>
        <v>1698132716.9399998</v>
      </c>
      <c r="AU5" s="26">
        <f>资产资本表!AU33</f>
        <v>1792179370.3899999</v>
      </c>
      <c r="AV5" s="26">
        <f>资产资本表!AV33</f>
        <v>1986119814.3399999</v>
      </c>
      <c r="AW5" s="26">
        <f>资产资本表!AW33</f>
        <v>1702381112.5300002</v>
      </c>
      <c r="AX5" s="26">
        <f>资产资本表!AX33</f>
        <v>2024732355.3599999</v>
      </c>
      <c r="AY5" s="26">
        <f>资产资本表!AY33</f>
        <v>1701013866.9400001</v>
      </c>
      <c r="AZ5" s="26">
        <f>资产资本表!AZ33</f>
        <v>1635028743.5799999</v>
      </c>
      <c r="BA5" s="26">
        <f>资产资本表!BA33</f>
        <v>1577366248.27</v>
      </c>
      <c r="BB5" s="26">
        <f>资产资本表!BB33</f>
        <v>1587029107.6599998</v>
      </c>
      <c r="BC5" s="26">
        <f>资产资本表!BC33</f>
        <v>1333237288.6200001</v>
      </c>
      <c r="BD5" s="26">
        <f>资产资本表!BD33</f>
        <v>1301515059.1100001</v>
      </c>
      <c r="BE5" s="26">
        <f>资产资本表!BE33</f>
        <v>1256457981.0999999</v>
      </c>
      <c r="BF5" s="26">
        <f>资产资本表!BF33</f>
        <v>1168773792.97</v>
      </c>
      <c r="BG5" s="26">
        <f>资产资本表!BG33</f>
        <v>1144213474.4300001</v>
      </c>
      <c r="BH5" s="26">
        <f>资产资本表!BH33</f>
        <v>1114446821.27</v>
      </c>
      <c r="BI5" s="26">
        <f>资产资本表!BI33</f>
        <v>1075982813.5699999</v>
      </c>
      <c r="BJ5" s="26">
        <f>资产资本表!BJ33</f>
        <v>1335996664.6300001</v>
      </c>
      <c r="BK5" s="26">
        <f>资产资本表!BK33</f>
        <v>1322135302.8400002</v>
      </c>
      <c r="BL5" s="26">
        <f>资产资本表!BL33</f>
        <v>0</v>
      </c>
      <c r="BM5" s="26">
        <f>资产资本表!BM33</f>
        <v>1492402403.3899999</v>
      </c>
      <c r="BN5" s="26">
        <f>资产资本表!BN33</f>
        <v>1886116249.96</v>
      </c>
      <c r="BO5" s="26">
        <f>资产资本表!BO33</f>
        <v>1984137432.5</v>
      </c>
      <c r="BP5" s="26">
        <f>资产资本表!BP33</f>
        <v>1975165391.4200001</v>
      </c>
      <c r="BQ5" s="26">
        <f>资产资本表!BQ33</f>
        <v>1460700280.71</v>
      </c>
      <c r="BR5" s="26">
        <f>资产资本表!BR33</f>
        <v>1653062971.95</v>
      </c>
      <c r="BS5" s="26">
        <f>资产资本表!BS33</f>
        <v>1681402589.4299998</v>
      </c>
      <c r="BT5" s="26">
        <f>资产资本表!BT33</f>
        <v>1529926666.3600001</v>
      </c>
      <c r="BU5" s="26">
        <f>资产资本表!BU33</f>
        <v>1673710723.77</v>
      </c>
      <c r="BV5" s="26">
        <f>资产资本表!BV33</f>
        <v>1428786073.5700002</v>
      </c>
      <c r="BW5" s="26">
        <f>资产资本表!BW33</f>
        <v>1373349545.4100001</v>
      </c>
      <c r="BX5" s="26">
        <f>资产资本表!BX33</f>
        <v>1128244444.4300001</v>
      </c>
      <c r="BY5" s="26">
        <f>资产资本表!BY33</f>
        <v>891742484.73000002</v>
      </c>
      <c r="BZ5" s="26">
        <f>资产资本表!BZ33</f>
        <v>0</v>
      </c>
      <c r="CA5" s="26">
        <f>资产资本表!CA33</f>
        <v>624917750.2299999</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13029479691.98</v>
      </c>
      <c r="F6" s="26">
        <f>资产资本表!F49</f>
        <v>10617271020.43</v>
      </c>
      <c r="G6" s="26">
        <f>资产资本表!G49</f>
        <v>11164822805.159998</v>
      </c>
      <c r="H6" s="26">
        <f>资产资本表!H49</f>
        <v>10893809261.299999</v>
      </c>
      <c r="I6" s="26">
        <f>资产资本表!I49</f>
        <v>11734200681.170002</v>
      </c>
      <c r="J6" s="26">
        <f>资产资本表!J49</f>
        <v>9872867442.3899994</v>
      </c>
      <c r="K6" s="26">
        <f>资产资本表!K49</f>
        <v>9142072263.6200008</v>
      </c>
      <c r="L6" s="26">
        <f>资产资本表!L49</f>
        <v>8543148872.2299995</v>
      </c>
      <c r="M6" s="26">
        <f>资产资本表!M49</f>
        <v>8324546606</v>
      </c>
      <c r="N6" s="26">
        <f>资产资本表!N49</f>
        <v>6793309789.8900013</v>
      </c>
      <c r="O6" s="26">
        <f>资产资本表!O49</f>
        <v>5833875164.2600002</v>
      </c>
      <c r="P6" s="26">
        <f>资产资本表!P49</f>
        <v>6067778878.4899998</v>
      </c>
      <c r="Q6" s="26">
        <f>资产资本表!Q49</f>
        <v>6218011538.7400007</v>
      </c>
      <c r="R6" s="26">
        <f>资产资本表!R49</f>
        <v>5522870146.6899996</v>
      </c>
      <c r="S6" s="26">
        <f>资产资本表!S49</f>
        <v>4920280476.1800003</v>
      </c>
      <c r="T6" s="26">
        <f>资产资本表!T49</f>
        <v>4446987234.6200008</v>
      </c>
      <c r="U6" s="26">
        <f>资产资本表!U49</f>
        <v>4670294330.7600002</v>
      </c>
      <c r="V6" s="26">
        <f>资产资本表!V49</f>
        <v>4270421883.5900002</v>
      </c>
      <c r="W6" s="26">
        <f>资产资本表!W49</f>
        <v>3813322679.5</v>
      </c>
      <c r="X6" s="26">
        <f>资产资本表!X49</f>
        <v>4265807150.4600005</v>
      </c>
      <c r="Y6" s="26">
        <f>资产资本表!Y49</f>
        <v>4133927314.4400005</v>
      </c>
      <c r="Z6" s="26">
        <f>资产资本表!Z49</f>
        <v>4231884335.0100002</v>
      </c>
      <c r="AA6" s="26">
        <f>资产资本表!AA49</f>
        <v>3722942074.5599999</v>
      </c>
      <c r="AB6" s="26">
        <f>资产资本表!AB49</f>
        <v>3592950468.0799994</v>
      </c>
      <c r="AC6" s="26">
        <f>资产资本表!AC49</f>
        <v>5142911513.25</v>
      </c>
      <c r="AD6" s="26">
        <f>资产资本表!AD49</f>
        <v>6869108908.96</v>
      </c>
      <c r="AE6" s="26">
        <f>资产资本表!AE49</f>
        <v>6347891837.1999998</v>
      </c>
      <c r="AF6" s="26">
        <f>资产资本表!AF49</f>
        <v>5298359247.4699993</v>
      </c>
      <c r="AG6" s="26">
        <f>资产资本表!AG49</f>
        <v>4451263660.1099997</v>
      </c>
      <c r="AH6" s="26">
        <f>资产资本表!AH49</f>
        <v>4145113332.8899999</v>
      </c>
      <c r="AI6" s="26">
        <f>资产资本表!AI49</f>
        <v>3509603258.2600002</v>
      </c>
      <c r="AJ6" s="26">
        <f>资产资本表!AJ49</f>
        <v>2514584625.9200001</v>
      </c>
      <c r="AK6" s="26">
        <f>资产资本表!AK49</f>
        <v>1945031689.5200002</v>
      </c>
      <c r="AL6" s="26">
        <f>资产资本表!AL49</f>
        <v>1606900840.7799997</v>
      </c>
      <c r="AM6" s="26">
        <f>资产资本表!AM49</f>
        <v>1297212166.5799999</v>
      </c>
      <c r="AN6" s="26">
        <f>资产资本表!AN49</f>
        <v>1540390419.1700001</v>
      </c>
      <c r="AO6" s="26">
        <f>资产资本表!AO49</f>
        <v>1545127412.3600001</v>
      </c>
      <c r="AP6" s="26">
        <f>资产资本表!AP49</f>
        <v>1746966654.5499997</v>
      </c>
      <c r="AQ6" s="26">
        <f>资产资本表!AQ49</f>
        <v>1909880706.4000001</v>
      </c>
      <c r="AR6" s="26">
        <f>资产资本表!AR49</f>
        <v>1699540885.3299999</v>
      </c>
      <c r="AS6" s="26">
        <f>资产资本表!AS49</f>
        <v>1845541388.75</v>
      </c>
      <c r="AT6" s="26">
        <f>资产资本表!AT49</f>
        <v>1915707072.72</v>
      </c>
      <c r="AU6" s="26">
        <f>资产资本表!AU49</f>
        <v>1776746623.1900001</v>
      </c>
      <c r="AV6" s="26">
        <f>资产资本表!AV49</f>
        <v>1867852623.6700003</v>
      </c>
      <c r="AW6" s="26">
        <f>资产资本表!AW49</f>
        <v>1538713115.78</v>
      </c>
      <c r="AX6" s="26">
        <f>资产资本表!AX49</f>
        <v>1659446087.3499999</v>
      </c>
      <c r="AY6" s="26">
        <f>资产资本表!AY49</f>
        <v>1430720290.5200002</v>
      </c>
      <c r="AZ6" s="26">
        <f>资产资本表!AZ49</f>
        <v>1324948009.97</v>
      </c>
      <c r="BA6" s="26">
        <f>资产资本表!BA49</f>
        <v>1349082500.5100002</v>
      </c>
      <c r="BB6" s="26">
        <f>资产资本表!BB49</f>
        <v>1104451854.5999999</v>
      </c>
      <c r="BC6" s="26">
        <f>资产资本表!BC49</f>
        <v>869324435.75000012</v>
      </c>
      <c r="BD6" s="26">
        <f>资产资本表!BD49</f>
        <v>1010960289.2199998</v>
      </c>
      <c r="BE6" s="26">
        <f>资产资本表!BE49</f>
        <v>1085095170.0899999</v>
      </c>
      <c r="BF6" s="26">
        <f>资产资本表!BF49</f>
        <v>875234778.99000001</v>
      </c>
      <c r="BG6" s="26">
        <f>资产资本表!BG49</f>
        <v>1074946202.22</v>
      </c>
      <c r="BH6" s="26">
        <f>资产资本表!BH49</f>
        <v>1108675009.51</v>
      </c>
      <c r="BI6" s="26">
        <f>资产资本表!BI49</f>
        <v>1157270839.51</v>
      </c>
      <c r="BJ6" s="26">
        <f>资产资本表!BJ49</f>
        <v>1267176057.3699999</v>
      </c>
      <c r="BK6" s="26">
        <f>资产资本表!BK49</f>
        <v>1239219710.5000002</v>
      </c>
      <c r="BL6" s="26">
        <f>资产资本表!BL49</f>
        <v>0</v>
      </c>
      <c r="BM6" s="26">
        <f>资产资本表!BM49</f>
        <v>1327290866.1000001</v>
      </c>
      <c r="BN6" s="26">
        <f>资产资本表!BN49</f>
        <v>787165526.17000008</v>
      </c>
      <c r="BO6" s="26">
        <f>资产资本表!BO49</f>
        <v>873265429.12</v>
      </c>
      <c r="BP6" s="26">
        <f>资产资本表!BP49</f>
        <v>781627706.81999993</v>
      </c>
      <c r="BQ6" s="26">
        <f>资产资本表!BQ49</f>
        <v>592411506.06999993</v>
      </c>
      <c r="BR6" s="26">
        <f>资产资本表!BR49</f>
        <v>495952999.01999998</v>
      </c>
      <c r="BS6" s="26">
        <f>资产资本表!BS49</f>
        <v>634249863.67000008</v>
      </c>
      <c r="BT6" s="26">
        <f>资产资本表!BT49</f>
        <v>575995263.05999994</v>
      </c>
      <c r="BU6" s="26">
        <f>资产资本表!BU49</f>
        <v>621207805.88999999</v>
      </c>
      <c r="BV6" s="26">
        <f>资产资本表!BV49</f>
        <v>557950984.83000004</v>
      </c>
      <c r="BW6" s="26">
        <f>资产资本表!BW49</f>
        <v>546777128.77999997</v>
      </c>
      <c r="BX6" s="26">
        <f>资产资本表!BX49</f>
        <v>436906053.86000001</v>
      </c>
      <c r="BY6" s="26">
        <f>资产资本表!BY49</f>
        <v>389554511.22000003</v>
      </c>
      <c r="BZ6" s="26">
        <f>资产资本表!BZ49</f>
        <v>0</v>
      </c>
      <c r="CA6" s="26">
        <f>资产资本表!CA49</f>
        <v>273760764.30000001</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1711551388.3999999</v>
      </c>
      <c r="F7" s="26">
        <f>资产资本表!F68</f>
        <v>1624115675.6600001</v>
      </c>
      <c r="G7" s="26">
        <f>资产资本表!G68</f>
        <v>1586899718.8600001</v>
      </c>
      <c r="H7" s="26">
        <f>资产资本表!H68</f>
        <v>1579851891.9499998</v>
      </c>
      <c r="I7" s="26">
        <f>资产资本表!I68</f>
        <v>1493065310.4500003</v>
      </c>
      <c r="J7" s="26">
        <f>资产资本表!J68</f>
        <v>1508836715.4599998</v>
      </c>
      <c r="K7" s="26">
        <f>资产资本表!K68</f>
        <v>1508533276.79</v>
      </c>
      <c r="L7" s="26">
        <f>资产资本表!L68</f>
        <v>1525033701.6600001</v>
      </c>
      <c r="M7" s="26">
        <f>资产资本表!M68</f>
        <v>1506132606.8000002</v>
      </c>
      <c r="N7" s="26">
        <f>资产资本表!N68</f>
        <v>1476743857.1600001</v>
      </c>
      <c r="O7" s="26">
        <f>资产资本表!O68</f>
        <v>1473444031.8599999</v>
      </c>
      <c r="P7" s="26">
        <f>资产资本表!P68</f>
        <v>1507735733.1600001</v>
      </c>
      <c r="Q7" s="26">
        <f>资产资本表!Q68</f>
        <v>1505638045.8400002</v>
      </c>
      <c r="R7" s="26">
        <f>资产资本表!R68</f>
        <v>1599496277.2400002</v>
      </c>
      <c r="S7" s="26">
        <f>资产资本表!S68</f>
        <v>1573835401.7399995</v>
      </c>
      <c r="T7" s="26">
        <f>资产资本表!T68</f>
        <v>1595846447.5699997</v>
      </c>
      <c r="U7" s="26">
        <f>资产资本表!U68</f>
        <v>1589544237.7400002</v>
      </c>
      <c r="V7" s="26">
        <f>资产资本表!V68</f>
        <v>1599383436.6600003</v>
      </c>
      <c r="W7" s="26">
        <f>资产资本表!W68</f>
        <v>1589403958.52</v>
      </c>
      <c r="X7" s="26">
        <f>资产资本表!X68</f>
        <v>1633913528.3900001</v>
      </c>
      <c r="Y7" s="26">
        <f>资产资本表!Y68</f>
        <v>1733839797.3799996</v>
      </c>
      <c r="Z7" s="26">
        <f>资产资本表!Z68</f>
        <v>1773267931.2799997</v>
      </c>
      <c r="AA7" s="26">
        <f>资产资本表!AA68</f>
        <v>1776586298.3999999</v>
      </c>
      <c r="AB7" s="26">
        <f>资产资本表!AB68</f>
        <v>1800696002.4299998</v>
      </c>
      <c r="AC7" s="26">
        <f>资产资本表!AC68</f>
        <v>1839038099.29</v>
      </c>
      <c r="AD7" s="26">
        <f>资产资本表!AD68</f>
        <v>1803162126.1900003</v>
      </c>
      <c r="AE7" s="26">
        <f>资产资本表!AE68</f>
        <v>1797640361.8</v>
      </c>
      <c r="AF7" s="26">
        <f>资产资本表!AF68</f>
        <v>1745230059.8299999</v>
      </c>
      <c r="AG7" s="26">
        <f>资产资本表!AG68</f>
        <v>1647871439.5200002</v>
      </c>
      <c r="AH7" s="26">
        <f>资产资本表!AH68</f>
        <v>939852816.73000002</v>
      </c>
      <c r="AI7" s="26">
        <f>资产资本表!AI68</f>
        <v>897908679.95000005</v>
      </c>
      <c r="AJ7" s="26">
        <f>资产资本表!AJ68</f>
        <v>876079884.02999985</v>
      </c>
      <c r="AK7" s="26">
        <f>资产资本表!AK68</f>
        <v>853293481.05999994</v>
      </c>
      <c r="AL7" s="26">
        <f>资产资本表!AL68</f>
        <v>827182981.64999998</v>
      </c>
      <c r="AM7" s="26">
        <f>资产资本表!AM68</f>
        <v>696658464.32999992</v>
      </c>
      <c r="AN7" s="26">
        <f>资产资本表!AN68</f>
        <v>724342360.57000005</v>
      </c>
      <c r="AO7" s="26">
        <f>资产资本表!AO68</f>
        <v>758593408.7299999</v>
      </c>
      <c r="AP7" s="26">
        <f>资产资本表!AP68</f>
        <v>817262276.01999998</v>
      </c>
      <c r="AQ7" s="26">
        <f>资产资本表!AQ68</f>
        <v>848375975.49999988</v>
      </c>
      <c r="AR7" s="26">
        <f>资产资本表!AR68</f>
        <v>823049629.26999998</v>
      </c>
      <c r="AS7" s="26">
        <f>资产资本表!AS68</f>
        <v>830953802.66999984</v>
      </c>
      <c r="AT7" s="26">
        <f>资产资本表!AT68</f>
        <v>924014928.93000007</v>
      </c>
      <c r="AU7" s="26">
        <f>资产资本表!AU68</f>
        <v>892120698.11999989</v>
      </c>
      <c r="AV7" s="26">
        <f>资产资本表!AV68</f>
        <v>913161234.16000009</v>
      </c>
      <c r="AW7" s="26">
        <f>资产资本表!AW68</f>
        <v>856539595.94000006</v>
      </c>
      <c r="AX7" s="26">
        <f>资产资本表!AX68</f>
        <v>864633994.81999993</v>
      </c>
      <c r="AY7" s="26">
        <f>资产资本表!AY68</f>
        <v>598084414.79999995</v>
      </c>
      <c r="AZ7" s="26">
        <f>资产资本表!AZ68</f>
        <v>611661463.29999995</v>
      </c>
      <c r="BA7" s="26">
        <f>资产资本表!BA68</f>
        <v>624759382.04999995</v>
      </c>
      <c r="BB7" s="26">
        <f>资产资本表!BB68</f>
        <v>658171018.50999999</v>
      </c>
      <c r="BC7" s="26">
        <f>资产资本表!BC68</f>
        <v>673047702.52999997</v>
      </c>
      <c r="BD7" s="26">
        <f>资产资本表!BD68</f>
        <v>678719669.67000008</v>
      </c>
      <c r="BE7" s="26">
        <f>资产资本表!BE68</f>
        <v>683677603.77999985</v>
      </c>
      <c r="BF7" s="26">
        <f>资产资本表!BF68</f>
        <v>660494660.10000002</v>
      </c>
      <c r="BG7" s="26">
        <f>资产资本表!BG68</f>
        <v>671911446.31999993</v>
      </c>
      <c r="BH7" s="26">
        <f>资产资本表!BH68</f>
        <v>752796186.22000003</v>
      </c>
      <c r="BI7" s="26">
        <f>资产资本表!BI68</f>
        <v>749189154.84000003</v>
      </c>
      <c r="BJ7" s="26">
        <f>资产资本表!BJ68</f>
        <v>557442503.80999994</v>
      </c>
      <c r="BK7" s="26">
        <f>资产资本表!BK68</f>
        <v>566274330.71999991</v>
      </c>
      <c r="BL7" s="26">
        <f>资产资本表!BL68</f>
        <v>0</v>
      </c>
      <c r="BM7" s="26">
        <f>资产资本表!BM68</f>
        <v>761941987.80999994</v>
      </c>
      <c r="BN7" s="26">
        <f>资产资本表!BN68</f>
        <v>858383493.18999994</v>
      </c>
      <c r="BO7" s="26">
        <f>资产资本表!BO68</f>
        <v>844019865.63</v>
      </c>
      <c r="BP7" s="26">
        <f>资产资本表!BP68</f>
        <v>845818542.20000005</v>
      </c>
      <c r="BQ7" s="26">
        <f>资产资本表!BQ68</f>
        <v>799288876.2299999</v>
      </c>
      <c r="BR7" s="26">
        <f>资产资本表!BR68</f>
        <v>827514341.39999998</v>
      </c>
      <c r="BS7" s="26">
        <f>资产资本表!BS68</f>
        <v>825553754.96000016</v>
      </c>
      <c r="BT7" s="26">
        <f>资产资本表!BT68</f>
        <v>764092312.74999988</v>
      </c>
      <c r="BU7" s="26">
        <f>资产资本表!BU68</f>
        <v>756110578.24000001</v>
      </c>
      <c r="BV7" s="26">
        <f>资产资本表!BV68</f>
        <v>856821451.94000006</v>
      </c>
      <c r="BW7" s="26">
        <f>资产资本表!BW68</f>
        <v>673968903.09000003</v>
      </c>
      <c r="BX7" s="26">
        <f>资产资本表!BX68</f>
        <v>523179524.99000001</v>
      </c>
      <c r="BY7" s="26">
        <f>资产资本表!BY68</f>
        <v>454271763.10000002</v>
      </c>
      <c r="BZ7" s="26">
        <f>资产资本表!BZ68</f>
        <v>218828900</v>
      </c>
      <c r="CA7" s="26">
        <f>资产资本表!CA68</f>
        <v>198092931.35999998</v>
      </c>
      <c r="CB7" s="26">
        <f>资产资本表!CB68</f>
        <v>151909000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6592567064.6299992</v>
      </c>
      <c r="F8" s="26">
        <f>资产资本表!F69</f>
        <v>4752358761.3800011</v>
      </c>
      <c r="G8" s="26">
        <f>资产资本表!G69</f>
        <v>3943141940.9400039</v>
      </c>
      <c r="H8" s="26">
        <f>资产资本表!H69</f>
        <v>3231636033.3300009</v>
      </c>
      <c r="I8" s="26">
        <f>资产资本表!I69</f>
        <v>2787898235.0399985</v>
      </c>
      <c r="J8" s="26">
        <f>资产资本表!J69</f>
        <v>4596022166.1600008</v>
      </c>
      <c r="K8" s="26">
        <f>资产资本表!K69</f>
        <v>4190559385.1099977</v>
      </c>
      <c r="L8" s="26">
        <f>资产资本表!L69</f>
        <v>3999049299.6700001</v>
      </c>
      <c r="M8" s="26">
        <f>资产资本表!M69</f>
        <v>2868289185.5299997</v>
      </c>
      <c r="N8" s="26">
        <f>资产资本表!N69</f>
        <v>1656476750.5899985</v>
      </c>
      <c r="O8" s="26">
        <f>资产资本表!O69</f>
        <v>2505273410.999999</v>
      </c>
      <c r="P8" s="26">
        <f>资产资本表!P69</f>
        <v>3315141076.54</v>
      </c>
      <c r="Q8" s="26">
        <f>资产资本表!Q69</f>
        <v>2022301971.8800001</v>
      </c>
      <c r="R8" s="26">
        <f>资产资本表!R69</f>
        <v>2657616650.8900008</v>
      </c>
      <c r="S8" s="26">
        <f>资产资本表!S69</f>
        <v>2585273304.1399994</v>
      </c>
      <c r="T8" s="26">
        <f>资产资本表!T69</f>
        <v>3051825822.039999</v>
      </c>
      <c r="U8" s="26">
        <f>资产资本表!U69</f>
        <v>2903200091.0999999</v>
      </c>
      <c r="V8" s="26">
        <f>资产资本表!V69</f>
        <v>2946961545.9600005</v>
      </c>
      <c r="W8" s="26">
        <f>资产资本表!W69</f>
        <v>2750079641.1999993</v>
      </c>
      <c r="X8" s="26">
        <f>资产资本表!X69</f>
        <v>2957354442.9899988</v>
      </c>
      <c r="Y8" s="26">
        <f>资产资本表!Y69</f>
        <v>2853018463.5699983</v>
      </c>
      <c r="Z8" s="26">
        <f>资产资本表!Z69</f>
        <v>1356102373.0399995</v>
      </c>
      <c r="AA8" s="26">
        <f>资产资本表!AA69</f>
        <v>970978682.79999995</v>
      </c>
      <c r="AB8" s="26">
        <f>资产资本表!AB69</f>
        <v>1798130033.2200003</v>
      </c>
      <c r="AC8" s="26">
        <f>资产资本表!AC69</f>
        <v>1570493432.420001</v>
      </c>
      <c r="AD8" s="26">
        <f>资产资本表!AD69</f>
        <v>970929175.85999942</v>
      </c>
      <c r="AE8" s="26">
        <f>资产资本表!AE69</f>
        <v>2026966121.0899999</v>
      </c>
      <c r="AF8" s="26">
        <f>资产资本表!AF69</f>
        <v>2127486860.7900009</v>
      </c>
      <c r="AG8" s="26">
        <f>资产资本表!AG69</f>
        <v>1215862960.5800006</v>
      </c>
      <c r="AH8" s="26">
        <f>资产资本表!AH69</f>
        <v>306753392.04000044</v>
      </c>
      <c r="AI8" s="26">
        <f>资产资本表!AI69</f>
        <v>670059893.62999988</v>
      </c>
      <c r="AJ8" s="26">
        <f>资产资本表!AJ69</f>
        <v>1416681305.5500002</v>
      </c>
      <c r="AK8" s="26">
        <f>资产资本表!AK69</f>
        <v>936744392.5599997</v>
      </c>
      <c r="AL8" s="26">
        <f>资产资本表!AL69</f>
        <v>714216677.90000045</v>
      </c>
      <c r="AM8" s="26">
        <f>资产资本表!AM69</f>
        <v>875193342.05999994</v>
      </c>
      <c r="AN8" s="26">
        <f>资产资本表!AN69</f>
        <v>957669343.11000001</v>
      </c>
      <c r="AO8" s="26">
        <f>资产资本表!AO69</f>
        <v>917186455.06999958</v>
      </c>
      <c r="AP8" s="26">
        <f>资产资本表!AP69</f>
        <v>1146830627.7200003</v>
      </c>
      <c r="AQ8" s="26">
        <f>资产资本表!AQ69</f>
        <v>932334241.92999995</v>
      </c>
      <c r="AR8" s="26">
        <f>资产资本表!AR69</f>
        <v>932266323.10000014</v>
      </c>
      <c r="AS8" s="26">
        <f>资产资本表!AS69</f>
        <v>717393379.97999978</v>
      </c>
      <c r="AT8" s="26">
        <f>资产资本表!AT69</f>
        <v>706440573.14999986</v>
      </c>
      <c r="AU8" s="26">
        <f>资产资本表!AU69</f>
        <v>907553445.31999969</v>
      </c>
      <c r="AV8" s="26">
        <f>资产资本表!AV69</f>
        <v>1031428424.8299997</v>
      </c>
      <c r="AW8" s="26">
        <f>资产资本表!AW69</f>
        <v>1020207592.6900003</v>
      </c>
      <c r="AX8" s="26">
        <f>资产资本表!AX69</f>
        <v>1229920262.8299999</v>
      </c>
      <c r="AY8" s="26">
        <f>资产资本表!AY69</f>
        <v>868377991.21999979</v>
      </c>
      <c r="AZ8" s="26">
        <f>资产资本表!AZ69</f>
        <v>921742196.90999985</v>
      </c>
      <c r="BA8" s="26">
        <f>资产资本表!BA69</f>
        <v>853043129.8099997</v>
      </c>
      <c r="BB8" s="26">
        <f>资产资本表!BB69</f>
        <v>1140748271.5699999</v>
      </c>
      <c r="BC8" s="26">
        <f>资产资本表!BC69</f>
        <v>1136960555.4000001</v>
      </c>
      <c r="BD8" s="26">
        <f>资产资本表!BD69</f>
        <v>969274439.56000042</v>
      </c>
      <c r="BE8" s="26">
        <f>资产资本表!BE69</f>
        <v>855040414.78999984</v>
      </c>
      <c r="BF8" s="26">
        <f>资产资本表!BF69</f>
        <v>954033674.08000004</v>
      </c>
      <c r="BG8" s="26">
        <f>资产资本表!BG69</f>
        <v>741178718.52999997</v>
      </c>
      <c r="BH8" s="26">
        <f>资产资本表!BH69</f>
        <v>758567997.98000002</v>
      </c>
      <c r="BI8" s="26">
        <f>资产资本表!BI69</f>
        <v>667901128.89999998</v>
      </c>
      <c r="BJ8" s="26">
        <f>资产资本表!BJ69</f>
        <v>626263111.07000017</v>
      </c>
      <c r="BK8" s="26">
        <f>资产资本表!BK69</f>
        <v>649189923.05999982</v>
      </c>
      <c r="BL8" s="26">
        <f>资产资本表!BL69</f>
        <v>0</v>
      </c>
      <c r="BM8" s="26">
        <f>资产资本表!BM69</f>
        <v>927053525.09999967</v>
      </c>
      <c r="BN8" s="26">
        <f>资产资本表!BN69</f>
        <v>1957334216.98</v>
      </c>
      <c r="BO8" s="26">
        <f>资产资本表!BO69</f>
        <v>1954891869.0100002</v>
      </c>
      <c r="BP8" s="26">
        <f>资产资本表!BP69</f>
        <v>2039356226.8000002</v>
      </c>
      <c r="BQ8" s="26">
        <f>资产资本表!BQ69</f>
        <v>1667577650.8699999</v>
      </c>
      <c r="BR8" s="26">
        <f>资产资本表!BR69</f>
        <v>1984624314.3299999</v>
      </c>
      <c r="BS8" s="26">
        <f>资产资本表!BS69</f>
        <v>1872706480.7199998</v>
      </c>
      <c r="BT8" s="26">
        <f>资产资本表!BT69</f>
        <v>1718023716.0500002</v>
      </c>
      <c r="BU8" s="26">
        <f>资产资本表!BU69</f>
        <v>1808613496.1199999</v>
      </c>
      <c r="BV8" s="26">
        <f>资产资本表!BV69</f>
        <v>1727656540.6800003</v>
      </c>
      <c r="BW8" s="26">
        <f>资产资本表!BW69</f>
        <v>1500541319.7200003</v>
      </c>
      <c r="BX8" s="26">
        <f>资产资本表!BX69</f>
        <v>1214517915.5599999</v>
      </c>
      <c r="BY8" s="26">
        <f>资产资本表!BY69</f>
        <v>956459736.61000001</v>
      </c>
      <c r="BZ8" s="26">
        <f>资产资本表!BZ69</f>
        <v>218828900</v>
      </c>
      <c r="CA8" s="26">
        <f>资产资本表!CA69</f>
        <v>549249917.28999984</v>
      </c>
      <c r="CB8" s="26">
        <f>资产资本表!CB69</f>
        <v>151909000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8308941551.6899986</v>
      </c>
      <c r="F9" s="48">
        <f>资产资本表!F70</f>
        <v>7968731136.8100014</v>
      </c>
      <c r="G9" s="48">
        <f>资产资本表!G70</f>
        <v>7490464371.6600037</v>
      </c>
      <c r="H9" s="48">
        <f>资产资本表!H70</f>
        <v>7508689403.7900009</v>
      </c>
      <c r="I9" s="48">
        <f>资产资本表!I70</f>
        <v>7151786156.4699993</v>
      </c>
      <c r="J9" s="48">
        <f>资产资本表!J70</f>
        <v>6756513853.2900009</v>
      </c>
      <c r="K9" s="48">
        <f>资产资本表!K70</f>
        <v>6340709373.3899975</v>
      </c>
      <c r="L9" s="48">
        <f>资产资本表!L70</f>
        <v>6384321231.7099991</v>
      </c>
      <c r="M9" s="48">
        <f>资产资本表!M70</f>
        <v>6003108760.5999994</v>
      </c>
      <c r="N9" s="48">
        <f>资产资本表!N70</f>
        <v>5791723292.5999985</v>
      </c>
      <c r="O9" s="48">
        <f>资产资本表!O70</f>
        <v>5396282954.5099993</v>
      </c>
      <c r="P9" s="48">
        <f>资产资本表!P70</f>
        <v>5554503018.1900005</v>
      </c>
      <c r="Q9" s="48">
        <f>资产资本表!Q70</f>
        <v>5158745053.8099995</v>
      </c>
      <c r="R9" s="48">
        <f>资产资本表!R70</f>
        <v>5052405561.6800003</v>
      </c>
      <c r="S9" s="48">
        <f>资产资本表!S70</f>
        <v>4765867651.8199997</v>
      </c>
      <c r="T9" s="48">
        <f>资产资本表!T70</f>
        <v>4737136414.499999</v>
      </c>
      <c r="U9" s="48">
        <f>资产资本表!U70</f>
        <v>4549948661.5799999</v>
      </c>
      <c r="V9" s="48">
        <f>资产资本表!V70</f>
        <v>4442205441.5500002</v>
      </c>
      <c r="W9" s="48">
        <f>资产资本表!W70</f>
        <v>4316849546.079999</v>
      </c>
      <c r="X9" s="48">
        <f>资产资本表!X70</f>
        <v>4390102571.4899988</v>
      </c>
      <c r="Y9" s="48">
        <f>资产资本表!Y70</f>
        <v>4269566443.7499981</v>
      </c>
      <c r="Z9" s="48">
        <f>资产资本表!Z70</f>
        <v>4199662721.8599992</v>
      </c>
      <c r="AA9" s="48">
        <f>资产资本表!AA70</f>
        <v>4103192454.9400005</v>
      </c>
      <c r="AB9" s="48">
        <f>资产资本表!AB70</f>
        <v>4131800059.5800004</v>
      </c>
      <c r="AC9" s="48">
        <f>资产资本表!AC70</f>
        <v>4001602474.8900008</v>
      </c>
      <c r="AD9" s="48">
        <f>资产资本表!AD70</f>
        <v>3964714846.8699999</v>
      </c>
      <c r="AE9" s="48">
        <f>资产资本表!AE70</f>
        <v>3834877349.2600002</v>
      </c>
      <c r="AF9" s="48">
        <f>资产资本表!AF70</f>
        <v>3790073458.5700006</v>
      </c>
      <c r="AG9" s="48">
        <f>资产资本表!AG70</f>
        <v>3549113988.8100014</v>
      </c>
      <c r="AH9" s="48">
        <f>资产资本表!AH70</f>
        <v>2216037107.4700003</v>
      </c>
      <c r="AI9" s="48">
        <f>资产资本表!AI70</f>
        <v>2110683959.5899999</v>
      </c>
      <c r="AJ9" s="48">
        <f>资产资本表!AJ70</f>
        <v>2018789798.7300003</v>
      </c>
      <c r="AK9" s="48">
        <f>资产资本表!AK70</f>
        <v>1933566206.9999995</v>
      </c>
      <c r="AL9" s="48">
        <f>资产资本表!AL70</f>
        <v>1863386910.6100006</v>
      </c>
      <c r="AM9" s="48">
        <f>资产资本表!AM70</f>
        <v>1814871177.5</v>
      </c>
      <c r="AN9" s="48">
        <f>资产资本表!AN70</f>
        <v>1830633782.99</v>
      </c>
      <c r="AO9" s="48">
        <f>资产资本表!AO70</f>
        <v>1793359722.6999996</v>
      </c>
      <c r="AP9" s="48">
        <f>资产资本表!AP70</f>
        <v>1962900890.6800003</v>
      </c>
      <c r="AQ9" s="48">
        <f>资产资本表!AQ70</f>
        <v>1992472868.8799999</v>
      </c>
      <c r="AR9" s="48">
        <f>资产资本表!AR70</f>
        <v>1982444184.8800001</v>
      </c>
      <c r="AS9" s="48">
        <f>资产资本表!AS70</f>
        <v>1934146576.8699996</v>
      </c>
      <c r="AT9" s="48">
        <f>资产资本表!AT70</f>
        <v>1877027622.3799999</v>
      </c>
      <c r="AU9" s="48">
        <f>资产资本表!AU70</f>
        <v>1743939429.3799996</v>
      </c>
      <c r="AV9" s="48">
        <f>资产资本表!AV70</f>
        <v>1807422770.9699998</v>
      </c>
      <c r="AW9" s="48">
        <f>资产资本表!AW70</f>
        <v>2045350967.9700003</v>
      </c>
      <c r="AX9" s="48">
        <f>资产资本表!AX70</f>
        <v>2319820046.9699998</v>
      </c>
      <c r="AY9" s="48">
        <f>资产资本表!AY70</f>
        <v>2197770621.25</v>
      </c>
      <c r="AZ9" s="48">
        <f>资产资本表!AZ70</f>
        <v>2152632956.1599998</v>
      </c>
      <c r="BA9" s="48">
        <f>资产资本表!BA70</f>
        <v>2064693949.0599997</v>
      </c>
      <c r="BB9" s="48">
        <f>资产资本表!BB70</f>
        <v>2112602996.9499998</v>
      </c>
      <c r="BC9" s="48">
        <f>资产资本表!BC70</f>
        <v>2047597173.99</v>
      </c>
      <c r="BD9" s="48">
        <f>资产资本表!BD70</f>
        <v>2072833534.0700004</v>
      </c>
      <c r="BE9" s="48">
        <f>资产资本表!BE70</f>
        <v>2023370196.0599999</v>
      </c>
      <c r="BF9" s="48">
        <f>资产资本表!BF70</f>
        <v>1935057599.8400002</v>
      </c>
      <c r="BG9" s="48">
        <f>资产资本表!BG70</f>
        <v>1930198210.8499999</v>
      </c>
      <c r="BH9" s="48">
        <f>资产资本表!BH70</f>
        <v>1894704090.3900001</v>
      </c>
      <c r="BI9" s="48">
        <f>资产资本表!BI70</f>
        <v>1857673383.1100001</v>
      </c>
      <c r="BJ9" s="48">
        <f>资产资本表!BJ70</f>
        <v>1628147352.5200002</v>
      </c>
      <c r="BK9" s="48">
        <f>资产资本表!BK70</f>
        <v>1637862052.9499998</v>
      </c>
      <c r="BL9" s="48">
        <f>资产资本表!BL70</f>
        <v>0</v>
      </c>
      <c r="BM9" s="48">
        <f>资产资本表!BM70</f>
        <v>1862825259.6399996</v>
      </c>
      <c r="BN9" s="48">
        <f>资产资本表!BN70</f>
        <v>2816935867.8800001</v>
      </c>
      <c r="BO9" s="48">
        <f>资产资本表!BO70</f>
        <v>2857540852.3000002</v>
      </c>
      <c r="BP9" s="48">
        <f>资产资本表!BP70</f>
        <v>2857020155.2800002</v>
      </c>
      <c r="BQ9" s="48">
        <f>资产资本表!BQ70</f>
        <v>2504318409.2999997</v>
      </c>
      <c r="BR9" s="48">
        <f>资产资本表!BR70</f>
        <v>2871633678.5099998</v>
      </c>
      <c r="BS9" s="48">
        <f>资产资本表!BS70</f>
        <v>2745347784.3800001</v>
      </c>
      <c r="BT9" s="48">
        <f>资产资本表!BT70</f>
        <v>2974544716.1199999</v>
      </c>
      <c r="BU9" s="48">
        <f>资产资本表!BU70</f>
        <v>2630676870.54</v>
      </c>
      <c r="BV9" s="48">
        <f>资产资本表!BV70</f>
        <v>2577020116.2000003</v>
      </c>
      <c r="BW9" s="48">
        <f>资产资本表!BW70</f>
        <v>2284067051.3200002</v>
      </c>
      <c r="BX9" s="48">
        <f>资产资本表!BX70</f>
        <v>2316948258.0599999</v>
      </c>
      <c r="BY9" s="48">
        <f>资产资本表!BY70</f>
        <v>2141855510.9099998</v>
      </c>
      <c r="BZ9" s="48">
        <f>资产资本表!BZ70</f>
        <v>371422960</v>
      </c>
      <c r="CA9" s="48">
        <f>资产资本表!CA70</f>
        <v>1166819762.8699999</v>
      </c>
      <c r="CB9" s="48">
        <f>资产资本表!CB70</f>
        <v>280244000</v>
      </c>
      <c r="CC9" s="48">
        <f>资产资本表!CC70</f>
        <v>58240248.189999998</v>
      </c>
      <c r="CD9" s="48">
        <f>资产资本表!CD70</f>
        <v>49205300.75</v>
      </c>
      <c r="CE9" s="48">
        <f>资产资本表!CE70</f>
        <v>38287366.619999997</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81393672.340000004</v>
      </c>
      <c r="F10" s="26">
        <f>资产资本表!F72</f>
        <v>149470000</v>
      </c>
      <c r="G10" s="26">
        <f>资产资本表!G72</f>
        <v>170000000</v>
      </c>
      <c r="H10" s="26">
        <f>资产资本表!H72</f>
        <v>123455086.90000001</v>
      </c>
      <c r="I10" s="26">
        <f>资产资本表!I72</f>
        <v>183813064.12</v>
      </c>
      <c r="J10" s="26">
        <f>资产资本表!J72</f>
        <v>0</v>
      </c>
      <c r="K10" s="26">
        <f>资产资本表!K72</f>
        <v>0</v>
      </c>
      <c r="L10" s="26">
        <f>资产资本表!L72</f>
        <v>0</v>
      </c>
      <c r="M10" s="26">
        <f>资产资本表!M72</f>
        <v>0</v>
      </c>
      <c r="N10" s="26">
        <f>资产资本表!N72</f>
        <v>99766633.189999998</v>
      </c>
      <c r="O10" s="26">
        <f>资产资本表!O72</f>
        <v>15234122.32</v>
      </c>
      <c r="P10" s="26">
        <f>资产资本表!P72</f>
        <v>116148521.47</v>
      </c>
      <c r="Q10" s="26">
        <f>资产资本表!Q72</f>
        <v>0</v>
      </c>
      <c r="R10" s="26">
        <f>资产资本表!R72</f>
        <v>100360740</v>
      </c>
      <c r="S10" s="26">
        <f>资产资本表!S72</f>
        <v>50117340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6961486.3600000003</v>
      </c>
      <c r="AC10" s="26">
        <f>资产资本表!AC72</f>
        <v>6961486.3600000003</v>
      </c>
      <c r="AD10" s="26">
        <f>资产资本表!AD72</f>
        <v>9320968.6300000008</v>
      </c>
      <c r="AE10" s="26">
        <f>资产资本表!AE72</f>
        <v>39609864.439999998</v>
      </c>
      <c r="AF10" s="26">
        <f>资产资本表!AF72</f>
        <v>85675125.359999999</v>
      </c>
      <c r="AG10" s="26">
        <f>资产资本表!AG72</f>
        <v>9039354.8800000008</v>
      </c>
      <c r="AH10" s="26">
        <f>资产资本表!AH72</f>
        <v>0</v>
      </c>
      <c r="AI10" s="26">
        <f>资产资本表!AI72</f>
        <v>0</v>
      </c>
      <c r="AJ10" s="26">
        <f>资产资本表!AJ72</f>
        <v>0</v>
      </c>
      <c r="AK10" s="26">
        <f>资产资本表!AK72</f>
        <v>1000000</v>
      </c>
      <c r="AL10" s="26">
        <f>资产资本表!AL72</f>
        <v>18342452.66</v>
      </c>
      <c r="AM10" s="26">
        <f>资产资本表!AM72</f>
        <v>30342452.66</v>
      </c>
      <c r="AN10" s="26">
        <f>资产资本表!AN72</f>
        <v>75107360</v>
      </c>
      <c r="AO10" s="26">
        <f>资产资本表!AO72</f>
        <v>75492686.25</v>
      </c>
      <c r="AP10" s="26">
        <f>资产资本表!AP72</f>
        <v>120970000</v>
      </c>
      <c r="AQ10" s="26">
        <f>资产资本表!AQ72</f>
        <v>194850000</v>
      </c>
      <c r="AR10" s="26">
        <f>资产资本表!AR72</f>
        <v>212500000</v>
      </c>
      <c r="AS10" s="26">
        <f>资产资本表!AS72</f>
        <v>192208661.5</v>
      </c>
      <c r="AT10" s="26">
        <f>资产资本表!AT72</f>
        <v>367525950.47000003</v>
      </c>
      <c r="AU10" s="26">
        <f>资产资本表!AU72</f>
        <v>401000000</v>
      </c>
      <c r="AV10" s="26">
        <f>资产资本表!AV72</f>
        <v>454300000</v>
      </c>
      <c r="AW10" s="26">
        <f>资产资本表!AW72</f>
        <v>559300000</v>
      </c>
      <c r="AX10" s="26">
        <f>资产资本表!AX72</f>
        <v>712180000</v>
      </c>
      <c r="AY10" s="26">
        <f>资产资本表!AY72</f>
        <v>721880000</v>
      </c>
      <c r="AZ10" s="26">
        <f>资产资本表!AZ72</f>
        <v>731270000</v>
      </c>
      <c r="BA10" s="26">
        <f>资产资本表!BA72</f>
        <v>707125100</v>
      </c>
      <c r="BB10" s="26">
        <f>资产资本表!BB72</f>
        <v>736474630</v>
      </c>
      <c r="BC10" s="26">
        <f>资产资本表!BC72</f>
        <v>698475025</v>
      </c>
      <c r="BD10" s="26">
        <f>资产资本表!BD72</f>
        <v>714878250</v>
      </c>
      <c r="BE10" s="26">
        <f>资产资本表!BE72</f>
        <v>712490000</v>
      </c>
      <c r="BF10" s="26">
        <f>资产资本表!BF72</f>
        <v>636490000</v>
      </c>
      <c r="BG10" s="26">
        <f>资产资本表!BG72</f>
        <v>629690000</v>
      </c>
      <c r="BH10" s="26">
        <f>资产资本表!BH72</f>
        <v>650890000</v>
      </c>
      <c r="BI10" s="26">
        <f>资产资本表!BI72</f>
        <v>635690000</v>
      </c>
      <c r="BJ10" s="26">
        <f>资产资本表!BJ72</f>
        <v>613890000</v>
      </c>
      <c r="BK10" s="26">
        <f>资产资本表!BK72</f>
        <v>466890000</v>
      </c>
      <c r="BL10" s="26">
        <f>资产资本表!BL72</f>
        <v>0</v>
      </c>
      <c r="BM10" s="26">
        <f>资产资本表!BM72</f>
        <v>621290000</v>
      </c>
      <c r="BN10" s="26">
        <f>资产资本表!BN72</f>
        <v>696190000</v>
      </c>
      <c r="BO10" s="26">
        <f>资产资本表!BO72</f>
        <v>700900000</v>
      </c>
      <c r="BP10" s="26">
        <f>资产资本表!BP72</f>
        <v>675500000</v>
      </c>
      <c r="BQ10" s="26">
        <f>资产资本表!BQ72</f>
        <v>532090000</v>
      </c>
      <c r="BR10" s="26">
        <f>资产资本表!BR72</f>
        <v>638070000</v>
      </c>
      <c r="BS10" s="26">
        <f>资产资本表!BS72</f>
        <v>550590000</v>
      </c>
      <c r="BT10" s="26">
        <f>资产资本表!BT72</f>
        <v>655590000</v>
      </c>
      <c r="BU10" s="26">
        <f>资产资本表!BU72</f>
        <v>408850000</v>
      </c>
      <c r="BV10" s="26">
        <f>资产资本表!BV72</f>
        <v>331450800</v>
      </c>
      <c r="BW10" s="26">
        <f>资产资本表!BW72</f>
        <v>181500000</v>
      </c>
      <c r="BX10" s="26">
        <f>资产资本表!BX72</f>
        <v>187338000</v>
      </c>
      <c r="BY10" s="26">
        <f>资产资本表!BY72</f>
        <v>171840000</v>
      </c>
      <c r="BZ10" s="26">
        <f>资产资本表!BZ72</f>
        <v>0</v>
      </c>
      <c r="CA10" s="26">
        <f>资产资本表!CA72</f>
        <v>96940514</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491200</v>
      </c>
      <c r="S11" s="26">
        <f>资产资本表!S81</f>
        <v>517000</v>
      </c>
      <c r="T11" s="26">
        <f>资产资本表!T81</f>
        <v>542800</v>
      </c>
      <c r="U11" s="26">
        <f>资产资本表!U81</f>
        <v>568600</v>
      </c>
      <c r="V11" s="26">
        <f>资产资本表!V81</f>
        <v>744400</v>
      </c>
      <c r="W11" s="26">
        <f>资产资本表!W81</f>
        <v>920200</v>
      </c>
      <c r="X11" s="26">
        <f>资产资本表!X81</f>
        <v>1096000</v>
      </c>
      <c r="Y11" s="26">
        <f>资产资本表!Y81</f>
        <v>1271800</v>
      </c>
      <c r="Z11" s="26">
        <f>资产资本表!Z81</f>
        <v>7292450</v>
      </c>
      <c r="AA11" s="26">
        <f>资产资本表!AA81</f>
        <v>7318250</v>
      </c>
      <c r="AB11" s="26">
        <f>资产资本表!AB81</f>
        <v>7644050</v>
      </c>
      <c r="AC11" s="26">
        <f>资产资本表!AC81</f>
        <v>6621250</v>
      </c>
      <c r="AD11" s="26">
        <f>资产资本表!AD81</f>
        <v>8565050</v>
      </c>
      <c r="AE11" s="26">
        <f>资产资本表!AE81</f>
        <v>8029750</v>
      </c>
      <c r="AF11" s="26">
        <f>资产资本表!AF81</f>
        <v>8042350</v>
      </c>
      <c r="AG11" s="26">
        <f>资产资本表!AG81</f>
        <v>8024850</v>
      </c>
      <c r="AH11" s="26">
        <f>资产资本表!AH81</f>
        <v>4974950</v>
      </c>
      <c r="AI11" s="26">
        <f>资产资本表!AI81</f>
        <v>5176300</v>
      </c>
      <c r="AJ11" s="26">
        <f>资产资本表!AJ81</f>
        <v>5338900</v>
      </c>
      <c r="AK11" s="26">
        <f>资产资本表!AK81</f>
        <v>3679000</v>
      </c>
      <c r="AL11" s="26">
        <f>资产资本表!AL81</f>
        <v>0</v>
      </c>
      <c r="AM11" s="26">
        <f>资产资本表!AM81</f>
        <v>0</v>
      </c>
      <c r="AN11" s="26">
        <f>资产资本表!AN81</f>
        <v>0</v>
      </c>
      <c r="AO11" s="26">
        <f>资产资本表!AO81</f>
        <v>0</v>
      </c>
      <c r="AP11" s="26">
        <f>资产资本表!AP81</f>
        <v>7072111.0899999999</v>
      </c>
      <c r="AQ11" s="26">
        <f>资产资本表!AQ81</f>
        <v>7178626.3899999997</v>
      </c>
      <c r="AR11" s="26">
        <f>资产资本表!AR81</f>
        <v>10254564.940000001</v>
      </c>
      <c r="AS11" s="26">
        <f>资产资本表!AS81</f>
        <v>9940295.5399999991</v>
      </c>
      <c r="AT11" s="26">
        <f>资产资本表!AT81</f>
        <v>8516033.0800000001</v>
      </c>
      <c r="AU11" s="26">
        <f>资产资本表!AU81</f>
        <v>1068064</v>
      </c>
      <c r="AV11" s="26">
        <f>资产资本表!AV81</f>
        <v>1068064</v>
      </c>
      <c r="AW11" s="26">
        <f>资产资本表!AW81</f>
        <v>1068064</v>
      </c>
      <c r="AX11" s="26">
        <f>资产资本表!AX81</f>
        <v>1068064</v>
      </c>
      <c r="AY11" s="26">
        <f>资产资本表!AY81</f>
        <v>1068064</v>
      </c>
      <c r="AZ11" s="26">
        <f>资产资本表!AZ81</f>
        <v>1068064</v>
      </c>
      <c r="BA11" s="26">
        <f>资产资本表!BA81</f>
        <v>1068064</v>
      </c>
      <c r="BB11" s="26">
        <f>资产资本表!BB81</f>
        <v>1068064</v>
      </c>
      <c r="BC11" s="26">
        <f>资产资本表!BC81</f>
        <v>1068064</v>
      </c>
      <c r="BD11" s="26">
        <f>资产资本表!BD81</f>
        <v>1068064</v>
      </c>
      <c r="BE11" s="26">
        <f>资产资本表!BE81</f>
        <v>1068064</v>
      </c>
      <c r="BF11" s="26">
        <f>资产资本表!BF81</f>
        <v>1068064</v>
      </c>
      <c r="BG11" s="26">
        <f>资产资本表!BG81</f>
        <v>1068064</v>
      </c>
      <c r="BH11" s="26">
        <f>资产资本表!BH81</f>
        <v>1068064</v>
      </c>
      <c r="BI11" s="26">
        <f>资产资本表!BI81</f>
        <v>1068064</v>
      </c>
      <c r="BJ11" s="26">
        <f>资产资本表!BJ81</f>
        <v>21068064</v>
      </c>
      <c r="BK11" s="26">
        <f>资产资本表!BK81</f>
        <v>21068064</v>
      </c>
      <c r="BL11" s="26">
        <f>资产资本表!BL81</f>
        <v>0</v>
      </c>
      <c r="BM11" s="26">
        <f>资产资本表!BM81</f>
        <v>21068064</v>
      </c>
      <c r="BN11" s="26">
        <f>资产资本表!BN81</f>
        <v>1068064</v>
      </c>
      <c r="BO11" s="26">
        <f>资产资本表!BO81</f>
        <v>1068064</v>
      </c>
      <c r="BP11" s="26">
        <f>资产资本表!BP81</f>
        <v>1068064</v>
      </c>
      <c r="BQ11" s="26">
        <f>资产资本表!BQ81</f>
        <v>1068064</v>
      </c>
      <c r="BR11" s="26">
        <f>资产资本表!BR81</f>
        <v>1068064</v>
      </c>
      <c r="BS11" s="26">
        <f>资产资本表!BS81</f>
        <v>1068064</v>
      </c>
      <c r="BT11" s="26">
        <f>资产资本表!BT81</f>
        <v>8745413.9600000009</v>
      </c>
      <c r="BU11" s="26">
        <f>资产资本表!BU81</f>
        <v>8347329.6799999997</v>
      </c>
      <c r="BV11" s="26">
        <f>资产资本表!BV81</f>
        <v>7191684.3399999999</v>
      </c>
      <c r="BW11" s="26">
        <f>资产资本表!BW81</f>
        <v>8358435.6100000003</v>
      </c>
      <c r="BX11" s="26">
        <f>资产资本表!BX81</f>
        <v>41455387.979999997</v>
      </c>
      <c r="BY11" s="26">
        <f>资产资本表!BY81</f>
        <v>55382200</v>
      </c>
      <c r="BZ11" s="26">
        <f>资产资本表!BZ81</f>
        <v>0</v>
      </c>
      <c r="CA11" s="26">
        <f>资产资本表!CA81</f>
        <v>31273203.059999999</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81393672.340000004</v>
      </c>
      <c r="F12" s="26">
        <f>资产资本表!F89</f>
        <v>149470000</v>
      </c>
      <c r="G12" s="26">
        <f>资产资本表!G89</f>
        <v>170000000</v>
      </c>
      <c r="H12" s="26">
        <f>资产资本表!H89</f>
        <v>123455086.90000001</v>
      </c>
      <c r="I12" s="26">
        <f>资产资本表!I89</f>
        <v>183813064.12</v>
      </c>
      <c r="J12" s="26">
        <f>资产资本表!J89</f>
        <v>0</v>
      </c>
      <c r="K12" s="26">
        <f>资产资本表!K89</f>
        <v>0</v>
      </c>
      <c r="L12" s="26">
        <f>资产资本表!L89</f>
        <v>0</v>
      </c>
      <c r="M12" s="26">
        <f>资产资本表!M89</f>
        <v>0</v>
      </c>
      <c r="N12" s="26">
        <f>资产资本表!N89</f>
        <v>99766633.189999998</v>
      </c>
      <c r="O12" s="26">
        <f>资产资本表!O89</f>
        <v>15234122.32</v>
      </c>
      <c r="P12" s="26">
        <f>资产资本表!P89</f>
        <v>116148521.47</v>
      </c>
      <c r="Q12" s="26">
        <f>资产资本表!Q89</f>
        <v>0</v>
      </c>
      <c r="R12" s="26">
        <f>资产资本表!R89</f>
        <v>100851940</v>
      </c>
      <c r="S12" s="26">
        <f>资产资本表!S89</f>
        <v>50634340</v>
      </c>
      <c r="T12" s="26">
        <f>资产资本表!T89</f>
        <v>542800</v>
      </c>
      <c r="U12" s="26">
        <f>资产资本表!U89</f>
        <v>568600</v>
      </c>
      <c r="V12" s="26">
        <f>资产资本表!V89</f>
        <v>744400</v>
      </c>
      <c r="W12" s="26">
        <f>资产资本表!W89</f>
        <v>920200</v>
      </c>
      <c r="X12" s="26">
        <f>资产资本表!X89</f>
        <v>1096000</v>
      </c>
      <c r="Y12" s="26">
        <f>资产资本表!Y89</f>
        <v>1271800</v>
      </c>
      <c r="Z12" s="26">
        <f>资产资本表!Z89</f>
        <v>7292450</v>
      </c>
      <c r="AA12" s="26">
        <f>资产资本表!AA89</f>
        <v>7318250</v>
      </c>
      <c r="AB12" s="26">
        <f>资产资本表!AB89</f>
        <v>14605536.359999999</v>
      </c>
      <c r="AC12" s="26">
        <f>资产资本表!AC89</f>
        <v>13582736.359999999</v>
      </c>
      <c r="AD12" s="26">
        <f>资产资本表!AD89</f>
        <v>17886018.630000003</v>
      </c>
      <c r="AE12" s="26">
        <f>资产资本表!AE89</f>
        <v>47639614.439999998</v>
      </c>
      <c r="AF12" s="26">
        <f>资产资本表!AF89</f>
        <v>93717475.359999999</v>
      </c>
      <c r="AG12" s="26">
        <f>资产资本表!AG89</f>
        <v>17064204.880000003</v>
      </c>
      <c r="AH12" s="26">
        <f>资产资本表!AH89</f>
        <v>4974950</v>
      </c>
      <c r="AI12" s="26">
        <f>资产资本表!AI89</f>
        <v>5176300</v>
      </c>
      <c r="AJ12" s="26">
        <f>资产资本表!AJ89</f>
        <v>5338900</v>
      </c>
      <c r="AK12" s="26">
        <f>资产资本表!AK89</f>
        <v>4679000</v>
      </c>
      <c r="AL12" s="26">
        <f>资产资本表!AL89</f>
        <v>18342452.66</v>
      </c>
      <c r="AM12" s="26">
        <f>资产资本表!AM89</f>
        <v>30342452.66</v>
      </c>
      <c r="AN12" s="26">
        <f>资产资本表!AN89</f>
        <v>75107360</v>
      </c>
      <c r="AO12" s="26">
        <f>资产资本表!AO89</f>
        <v>75492686.25</v>
      </c>
      <c r="AP12" s="26">
        <f>资产资本表!AP89</f>
        <v>128042111.09</v>
      </c>
      <c r="AQ12" s="26">
        <f>资产资本表!AQ89</f>
        <v>202028626.38999999</v>
      </c>
      <c r="AR12" s="26">
        <f>资产资本表!AR89</f>
        <v>222754564.94</v>
      </c>
      <c r="AS12" s="26">
        <f>资产资本表!AS89</f>
        <v>202148957.03999999</v>
      </c>
      <c r="AT12" s="26">
        <f>资产资本表!AT89</f>
        <v>376041983.55000001</v>
      </c>
      <c r="AU12" s="26">
        <f>资产资本表!AU89</f>
        <v>402068064</v>
      </c>
      <c r="AV12" s="26">
        <f>资产资本表!AV89</f>
        <v>455368064</v>
      </c>
      <c r="AW12" s="26">
        <f>资产资本表!AW89</f>
        <v>560368064</v>
      </c>
      <c r="AX12" s="26">
        <f>资产资本表!AX89</f>
        <v>713248064</v>
      </c>
      <c r="AY12" s="26">
        <f>资产资本表!AY89</f>
        <v>722948064</v>
      </c>
      <c r="AZ12" s="26">
        <f>资产资本表!AZ89</f>
        <v>732338064</v>
      </c>
      <c r="BA12" s="26">
        <f>资产资本表!BA89</f>
        <v>708193164</v>
      </c>
      <c r="BB12" s="26">
        <f>资产资本表!BB89</f>
        <v>737542694</v>
      </c>
      <c r="BC12" s="26">
        <f>资产资本表!BC89</f>
        <v>699543089</v>
      </c>
      <c r="BD12" s="26">
        <f>资产资本表!BD89</f>
        <v>715946314</v>
      </c>
      <c r="BE12" s="26">
        <f>资产资本表!BE89</f>
        <v>713558064</v>
      </c>
      <c r="BF12" s="26">
        <f>资产资本表!BF89</f>
        <v>637558064</v>
      </c>
      <c r="BG12" s="26">
        <f>资产资本表!BG89</f>
        <v>630758064</v>
      </c>
      <c r="BH12" s="26">
        <f>资产资本表!BH89</f>
        <v>651958064</v>
      </c>
      <c r="BI12" s="26">
        <f>资产资本表!BI89</f>
        <v>636758064</v>
      </c>
      <c r="BJ12" s="26">
        <f>资产资本表!BJ89</f>
        <v>634958064</v>
      </c>
      <c r="BK12" s="26">
        <f>资产资本表!BK89</f>
        <v>487958064</v>
      </c>
      <c r="BL12" s="26">
        <f>资产资本表!BL89</f>
        <v>0</v>
      </c>
      <c r="BM12" s="26">
        <f>资产资本表!BM89</f>
        <v>642358064</v>
      </c>
      <c r="BN12" s="26">
        <f>资产资本表!BN89</f>
        <v>697258064</v>
      </c>
      <c r="BO12" s="26">
        <f>资产资本表!BO89</f>
        <v>701968064</v>
      </c>
      <c r="BP12" s="26">
        <f>资产资本表!BP89</f>
        <v>676568064</v>
      </c>
      <c r="BQ12" s="26">
        <f>资产资本表!BQ89</f>
        <v>533158064</v>
      </c>
      <c r="BR12" s="26">
        <f>资产资本表!BR89</f>
        <v>639138064</v>
      </c>
      <c r="BS12" s="26">
        <f>资产资本表!BS89</f>
        <v>551658064</v>
      </c>
      <c r="BT12" s="26">
        <f>资产资本表!BT89</f>
        <v>664335413.96000004</v>
      </c>
      <c r="BU12" s="26">
        <f>资产资本表!BU89</f>
        <v>417197329.68000001</v>
      </c>
      <c r="BV12" s="26">
        <f>资产资本表!BV89</f>
        <v>338642484.33999997</v>
      </c>
      <c r="BW12" s="26">
        <f>资产资本表!BW89</f>
        <v>189858435.61000001</v>
      </c>
      <c r="BX12" s="26">
        <f>资产资本表!BX89</f>
        <v>228793387.97999999</v>
      </c>
      <c r="BY12" s="26">
        <f>资产资本表!BY89</f>
        <v>227222200</v>
      </c>
      <c r="BZ12" s="26">
        <f>资产资本表!BZ89</f>
        <v>0</v>
      </c>
      <c r="CA12" s="26">
        <f>资产资本表!CA89</f>
        <v>128213717.06</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8227547879.3499985</v>
      </c>
      <c r="F13" s="26">
        <f t="shared" ref="F13:BQ13" si="0">F9-F12</f>
        <v>7819261136.8100014</v>
      </c>
      <c r="G13" s="26">
        <f t="shared" si="0"/>
        <v>7320464371.6600037</v>
      </c>
      <c r="H13" s="26">
        <f t="shared" si="0"/>
        <v>7385234316.8900013</v>
      </c>
      <c r="I13" s="26">
        <f t="shared" si="0"/>
        <v>6967973092.3499994</v>
      </c>
      <c r="J13" s="26">
        <f t="shared" si="0"/>
        <v>6756513853.2900009</v>
      </c>
      <c r="K13" s="26">
        <f t="shared" si="0"/>
        <v>6340709373.3899975</v>
      </c>
      <c r="L13" s="26">
        <f t="shared" si="0"/>
        <v>6384321231.7099991</v>
      </c>
      <c r="M13" s="26">
        <f t="shared" si="0"/>
        <v>6003108760.5999994</v>
      </c>
      <c r="N13" s="26">
        <f t="shared" si="0"/>
        <v>5691956659.4099989</v>
      </c>
      <c r="O13" s="26">
        <f t="shared" si="0"/>
        <v>5381048832.1899996</v>
      </c>
      <c r="P13" s="26">
        <f t="shared" si="0"/>
        <v>5438354496.7200003</v>
      </c>
      <c r="Q13" s="26">
        <f t="shared" si="0"/>
        <v>5158745053.8099995</v>
      </c>
      <c r="R13" s="26">
        <f t="shared" si="0"/>
        <v>4951553621.6800003</v>
      </c>
      <c r="S13" s="26">
        <f t="shared" si="0"/>
        <v>4715233311.8199997</v>
      </c>
      <c r="T13" s="26">
        <f t="shared" si="0"/>
        <v>4736593614.499999</v>
      </c>
      <c r="U13" s="26">
        <f t="shared" si="0"/>
        <v>4549380061.5799999</v>
      </c>
      <c r="V13" s="26">
        <f t="shared" si="0"/>
        <v>4441461041.5500002</v>
      </c>
      <c r="W13" s="26">
        <f t="shared" si="0"/>
        <v>4315929346.079999</v>
      </c>
      <c r="X13" s="26">
        <f t="shared" si="0"/>
        <v>4389006571.4899988</v>
      </c>
      <c r="Y13" s="26">
        <f t="shared" si="0"/>
        <v>4268294643.7499981</v>
      </c>
      <c r="Z13" s="26">
        <f t="shared" si="0"/>
        <v>4192370271.8599992</v>
      </c>
      <c r="AA13" s="26">
        <f t="shared" si="0"/>
        <v>4095874204.9400005</v>
      </c>
      <c r="AB13" s="26">
        <f t="shared" si="0"/>
        <v>4117194523.2200003</v>
      </c>
      <c r="AC13" s="26">
        <f t="shared" si="0"/>
        <v>3988019738.5300007</v>
      </c>
      <c r="AD13" s="26">
        <f t="shared" si="0"/>
        <v>3946828828.2399998</v>
      </c>
      <c r="AE13" s="26">
        <f t="shared" si="0"/>
        <v>3787237734.8200002</v>
      </c>
      <c r="AF13" s="26">
        <f t="shared" si="0"/>
        <v>3696355983.2100005</v>
      </c>
      <c r="AG13" s="26">
        <f t="shared" si="0"/>
        <v>3532049783.9300013</v>
      </c>
      <c r="AH13" s="26">
        <f t="shared" si="0"/>
        <v>2211062157.4700003</v>
      </c>
      <c r="AI13" s="26">
        <f t="shared" si="0"/>
        <v>2105507659.5899999</v>
      </c>
      <c r="AJ13" s="26">
        <f t="shared" si="0"/>
        <v>2013450898.7300003</v>
      </c>
      <c r="AK13" s="26">
        <f t="shared" si="0"/>
        <v>1928887206.9999995</v>
      </c>
      <c r="AL13" s="26">
        <f t="shared" si="0"/>
        <v>1845044457.9500005</v>
      </c>
      <c r="AM13" s="26">
        <f t="shared" si="0"/>
        <v>1784528724.8399999</v>
      </c>
      <c r="AN13" s="26">
        <f t="shared" si="0"/>
        <v>1755526422.99</v>
      </c>
      <c r="AO13" s="26">
        <f t="shared" si="0"/>
        <v>1717867036.4499996</v>
      </c>
      <c r="AP13" s="26">
        <f t="shared" si="0"/>
        <v>1834858779.5900004</v>
      </c>
      <c r="AQ13" s="26">
        <f t="shared" si="0"/>
        <v>1790444242.4899998</v>
      </c>
      <c r="AR13" s="26">
        <f t="shared" si="0"/>
        <v>1759689619.9400001</v>
      </c>
      <c r="AS13" s="26">
        <f t="shared" si="0"/>
        <v>1731997619.8299997</v>
      </c>
      <c r="AT13" s="26">
        <f t="shared" si="0"/>
        <v>1500985638.8299999</v>
      </c>
      <c r="AU13" s="26">
        <f t="shared" si="0"/>
        <v>1341871365.3799996</v>
      </c>
      <c r="AV13" s="26">
        <f t="shared" si="0"/>
        <v>1352054706.9699998</v>
      </c>
      <c r="AW13" s="26">
        <f t="shared" si="0"/>
        <v>1484982903.9700003</v>
      </c>
      <c r="AX13" s="26">
        <f t="shared" si="0"/>
        <v>1606571982.9699998</v>
      </c>
      <c r="AY13" s="26">
        <f t="shared" si="0"/>
        <v>1474822557.25</v>
      </c>
      <c r="AZ13" s="26">
        <f t="shared" si="0"/>
        <v>1420294892.1599998</v>
      </c>
      <c r="BA13" s="26">
        <f t="shared" si="0"/>
        <v>1356500785.0599997</v>
      </c>
      <c r="BB13" s="26">
        <f t="shared" si="0"/>
        <v>1375060302.9499998</v>
      </c>
      <c r="BC13" s="26">
        <f t="shared" si="0"/>
        <v>1348054084.99</v>
      </c>
      <c r="BD13" s="26">
        <f t="shared" si="0"/>
        <v>1356887220.0700004</v>
      </c>
      <c r="BE13" s="26">
        <f t="shared" si="0"/>
        <v>1309812132.0599999</v>
      </c>
      <c r="BF13" s="26">
        <f t="shared" si="0"/>
        <v>1297499535.8400002</v>
      </c>
      <c r="BG13" s="26">
        <f t="shared" si="0"/>
        <v>1299440146.8499999</v>
      </c>
      <c r="BH13" s="26">
        <f t="shared" si="0"/>
        <v>1242746026.3900001</v>
      </c>
      <c r="BI13" s="26">
        <f t="shared" si="0"/>
        <v>1220915319.1100001</v>
      </c>
      <c r="BJ13" s="26">
        <f t="shared" si="0"/>
        <v>993189288.52000022</v>
      </c>
      <c r="BK13" s="26">
        <f t="shared" si="0"/>
        <v>1149903988.9499998</v>
      </c>
      <c r="BL13" s="26">
        <f t="shared" si="0"/>
        <v>0</v>
      </c>
      <c r="BM13" s="26">
        <f t="shared" si="0"/>
        <v>1220467195.6399996</v>
      </c>
      <c r="BN13" s="26">
        <f t="shared" si="0"/>
        <v>2119677803.8800001</v>
      </c>
      <c r="BO13" s="26">
        <f t="shared" si="0"/>
        <v>2155572788.3000002</v>
      </c>
      <c r="BP13" s="26">
        <f t="shared" si="0"/>
        <v>2180452091.2800002</v>
      </c>
      <c r="BQ13" s="26">
        <f t="shared" si="0"/>
        <v>1971160345.2999997</v>
      </c>
      <c r="BR13" s="26">
        <f t="shared" ref="BR13:CL13" si="1">BR9-BR12</f>
        <v>2232495614.5099998</v>
      </c>
      <c r="BS13" s="26">
        <f t="shared" si="1"/>
        <v>2193689720.3800001</v>
      </c>
      <c r="BT13" s="26">
        <f t="shared" si="1"/>
        <v>2310209302.1599998</v>
      </c>
      <c r="BU13" s="26">
        <f t="shared" si="1"/>
        <v>2213479540.8600001</v>
      </c>
      <c r="BV13" s="26">
        <f t="shared" si="1"/>
        <v>2238377631.8600001</v>
      </c>
      <c r="BW13" s="26">
        <f t="shared" si="1"/>
        <v>2094208615.71</v>
      </c>
      <c r="BX13" s="26">
        <f t="shared" si="1"/>
        <v>2088154870.0799999</v>
      </c>
      <c r="BY13" s="26">
        <f t="shared" si="1"/>
        <v>1914633310.9099998</v>
      </c>
      <c r="BZ13" s="26">
        <f t="shared" si="1"/>
        <v>371422960</v>
      </c>
      <c r="CA13" s="26">
        <f t="shared" si="1"/>
        <v>1038606045.8099999</v>
      </c>
      <c r="CB13" s="26">
        <f t="shared" si="1"/>
        <v>280244000</v>
      </c>
      <c r="CC13" s="26">
        <f t="shared" si="1"/>
        <v>58240248.189999998</v>
      </c>
      <c r="CD13" s="26">
        <f t="shared" si="1"/>
        <v>49205300.75</v>
      </c>
      <c r="CE13" s="26">
        <f t="shared" si="1"/>
        <v>38287366.619999997</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8308941551.6899986</v>
      </c>
      <c r="F14" s="48">
        <f t="shared" ref="F14:BQ14" si="2">F9</f>
        <v>7968731136.8100014</v>
      </c>
      <c r="G14" s="48">
        <f t="shared" si="2"/>
        <v>7490464371.6600037</v>
      </c>
      <c r="H14" s="48">
        <f t="shared" si="2"/>
        <v>7508689403.7900009</v>
      </c>
      <c r="I14" s="48">
        <f t="shared" si="2"/>
        <v>7151786156.4699993</v>
      </c>
      <c r="J14" s="48">
        <f t="shared" si="2"/>
        <v>6756513853.2900009</v>
      </c>
      <c r="K14" s="48">
        <f t="shared" si="2"/>
        <v>6340709373.3899975</v>
      </c>
      <c r="L14" s="48">
        <f t="shared" si="2"/>
        <v>6384321231.7099991</v>
      </c>
      <c r="M14" s="48">
        <f t="shared" si="2"/>
        <v>6003108760.5999994</v>
      </c>
      <c r="N14" s="48">
        <f t="shared" si="2"/>
        <v>5791723292.5999985</v>
      </c>
      <c r="O14" s="48">
        <f t="shared" si="2"/>
        <v>5396282954.5099993</v>
      </c>
      <c r="P14" s="48">
        <f t="shared" si="2"/>
        <v>5554503018.1900005</v>
      </c>
      <c r="Q14" s="48">
        <f t="shared" si="2"/>
        <v>5158745053.8099995</v>
      </c>
      <c r="R14" s="48">
        <f t="shared" si="2"/>
        <v>5052405561.6800003</v>
      </c>
      <c r="S14" s="48">
        <f t="shared" si="2"/>
        <v>4765867651.8199997</v>
      </c>
      <c r="T14" s="48">
        <f t="shared" si="2"/>
        <v>4737136414.499999</v>
      </c>
      <c r="U14" s="48">
        <f t="shared" si="2"/>
        <v>4549948661.5799999</v>
      </c>
      <c r="V14" s="48">
        <f t="shared" si="2"/>
        <v>4442205441.5500002</v>
      </c>
      <c r="W14" s="48">
        <f t="shared" si="2"/>
        <v>4316849546.079999</v>
      </c>
      <c r="X14" s="48">
        <f t="shared" si="2"/>
        <v>4390102571.4899988</v>
      </c>
      <c r="Y14" s="48">
        <f t="shared" si="2"/>
        <v>4269566443.7499981</v>
      </c>
      <c r="Z14" s="48">
        <f t="shared" si="2"/>
        <v>4199662721.8599992</v>
      </c>
      <c r="AA14" s="48">
        <f t="shared" si="2"/>
        <v>4103192454.9400005</v>
      </c>
      <c r="AB14" s="48">
        <f t="shared" si="2"/>
        <v>4131800059.5800004</v>
      </c>
      <c r="AC14" s="48">
        <f t="shared" si="2"/>
        <v>4001602474.8900008</v>
      </c>
      <c r="AD14" s="48">
        <f t="shared" si="2"/>
        <v>3964714846.8699999</v>
      </c>
      <c r="AE14" s="48">
        <f t="shared" si="2"/>
        <v>3834877349.2600002</v>
      </c>
      <c r="AF14" s="48">
        <f t="shared" si="2"/>
        <v>3790073458.5700006</v>
      </c>
      <c r="AG14" s="48">
        <f t="shared" si="2"/>
        <v>3549113988.8100014</v>
      </c>
      <c r="AH14" s="48">
        <f t="shared" si="2"/>
        <v>2216037107.4700003</v>
      </c>
      <c r="AI14" s="48">
        <f t="shared" si="2"/>
        <v>2110683959.5899999</v>
      </c>
      <c r="AJ14" s="48">
        <f t="shared" si="2"/>
        <v>2018789798.7300003</v>
      </c>
      <c r="AK14" s="48">
        <f t="shared" si="2"/>
        <v>1933566206.9999995</v>
      </c>
      <c r="AL14" s="48">
        <f t="shared" si="2"/>
        <v>1863386910.6100006</v>
      </c>
      <c r="AM14" s="48">
        <f t="shared" si="2"/>
        <v>1814871177.5</v>
      </c>
      <c r="AN14" s="48">
        <f t="shared" si="2"/>
        <v>1830633782.99</v>
      </c>
      <c r="AO14" s="48">
        <f t="shared" si="2"/>
        <v>1793359722.6999996</v>
      </c>
      <c r="AP14" s="48">
        <f t="shared" si="2"/>
        <v>1962900890.6800003</v>
      </c>
      <c r="AQ14" s="48">
        <f t="shared" si="2"/>
        <v>1992472868.8799999</v>
      </c>
      <c r="AR14" s="48">
        <f t="shared" si="2"/>
        <v>1982444184.8800001</v>
      </c>
      <c r="AS14" s="48">
        <f t="shared" si="2"/>
        <v>1934146576.8699996</v>
      </c>
      <c r="AT14" s="48">
        <f t="shared" si="2"/>
        <v>1877027622.3799999</v>
      </c>
      <c r="AU14" s="48">
        <f t="shared" si="2"/>
        <v>1743939429.3799996</v>
      </c>
      <c r="AV14" s="48">
        <f t="shared" si="2"/>
        <v>1807422770.9699998</v>
      </c>
      <c r="AW14" s="48">
        <f t="shared" si="2"/>
        <v>2045350967.9700003</v>
      </c>
      <c r="AX14" s="48">
        <f t="shared" si="2"/>
        <v>2319820046.9699998</v>
      </c>
      <c r="AY14" s="48">
        <f t="shared" si="2"/>
        <v>2197770621.25</v>
      </c>
      <c r="AZ14" s="48">
        <f t="shared" si="2"/>
        <v>2152632956.1599998</v>
      </c>
      <c r="BA14" s="48">
        <f t="shared" si="2"/>
        <v>2064693949.0599997</v>
      </c>
      <c r="BB14" s="48">
        <f t="shared" si="2"/>
        <v>2112602996.9499998</v>
      </c>
      <c r="BC14" s="48">
        <f t="shared" si="2"/>
        <v>2047597173.99</v>
      </c>
      <c r="BD14" s="48">
        <f t="shared" si="2"/>
        <v>2072833534.0700004</v>
      </c>
      <c r="BE14" s="48">
        <f t="shared" si="2"/>
        <v>2023370196.0599999</v>
      </c>
      <c r="BF14" s="48">
        <f t="shared" si="2"/>
        <v>1935057599.8400002</v>
      </c>
      <c r="BG14" s="48">
        <f t="shared" si="2"/>
        <v>1930198210.8499999</v>
      </c>
      <c r="BH14" s="48">
        <f t="shared" si="2"/>
        <v>1894704090.3900001</v>
      </c>
      <c r="BI14" s="48">
        <f t="shared" si="2"/>
        <v>1857673383.1100001</v>
      </c>
      <c r="BJ14" s="48">
        <f t="shared" si="2"/>
        <v>1628147352.5200002</v>
      </c>
      <c r="BK14" s="48">
        <f t="shared" si="2"/>
        <v>1637862052.9499998</v>
      </c>
      <c r="BL14" s="48">
        <f t="shared" si="2"/>
        <v>0</v>
      </c>
      <c r="BM14" s="48">
        <f t="shared" si="2"/>
        <v>1862825259.6399996</v>
      </c>
      <c r="BN14" s="48">
        <f t="shared" si="2"/>
        <v>2816935867.8800001</v>
      </c>
      <c r="BO14" s="48">
        <f t="shared" si="2"/>
        <v>2857540852.3000002</v>
      </c>
      <c r="BP14" s="48">
        <f t="shared" si="2"/>
        <v>2857020155.2800002</v>
      </c>
      <c r="BQ14" s="48">
        <f t="shared" si="2"/>
        <v>2504318409.2999997</v>
      </c>
      <c r="BR14" s="48">
        <f t="shared" ref="BR14:CL14" si="3">BR9</f>
        <v>2871633678.5099998</v>
      </c>
      <c r="BS14" s="48">
        <f t="shared" si="3"/>
        <v>2745347784.3800001</v>
      </c>
      <c r="BT14" s="48">
        <f t="shared" si="3"/>
        <v>2974544716.1199999</v>
      </c>
      <c r="BU14" s="48">
        <f t="shared" si="3"/>
        <v>2630676870.54</v>
      </c>
      <c r="BV14" s="48">
        <f t="shared" si="3"/>
        <v>2577020116.2000003</v>
      </c>
      <c r="BW14" s="48">
        <f t="shared" si="3"/>
        <v>2284067051.3200002</v>
      </c>
      <c r="BX14" s="48">
        <f t="shared" si="3"/>
        <v>2316948258.0599999</v>
      </c>
      <c r="BY14" s="48">
        <f t="shared" si="3"/>
        <v>2141855510.9099998</v>
      </c>
      <c r="BZ14" s="48">
        <f t="shared" si="3"/>
        <v>371422960</v>
      </c>
      <c r="CA14" s="48">
        <f t="shared" si="3"/>
        <v>1166819762.8699999</v>
      </c>
      <c r="CB14" s="48">
        <f t="shared" si="3"/>
        <v>280244000</v>
      </c>
      <c r="CC14" s="48">
        <f t="shared" si="3"/>
        <v>58240248.189999998</v>
      </c>
      <c r="CD14" s="48">
        <f t="shared" si="3"/>
        <v>49205300.75</v>
      </c>
      <c r="CE14" s="48">
        <f t="shared" si="3"/>
        <v>38287366.619999997</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1634980814.7199991</v>
      </c>
      <c r="F15" s="58">
        <f t="shared" ref="F15:BQ15" si="4">F11+F13-F3-F4-F7</f>
        <v>3066902375.4300003</v>
      </c>
      <c r="G15" s="58">
        <f t="shared" si="4"/>
        <v>3377322430.7199998</v>
      </c>
      <c r="H15" s="58">
        <f t="shared" si="4"/>
        <v>4153598283.5600004</v>
      </c>
      <c r="I15" s="58">
        <f t="shared" si="4"/>
        <v>4180074857.3100009</v>
      </c>
      <c r="J15" s="58">
        <f t="shared" si="4"/>
        <v>2160491687.1300001</v>
      </c>
      <c r="K15" s="58">
        <f t="shared" si="4"/>
        <v>2150149988.2799997</v>
      </c>
      <c r="L15" s="58">
        <f t="shared" si="4"/>
        <v>2385271932.039999</v>
      </c>
      <c r="M15" s="58">
        <f t="shared" si="4"/>
        <v>3134819575.0699997</v>
      </c>
      <c r="N15" s="58">
        <f t="shared" si="4"/>
        <v>4032884897.7400007</v>
      </c>
      <c r="O15" s="58">
        <f t="shared" si="4"/>
        <v>2873048821.9800005</v>
      </c>
      <c r="P15" s="58">
        <f t="shared" si="4"/>
        <v>2120438652.01</v>
      </c>
      <c r="Q15" s="58">
        <f t="shared" si="4"/>
        <v>3133593041.4799995</v>
      </c>
      <c r="R15" s="58">
        <f t="shared" si="4"/>
        <v>2291258707.2599998</v>
      </c>
      <c r="S15" s="58">
        <f t="shared" si="4"/>
        <v>2125878011.2300007</v>
      </c>
      <c r="T15" s="58">
        <f t="shared" si="4"/>
        <v>1680750281.25</v>
      </c>
      <c r="U15" s="58">
        <f t="shared" si="4"/>
        <v>1642169421.5999999</v>
      </c>
      <c r="V15" s="58">
        <f t="shared" si="4"/>
        <v>1490558425.4699998</v>
      </c>
      <c r="W15" s="58">
        <f t="shared" si="4"/>
        <v>1562020929.0499997</v>
      </c>
      <c r="X15" s="58">
        <f t="shared" si="4"/>
        <v>1428021705.3799999</v>
      </c>
      <c r="Y15" s="58">
        <f t="shared" si="4"/>
        <v>1410852129.3799996</v>
      </c>
      <c r="Z15" s="58">
        <f t="shared" si="4"/>
        <v>2837657323.9299994</v>
      </c>
      <c r="AA15" s="58">
        <f t="shared" si="4"/>
        <v>3126324032.8800011</v>
      </c>
      <c r="AB15" s="58">
        <f t="shared" si="4"/>
        <v>2320880166.7199998</v>
      </c>
      <c r="AC15" s="58">
        <f t="shared" si="4"/>
        <v>2418308704.3599997</v>
      </c>
      <c r="AD15" s="58">
        <f t="shared" si="4"/>
        <v>2978586849.9799995</v>
      </c>
      <c r="AE15" s="58">
        <f t="shared" si="4"/>
        <v>1660032315.8500001</v>
      </c>
      <c r="AF15" s="58">
        <f t="shared" si="4"/>
        <v>1467884114.9699998</v>
      </c>
      <c r="AG15" s="58">
        <f t="shared" si="4"/>
        <v>2214864554.8400002</v>
      </c>
      <c r="AH15" s="58">
        <f t="shared" si="4"/>
        <v>1787122883.7799997</v>
      </c>
      <c r="AI15" s="58">
        <f t="shared" si="4"/>
        <v>1296161428.4000003</v>
      </c>
      <c r="AJ15" s="58">
        <f t="shared" si="4"/>
        <v>456759416.60000002</v>
      </c>
      <c r="AK15" s="58">
        <f t="shared" si="4"/>
        <v>851761786.8099997</v>
      </c>
      <c r="AL15" s="58">
        <f t="shared" si="4"/>
        <v>981767329.70000017</v>
      </c>
      <c r="AM15" s="58">
        <f t="shared" si="4"/>
        <v>732363947.31999993</v>
      </c>
      <c r="AN15" s="58">
        <f t="shared" si="4"/>
        <v>574161513.91999996</v>
      </c>
      <c r="AO15" s="58">
        <f t="shared" si="4"/>
        <v>581824035.70999992</v>
      </c>
      <c r="AP15" s="58">
        <f t="shared" si="4"/>
        <v>447457487.20000005</v>
      </c>
      <c r="AQ15" s="58">
        <f t="shared" si="4"/>
        <v>622945470.3299998</v>
      </c>
      <c r="AR15" s="58">
        <f t="shared" si="4"/>
        <v>568211132.46000004</v>
      </c>
      <c r="AS15" s="58">
        <f t="shared" si="4"/>
        <v>769884070.29999995</v>
      </c>
      <c r="AT15" s="58">
        <f t="shared" si="4"/>
        <v>550427409.87000012</v>
      </c>
      <c r="AU15" s="58">
        <f t="shared" si="4"/>
        <v>226990913.44000006</v>
      </c>
      <c r="AV15" s="58">
        <f t="shared" si="4"/>
        <v>52334140.820000172</v>
      </c>
      <c r="AW15" s="58">
        <f t="shared" si="4"/>
        <v>164090307.28999996</v>
      </c>
      <c r="AX15" s="58">
        <f t="shared" si="4"/>
        <v>16771387.909999847</v>
      </c>
      <c r="AY15" s="58">
        <f t="shared" si="4"/>
        <v>145608924.61000013</v>
      </c>
      <c r="AZ15" s="58">
        <f t="shared" si="4"/>
        <v>165827398.86999989</v>
      </c>
      <c r="BA15" s="58">
        <f t="shared" si="4"/>
        <v>175502620.63</v>
      </c>
      <c r="BB15" s="58">
        <f t="shared" si="4"/>
        <v>-124075195.57000017</v>
      </c>
      <c r="BC15" s="58">
        <f t="shared" si="4"/>
        <v>-139607362.96999991</v>
      </c>
      <c r="BD15" s="58">
        <f t="shared" si="4"/>
        <v>40376298.269999981</v>
      </c>
      <c r="BE15" s="58">
        <f t="shared" si="4"/>
        <v>147275858.58000004</v>
      </c>
      <c r="BF15" s="58">
        <f t="shared" si="4"/>
        <v>42534133.640000105</v>
      </c>
      <c r="BG15" s="58">
        <f t="shared" si="4"/>
        <v>244299137.3599999</v>
      </c>
      <c r="BH15" s="58">
        <f t="shared" si="4"/>
        <v>232144753.75000012</v>
      </c>
      <c r="BI15" s="58">
        <f t="shared" si="4"/>
        <v>309298552.32000017</v>
      </c>
      <c r="BJ15" s="58">
        <f t="shared" si="4"/>
        <v>119571104.13000011</v>
      </c>
      <c r="BK15" s="58">
        <f t="shared" si="4"/>
        <v>271785563.97000003</v>
      </c>
      <c r="BL15" s="58">
        <f t="shared" si="4"/>
        <v>0</v>
      </c>
      <c r="BM15" s="58">
        <f t="shared" si="4"/>
        <v>63280788.870000005</v>
      </c>
      <c r="BN15" s="58">
        <f t="shared" si="4"/>
        <v>-35200037.049999833</v>
      </c>
      <c r="BO15" s="58">
        <f t="shared" si="4"/>
        <v>15646758.670000196</v>
      </c>
      <c r="BP15" s="58">
        <f t="shared" si="4"/>
        <v>-60351527.920000076</v>
      </c>
      <c r="BQ15" s="58">
        <f t="shared" si="4"/>
        <v>67781821.519999623</v>
      </c>
      <c r="BR15" s="58">
        <f t="shared" ref="BR15:CL15" si="5">BR11+BR13-BR3-BR4-BR7</f>
        <v>56816922.259999633</v>
      </c>
      <c r="BS15" s="58">
        <f t="shared" si="5"/>
        <v>138290036.44000018</v>
      </c>
      <c r="BT15" s="58">
        <f t="shared" si="5"/>
        <v>440953021.73999989</v>
      </c>
      <c r="BU15" s="58">
        <f t="shared" si="5"/>
        <v>247954743.50999987</v>
      </c>
      <c r="BV15" s="58">
        <f t="shared" si="5"/>
        <v>327566800.5999999</v>
      </c>
      <c r="BW15" s="58">
        <f t="shared" si="5"/>
        <v>367567557.79999983</v>
      </c>
      <c r="BX15" s="58">
        <f t="shared" si="5"/>
        <v>639327377.1099999</v>
      </c>
      <c r="BY15" s="58">
        <f t="shared" si="5"/>
        <v>792630015.24999988</v>
      </c>
      <c r="BZ15" s="58">
        <f t="shared" si="5"/>
        <v>0</v>
      </c>
      <c r="CA15" s="58">
        <f t="shared" si="5"/>
        <v>370456521.53000009</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-1634980814.72</v>
      </c>
      <c r="F16" s="58">
        <f t="shared" ref="F16:BQ16" si="6">F10-F2</f>
        <v>-3066902375.4299998</v>
      </c>
      <c r="G16" s="58">
        <f t="shared" si="6"/>
        <v>-3377322430.7200003</v>
      </c>
      <c r="H16" s="58">
        <f t="shared" si="6"/>
        <v>-4153598283.5599999</v>
      </c>
      <c r="I16" s="58">
        <f t="shared" si="6"/>
        <v>-4180074857.3100004</v>
      </c>
      <c r="J16" s="58">
        <f t="shared" si="6"/>
        <v>-2160491687.1300001</v>
      </c>
      <c r="K16" s="58">
        <f t="shared" si="6"/>
        <v>-2150149988.2800002</v>
      </c>
      <c r="L16" s="58">
        <f t="shared" si="6"/>
        <v>-2385271932.0399995</v>
      </c>
      <c r="M16" s="58">
        <f t="shared" si="6"/>
        <v>-3134819575.0699997</v>
      </c>
      <c r="N16" s="58">
        <f t="shared" si="6"/>
        <v>-4032884897.7399998</v>
      </c>
      <c r="O16" s="58">
        <f t="shared" si="6"/>
        <v>-2873048821.98</v>
      </c>
      <c r="P16" s="58">
        <f t="shared" si="6"/>
        <v>-2120438652.01</v>
      </c>
      <c r="Q16" s="58">
        <f t="shared" si="6"/>
        <v>-3133593041.48</v>
      </c>
      <c r="R16" s="58">
        <f t="shared" si="6"/>
        <v>-2291258707.2599998</v>
      </c>
      <c r="S16" s="58">
        <f t="shared" si="6"/>
        <v>-2125878011.23</v>
      </c>
      <c r="T16" s="58">
        <f t="shared" si="6"/>
        <v>-1680750281.25</v>
      </c>
      <c r="U16" s="58">
        <f t="shared" si="6"/>
        <v>-1642169421.5999999</v>
      </c>
      <c r="V16" s="58">
        <f t="shared" si="6"/>
        <v>-1490558425.47</v>
      </c>
      <c r="W16" s="58">
        <f t="shared" si="6"/>
        <v>-1562020929.05</v>
      </c>
      <c r="X16" s="58">
        <f t="shared" si="6"/>
        <v>-1428021705.3800001</v>
      </c>
      <c r="Y16" s="58">
        <f t="shared" si="6"/>
        <v>-1410852129.3800001</v>
      </c>
      <c r="Z16" s="58">
        <f t="shared" si="6"/>
        <v>-2837657323.9299998</v>
      </c>
      <c r="AA16" s="58">
        <f t="shared" si="6"/>
        <v>-3126324032.8800001</v>
      </c>
      <c r="AB16" s="58">
        <f t="shared" si="6"/>
        <v>-2320880166.7199998</v>
      </c>
      <c r="AC16" s="58">
        <f t="shared" si="6"/>
        <v>-2418308704.3599997</v>
      </c>
      <c r="AD16" s="58">
        <f t="shared" si="6"/>
        <v>-2978586849.98</v>
      </c>
      <c r="AE16" s="58">
        <f t="shared" si="6"/>
        <v>-1660032315.8499999</v>
      </c>
      <c r="AF16" s="58">
        <f t="shared" si="6"/>
        <v>-1467884114.97</v>
      </c>
      <c r="AG16" s="58">
        <f t="shared" si="6"/>
        <v>-2214864554.8400002</v>
      </c>
      <c r="AH16" s="58">
        <f t="shared" si="6"/>
        <v>-1787122883.78</v>
      </c>
      <c r="AI16" s="58">
        <f t="shared" si="6"/>
        <v>-1296161428.4000001</v>
      </c>
      <c r="AJ16" s="58">
        <f t="shared" si="6"/>
        <v>-456759416.60000002</v>
      </c>
      <c r="AK16" s="58">
        <f t="shared" si="6"/>
        <v>-851761786.80999994</v>
      </c>
      <c r="AL16" s="58">
        <f t="shared" si="6"/>
        <v>-981767329.70000005</v>
      </c>
      <c r="AM16" s="58">
        <f t="shared" si="6"/>
        <v>-732363947.32000005</v>
      </c>
      <c r="AN16" s="58">
        <f t="shared" si="6"/>
        <v>-574161513.91999996</v>
      </c>
      <c r="AO16" s="58">
        <f t="shared" si="6"/>
        <v>-581824035.71000004</v>
      </c>
      <c r="AP16" s="58">
        <f t="shared" si="6"/>
        <v>-447457487.20000005</v>
      </c>
      <c r="AQ16" s="58">
        <f t="shared" si="6"/>
        <v>-622945470.32999992</v>
      </c>
      <c r="AR16" s="58">
        <f t="shared" si="6"/>
        <v>-568211132.46000004</v>
      </c>
      <c r="AS16" s="58">
        <f t="shared" si="6"/>
        <v>-769884070.29999995</v>
      </c>
      <c r="AT16" s="58">
        <f t="shared" si="6"/>
        <v>-550427409.87</v>
      </c>
      <c r="AU16" s="58">
        <f t="shared" si="6"/>
        <v>-226990913.44000006</v>
      </c>
      <c r="AV16" s="58">
        <f t="shared" si="6"/>
        <v>-52334140.819999993</v>
      </c>
      <c r="AW16" s="58">
        <f t="shared" si="6"/>
        <v>-164090307.28999996</v>
      </c>
      <c r="AX16" s="58">
        <f t="shared" si="6"/>
        <v>-16771387.909999967</v>
      </c>
      <c r="AY16" s="58">
        <f t="shared" si="6"/>
        <v>-145608924.61000001</v>
      </c>
      <c r="AZ16" s="58">
        <f t="shared" si="6"/>
        <v>-165827398.87</v>
      </c>
      <c r="BA16" s="58">
        <f t="shared" si="6"/>
        <v>-175502620.63</v>
      </c>
      <c r="BB16" s="58">
        <f t="shared" si="6"/>
        <v>124075195.57000005</v>
      </c>
      <c r="BC16" s="58">
        <f t="shared" si="6"/>
        <v>139607362.97000003</v>
      </c>
      <c r="BD16" s="58">
        <f t="shared" si="6"/>
        <v>-40376298.269999981</v>
      </c>
      <c r="BE16" s="58">
        <f t="shared" si="6"/>
        <v>-147275858.58000004</v>
      </c>
      <c r="BF16" s="58">
        <f t="shared" si="6"/>
        <v>-42534133.639999986</v>
      </c>
      <c r="BG16" s="58">
        <f t="shared" si="6"/>
        <v>-244299137.36000001</v>
      </c>
      <c r="BH16" s="58">
        <f t="shared" si="6"/>
        <v>-232144753.75</v>
      </c>
      <c r="BI16" s="58">
        <f t="shared" si="6"/>
        <v>-309298552.32000005</v>
      </c>
      <c r="BJ16" s="58">
        <f t="shared" si="6"/>
        <v>-119571104.13000011</v>
      </c>
      <c r="BK16" s="58">
        <f t="shared" si="6"/>
        <v>-271785563.97000003</v>
      </c>
      <c r="BL16" s="58">
        <f t="shared" si="6"/>
        <v>0</v>
      </c>
      <c r="BM16" s="58">
        <f t="shared" si="6"/>
        <v>-63280788.870000005</v>
      </c>
      <c r="BN16" s="58">
        <f t="shared" si="6"/>
        <v>35200037.049999952</v>
      </c>
      <c r="BO16" s="58">
        <f t="shared" si="6"/>
        <v>-15646758.669999957</v>
      </c>
      <c r="BP16" s="58">
        <f t="shared" si="6"/>
        <v>60351527.919999957</v>
      </c>
      <c r="BQ16" s="58">
        <f t="shared" si="6"/>
        <v>-67781821.519999981</v>
      </c>
      <c r="BR16" s="58">
        <f t="shared" ref="BR16:CL16" si="7">BR10-BR2</f>
        <v>-56816922.25999999</v>
      </c>
      <c r="BS16" s="58">
        <f t="shared" si="7"/>
        <v>-138290036.44000006</v>
      </c>
      <c r="BT16" s="58">
        <f t="shared" si="7"/>
        <v>-440953021.74000001</v>
      </c>
      <c r="BU16" s="58">
        <f t="shared" si="7"/>
        <v>-247954743.50999999</v>
      </c>
      <c r="BV16" s="58">
        <f t="shared" si="7"/>
        <v>-327566800.60000002</v>
      </c>
      <c r="BW16" s="58">
        <f t="shared" si="7"/>
        <v>-367567557.79999995</v>
      </c>
      <c r="BX16" s="58">
        <f t="shared" si="7"/>
        <v>-639327377.1099999</v>
      </c>
      <c r="BY16" s="58">
        <f t="shared" si="7"/>
        <v>-792630015.25</v>
      </c>
      <c r="BZ16" s="58">
        <f t="shared" si="7"/>
        <v>0</v>
      </c>
      <c r="CA16" s="58">
        <f t="shared" si="7"/>
        <v>-370456521.52999997</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1.3349673353196083</v>
      </c>
      <c r="F17" s="59">
        <f t="shared" ref="F17:BQ17" si="8">(F11+F13-F7-F3)/F4</f>
        <v>1.9803913223463954</v>
      </c>
      <c r="G17" s="59">
        <f t="shared" si="8"/>
        <v>2.4333511211502796</v>
      </c>
      <c r="H17" s="59">
        <f t="shared" si="8"/>
        <v>3.5146132472792915</v>
      </c>
      <c r="I17" s="59">
        <f t="shared" si="8"/>
        <v>4.2282735308368835</v>
      </c>
      <c r="J17" s="59">
        <f t="shared" si="8"/>
        <v>1.6998256896553208</v>
      </c>
      <c r="K17" s="59">
        <f t="shared" si="8"/>
        <v>1.8016886866276027</v>
      </c>
      <c r="L17" s="59">
        <f t="shared" si="8"/>
        <v>1.9641297063602254</v>
      </c>
      <c r="M17" s="59">
        <f t="shared" si="8"/>
        <v>3.3013650736046323</v>
      </c>
      <c r="N17" s="59">
        <f t="shared" si="8"/>
        <v>23.438212732110227</v>
      </c>
      <c r="O17" s="59">
        <f t="shared" si="8"/>
        <v>3.7844223861648576</v>
      </c>
      <c r="P17" s="59">
        <f t="shared" si="8"/>
        <v>2.1731948562487933</v>
      </c>
      <c r="Q17" s="59">
        <f t="shared" si="8"/>
        <v>7.0650509616523873</v>
      </c>
      <c r="R17" s="59">
        <f t="shared" si="8"/>
        <v>3.165404583749079</v>
      </c>
      <c r="S17" s="59">
        <f t="shared" si="8"/>
        <v>3.1018374001860041</v>
      </c>
      <c r="T17" s="59">
        <f t="shared" si="8"/>
        <v>2.1543778096869133</v>
      </c>
      <c r="U17" s="59">
        <f t="shared" si="8"/>
        <v>2.2500758226743676</v>
      </c>
      <c r="V17" s="59">
        <f t="shared" si="8"/>
        <v>2.1061016910138668</v>
      </c>
      <c r="W17" s="59">
        <f t="shared" si="8"/>
        <v>2.3457858662492992</v>
      </c>
      <c r="X17" s="59">
        <f t="shared" si="8"/>
        <v>2.0790218812387327</v>
      </c>
      <c r="Y17" s="59">
        <f t="shared" si="8"/>
        <v>2.2606138519267351</v>
      </c>
      <c r="Z17" s="59">
        <f t="shared" si="8"/>
        <v>-5.8022329933034937</v>
      </c>
      <c r="AA17" s="59">
        <f t="shared" si="8"/>
        <v>-2.8807031765105386</v>
      </c>
      <c r="AB17" s="59">
        <f t="shared" si="8"/>
        <v>-903.48480740748892</v>
      </c>
      <c r="AC17" s="59">
        <f t="shared" si="8"/>
        <v>-8.0052382441491208</v>
      </c>
      <c r="AD17" s="59">
        <f t="shared" si="8"/>
        <v>-2.5790301847564638</v>
      </c>
      <c r="AE17" s="59">
        <f t="shared" si="8"/>
        <v>8.2387520747320959</v>
      </c>
      <c r="AF17" s="59">
        <f t="shared" si="8"/>
        <v>4.8400470868891032</v>
      </c>
      <c r="AG17" s="59">
        <f t="shared" si="8"/>
        <v>-4.126900657770693</v>
      </c>
      <c r="AH17" s="59">
        <f t="shared" si="8"/>
        <v>-1.8228155232569887</v>
      </c>
      <c r="AI17" s="59">
        <f t="shared" si="8"/>
        <v>-4.6886913875398832</v>
      </c>
      <c r="AJ17" s="59">
        <f t="shared" si="8"/>
        <v>1.8449097586827214</v>
      </c>
      <c r="AK17" s="59">
        <f t="shared" si="8"/>
        <v>11.206740363884489</v>
      </c>
      <c r="AL17" s="59">
        <f t="shared" si="8"/>
        <v>-7.6907980265752851</v>
      </c>
      <c r="AM17" s="59">
        <f t="shared" si="8"/>
        <v>5.1020777375923201</v>
      </c>
      <c r="AN17" s="59">
        <f t="shared" si="8"/>
        <v>3.46075917868423</v>
      </c>
      <c r="AO17" s="59">
        <f t="shared" si="8"/>
        <v>4.6686604434261048</v>
      </c>
      <c r="AP17" s="59">
        <f t="shared" si="8"/>
        <v>2.3577076952076759</v>
      </c>
      <c r="AQ17" s="59">
        <f t="shared" si="8"/>
        <v>8.4197038221290423</v>
      </c>
      <c r="AR17" s="59">
        <f t="shared" si="8"/>
        <v>6.2026033066377355</v>
      </c>
      <c r="AS17" s="59">
        <f t="shared" si="8"/>
        <v>-5.7795104320952353</v>
      </c>
      <c r="AT17" s="59">
        <f t="shared" si="8"/>
        <v>-1.5298358710369495</v>
      </c>
      <c r="AU17" s="59">
        <f t="shared" si="8"/>
        <v>15.708393165411453</v>
      </c>
      <c r="AV17" s="59">
        <f t="shared" si="8"/>
        <v>1.442507685550998</v>
      </c>
      <c r="AW17" s="59">
        <f t="shared" si="8"/>
        <v>2.0025802878289323</v>
      </c>
      <c r="AX17" s="59">
        <f t="shared" si="8"/>
        <v>1.0459129985952298</v>
      </c>
      <c r="AY17" s="59">
        <f t="shared" si="8"/>
        <v>1.5387065669061388</v>
      </c>
      <c r="AZ17" s="59">
        <f t="shared" si="8"/>
        <v>1.5347878178028542</v>
      </c>
      <c r="BA17" s="59">
        <f t="shared" si="8"/>
        <v>1.7687915690542726</v>
      </c>
      <c r="BB17" s="59">
        <f t="shared" si="8"/>
        <v>0.7428905014000452</v>
      </c>
      <c r="BC17" s="59">
        <f t="shared" si="8"/>
        <v>0.69906554193030424</v>
      </c>
      <c r="BD17" s="59">
        <f t="shared" si="8"/>
        <v>1.1389627789806578</v>
      </c>
      <c r="BE17" s="59">
        <f t="shared" si="8"/>
        <v>1.8594388578943521</v>
      </c>
      <c r="BF17" s="59">
        <f t="shared" si="8"/>
        <v>1.1449011259637811</v>
      </c>
      <c r="BG17" s="59">
        <f t="shared" si="8"/>
        <v>4.5269057025856254</v>
      </c>
      <c r="BH17" s="59">
        <f t="shared" si="8"/>
        <v>41.220430499625387</v>
      </c>
      <c r="BI17" s="59">
        <f t="shared" si="8"/>
        <v>-2.8049706428877754</v>
      </c>
      <c r="BJ17" s="59">
        <f t="shared" si="8"/>
        <v>2.7374316922003814</v>
      </c>
      <c r="BK17" s="59">
        <f t="shared" si="8"/>
        <v>4.2778583171127629</v>
      </c>
      <c r="BL17" s="59" t="e">
        <f t="shared" si="8"/>
        <v>#DIV/0!</v>
      </c>
      <c r="BM17" s="59">
        <f t="shared" si="8"/>
        <v>1.3832608545025804</v>
      </c>
      <c r="BN17" s="59">
        <f t="shared" si="8"/>
        <v>0.96796941274254411</v>
      </c>
      <c r="BO17" s="59">
        <f t="shared" si="8"/>
        <v>1.0140851138766593</v>
      </c>
      <c r="BP17" s="59">
        <f t="shared" si="8"/>
        <v>0.94943475292091328</v>
      </c>
      <c r="BQ17" s="59">
        <f t="shared" si="8"/>
        <v>1.0780636851468022</v>
      </c>
      <c r="BR17" s="59">
        <f t="shared" ref="BR17:CL17" si="9">(BR11+BR13-BR7-BR3)/BR4</f>
        <v>1.0491024393438848</v>
      </c>
      <c r="BS17" s="59">
        <f t="shared" si="9"/>
        <v>1.1320629102499185</v>
      </c>
      <c r="BT17" s="59">
        <f t="shared" si="9"/>
        <v>1.4622481451125111</v>
      </c>
      <c r="BU17" s="59">
        <f t="shared" si="9"/>
        <v>1.2355858015191461</v>
      </c>
      <c r="BV17" s="59">
        <f t="shared" si="9"/>
        <v>1.3761525056069481</v>
      </c>
      <c r="BW17" s="59">
        <f t="shared" si="9"/>
        <v>1.444688874688804</v>
      </c>
      <c r="BX17" s="59">
        <f t="shared" si="9"/>
        <v>1.9247676475522821</v>
      </c>
      <c r="BY17" s="59">
        <f t="shared" si="9"/>
        <v>2.5783532403414204</v>
      </c>
      <c r="BZ17" s="59" t="e">
        <f t="shared" si="9"/>
        <v>#DIV/0!</v>
      </c>
      <c r="CA17" s="59">
        <f t="shared" si="9"/>
        <v>2.0549598509307381</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745</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0.12799673223640906</v>
      </c>
      <c r="F20" s="115"/>
      <c r="G20" s="115"/>
      <c r="H20" s="115"/>
      <c r="I20" s="115">
        <f>POWER(E9/Y9,1/6)-1</f>
        <v>0.11736137501744115</v>
      </c>
      <c r="M20" s="115">
        <f>POWER(E9/AC9,1/7)-1</f>
        <v>0.11001858844316104</v>
      </c>
    </row>
    <row r="21" spans="1:90" s="63" customFormat="1" ht="14.25" customHeight="1" x14ac:dyDescent="0.25">
      <c r="A21" s="113" t="s">
        <v>574</v>
      </c>
      <c r="B21" s="115"/>
      <c r="C21" s="115"/>
      <c r="D21" s="115"/>
      <c r="E21" s="115">
        <f>POWER(E4/U4,1/5)-1</f>
        <v>0.30018670071876419</v>
      </c>
      <c r="F21" s="115"/>
      <c r="G21" s="115"/>
      <c r="H21" s="115"/>
      <c r="I21" s="115">
        <f>POWER(E4/Y4,1/6)-1</f>
        <v>0.2782087805509923</v>
      </c>
      <c r="M21" s="115">
        <f>POWER(E4/AC4,1/7)-1</f>
        <v>-2.5133091821743516</v>
      </c>
    </row>
    <row r="22" spans="1:90" s="63" customFormat="1" ht="14.25" customHeight="1" x14ac:dyDescent="0.25">
      <c r="A22" s="113" t="s">
        <v>577</v>
      </c>
      <c r="B22" s="115"/>
      <c r="C22" s="115"/>
      <c r="D22" s="115"/>
      <c r="E22" s="115">
        <f>POWER(E5/U5,1/5)-1</f>
        <v>0.2451564587875168</v>
      </c>
      <c r="F22" s="115"/>
      <c r="G22" s="115"/>
      <c r="H22" s="115"/>
      <c r="I22" s="115">
        <f>POWER(E5/Y5,1/6)-1</f>
        <v>0.22682299001107431</v>
      </c>
      <c r="M22" s="115">
        <f>POWER(E5/AC5,1/7)-1</f>
        <v>0.20431845330349363</v>
      </c>
    </row>
    <row r="23" spans="1:90" s="63" customFormat="1" ht="14.25" customHeight="1" x14ac:dyDescent="0.25">
      <c r="A23" s="113" t="s">
        <v>578</v>
      </c>
      <c r="B23" s="115"/>
      <c r="C23" s="115"/>
      <c r="D23" s="115"/>
      <c r="E23" s="115">
        <f>POWER(E6/U6,1/5)-1</f>
        <v>0.22776871929233566</v>
      </c>
      <c r="F23" s="115"/>
      <c r="G23" s="115"/>
      <c r="H23" s="115"/>
      <c r="I23" s="115">
        <f>POWER(E6/Y6,1/6)-1</f>
        <v>0.2108602975408993</v>
      </c>
      <c r="M23" s="115">
        <f>POWER(E6/AC6,1/7)-1</f>
        <v>0.14202077134053392</v>
      </c>
    </row>
    <row r="24" spans="1:90" s="63" customFormat="1" ht="14.25" customHeight="1" x14ac:dyDescent="0.25">
      <c r="A24" s="113" t="s">
        <v>579</v>
      </c>
      <c r="B24" s="115"/>
      <c r="C24" s="115"/>
      <c r="D24" s="115"/>
      <c r="E24" s="115">
        <f>POWER(E7/U7,1/5)-1</f>
        <v>1.4900496148329223E-2</v>
      </c>
      <c r="F24" s="115"/>
      <c r="G24" s="115"/>
      <c r="H24" s="115"/>
      <c r="I24" s="115">
        <f>POWER(E7/Y7,1/6)-1</f>
        <v>-2.1540568726537979E-3</v>
      </c>
      <c r="M24" s="115">
        <f>POWER(E7/AC7,1/7)-1</f>
        <v>-1.0210721407064138E-2</v>
      </c>
    </row>
    <row r="25" spans="1:90" s="107" customFormat="1" x14ac:dyDescent="0.25">
      <c r="A25" s="142" t="s">
        <v>555</v>
      </c>
      <c r="B25" s="108"/>
      <c r="C25" s="108"/>
      <c r="D25" s="108"/>
      <c r="E25" s="108">
        <f>(E2-I2)/I2</f>
        <v>-0.60668685402498557</v>
      </c>
      <c r="F25" s="108">
        <f t="shared" ref="F25:BQ25" si="10">(F2-J2)/J2</f>
        <v>0.48872240267799083</v>
      </c>
      <c r="G25" s="108">
        <f t="shared" si="10"/>
        <v>0.64980231614337747</v>
      </c>
      <c r="H25" s="108">
        <f t="shared" si="10"/>
        <v>0.79310933609236656</v>
      </c>
      <c r="I25" s="108">
        <f t="shared" si="10"/>
        <v>0.39206988374524099</v>
      </c>
      <c r="J25" s="107">
        <f t="shared" si="10"/>
        <v>-0.47721416360410884</v>
      </c>
      <c r="K25" s="107">
        <f t="shared" si="10"/>
        <v>-0.25556116566650733</v>
      </c>
      <c r="L25" s="107">
        <f t="shared" si="10"/>
        <v>6.647840974991133E-2</v>
      </c>
      <c r="M25" s="108">
        <f t="shared" si="10"/>
        <v>3.914144478124008E-4</v>
      </c>
      <c r="N25" s="108">
        <f t="shared" si="10"/>
        <v>0.72797203822064738</v>
      </c>
      <c r="O25" s="108">
        <f t="shared" si="10"/>
        <v>0.32733874760687037</v>
      </c>
      <c r="P25" s="108">
        <f t="shared" si="10"/>
        <v>0.33070760030848573</v>
      </c>
      <c r="Q25" s="108">
        <f t="shared" si="10"/>
        <v>0.90820325860584772</v>
      </c>
      <c r="R25" s="108">
        <f t="shared" si="10"/>
        <v>0.60451238032207888</v>
      </c>
      <c r="S25" s="108">
        <f t="shared" si="10"/>
        <v>0.39306414578798954</v>
      </c>
      <c r="T25" s="108">
        <f t="shared" si="10"/>
        <v>0.17697810538723444</v>
      </c>
      <c r="U25" s="108">
        <f t="shared" si="10"/>
        <v>0.16395573101034502</v>
      </c>
      <c r="V25" s="107">
        <f t="shared" si="10"/>
        <v>-0.47472218970905961</v>
      </c>
      <c r="W25" s="107">
        <f t="shared" si="10"/>
        <v>-0.5003649933205897</v>
      </c>
      <c r="X25" s="107">
        <f t="shared" si="10"/>
        <v>-0.38654688840601997</v>
      </c>
      <c r="Y25" s="107">
        <f t="shared" si="10"/>
        <v>-0.41827012314815337</v>
      </c>
      <c r="Z25" s="107">
        <f t="shared" si="10"/>
        <v>-5.0286188129424321E-2</v>
      </c>
      <c r="AA25" s="107">
        <f t="shared" si="10"/>
        <v>0.83940129818770082</v>
      </c>
      <c r="AB25" s="107">
        <f t="shared" si="10"/>
        <v>0.49839258951305293</v>
      </c>
      <c r="AC25" s="107">
        <f t="shared" si="10"/>
        <v>9.0546304685148224E-2</v>
      </c>
      <c r="AD25" s="107">
        <f t="shared" si="10"/>
        <v>0.67190955122805107</v>
      </c>
      <c r="AE25" s="107">
        <f t="shared" si="10"/>
        <v>0.31128896682881713</v>
      </c>
      <c r="AF25" s="107">
        <f t="shared" si="10"/>
        <v>2.4012637372520893</v>
      </c>
      <c r="AG25" s="107">
        <f t="shared" si="10"/>
        <v>1.6078841056412139</v>
      </c>
      <c r="AH25" s="107">
        <f t="shared" si="10"/>
        <v>0.78692671074854692</v>
      </c>
      <c r="AI25" s="107">
        <f t="shared" si="10"/>
        <v>0.69942382604104092</v>
      </c>
      <c r="AJ25" s="107">
        <f t="shared" si="10"/>
        <v>-0.29650190399196635</v>
      </c>
      <c r="AK25" s="107">
        <f t="shared" si="10"/>
        <v>0.29733773433789717</v>
      </c>
      <c r="AL25" s="107">
        <f t="shared" si="10"/>
        <v>0.75943247798661329</v>
      </c>
      <c r="AM25" s="107">
        <f t="shared" si="10"/>
        <v>-6.7362894939697035E-2</v>
      </c>
      <c r="AN25" s="107">
        <f t="shared" si="10"/>
        <v>-0.16836221884761526</v>
      </c>
      <c r="AO25" s="107">
        <f t="shared" si="10"/>
        <v>-0.31678444266987438</v>
      </c>
      <c r="AP25" s="107">
        <f t="shared" si="10"/>
        <v>-0.38076648361583354</v>
      </c>
      <c r="AQ25" s="107">
        <f t="shared" si="10"/>
        <v>0.30224092869479757</v>
      </c>
      <c r="AR25" s="107">
        <f t="shared" si="10"/>
        <v>0.54097615923869558</v>
      </c>
      <c r="AS25" s="107">
        <f t="shared" si="10"/>
        <v>0.32997736091355528</v>
      </c>
      <c r="AT25" s="107">
        <f t="shared" si="10"/>
        <v>0.25927925450816924</v>
      </c>
      <c r="AU25" s="107">
        <f t="shared" si="10"/>
        <v>-0.27608192378671798</v>
      </c>
      <c r="AV25" s="107">
        <f t="shared" si="10"/>
        <v>-0.43525180046429135</v>
      </c>
      <c r="AW25" s="107">
        <f t="shared" si="10"/>
        <v>-0.18041288486423235</v>
      </c>
      <c r="AX25" s="107">
        <f t="shared" si="10"/>
        <v>0.19032015205644748</v>
      </c>
      <c r="AY25" s="107">
        <f t="shared" si="10"/>
        <v>0.55222601618955947</v>
      </c>
      <c r="AZ25" s="107">
        <f t="shared" si="10"/>
        <v>0.18780800582387472</v>
      </c>
      <c r="BA25" s="107">
        <f t="shared" si="10"/>
        <v>2.6590800067077435E-2</v>
      </c>
      <c r="BB25" s="107">
        <f t="shared" si="10"/>
        <v>-9.8118308185674338E-2</v>
      </c>
      <c r="BC25" s="107">
        <f t="shared" si="10"/>
        <v>-0.36055536832170043</v>
      </c>
      <c r="BD25" s="107">
        <f t="shared" si="10"/>
        <v>-0.1447057490516126</v>
      </c>
      <c r="BE25" s="107">
        <f t="shared" si="10"/>
        <v>-9.0183837180644683E-2</v>
      </c>
      <c r="BF25" s="107">
        <f t="shared" si="10"/>
        <v>-7.4219301041969929E-2</v>
      </c>
      <c r="BG25" s="107">
        <f t="shared" si="10"/>
        <v>0.18318403909662226</v>
      </c>
      <c r="BH25" s="107" t="e">
        <f t="shared" si="10"/>
        <v>#DIV/0!</v>
      </c>
      <c r="BI25" s="107">
        <f t="shared" si="10"/>
        <v>0.38041027704361102</v>
      </c>
      <c r="BJ25" s="107">
        <f t="shared" si="10"/>
        <v>0.1096403050608532</v>
      </c>
      <c r="BK25" s="107">
        <f t="shared" si="10"/>
        <v>3.0882569814528072E-2</v>
      </c>
      <c r="BL25" s="107">
        <f t="shared" si="10"/>
        <v>-1</v>
      </c>
      <c r="BM25" s="107">
        <f t="shared" si="10"/>
        <v>0.14119510920746944</v>
      </c>
      <c r="BN25" s="107">
        <f t="shared" si="10"/>
        <v>-4.8780540004632583E-2</v>
      </c>
      <c r="BO25" s="107">
        <f t="shared" si="10"/>
        <v>4.0161887072495545E-2</v>
      </c>
      <c r="BP25" s="107">
        <f t="shared" si="10"/>
        <v>-0.43901109223796864</v>
      </c>
      <c r="BQ25" s="107">
        <f t="shared" si="10"/>
        <v>-8.6681654711790609E-2</v>
      </c>
      <c r="BR25" s="107">
        <f t="shared" ref="BR25:CK25" si="11">(BR2-BV2)/BV2</f>
        <v>5.4428472968465307E-2</v>
      </c>
      <c r="BS25" s="107">
        <f t="shared" si="11"/>
        <v>0.25463620396768616</v>
      </c>
      <c r="BT25" s="107">
        <f t="shared" si="11"/>
        <v>0.32646540196649476</v>
      </c>
      <c r="BU25" s="107">
        <f t="shared" si="11"/>
        <v>-0.31899931244648405</v>
      </c>
      <c r="BV25" s="107" t="e">
        <f t="shared" si="11"/>
        <v>#DIV/0!</v>
      </c>
      <c r="BW25" s="107">
        <f t="shared" si="11"/>
        <v>0.17473478875917675</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563</v>
      </c>
      <c r="E26" s="108">
        <f>E2/E9</f>
        <v>0.2065695704299301</v>
      </c>
      <c r="F26" s="108">
        <f t="shared" ref="F26:BQ26" si="12">F2/F9</f>
        <v>0.40362415549102842</v>
      </c>
      <c r="G26" s="108">
        <f t="shared" si="12"/>
        <v>0.47357843982827175</v>
      </c>
      <c r="H26" s="108">
        <f t="shared" si="12"/>
        <v>0.56961383544525934</v>
      </c>
      <c r="I26" s="108">
        <f t="shared" si="12"/>
        <v>0.61018154429605342</v>
      </c>
      <c r="J26" s="108">
        <f t="shared" si="12"/>
        <v>0.31976426512882461</v>
      </c>
      <c r="K26" s="108">
        <f t="shared" si="12"/>
        <v>0.33910243502146886</v>
      </c>
      <c r="L26" s="108">
        <f t="shared" si="12"/>
        <v>0.37361402183096604</v>
      </c>
      <c r="M26" s="108">
        <f t="shared" si="12"/>
        <v>0.52219936371045861</v>
      </c>
      <c r="N26" s="108">
        <f t="shared" si="12"/>
        <v>0.71354436704706337</v>
      </c>
      <c r="O26" s="108">
        <f t="shared" si="12"/>
        <v>0.53523563694637022</v>
      </c>
      <c r="P26" s="108">
        <f t="shared" si="12"/>
        <v>0.40266197824640265</v>
      </c>
      <c r="Q26" s="108">
        <f t="shared" si="12"/>
        <v>0.60743320493531272</v>
      </c>
      <c r="R26" s="108">
        <f t="shared" si="12"/>
        <v>0.47336252366580617</v>
      </c>
      <c r="S26" s="108">
        <f t="shared" si="12"/>
        <v>0.4565790555260229</v>
      </c>
      <c r="T26" s="108">
        <f t="shared" si="12"/>
        <v>0.35480301477182641</v>
      </c>
      <c r="U26" s="108">
        <f t="shared" si="12"/>
        <v>0.36092042872188052</v>
      </c>
      <c r="V26" s="108">
        <f t="shared" si="12"/>
        <v>0.33554468497294571</v>
      </c>
      <c r="W26" s="108">
        <f t="shared" si="12"/>
        <v>0.36184280049056239</v>
      </c>
      <c r="X26" s="108">
        <f t="shared" si="12"/>
        <v>0.32528208216677956</v>
      </c>
      <c r="Y26" s="108">
        <f t="shared" si="12"/>
        <v>0.33044388650872852</v>
      </c>
      <c r="Z26" s="108">
        <f t="shared" si="12"/>
        <v>0.6756869567547612</v>
      </c>
      <c r="AA26" s="108">
        <f t="shared" si="12"/>
        <v>0.76192478593493496</v>
      </c>
      <c r="AB26" s="108">
        <f t="shared" si="12"/>
        <v>0.56339649051571639</v>
      </c>
      <c r="AC26" s="108">
        <f t="shared" si="12"/>
        <v>0.60607474279080342</v>
      </c>
      <c r="AD26" s="108">
        <f t="shared" si="12"/>
        <v>0.75362489712692604</v>
      </c>
      <c r="AE26" s="108">
        <f t="shared" si="12"/>
        <v>0.44320639892641484</v>
      </c>
      <c r="AF26" s="108">
        <f t="shared" si="12"/>
        <v>0.40990214498801819</v>
      </c>
      <c r="AG26" s="108">
        <f t="shared" si="12"/>
        <v>0.62660819481474672</v>
      </c>
      <c r="AH26" s="108">
        <f t="shared" si="12"/>
        <v>0.80644989100399944</v>
      </c>
      <c r="AI26" s="108">
        <f t="shared" si="12"/>
        <v>0.61409545588804271</v>
      </c>
      <c r="AJ26" s="108">
        <f t="shared" si="12"/>
        <v>0.22625407404344061</v>
      </c>
      <c r="AK26" s="108">
        <f t="shared" si="12"/>
        <v>0.44103055986538564</v>
      </c>
      <c r="AL26" s="108">
        <f t="shared" si="12"/>
        <v>0.53671611443948741</v>
      </c>
      <c r="AM26" s="108">
        <f t="shared" si="12"/>
        <v>0.42025374000959914</v>
      </c>
      <c r="AN26" s="108">
        <f t="shared" si="12"/>
        <v>0.35466890207802237</v>
      </c>
      <c r="AO26" s="108">
        <f t="shared" si="12"/>
        <v>0.36652809452549451</v>
      </c>
      <c r="AP26" s="108">
        <f t="shared" si="12"/>
        <v>0.2895854242559755</v>
      </c>
      <c r="AQ26" s="108">
        <f t="shared" si="12"/>
        <v>0.4104424622804001</v>
      </c>
      <c r="AR26" s="108">
        <f t="shared" si="12"/>
        <v>0.39381241520666443</v>
      </c>
      <c r="AS26" s="108">
        <f t="shared" si="12"/>
        <v>0.49742493320074022</v>
      </c>
      <c r="AT26" s="108">
        <f t="shared" si="12"/>
        <v>0.48904627155996244</v>
      </c>
      <c r="AU26" s="108">
        <f t="shared" si="12"/>
        <v>0.36009903948513944</v>
      </c>
      <c r="AV26" s="108">
        <f t="shared" si="12"/>
        <v>0.28030749028800928</v>
      </c>
      <c r="AW26" s="108">
        <f t="shared" si="12"/>
        <v>0.35367539293657796</v>
      </c>
      <c r="AX26" s="108">
        <f t="shared" si="12"/>
        <v>0.3142275578065245</v>
      </c>
      <c r="AY26" s="108">
        <f t="shared" si="12"/>
        <v>0.39471313167186145</v>
      </c>
      <c r="AZ26" s="108">
        <f t="shared" si="12"/>
        <v>0.41674424629747281</v>
      </c>
      <c r="BA26" s="108">
        <f t="shared" si="12"/>
        <v>0.42748598213882349</v>
      </c>
      <c r="BB26" s="108">
        <f t="shared" si="12"/>
        <v>0.2898790900676233</v>
      </c>
      <c r="BC26" s="108">
        <f t="shared" si="12"/>
        <v>0.27293828548365118</v>
      </c>
      <c r="BD26" s="108">
        <f t="shared" si="12"/>
        <v>0.36435851497783361</v>
      </c>
      <c r="BE26" s="108">
        <f t="shared" si="12"/>
        <v>0.4249177240300247</v>
      </c>
      <c r="BF26" s="108">
        <f t="shared" si="12"/>
        <v>0.35090641937281092</v>
      </c>
      <c r="BG26" s="108">
        <f t="shared" si="12"/>
        <v>0.45279761034237104</v>
      </c>
      <c r="BH26" s="108">
        <f t="shared" si="12"/>
        <v>0.46605417607360461</v>
      </c>
      <c r="BI26" s="108">
        <f t="shared" si="12"/>
        <v>0.50869467200846663</v>
      </c>
      <c r="BJ26" s="108">
        <f t="shared" si="12"/>
        <v>0.45048815943763926</v>
      </c>
      <c r="BK26" s="108">
        <f t="shared" si="12"/>
        <v>0.45099986451212454</v>
      </c>
      <c r="BL26" s="108" t="e">
        <f t="shared" si="12"/>
        <v>#DIV/0!</v>
      </c>
      <c r="BM26" s="108">
        <f t="shared" si="12"/>
        <v>0.3674906088627426</v>
      </c>
      <c r="BN26" s="108">
        <f t="shared" si="12"/>
        <v>0.23464856636848286</v>
      </c>
      <c r="BO26" s="108">
        <f t="shared" si="12"/>
        <v>0.25075643558805472</v>
      </c>
      <c r="BP26" s="108">
        <f t="shared" si="12"/>
        <v>0.21531121190837832</v>
      </c>
      <c r="BQ26" s="108">
        <f t="shared" si="12"/>
        <v>0.23953496460047766</v>
      </c>
      <c r="BR26" s="108">
        <f t="shared" ref="BR26:CK26" si="13">BR2/BR9</f>
        <v>0.24198313575307939</v>
      </c>
      <c r="BS26" s="108">
        <f t="shared" si="13"/>
        <v>0.25092632720687313</v>
      </c>
      <c r="BT26" s="108">
        <f t="shared" si="13"/>
        <v>0.36864230542492304</v>
      </c>
      <c r="BU26" s="108">
        <f t="shared" si="13"/>
        <v>0.24967138718757864</v>
      </c>
      <c r="BV26" s="108">
        <f t="shared" si="13"/>
        <v>0.25572854338900869</v>
      </c>
      <c r="BW26" s="108">
        <f t="shared" si="13"/>
        <v>0.24039029742261056</v>
      </c>
      <c r="BX26" s="108">
        <f t="shared" si="13"/>
        <v>0.35679060774631788</v>
      </c>
      <c r="BY26" s="108">
        <f t="shared" si="13"/>
        <v>0.45029648841262421</v>
      </c>
      <c r="BZ26" s="108">
        <f t="shared" si="13"/>
        <v>0</v>
      </c>
      <c r="CA26" s="108">
        <f t="shared" si="13"/>
        <v>0.40057346507429237</v>
      </c>
      <c r="CB26" s="108">
        <f t="shared" si="13"/>
        <v>0</v>
      </c>
      <c r="CC26" s="108">
        <f t="shared" si="13"/>
        <v>0</v>
      </c>
      <c r="CD26" s="108">
        <f t="shared" si="13"/>
        <v>0</v>
      </c>
      <c r="CE26" s="108">
        <f t="shared" si="13"/>
        <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556</v>
      </c>
      <c r="E27" s="109" t="e">
        <f>(E3-I3)/I3</f>
        <v>#DIV/0!</v>
      </c>
      <c r="F27" s="109" t="e">
        <f t="shared" ref="F27:BQ27" si="14">(F3-J3)/J3</f>
        <v>#DIV/0!</v>
      </c>
      <c r="G27" s="109" t="e">
        <f t="shared" si="14"/>
        <v>#DIV/0!</v>
      </c>
      <c r="H27" s="109" t="e">
        <f t="shared" si="14"/>
        <v>#DIV/0!</v>
      </c>
      <c r="I27" s="109" t="e">
        <f t="shared" si="14"/>
        <v>#DIV/0!</v>
      </c>
      <c r="J27" s="109">
        <f t="shared" si="14"/>
        <v>-1</v>
      </c>
      <c r="K27" s="109">
        <f t="shared" si="14"/>
        <v>-1</v>
      </c>
      <c r="L27" s="109">
        <f t="shared" si="14"/>
        <v>-1</v>
      </c>
      <c r="M27" s="109">
        <f t="shared" si="14"/>
        <v>-1</v>
      </c>
      <c r="N27" s="109">
        <f t="shared" si="14"/>
        <v>-0.18124595678815075</v>
      </c>
      <c r="O27" s="109">
        <f t="shared" si="14"/>
        <v>-0.40713169935149662</v>
      </c>
      <c r="P27" s="109">
        <f t="shared" si="14"/>
        <v>-0.39153973441211704</v>
      </c>
      <c r="Q27" s="109">
        <f t="shared" si="14"/>
        <v>-0.37760476352976752</v>
      </c>
      <c r="R27" s="109">
        <f t="shared" si="14"/>
        <v>-0.32355485173812193</v>
      </c>
      <c r="S27" s="109">
        <f t="shared" si="14"/>
        <v>-3.1581415734432128E-2</v>
      </c>
      <c r="T27" s="109">
        <f t="shared" si="14"/>
        <v>-3.5145374373507239E-2</v>
      </c>
      <c r="U27" s="109">
        <f t="shared" si="14"/>
        <v>-0.19605533206733575</v>
      </c>
      <c r="V27" s="109">
        <f t="shared" si="14"/>
        <v>-0.20625946742365839</v>
      </c>
      <c r="W27" s="109">
        <f t="shared" si="14"/>
        <v>-0.19368657586380145</v>
      </c>
      <c r="X27" s="109">
        <f t="shared" si="14"/>
        <v>-0.18906650399028666</v>
      </c>
      <c r="Y27" s="109">
        <f t="shared" si="14"/>
        <v>-2.4491279471173452E-2</v>
      </c>
      <c r="Z27" s="109">
        <f t="shared" si="14"/>
        <v>4.2825998829094944E-3</v>
      </c>
      <c r="AA27" s="109">
        <f t="shared" si="14"/>
        <v>-0.94560089540523251</v>
      </c>
      <c r="AB27" s="109">
        <f t="shared" si="14"/>
        <v>-0.94654210267663419</v>
      </c>
      <c r="AC27" s="109">
        <f t="shared" si="14"/>
        <v>-0.94660260069435642</v>
      </c>
      <c r="AD27" s="109">
        <f t="shared" si="14"/>
        <v>-0.95188431250336858</v>
      </c>
      <c r="AE27" s="109">
        <f t="shared" si="14"/>
        <v>-0.25053944944738837</v>
      </c>
      <c r="AF27" s="109">
        <f t="shared" si="14"/>
        <v>-0.24989301607298872</v>
      </c>
      <c r="AG27" s="109">
        <f t="shared" si="14"/>
        <v>-0.24096142206189017</v>
      </c>
      <c r="AH27" s="109">
        <f t="shared" si="14"/>
        <v>-0.18046113933534072</v>
      </c>
      <c r="AI27" s="109">
        <f t="shared" si="14"/>
        <v>-0.18369516987586287</v>
      </c>
      <c r="AJ27" s="109">
        <f t="shared" si="14"/>
        <v>-0.35023711374775074</v>
      </c>
      <c r="AK27" s="109">
        <f t="shared" si="14"/>
        <v>-0.34176047972894974</v>
      </c>
      <c r="AL27" s="109">
        <f t="shared" si="14"/>
        <v>-0.39808278318419377</v>
      </c>
      <c r="AM27" s="109">
        <f t="shared" si="14"/>
        <v>-0.26974857500310789</v>
      </c>
      <c r="AN27" s="109">
        <f t="shared" si="14"/>
        <v>-0.16985831043225127</v>
      </c>
      <c r="AO27" s="109">
        <f t="shared" si="14"/>
        <v>-0.14059473034947334</v>
      </c>
      <c r="AP27" s="109">
        <f t="shared" si="14"/>
        <v>-1.9755532810879804E-2</v>
      </c>
      <c r="AQ27" s="109">
        <f t="shared" si="14"/>
        <v>0.16290253842857427</v>
      </c>
      <c r="AR27" s="109">
        <f t="shared" si="14"/>
        <v>3.9547044402290035E-4</v>
      </c>
      <c r="AS27" s="109">
        <f t="shared" si="14"/>
        <v>-0.15606337729616931</v>
      </c>
      <c r="AT27" s="109">
        <f t="shared" si="14"/>
        <v>-0.30008363652897574</v>
      </c>
      <c r="AU27" s="109">
        <f t="shared" si="14"/>
        <v>-0.54883438219983438</v>
      </c>
      <c r="AV27" s="109">
        <f t="shared" si="14"/>
        <v>-0.19303306388913022</v>
      </c>
      <c r="AW27" s="109">
        <f t="shared" si="14"/>
        <v>-8.2881812080601316E-2</v>
      </c>
      <c r="AX27" s="109">
        <f t="shared" si="14"/>
        <v>4.1537997008026266E-3</v>
      </c>
      <c r="AY27" s="109">
        <f t="shared" si="14"/>
        <v>0.31308831210412597</v>
      </c>
      <c r="AZ27" s="109">
        <f t="shared" si="14"/>
        <v>-4.1662349850584639E-2</v>
      </c>
      <c r="BA27" s="109">
        <f t="shared" si="14"/>
        <v>6.630449778976398E-2</v>
      </c>
      <c r="BB27" s="109">
        <f t="shared" si="14"/>
        <v>0.19025012708343178</v>
      </c>
      <c r="BC27" s="109">
        <f t="shared" si="14"/>
        <v>0.11661924326201771</v>
      </c>
      <c r="BD27" s="109">
        <f t="shared" si="14"/>
        <v>0.37614659837058334</v>
      </c>
      <c r="BE27" s="109">
        <f t="shared" si="14"/>
        <v>0.26055746484568382</v>
      </c>
      <c r="BF27" s="109">
        <f t="shared" si="14"/>
        <v>0.12508852677618354</v>
      </c>
      <c r="BG27" s="109">
        <f t="shared" si="14"/>
        <v>0.26013872950883293</v>
      </c>
      <c r="BH27" s="109" t="e">
        <f t="shared" si="14"/>
        <v>#DIV/0!</v>
      </c>
      <c r="BI27" s="109">
        <f t="shared" si="14"/>
        <v>-2.554625645569928E-2</v>
      </c>
      <c r="BJ27" s="109">
        <f t="shared" si="14"/>
        <v>0.3514971857425373</v>
      </c>
      <c r="BK27" s="109">
        <f t="shared" si="14"/>
        <v>0.34332927201953178</v>
      </c>
      <c r="BL27" s="109">
        <f t="shared" si="14"/>
        <v>-1</v>
      </c>
      <c r="BM27" s="109">
        <f t="shared" si="14"/>
        <v>6.0506071192633994E-2</v>
      </c>
      <c r="BN27" s="109">
        <f t="shared" si="14"/>
        <v>3.3776616438709078E-2</v>
      </c>
      <c r="BO27" s="109">
        <f t="shared" si="14"/>
        <v>1.2739123077538418E-2</v>
      </c>
      <c r="BP27" s="109">
        <f t="shared" si="14"/>
        <v>0.26589583462702826</v>
      </c>
      <c r="BQ27" s="109">
        <f t="shared" si="14"/>
        <v>0.43332263861606746</v>
      </c>
      <c r="BR27" s="109">
        <f t="shared" ref="BR27:CL27" si="15">(BR3-BV3)/BV3</f>
        <v>9.3328319695051426E-3</v>
      </c>
      <c r="BS27" s="109">
        <f t="shared" si="15"/>
        <v>-0.21623006678899589</v>
      </c>
      <c r="BT27" s="109">
        <f t="shared" si="15"/>
        <v>-0.41987562450599364</v>
      </c>
      <c r="BU27" s="109">
        <f t="shared" si="15"/>
        <v>-0.25197210311451917</v>
      </c>
      <c r="BV27" s="109">
        <f t="shared" si="15"/>
        <v>0.24740094679963287</v>
      </c>
      <c r="BW27" s="109">
        <f t="shared" si="15"/>
        <v>0.56125582069042457</v>
      </c>
      <c r="BX27" s="109">
        <f t="shared" si="15"/>
        <v>1.1487900057661589</v>
      </c>
      <c r="BY27" s="109">
        <f t="shared" si="15"/>
        <v>2.7933519501713513</v>
      </c>
      <c r="BZ27" s="109">
        <f t="shared" si="15"/>
        <v>2.1011711680270544</v>
      </c>
      <c r="CA27" s="109">
        <f t="shared" si="15"/>
        <v>2.9222548664800287</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564</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4.4805508635324627E-4</v>
      </c>
      <c r="O28" s="109">
        <f t="shared" si="16"/>
        <v>5.05273580534026E-4</v>
      </c>
      <c r="P28" s="109">
        <f t="shared" si="16"/>
        <v>4.9955291425949938E-4</v>
      </c>
      <c r="Q28" s="109">
        <f t="shared" si="16"/>
        <v>5.5246778436842856E-4</v>
      </c>
      <c r="R28" s="109">
        <f t="shared" si="16"/>
        <v>6.2731771852180961E-4</v>
      </c>
      <c r="S28" s="109">
        <f t="shared" si="16"/>
        <v>9.6498618635448797E-4</v>
      </c>
      <c r="T28" s="109">
        <f t="shared" si="16"/>
        <v>9.6267255383257466E-4</v>
      </c>
      <c r="U28" s="109">
        <f t="shared" si="16"/>
        <v>1.0064177028340051E-3</v>
      </c>
      <c r="V28" s="109">
        <f t="shared" si="16"/>
        <v>1.0547621404842363E-3</v>
      </c>
      <c r="W28" s="109">
        <f t="shared" si="16"/>
        <v>1.1001022341194174E-3</v>
      </c>
      <c r="X28" s="109">
        <f t="shared" si="16"/>
        <v>1.0766088133553231E-3</v>
      </c>
      <c r="Y28" s="109">
        <f t="shared" si="16"/>
        <v>1.3340583581590273E-3</v>
      </c>
      <c r="Z28" s="109">
        <f t="shared" si="16"/>
        <v>1.4055949920153575E-3</v>
      </c>
      <c r="AA28" s="109">
        <f t="shared" si="16"/>
        <v>1.4354040968536834E-3</v>
      </c>
      <c r="AB28" s="109">
        <f t="shared" si="16"/>
        <v>1.4106135814791719E-3</v>
      </c>
      <c r="AC28" s="109">
        <f t="shared" si="16"/>
        <v>1.4591283833510981E-3</v>
      </c>
      <c r="AD28" s="109">
        <f t="shared" si="16"/>
        <v>1.482541021743431E-3</v>
      </c>
      <c r="AE28" s="109">
        <f t="shared" si="16"/>
        <v>2.8232727677950955E-2</v>
      </c>
      <c r="AF28" s="109">
        <f t="shared" si="16"/>
        <v>2.8766555224271604E-2</v>
      </c>
      <c r="AG28" s="109">
        <f t="shared" si="16"/>
        <v>3.0809694716698435E-2</v>
      </c>
      <c r="AH28" s="109">
        <f t="shared" si="16"/>
        <v>5.5125805988631787E-2</v>
      </c>
      <c r="AI28" s="109">
        <f t="shared" si="16"/>
        <v>6.8443518937843187E-2</v>
      </c>
      <c r="AJ28" s="109">
        <f t="shared" si="16"/>
        <v>7.1998123168364334E-2</v>
      </c>
      <c r="AK28" s="109">
        <f t="shared" si="16"/>
        <v>7.4504833146372851E-2</v>
      </c>
      <c r="AL28" s="109">
        <f t="shared" si="16"/>
        <v>7.9994363758412027E-2</v>
      </c>
      <c r="AM28" s="109">
        <f t="shared" si="16"/>
        <v>9.7511844176058612E-2</v>
      </c>
      <c r="AN28" s="109">
        <f t="shared" si="16"/>
        <v>0.12219569421177996</v>
      </c>
      <c r="AO28" s="109">
        <f t="shared" si="16"/>
        <v>0.12203717017827281</v>
      </c>
      <c r="AP28" s="109">
        <f t="shared" si="16"/>
        <v>0.1261616299303884</v>
      </c>
      <c r="AQ28" s="109">
        <f t="shared" si="16"/>
        <v>0.1216293382987066</v>
      </c>
      <c r="AR28" s="109">
        <f t="shared" si="16"/>
        <v>0.13592651504400924</v>
      </c>
      <c r="AS28" s="109">
        <f t="shared" si="16"/>
        <v>0.13166554600123079</v>
      </c>
      <c r="AT28" s="109">
        <f t="shared" si="16"/>
        <v>0.1345924193537813</v>
      </c>
      <c r="AU28" s="109">
        <f t="shared" si="16"/>
        <v>0.11949673658911883</v>
      </c>
      <c r="AV28" s="109">
        <f t="shared" si="16"/>
        <v>0.14902999433576955</v>
      </c>
      <c r="AW28" s="109">
        <f t="shared" si="16"/>
        <v>0.14753119279547816</v>
      </c>
      <c r="AX28" s="109">
        <f t="shared" si="16"/>
        <v>0.15559327401340792</v>
      </c>
      <c r="AY28" s="109">
        <f t="shared" si="16"/>
        <v>0.21016920553669449</v>
      </c>
      <c r="AZ28" s="109">
        <f t="shared" si="16"/>
        <v>0.15506283104363563</v>
      </c>
      <c r="BA28" s="109">
        <f t="shared" si="16"/>
        <v>0.15935683773849169</v>
      </c>
      <c r="BB28" s="109">
        <f t="shared" si="16"/>
        <v>0.17014805501504618</v>
      </c>
      <c r="BC28" s="109">
        <f t="shared" si="16"/>
        <v>0.17179597678118205</v>
      </c>
      <c r="BD28" s="109">
        <f t="shared" si="16"/>
        <v>0.16803305258966234</v>
      </c>
      <c r="BE28" s="109">
        <f t="shared" si="16"/>
        <v>0.152499984081435</v>
      </c>
      <c r="BF28" s="109">
        <f t="shared" si="16"/>
        <v>0.15606759826941111</v>
      </c>
      <c r="BG28" s="109">
        <f t="shared" si="16"/>
        <v>0.16321140139347157</v>
      </c>
      <c r="BH28" s="109">
        <f t="shared" si="16"/>
        <v>0.13358357114640651</v>
      </c>
      <c r="BI28" s="109">
        <f t="shared" si="16"/>
        <v>0.13176896655546547</v>
      </c>
      <c r="BJ28" s="109">
        <f t="shared" si="16"/>
        <v>0.16486415489638717</v>
      </c>
      <c r="BK28" s="109">
        <f t="shared" si="16"/>
        <v>0.15263591061879972</v>
      </c>
      <c r="BL28" s="109" t="e">
        <f t="shared" si="16"/>
        <v>#DIV/0!</v>
      </c>
      <c r="BM28" s="109">
        <f t="shared" si="16"/>
        <v>0.13484944139019558</v>
      </c>
      <c r="BN28" s="109">
        <f t="shared" si="16"/>
        <v>7.050628671197734E-2</v>
      </c>
      <c r="BO28" s="109">
        <f t="shared" si="16"/>
        <v>6.5126706577163559E-2</v>
      </c>
      <c r="BP28" s="109">
        <f t="shared" si="16"/>
        <v>7.0883453876142713E-2</v>
      </c>
      <c r="BQ28" s="109">
        <f t="shared" si="16"/>
        <v>9.4584193459732208E-2</v>
      </c>
      <c r="BR28" s="109">
        <f t="shared" ref="BR28:CK28" si="17">BR3/BR9</f>
        <v>6.690353416515378E-2</v>
      </c>
      <c r="BS28" s="109">
        <f t="shared" si="17"/>
        <v>6.6935514788156431E-2</v>
      </c>
      <c r="BT28" s="109">
        <f t="shared" si="17"/>
        <v>5.378234102954603E-2</v>
      </c>
      <c r="BU28" s="109">
        <f t="shared" si="17"/>
        <v>6.2819813699155416E-2</v>
      </c>
      <c r="BV28" s="109">
        <f t="shared" si="17"/>
        <v>7.3862820753094735E-2</v>
      </c>
      <c r="BW28" s="109">
        <f t="shared" si="17"/>
        <v>0.10264942689160668</v>
      </c>
      <c r="BX28" s="109">
        <f t="shared" si="17"/>
        <v>0.11902076985564636</v>
      </c>
      <c r="BY28" s="109">
        <f t="shared" si="17"/>
        <v>0.10314690133142378</v>
      </c>
      <c r="BZ28" s="109">
        <f t="shared" si="17"/>
        <v>0.41083636832790305</v>
      </c>
      <c r="CA28" s="109">
        <f t="shared" si="17"/>
        <v>0.1287026624237349</v>
      </c>
      <c r="CB28" s="109">
        <f t="shared" si="17"/>
        <v>0.45794022351950442</v>
      </c>
      <c r="CC28" s="109">
        <f t="shared" si="17"/>
        <v>1</v>
      </c>
      <c r="CD28" s="109">
        <f t="shared" si="17"/>
        <v>1</v>
      </c>
      <c r="CE28" s="109">
        <f t="shared" si="17"/>
        <v>1</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573</v>
      </c>
      <c r="E29" s="108">
        <f>(E4-I4)/I4</f>
        <v>2.7696104134636106</v>
      </c>
      <c r="F29" s="108">
        <f t="shared" ref="F29:BQ29" si="18">(F4-J4)/J4</f>
        <v>1.3299374357536859E-2</v>
      </c>
      <c r="G29" s="108">
        <f t="shared" si="18"/>
        <v>-0.12146931949296451</v>
      </c>
      <c r="H29" s="108">
        <f t="shared" si="18"/>
        <v>-0.33234691700867586</v>
      </c>
      <c r="I29" s="108">
        <f t="shared" si="18"/>
        <v>-4.9424313761909956E-2</v>
      </c>
      <c r="J29" s="108">
        <f t="shared" si="18"/>
        <v>16.176518954235746</v>
      </c>
      <c r="K29" s="108">
        <f t="shared" si="18"/>
        <v>1.5992922498052835</v>
      </c>
      <c r="L29" s="108">
        <f t="shared" si="18"/>
        <v>0.36882166862657539</v>
      </c>
      <c r="M29" s="108">
        <f t="shared" si="18"/>
        <v>1.6364460727311196</v>
      </c>
      <c r="N29" s="108">
        <f t="shared" si="18"/>
        <v>-0.83013946436925001</v>
      </c>
      <c r="O29" s="108">
        <f t="shared" si="18"/>
        <v>2.0160878578520412E-2</v>
      </c>
      <c r="P29" s="108">
        <f t="shared" si="18"/>
        <v>0.24136740881918448</v>
      </c>
      <c r="Q29" s="108">
        <f t="shared" si="18"/>
        <v>-0.60669765622517935</v>
      </c>
      <c r="R29" s="108">
        <f t="shared" si="18"/>
        <v>-0.21479848452002423</v>
      </c>
      <c r="S29" s="108">
        <f t="shared" si="18"/>
        <v>-0.12857836388491384</v>
      </c>
      <c r="T29" s="108">
        <f t="shared" si="18"/>
        <v>0.1001468659521224</v>
      </c>
      <c r="U29" s="108">
        <f t="shared" si="18"/>
        <v>0.17376777546346242</v>
      </c>
      <c r="V29" s="108">
        <f t="shared" si="18"/>
        <v>-4.230319672087413</v>
      </c>
      <c r="W29" s="108">
        <f t="shared" si="18"/>
        <v>-2.4407456684921631</v>
      </c>
      <c r="X29" s="108">
        <f t="shared" si="18"/>
        <v>-516.76648287226533</v>
      </c>
      <c r="Y29" s="108">
        <f t="shared" si="18"/>
        <v>-5.1675698841257836</v>
      </c>
      <c r="Z29" s="108">
        <f t="shared" si="18"/>
        <v>-0.49873943578587721</v>
      </c>
      <c r="AA29" s="108">
        <f t="shared" si="18"/>
        <v>-4.512939924822172</v>
      </c>
      <c r="AB29" s="108">
        <f t="shared" si="18"/>
        <v>-1.0067126842571679</v>
      </c>
      <c r="AC29" s="108">
        <f t="shared" si="18"/>
        <v>-0.37838102731475248</v>
      </c>
      <c r="AD29" s="108">
        <f t="shared" si="18"/>
        <v>0.3145375242403799</v>
      </c>
      <c r="AE29" s="108">
        <f t="shared" si="18"/>
        <v>-2.0064822507675131</v>
      </c>
      <c r="AF29" s="108">
        <f t="shared" si="18"/>
        <v>-0.29290455825066902</v>
      </c>
      <c r="AG29" s="108">
        <f t="shared" si="18"/>
        <v>-6.1767976068182406</v>
      </c>
      <c r="AH29" s="108">
        <f t="shared" si="18"/>
        <v>4.6043209671716134</v>
      </c>
      <c r="AI29" s="108">
        <f t="shared" si="18"/>
        <v>-2.276214424974027</v>
      </c>
      <c r="AJ29" s="108">
        <f t="shared" si="18"/>
        <v>1.3169262964574768</v>
      </c>
      <c r="AK29" s="108">
        <f t="shared" si="18"/>
        <v>-0.47380472583209265</v>
      </c>
      <c r="AL29" s="108">
        <f t="shared" si="18"/>
        <v>-1.3427704849913216</v>
      </c>
      <c r="AM29" s="108">
        <f t="shared" si="18"/>
        <v>1.1264717022099653</v>
      </c>
      <c r="AN29" s="108">
        <f t="shared" si="18"/>
        <v>1.1363673844877786</v>
      </c>
      <c r="AO29" s="108">
        <f t="shared" si="18"/>
        <v>-2.3965520960848372</v>
      </c>
      <c r="AP29" s="108">
        <f t="shared" si="18"/>
        <v>-2.514738952200978</v>
      </c>
      <c r="AQ29" s="108">
        <f t="shared" si="18"/>
        <v>4.4402670724756703</v>
      </c>
      <c r="AR29" s="108">
        <f t="shared" si="18"/>
        <v>-7.6525846168554026E-2</v>
      </c>
      <c r="AS29" s="108">
        <f t="shared" si="18"/>
        <v>-1.6938462310592184</v>
      </c>
      <c r="AT29" s="108">
        <f t="shared" si="18"/>
        <v>-1.5956269776175762</v>
      </c>
      <c r="AU29" s="108">
        <f t="shared" si="18"/>
        <v>-0.94290375892611156</v>
      </c>
      <c r="AV29" s="108">
        <f t="shared" si="18"/>
        <v>-0.61859226372074871</v>
      </c>
      <c r="AW29" s="108">
        <f t="shared" si="18"/>
        <v>-0.28305015860319421</v>
      </c>
      <c r="AX29" s="108">
        <f t="shared" si="18"/>
        <v>-0.24305120953435594</v>
      </c>
      <c r="AY29" s="108">
        <f t="shared" si="18"/>
        <v>-0.41736131097074203</v>
      </c>
      <c r="AZ29" s="108">
        <f t="shared" si="18"/>
        <v>6.7202351306749453E-2</v>
      </c>
      <c r="BA29" s="108">
        <f t="shared" si="18"/>
        <v>0.3321662174803966</v>
      </c>
      <c r="BB29" s="108">
        <f t="shared" si="18"/>
        <v>0.64399698192377197</v>
      </c>
      <c r="BC29" s="108">
        <f t="shared" si="18"/>
        <v>5.6974321070929284</v>
      </c>
      <c r="BD29" s="108">
        <f t="shared" si="18"/>
        <v>49.340305951003643</v>
      </c>
      <c r="BE29" s="108">
        <f t="shared" si="18"/>
        <v>-3.1080941384464857</v>
      </c>
      <c r="BF29" s="108">
        <f t="shared" si="18"/>
        <v>3.2652778821178776</v>
      </c>
      <c r="BG29" s="108">
        <f t="shared" si="18"/>
        <v>-0.16460498857722916</v>
      </c>
      <c r="BH29" s="108" t="e">
        <f t="shared" si="18"/>
        <v>#DIV/0!</v>
      </c>
      <c r="BI29" s="108">
        <f t="shared" si="18"/>
        <v>-1.4923219011475064</v>
      </c>
      <c r="BJ29" s="108">
        <f t="shared" si="18"/>
        <v>-0.93737607540522327</v>
      </c>
      <c r="BK29" s="108">
        <f t="shared" si="18"/>
        <v>-0.92535990457251927</v>
      </c>
      <c r="BL29" s="108">
        <f t="shared" si="18"/>
        <v>-1</v>
      </c>
      <c r="BM29" s="108">
        <f t="shared" si="18"/>
        <v>-0.80984259832397765</v>
      </c>
      <c r="BN29" s="108">
        <f t="shared" si="18"/>
        <v>-5.0262507886550276E-2</v>
      </c>
      <c r="BO29" s="108">
        <f t="shared" si="18"/>
        <v>6.0850032714907326E-2</v>
      </c>
      <c r="BP29" s="108">
        <f t="shared" si="18"/>
        <v>0.25117768475921176</v>
      </c>
      <c r="BQ29" s="108">
        <f t="shared" si="18"/>
        <v>-0.17502482901525113</v>
      </c>
      <c r="BR29" s="108">
        <f t="shared" ref="BR29:CK29" si="19">(BR4-BV4)/BV4</f>
        <v>0.3287360464588161</v>
      </c>
      <c r="BS29" s="108">
        <f t="shared" si="19"/>
        <v>0.26686144455354882</v>
      </c>
      <c r="BT29" s="108">
        <f t="shared" si="19"/>
        <v>0.3798328232770285</v>
      </c>
      <c r="BU29" s="108">
        <f t="shared" si="19"/>
        <v>1.0958345746984355</v>
      </c>
      <c r="BV29" s="108" t="e">
        <f t="shared" si="19"/>
        <v>#DIV/0!</v>
      </c>
      <c r="BW29" s="108">
        <f t="shared" si="19"/>
        <v>1.3538544005921334</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557</v>
      </c>
      <c r="E30" s="108">
        <f>(E5-I5)/I5</f>
        <v>0.37466030944090556</v>
      </c>
      <c r="F30" s="108">
        <f t="shared" ref="F30:BQ30" si="20">(F5-J5)/J5</f>
        <v>6.0606327731794293E-2</v>
      </c>
      <c r="G30" s="108">
        <f t="shared" si="20"/>
        <v>0.14351763677195956</v>
      </c>
      <c r="H30" s="108">
        <f t="shared" si="20"/>
        <v>0.13873160708171808</v>
      </c>
      <c r="I30" s="108">
        <f t="shared" si="20"/>
        <v>0.34504313359149991</v>
      </c>
      <c r="J30" s="108">
        <f t="shared" si="20"/>
        <v>0.85859365583568603</v>
      </c>
      <c r="K30" s="108">
        <f t="shared" si="20"/>
        <v>0.72219737933618222</v>
      </c>
      <c r="L30" s="108">
        <f t="shared" si="20"/>
        <v>0.39897228558088532</v>
      </c>
      <c r="M30" s="108">
        <f t="shared" si="20"/>
        <v>0.43833258712881895</v>
      </c>
      <c r="N30" s="108">
        <f t="shared" si="20"/>
        <v>5.9573427703364108E-2</v>
      </c>
      <c r="O30" s="108">
        <f t="shared" si="20"/>
        <v>0.15745625554185322</v>
      </c>
      <c r="P30" s="108">
        <f t="shared" si="20"/>
        <v>0.33410617802631215</v>
      </c>
      <c r="Q30" s="108">
        <f t="shared" si="20"/>
        <v>0.12545647232362489</v>
      </c>
      <c r="R30" s="108">
        <f t="shared" si="20"/>
        <v>0.17141162845652125</v>
      </c>
      <c r="S30" s="108">
        <f t="shared" si="20"/>
        <v>0.19254530192089808</v>
      </c>
      <c r="T30" s="108">
        <f t="shared" si="20"/>
        <v>5.6128935480811049E-2</v>
      </c>
      <c r="U30" s="108">
        <f t="shared" si="20"/>
        <v>0.13912611056865665</v>
      </c>
      <c r="V30" s="108">
        <f t="shared" si="20"/>
        <v>0.47271668546085466</v>
      </c>
      <c r="W30" s="108">
        <f t="shared" si="20"/>
        <v>0.70498049920309069</v>
      </c>
      <c r="X30" s="108">
        <f t="shared" si="20"/>
        <v>0.55672688170838003</v>
      </c>
      <c r="Y30" s="108">
        <f t="shared" si="20"/>
        <v>7.7700170337255722E-2</v>
      </c>
      <c r="Z30" s="108">
        <f t="shared" si="20"/>
        <v>-0.36809720741128044</v>
      </c>
      <c r="AA30" s="108">
        <f t="shared" si="20"/>
        <v>-0.55644854132287402</v>
      </c>
      <c r="AB30" s="108">
        <f t="shared" si="20"/>
        <v>-0.36795860373941225</v>
      </c>
      <c r="AC30" s="108">
        <f t="shared" si="20"/>
        <v>0.21275376323856079</v>
      </c>
      <c r="AD30" s="108">
        <f t="shared" si="20"/>
        <v>0.7189214269723827</v>
      </c>
      <c r="AE30" s="108">
        <f t="shared" si="20"/>
        <v>1.0041772328573673</v>
      </c>
      <c r="AF30" s="108">
        <f t="shared" si="20"/>
        <v>0.85933555607518508</v>
      </c>
      <c r="AG30" s="108">
        <f t="shared" si="20"/>
        <v>0.98140973905763951</v>
      </c>
      <c r="AH30" s="108">
        <f t="shared" si="20"/>
        <v>1.3508485955362008</v>
      </c>
      <c r="AI30" s="108">
        <f t="shared" si="20"/>
        <v>1.2237920005283944</v>
      </c>
      <c r="AJ30" s="108">
        <f t="shared" si="20"/>
        <v>0.72247622112438326</v>
      </c>
      <c r="AK30" s="108">
        <f t="shared" si="20"/>
        <v>0.19061938281107771</v>
      </c>
      <c r="AL30" s="108">
        <f t="shared" si="20"/>
        <v>-0.28056376004568973</v>
      </c>
      <c r="AM30" s="108">
        <f t="shared" si="20"/>
        <v>-0.25984642470130614</v>
      </c>
      <c r="AN30" s="108">
        <f t="shared" si="20"/>
        <v>-1.9372511747136924E-2</v>
      </c>
      <c r="AO30" s="108">
        <f t="shared" si="20"/>
        <v>-1.6316869477087038E-2</v>
      </c>
      <c r="AP30" s="108">
        <f t="shared" si="20"/>
        <v>0.2228343435911613</v>
      </c>
      <c r="AQ30" s="108">
        <f t="shared" si="20"/>
        <v>0.11252199739143115</v>
      </c>
      <c r="AR30" s="108">
        <f t="shared" si="20"/>
        <v>-8.9300873944978196E-2</v>
      </c>
      <c r="AS30" s="108">
        <f t="shared" si="20"/>
        <v>1.7387324913403085E-2</v>
      </c>
      <c r="AT30" s="108">
        <f t="shared" si="20"/>
        <v>-0.1613050917843066</v>
      </c>
      <c r="AU30" s="108">
        <f t="shared" si="20"/>
        <v>5.3594803206395904E-2</v>
      </c>
      <c r="AV30" s="108">
        <f t="shared" si="20"/>
        <v>0.2147308248485367</v>
      </c>
      <c r="AW30" s="108">
        <f t="shared" si="20"/>
        <v>7.9255445206281139E-2</v>
      </c>
      <c r="AX30" s="108">
        <f t="shared" si="20"/>
        <v>0.27580039054568634</v>
      </c>
      <c r="AY30" s="108">
        <f t="shared" si="20"/>
        <v>0.27585230435662061</v>
      </c>
      <c r="AZ30" s="108">
        <f t="shared" si="20"/>
        <v>0.25625034619120163</v>
      </c>
      <c r="BA30" s="108">
        <f t="shared" si="20"/>
        <v>0.255407082447001</v>
      </c>
      <c r="BB30" s="108">
        <f t="shared" si="20"/>
        <v>0.35785822475293605</v>
      </c>
      <c r="BC30" s="108">
        <f t="shared" si="20"/>
        <v>0.16519977994854843</v>
      </c>
      <c r="BD30" s="108">
        <f t="shared" si="20"/>
        <v>0.16785748253722968</v>
      </c>
      <c r="BE30" s="108">
        <f t="shared" si="20"/>
        <v>0.16773052994331944</v>
      </c>
      <c r="BF30" s="108">
        <f t="shared" si="20"/>
        <v>-0.12516713258884662</v>
      </c>
      <c r="BG30" s="108">
        <f t="shared" si="20"/>
        <v>-0.13457157374726839</v>
      </c>
      <c r="BH30" s="108" t="e">
        <f t="shared" si="20"/>
        <v>#DIV/0!</v>
      </c>
      <c r="BI30" s="108">
        <f t="shared" si="20"/>
        <v>-0.27902634629514173</v>
      </c>
      <c r="BJ30" s="108">
        <f t="shared" si="20"/>
        <v>-0.291667910364309</v>
      </c>
      <c r="BK30" s="108">
        <f t="shared" si="20"/>
        <v>-0.33364731636854489</v>
      </c>
      <c r="BL30" s="108">
        <f t="shared" si="20"/>
        <v>-1</v>
      </c>
      <c r="BM30" s="108">
        <f t="shared" si="20"/>
        <v>2.1703372758024277E-2</v>
      </c>
      <c r="BN30" s="108">
        <f t="shared" si="20"/>
        <v>0.14098269815764111</v>
      </c>
      <c r="BO30" s="108">
        <f t="shared" si="20"/>
        <v>0.18004899300924007</v>
      </c>
      <c r="BP30" s="108">
        <f t="shared" si="20"/>
        <v>0.29101965136623931</v>
      </c>
      <c r="BQ30" s="108">
        <f t="shared" si="20"/>
        <v>-0.12726837441789116</v>
      </c>
      <c r="BR30" s="108">
        <f t="shared" ref="BR30:CK30" si="21">(BR5-BV5)/BV5</f>
        <v>0.1569702438515628</v>
      </c>
      <c r="BS30" s="108">
        <f t="shared" si="21"/>
        <v>0.22430782101291882</v>
      </c>
      <c r="BT30" s="108">
        <f t="shared" si="21"/>
        <v>0.356024107996325</v>
      </c>
      <c r="BU30" s="108">
        <f t="shared" si="21"/>
        <v>0.87689916363776554</v>
      </c>
      <c r="BV30" s="108" t="e">
        <f t="shared" si="21"/>
        <v>#DIV/0!</v>
      </c>
      <c r="BW30" s="108">
        <f t="shared" si="21"/>
        <v>1.197648482387548</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558</v>
      </c>
      <c r="E31" s="108">
        <f>(E6-I6)/I6</f>
        <v>0.11038493767100351</v>
      </c>
      <c r="F31" s="108">
        <f t="shared" ref="F31:BQ31" si="22">(F6-J6)/J6</f>
        <v>7.5398923603880327E-2</v>
      </c>
      <c r="G31" s="108">
        <f t="shared" si="22"/>
        <v>0.22125733457493427</v>
      </c>
      <c r="H31" s="108">
        <f t="shared" si="22"/>
        <v>0.27515151898042622</v>
      </c>
      <c r="I31" s="108">
        <f t="shared" si="22"/>
        <v>0.40959036408210625</v>
      </c>
      <c r="J31" s="108">
        <f t="shared" si="22"/>
        <v>0.45332212835090846</v>
      </c>
      <c r="K31" s="108">
        <f t="shared" si="22"/>
        <v>0.5670668305737786</v>
      </c>
      <c r="L31" s="108">
        <f t="shared" si="22"/>
        <v>0.40795323021988716</v>
      </c>
      <c r="M31" s="108">
        <f t="shared" si="22"/>
        <v>0.33877953653441778</v>
      </c>
      <c r="N31" s="108">
        <f t="shared" si="22"/>
        <v>0.23003250292991398</v>
      </c>
      <c r="O31" s="108">
        <f t="shared" si="22"/>
        <v>0.18567939216125645</v>
      </c>
      <c r="P31" s="108">
        <f t="shared" si="22"/>
        <v>0.36446959668605772</v>
      </c>
      <c r="Q31" s="108">
        <f t="shared" si="22"/>
        <v>0.33139607450139857</v>
      </c>
      <c r="R31" s="108">
        <f t="shared" si="22"/>
        <v>0.29328443353870887</v>
      </c>
      <c r="S31" s="108">
        <f t="shared" si="22"/>
        <v>0.29028694650753861</v>
      </c>
      <c r="T31" s="108">
        <f t="shared" si="22"/>
        <v>4.2472638300224824E-2</v>
      </c>
      <c r="U31" s="108">
        <f t="shared" si="22"/>
        <v>0.12974756823770092</v>
      </c>
      <c r="V31" s="108">
        <f t="shared" si="22"/>
        <v>9.1064749244638456E-3</v>
      </c>
      <c r="W31" s="108">
        <f t="shared" si="22"/>
        <v>2.4276661610611223E-2</v>
      </c>
      <c r="X31" s="108">
        <f t="shared" si="22"/>
        <v>0.18727134937085904</v>
      </c>
      <c r="Y31" s="108">
        <f t="shared" si="22"/>
        <v>-0.19618929787348882</v>
      </c>
      <c r="Z31" s="108">
        <f t="shared" si="22"/>
        <v>-0.38392528185279307</v>
      </c>
      <c r="AA31" s="108">
        <f t="shared" si="22"/>
        <v>-0.41351520000029529</v>
      </c>
      <c r="AB31" s="108">
        <f t="shared" si="22"/>
        <v>-0.321874886117687</v>
      </c>
      <c r="AC31" s="108">
        <f t="shared" si="22"/>
        <v>0.15538236014599691</v>
      </c>
      <c r="AD31" s="108">
        <f t="shared" si="22"/>
        <v>0.65715828671222676</v>
      </c>
      <c r="AE31" s="108">
        <f t="shared" si="22"/>
        <v>0.80872063594651811</v>
      </c>
      <c r="AF31" s="108">
        <f t="shared" si="22"/>
        <v>1.107051475959578</v>
      </c>
      <c r="AG31" s="108">
        <f t="shared" si="22"/>
        <v>1.2885301479116227</v>
      </c>
      <c r="AH31" s="108">
        <f t="shared" si="22"/>
        <v>1.5795700815477425</v>
      </c>
      <c r="AI31" s="108">
        <f t="shared" si="22"/>
        <v>1.7054967172508095</v>
      </c>
      <c r="AJ31" s="108">
        <f t="shared" si="22"/>
        <v>0.63243330692417554</v>
      </c>
      <c r="AK31" s="108">
        <f t="shared" si="22"/>
        <v>0.25881637589303619</v>
      </c>
      <c r="AL31" s="108">
        <f t="shared" si="22"/>
        <v>-8.0176581164383739E-2</v>
      </c>
      <c r="AM31" s="108">
        <f t="shared" si="22"/>
        <v>-0.32078890465092985</v>
      </c>
      <c r="AN31" s="108">
        <f t="shared" si="22"/>
        <v>-9.3643211254136785E-2</v>
      </c>
      <c r="AO31" s="108">
        <f t="shared" si="22"/>
        <v>-0.16277823852732592</v>
      </c>
      <c r="AP31" s="108">
        <f t="shared" si="22"/>
        <v>-8.8082578267258627E-2</v>
      </c>
      <c r="AQ31" s="108">
        <f t="shared" si="22"/>
        <v>7.4931383840746477E-2</v>
      </c>
      <c r="AR31" s="108">
        <f t="shared" si="22"/>
        <v>-9.0109752882589614E-2</v>
      </c>
      <c r="AS31" s="108">
        <f t="shared" si="22"/>
        <v>0.19940576955078695</v>
      </c>
      <c r="AT31" s="108">
        <f t="shared" si="22"/>
        <v>0.15442561667021557</v>
      </c>
      <c r="AU31" s="108">
        <f t="shared" si="22"/>
        <v>0.24185463431446505</v>
      </c>
      <c r="AV31" s="108">
        <f t="shared" si="22"/>
        <v>0.40975540897811752</v>
      </c>
      <c r="AW31" s="108">
        <f t="shared" si="22"/>
        <v>0.14056265291285949</v>
      </c>
      <c r="AX31" s="108">
        <f t="shared" si="22"/>
        <v>0.50250649717185059</v>
      </c>
      <c r="AY31" s="108">
        <f t="shared" si="22"/>
        <v>0.64578404987047444</v>
      </c>
      <c r="AZ31" s="108">
        <f t="shared" si="22"/>
        <v>0.31058363429117036</v>
      </c>
      <c r="BA31" s="108">
        <f t="shared" si="22"/>
        <v>0.2432849557316753</v>
      </c>
      <c r="BB31" s="108">
        <f t="shared" si="22"/>
        <v>0.26189210153932746</v>
      </c>
      <c r="BC31" s="108">
        <f t="shared" si="22"/>
        <v>-0.19128563461626805</v>
      </c>
      <c r="BD31" s="108">
        <f t="shared" si="22"/>
        <v>-8.8136486753847804E-2</v>
      </c>
      <c r="BE31" s="108">
        <f t="shared" si="22"/>
        <v>-6.2367137368258559E-2</v>
      </c>
      <c r="BF31" s="108">
        <f t="shared" si="22"/>
        <v>-0.309302938688304</v>
      </c>
      <c r="BG31" s="108">
        <f t="shared" si="22"/>
        <v>-0.13256205246583688</v>
      </c>
      <c r="BH31" s="108" t="e">
        <f t="shared" si="22"/>
        <v>#DIV/0!</v>
      </c>
      <c r="BI31" s="108">
        <f t="shared" si="22"/>
        <v>-0.12809552972331731</v>
      </c>
      <c r="BJ31" s="108">
        <f t="shared" si="22"/>
        <v>0.60979618039870109</v>
      </c>
      <c r="BK31" s="108">
        <f t="shared" si="22"/>
        <v>0.41906420336457922</v>
      </c>
      <c r="BL31" s="108">
        <f t="shared" si="22"/>
        <v>-1</v>
      </c>
      <c r="BM31" s="108">
        <f t="shared" si="22"/>
        <v>1.2404879927216776</v>
      </c>
      <c r="BN31" s="108">
        <f t="shared" si="22"/>
        <v>0.58717767152418521</v>
      </c>
      <c r="BO31" s="108">
        <f t="shared" si="22"/>
        <v>0.37684764182205582</v>
      </c>
      <c r="BP31" s="108">
        <f t="shared" si="22"/>
        <v>0.35700370636308476</v>
      </c>
      <c r="BQ31" s="108">
        <f t="shared" si="22"/>
        <v>-4.6355341235198744E-2</v>
      </c>
      <c r="BR31" s="108">
        <f t="shared" ref="BR31:CK31" si="23">(BR6-BV6)/BV6</f>
        <v>-0.11111726208152495</v>
      </c>
      <c r="BS31" s="108">
        <f t="shared" si="23"/>
        <v>0.15997877432286572</v>
      </c>
      <c r="BT31" s="108">
        <f t="shared" si="23"/>
        <v>0.31835038212715855</v>
      </c>
      <c r="BU31" s="108">
        <f t="shared" si="23"/>
        <v>0.59466207680283878</v>
      </c>
      <c r="BV31" s="108" t="e">
        <f t="shared" si="23"/>
        <v>#DIV/0!</v>
      </c>
      <c r="BW31" s="108">
        <f t="shared" si="23"/>
        <v>0.99728083817305424</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560</v>
      </c>
      <c r="E32" s="109">
        <f>(E7-I7)/I7</f>
        <v>0.14633390543656075</v>
      </c>
      <c r="F32" s="109">
        <f t="shared" ref="F32:BQ32" si="24">(F7-J7)/J7</f>
        <v>7.640254178521573E-2</v>
      </c>
      <c r="G32" s="109">
        <f t="shared" si="24"/>
        <v>5.1948765914369296E-2</v>
      </c>
      <c r="H32" s="109">
        <f t="shared" si="24"/>
        <v>3.5945559911449883E-2</v>
      </c>
      <c r="I32" s="109">
        <f t="shared" si="24"/>
        <v>-8.6760596583612213E-3</v>
      </c>
      <c r="J32" s="109">
        <f t="shared" si="24"/>
        <v>2.1732176602189558E-2</v>
      </c>
      <c r="K32" s="109">
        <f t="shared" si="24"/>
        <v>2.381444029856038E-2</v>
      </c>
      <c r="L32" s="109">
        <f t="shared" si="24"/>
        <v>1.1472811925565971E-2</v>
      </c>
      <c r="M32" s="109">
        <f t="shared" si="24"/>
        <v>3.2847267732539332E-4</v>
      </c>
      <c r="N32" s="109">
        <f t="shared" si="24"/>
        <v>-7.6744423745589929E-2</v>
      </c>
      <c r="O32" s="109">
        <f t="shared" si="24"/>
        <v>-6.3787718696001527E-2</v>
      </c>
      <c r="P32" s="109">
        <f t="shared" si="24"/>
        <v>-5.5212526583723678E-2</v>
      </c>
      <c r="Q32" s="109">
        <f t="shared" si="24"/>
        <v>-5.2786320699886383E-2</v>
      </c>
      <c r="R32" s="109">
        <f t="shared" si="24"/>
        <v>7.0552550072401147E-5</v>
      </c>
      <c r="S32" s="109">
        <f t="shared" si="24"/>
        <v>-9.7952170664639404E-3</v>
      </c>
      <c r="T32" s="109">
        <f t="shared" si="24"/>
        <v>-2.3298100027062233E-2</v>
      </c>
      <c r="U32" s="109">
        <f t="shared" si="24"/>
        <v>-8.3223121223797034E-2</v>
      </c>
      <c r="V32" s="109">
        <f t="shared" si="24"/>
        <v>-9.805878263105125E-2</v>
      </c>
      <c r="W32" s="109">
        <f t="shared" si="24"/>
        <v>-0.10536067966333917</v>
      </c>
      <c r="X32" s="109">
        <f t="shared" si="24"/>
        <v>-9.2621116398842684E-2</v>
      </c>
      <c r="Y32" s="109">
        <f t="shared" si="24"/>
        <v>-5.7202894247060126E-2</v>
      </c>
      <c r="Z32" s="109">
        <f t="shared" si="24"/>
        <v>-1.6578761541074311E-2</v>
      </c>
      <c r="AA32" s="109">
        <f t="shared" si="24"/>
        <v>-1.1712055340656903E-2</v>
      </c>
      <c r="AB32" s="109">
        <f t="shared" si="24"/>
        <v>3.1781450409697133E-2</v>
      </c>
      <c r="AC32" s="109">
        <f t="shared" si="24"/>
        <v>0.11600823655617436</v>
      </c>
      <c r="AD32" s="109">
        <f t="shared" si="24"/>
        <v>0.91855798492330409</v>
      </c>
      <c r="AE32" s="109">
        <f t="shared" si="24"/>
        <v>1.0020302753951564</v>
      </c>
      <c r="AF32" s="109">
        <f t="shared" si="24"/>
        <v>0.99209009548521665</v>
      </c>
      <c r="AG32" s="109">
        <f t="shared" si="24"/>
        <v>0.93118953337477683</v>
      </c>
      <c r="AH32" s="109">
        <f t="shared" si="24"/>
        <v>0.13620908260860862</v>
      </c>
      <c r="AI32" s="109">
        <f t="shared" si="24"/>
        <v>0.28887930876365547</v>
      </c>
      <c r="AJ32" s="109">
        <f t="shared" si="24"/>
        <v>0.20948315564561817</v>
      </c>
      <c r="AK32" s="109">
        <f t="shared" si="24"/>
        <v>0.12483640279519735</v>
      </c>
      <c r="AL32" s="109">
        <f t="shared" si="24"/>
        <v>1.2138949662907501E-2</v>
      </c>
      <c r="AM32" s="109">
        <f t="shared" si="24"/>
        <v>-0.178832870745289</v>
      </c>
      <c r="AN32" s="109">
        <f t="shared" si="24"/>
        <v>-0.11992869590081448</v>
      </c>
      <c r="AO32" s="109">
        <f t="shared" si="24"/>
        <v>-8.7081127383367568E-2</v>
      </c>
      <c r="AP32" s="109">
        <f t="shared" si="24"/>
        <v>-0.11553130752294076</v>
      </c>
      <c r="AQ32" s="109">
        <f t="shared" si="24"/>
        <v>-4.9034533905765142E-2</v>
      </c>
      <c r="AR32" s="109">
        <f t="shared" si="24"/>
        <v>-9.8680935544632573E-2</v>
      </c>
      <c r="AS32" s="109">
        <f t="shared" si="24"/>
        <v>-2.9871115580968992E-2</v>
      </c>
      <c r="AT32" s="109">
        <f t="shared" si="24"/>
        <v>6.8677538086346107E-2</v>
      </c>
      <c r="AU32" s="109">
        <f t="shared" si="24"/>
        <v>0.49163007101317957</v>
      </c>
      <c r="AV32" s="109">
        <f t="shared" si="24"/>
        <v>0.49291934991844394</v>
      </c>
      <c r="AW32" s="109">
        <f t="shared" si="24"/>
        <v>0.37099116963953105</v>
      </c>
      <c r="AX32" s="109">
        <f t="shared" si="24"/>
        <v>0.31369198962512967</v>
      </c>
      <c r="AY32" s="109">
        <f t="shared" si="24"/>
        <v>-0.11137886281791246</v>
      </c>
      <c r="AZ32" s="109">
        <f t="shared" si="24"/>
        <v>-9.8801035783454547E-2</v>
      </c>
      <c r="BA32" s="109">
        <f t="shared" si="24"/>
        <v>-8.6178370337488999E-2</v>
      </c>
      <c r="BB32" s="109">
        <f t="shared" si="24"/>
        <v>-3.5180323632718396E-3</v>
      </c>
      <c r="BC32" s="109">
        <f t="shared" si="24"/>
        <v>1.6910802996781998E-3</v>
      </c>
      <c r="BD32" s="109">
        <f t="shared" si="24"/>
        <v>-9.8401822307255346E-2</v>
      </c>
      <c r="BE32" s="109">
        <f t="shared" si="24"/>
        <v>-8.7443272018521284E-2</v>
      </c>
      <c r="BF32" s="109">
        <f t="shared" si="24"/>
        <v>0.18486598274379995</v>
      </c>
      <c r="BG32" s="109">
        <f t="shared" si="24"/>
        <v>0.18654759693183651</v>
      </c>
      <c r="BH32" s="109" t="e">
        <f t="shared" si="24"/>
        <v>#DIV/0!</v>
      </c>
      <c r="BI32" s="109">
        <f t="shared" si="24"/>
        <v>-1.6737275506570445E-2</v>
      </c>
      <c r="BJ32" s="109">
        <f t="shared" si="24"/>
        <v>-0.35059037337917198</v>
      </c>
      <c r="BK32" s="109">
        <f t="shared" si="24"/>
        <v>-0.3290746417475412</v>
      </c>
      <c r="BL32" s="109">
        <f t="shared" si="24"/>
        <v>-1</v>
      </c>
      <c r="BM32" s="109">
        <f t="shared" si="24"/>
        <v>-4.6725144726339443E-2</v>
      </c>
      <c r="BN32" s="109">
        <f t="shared" si="24"/>
        <v>3.7303464418242123E-2</v>
      </c>
      <c r="BO32" s="109">
        <f t="shared" si="24"/>
        <v>2.2368150540232914E-2</v>
      </c>
      <c r="BP32" s="109">
        <f t="shared" si="24"/>
        <v>0.10695858090217408</v>
      </c>
      <c r="BQ32" s="109">
        <f t="shared" si="24"/>
        <v>5.7105798057350415E-2</v>
      </c>
      <c r="BR32" s="109">
        <f t="shared" ref="BR32:CK32" si="25">(BR7-BV7)/BV7</f>
        <v>-3.420445470131897E-2</v>
      </c>
      <c r="BS32" s="109">
        <f t="shared" si="25"/>
        <v>0.22491371808850041</v>
      </c>
      <c r="BT32" s="109">
        <f t="shared" si="25"/>
        <v>0.46047824169840101</v>
      </c>
      <c r="BU32" s="109">
        <f t="shared" si="25"/>
        <v>0.66444546999844101</v>
      </c>
      <c r="BV32" s="109">
        <f t="shared" si="25"/>
        <v>2.9154858062166382</v>
      </c>
      <c r="BW32" s="109">
        <f t="shared" si="25"/>
        <v>2.4022864847467824</v>
      </c>
      <c r="BX32" s="109">
        <f t="shared" si="25"/>
        <v>2.4440324469912911</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567</v>
      </c>
      <c r="E33" s="109">
        <f>E7/E9</f>
        <v>0.20598909954443939</v>
      </c>
      <c r="F33" s="109">
        <f t="shared" ref="F33:BQ33" si="26">F7/F9</f>
        <v>0.20381107704308332</v>
      </c>
      <c r="G33" s="109">
        <f t="shared" si="26"/>
        <v>0.21185598650785897</v>
      </c>
      <c r="H33" s="109">
        <f t="shared" si="26"/>
        <v>0.21040314853782227</v>
      </c>
      <c r="I33" s="109">
        <f t="shared" si="26"/>
        <v>0.20876817032613179</v>
      </c>
      <c r="J33" s="109">
        <f t="shared" si="26"/>
        <v>0.22331586202924611</v>
      </c>
      <c r="K33" s="109">
        <f t="shared" si="26"/>
        <v>0.23791238297734463</v>
      </c>
      <c r="L33" s="109">
        <f t="shared" si="26"/>
        <v>0.23887170559109377</v>
      </c>
      <c r="M33" s="109">
        <f t="shared" si="26"/>
        <v>0.25089210721703886</v>
      </c>
      <c r="N33" s="109">
        <f t="shared" si="26"/>
        <v>0.25497486370711364</v>
      </c>
      <c r="O33" s="109">
        <f t="shared" si="26"/>
        <v>0.27304795621003414</v>
      </c>
      <c r="P33" s="109">
        <f t="shared" si="26"/>
        <v>0.27144385883353311</v>
      </c>
      <c r="Q33" s="109">
        <f t="shared" si="26"/>
        <v>0.29186130156364459</v>
      </c>
      <c r="R33" s="109">
        <f t="shared" si="26"/>
        <v>0.31658113302926216</v>
      </c>
      <c r="S33" s="109">
        <f t="shared" si="26"/>
        <v>0.33023061417556987</v>
      </c>
      <c r="T33" s="109">
        <f t="shared" si="26"/>
        <v>0.33687998569879479</v>
      </c>
      <c r="U33" s="109">
        <f t="shared" si="26"/>
        <v>0.34935432374483549</v>
      </c>
      <c r="V33" s="109">
        <f t="shared" si="26"/>
        <v>0.36004265397098206</v>
      </c>
      <c r="W33" s="109">
        <f t="shared" si="26"/>
        <v>0.36818609070202363</v>
      </c>
      <c r="X33" s="109">
        <f t="shared" si="26"/>
        <v>0.372181173852494</v>
      </c>
      <c r="Y33" s="109">
        <f t="shared" si="26"/>
        <v>0.40609270759050486</v>
      </c>
      <c r="Z33" s="109">
        <f t="shared" si="26"/>
        <v>0.42224055804525001</v>
      </c>
      <c r="AA33" s="109">
        <f t="shared" si="26"/>
        <v>0.4329765951536334</v>
      </c>
      <c r="AB33" s="109">
        <f t="shared" si="26"/>
        <v>0.43581392527813689</v>
      </c>
      <c r="AC33" s="109">
        <f t="shared" si="26"/>
        <v>0.45957541030872961</v>
      </c>
      <c r="AD33" s="109">
        <f t="shared" si="26"/>
        <v>0.45480247529366002</v>
      </c>
      <c r="AE33" s="109">
        <f t="shared" si="26"/>
        <v>0.46876084893481218</v>
      </c>
      <c r="AF33" s="109">
        <f t="shared" si="26"/>
        <v>0.4604739403886059</v>
      </c>
      <c r="AG33" s="109">
        <f t="shared" si="26"/>
        <v>0.46430501942613644</v>
      </c>
      <c r="AH33" s="109">
        <f t="shared" si="26"/>
        <v>0.42411420529099753</v>
      </c>
      <c r="AI33" s="109">
        <f t="shared" si="26"/>
        <v>0.42541123974070411</v>
      </c>
      <c r="AJ33" s="109">
        <f t="shared" si="26"/>
        <v>0.43396290420188005</v>
      </c>
      <c r="AK33" s="109">
        <f t="shared" si="26"/>
        <v>0.44130554101062658</v>
      </c>
      <c r="AL33" s="109">
        <f t="shared" si="26"/>
        <v>0.44391370194782165</v>
      </c>
      <c r="AM33" s="109">
        <f t="shared" si="26"/>
        <v>0.3838611097949402</v>
      </c>
      <c r="AN33" s="109">
        <f t="shared" si="26"/>
        <v>0.39567846245409144</v>
      </c>
      <c r="AO33" s="109">
        <f t="shared" si="26"/>
        <v>0.42300125241348496</v>
      </c>
      <c r="AP33" s="109">
        <f t="shared" si="26"/>
        <v>0.41635432532555372</v>
      </c>
      <c r="AQ33" s="109">
        <f t="shared" si="26"/>
        <v>0.42579047812926318</v>
      </c>
      <c r="AR33" s="109">
        <f t="shared" si="26"/>
        <v>0.41516913088769769</v>
      </c>
      <c r="AS33" s="109">
        <f t="shared" si="26"/>
        <v>0.42962297305032582</v>
      </c>
      <c r="AT33" s="109">
        <f t="shared" si="26"/>
        <v>0.49227561593280345</v>
      </c>
      <c r="AU33" s="109">
        <f t="shared" si="26"/>
        <v>0.51155486428629238</v>
      </c>
      <c r="AV33" s="109">
        <f t="shared" si="26"/>
        <v>0.5052283554389041</v>
      </c>
      <c r="AW33" s="109">
        <f t="shared" si="26"/>
        <v>0.41877389717135488</v>
      </c>
      <c r="AX33" s="109">
        <f t="shared" si="26"/>
        <v>0.37271597680575674</v>
      </c>
      <c r="AY33" s="109">
        <f t="shared" si="26"/>
        <v>0.27213231854916442</v>
      </c>
      <c r="AZ33" s="109">
        <f t="shared" si="26"/>
        <v>0.28414573025543549</v>
      </c>
      <c r="BA33" s="109">
        <f t="shared" si="26"/>
        <v>0.30259176297505802</v>
      </c>
      <c r="BB33" s="109">
        <f t="shared" si="26"/>
        <v>0.31154505577252917</v>
      </c>
      <c r="BC33" s="109">
        <f t="shared" si="26"/>
        <v>0.32870122653006112</v>
      </c>
      <c r="BD33" s="109">
        <f t="shared" si="26"/>
        <v>0.32743568574816362</v>
      </c>
      <c r="BE33" s="109">
        <f t="shared" si="26"/>
        <v>0.337890518063026</v>
      </c>
      <c r="BF33" s="109">
        <f t="shared" si="26"/>
        <v>0.34133074909739786</v>
      </c>
      <c r="BG33" s="109">
        <f t="shared" si="26"/>
        <v>0.34810489541595357</v>
      </c>
      <c r="BH33" s="109">
        <f t="shared" si="26"/>
        <v>0.39731596613856823</v>
      </c>
      <c r="BI33" s="109">
        <f t="shared" si="26"/>
        <v>0.40329433669645121</v>
      </c>
      <c r="BJ33" s="109">
        <f t="shared" si="26"/>
        <v>0.34237841123360624</v>
      </c>
      <c r="BK33" s="109">
        <f t="shared" si="26"/>
        <v>0.3457399417124703</v>
      </c>
      <c r="BL33" s="109" t="e">
        <f t="shared" si="26"/>
        <v>#DIV/0!</v>
      </c>
      <c r="BM33" s="109">
        <f t="shared" si="26"/>
        <v>0.40902493879498342</v>
      </c>
      <c r="BN33" s="109">
        <f t="shared" si="26"/>
        <v>0.30472241238349934</v>
      </c>
      <c r="BO33" s="109">
        <f t="shared" si="26"/>
        <v>0.29536580901394938</v>
      </c>
      <c r="BP33" s="109">
        <f t="shared" si="26"/>
        <v>0.29604920379608107</v>
      </c>
      <c r="BQ33" s="109">
        <f t="shared" si="26"/>
        <v>0.3191642377669599</v>
      </c>
      <c r="BR33" s="109">
        <f t="shared" ref="BR33:CK33" si="27">BR7/BR9</f>
        <v>0.28816849014995921</v>
      </c>
      <c r="BS33" s="109">
        <f t="shared" si="27"/>
        <v>0.30071008112600217</v>
      </c>
      <c r="BT33" s="109">
        <f t="shared" si="27"/>
        <v>0.25687706377690062</v>
      </c>
      <c r="BU33" s="109">
        <f t="shared" si="27"/>
        <v>0.28742054438817982</v>
      </c>
      <c r="BV33" s="109">
        <f t="shared" si="27"/>
        <v>0.33248535646025312</v>
      </c>
      <c r="BW33" s="109">
        <f t="shared" si="27"/>
        <v>0.29507404465228032</v>
      </c>
      <c r="BX33" s="109">
        <f t="shared" si="27"/>
        <v>0.22580544177886069</v>
      </c>
      <c r="BY33" s="109">
        <f t="shared" si="27"/>
        <v>0.21209262753069452</v>
      </c>
      <c r="BZ33" s="109">
        <f t="shared" si="27"/>
        <v>0.58916363167209695</v>
      </c>
      <c r="CA33" s="109">
        <f t="shared" si="27"/>
        <v>0.16977166282541814</v>
      </c>
      <c r="CB33" s="109">
        <f t="shared" si="27"/>
        <v>0.54205977648049553</v>
      </c>
      <c r="CC33" s="109">
        <f t="shared" si="27"/>
        <v>0</v>
      </c>
      <c r="CD33" s="109">
        <f t="shared" si="27"/>
        <v>0</v>
      </c>
      <c r="CE33" s="109">
        <f t="shared" si="27"/>
        <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561</v>
      </c>
      <c r="E34" s="108">
        <f>(E10-I10)/I10</f>
        <v>-0.55719321295431323</v>
      </c>
      <c r="F34" s="108" t="e">
        <f t="shared" ref="F34:BQ34" si="28">(F10-J10)/J10</f>
        <v>#DIV/0!</v>
      </c>
      <c r="G34" s="108" t="e">
        <f t="shared" si="28"/>
        <v>#DIV/0!</v>
      </c>
      <c r="H34" s="108" t="e">
        <f t="shared" si="28"/>
        <v>#DIV/0!</v>
      </c>
      <c r="I34" s="108" t="e">
        <f t="shared" si="28"/>
        <v>#DIV/0!</v>
      </c>
      <c r="J34" s="108">
        <f t="shared" si="28"/>
        <v>-1</v>
      </c>
      <c r="K34" s="108">
        <f t="shared" si="28"/>
        <v>-1</v>
      </c>
      <c r="L34" s="108">
        <f t="shared" si="28"/>
        <v>-1</v>
      </c>
      <c r="M34" s="108" t="e">
        <f t="shared" si="28"/>
        <v>#DIV/0!</v>
      </c>
      <c r="N34" s="108">
        <f t="shared" si="28"/>
        <v>-5.9197133261472802E-3</v>
      </c>
      <c r="O34" s="108">
        <f t="shared" si="28"/>
        <v>-0.69603090826448488</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f t="shared" si="28"/>
        <v>-1</v>
      </c>
      <c r="Y34" s="108">
        <f t="shared" si="28"/>
        <v>-1</v>
      </c>
      <c r="Z34" s="108">
        <f t="shared" si="28"/>
        <v>-1</v>
      </c>
      <c r="AA34" s="108">
        <f t="shared" si="28"/>
        <v>-1</v>
      </c>
      <c r="AB34" s="108">
        <f t="shared" si="28"/>
        <v>-0.91874553634151812</v>
      </c>
      <c r="AC34" s="108">
        <f t="shared" si="28"/>
        <v>-0.22986911650049083</v>
      </c>
      <c r="AD34" s="108" t="e">
        <f t="shared" si="28"/>
        <v>#DIV/0!</v>
      </c>
      <c r="AE34" s="108" t="e">
        <f t="shared" si="28"/>
        <v>#DIV/0!</v>
      </c>
      <c r="AF34" s="108" t="e">
        <f t="shared" si="28"/>
        <v>#DIV/0!</v>
      </c>
      <c r="AG34" s="108">
        <f t="shared" si="28"/>
        <v>8.0393548800000012</v>
      </c>
      <c r="AH34" s="108">
        <f t="shared" si="28"/>
        <v>-1</v>
      </c>
      <c r="AI34" s="108">
        <f t="shared" si="28"/>
        <v>-1</v>
      </c>
      <c r="AJ34" s="108">
        <f t="shared" si="28"/>
        <v>-1</v>
      </c>
      <c r="AK34" s="108">
        <f t="shared" si="28"/>
        <v>-0.98675368370535366</v>
      </c>
      <c r="AL34" s="108">
        <f t="shared" si="28"/>
        <v>-0.84837188840208322</v>
      </c>
      <c r="AM34" s="108">
        <f t="shared" si="28"/>
        <v>-0.84427789243007445</v>
      </c>
      <c r="AN34" s="108">
        <f t="shared" si="28"/>
        <v>-0.64655359999999995</v>
      </c>
      <c r="AO34" s="108">
        <f t="shared" si="28"/>
        <v>-0.60723577355539726</v>
      </c>
      <c r="AP34" s="108">
        <f t="shared" si="28"/>
        <v>-0.67085317419001034</v>
      </c>
      <c r="AQ34" s="108">
        <f t="shared" si="28"/>
        <v>-0.51408977556109725</v>
      </c>
      <c r="AR34" s="108">
        <f t="shared" si="28"/>
        <v>-0.53224741360334582</v>
      </c>
      <c r="AS34" s="108">
        <f t="shared" si="28"/>
        <v>-0.65634067316288214</v>
      </c>
      <c r="AT34" s="108">
        <f t="shared" si="28"/>
        <v>-0.48394233133477488</v>
      </c>
      <c r="AU34" s="108">
        <f t="shared" si="28"/>
        <v>-0.44450601207957002</v>
      </c>
      <c r="AV34" s="108">
        <f t="shared" si="28"/>
        <v>-0.37875203413239977</v>
      </c>
      <c r="AW34" s="108">
        <f t="shared" si="28"/>
        <v>-0.20905084545860414</v>
      </c>
      <c r="AX34" s="108">
        <f t="shared" si="28"/>
        <v>-3.2987735096862737E-2</v>
      </c>
      <c r="AY34" s="108">
        <f t="shared" si="28"/>
        <v>3.3508678424114022E-2</v>
      </c>
      <c r="AZ34" s="108">
        <f t="shared" si="28"/>
        <v>2.2929428892262425E-2</v>
      </c>
      <c r="BA34" s="108">
        <f t="shared" si="28"/>
        <v>-7.5297898917879545E-3</v>
      </c>
      <c r="BB34" s="108">
        <f t="shared" si="28"/>
        <v>0.15708751119420572</v>
      </c>
      <c r="BC34" s="108">
        <f t="shared" si="28"/>
        <v>0.10923633057536249</v>
      </c>
      <c r="BD34" s="108">
        <f t="shared" si="28"/>
        <v>9.8308854030634982E-2</v>
      </c>
      <c r="BE34" s="108">
        <f t="shared" si="28"/>
        <v>0.12081360411521339</v>
      </c>
      <c r="BF34" s="108">
        <f t="shared" si="28"/>
        <v>3.6814413005587319E-2</v>
      </c>
      <c r="BG34" s="108">
        <f t="shared" si="28"/>
        <v>0.34869026965666433</v>
      </c>
      <c r="BH34" s="108" t="e">
        <f t="shared" si="28"/>
        <v>#DIV/0!</v>
      </c>
      <c r="BI34" s="108">
        <f t="shared" si="28"/>
        <v>2.3177582127508894E-2</v>
      </c>
      <c r="BJ34" s="108">
        <f t="shared" si="28"/>
        <v>-0.1182148551401198</v>
      </c>
      <c r="BK34" s="108">
        <f t="shared" si="28"/>
        <v>-0.33387073762305608</v>
      </c>
      <c r="BL34" s="108">
        <f t="shared" si="28"/>
        <v>-1</v>
      </c>
      <c r="BM34" s="108">
        <f t="shared" si="28"/>
        <v>0.16764081264447744</v>
      </c>
      <c r="BN34" s="108">
        <f t="shared" si="28"/>
        <v>9.1087184791637285E-2</v>
      </c>
      <c r="BO34" s="108">
        <f t="shared" si="28"/>
        <v>0.27299805663016036</v>
      </c>
      <c r="BP34" s="108">
        <f t="shared" si="28"/>
        <v>3.0369590750316509E-2</v>
      </c>
      <c r="BQ34" s="108">
        <f t="shared" si="28"/>
        <v>0.30143084260731318</v>
      </c>
      <c r="BR34" s="108">
        <f t="shared" ref="BR34:CK34" si="29">(BR10-BV10)/BV10</f>
        <v>0.92508209363199612</v>
      </c>
      <c r="BS34" s="108">
        <f t="shared" si="29"/>
        <v>2.0335537190082644</v>
      </c>
      <c r="BT34" s="108">
        <f t="shared" si="29"/>
        <v>2.4995035710854179</v>
      </c>
      <c r="BU34" s="108">
        <f t="shared" si="29"/>
        <v>1.3792481378026071</v>
      </c>
      <c r="BV34" s="108" t="e">
        <f t="shared" si="29"/>
        <v>#DIV/0!</v>
      </c>
      <c r="BW34" s="108">
        <f t="shared" si="29"/>
        <v>0.87228221216157364</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565</v>
      </c>
      <c r="E35" s="108">
        <f>E10/E12</f>
        <v>1</v>
      </c>
      <c r="F35" s="108">
        <f t="shared" ref="F35:BQ35" si="30">F10/F12</f>
        <v>1</v>
      </c>
      <c r="G35" s="108">
        <f t="shared" si="30"/>
        <v>1</v>
      </c>
      <c r="H35" s="108">
        <f t="shared" si="30"/>
        <v>1</v>
      </c>
      <c r="I35" s="108">
        <f t="shared" si="30"/>
        <v>1</v>
      </c>
      <c r="J35" s="108" t="e">
        <f t="shared" si="30"/>
        <v>#DIV/0!</v>
      </c>
      <c r="K35" s="108" t="e">
        <f t="shared" si="30"/>
        <v>#DIV/0!</v>
      </c>
      <c r="L35" s="108" t="e">
        <f t="shared" si="30"/>
        <v>#DIV/0!</v>
      </c>
      <c r="M35" s="108" t="e">
        <f t="shared" si="30"/>
        <v>#DIV/0!</v>
      </c>
      <c r="N35" s="108">
        <f t="shared" si="30"/>
        <v>1</v>
      </c>
      <c r="O35" s="108">
        <f t="shared" si="30"/>
        <v>1</v>
      </c>
      <c r="P35" s="108">
        <f t="shared" si="30"/>
        <v>1</v>
      </c>
      <c r="Q35" s="108" t="e">
        <f t="shared" si="30"/>
        <v>#DIV/0!</v>
      </c>
      <c r="R35" s="108">
        <f t="shared" si="30"/>
        <v>0.99512949379060034</v>
      </c>
      <c r="S35" s="108">
        <f t="shared" si="30"/>
        <v>0.98978953808818282</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0.4766333935578933</v>
      </c>
      <c r="AC35" s="108">
        <f t="shared" si="30"/>
        <v>0.51252458823400149</v>
      </c>
      <c r="AD35" s="108">
        <f t="shared" si="30"/>
        <v>0.52113155100744735</v>
      </c>
      <c r="AE35" s="108">
        <f t="shared" si="30"/>
        <v>0.83144804813411921</v>
      </c>
      <c r="AF35" s="108">
        <f t="shared" si="30"/>
        <v>0.9141851616349389</v>
      </c>
      <c r="AG35" s="108">
        <f t="shared" si="30"/>
        <v>0.52972611050834961</v>
      </c>
      <c r="AH35" s="108">
        <f t="shared" si="30"/>
        <v>0</v>
      </c>
      <c r="AI35" s="108">
        <f t="shared" si="30"/>
        <v>0</v>
      </c>
      <c r="AJ35" s="108">
        <f t="shared" si="30"/>
        <v>0</v>
      </c>
      <c r="AK35" s="108">
        <f t="shared" si="30"/>
        <v>0.21372088053002777</v>
      </c>
      <c r="AL35" s="108">
        <f t="shared" si="30"/>
        <v>1</v>
      </c>
      <c r="AM35" s="108">
        <f t="shared" si="30"/>
        <v>1</v>
      </c>
      <c r="AN35" s="108">
        <f t="shared" si="30"/>
        <v>1</v>
      </c>
      <c r="AO35" s="108">
        <f t="shared" si="30"/>
        <v>1</v>
      </c>
      <c r="AP35" s="108">
        <f t="shared" si="30"/>
        <v>0.94476730327392788</v>
      </c>
      <c r="AQ35" s="108">
        <f t="shared" si="30"/>
        <v>0.96446728110628133</v>
      </c>
      <c r="AR35" s="108">
        <f t="shared" si="30"/>
        <v>0.95396473718613972</v>
      </c>
      <c r="AS35" s="108">
        <f t="shared" si="30"/>
        <v>0.95082687694484092</v>
      </c>
      <c r="AT35" s="108">
        <f t="shared" si="30"/>
        <v>0.97735350452200864</v>
      </c>
      <c r="AU35" s="108">
        <f t="shared" si="30"/>
        <v>0.99734357414668973</v>
      </c>
      <c r="AV35" s="108">
        <f t="shared" si="30"/>
        <v>0.99765450393991617</v>
      </c>
      <c r="AW35" s="108">
        <f t="shared" si="30"/>
        <v>0.99809399559215428</v>
      </c>
      <c r="AX35" s="108">
        <f t="shared" si="30"/>
        <v>0.99850253501704567</v>
      </c>
      <c r="AY35" s="108">
        <f t="shared" si="30"/>
        <v>0.99852262693105431</v>
      </c>
      <c r="AZ35" s="108">
        <f t="shared" si="30"/>
        <v>0.99854156973056096</v>
      </c>
      <c r="BA35" s="108">
        <f t="shared" si="30"/>
        <v>0.99849184649853528</v>
      </c>
      <c r="BB35" s="108">
        <f t="shared" si="30"/>
        <v>0.99855186146010422</v>
      </c>
      <c r="BC35" s="108">
        <f t="shared" si="30"/>
        <v>0.99847319769604648</v>
      </c>
      <c r="BD35" s="108">
        <f t="shared" si="30"/>
        <v>0.99850817864536134</v>
      </c>
      <c r="BE35" s="108">
        <f t="shared" si="30"/>
        <v>0.99850318557958306</v>
      </c>
      <c r="BF35" s="108">
        <f t="shared" si="30"/>
        <v>0.99832475807254473</v>
      </c>
      <c r="BG35" s="108">
        <f t="shared" si="30"/>
        <v>0.99830669782764758</v>
      </c>
      <c r="BH35" s="108">
        <f t="shared" si="30"/>
        <v>0.99836175966066432</v>
      </c>
      <c r="BI35" s="108">
        <f t="shared" si="30"/>
        <v>0.99832265335865455</v>
      </c>
      <c r="BJ35" s="108">
        <f t="shared" si="30"/>
        <v>0.96681975520197505</v>
      </c>
      <c r="BK35" s="108">
        <f t="shared" si="30"/>
        <v>0.95682402740248595</v>
      </c>
      <c r="BL35" s="108" t="e">
        <f t="shared" si="30"/>
        <v>#DIV/0!</v>
      </c>
      <c r="BM35" s="108">
        <f t="shared" si="30"/>
        <v>0.96720199343523772</v>
      </c>
      <c r="BN35" s="108">
        <f t="shared" si="30"/>
        <v>0.99846819412331678</v>
      </c>
      <c r="BO35" s="108">
        <f t="shared" si="30"/>
        <v>0.99847847209185858</v>
      </c>
      <c r="BP35" s="108">
        <f t="shared" si="30"/>
        <v>0.99842135025752565</v>
      </c>
      <c r="BQ35" s="108">
        <f t="shared" si="30"/>
        <v>0.99799672166263997</v>
      </c>
      <c r="BR35" s="108">
        <f t="shared" ref="BR35:CK35" si="31">BR10/BR12</f>
        <v>0.99832889940349412</v>
      </c>
      <c r="BS35" s="108">
        <f t="shared" si="31"/>
        <v>0.99806390213485574</v>
      </c>
      <c r="BT35" s="108">
        <f t="shared" si="31"/>
        <v>0.9868358456041505</v>
      </c>
      <c r="BU35" s="108">
        <f t="shared" si="31"/>
        <v>0.97999189092029282</v>
      </c>
      <c r="BV35" s="108">
        <f t="shared" si="31"/>
        <v>0.97876319519089205</v>
      </c>
      <c r="BW35" s="108">
        <f t="shared" si="31"/>
        <v>0.95597543199413271</v>
      </c>
      <c r="BX35" s="108">
        <f t="shared" si="31"/>
        <v>0.81880862753068795</v>
      </c>
      <c r="BY35" s="108">
        <f t="shared" si="31"/>
        <v>0.75626413264196901</v>
      </c>
      <c r="BZ35" s="108" t="e">
        <f t="shared" si="31"/>
        <v>#DIV/0!</v>
      </c>
      <c r="CA35" s="108">
        <f t="shared" si="31"/>
        <v>0.75608535672228327</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-0.3401397098334229</v>
      </c>
      <c r="S36" s="108">
        <f t="shared" si="32"/>
        <v>-0.43816561617039773</v>
      </c>
      <c r="T36" s="108">
        <f t="shared" si="32"/>
        <v>-0.50474452554744531</v>
      </c>
      <c r="U36" s="108">
        <f t="shared" si="32"/>
        <v>-0.55291712533417203</v>
      </c>
      <c r="V36" s="108">
        <f t="shared" si="32"/>
        <v>-0.8979218232555588</v>
      </c>
      <c r="W36" s="108">
        <f t="shared" si="32"/>
        <v>-0.87425955658798205</v>
      </c>
      <c r="X36" s="108">
        <f t="shared" si="32"/>
        <v>-0.85662050876171658</v>
      </c>
      <c r="Y36" s="108">
        <f t="shared" si="32"/>
        <v>-0.80792146498017747</v>
      </c>
      <c r="Z36" s="108">
        <f t="shared" si="32"/>
        <v>-0.14858056870654579</v>
      </c>
      <c r="AA36" s="108">
        <f t="shared" si="32"/>
        <v>-8.8607989040754689E-2</v>
      </c>
      <c r="AB36" s="108">
        <f t="shared" si="32"/>
        <v>-4.9525325309144712E-2</v>
      </c>
      <c r="AC36" s="108">
        <f t="shared" si="32"/>
        <v>-0.17490669607531606</v>
      </c>
      <c r="AD36" s="108">
        <f t="shared" si="32"/>
        <v>0.72163539332053583</v>
      </c>
      <c r="AE36" s="108">
        <f t="shared" si="32"/>
        <v>0.55125282537719988</v>
      </c>
      <c r="AF36" s="108">
        <f t="shared" si="32"/>
        <v>0.50636835303152339</v>
      </c>
      <c r="AG36" s="108">
        <f t="shared" si="32"/>
        <v>1.1812584941560207</v>
      </c>
      <c r="AH36" s="108" t="e">
        <f t="shared" si="32"/>
        <v>#DIV/0!</v>
      </c>
      <c r="AI36" s="108" t="e">
        <f t="shared" si="32"/>
        <v>#DIV/0!</v>
      </c>
      <c r="AJ36" s="108" t="e">
        <f t="shared" si="32"/>
        <v>#DIV/0!</v>
      </c>
      <c r="AK36" s="108" t="e">
        <f t="shared" si="32"/>
        <v>#DIV/0!</v>
      </c>
      <c r="AL36" s="108">
        <f t="shared" si="32"/>
        <v>-1</v>
      </c>
      <c r="AM36" s="108">
        <f t="shared" si="32"/>
        <v>-1</v>
      </c>
      <c r="AN36" s="108">
        <f t="shared" si="32"/>
        <v>-1</v>
      </c>
      <c r="AO36" s="108">
        <f t="shared" si="32"/>
        <v>-1</v>
      </c>
      <c r="AP36" s="108">
        <f t="shared" si="32"/>
        <v>-0.16955335617367051</v>
      </c>
      <c r="AQ36" s="108">
        <f t="shared" si="32"/>
        <v>5.7211575242682082</v>
      </c>
      <c r="AR36" s="108">
        <f t="shared" si="32"/>
        <v>8.6010772200916819</v>
      </c>
      <c r="AS36" s="108">
        <f t="shared" si="32"/>
        <v>8.3068351147496777</v>
      </c>
      <c r="AT36" s="108">
        <f t="shared" si="32"/>
        <v>6.973335942415436</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-0.94930412210633119</v>
      </c>
      <c r="BG36" s="108">
        <f t="shared" si="32"/>
        <v>-0.94930412210633119</v>
      </c>
      <c r="BH36" s="108" t="e">
        <f t="shared" si="32"/>
        <v>#DIV/0!</v>
      </c>
      <c r="BI36" s="108">
        <f t="shared" si="32"/>
        <v>-0.94930412210633119</v>
      </c>
      <c r="BJ36" s="108">
        <f t="shared" si="32"/>
        <v>18.725469634778442</v>
      </c>
      <c r="BK36" s="108">
        <f t="shared" si="32"/>
        <v>18.725469634778442</v>
      </c>
      <c r="BL36" s="108">
        <f t="shared" si="32"/>
        <v>-1</v>
      </c>
      <c r="BM36" s="108">
        <f t="shared" si="32"/>
        <v>18.725469634778442</v>
      </c>
      <c r="BN36" s="108">
        <f t="shared" si="32"/>
        <v>0</v>
      </c>
      <c r="BO36" s="108">
        <f t="shared" si="32"/>
        <v>0</v>
      </c>
      <c r="BP36" s="108">
        <f t="shared" si="32"/>
        <v>-0.87787153302460708</v>
      </c>
      <c r="BQ36" s="108">
        <f t="shared" si="32"/>
        <v>-0.87204722456822859</v>
      </c>
      <c r="BR36" s="108">
        <f t="shared" ref="BR36:CK36" si="33">(BR11-BV11)/BV11</f>
        <v>-0.85148625141130707</v>
      </c>
      <c r="BS36" s="108">
        <f t="shared" si="33"/>
        <v>-0.87221723659363093</v>
      </c>
      <c r="BT36" s="108">
        <f t="shared" si="33"/>
        <v>-0.78904035431487951</v>
      </c>
      <c r="BU36" s="108">
        <f t="shared" si="33"/>
        <v>-0.84927775205752032</v>
      </c>
      <c r="BV36" s="108" t="e">
        <f t="shared" si="33"/>
        <v>#DIV/0!</v>
      </c>
      <c r="BW36" s="108">
        <f t="shared" si="33"/>
        <v>-0.73272850900613828</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566</v>
      </c>
      <c r="B37" s="108"/>
      <c r="C37" s="108"/>
      <c r="D37" s="108"/>
      <c r="E37" s="108">
        <f>E11/E12</f>
        <v>0</v>
      </c>
      <c r="F37" s="108">
        <f t="shared" ref="F37:BQ37" si="34">F11/F12</f>
        <v>0</v>
      </c>
      <c r="G37" s="108">
        <f t="shared" si="34"/>
        <v>0</v>
      </c>
      <c r="H37" s="108">
        <f t="shared" si="34"/>
        <v>0</v>
      </c>
      <c r="I37" s="108">
        <f t="shared" si="34"/>
        <v>0</v>
      </c>
      <c r="J37" s="108" t="e">
        <f t="shared" si="34"/>
        <v>#DIV/0!</v>
      </c>
      <c r="K37" s="108" t="e">
        <f t="shared" si="34"/>
        <v>#DIV/0!</v>
      </c>
      <c r="L37" s="108" t="e">
        <f t="shared" si="34"/>
        <v>#DIV/0!</v>
      </c>
      <c r="M37" s="108" t="e">
        <f t="shared" si="34"/>
        <v>#DIV/0!</v>
      </c>
      <c r="N37" s="108">
        <f t="shared" si="34"/>
        <v>0</v>
      </c>
      <c r="O37" s="110">
        <f t="shared" si="34"/>
        <v>0</v>
      </c>
      <c r="P37" s="110">
        <f t="shared" si="34"/>
        <v>0</v>
      </c>
      <c r="Q37" s="110" t="e">
        <f t="shared" si="34"/>
        <v>#DIV/0!</v>
      </c>
      <c r="R37" s="110">
        <f t="shared" si="34"/>
        <v>4.870506209399641E-3</v>
      </c>
      <c r="S37" s="110">
        <f t="shared" si="34"/>
        <v>1.0210461911817159E-2</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0.52336660644210675</v>
      </c>
      <c r="AC37" s="110">
        <f t="shared" si="34"/>
        <v>0.48747541176599857</v>
      </c>
      <c r="AD37" s="110">
        <f t="shared" si="34"/>
        <v>0.47886844899255249</v>
      </c>
      <c r="AE37" s="110">
        <f t="shared" si="34"/>
        <v>0.16855195186588082</v>
      </c>
      <c r="AF37" s="110">
        <f t="shared" si="34"/>
        <v>8.5814838365061138E-2</v>
      </c>
      <c r="AG37" s="110">
        <f t="shared" si="34"/>
        <v>0.47027388949165022</v>
      </c>
      <c r="AH37" s="110">
        <f t="shared" si="34"/>
        <v>1</v>
      </c>
      <c r="AI37" s="110">
        <f t="shared" si="34"/>
        <v>1</v>
      </c>
      <c r="AJ37" s="110">
        <f t="shared" si="34"/>
        <v>1</v>
      </c>
      <c r="AK37" s="110">
        <f t="shared" si="34"/>
        <v>0.7862791194699722</v>
      </c>
      <c r="AL37" s="110">
        <f t="shared" si="34"/>
        <v>0</v>
      </c>
      <c r="AM37" s="110">
        <f t="shared" si="34"/>
        <v>0</v>
      </c>
      <c r="AN37" s="110">
        <f t="shared" si="34"/>
        <v>0</v>
      </c>
      <c r="AO37" s="110">
        <f t="shared" si="34"/>
        <v>0</v>
      </c>
      <c r="AP37" s="110">
        <f t="shared" si="34"/>
        <v>5.5232696726072075E-2</v>
      </c>
      <c r="AQ37" s="110">
        <f t="shared" si="34"/>
        <v>3.5532718893718757E-2</v>
      </c>
      <c r="AR37" s="110">
        <f t="shared" si="34"/>
        <v>4.6035262813860257E-2</v>
      </c>
      <c r="AS37" s="110">
        <f t="shared" si="34"/>
        <v>4.9173123055159147E-2</v>
      </c>
      <c r="AT37" s="110">
        <f t="shared" si="34"/>
        <v>2.2646495477991423E-2</v>
      </c>
      <c r="AU37" s="110">
        <f t="shared" si="34"/>
        <v>2.6564258533102493E-3</v>
      </c>
      <c r="AV37" s="110">
        <f t="shared" si="34"/>
        <v>2.3454960600838271E-3</v>
      </c>
      <c r="AW37" s="110">
        <f t="shared" si="34"/>
        <v>1.9060044078457691E-3</v>
      </c>
      <c r="AX37" s="110">
        <f t="shared" si="34"/>
        <v>1.4974649829543737E-3</v>
      </c>
      <c r="AY37" s="110">
        <f t="shared" si="34"/>
        <v>1.4773730689456553E-3</v>
      </c>
      <c r="AZ37" s="110">
        <f t="shared" si="34"/>
        <v>1.4584302694390606E-3</v>
      </c>
      <c r="BA37" s="110">
        <f t="shared" si="34"/>
        <v>1.5081535014647501E-3</v>
      </c>
      <c r="BB37" s="110">
        <f t="shared" si="34"/>
        <v>1.4481385398958341E-3</v>
      </c>
      <c r="BC37" s="110">
        <f t="shared" si="34"/>
        <v>1.526802303953574E-3</v>
      </c>
      <c r="BD37" s="110">
        <f t="shared" si="34"/>
        <v>1.4918213546386105E-3</v>
      </c>
      <c r="BE37" s="110">
        <f t="shared" si="34"/>
        <v>1.4968144204169488E-3</v>
      </c>
      <c r="BF37" s="110">
        <f t="shared" si="34"/>
        <v>1.6752419274552537E-3</v>
      </c>
      <c r="BG37" s="110">
        <f t="shared" si="34"/>
        <v>1.6933021723524093E-3</v>
      </c>
      <c r="BH37" s="110">
        <f t="shared" si="34"/>
        <v>1.6382403393356908E-3</v>
      </c>
      <c r="BI37" s="110">
        <f t="shared" si="34"/>
        <v>1.6773466413454012E-3</v>
      </c>
      <c r="BJ37" s="110">
        <f t="shared" si="34"/>
        <v>3.3180244798024963E-2</v>
      </c>
      <c r="BK37" s="110">
        <f t="shared" si="34"/>
        <v>4.3175972597514038E-2</v>
      </c>
      <c r="BL37" s="110" t="e">
        <f t="shared" si="34"/>
        <v>#DIV/0!</v>
      </c>
      <c r="BM37" s="110">
        <f t="shared" si="34"/>
        <v>3.2798006564762297E-2</v>
      </c>
      <c r="BN37" s="110">
        <f t="shared" si="34"/>
        <v>1.5318058766832707E-3</v>
      </c>
      <c r="BO37" s="110">
        <f t="shared" si="34"/>
        <v>1.5215279081414166E-3</v>
      </c>
      <c r="BP37" s="110">
        <f t="shared" si="34"/>
        <v>1.578649742474395E-3</v>
      </c>
      <c r="BQ37" s="110">
        <f t="shared" si="34"/>
        <v>2.0032783373600065E-3</v>
      </c>
      <c r="BR37" s="110">
        <f t="shared" ref="BR37:CK37" si="35">BR11/BR12</f>
        <v>1.6711005965058593E-3</v>
      </c>
      <c r="BS37" s="110">
        <f t="shared" si="35"/>
        <v>1.9360978651442318E-3</v>
      </c>
      <c r="BT37" s="110">
        <f t="shared" si="35"/>
        <v>1.3164154395849453E-2</v>
      </c>
      <c r="BU37" s="110">
        <f t="shared" si="35"/>
        <v>2.0008109079707185E-2</v>
      </c>
      <c r="BV37" s="110">
        <f t="shared" si="35"/>
        <v>2.1236804809108022E-2</v>
      </c>
      <c r="BW37" s="110">
        <f t="shared" si="35"/>
        <v>4.4024568005867175E-2</v>
      </c>
      <c r="BX37" s="110">
        <f t="shared" si="35"/>
        <v>0.18119137246931202</v>
      </c>
      <c r="BY37" s="110">
        <f t="shared" si="35"/>
        <v>0.24373586735803104</v>
      </c>
      <c r="BZ37" s="110" t="e">
        <f t="shared" si="35"/>
        <v>#DIV/0!</v>
      </c>
      <c r="CA37" s="110">
        <f t="shared" si="35"/>
        <v>0.2439146432777167</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0.2065695704299301</v>
      </c>
      <c r="F39" s="223">
        <f t="shared" ref="F39:U39" si="37">F2/F9</f>
        <v>0.40362415549102842</v>
      </c>
      <c r="G39" s="223">
        <f t="shared" si="37"/>
        <v>0.47357843982827175</v>
      </c>
      <c r="H39" s="223">
        <f t="shared" si="37"/>
        <v>0.56961383544525934</v>
      </c>
      <c r="I39" s="223">
        <f t="shared" si="37"/>
        <v>0.61018154429605342</v>
      </c>
      <c r="J39" s="223">
        <f t="shared" si="37"/>
        <v>0.31976426512882461</v>
      </c>
      <c r="K39" s="223">
        <f t="shared" si="37"/>
        <v>0.33910243502146886</v>
      </c>
      <c r="L39" s="223">
        <f t="shared" si="37"/>
        <v>0.37361402183096604</v>
      </c>
      <c r="M39" s="223">
        <f t="shared" si="37"/>
        <v>0.52219936371045861</v>
      </c>
      <c r="N39" s="223">
        <f t="shared" si="37"/>
        <v>0.71354436704706337</v>
      </c>
      <c r="O39" s="223">
        <f t="shared" si="37"/>
        <v>0.53523563694637022</v>
      </c>
      <c r="P39" s="223">
        <f t="shared" si="37"/>
        <v>0.40266197824640265</v>
      </c>
      <c r="Q39" s="223">
        <f t="shared" si="37"/>
        <v>0.60743320493531272</v>
      </c>
      <c r="R39" s="223">
        <f t="shared" si="37"/>
        <v>0.47336252366580617</v>
      </c>
      <c r="S39" s="223">
        <f t="shared" si="37"/>
        <v>0.4565790555260229</v>
      </c>
      <c r="T39" s="223">
        <f t="shared" si="37"/>
        <v>0.35480301477182641</v>
      </c>
      <c r="U39" s="223">
        <f t="shared" si="37"/>
        <v>0.36092042872188052</v>
      </c>
    </row>
    <row r="40" spans="1:89" s="224" customFormat="1" x14ac:dyDescent="0.25">
      <c r="A40" s="221" t="s">
        <v>554</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4.4805508635324627E-4</v>
      </c>
      <c r="O40" s="223">
        <f t="shared" si="38"/>
        <v>5.05273580534026E-4</v>
      </c>
      <c r="P40" s="223">
        <f t="shared" si="38"/>
        <v>4.9955291425949938E-4</v>
      </c>
      <c r="Q40" s="223">
        <f t="shared" si="38"/>
        <v>5.5246778436842856E-4</v>
      </c>
      <c r="R40" s="223">
        <f t="shared" si="38"/>
        <v>6.2731771852180961E-4</v>
      </c>
      <c r="S40" s="223">
        <f t="shared" si="38"/>
        <v>9.6498618635448797E-4</v>
      </c>
      <c r="T40" s="223">
        <f t="shared" si="38"/>
        <v>9.6267255383257466E-4</v>
      </c>
      <c r="U40" s="223">
        <f t="shared" si="38"/>
        <v>1.0064177028340051E-3</v>
      </c>
    </row>
    <row r="41" spans="1:89" x14ac:dyDescent="0.25">
      <c r="A41" s="183" t="s">
        <v>559</v>
      </c>
      <c r="B41" s="64"/>
      <c r="C41" s="64"/>
      <c r="D41" s="64"/>
      <c r="E41" s="90">
        <f>E4/E9</f>
        <v>0.58744133002563059</v>
      </c>
      <c r="F41" s="90">
        <f t="shared" ref="F41:U41" si="39">F4/F9</f>
        <v>0.3925647674658882</v>
      </c>
      <c r="G41" s="90">
        <f t="shared" si="39"/>
        <v>0.31456557366386934</v>
      </c>
      <c r="H41" s="90">
        <f t="shared" si="39"/>
        <v>0.21998301601691839</v>
      </c>
      <c r="I41" s="90">
        <f t="shared" si="39"/>
        <v>0.18105028537781476</v>
      </c>
      <c r="J41" s="90">
        <f t="shared" si="39"/>
        <v>0.45691987284192925</v>
      </c>
      <c r="K41" s="90">
        <f t="shared" si="39"/>
        <v>0.42298518200118657</v>
      </c>
      <c r="L41" s="90">
        <f t="shared" si="39"/>
        <v>0.3875142725779403</v>
      </c>
      <c r="M41" s="90">
        <f t="shared" si="39"/>
        <v>0.22690852907250253</v>
      </c>
      <c r="N41" s="213">
        <f t="shared" si="39"/>
        <v>3.103271415946969E-2</v>
      </c>
      <c r="O41" s="213">
        <f t="shared" si="39"/>
        <v>0.19121113326306163</v>
      </c>
      <c r="P41" s="213">
        <f t="shared" si="39"/>
        <v>0.32539461000580466</v>
      </c>
      <c r="Q41" s="213">
        <f t="shared" si="39"/>
        <v>0.10015302571667445</v>
      </c>
      <c r="R41" s="213">
        <f t="shared" si="39"/>
        <v>0.20942902558640991</v>
      </c>
      <c r="S41" s="213">
        <f t="shared" si="39"/>
        <v>0.21222534411205263</v>
      </c>
      <c r="T41" s="213">
        <f t="shared" si="39"/>
        <v>0.30735432697554621</v>
      </c>
      <c r="U41" s="213">
        <f t="shared" si="39"/>
        <v>0.28871882983045</v>
      </c>
    </row>
    <row r="42" spans="1:89" x14ac:dyDescent="0.25">
      <c r="A42" s="183" t="s">
        <v>335</v>
      </c>
      <c r="B42" s="64"/>
      <c r="C42" s="64"/>
      <c r="D42" s="64"/>
      <c r="E42" s="90">
        <f>E5/E9</f>
        <v>2.1555688238734922</v>
      </c>
      <c r="F42" s="90">
        <f t="shared" ref="F42:U42" si="40">F5/F9</f>
        <v>1.7249313435429232</v>
      </c>
      <c r="G42" s="90">
        <f t="shared" si="40"/>
        <v>1.8051037100445513</v>
      </c>
      <c r="H42" s="90">
        <f t="shared" si="40"/>
        <v>1.6708100079819028</v>
      </c>
      <c r="I42" s="90">
        <f t="shared" si="40"/>
        <v>1.8217873578299091</v>
      </c>
      <c r="J42" s="90">
        <f t="shared" si="40"/>
        <v>1.9181567853633961</v>
      </c>
      <c r="K42" s="90">
        <f t="shared" si="40"/>
        <v>1.8647910944415926</v>
      </c>
      <c r="L42" s="90">
        <f t="shared" si="40"/>
        <v>1.7256594820948763</v>
      </c>
      <c r="M42" s="90">
        <f t="shared" si="40"/>
        <v>1.6136144739383051</v>
      </c>
      <c r="N42" s="213">
        <f t="shared" si="40"/>
        <v>1.2039668214518044</v>
      </c>
      <c r="O42" s="213">
        <f t="shared" si="40"/>
        <v>1.2723025462669477</v>
      </c>
      <c r="P42" s="213">
        <f t="shared" si="40"/>
        <v>1.4178017720181599</v>
      </c>
      <c r="Q42" s="213">
        <f t="shared" si="40"/>
        <v>1.305487166846149</v>
      </c>
      <c r="R42" s="213">
        <f t="shared" si="40"/>
        <v>1.3025459733980109</v>
      </c>
      <c r="S42" s="213">
        <f t="shared" si="40"/>
        <v>1.2446250739495006</v>
      </c>
      <c r="T42" s="213">
        <f t="shared" si="40"/>
        <v>1.2461044167994586</v>
      </c>
      <c r="U42" s="213">
        <f t="shared" si="40"/>
        <v>1.3151687258910814</v>
      </c>
    </row>
    <row r="43" spans="1:89" x14ac:dyDescent="0.25">
      <c r="A43" s="183" t="s">
        <v>336</v>
      </c>
      <c r="B43" s="64"/>
      <c r="C43" s="64"/>
      <c r="D43" s="64"/>
      <c r="E43" s="90">
        <f>E6/E9</f>
        <v>1.5681274938478615</v>
      </c>
      <c r="F43" s="90">
        <f t="shared" ref="F43:U43" si="41">F6/F9</f>
        <v>1.3323665760770349</v>
      </c>
      <c r="G43" s="90">
        <f t="shared" si="41"/>
        <v>1.490538136380682</v>
      </c>
      <c r="H43" s="90">
        <f t="shared" si="41"/>
        <v>1.4508269919649843</v>
      </c>
      <c r="I43" s="90">
        <f t="shared" si="41"/>
        <v>1.6407370724520942</v>
      </c>
      <c r="J43" s="90">
        <f t="shared" si="41"/>
        <v>1.4612369125214668</v>
      </c>
      <c r="K43" s="90">
        <f t="shared" si="41"/>
        <v>1.4418059124404061</v>
      </c>
      <c r="L43" s="90">
        <f t="shared" si="41"/>
        <v>1.3381452095169359</v>
      </c>
      <c r="M43" s="90">
        <f t="shared" si="41"/>
        <v>1.3867059448658028</v>
      </c>
      <c r="N43" s="213">
        <f t="shared" si="41"/>
        <v>1.1729341072923347</v>
      </c>
      <c r="O43" s="213">
        <f t="shared" si="41"/>
        <v>1.081091413003886</v>
      </c>
      <c r="P43" s="213">
        <f t="shared" si="41"/>
        <v>1.0924071620123552</v>
      </c>
      <c r="Q43" s="213">
        <f t="shared" si="41"/>
        <v>1.2053341411294745</v>
      </c>
      <c r="R43" s="213">
        <f t="shared" si="41"/>
        <v>1.093116947811601</v>
      </c>
      <c r="S43" s="213">
        <f t="shared" si="41"/>
        <v>1.0323997298374479</v>
      </c>
      <c r="T43" s="213">
        <f t="shared" si="41"/>
        <v>0.9387500898239125</v>
      </c>
      <c r="U43" s="213">
        <f t="shared" si="41"/>
        <v>1.0264498960606314</v>
      </c>
    </row>
    <row r="44" spans="1:89" x14ac:dyDescent="0.25">
      <c r="A44" s="183" t="s">
        <v>337</v>
      </c>
      <c r="B44" s="64"/>
      <c r="C44" s="64"/>
      <c r="D44" s="64"/>
      <c r="E44" s="90">
        <f>E7/E9</f>
        <v>0.20598909954443939</v>
      </c>
      <c r="F44" s="90">
        <f t="shared" ref="F44:U44" si="42">F7/F9</f>
        <v>0.20381107704308332</v>
      </c>
      <c r="G44" s="90">
        <f t="shared" si="42"/>
        <v>0.21185598650785897</v>
      </c>
      <c r="H44" s="90">
        <f t="shared" si="42"/>
        <v>0.21040314853782227</v>
      </c>
      <c r="I44" s="90">
        <f t="shared" si="42"/>
        <v>0.20876817032613179</v>
      </c>
      <c r="J44" s="90">
        <f t="shared" si="42"/>
        <v>0.22331586202924611</v>
      </c>
      <c r="K44" s="90">
        <f t="shared" si="42"/>
        <v>0.23791238297734463</v>
      </c>
      <c r="L44" s="90">
        <f t="shared" si="42"/>
        <v>0.23887170559109377</v>
      </c>
      <c r="M44" s="90">
        <f t="shared" si="42"/>
        <v>0.25089210721703886</v>
      </c>
      <c r="N44" s="213">
        <f t="shared" si="42"/>
        <v>0.25497486370711364</v>
      </c>
      <c r="O44" s="213">
        <f t="shared" si="42"/>
        <v>0.27304795621003414</v>
      </c>
      <c r="P44" s="213">
        <f t="shared" si="42"/>
        <v>0.27144385883353311</v>
      </c>
      <c r="Q44" s="213">
        <f t="shared" si="42"/>
        <v>0.29186130156364459</v>
      </c>
      <c r="R44" s="213">
        <f t="shared" si="42"/>
        <v>0.31658113302926216</v>
      </c>
      <c r="S44" s="213">
        <f t="shared" si="42"/>
        <v>0.33023061417556987</v>
      </c>
      <c r="T44" s="213">
        <f t="shared" si="42"/>
        <v>0.33687998569879479</v>
      </c>
      <c r="U44" s="213">
        <f t="shared" si="42"/>
        <v>0.34935432374483549</v>
      </c>
    </row>
    <row r="45" spans="1:89" s="224" customFormat="1" x14ac:dyDescent="0.25">
      <c r="A45" s="221" t="s">
        <v>338</v>
      </c>
      <c r="B45" s="222"/>
      <c r="C45" s="222"/>
      <c r="D45" s="222"/>
      <c r="E45" s="223">
        <f>E8/E9</f>
        <v>0.79343042957006993</v>
      </c>
      <c r="F45" s="223">
        <f t="shared" ref="F45:U45" si="43">F8/F9</f>
        <v>0.59637584450897152</v>
      </c>
      <c r="G45" s="223">
        <f t="shared" si="43"/>
        <v>0.52642156017172836</v>
      </c>
      <c r="H45" s="223">
        <f t="shared" si="43"/>
        <v>0.43038616455474066</v>
      </c>
      <c r="I45" s="223">
        <f t="shared" si="43"/>
        <v>0.38981845570394652</v>
      </c>
      <c r="J45" s="223">
        <f t="shared" si="43"/>
        <v>0.68023573487117539</v>
      </c>
      <c r="K45" s="223">
        <f t="shared" si="43"/>
        <v>0.66089756497853125</v>
      </c>
      <c r="L45" s="223">
        <f t="shared" si="43"/>
        <v>0.62638597816903407</v>
      </c>
      <c r="M45" s="223">
        <f t="shared" si="43"/>
        <v>0.47780063628954134</v>
      </c>
      <c r="N45" s="223">
        <f t="shared" si="43"/>
        <v>0.28600757786658332</v>
      </c>
      <c r="O45" s="223">
        <f t="shared" si="43"/>
        <v>0.46425908947309569</v>
      </c>
      <c r="P45" s="223">
        <f t="shared" si="43"/>
        <v>0.59683846883933778</v>
      </c>
      <c r="Q45" s="223">
        <f t="shared" si="43"/>
        <v>0.39201432728031904</v>
      </c>
      <c r="R45" s="223">
        <f t="shared" si="43"/>
        <v>0.52601015861567213</v>
      </c>
      <c r="S45" s="223">
        <f t="shared" si="43"/>
        <v>0.5424559582876225</v>
      </c>
      <c r="T45" s="223">
        <f t="shared" si="43"/>
        <v>0.64423431267434095</v>
      </c>
      <c r="U45" s="223">
        <f t="shared" si="43"/>
        <v>0.63807315357528549</v>
      </c>
    </row>
    <row r="46" spans="1:89" x14ac:dyDescent="0.25">
      <c r="A46" s="184"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90">
        <f>E10/E14</f>
        <v>9.7959134546379036E-3</v>
      </c>
      <c r="F47" s="90">
        <f t="shared" ref="F47:U47" si="45">F10/F14</f>
        <v>1.875706400854114E-2</v>
      </c>
      <c r="G47" s="90">
        <f t="shared" si="45"/>
        <v>2.2695522141883622E-2</v>
      </c>
      <c r="H47" s="90">
        <f t="shared" si="45"/>
        <v>1.6441629192663933E-2</v>
      </c>
      <c r="I47" s="90">
        <f t="shared" si="45"/>
        <v>2.57017002603902E-2</v>
      </c>
      <c r="J47" s="90">
        <f t="shared" si="45"/>
        <v>0</v>
      </c>
      <c r="K47" s="90">
        <f t="shared" si="45"/>
        <v>0</v>
      </c>
      <c r="L47" s="90">
        <f t="shared" si="45"/>
        <v>0</v>
      </c>
      <c r="M47" s="90">
        <f t="shared" si="45"/>
        <v>0</v>
      </c>
      <c r="N47" s="213">
        <f t="shared" si="45"/>
        <v>1.7225725082113365E-2</v>
      </c>
      <c r="O47" s="213">
        <f t="shared" si="45"/>
        <v>2.8230770047497091E-3</v>
      </c>
      <c r="P47" s="213">
        <f t="shared" si="45"/>
        <v>2.0910695536510544E-2</v>
      </c>
      <c r="Q47" s="213">
        <f t="shared" si="45"/>
        <v>0</v>
      </c>
      <c r="R47" s="213">
        <f t="shared" si="45"/>
        <v>1.9863951690890894E-2</v>
      </c>
      <c r="S47" s="213">
        <f t="shared" si="45"/>
        <v>1.0515890003966242E-2</v>
      </c>
      <c r="T47" s="213">
        <f t="shared" si="45"/>
        <v>0</v>
      </c>
      <c r="U47" s="213">
        <f t="shared" si="45"/>
        <v>0</v>
      </c>
    </row>
    <row r="48" spans="1:89" x14ac:dyDescent="0.25">
      <c r="A48" s="183"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9.7221015613930379E-5</v>
      </c>
      <c r="S48" s="213">
        <f t="shared" si="46"/>
        <v>1.0847972242841593E-4</v>
      </c>
      <c r="T48" s="213">
        <f t="shared" si="46"/>
        <v>1.145839917842628E-4</v>
      </c>
      <c r="U48" s="213">
        <f t="shared" si="46"/>
        <v>1.2496844300712392E-4</v>
      </c>
    </row>
    <row r="49" spans="1:21" x14ac:dyDescent="0.25">
      <c r="A49" s="183" t="s">
        <v>342</v>
      </c>
      <c r="B49" s="64"/>
      <c r="C49" s="64"/>
      <c r="D49" s="64"/>
      <c r="E49" s="90">
        <f>E12/E14</f>
        <v>9.7959134546379036E-3</v>
      </c>
      <c r="F49" s="90">
        <f t="shared" ref="F49:U49" si="47">F12/F14</f>
        <v>1.875706400854114E-2</v>
      </c>
      <c r="G49" s="90">
        <f t="shared" si="47"/>
        <v>2.2695522141883622E-2</v>
      </c>
      <c r="H49" s="90">
        <f t="shared" si="47"/>
        <v>1.6441629192663933E-2</v>
      </c>
      <c r="I49" s="90">
        <f t="shared" si="47"/>
        <v>2.57017002603902E-2</v>
      </c>
      <c r="J49" s="90">
        <f t="shared" si="47"/>
        <v>0</v>
      </c>
      <c r="K49" s="90">
        <f t="shared" si="47"/>
        <v>0</v>
      </c>
      <c r="L49" s="90">
        <f t="shared" si="47"/>
        <v>0</v>
      </c>
      <c r="M49" s="90">
        <f t="shared" si="47"/>
        <v>0</v>
      </c>
      <c r="N49" s="213">
        <f t="shared" si="47"/>
        <v>1.7225725082113365E-2</v>
      </c>
      <c r="O49" s="213">
        <f t="shared" si="47"/>
        <v>2.8230770047497091E-3</v>
      </c>
      <c r="P49" s="213">
        <f t="shared" si="47"/>
        <v>2.0910695536510544E-2</v>
      </c>
      <c r="Q49" s="213">
        <f t="shared" si="47"/>
        <v>0</v>
      </c>
      <c r="R49" s="213">
        <f t="shared" si="47"/>
        <v>1.9961172706504826E-2</v>
      </c>
      <c r="S49" s="213">
        <f t="shared" si="47"/>
        <v>1.0624369726394658E-2</v>
      </c>
      <c r="T49" s="213">
        <f t="shared" si="47"/>
        <v>1.145839917842628E-4</v>
      </c>
      <c r="U49" s="213">
        <f t="shared" si="47"/>
        <v>1.2496844300712392E-4</v>
      </c>
    </row>
    <row r="50" spans="1:21" x14ac:dyDescent="0.25">
      <c r="A50" s="183" t="s">
        <v>346</v>
      </c>
      <c r="B50" s="64"/>
      <c r="C50" s="64"/>
      <c r="D50" s="64"/>
      <c r="E50" s="90">
        <f>E13/E14</f>
        <v>0.99020408654536207</v>
      </c>
      <c r="F50" s="90">
        <f t="shared" ref="F50:U50" si="48">F13/F14</f>
        <v>0.98124293599145884</v>
      </c>
      <c r="G50" s="90">
        <f t="shared" si="48"/>
        <v>0.97730447785811636</v>
      </c>
      <c r="H50" s="90">
        <f t="shared" si="48"/>
        <v>0.9835583708073361</v>
      </c>
      <c r="I50" s="90">
        <f t="shared" si="48"/>
        <v>0.9742982997396098</v>
      </c>
      <c r="J50" s="90">
        <f t="shared" si="48"/>
        <v>1</v>
      </c>
      <c r="K50" s="90">
        <f t="shared" si="48"/>
        <v>1</v>
      </c>
      <c r="L50" s="90">
        <f t="shared" si="48"/>
        <v>1</v>
      </c>
      <c r="M50" s="90">
        <f t="shared" si="48"/>
        <v>1</v>
      </c>
      <c r="N50" s="213">
        <f t="shared" si="48"/>
        <v>0.98277427491788671</v>
      </c>
      <c r="O50" s="213">
        <f t="shared" si="48"/>
        <v>0.99717692299525029</v>
      </c>
      <c r="P50" s="213">
        <f t="shared" si="48"/>
        <v>0.97908930446348941</v>
      </c>
      <c r="Q50" s="213">
        <f t="shared" si="48"/>
        <v>1</v>
      </c>
      <c r="R50" s="213">
        <f t="shared" si="48"/>
        <v>0.98003882729349523</v>
      </c>
      <c r="S50" s="213">
        <f t="shared" si="48"/>
        <v>0.98937563027360531</v>
      </c>
      <c r="T50" s="213">
        <f t="shared" si="48"/>
        <v>0.99988541600821579</v>
      </c>
      <c r="U50" s="213">
        <f t="shared" si="48"/>
        <v>0.99987503155699287</v>
      </c>
    </row>
    <row r="51" spans="1:21" x14ac:dyDescent="0.25">
      <c r="A51" s="184"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0.2065695704299301</v>
      </c>
      <c r="F55" s="213">
        <f t="shared" ref="F55:U55" si="51">F2/F9</f>
        <v>0.40362415549102842</v>
      </c>
      <c r="G55" s="213">
        <f t="shared" si="51"/>
        <v>0.47357843982827175</v>
      </c>
      <c r="H55" s="213">
        <f t="shared" si="51"/>
        <v>0.56961383544525934</v>
      </c>
      <c r="I55" s="213">
        <f t="shared" si="51"/>
        <v>0.61018154429605342</v>
      </c>
      <c r="J55" s="213">
        <f t="shared" si="51"/>
        <v>0.31976426512882461</v>
      </c>
      <c r="K55" s="213">
        <f t="shared" si="51"/>
        <v>0.33910243502146886</v>
      </c>
      <c r="L55" s="213">
        <f t="shared" si="51"/>
        <v>0.37361402183096604</v>
      </c>
      <c r="M55" s="213">
        <f t="shared" si="51"/>
        <v>0.52219936371045861</v>
      </c>
      <c r="N55" s="213">
        <f t="shared" si="51"/>
        <v>0.71354436704706337</v>
      </c>
      <c r="O55" s="213">
        <f t="shared" si="51"/>
        <v>0.53523563694637022</v>
      </c>
      <c r="P55" s="213">
        <f t="shared" si="51"/>
        <v>0.40266197824640265</v>
      </c>
      <c r="Q55" s="213">
        <f t="shared" si="51"/>
        <v>0.60743320493531272</v>
      </c>
      <c r="R55" s="213">
        <f t="shared" si="51"/>
        <v>0.47336252366580617</v>
      </c>
      <c r="S55" s="213">
        <f t="shared" si="51"/>
        <v>0.4565790555260229</v>
      </c>
      <c r="T55" s="213">
        <f t="shared" si="51"/>
        <v>0.35480301477182641</v>
      </c>
      <c r="U55" s="213">
        <f t="shared" si="51"/>
        <v>0.36092042872188052</v>
      </c>
    </row>
    <row r="56" spans="1:21" x14ac:dyDescent="0.25">
      <c r="A56" s="183" t="s">
        <v>647</v>
      </c>
      <c r="B56" s="64"/>
      <c r="C56" s="64"/>
      <c r="D56" s="64"/>
      <c r="E56" s="213">
        <f>E4/E9</f>
        <v>0.58744133002563059</v>
      </c>
      <c r="F56" s="213">
        <f t="shared" ref="F56:U56" si="52">F4/F9</f>
        <v>0.3925647674658882</v>
      </c>
      <c r="G56" s="213">
        <f t="shared" si="52"/>
        <v>0.31456557366386934</v>
      </c>
      <c r="H56" s="213">
        <f t="shared" si="52"/>
        <v>0.21998301601691839</v>
      </c>
      <c r="I56" s="213">
        <f t="shared" si="52"/>
        <v>0.18105028537781476</v>
      </c>
      <c r="J56" s="213">
        <f t="shared" si="52"/>
        <v>0.45691987284192925</v>
      </c>
      <c r="K56" s="213">
        <f t="shared" si="52"/>
        <v>0.42298518200118657</v>
      </c>
      <c r="L56" s="213">
        <f t="shared" si="52"/>
        <v>0.3875142725779403</v>
      </c>
      <c r="M56" s="213">
        <f t="shared" si="52"/>
        <v>0.22690852907250253</v>
      </c>
      <c r="N56" s="213">
        <f t="shared" si="52"/>
        <v>3.103271415946969E-2</v>
      </c>
      <c r="O56" s="213">
        <f t="shared" si="52"/>
        <v>0.19121113326306163</v>
      </c>
      <c r="P56" s="213">
        <f t="shared" si="52"/>
        <v>0.32539461000580466</v>
      </c>
      <c r="Q56" s="213">
        <f t="shared" si="52"/>
        <v>0.10015302571667445</v>
      </c>
      <c r="R56" s="213">
        <f t="shared" si="52"/>
        <v>0.20942902558640991</v>
      </c>
      <c r="S56" s="213">
        <f t="shared" si="52"/>
        <v>0.21222534411205263</v>
      </c>
      <c r="T56" s="213">
        <f t="shared" si="52"/>
        <v>0.30735432697554621</v>
      </c>
      <c r="U56" s="213">
        <f t="shared" si="52"/>
        <v>0.28871882983045</v>
      </c>
    </row>
    <row r="57" spans="1:21" x14ac:dyDescent="0.25">
      <c r="A57" s="183" t="s">
        <v>648</v>
      </c>
      <c r="B57" s="64"/>
      <c r="C57" s="64"/>
      <c r="D57" s="64"/>
      <c r="E57" s="213">
        <f>E5/E9</f>
        <v>2.1555688238734922</v>
      </c>
      <c r="F57" s="213">
        <f t="shared" ref="F57:U57" si="53">F5/F9</f>
        <v>1.7249313435429232</v>
      </c>
      <c r="G57" s="213">
        <f t="shared" si="53"/>
        <v>1.8051037100445513</v>
      </c>
      <c r="H57" s="213">
        <f t="shared" si="53"/>
        <v>1.6708100079819028</v>
      </c>
      <c r="I57" s="213">
        <f t="shared" si="53"/>
        <v>1.8217873578299091</v>
      </c>
      <c r="J57" s="213">
        <f t="shared" si="53"/>
        <v>1.9181567853633961</v>
      </c>
      <c r="K57" s="213">
        <f t="shared" si="53"/>
        <v>1.8647910944415926</v>
      </c>
      <c r="L57" s="213">
        <f t="shared" si="53"/>
        <v>1.7256594820948763</v>
      </c>
      <c r="M57" s="213">
        <f t="shared" si="53"/>
        <v>1.6136144739383051</v>
      </c>
      <c r="N57" s="213">
        <f t="shared" si="53"/>
        <v>1.2039668214518044</v>
      </c>
      <c r="O57" s="213">
        <f t="shared" si="53"/>
        <v>1.2723025462669477</v>
      </c>
      <c r="P57" s="213">
        <f t="shared" si="53"/>
        <v>1.4178017720181599</v>
      </c>
      <c r="Q57" s="213">
        <f t="shared" si="53"/>
        <v>1.305487166846149</v>
      </c>
      <c r="R57" s="213">
        <f t="shared" si="53"/>
        <v>1.3025459733980109</v>
      </c>
      <c r="S57" s="213">
        <f t="shared" si="53"/>
        <v>1.2446250739495006</v>
      </c>
      <c r="T57" s="213">
        <f t="shared" si="53"/>
        <v>1.2461044167994586</v>
      </c>
      <c r="U57" s="213">
        <f t="shared" si="53"/>
        <v>1.3151687258910814</v>
      </c>
    </row>
    <row r="58" spans="1:21" x14ac:dyDescent="0.25">
      <c r="A58" s="183" t="s">
        <v>649</v>
      </c>
      <c r="B58" s="64"/>
      <c r="C58" s="64"/>
      <c r="D58" s="64"/>
      <c r="E58" s="213">
        <f>E6/E9</f>
        <v>1.5681274938478615</v>
      </c>
      <c r="F58" s="213">
        <f t="shared" ref="F58:U58" si="54">F6/F9</f>
        <v>1.3323665760770349</v>
      </c>
      <c r="G58" s="213">
        <f t="shared" si="54"/>
        <v>1.490538136380682</v>
      </c>
      <c r="H58" s="213">
        <f t="shared" si="54"/>
        <v>1.4508269919649843</v>
      </c>
      <c r="I58" s="213">
        <f t="shared" si="54"/>
        <v>1.6407370724520942</v>
      </c>
      <c r="J58" s="213">
        <f t="shared" si="54"/>
        <v>1.4612369125214668</v>
      </c>
      <c r="K58" s="213">
        <f t="shared" si="54"/>
        <v>1.4418059124404061</v>
      </c>
      <c r="L58" s="213">
        <f t="shared" si="54"/>
        <v>1.3381452095169359</v>
      </c>
      <c r="M58" s="213">
        <f t="shared" si="54"/>
        <v>1.3867059448658028</v>
      </c>
      <c r="N58" s="213">
        <f t="shared" si="54"/>
        <v>1.1729341072923347</v>
      </c>
      <c r="O58" s="213">
        <f t="shared" si="54"/>
        <v>1.081091413003886</v>
      </c>
      <c r="P58" s="213">
        <f t="shared" si="54"/>
        <v>1.0924071620123552</v>
      </c>
      <c r="Q58" s="213">
        <f t="shared" si="54"/>
        <v>1.2053341411294745</v>
      </c>
      <c r="R58" s="213">
        <f t="shared" si="54"/>
        <v>1.093116947811601</v>
      </c>
      <c r="S58" s="213">
        <f t="shared" si="54"/>
        <v>1.0323997298374479</v>
      </c>
      <c r="T58" s="213">
        <f t="shared" si="54"/>
        <v>0.9387500898239125</v>
      </c>
      <c r="U58" s="213">
        <f t="shared" si="54"/>
        <v>1.0264498960606314</v>
      </c>
    </row>
    <row r="59" spans="1:21" s="224" customFormat="1" x14ac:dyDescent="0.25">
      <c r="A59" s="226" t="s">
        <v>643</v>
      </c>
      <c r="B59" s="222"/>
      <c r="C59" s="222"/>
      <c r="D59" s="222"/>
      <c r="E59" s="223">
        <f>E55+E56</f>
        <v>0.79401090045556066</v>
      </c>
      <c r="F59" s="223">
        <f t="shared" ref="F59:U59" si="55">F55+F56</f>
        <v>0.79618892295691657</v>
      </c>
      <c r="G59" s="223">
        <f t="shared" si="55"/>
        <v>0.78814401349214114</v>
      </c>
      <c r="H59" s="223">
        <f t="shared" si="55"/>
        <v>0.78959685146217773</v>
      </c>
      <c r="I59" s="223">
        <f t="shared" si="55"/>
        <v>0.79123182967386818</v>
      </c>
      <c r="J59" s="223">
        <f t="shared" si="55"/>
        <v>0.77668413797075386</v>
      </c>
      <c r="K59" s="223">
        <f t="shared" si="55"/>
        <v>0.76208761702265537</v>
      </c>
      <c r="L59" s="223">
        <f t="shared" si="55"/>
        <v>0.76112829440890639</v>
      </c>
      <c r="M59" s="223">
        <f t="shared" si="55"/>
        <v>0.74910789278296108</v>
      </c>
      <c r="N59" s="223">
        <f t="shared" si="55"/>
        <v>0.7445770812065331</v>
      </c>
      <c r="O59" s="223">
        <f t="shared" si="55"/>
        <v>0.72644677020943182</v>
      </c>
      <c r="P59" s="223">
        <f t="shared" si="55"/>
        <v>0.72805658825220732</v>
      </c>
      <c r="Q59" s="223">
        <f t="shared" si="55"/>
        <v>0.70758623065198711</v>
      </c>
      <c r="R59" s="223">
        <f t="shared" si="55"/>
        <v>0.68279154925221608</v>
      </c>
      <c r="S59" s="223">
        <f t="shared" si="55"/>
        <v>0.66880439963807548</v>
      </c>
      <c r="T59" s="223">
        <f t="shared" si="55"/>
        <v>0.66215734174737262</v>
      </c>
      <c r="U59" s="223">
        <f t="shared" si="55"/>
        <v>0.64963925855233051</v>
      </c>
    </row>
    <row r="60" spans="1:21" x14ac:dyDescent="0.25">
      <c r="A60" s="183" t="s">
        <v>650</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4.4805508635324627E-4</v>
      </c>
      <c r="O60" s="213">
        <f t="shared" si="56"/>
        <v>5.05273580534026E-4</v>
      </c>
      <c r="P60" s="213">
        <f t="shared" si="56"/>
        <v>4.9955291425949938E-4</v>
      </c>
      <c r="Q60" s="213">
        <f t="shared" si="56"/>
        <v>5.5246778436842856E-4</v>
      </c>
      <c r="R60" s="213">
        <f t="shared" si="56"/>
        <v>6.2731771852180961E-4</v>
      </c>
      <c r="S60" s="213">
        <f t="shared" si="56"/>
        <v>9.6498618635448797E-4</v>
      </c>
      <c r="T60" s="213">
        <f t="shared" si="56"/>
        <v>9.6267255383257466E-4</v>
      </c>
      <c r="U60" s="213">
        <f t="shared" si="56"/>
        <v>1.0064177028340051E-3</v>
      </c>
    </row>
    <row r="61" spans="1:21" x14ac:dyDescent="0.25">
      <c r="A61" s="183" t="s">
        <v>651</v>
      </c>
      <c r="B61" s="64"/>
      <c r="C61" s="64"/>
      <c r="D61" s="64"/>
      <c r="E61" s="213">
        <f>E7/E9</f>
        <v>0.20598909954443939</v>
      </c>
      <c r="F61" s="213">
        <f t="shared" ref="F61:U61" si="57">F7/F9</f>
        <v>0.20381107704308332</v>
      </c>
      <c r="G61" s="213">
        <f t="shared" si="57"/>
        <v>0.21185598650785897</v>
      </c>
      <c r="H61" s="213">
        <f t="shared" si="57"/>
        <v>0.21040314853782227</v>
      </c>
      <c r="I61" s="213">
        <f t="shared" si="57"/>
        <v>0.20876817032613179</v>
      </c>
      <c r="J61" s="213">
        <f t="shared" si="57"/>
        <v>0.22331586202924611</v>
      </c>
      <c r="K61" s="213">
        <f t="shared" si="57"/>
        <v>0.23791238297734463</v>
      </c>
      <c r="L61" s="213">
        <f t="shared" si="57"/>
        <v>0.23887170559109377</v>
      </c>
      <c r="M61" s="213">
        <f t="shared" si="57"/>
        <v>0.25089210721703886</v>
      </c>
      <c r="N61" s="213">
        <f t="shared" si="57"/>
        <v>0.25497486370711364</v>
      </c>
      <c r="O61" s="213">
        <f t="shared" si="57"/>
        <v>0.27304795621003414</v>
      </c>
      <c r="P61" s="213">
        <f t="shared" si="57"/>
        <v>0.27144385883353311</v>
      </c>
      <c r="Q61" s="213">
        <f t="shared" si="57"/>
        <v>0.29186130156364459</v>
      </c>
      <c r="R61" s="213">
        <f t="shared" si="57"/>
        <v>0.31658113302926216</v>
      </c>
      <c r="S61" s="213">
        <f t="shared" si="57"/>
        <v>0.33023061417556987</v>
      </c>
      <c r="T61" s="213">
        <f t="shared" si="57"/>
        <v>0.33687998569879479</v>
      </c>
      <c r="U61" s="213">
        <f t="shared" si="57"/>
        <v>0.34935432374483549</v>
      </c>
    </row>
    <row r="62" spans="1:21" s="224" customFormat="1" x14ac:dyDescent="0.25">
      <c r="A62" s="226" t="s">
        <v>644</v>
      </c>
      <c r="B62" s="222"/>
      <c r="C62" s="222"/>
      <c r="D62" s="222"/>
      <c r="E62" s="223">
        <f>E60+E61</f>
        <v>0.20598909954443939</v>
      </c>
      <c r="F62" s="223">
        <f t="shared" ref="F62:M62" si="58">F60+F61</f>
        <v>0.20381107704308332</v>
      </c>
      <c r="G62" s="223">
        <f t="shared" si="58"/>
        <v>0.21185598650785897</v>
      </c>
      <c r="H62" s="223">
        <f t="shared" si="58"/>
        <v>0.21040314853782227</v>
      </c>
      <c r="I62" s="223">
        <f t="shared" si="58"/>
        <v>0.20876817032613179</v>
      </c>
      <c r="J62" s="223">
        <f t="shared" si="58"/>
        <v>0.22331586202924611</v>
      </c>
      <c r="K62" s="223">
        <f t="shared" si="58"/>
        <v>0.23791238297734463</v>
      </c>
      <c r="L62" s="223">
        <f t="shared" si="58"/>
        <v>0.23887170559109377</v>
      </c>
      <c r="M62" s="223">
        <f t="shared" si="58"/>
        <v>0.25089210721703886</v>
      </c>
      <c r="N62" s="223">
        <f t="shared" ref="N62" si="59">N60+N61</f>
        <v>0.2554229187934669</v>
      </c>
      <c r="O62" s="223">
        <f t="shared" ref="O62" si="60">O60+O61</f>
        <v>0.27355322979056818</v>
      </c>
      <c r="P62" s="223">
        <f t="shared" ref="P62" si="61">P60+P61</f>
        <v>0.27194341174779263</v>
      </c>
      <c r="Q62" s="223">
        <f t="shared" ref="Q62" si="62">Q60+Q61</f>
        <v>0.292413769348013</v>
      </c>
      <c r="R62" s="223">
        <f t="shared" ref="R62" si="63">R60+R61</f>
        <v>0.31720845074778398</v>
      </c>
      <c r="S62" s="223">
        <f t="shared" ref="S62" si="64">S60+S61</f>
        <v>0.33119560036192436</v>
      </c>
      <c r="T62" s="223">
        <f t="shared" ref="T62" si="65">T60+T61</f>
        <v>0.33784265825262738</v>
      </c>
      <c r="U62" s="223">
        <f t="shared" ref="U62" si="66">U60+U61</f>
        <v>0.35036074144766949</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8" t="s">
        <v>701</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81393672.340000004</v>
      </c>
      <c r="F67" s="192">
        <f t="shared" ref="F67:U67" si="68">F10</f>
        <v>149470000</v>
      </c>
      <c r="G67" s="192">
        <f t="shared" si="68"/>
        <v>170000000</v>
      </c>
      <c r="H67" s="192">
        <f t="shared" si="68"/>
        <v>123455086.90000001</v>
      </c>
      <c r="I67" s="192">
        <f t="shared" si="68"/>
        <v>183813064.12</v>
      </c>
      <c r="J67" s="192">
        <f t="shared" si="68"/>
        <v>0</v>
      </c>
      <c r="K67" s="192">
        <f t="shared" si="68"/>
        <v>0</v>
      </c>
      <c r="L67" s="192">
        <f t="shared" si="68"/>
        <v>0</v>
      </c>
      <c r="M67" s="192">
        <f t="shared" si="68"/>
        <v>0</v>
      </c>
      <c r="N67" s="192">
        <f t="shared" si="68"/>
        <v>99766633.189999998</v>
      </c>
      <c r="O67" s="192">
        <f t="shared" si="68"/>
        <v>15234122.32</v>
      </c>
      <c r="P67" s="192">
        <f t="shared" si="68"/>
        <v>116148521.47</v>
      </c>
      <c r="Q67" s="192">
        <f t="shared" si="68"/>
        <v>0</v>
      </c>
      <c r="R67" s="192">
        <f t="shared" si="68"/>
        <v>100360740</v>
      </c>
      <c r="S67" s="192">
        <f t="shared" si="68"/>
        <v>50117340</v>
      </c>
      <c r="T67" s="192">
        <f t="shared" si="68"/>
        <v>0</v>
      </c>
      <c r="U67" s="192">
        <f t="shared" si="68"/>
        <v>0</v>
      </c>
    </row>
    <row r="68" spans="1:21" x14ac:dyDescent="0.25">
      <c r="A68" s="17" t="s">
        <v>654</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491200</v>
      </c>
      <c r="S68" s="192">
        <f t="shared" si="69"/>
        <v>517000</v>
      </c>
      <c r="T68" s="192">
        <f t="shared" si="69"/>
        <v>542800</v>
      </c>
      <c r="U68" s="192">
        <f t="shared" si="69"/>
        <v>568600</v>
      </c>
    </row>
    <row r="69" spans="1:21" x14ac:dyDescent="0.25">
      <c r="A69" s="17" t="s">
        <v>655</v>
      </c>
      <c r="E69" s="192">
        <f>E12</f>
        <v>81393672.340000004</v>
      </c>
      <c r="F69" s="192">
        <f t="shared" ref="F69:U69" si="70">F12</f>
        <v>149470000</v>
      </c>
      <c r="G69" s="192">
        <f t="shared" si="70"/>
        <v>170000000</v>
      </c>
      <c r="H69" s="192">
        <f t="shared" si="70"/>
        <v>123455086.90000001</v>
      </c>
      <c r="I69" s="192">
        <f t="shared" si="70"/>
        <v>183813064.12</v>
      </c>
      <c r="J69" s="192">
        <f t="shared" si="70"/>
        <v>0</v>
      </c>
      <c r="K69" s="192">
        <f t="shared" si="70"/>
        <v>0</v>
      </c>
      <c r="L69" s="192">
        <f t="shared" si="70"/>
        <v>0</v>
      </c>
      <c r="M69" s="192">
        <f t="shared" si="70"/>
        <v>0</v>
      </c>
      <c r="N69" s="192">
        <f t="shared" si="70"/>
        <v>99766633.189999998</v>
      </c>
      <c r="O69" s="192">
        <f t="shared" si="70"/>
        <v>15234122.32</v>
      </c>
      <c r="P69" s="192">
        <f t="shared" si="70"/>
        <v>116148521.47</v>
      </c>
      <c r="Q69" s="192">
        <f t="shared" si="70"/>
        <v>0</v>
      </c>
      <c r="R69" s="192">
        <f t="shared" si="70"/>
        <v>100851940</v>
      </c>
      <c r="S69" s="192">
        <f t="shared" si="70"/>
        <v>50634340</v>
      </c>
      <c r="T69" s="192">
        <f t="shared" si="70"/>
        <v>542800</v>
      </c>
      <c r="U69" s="192">
        <f t="shared" si="70"/>
        <v>568600</v>
      </c>
    </row>
    <row r="70" spans="1:21" s="233" customFormat="1" x14ac:dyDescent="0.25">
      <c r="A70" s="233" t="s">
        <v>658</v>
      </c>
      <c r="E70" s="233">
        <f>E69/E74</f>
        <v>9.7959134546379036E-3</v>
      </c>
      <c r="F70" s="233">
        <f t="shared" ref="F70:U70" si="71">F69/F74</f>
        <v>1.875706400854114E-2</v>
      </c>
      <c r="G70" s="233">
        <f t="shared" si="71"/>
        <v>2.2695522141883622E-2</v>
      </c>
      <c r="H70" s="233">
        <f t="shared" si="71"/>
        <v>1.6441629192663933E-2</v>
      </c>
      <c r="I70" s="233">
        <f t="shared" si="71"/>
        <v>2.57017002603902E-2</v>
      </c>
      <c r="J70" s="233">
        <f t="shared" si="71"/>
        <v>0</v>
      </c>
      <c r="K70" s="233">
        <f t="shared" si="71"/>
        <v>0</v>
      </c>
      <c r="L70" s="233">
        <f t="shared" si="71"/>
        <v>0</v>
      </c>
      <c r="M70" s="233">
        <f t="shared" si="71"/>
        <v>0</v>
      </c>
      <c r="N70" s="233">
        <f t="shared" si="71"/>
        <v>1.7225725082113365E-2</v>
      </c>
      <c r="O70" s="233">
        <f t="shared" si="71"/>
        <v>2.8230770047497091E-3</v>
      </c>
      <c r="P70" s="233">
        <f t="shared" si="71"/>
        <v>2.0910695536510544E-2</v>
      </c>
      <c r="Q70" s="233">
        <f t="shared" si="71"/>
        <v>0</v>
      </c>
      <c r="R70" s="233">
        <f t="shared" si="71"/>
        <v>1.9961172706504826E-2</v>
      </c>
      <c r="S70" s="233">
        <f t="shared" si="71"/>
        <v>1.0624369726394658E-2</v>
      </c>
      <c r="T70" s="233">
        <f t="shared" si="71"/>
        <v>1.145839917842628E-4</v>
      </c>
      <c r="U70" s="233">
        <f t="shared" si="71"/>
        <v>1.2496844300712392E-4</v>
      </c>
    </row>
    <row r="71" spans="1:21" x14ac:dyDescent="0.25">
      <c r="A71" s="17" t="s">
        <v>656</v>
      </c>
      <c r="E71" s="192">
        <f>E13</f>
        <v>8227547879.3499985</v>
      </c>
      <c r="F71" s="192">
        <f t="shared" ref="F71:U71" si="72">F13</f>
        <v>7819261136.8100014</v>
      </c>
      <c r="G71" s="192">
        <f t="shared" si="72"/>
        <v>7320464371.6600037</v>
      </c>
      <c r="H71" s="192">
        <f t="shared" si="72"/>
        <v>7385234316.8900013</v>
      </c>
      <c r="I71" s="192">
        <f t="shared" si="72"/>
        <v>6967973092.3499994</v>
      </c>
      <c r="J71" s="192">
        <f t="shared" si="72"/>
        <v>6756513853.2900009</v>
      </c>
      <c r="K71" s="192">
        <f t="shared" si="72"/>
        <v>6340709373.3899975</v>
      </c>
      <c r="L71" s="192">
        <f t="shared" si="72"/>
        <v>6384321231.7099991</v>
      </c>
      <c r="M71" s="192">
        <f t="shared" si="72"/>
        <v>6003108760.5999994</v>
      </c>
      <c r="N71" s="192">
        <f t="shared" si="72"/>
        <v>5691956659.4099989</v>
      </c>
      <c r="O71" s="192">
        <f t="shared" si="72"/>
        <v>5381048832.1899996</v>
      </c>
      <c r="P71" s="192">
        <f t="shared" si="72"/>
        <v>5438354496.7200003</v>
      </c>
      <c r="Q71" s="192">
        <f t="shared" si="72"/>
        <v>5158745053.8099995</v>
      </c>
      <c r="R71" s="192">
        <f t="shared" si="72"/>
        <v>4951553621.6800003</v>
      </c>
      <c r="S71" s="192">
        <f t="shared" si="72"/>
        <v>4715233311.8199997</v>
      </c>
      <c r="T71" s="192">
        <f t="shared" si="72"/>
        <v>4736593614.499999</v>
      </c>
      <c r="U71" s="192">
        <f t="shared" si="72"/>
        <v>4549380061.5799999</v>
      </c>
    </row>
    <row r="72" spans="1:21" s="233" customFormat="1" x14ac:dyDescent="0.25">
      <c r="A72" s="233" t="s">
        <v>659</v>
      </c>
      <c r="E72" s="233">
        <f>E71/E74</f>
        <v>0.99020408654536207</v>
      </c>
      <c r="F72" s="233">
        <f t="shared" ref="F72:U72" si="73">F71/F74</f>
        <v>0.98124293599145884</v>
      </c>
      <c r="G72" s="233">
        <f t="shared" si="73"/>
        <v>0.97730447785811636</v>
      </c>
      <c r="H72" s="233">
        <f t="shared" si="73"/>
        <v>0.9835583708073361</v>
      </c>
      <c r="I72" s="233">
        <f t="shared" si="73"/>
        <v>0.9742982997396098</v>
      </c>
      <c r="J72" s="233">
        <f t="shared" si="73"/>
        <v>1</v>
      </c>
      <c r="K72" s="233">
        <f t="shared" si="73"/>
        <v>1</v>
      </c>
      <c r="L72" s="233">
        <f t="shared" si="73"/>
        <v>1</v>
      </c>
      <c r="M72" s="233">
        <f t="shared" si="73"/>
        <v>1</v>
      </c>
      <c r="N72" s="233">
        <f t="shared" si="73"/>
        <v>0.98277427491788671</v>
      </c>
      <c r="O72" s="233">
        <f t="shared" si="73"/>
        <v>0.99717692299525029</v>
      </c>
      <c r="P72" s="233">
        <f t="shared" si="73"/>
        <v>0.97908930446348941</v>
      </c>
      <c r="Q72" s="233">
        <f t="shared" si="73"/>
        <v>1</v>
      </c>
      <c r="R72" s="233">
        <f t="shared" si="73"/>
        <v>0.98003882729349523</v>
      </c>
      <c r="S72" s="233">
        <f t="shared" si="73"/>
        <v>0.98937563027360531</v>
      </c>
      <c r="T72" s="233">
        <f t="shared" si="73"/>
        <v>0.99988541600821579</v>
      </c>
      <c r="U72" s="233">
        <f t="shared" si="73"/>
        <v>0.99987503155699287</v>
      </c>
    </row>
    <row r="73" spans="1:21" s="235" customFormat="1" x14ac:dyDescent="0.25">
      <c r="A73" s="234" t="s">
        <v>660</v>
      </c>
      <c r="E73" s="236">
        <f>E74/E71</f>
        <v>1.0098928226895265</v>
      </c>
      <c r="F73" s="236">
        <f t="shared" ref="F73:U73" si="74">F74/F71</f>
        <v>1.0191156168575</v>
      </c>
      <c r="G73" s="236">
        <f t="shared" si="74"/>
        <v>1.0232225705049707</v>
      </c>
      <c r="H73" s="236">
        <f t="shared" si="74"/>
        <v>1.0167164752806364</v>
      </c>
      <c r="I73" s="236">
        <f t="shared" si="74"/>
        <v>1.0263797034925126</v>
      </c>
      <c r="J73" s="236">
        <f t="shared" si="74"/>
        <v>1</v>
      </c>
      <c r="K73" s="236">
        <f t="shared" si="74"/>
        <v>1</v>
      </c>
      <c r="L73" s="236">
        <f t="shared" si="74"/>
        <v>1</v>
      </c>
      <c r="M73" s="236">
        <f t="shared" si="74"/>
        <v>1</v>
      </c>
      <c r="N73" s="236">
        <f t="shared" si="74"/>
        <v>1.0175276515897331</v>
      </c>
      <c r="O73" s="236">
        <f t="shared" si="74"/>
        <v>1.0028310693314781</v>
      </c>
      <c r="P73" s="236">
        <f t="shared" si="74"/>
        <v>1.0213572913534879</v>
      </c>
      <c r="Q73" s="236">
        <f t="shared" si="74"/>
        <v>1</v>
      </c>
      <c r="R73" s="236">
        <f t="shared" si="74"/>
        <v>1.0203677366147117</v>
      </c>
      <c r="S73" s="236">
        <f t="shared" si="74"/>
        <v>1.0107384590860162</v>
      </c>
      <c r="T73" s="236">
        <f t="shared" si="74"/>
        <v>1.0001145971227801</v>
      </c>
      <c r="U73" s="236">
        <f t="shared" si="74"/>
        <v>1.0001249840620707</v>
      </c>
    </row>
    <row r="74" spans="1:21" x14ac:dyDescent="0.25">
      <c r="A74" s="17" t="s">
        <v>657</v>
      </c>
      <c r="E74" s="192">
        <f>E14</f>
        <v>8308941551.6899986</v>
      </c>
      <c r="F74" s="192">
        <f t="shared" ref="F74:U74" si="75">F14</f>
        <v>7968731136.8100014</v>
      </c>
      <c r="G74" s="192">
        <f t="shared" si="75"/>
        <v>7490464371.6600037</v>
      </c>
      <c r="H74" s="192">
        <f t="shared" si="75"/>
        <v>7508689403.7900009</v>
      </c>
      <c r="I74" s="192">
        <f t="shared" si="75"/>
        <v>7151786156.4699993</v>
      </c>
      <c r="J74" s="192">
        <f t="shared" si="75"/>
        <v>6756513853.2900009</v>
      </c>
      <c r="K74" s="192">
        <f t="shared" si="75"/>
        <v>6340709373.3899975</v>
      </c>
      <c r="L74" s="192">
        <f t="shared" si="75"/>
        <v>6384321231.7099991</v>
      </c>
      <c r="M74" s="192">
        <f t="shared" si="75"/>
        <v>6003108760.5999994</v>
      </c>
      <c r="N74" s="192">
        <f t="shared" si="75"/>
        <v>5791723292.5999985</v>
      </c>
      <c r="O74" s="192">
        <f t="shared" si="75"/>
        <v>5396282954.5099993</v>
      </c>
      <c r="P74" s="192">
        <f t="shared" si="75"/>
        <v>5554503018.1900005</v>
      </c>
      <c r="Q74" s="192">
        <f t="shared" si="75"/>
        <v>5158745053.8099995</v>
      </c>
      <c r="R74" s="192">
        <f t="shared" si="75"/>
        <v>5052405561.6800003</v>
      </c>
      <c r="S74" s="192">
        <f t="shared" si="75"/>
        <v>4765867651.8199997</v>
      </c>
      <c r="T74" s="192">
        <f t="shared" si="75"/>
        <v>4737136414.499999</v>
      </c>
      <c r="U74" s="192">
        <f t="shared" si="75"/>
        <v>4549948661.5799999</v>
      </c>
    </row>
    <row r="75" spans="1:21" ht="83.4" customHeight="1" x14ac:dyDescent="0.25">
      <c r="A75" s="276" t="s">
        <v>702</v>
      </c>
      <c r="B75" s="275"/>
      <c r="C75" s="275"/>
      <c r="D75" s="275"/>
      <c r="E75" s="275"/>
      <c r="F75" s="275"/>
      <c r="G75" s="275"/>
      <c r="H75" s="275"/>
      <c r="I75" s="275"/>
      <c r="J75" s="275"/>
      <c r="K75" s="275"/>
      <c r="L75" s="275"/>
      <c r="M75" s="275"/>
      <c r="N75" s="275"/>
      <c r="O75" s="275"/>
      <c r="P75" s="275"/>
      <c r="Q75" s="275"/>
      <c r="R75" s="275"/>
      <c r="S75" s="275"/>
      <c r="T75" s="275"/>
      <c r="U75" s="275"/>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9">
        <f>E10</f>
        <v>81393672.340000004</v>
      </c>
      <c r="F78" s="89">
        <f t="shared" ref="F78:U78" si="77">F10</f>
        <v>149470000</v>
      </c>
      <c r="G78" s="89">
        <f t="shared" si="77"/>
        <v>170000000</v>
      </c>
      <c r="H78" s="89">
        <f t="shared" si="77"/>
        <v>123455086.90000001</v>
      </c>
      <c r="I78" s="89">
        <f t="shared" si="77"/>
        <v>183813064.12</v>
      </c>
      <c r="J78" s="89">
        <f t="shared" si="77"/>
        <v>0</v>
      </c>
      <c r="K78" s="89">
        <f t="shared" si="77"/>
        <v>0</v>
      </c>
      <c r="L78" s="89">
        <f t="shared" si="77"/>
        <v>0</v>
      </c>
      <c r="M78" s="89">
        <f t="shared" si="77"/>
        <v>0</v>
      </c>
      <c r="N78" s="89">
        <f t="shared" si="77"/>
        <v>99766633.189999998</v>
      </c>
      <c r="O78" s="89">
        <f t="shared" si="77"/>
        <v>15234122.32</v>
      </c>
      <c r="P78" s="89">
        <f t="shared" si="77"/>
        <v>116148521.47</v>
      </c>
      <c r="Q78" s="89">
        <f t="shared" si="77"/>
        <v>0</v>
      </c>
      <c r="R78" s="89">
        <f t="shared" si="77"/>
        <v>100360740</v>
      </c>
      <c r="S78" s="89">
        <f t="shared" si="77"/>
        <v>50117340</v>
      </c>
      <c r="T78" s="89">
        <f t="shared" si="77"/>
        <v>0</v>
      </c>
      <c r="U78" s="89">
        <f t="shared" si="77"/>
        <v>0</v>
      </c>
    </row>
    <row r="79" spans="1:21" x14ac:dyDescent="0.25">
      <c r="A79" s="183" t="s">
        <v>662</v>
      </c>
      <c r="B79" s="64"/>
      <c r="C79" s="64"/>
      <c r="D79" s="64"/>
      <c r="E79" s="89">
        <f>E78</f>
        <v>81393672.340000004</v>
      </c>
      <c r="F79" s="89">
        <f t="shared" ref="F79:U79" si="78">F78</f>
        <v>149470000</v>
      </c>
      <c r="G79" s="89">
        <f t="shared" si="78"/>
        <v>170000000</v>
      </c>
      <c r="H79" s="89">
        <f t="shared" si="78"/>
        <v>123455086.90000001</v>
      </c>
      <c r="I79" s="89">
        <f t="shared" si="78"/>
        <v>183813064.12</v>
      </c>
      <c r="J79" s="89">
        <f t="shared" si="78"/>
        <v>0</v>
      </c>
      <c r="K79" s="89">
        <f t="shared" si="78"/>
        <v>0</v>
      </c>
      <c r="L79" s="89">
        <f t="shared" si="78"/>
        <v>0</v>
      </c>
      <c r="M79" s="89">
        <f t="shared" si="78"/>
        <v>0</v>
      </c>
      <c r="N79" s="89">
        <f t="shared" si="78"/>
        <v>99766633.189999998</v>
      </c>
      <c r="O79" s="89">
        <f t="shared" si="78"/>
        <v>15234122.32</v>
      </c>
      <c r="P79" s="89">
        <f t="shared" si="78"/>
        <v>116148521.47</v>
      </c>
      <c r="Q79" s="89">
        <f t="shared" si="78"/>
        <v>0</v>
      </c>
      <c r="R79" s="89">
        <f t="shared" si="78"/>
        <v>100360740</v>
      </c>
      <c r="S79" s="89">
        <f t="shared" si="78"/>
        <v>50117340</v>
      </c>
      <c r="T79" s="89">
        <f t="shared" si="78"/>
        <v>0</v>
      </c>
      <c r="U79" s="89">
        <f t="shared" si="78"/>
        <v>0</v>
      </c>
    </row>
    <row r="80" spans="1:21" s="219" customFormat="1" x14ac:dyDescent="0.25">
      <c r="A80" s="223" t="s">
        <v>663</v>
      </c>
      <c r="B80" s="223"/>
      <c r="C80" s="223"/>
      <c r="D80" s="223"/>
      <c r="E80" s="223">
        <f>E79/E85</f>
        <v>9.7959134546379036E-3</v>
      </c>
      <c r="F80" s="223">
        <f t="shared" ref="F80:U80" si="79">F79/F85</f>
        <v>1.875706400854114E-2</v>
      </c>
      <c r="G80" s="223">
        <f t="shared" si="79"/>
        <v>2.2695522141883622E-2</v>
      </c>
      <c r="H80" s="223">
        <f t="shared" si="79"/>
        <v>1.6441629192663933E-2</v>
      </c>
      <c r="I80" s="223">
        <f t="shared" si="79"/>
        <v>2.57017002603902E-2</v>
      </c>
      <c r="J80" s="223">
        <f t="shared" si="79"/>
        <v>0</v>
      </c>
      <c r="K80" s="223">
        <f t="shared" si="79"/>
        <v>0</v>
      </c>
      <c r="L80" s="223">
        <f t="shared" si="79"/>
        <v>0</v>
      </c>
      <c r="M80" s="223">
        <f t="shared" si="79"/>
        <v>0</v>
      </c>
      <c r="N80" s="223">
        <f t="shared" si="79"/>
        <v>1.7225725082113365E-2</v>
      </c>
      <c r="O80" s="223">
        <f t="shared" si="79"/>
        <v>2.8230770047497091E-3</v>
      </c>
      <c r="P80" s="223">
        <f t="shared" si="79"/>
        <v>2.0910695536510544E-2</v>
      </c>
      <c r="Q80" s="223">
        <f t="shared" si="79"/>
        <v>0</v>
      </c>
      <c r="R80" s="223">
        <f t="shared" si="79"/>
        <v>1.9863951690890894E-2</v>
      </c>
      <c r="S80" s="223">
        <f t="shared" si="79"/>
        <v>1.0515890003966242E-2</v>
      </c>
      <c r="T80" s="223">
        <f t="shared" si="79"/>
        <v>0</v>
      </c>
      <c r="U80" s="223">
        <f t="shared" si="79"/>
        <v>0</v>
      </c>
    </row>
    <row r="81" spans="1:21" x14ac:dyDescent="0.25">
      <c r="A81" s="183"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491200</v>
      </c>
      <c r="S81" s="89">
        <f t="shared" si="80"/>
        <v>517000</v>
      </c>
      <c r="T81" s="89">
        <f t="shared" si="80"/>
        <v>542800</v>
      </c>
      <c r="U81" s="89">
        <f t="shared" si="80"/>
        <v>568600</v>
      </c>
    </row>
    <row r="82" spans="1:21" x14ac:dyDescent="0.25">
      <c r="A82" s="183" t="s">
        <v>656</v>
      </c>
      <c r="B82" s="64"/>
      <c r="C82" s="64"/>
      <c r="D82" s="64"/>
      <c r="E82" s="89">
        <f>E13</f>
        <v>8227547879.3499985</v>
      </c>
      <c r="F82" s="89">
        <f t="shared" ref="F82:U82" si="81">F13</f>
        <v>7819261136.8100014</v>
      </c>
      <c r="G82" s="89">
        <f t="shared" si="81"/>
        <v>7320464371.6600037</v>
      </c>
      <c r="H82" s="89">
        <f t="shared" si="81"/>
        <v>7385234316.8900013</v>
      </c>
      <c r="I82" s="89">
        <f t="shared" si="81"/>
        <v>6967973092.3499994</v>
      </c>
      <c r="J82" s="89">
        <f t="shared" si="81"/>
        <v>6756513853.2900009</v>
      </c>
      <c r="K82" s="89">
        <f t="shared" si="81"/>
        <v>6340709373.3899975</v>
      </c>
      <c r="L82" s="89">
        <f t="shared" si="81"/>
        <v>6384321231.7099991</v>
      </c>
      <c r="M82" s="89">
        <f t="shared" si="81"/>
        <v>6003108760.5999994</v>
      </c>
      <c r="N82" s="89">
        <f t="shared" si="81"/>
        <v>5691956659.4099989</v>
      </c>
      <c r="O82" s="89">
        <f t="shared" si="81"/>
        <v>5381048832.1899996</v>
      </c>
      <c r="P82" s="89">
        <f t="shared" si="81"/>
        <v>5438354496.7200003</v>
      </c>
      <c r="Q82" s="89">
        <f t="shared" si="81"/>
        <v>5158745053.8099995</v>
      </c>
      <c r="R82" s="89">
        <f t="shared" si="81"/>
        <v>4951553621.6800003</v>
      </c>
      <c r="S82" s="89">
        <f t="shared" si="81"/>
        <v>4715233311.8199997</v>
      </c>
      <c r="T82" s="89">
        <f t="shared" si="81"/>
        <v>4736593614.499999</v>
      </c>
      <c r="U82" s="89">
        <f t="shared" si="81"/>
        <v>4549380061.5799999</v>
      </c>
    </row>
    <row r="83" spans="1:21" x14ac:dyDescent="0.25">
      <c r="A83" s="183" t="s">
        <v>664</v>
      </c>
      <c r="B83" s="64"/>
      <c r="C83" s="64"/>
      <c r="D83" s="64"/>
      <c r="E83" s="89">
        <f>E81+E82</f>
        <v>8227547879.3499985</v>
      </c>
      <c r="F83" s="89">
        <f t="shared" ref="F83:U83" si="82">F81+F82</f>
        <v>7819261136.8100014</v>
      </c>
      <c r="G83" s="89">
        <f t="shared" si="82"/>
        <v>7320464371.6600037</v>
      </c>
      <c r="H83" s="89">
        <f t="shared" si="82"/>
        <v>7385234316.8900013</v>
      </c>
      <c r="I83" s="89">
        <f t="shared" si="82"/>
        <v>6967973092.3499994</v>
      </c>
      <c r="J83" s="89">
        <f t="shared" si="82"/>
        <v>6756513853.2900009</v>
      </c>
      <c r="K83" s="89">
        <f t="shared" si="82"/>
        <v>6340709373.3899975</v>
      </c>
      <c r="L83" s="89">
        <f t="shared" si="82"/>
        <v>6384321231.7099991</v>
      </c>
      <c r="M83" s="89">
        <f t="shared" si="82"/>
        <v>6003108760.5999994</v>
      </c>
      <c r="N83" s="89">
        <f t="shared" si="82"/>
        <v>5691956659.4099989</v>
      </c>
      <c r="O83" s="89">
        <f t="shared" si="82"/>
        <v>5381048832.1899996</v>
      </c>
      <c r="P83" s="89">
        <f t="shared" si="82"/>
        <v>5438354496.7200003</v>
      </c>
      <c r="Q83" s="89">
        <f t="shared" si="82"/>
        <v>5158745053.8099995</v>
      </c>
      <c r="R83" s="89">
        <f t="shared" si="82"/>
        <v>4952044821.6800003</v>
      </c>
      <c r="S83" s="89">
        <f t="shared" si="82"/>
        <v>4715750311.8199997</v>
      </c>
      <c r="T83" s="89">
        <f t="shared" si="82"/>
        <v>4737136414.499999</v>
      </c>
      <c r="U83" s="89">
        <f t="shared" si="82"/>
        <v>4549948661.5799999</v>
      </c>
    </row>
    <row r="84" spans="1:21" s="219" customFormat="1" x14ac:dyDescent="0.25">
      <c r="A84" s="223" t="s">
        <v>665</v>
      </c>
      <c r="B84" s="223"/>
      <c r="C84" s="223"/>
      <c r="D84" s="223"/>
      <c r="E84" s="223">
        <f>E83/E85</f>
        <v>0.99020408654536207</v>
      </c>
      <c r="F84" s="223">
        <f t="shared" ref="F84:U84" si="83">F83/F85</f>
        <v>0.98124293599145884</v>
      </c>
      <c r="G84" s="223">
        <f t="shared" si="83"/>
        <v>0.97730447785811636</v>
      </c>
      <c r="H84" s="223">
        <f t="shared" si="83"/>
        <v>0.9835583708073361</v>
      </c>
      <c r="I84" s="223">
        <f t="shared" si="83"/>
        <v>0.9742982997396098</v>
      </c>
      <c r="J84" s="223">
        <f t="shared" si="83"/>
        <v>1</v>
      </c>
      <c r="K84" s="223">
        <f t="shared" si="83"/>
        <v>1</v>
      </c>
      <c r="L84" s="223">
        <f t="shared" si="83"/>
        <v>1</v>
      </c>
      <c r="M84" s="223">
        <f t="shared" si="83"/>
        <v>1</v>
      </c>
      <c r="N84" s="223">
        <f t="shared" si="83"/>
        <v>0.98277427491788671</v>
      </c>
      <c r="O84" s="223">
        <f t="shared" si="83"/>
        <v>0.99717692299525029</v>
      </c>
      <c r="P84" s="223">
        <f t="shared" si="83"/>
        <v>0.97908930446348941</v>
      </c>
      <c r="Q84" s="223">
        <f t="shared" si="83"/>
        <v>1</v>
      </c>
      <c r="R84" s="223">
        <f t="shared" si="83"/>
        <v>0.98013604830910905</v>
      </c>
      <c r="S84" s="223">
        <f t="shared" si="83"/>
        <v>0.98948410999603376</v>
      </c>
      <c r="T84" s="223">
        <f t="shared" si="83"/>
        <v>1</v>
      </c>
      <c r="U84" s="223">
        <f t="shared" si="83"/>
        <v>1</v>
      </c>
    </row>
    <row r="85" spans="1:21" x14ac:dyDescent="0.25">
      <c r="A85" s="183" t="s">
        <v>657</v>
      </c>
      <c r="B85" s="64"/>
      <c r="C85" s="64"/>
      <c r="D85" s="64"/>
      <c r="E85" s="89">
        <f>E14</f>
        <v>8308941551.6899986</v>
      </c>
      <c r="F85" s="89">
        <f t="shared" ref="F85:U85" si="84">F14</f>
        <v>7968731136.8100014</v>
      </c>
      <c r="G85" s="89">
        <f t="shared" si="84"/>
        <v>7490464371.6600037</v>
      </c>
      <c r="H85" s="89">
        <f t="shared" si="84"/>
        <v>7508689403.7900009</v>
      </c>
      <c r="I85" s="89">
        <f t="shared" si="84"/>
        <v>7151786156.4699993</v>
      </c>
      <c r="J85" s="89">
        <f t="shared" si="84"/>
        <v>6756513853.2900009</v>
      </c>
      <c r="K85" s="89">
        <f t="shared" si="84"/>
        <v>6340709373.3899975</v>
      </c>
      <c r="L85" s="89">
        <f t="shared" si="84"/>
        <v>6384321231.7099991</v>
      </c>
      <c r="M85" s="89">
        <f t="shared" si="84"/>
        <v>6003108760.5999994</v>
      </c>
      <c r="N85" s="89">
        <f t="shared" si="84"/>
        <v>5791723292.5999985</v>
      </c>
      <c r="O85" s="89">
        <f t="shared" si="84"/>
        <v>5396282954.5099993</v>
      </c>
      <c r="P85" s="89">
        <f t="shared" si="84"/>
        <v>5554503018.1900005</v>
      </c>
      <c r="Q85" s="89">
        <f t="shared" si="84"/>
        <v>5158745053.8099995</v>
      </c>
      <c r="R85" s="89">
        <f t="shared" si="84"/>
        <v>5052405561.6800003</v>
      </c>
      <c r="S85" s="89">
        <f t="shared" si="84"/>
        <v>4765867651.8199997</v>
      </c>
      <c r="T85" s="89">
        <f t="shared" si="84"/>
        <v>4737136414.499999</v>
      </c>
      <c r="U85" s="89">
        <f t="shared" si="84"/>
        <v>4549948661.5799999</v>
      </c>
    </row>
    <row r="87" spans="1:21" s="56" customFormat="1" ht="85.8" customHeight="1" x14ac:dyDescent="0.25">
      <c r="A87" s="274" t="s">
        <v>703</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abSelected="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0" width="20.44140625" hidden="1" customWidth="1"/>
    <col min="11" max="12" width="19.33203125" hidden="1" customWidth="1"/>
    <col min="13" max="13" width="21.554687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7" width="19.33203125" hidden="1" customWidth="1"/>
    <col min="68" max="68" width="18.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352</v>
      </c>
      <c r="E2" s="26">
        <f>股权价值增加表!E4</f>
        <v>21384699076.650002</v>
      </c>
      <c r="F2" s="26">
        <f>股权价值增加表!F4</f>
        <v>15977114535.049999</v>
      </c>
      <c r="G2" s="26">
        <f>股权价值增加表!G4</f>
        <v>10568060854.209999</v>
      </c>
      <c r="H2" s="26">
        <f>股权价值增加表!H4</f>
        <v>5690391543.4200001</v>
      </c>
      <c r="I2" s="26">
        <f>股权价值增加表!I4</f>
        <v>16334914501.690001</v>
      </c>
      <c r="J2" s="26">
        <f>股权价值增加表!J4</f>
        <v>12055635914.24</v>
      </c>
      <c r="K2" s="26">
        <f>股权价值增加表!K4</f>
        <v>7984787194.9200001</v>
      </c>
      <c r="L2" s="26">
        <f>股权价值增加表!L4</f>
        <v>4239779074.6999998</v>
      </c>
      <c r="M2" s="26">
        <f>股权价值增加表!M4</f>
        <v>13131626932.440001</v>
      </c>
      <c r="N2" s="26">
        <f>股权价值增加表!N4</f>
        <v>9611975965.1399994</v>
      </c>
      <c r="O2" s="26">
        <f>股权价值增加表!O4</f>
        <v>6101903864.6000004</v>
      </c>
      <c r="P2" s="26">
        <f>股权价值增加表!P4</f>
        <v>3293972545.0799999</v>
      </c>
      <c r="Q2" s="26">
        <f>股权价值增加表!Q4</f>
        <v>10804217288.6</v>
      </c>
      <c r="R2" s="26">
        <f>股权价值增加表!R4</f>
        <v>7778315404.7200003</v>
      </c>
      <c r="S2" s="26">
        <f>股权价值增加表!S4</f>
        <v>4974057020.5600004</v>
      </c>
      <c r="T2" s="26">
        <f>股权价值增加表!T4</f>
        <v>2576160088.4299998</v>
      </c>
      <c r="U2" s="26">
        <f>股权价值增加表!U4</f>
        <v>8727956044.3700008</v>
      </c>
      <c r="V2" s="26">
        <f>股权价值增加表!V4</f>
        <v>6350114706</v>
      </c>
      <c r="W2" s="26">
        <f>股权价值增加表!W4</f>
        <v>3998224336.3099999</v>
      </c>
      <c r="X2" s="26">
        <f>股权价值增加表!X4</f>
        <v>2359241990.6399999</v>
      </c>
      <c r="Y2" s="26">
        <f>股权价值增加表!Y4</f>
        <v>6899863926.8100004</v>
      </c>
      <c r="Z2" s="26">
        <f>股权价值增加表!Z4</f>
        <v>4575118340.7200003</v>
      </c>
      <c r="AA2" s="26">
        <f>股权价值增加表!AA4</f>
        <v>3101328731.1399999</v>
      </c>
      <c r="AB2" s="26">
        <f>股权价值增加表!AB4</f>
        <v>1629565324.8699999</v>
      </c>
      <c r="AC2" s="26">
        <f>股权价值增加表!AC4</f>
        <v>10975621704.52</v>
      </c>
      <c r="AD2" s="26">
        <f>股权价值增加表!AD4</f>
        <v>9365771616.3799992</v>
      </c>
      <c r="AE2" s="26">
        <f>股权价值增加表!AE4</f>
        <v>6747514122.5299997</v>
      </c>
      <c r="AF2" s="26">
        <f>股权价值增加表!AF4</f>
        <v>3831419221.9899998</v>
      </c>
      <c r="AG2" s="26">
        <f>股权价值增加表!AG4</f>
        <v>11202366806.139999</v>
      </c>
      <c r="AH2" s="26">
        <f>股权价值增加表!AH4</f>
        <v>5578524408.5699997</v>
      </c>
      <c r="AI2" s="26">
        <f>股权价值增加表!AI4</f>
        <v>3634134845.0599999</v>
      </c>
      <c r="AJ2" s="26">
        <f>股权价值增加表!AJ4</f>
        <v>1662106246.1400001</v>
      </c>
      <c r="AK2" s="26">
        <f>股权价值增加表!AK4</f>
        <v>4375244455.6700001</v>
      </c>
      <c r="AL2" s="26">
        <f>股权价值增加表!AL4</f>
        <v>2917972991.5300002</v>
      </c>
      <c r="AM2" s="26">
        <f>股权价值增加表!AM4</f>
        <v>1902488624.24</v>
      </c>
      <c r="AN2" s="26">
        <f>股权价值增加表!AN4</f>
        <v>974105929.14999998</v>
      </c>
      <c r="AO2" s="26">
        <f>股权价值增加表!AO4</f>
        <v>4292987464.9099998</v>
      </c>
      <c r="AP2" s="26">
        <f>股权价值增加表!AP4</f>
        <v>3424461057.8000002</v>
      </c>
      <c r="AQ2" s="26">
        <f>股权价值增加表!AQ4</f>
        <v>2424428981.79</v>
      </c>
      <c r="AR2" s="26">
        <f>股权价值增加表!AR4</f>
        <v>1137955453.8800001</v>
      </c>
      <c r="AS2" s="26">
        <f>股权价值增加表!AS4</f>
        <v>5000691662.6000004</v>
      </c>
      <c r="AT2" s="26">
        <f>股权价值增加表!AT4</f>
        <v>4087399844.5799999</v>
      </c>
      <c r="AU2" s="26">
        <f>股权价值增加表!AU4</f>
        <v>2838239098.3600001</v>
      </c>
      <c r="AV2" s="26">
        <f>股权价值增加表!AV4</f>
        <v>1448227231.03</v>
      </c>
      <c r="AW2" s="26">
        <f>股权价值增加表!AW4</f>
        <v>4256337912.5599999</v>
      </c>
      <c r="AX2" s="26">
        <f>股权价值增加表!AX4</f>
        <v>3225715910.6500001</v>
      </c>
      <c r="AY2" s="26">
        <f>股权价值增加表!AY4</f>
        <v>2156714477.5300002</v>
      </c>
      <c r="AZ2" s="26">
        <f>股权价值增加表!AZ4</f>
        <v>976143221.25</v>
      </c>
      <c r="BA2" s="26">
        <f>股权价值增加表!BA4</f>
        <v>3260169539.9899998</v>
      </c>
      <c r="BB2" s="26">
        <f>股权价值增加表!BB4</f>
        <v>2185347410.0599999</v>
      </c>
      <c r="BC2" s="26">
        <f>股权价值增加表!BC4</f>
        <v>1396405790.98</v>
      </c>
      <c r="BD2" s="26">
        <f>股权价值增加表!BD4</f>
        <v>722525366.98000002</v>
      </c>
      <c r="BE2" s="26">
        <f>股权价值增加表!BE4</f>
        <v>2422932739.4299998</v>
      </c>
      <c r="BF2" s="26">
        <f>股权价值增加表!BF4</f>
        <v>1631067598.8699999</v>
      </c>
      <c r="BG2" s="26">
        <f>股权价值增加表!BG4</f>
        <v>1096815366.1900001</v>
      </c>
      <c r="BH2" s="26">
        <f>股权价值增加表!BH4</f>
        <v>593622323.5</v>
      </c>
      <c r="BI2" s="26">
        <f>股权价值增加表!BI4</f>
        <v>2901320283.3400002</v>
      </c>
      <c r="BJ2" s="26">
        <f>股权价值增加表!BJ4</f>
        <v>1974796702.98</v>
      </c>
      <c r="BK2" s="26">
        <f>股权价值增加表!BK4</f>
        <v>1379648578.77</v>
      </c>
      <c r="BL2" s="26">
        <f>股权价值增加表!BL4</f>
        <v>844004675.41999996</v>
      </c>
      <c r="BM2" s="26">
        <f>股权价值增加表!BM4</f>
        <v>2941801551.71</v>
      </c>
      <c r="BN2" s="26">
        <f>股权价值增加表!BN4</f>
        <v>2413369231.4699998</v>
      </c>
      <c r="BO2" s="26">
        <f>股权价值增加表!BO4</f>
        <v>1553250340.3699999</v>
      </c>
      <c r="BP2" s="26">
        <f>股权价值增加表!BP4</f>
        <v>704977794.35000002</v>
      </c>
      <c r="BQ2" s="26">
        <f>股权价值增加表!BQ4</f>
        <v>1953492571.3699999</v>
      </c>
      <c r="BR2" s="26">
        <f>股权价值增加表!BR4</f>
        <v>1129633647.3499999</v>
      </c>
      <c r="BS2" s="26">
        <f>股权价值增加表!BS4</f>
        <v>2724863451</v>
      </c>
      <c r="BT2" s="26">
        <f>股权价值增加表!BT4</f>
        <v>1473517142.3199999</v>
      </c>
      <c r="BU2" s="26">
        <f>股权价值增加表!BU4</f>
        <v>2659634845.5700002</v>
      </c>
      <c r="BV2" s="26">
        <f>股权价值增加表!BV4</f>
        <v>1411090743.24</v>
      </c>
      <c r="BW2" s="26">
        <f>股权价值增加表!BW4</f>
        <v>2167165833</v>
      </c>
      <c r="BX2" s="26">
        <f>股权价值增加表!BX4</f>
        <v>1004452329.15</v>
      </c>
      <c r="BY2" s="26">
        <f>股权价值增加表!BY4</f>
        <v>1839356280.23</v>
      </c>
      <c r="BZ2" s="26">
        <f>股权价值增加表!BZ4</f>
        <v>882693130</v>
      </c>
      <c r="CA2" s="26">
        <f>股权价值增加表!CA4</f>
        <v>1353158315.8900001</v>
      </c>
      <c r="CB2" s="26">
        <f>股权价值增加表!CB4</f>
        <v>661118000</v>
      </c>
      <c r="CC2" s="26">
        <f>股权价值增加表!CC4</f>
        <v>1005257323.24</v>
      </c>
      <c r="CD2" s="26">
        <f>股权价值增加表!CD4</f>
        <v>764095148.28999996</v>
      </c>
      <c r="CE2" s="26">
        <f>股权价值增加表!CE4</f>
        <v>484685682.33999997</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0.30914055745057945</v>
      </c>
      <c r="F3" s="66">
        <f t="shared" ref="F3:BQ3" si="0">(F2-J2)/J2</f>
        <v>0.32528177266683933</v>
      </c>
      <c r="G3" s="66">
        <f t="shared" si="0"/>
        <v>0.32352442165691064</v>
      </c>
      <c r="H3" s="66">
        <f t="shared" si="0"/>
        <v>0.3421434096357116</v>
      </c>
      <c r="I3" s="66">
        <f t="shared" si="0"/>
        <v>0.24393683933684476</v>
      </c>
      <c r="J3" s="66">
        <f t="shared" si="0"/>
        <v>0.25423075941538814</v>
      </c>
      <c r="K3" s="66">
        <f t="shared" si="0"/>
        <v>0.30857308998974681</v>
      </c>
      <c r="L3" s="66">
        <f t="shared" si="0"/>
        <v>0.2871324871947375</v>
      </c>
      <c r="M3" s="66">
        <f t="shared" si="0"/>
        <v>0.21541677491952621</v>
      </c>
      <c r="N3" s="66">
        <f t="shared" si="0"/>
        <v>0.23574006259855521</v>
      </c>
      <c r="O3" s="66">
        <f t="shared" si="0"/>
        <v>0.22674586145235268</v>
      </c>
      <c r="P3" s="66">
        <f t="shared" si="0"/>
        <v>0.27863658779352474</v>
      </c>
      <c r="Q3" s="66">
        <f t="shared" si="0"/>
        <v>0.23788630850968817</v>
      </c>
      <c r="R3" s="66">
        <f t="shared" si="0"/>
        <v>0.22490943311158515</v>
      </c>
      <c r="S3" s="66">
        <f t="shared" si="0"/>
        <v>0.24406651607513496</v>
      </c>
      <c r="T3" s="66">
        <f t="shared" si="0"/>
        <v>9.1943979740355425E-2</v>
      </c>
      <c r="U3" s="66">
        <f t="shared" si="0"/>
        <v>0.2649461115395037</v>
      </c>
      <c r="V3" s="66">
        <f t="shared" si="0"/>
        <v>0.38796731211998842</v>
      </c>
      <c r="W3" s="66">
        <f t="shared" si="0"/>
        <v>0.28919720639879259</v>
      </c>
      <c r="X3" s="66">
        <f t="shared" si="0"/>
        <v>0.44777380485081852</v>
      </c>
      <c r="Y3" s="66">
        <f t="shared" si="0"/>
        <v>-0.37134641548656094</v>
      </c>
      <c r="Z3" s="66">
        <f t="shared" si="0"/>
        <v>-0.51150652310179356</v>
      </c>
      <c r="AA3" s="66">
        <f t="shared" si="0"/>
        <v>-0.54037462170184425</v>
      </c>
      <c r="AB3" s="66">
        <f t="shared" si="0"/>
        <v>-0.57468362754007885</v>
      </c>
      <c r="AC3" s="66">
        <f t="shared" si="0"/>
        <v>-2.0240821028616945E-2</v>
      </c>
      <c r="AD3" s="66">
        <f t="shared" si="0"/>
        <v>0.67889766727413559</v>
      </c>
      <c r="AE3" s="66">
        <f t="shared" si="0"/>
        <v>0.85670439051047309</v>
      </c>
      <c r="AF3" s="66">
        <f t="shared" si="0"/>
        <v>1.3051590299283895</v>
      </c>
      <c r="AG3" s="66">
        <f t="shared" si="0"/>
        <v>1.5603979205373413</v>
      </c>
      <c r="AH3" s="66">
        <f t="shared" si="0"/>
        <v>0.91178068637467913</v>
      </c>
      <c r="AI3" s="66">
        <f t="shared" si="0"/>
        <v>0.91020056506868863</v>
      </c>
      <c r="AJ3" s="66">
        <f t="shared" si="0"/>
        <v>0.70628901477927131</v>
      </c>
      <c r="AK3" s="66">
        <f t="shared" si="0"/>
        <v>1.9160780559540885E-2</v>
      </c>
      <c r="AL3" s="66">
        <f t="shared" si="0"/>
        <v>-0.14790300071199716</v>
      </c>
      <c r="AM3" s="66">
        <f t="shared" si="0"/>
        <v>-0.21528383032471501</v>
      </c>
      <c r="AN3" s="66">
        <f t="shared" si="0"/>
        <v>-0.14398588641702528</v>
      </c>
      <c r="AO3" s="66">
        <f t="shared" si="0"/>
        <v>-0.14152126254511865</v>
      </c>
      <c r="AP3" s="66">
        <f t="shared" si="0"/>
        <v>-0.16219083328954814</v>
      </c>
      <c r="AQ3" s="66">
        <f t="shared" si="0"/>
        <v>-0.14579818761890398</v>
      </c>
      <c r="AR3" s="66">
        <f t="shared" si="0"/>
        <v>-0.21424246865550933</v>
      </c>
      <c r="AS3" s="66">
        <f t="shared" si="0"/>
        <v>0.17488126303212248</v>
      </c>
      <c r="AT3" s="66">
        <f t="shared" si="0"/>
        <v>0.26712951722904998</v>
      </c>
      <c r="AU3" s="66">
        <f t="shared" si="0"/>
        <v>0.31600131956758742</v>
      </c>
      <c r="AV3" s="66">
        <f t="shared" si="0"/>
        <v>0.48362166483671615</v>
      </c>
      <c r="AW3" s="66">
        <f t="shared" si="0"/>
        <v>0.30555722957066084</v>
      </c>
      <c r="AX3" s="66">
        <f t="shared" si="0"/>
        <v>0.47606549686369376</v>
      </c>
      <c r="AY3" s="66">
        <f t="shared" si="0"/>
        <v>0.54447546083034659</v>
      </c>
      <c r="AZ3" s="66">
        <f t="shared" si="0"/>
        <v>0.35101584783115342</v>
      </c>
      <c r="BA3" s="66">
        <f t="shared" si="0"/>
        <v>0.345546860189343</v>
      </c>
      <c r="BB3" s="66">
        <f t="shared" si="0"/>
        <v>0.33982638829561934</v>
      </c>
      <c r="BC3" s="66">
        <f t="shared" si="0"/>
        <v>0.27314572171858348</v>
      </c>
      <c r="BD3" s="66">
        <f t="shared" si="0"/>
        <v>0.21714655661867141</v>
      </c>
      <c r="BE3" s="66">
        <f t="shared" si="0"/>
        <v>-0.16488615429913189</v>
      </c>
      <c r="BF3" s="66">
        <f t="shared" si="0"/>
        <v>-0.1740579694058165</v>
      </c>
      <c r="BG3" s="66">
        <f t="shared" si="0"/>
        <v>-0.20500380816697147</v>
      </c>
      <c r="BH3" s="66">
        <f t="shared" si="0"/>
        <v>-0.29665991103118333</v>
      </c>
      <c r="BI3" s="66">
        <f t="shared" si="0"/>
        <v>-1.3760706716083237E-2</v>
      </c>
      <c r="BJ3" s="66">
        <f t="shared" si="0"/>
        <v>-0.18172624510625016</v>
      </c>
      <c r="BK3" s="66">
        <f t="shared" si="0"/>
        <v>-0.11176676230996106</v>
      </c>
      <c r="BL3" s="66">
        <f t="shared" si="0"/>
        <v>0.19720746126221575</v>
      </c>
      <c r="BM3" s="66">
        <f t="shared" si="0"/>
        <v>0.50591898573071681</v>
      </c>
      <c r="BN3" s="66">
        <f t="shared" si="0"/>
        <v>1.1364176227677945</v>
      </c>
      <c r="BO3" s="66">
        <f t="shared" si="0"/>
        <v>-0.42997131111286652</v>
      </c>
      <c r="BP3" s="66">
        <f t="shared" si="0"/>
        <v>-0.52156797223272355</v>
      </c>
      <c r="BQ3" s="66">
        <f t="shared" si="0"/>
        <v>-0.26550346765691563</v>
      </c>
      <c r="BR3" s="66">
        <f t="shared" ref="BR3:CJ3" si="1">(BR2-BV2)/BV2</f>
        <v>-0.19946066348911592</v>
      </c>
      <c r="BS3" s="66">
        <f t="shared" si="1"/>
        <v>0.25733961356708046</v>
      </c>
      <c r="BT3" s="66">
        <f t="shared" si="1"/>
        <v>0.4669856393950898</v>
      </c>
      <c r="BU3" s="66">
        <f t="shared" si="1"/>
        <v>0.44595958605552449</v>
      </c>
      <c r="BV3" s="66">
        <f t="shared" si="1"/>
        <v>0.59861983205873603</v>
      </c>
      <c r="BW3" s="66">
        <f t="shared" si="1"/>
        <v>0.6015611828647045</v>
      </c>
      <c r="BX3" s="66">
        <f t="shared" si="1"/>
        <v>0.51932382592820037</v>
      </c>
      <c r="BY3" s="66">
        <f t="shared" si="1"/>
        <v>0.82973676262477047</v>
      </c>
      <c r="BZ3" s="66">
        <f t="shared" si="1"/>
        <v>0.15521363010276318</v>
      </c>
      <c r="CA3" s="66">
        <f t="shared" si="1"/>
        <v>1.7918264664991264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15982893658.84</v>
      </c>
      <c r="F4" s="26">
        <f>股权价值增加表!F5</f>
        <v>11887084837.76</v>
      </c>
      <c r="G4" s="26">
        <f>股权价值增加表!G5</f>
        <v>7861371811.7799997</v>
      </c>
      <c r="H4" s="26">
        <f>股权价值增加表!H5</f>
        <v>4228707468.8400002</v>
      </c>
      <c r="I4" s="26">
        <f>股权价值增加表!I5</f>
        <v>12111213286.280001</v>
      </c>
      <c r="J4" s="26">
        <f>股权价值增加表!J5</f>
        <v>8829467976.4799995</v>
      </c>
      <c r="K4" s="26">
        <f>股权价值增加表!K5</f>
        <v>5812591773.6700001</v>
      </c>
      <c r="L4" s="26">
        <f>股权价值增加表!L5</f>
        <v>3047294578.2800002</v>
      </c>
      <c r="M4" s="26">
        <f>股权价值增加表!M5</f>
        <v>9646390824.3600006</v>
      </c>
      <c r="N4" s="26">
        <f>股权价值增加表!N5</f>
        <v>7041009821.1199999</v>
      </c>
      <c r="O4" s="26">
        <f>股权价值增加表!O5</f>
        <v>4457541472.6599998</v>
      </c>
      <c r="P4" s="26">
        <f>股权价值增加表!P5</f>
        <v>2379120341.8200002</v>
      </c>
      <c r="Q4" s="26">
        <f>股权价值增加表!Q5</f>
        <v>8007492218.6899996</v>
      </c>
      <c r="R4" s="26">
        <f>股权价值增加表!R5</f>
        <v>5747116600.3699999</v>
      </c>
      <c r="S4" s="26">
        <f>股权价值增加表!S5</f>
        <v>3655315076.5900002</v>
      </c>
      <c r="T4" s="26">
        <f>股权价值增加表!T5</f>
        <v>1863580470.1199999</v>
      </c>
      <c r="U4" s="26">
        <f>股权价值增加表!U5</f>
        <v>6549621939.8999996</v>
      </c>
      <c r="V4" s="26">
        <f>股权价值增加表!V5</f>
        <v>4779232584.0600004</v>
      </c>
      <c r="W4" s="26">
        <f>股权价值增加表!W5</f>
        <v>3005810911.1399999</v>
      </c>
      <c r="X4" s="26">
        <f>股权价值增加表!X5</f>
        <v>1782597479.96</v>
      </c>
      <c r="Y4" s="26">
        <f>股权价值增加表!Y5</f>
        <v>5339914557.9799995</v>
      </c>
      <c r="Z4" s="26">
        <f>股权价值增加表!Z5</f>
        <v>3566854991.7399998</v>
      </c>
      <c r="AA4" s="26">
        <f>股权价值增加表!AA5</f>
        <v>2453880581.1900001</v>
      </c>
      <c r="AB4" s="26">
        <f>股权价值增加表!AB5</f>
        <v>1312055379.3699999</v>
      </c>
      <c r="AC4" s="26">
        <f>股权价值增加表!AC5</f>
        <v>9153133555.9699993</v>
      </c>
      <c r="AD4" s="26">
        <f>股权价值增加表!AD5</f>
        <v>7823252342.6199999</v>
      </c>
      <c r="AE4" s="26">
        <f>股权价值增加表!AE5</f>
        <v>5611799841.3000002</v>
      </c>
      <c r="AF4" s="26">
        <f>股权价值增加表!AF5</f>
        <v>3209055630.29</v>
      </c>
      <c r="AG4" s="26">
        <f>股权价值增加表!AG5</f>
        <v>9445348989.1800003</v>
      </c>
      <c r="AH4" s="26">
        <f>股权价值增加表!AH5</f>
        <v>4720109340.46</v>
      </c>
      <c r="AI4" s="26">
        <f>股权价值增加表!AI5</f>
        <v>3063518891.21</v>
      </c>
      <c r="AJ4" s="26">
        <f>股权价值增加表!AJ5</f>
        <v>1390576461.6199999</v>
      </c>
      <c r="AK4" s="26">
        <f>股权价值增加表!AK5</f>
        <v>3352503034.75</v>
      </c>
      <c r="AL4" s="26">
        <f>股权价值增加表!AL5</f>
        <v>2250684996.8600001</v>
      </c>
      <c r="AM4" s="26">
        <f>股权价值增加表!AM5</f>
        <v>1496548611.22</v>
      </c>
      <c r="AN4" s="26">
        <f>股权价值增加表!AN5</f>
        <v>788361309.11000001</v>
      </c>
      <c r="AO4" s="26">
        <f>股权价值增加表!AO5</f>
        <v>3495399864.1100001</v>
      </c>
      <c r="AP4" s="26">
        <f>股权价值增加表!AP5</f>
        <v>2789367413.21</v>
      </c>
      <c r="AQ4" s="26">
        <f>股权价值增加表!AQ5</f>
        <v>1937796658.1500001</v>
      </c>
      <c r="AR4" s="26">
        <f>股权价值增加表!AR5</f>
        <v>880605260.80999994</v>
      </c>
      <c r="AS4" s="26">
        <f>股权价值增加表!AS5</f>
        <v>4004806298.8600001</v>
      </c>
      <c r="AT4" s="26">
        <f>股权价值增加表!AT5</f>
        <v>3314480556.23</v>
      </c>
      <c r="AU4" s="26">
        <f>股权价值增加表!AU5</f>
        <v>2308549271.3600001</v>
      </c>
      <c r="AV4" s="26">
        <f>股权价值增加表!AV5</f>
        <v>1157412583.5599999</v>
      </c>
      <c r="AW4" s="26">
        <f>股权价值增加表!AW5</f>
        <v>3351425492.1199999</v>
      </c>
      <c r="AX4" s="26">
        <f>股权价值增加表!AX5</f>
        <v>2577079092.9699998</v>
      </c>
      <c r="AY4" s="26">
        <f>股权价值增加表!AY5</f>
        <v>1734629476.5599999</v>
      </c>
      <c r="AZ4" s="26">
        <f>股权价值增加表!AZ5</f>
        <v>758131304.13</v>
      </c>
      <c r="BA4" s="26">
        <f>股权价值增加表!BA5</f>
        <v>2610112328.77</v>
      </c>
      <c r="BB4" s="26">
        <f>股权价值增加表!BB5</f>
        <v>1756574969.74</v>
      </c>
      <c r="BC4" s="26">
        <f>股权价值增加表!BC5</f>
        <v>1111249484.8199999</v>
      </c>
      <c r="BD4" s="26">
        <f>股权价值增加表!BD5</f>
        <v>558788476.47000003</v>
      </c>
      <c r="BE4" s="26">
        <f>股权价值增加表!BE5</f>
        <v>1960846156.5799999</v>
      </c>
      <c r="BF4" s="26">
        <f>股权价值增加表!BF5</f>
        <v>1291093542.25</v>
      </c>
      <c r="BG4" s="26">
        <f>股权价值增加表!BG5</f>
        <v>867878445.94000006</v>
      </c>
      <c r="BH4" s="26">
        <f>股权价值增加表!BH5</f>
        <v>468799028.16000003</v>
      </c>
      <c r="BI4" s="26">
        <f>股权价值增加表!BI5</f>
        <v>2367701377.6599998</v>
      </c>
      <c r="BJ4" s="26">
        <f>股权价值增加表!BJ5</f>
        <v>1651739025.7</v>
      </c>
      <c r="BK4" s="26">
        <f>股权价值增加表!BK5</f>
        <v>1158683250.95</v>
      </c>
      <c r="BL4" s="26">
        <f>股权价值增加表!BL5</f>
        <v>683524653.25</v>
      </c>
      <c r="BM4" s="26">
        <f>股权价值增加表!BM5</f>
        <v>2341338051.73</v>
      </c>
      <c r="BN4" s="26">
        <f>股权价值增加表!BN5</f>
        <v>1876672125.77</v>
      </c>
      <c r="BO4" s="26">
        <f>股权价值增加表!BO5</f>
        <v>1165969607.3599999</v>
      </c>
      <c r="BP4" s="26">
        <f>股权价值增加表!BP5</f>
        <v>492769316.82999998</v>
      </c>
      <c r="BQ4" s="26">
        <f>股权价值增加表!BQ5</f>
        <v>1471398340.8599999</v>
      </c>
      <c r="BR4" s="26">
        <f>股权价值增加表!BR5</f>
        <v>826221293.63</v>
      </c>
      <c r="BS4" s="26">
        <f>股权价值增加表!BS5</f>
        <v>2007361302.1700001</v>
      </c>
      <c r="BT4" s="26">
        <f>股权价值增加表!BT5</f>
        <v>1066828910.61</v>
      </c>
      <c r="BU4" s="26">
        <f>股权价值增加表!BU5</f>
        <v>1889920384.8299999</v>
      </c>
      <c r="BV4" s="26">
        <f>股权价值增加表!BV5</f>
        <v>1012360881.78</v>
      </c>
      <c r="BW4" s="26">
        <f>股权价值增加表!BW5</f>
        <v>1573171315</v>
      </c>
      <c r="BX4" s="26">
        <f>股权价值增加表!BX5</f>
        <v>695172733.25999999</v>
      </c>
      <c r="BY4" s="26">
        <f>股权价值增加表!BY5</f>
        <v>1291744319.78</v>
      </c>
      <c r="BZ4" s="26">
        <f>股权价值增加表!BZ5</f>
        <v>0</v>
      </c>
      <c r="CA4" s="26">
        <f>股权价值增加表!CA5</f>
        <v>945200780.38999999</v>
      </c>
      <c r="CB4" s="26">
        <f>股权价值增加表!CB5</f>
        <v>0</v>
      </c>
      <c r="CC4" s="26">
        <f>股权价值增加表!CC5</f>
        <v>689326756.65999997</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0.7473985769709407</v>
      </c>
      <c r="F5" s="66">
        <f t="shared" si="2"/>
        <v>0.74400698647321806</v>
      </c>
      <c r="G5" s="66">
        <f t="shared" si="2"/>
        <v>0.7438802558227382</v>
      </c>
      <c r="H5" s="66">
        <f t="shared" si="2"/>
        <v>0.7431311952039229</v>
      </c>
      <c r="I5" s="66">
        <f t="shared" si="2"/>
        <v>0.74143107911749284</v>
      </c>
      <c r="J5" s="66">
        <f t="shared" si="2"/>
        <v>0.73239338341751992</v>
      </c>
      <c r="K5" s="66">
        <f t="shared" si="2"/>
        <v>0.72795825759364352</v>
      </c>
      <c r="L5" s="66">
        <f t="shared" si="2"/>
        <v>0.71873900139375113</v>
      </c>
      <c r="M5" s="66">
        <f t="shared" si="2"/>
        <v>0.73459220810864101</v>
      </c>
      <c r="N5" s="66">
        <f t="shared" si="2"/>
        <v>0.73252470112865564</v>
      </c>
      <c r="O5" s="66">
        <f t="shared" si="2"/>
        <v>0.7305165029754539</v>
      </c>
      <c r="P5" s="66">
        <f t="shared" si="2"/>
        <v>0.72226477581713389</v>
      </c>
      <c r="Q5" s="66">
        <f t="shared" si="2"/>
        <v>0.74114505519423912</v>
      </c>
      <c r="R5" s="66">
        <f t="shared" si="2"/>
        <v>0.73886391864266165</v>
      </c>
      <c r="S5" s="66">
        <f t="shared" si="2"/>
        <v>0.73487598985716274</v>
      </c>
      <c r="T5" s="66">
        <f t="shared" si="2"/>
        <v>0.72339466731499968</v>
      </c>
      <c r="U5" s="66">
        <f t="shared" si="2"/>
        <v>0.75041875859639062</v>
      </c>
      <c r="V5" s="66">
        <f t="shared" si="2"/>
        <v>0.75262145730127861</v>
      </c>
      <c r="W5" s="66">
        <f t="shared" si="2"/>
        <v>0.75178645776392128</v>
      </c>
      <c r="X5" s="66">
        <f t="shared" si="2"/>
        <v>0.75558060047771047</v>
      </c>
      <c r="Y5" s="66">
        <f t="shared" si="2"/>
        <v>0.77391592278092813</v>
      </c>
      <c r="Z5" s="66">
        <f t="shared" si="2"/>
        <v>0.77962026905268489</v>
      </c>
      <c r="AA5" s="66">
        <f t="shared" si="2"/>
        <v>0.79123523944783236</v>
      </c>
      <c r="AB5" s="66">
        <f t="shared" si="2"/>
        <v>0.80515666315780887</v>
      </c>
      <c r="AC5" s="66">
        <f t="shared" si="2"/>
        <v>0.8339512605650885</v>
      </c>
      <c r="AD5" s="66">
        <f t="shared" si="2"/>
        <v>0.83530248900557702</v>
      </c>
      <c r="AE5" s="66">
        <f t="shared" si="2"/>
        <v>0.83168404532302631</v>
      </c>
      <c r="AF5" s="66">
        <f t="shared" si="2"/>
        <v>0.83756317029261274</v>
      </c>
      <c r="AG5" s="66">
        <f t="shared" si="2"/>
        <v>0.84315655366712505</v>
      </c>
      <c r="AH5" s="66">
        <f t="shared" si="2"/>
        <v>0.84612148209098792</v>
      </c>
      <c r="AI5" s="66">
        <f t="shared" si="2"/>
        <v>0.84298437504990853</v>
      </c>
      <c r="AJ5" s="66">
        <f t="shared" si="2"/>
        <v>0.83663512176156696</v>
      </c>
      <c r="AK5" s="66">
        <f t="shared" ref="AK5:BP5" si="3">AK4/AK2</f>
        <v>0.76624359363632788</v>
      </c>
      <c r="AL5" s="66">
        <f t="shared" si="3"/>
        <v>0.77131796743597802</v>
      </c>
      <c r="AM5" s="66">
        <f t="shared" si="3"/>
        <v>0.78662683821189017</v>
      </c>
      <c r="AN5" s="66">
        <f t="shared" si="3"/>
        <v>0.80931784266822004</v>
      </c>
      <c r="AO5" s="66">
        <f t="shared" si="3"/>
        <v>0.81421152348584347</v>
      </c>
      <c r="AP5" s="66">
        <f t="shared" si="3"/>
        <v>0.81454201584701103</v>
      </c>
      <c r="AQ5" s="66">
        <f t="shared" si="3"/>
        <v>0.79927961293355343</v>
      </c>
      <c r="AR5" s="66">
        <f t="shared" si="3"/>
        <v>0.77384862281512623</v>
      </c>
      <c r="AS5" s="66">
        <f t="shared" si="3"/>
        <v>0.80085047610749682</v>
      </c>
      <c r="AT5" s="66">
        <f t="shared" si="3"/>
        <v>0.81090196268052628</v>
      </c>
      <c r="AU5" s="66">
        <f t="shared" si="3"/>
        <v>0.81337378260130833</v>
      </c>
      <c r="AV5" s="66">
        <f t="shared" si="3"/>
        <v>0.7991926672562506</v>
      </c>
      <c r="AW5" s="66">
        <f t="shared" si="3"/>
        <v>0.78739648048861444</v>
      </c>
      <c r="AX5" s="66">
        <f t="shared" si="3"/>
        <v>0.79891694258057078</v>
      </c>
      <c r="AY5" s="66">
        <f t="shared" si="3"/>
        <v>0.80429259163994782</v>
      </c>
      <c r="AZ5" s="66">
        <f t="shared" si="3"/>
        <v>0.77665990771228743</v>
      </c>
      <c r="BA5" s="66">
        <f t="shared" si="3"/>
        <v>0.80060631717269715</v>
      </c>
      <c r="BB5" s="66">
        <f t="shared" si="3"/>
        <v>0.80379666942372896</v>
      </c>
      <c r="BC5" s="66">
        <f t="shared" si="3"/>
        <v>0.7957926642800035</v>
      </c>
      <c r="BD5" s="66">
        <f t="shared" si="3"/>
        <v>0.77338250254882424</v>
      </c>
      <c r="BE5" s="66">
        <f t="shared" si="3"/>
        <v>0.80928625242865526</v>
      </c>
      <c r="BF5" s="66">
        <f t="shared" si="3"/>
        <v>0.7915634785121517</v>
      </c>
      <c r="BG5" s="66">
        <f t="shared" si="3"/>
        <v>0.79127123187081472</v>
      </c>
      <c r="BH5" s="66">
        <f t="shared" si="3"/>
        <v>0.78972607599383859</v>
      </c>
      <c r="BI5" s="66">
        <f t="shared" si="3"/>
        <v>0.81607721534773192</v>
      </c>
      <c r="BJ5" s="66">
        <f t="shared" si="3"/>
        <v>0.83640965331140127</v>
      </c>
      <c r="BK5" s="66">
        <f t="shared" si="3"/>
        <v>0.83983941184718391</v>
      </c>
      <c r="BL5" s="66">
        <f t="shared" si="3"/>
        <v>0.80985884694283161</v>
      </c>
      <c r="BM5" s="66">
        <f t="shared" si="3"/>
        <v>0.79588578990620062</v>
      </c>
      <c r="BN5" s="66">
        <f t="shared" si="3"/>
        <v>0.77761500449183485</v>
      </c>
      <c r="BO5" s="66">
        <f t="shared" si="3"/>
        <v>0.75066431795035315</v>
      </c>
      <c r="BP5" s="66">
        <f t="shared" si="3"/>
        <v>0.69898558618337847</v>
      </c>
      <c r="BQ5" s="66">
        <f t="shared" ref="BQ5:CK5" si="4">BQ4/BQ2</f>
        <v>0.75321419821325275</v>
      </c>
      <c r="BR5" s="66">
        <f t="shared" si="4"/>
        <v>0.73140641266150941</v>
      </c>
      <c r="BS5" s="66">
        <f t="shared" si="4"/>
        <v>0.73668326441580656</v>
      </c>
      <c r="BT5" s="66">
        <f t="shared" si="4"/>
        <v>0.72400169632931188</v>
      </c>
      <c r="BU5" s="66">
        <f t="shared" si="4"/>
        <v>0.7105939328392884</v>
      </c>
      <c r="BV5" s="66">
        <f t="shared" si="4"/>
        <v>0.71743145267576636</v>
      </c>
      <c r="BW5" s="66">
        <f t="shared" si="4"/>
        <v>0.72591182965553891</v>
      </c>
      <c r="BX5" s="66">
        <f t="shared" si="4"/>
        <v>0.69209131492410159</v>
      </c>
      <c r="BY5" s="66">
        <f t="shared" si="4"/>
        <v>0.70228064767227993</v>
      </c>
      <c r="BZ5" s="66">
        <f t="shared" si="4"/>
        <v>0</v>
      </c>
      <c r="CA5" s="66">
        <f t="shared" si="4"/>
        <v>0.69851455612444135</v>
      </c>
      <c r="CB5" s="66">
        <f t="shared" si="4"/>
        <v>0</v>
      </c>
      <c r="CC5" s="66">
        <f t="shared" si="4"/>
        <v>0.68572169605117783</v>
      </c>
      <c r="CD5" s="66">
        <f t="shared" si="4"/>
        <v>0</v>
      </c>
      <c r="CE5" s="66">
        <f t="shared" si="4"/>
        <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0.31967733380981511</v>
      </c>
      <c r="F6" s="66">
        <f t="shared" ref="F6:BQ6" si="5">(F4-J4)/J4</f>
        <v>0.34629684024279861</v>
      </c>
      <c r="G6" s="66">
        <f t="shared" si="5"/>
        <v>0.35247272092814197</v>
      </c>
      <c r="H6" s="66">
        <f t="shared" si="5"/>
        <v>0.38769238096660508</v>
      </c>
      <c r="I6" s="66">
        <f t="shared" si="5"/>
        <v>0.25551758235791067</v>
      </c>
      <c r="J6" s="66">
        <f t="shared" si="5"/>
        <v>0.2540059168779164</v>
      </c>
      <c r="K6" s="66">
        <f t="shared" si="5"/>
        <v>0.30399050896578322</v>
      </c>
      <c r="L6" s="66">
        <f t="shared" si="5"/>
        <v>0.28084928059959097</v>
      </c>
      <c r="M6" s="66">
        <f t="shared" si="5"/>
        <v>0.20467064605379282</v>
      </c>
      <c r="N6" s="66">
        <f t="shared" si="5"/>
        <v>0.22513780574187395</v>
      </c>
      <c r="O6" s="66">
        <f t="shared" si="5"/>
        <v>0.21946846694769392</v>
      </c>
      <c r="P6" s="66">
        <f t="shared" si="5"/>
        <v>0.27663944753982295</v>
      </c>
      <c r="Q6" s="66">
        <f t="shared" si="5"/>
        <v>0.22258846268800958</v>
      </c>
      <c r="R6" s="66">
        <f t="shared" si="5"/>
        <v>0.20251870970627117</v>
      </c>
      <c r="S6" s="66">
        <f t="shared" si="5"/>
        <v>0.21608284241794368</v>
      </c>
      <c r="T6" s="66">
        <f t="shared" si="5"/>
        <v>4.5429768116701838E-2</v>
      </c>
      <c r="U6" s="66">
        <f t="shared" si="5"/>
        <v>0.22654058764146448</v>
      </c>
      <c r="V6" s="66">
        <f t="shared" si="5"/>
        <v>0.33990100386126798</v>
      </c>
      <c r="W6" s="66">
        <f t="shared" si="5"/>
        <v>0.22492143023616223</v>
      </c>
      <c r="X6" s="66">
        <f t="shared" si="5"/>
        <v>0.35862975602137842</v>
      </c>
      <c r="Y6" s="66">
        <f t="shared" si="5"/>
        <v>-0.41660257382597488</v>
      </c>
      <c r="Z6" s="66">
        <f t="shared" si="5"/>
        <v>-0.54407005737137404</v>
      </c>
      <c r="AA6" s="66">
        <f t="shared" si="5"/>
        <v>-0.56272842036690551</v>
      </c>
      <c r="AB6" s="66">
        <f t="shared" si="5"/>
        <v>-0.59113972129818437</v>
      </c>
      <c r="AC6" s="66">
        <f t="shared" si="5"/>
        <v>-3.0937494585403322E-2</v>
      </c>
      <c r="AD6" s="66">
        <f t="shared" si="5"/>
        <v>0.65743032170046767</v>
      </c>
      <c r="AE6" s="66">
        <f t="shared" si="5"/>
        <v>0.83181499464607644</v>
      </c>
      <c r="AF6" s="66">
        <f t="shared" si="5"/>
        <v>1.3077160579516067</v>
      </c>
      <c r="AG6" s="66">
        <f t="shared" si="5"/>
        <v>1.8174020698192599</v>
      </c>
      <c r="AH6" s="66">
        <f t="shared" si="5"/>
        <v>1.0971878992596342</v>
      </c>
      <c r="AI6" s="66">
        <f t="shared" si="5"/>
        <v>1.0470560516658336</v>
      </c>
      <c r="AJ6" s="66">
        <f t="shared" si="5"/>
        <v>0.76388217629535249</v>
      </c>
      <c r="AK6" s="66">
        <f t="shared" si="5"/>
        <v>-4.0881396954675617E-2</v>
      </c>
      <c r="AL6" s="66">
        <f t="shared" si="5"/>
        <v>-0.19311992167072925</v>
      </c>
      <c r="AM6" s="66">
        <f t="shared" si="5"/>
        <v>-0.22770606248813344</v>
      </c>
      <c r="AN6" s="66">
        <f t="shared" si="5"/>
        <v>-0.10475062528601285</v>
      </c>
      <c r="AO6" s="66">
        <f t="shared" si="5"/>
        <v>-0.12719876986185488</v>
      </c>
      <c r="AP6" s="66">
        <f t="shared" si="5"/>
        <v>-0.15842999652931469</v>
      </c>
      <c r="AQ6" s="66">
        <f t="shared" si="5"/>
        <v>-0.16059982683045973</v>
      </c>
      <c r="AR6" s="66">
        <f t="shared" si="5"/>
        <v>-0.23916045728359786</v>
      </c>
      <c r="AS6" s="66">
        <f t="shared" si="5"/>
        <v>0.19495608906605688</v>
      </c>
      <c r="AT6" s="66">
        <f t="shared" si="5"/>
        <v>0.28613846787688968</v>
      </c>
      <c r="AU6" s="66">
        <f t="shared" si="5"/>
        <v>0.33086016498356707</v>
      </c>
      <c r="AV6" s="66">
        <f t="shared" si="5"/>
        <v>0.52666507405098983</v>
      </c>
      <c r="AW6" s="66">
        <f t="shared" si="5"/>
        <v>0.28401580850711483</v>
      </c>
      <c r="AX6" s="66">
        <f t="shared" si="5"/>
        <v>0.46710452862222385</v>
      </c>
      <c r="AY6" s="66">
        <f t="shared" si="5"/>
        <v>0.56097213115106648</v>
      </c>
      <c r="AZ6" s="66">
        <f t="shared" si="5"/>
        <v>0.35674112129028879</v>
      </c>
      <c r="BA6" s="66">
        <f t="shared" si="5"/>
        <v>0.3311153044879433</v>
      </c>
      <c r="BB6" s="66">
        <f t="shared" si="5"/>
        <v>0.36053268973741553</v>
      </c>
      <c r="BC6" s="66">
        <f t="shared" si="5"/>
        <v>0.28042065109291248</v>
      </c>
      <c r="BD6" s="66">
        <f t="shared" si="5"/>
        <v>0.19195741224806212</v>
      </c>
      <c r="BE6" s="66">
        <f t="shared" si="5"/>
        <v>-0.17183552998651169</v>
      </c>
      <c r="BF6" s="66">
        <f t="shared" si="5"/>
        <v>-0.2183428966916611</v>
      </c>
      <c r="BG6" s="66">
        <f t="shared" si="5"/>
        <v>-0.25097869048471205</v>
      </c>
      <c r="BH6" s="66">
        <f t="shared" si="5"/>
        <v>-0.31414466774392086</v>
      </c>
      <c r="BI6" s="66">
        <f t="shared" si="5"/>
        <v>1.1259939977706393E-2</v>
      </c>
      <c r="BJ6" s="66">
        <f t="shared" si="5"/>
        <v>-0.1198574311310292</v>
      </c>
      <c r="BK6" s="66">
        <f t="shared" si="5"/>
        <v>-6.2491821090411518E-3</v>
      </c>
      <c r="BL6" s="66">
        <f t="shared" si="5"/>
        <v>0.38710879493702022</v>
      </c>
      <c r="BM6" s="66">
        <f t="shared" si="5"/>
        <v>0.59123330964308385</v>
      </c>
      <c r="BN6" s="66">
        <f t="shared" si="5"/>
        <v>1.271391623816482</v>
      </c>
      <c r="BO6" s="66">
        <f t="shared" si="5"/>
        <v>-0.41915309112536836</v>
      </c>
      <c r="BP6" s="66">
        <f t="shared" si="5"/>
        <v>-0.53809902231817053</v>
      </c>
      <c r="BQ6" s="66">
        <f t="shared" si="5"/>
        <v>-0.22144956334107507</v>
      </c>
      <c r="BR6" s="66">
        <f t="shared" ref="BR6:CJ6" si="6">(BR4-BV4)/BV4</f>
        <v>-0.1838668319766732</v>
      </c>
      <c r="BS6" s="66">
        <f t="shared" si="6"/>
        <v>0.27599663369783733</v>
      </c>
      <c r="BT6" s="66">
        <f t="shared" si="6"/>
        <v>0.53462421577889729</v>
      </c>
      <c r="BU6" s="66">
        <f t="shared" si="6"/>
        <v>0.46307621089588125</v>
      </c>
      <c r="BV6" s="66" t="e">
        <f t="shared" si="6"/>
        <v>#DIV/0!</v>
      </c>
      <c r="BW6" s="66">
        <f t="shared" si="6"/>
        <v>0.66437792650879179</v>
      </c>
      <c r="BX6" s="66" t="e">
        <f t="shared" si="6"/>
        <v>#DIV/0!</v>
      </c>
      <c r="BY6" s="66">
        <f t="shared" si="6"/>
        <v>0.87392163048899807</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5401805417.8100014</v>
      </c>
      <c r="F7" s="27">
        <f>股权价值增加表!F6</f>
        <v>4090029697.289999</v>
      </c>
      <c r="G7" s="27">
        <f>股权价值增加表!G6</f>
        <v>2706689042.4299994</v>
      </c>
      <c r="H7" s="27">
        <f>股权价值增加表!H6</f>
        <v>1461684074.5799999</v>
      </c>
      <c r="I7" s="27">
        <f>股权价值增加表!I6</f>
        <v>4223701215.4099998</v>
      </c>
      <c r="J7" s="27">
        <f>股权价值增加表!J6</f>
        <v>3226167937.7600002</v>
      </c>
      <c r="K7" s="27">
        <f>股权价值增加表!K6</f>
        <v>2172195421.25</v>
      </c>
      <c r="L7" s="27">
        <f>股权价值增加表!L6</f>
        <v>1192484496.4199996</v>
      </c>
      <c r="M7" s="27">
        <f>股权价值增加表!M6</f>
        <v>3485236108.0799999</v>
      </c>
      <c r="N7" s="27">
        <f>股权价值增加表!N6</f>
        <v>2570966144.0199995</v>
      </c>
      <c r="O7" s="27">
        <f>股权价值增加表!O6</f>
        <v>1644362391.9400005</v>
      </c>
      <c r="P7" s="27">
        <f>股权价值增加表!P6</f>
        <v>914852203.25999975</v>
      </c>
      <c r="Q7" s="27">
        <f>股权价值增加表!Q6</f>
        <v>2796725069.9100008</v>
      </c>
      <c r="R7" s="27">
        <f>股权价值增加表!R6</f>
        <v>2031198804.3500004</v>
      </c>
      <c r="S7" s="27">
        <f>股权价值增加表!S6</f>
        <v>1318741943.9700003</v>
      </c>
      <c r="T7" s="27">
        <f>股权价值增加表!T6</f>
        <v>712579618.30999994</v>
      </c>
      <c r="U7" s="27">
        <f>股权价值增加表!U6</f>
        <v>2178334104.4700012</v>
      </c>
      <c r="V7" s="27">
        <f>股权价值增加表!V6</f>
        <v>1570882121.9399996</v>
      </c>
      <c r="W7" s="27">
        <f>股权价值增加表!W6</f>
        <v>992413425.17000008</v>
      </c>
      <c r="X7" s="27">
        <f>股权价值增加表!X6</f>
        <v>576644510.67999983</v>
      </c>
      <c r="Y7" s="27">
        <f>股权价值增加表!Y6</f>
        <v>1559949368.8300009</v>
      </c>
      <c r="Z7" s="27">
        <f>股权价值增加表!Z6</f>
        <v>1008263348.9800005</v>
      </c>
      <c r="AA7" s="27">
        <f>股权价值增加表!AA6</f>
        <v>647448149.94999981</v>
      </c>
      <c r="AB7" s="27">
        <f>股权价值增加表!AB6</f>
        <v>317509945.5</v>
      </c>
      <c r="AC7" s="27">
        <f>股权价值增加表!AC6</f>
        <v>1822488148.5500011</v>
      </c>
      <c r="AD7" s="27">
        <f>股权价值增加表!AD6</f>
        <v>1542519273.7599993</v>
      </c>
      <c r="AE7" s="27">
        <f>股权价值增加表!AE6</f>
        <v>1135714281.2299995</v>
      </c>
      <c r="AF7" s="27">
        <f>股权价值增加表!AF6</f>
        <v>622363591.69999981</v>
      </c>
      <c r="AG7" s="27">
        <f>股权价值增加表!AG6</f>
        <v>1757017816.9599991</v>
      </c>
      <c r="AH7" s="27">
        <f>股权价值增加表!AH6</f>
        <v>858415068.10999966</v>
      </c>
      <c r="AI7" s="27">
        <f>股权价值增加表!AI6</f>
        <v>570615953.8499999</v>
      </c>
      <c r="AJ7" s="27">
        <f>股权价值增加表!AJ6</f>
        <v>271529784.52000022</v>
      </c>
      <c r="AK7" s="27">
        <f>股权价值增加表!AK6</f>
        <v>1022741420.9200001</v>
      </c>
      <c r="AL7" s="27">
        <f>股权价值增加表!AL6</f>
        <v>667287994.67000008</v>
      </c>
      <c r="AM7" s="27">
        <f>股权价值增加表!AM6</f>
        <v>405940013.01999998</v>
      </c>
      <c r="AN7" s="27">
        <f>股权价值增加表!AN6</f>
        <v>185744620.03999996</v>
      </c>
      <c r="AO7" s="27">
        <f>股权价值增加表!AO6</f>
        <v>797587600.79999971</v>
      </c>
      <c r="AP7" s="27">
        <f>股权价值增加表!AP6</f>
        <v>635093644.59000015</v>
      </c>
      <c r="AQ7" s="27">
        <f>股权价值增加表!AQ6</f>
        <v>486632323.63999987</v>
      </c>
      <c r="AR7" s="27">
        <f>股权价值增加表!AR6</f>
        <v>257350193.07000017</v>
      </c>
      <c r="AS7" s="27">
        <f>股权价值增加表!AS6</f>
        <v>995885363.74000025</v>
      </c>
      <c r="AT7" s="27">
        <f>股权价值增加表!AT6</f>
        <v>772919288.3499999</v>
      </c>
      <c r="AU7" s="27">
        <f>股权价值增加表!AU6</f>
        <v>529689827</v>
      </c>
      <c r="AV7" s="27">
        <f>股权价值增加表!AV6</f>
        <v>290814647.47000003</v>
      </c>
      <c r="AW7" s="27">
        <f>股权价值增加表!AW6</f>
        <v>904912420.44000006</v>
      </c>
      <c r="AX7" s="27">
        <f>股权价值增加表!AX6</f>
        <v>648636817.68000031</v>
      </c>
      <c r="AY7" s="27">
        <f>股权价值增加表!AY6</f>
        <v>422085000.97000027</v>
      </c>
      <c r="AZ7" s="27">
        <f>股权价值增加表!AZ6</f>
        <v>218011917.12</v>
      </c>
      <c r="BA7" s="27">
        <f>股权价值增加表!BA6</f>
        <v>650057211.21999979</v>
      </c>
      <c r="BB7" s="27">
        <f>股权价值增加表!BB6</f>
        <v>428772440.31999993</v>
      </c>
      <c r="BC7" s="27">
        <f>股权价值增加表!BC6</f>
        <v>285156306.16000009</v>
      </c>
      <c r="BD7" s="27">
        <f>股权价值增加表!BD6</f>
        <v>163736890.50999999</v>
      </c>
      <c r="BE7" s="27">
        <f>股权价值增加表!BE6</f>
        <v>462086582.8499999</v>
      </c>
      <c r="BF7" s="27">
        <f>股权价值增加表!BF6</f>
        <v>339974056.61999989</v>
      </c>
      <c r="BG7" s="27">
        <f>股权价值增加表!BG6</f>
        <v>228936920.25</v>
      </c>
      <c r="BH7" s="27">
        <f>股权价值增加表!BH6</f>
        <v>124823295.33999997</v>
      </c>
      <c r="BI7" s="27">
        <f>股权价值增加表!BI6</f>
        <v>533618905.68000031</v>
      </c>
      <c r="BJ7" s="27">
        <f>股权价值增加表!BJ6</f>
        <v>323057677.27999997</v>
      </c>
      <c r="BK7" s="27">
        <f>股权价值增加表!BK6</f>
        <v>220965327.81999993</v>
      </c>
      <c r="BL7" s="27">
        <f>股权价值增加表!BL6</f>
        <v>160480022.16999996</v>
      </c>
      <c r="BM7" s="27">
        <f>股权价值增加表!BM6</f>
        <v>600463499.98000002</v>
      </c>
      <c r="BN7" s="27">
        <f>股权价值增加表!BN6</f>
        <v>536697105.69999981</v>
      </c>
      <c r="BO7" s="27">
        <f>股权价值增加表!BO6</f>
        <v>387280733.00999999</v>
      </c>
      <c r="BP7" s="27">
        <f>股权价值增加表!BP6</f>
        <v>212208477.52000004</v>
      </c>
      <c r="BQ7" s="27">
        <f>股权价值增加表!BQ6</f>
        <v>482094230.50999999</v>
      </c>
      <c r="BR7" s="27">
        <f>股权价值增加表!BR6</f>
        <v>303412353.71999991</v>
      </c>
      <c r="BS7" s="27">
        <f>股权价值增加表!BS6</f>
        <v>717502148.82999992</v>
      </c>
      <c r="BT7" s="27">
        <f>股权价值增加表!BT6</f>
        <v>406688231.70999992</v>
      </c>
      <c r="BU7" s="27">
        <f>股权价值增加表!BU6</f>
        <v>769714460.74000025</v>
      </c>
      <c r="BV7" s="27">
        <f>股权价值增加表!BV6</f>
        <v>398729861.46000004</v>
      </c>
      <c r="BW7" s="27">
        <f>股权价值增加表!BW6</f>
        <v>593994518</v>
      </c>
      <c r="BX7" s="27">
        <f>股权价值增加表!BX6</f>
        <v>309279595.88999999</v>
      </c>
      <c r="BY7" s="27">
        <f>股权价值增加表!BY6</f>
        <v>547611960.45000005</v>
      </c>
      <c r="BZ7" s="27">
        <f>股权价值增加表!BZ6</f>
        <v>882693130</v>
      </c>
      <c r="CA7" s="27">
        <f>股权价值增加表!CA6</f>
        <v>407957535.50000012</v>
      </c>
      <c r="CB7" s="27">
        <f>股权价值增加表!CB6</f>
        <v>661118000</v>
      </c>
      <c r="CC7" s="27">
        <f>股权价值增加表!CC6</f>
        <v>315930566.58000004</v>
      </c>
      <c r="CD7" s="27">
        <f>股权价值增加表!CD6</f>
        <v>764095148.28999996</v>
      </c>
      <c r="CE7" s="27">
        <f>股权价值增加表!CE6</f>
        <v>484685682.33999997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0.2526014230290593</v>
      </c>
      <c r="F8" s="66">
        <f t="shared" ref="F8:BQ8" si="7">F7/F2</f>
        <v>0.25599301352678194</v>
      </c>
      <c r="G8" s="66">
        <f t="shared" si="7"/>
        <v>0.25611974417726174</v>
      </c>
      <c r="H8" s="66">
        <f t="shared" si="7"/>
        <v>0.2568688047960771</v>
      </c>
      <c r="I8" s="66">
        <f t="shared" si="7"/>
        <v>0.2585689208825071</v>
      </c>
      <c r="J8" s="66">
        <f t="shared" si="7"/>
        <v>0.26760661658248008</v>
      </c>
      <c r="K8" s="66">
        <f t="shared" si="7"/>
        <v>0.27204174240635642</v>
      </c>
      <c r="L8" s="66">
        <f t="shared" si="7"/>
        <v>0.28126099860624881</v>
      </c>
      <c r="M8" s="66">
        <f t="shared" si="7"/>
        <v>0.26540779189135894</v>
      </c>
      <c r="N8" s="66">
        <f t="shared" si="7"/>
        <v>0.2674752988713443</v>
      </c>
      <c r="O8" s="66">
        <f t="shared" si="7"/>
        <v>0.2694834970245461</v>
      </c>
      <c r="P8" s="66">
        <f t="shared" si="7"/>
        <v>0.27773522418286611</v>
      </c>
      <c r="Q8" s="66">
        <f t="shared" si="7"/>
        <v>0.25885494480576088</v>
      </c>
      <c r="R8" s="66">
        <f t="shared" si="7"/>
        <v>0.2611360813573384</v>
      </c>
      <c r="S8" s="66">
        <f t="shared" si="7"/>
        <v>0.26512401014283721</v>
      </c>
      <c r="T8" s="66">
        <f t="shared" si="7"/>
        <v>0.27660533268500032</v>
      </c>
      <c r="U8" s="66">
        <f t="shared" si="7"/>
        <v>0.24958124140360943</v>
      </c>
      <c r="V8" s="66">
        <f t="shared" si="7"/>
        <v>0.24737854269872139</v>
      </c>
      <c r="W8" s="66">
        <f t="shared" si="7"/>
        <v>0.24821354223607875</v>
      </c>
      <c r="X8" s="66">
        <f t="shared" si="7"/>
        <v>0.24441939952228955</v>
      </c>
      <c r="Y8" s="66">
        <f t="shared" si="7"/>
        <v>0.22608407721907192</v>
      </c>
      <c r="Z8" s="66">
        <f t="shared" si="7"/>
        <v>0.22037973094731514</v>
      </c>
      <c r="AA8" s="66">
        <f t="shared" si="7"/>
        <v>0.20876476055216758</v>
      </c>
      <c r="AB8" s="66">
        <f t="shared" si="7"/>
        <v>0.19484333684219113</v>
      </c>
      <c r="AC8" s="66">
        <f t="shared" si="7"/>
        <v>0.16604873943491152</v>
      </c>
      <c r="AD8" s="66">
        <f t="shared" si="7"/>
        <v>0.16469751099442295</v>
      </c>
      <c r="AE8" s="66">
        <f t="shared" si="7"/>
        <v>0.16831595467697372</v>
      </c>
      <c r="AF8" s="66">
        <f t="shared" si="7"/>
        <v>0.16243682970738726</v>
      </c>
      <c r="AG8" s="66">
        <f t="shared" si="7"/>
        <v>0.15684344633287498</v>
      </c>
      <c r="AH8" s="66">
        <f t="shared" si="7"/>
        <v>0.15387851790901208</v>
      </c>
      <c r="AI8" s="66">
        <f t="shared" si="7"/>
        <v>0.15701562495009153</v>
      </c>
      <c r="AJ8" s="66">
        <f t="shared" si="7"/>
        <v>0.1633648782384331</v>
      </c>
      <c r="AK8" s="66">
        <f t="shared" si="7"/>
        <v>0.23375640636367215</v>
      </c>
      <c r="AL8" s="66">
        <f t="shared" si="7"/>
        <v>0.22868203256402195</v>
      </c>
      <c r="AM8" s="66">
        <f t="shared" si="7"/>
        <v>0.21337316178810981</v>
      </c>
      <c r="AN8" s="66">
        <f t="shared" si="7"/>
        <v>0.19068215733177993</v>
      </c>
      <c r="AO8" s="66">
        <f t="shared" si="7"/>
        <v>0.1857884765141565</v>
      </c>
      <c r="AP8" s="66">
        <f t="shared" si="7"/>
        <v>0.18545798415298892</v>
      </c>
      <c r="AQ8" s="66">
        <f t="shared" si="7"/>
        <v>0.20072038706644663</v>
      </c>
      <c r="AR8" s="66">
        <f t="shared" si="7"/>
        <v>0.2261513771848738</v>
      </c>
      <c r="AS8" s="66">
        <f t="shared" si="7"/>
        <v>0.19914952389250318</v>
      </c>
      <c r="AT8" s="66">
        <f t="shared" si="7"/>
        <v>0.18909803731947372</v>
      </c>
      <c r="AU8" s="66">
        <f t="shared" si="7"/>
        <v>0.18662621739869167</v>
      </c>
      <c r="AV8" s="66">
        <f t="shared" si="7"/>
        <v>0.2008073327437494</v>
      </c>
      <c r="AW8" s="66">
        <f t="shared" si="7"/>
        <v>0.21260351951138556</v>
      </c>
      <c r="AX8" s="66">
        <f t="shared" si="7"/>
        <v>0.2010830574194292</v>
      </c>
      <c r="AY8" s="66">
        <f t="shared" si="7"/>
        <v>0.19570740836005215</v>
      </c>
      <c r="AZ8" s="66">
        <f t="shared" si="7"/>
        <v>0.22334009228771254</v>
      </c>
      <c r="BA8" s="66">
        <f t="shared" si="7"/>
        <v>0.19939368282730283</v>
      </c>
      <c r="BB8" s="66">
        <f t="shared" si="7"/>
        <v>0.19620333057627104</v>
      </c>
      <c r="BC8" s="66">
        <f t="shared" si="7"/>
        <v>0.20420733571999647</v>
      </c>
      <c r="BD8" s="66">
        <f t="shared" si="7"/>
        <v>0.22661749745117576</v>
      </c>
      <c r="BE8" s="66">
        <f t="shared" si="7"/>
        <v>0.19071374757134479</v>
      </c>
      <c r="BF8" s="66">
        <f t="shared" si="7"/>
        <v>0.2084365214878483</v>
      </c>
      <c r="BG8" s="66">
        <f t="shared" si="7"/>
        <v>0.20872876812918531</v>
      </c>
      <c r="BH8" s="66">
        <f t="shared" si="7"/>
        <v>0.21027392400616143</v>
      </c>
      <c r="BI8" s="66">
        <f t="shared" si="7"/>
        <v>0.18392278465226811</v>
      </c>
      <c r="BJ8" s="66">
        <f t="shared" si="7"/>
        <v>0.16359034668859876</v>
      </c>
      <c r="BK8" s="66">
        <f t="shared" si="7"/>
        <v>0.16016058815281603</v>
      </c>
      <c r="BL8" s="66">
        <f t="shared" si="7"/>
        <v>0.19014115305716842</v>
      </c>
      <c r="BM8" s="66">
        <f t="shared" si="7"/>
        <v>0.2041142100937994</v>
      </c>
      <c r="BN8" s="66">
        <f t="shared" si="7"/>
        <v>0.22238499550816512</v>
      </c>
      <c r="BO8" s="66">
        <f t="shared" si="7"/>
        <v>0.24933568204964682</v>
      </c>
      <c r="BP8" s="66">
        <f t="shared" si="7"/>
        <v>0.30101441381662158</v>
      </c>
      <c r="BQ8" s="66">
        <f t="shared" si="7"/>
        <v>0.24678580178674725</v>
      </c>
      <c r="BR8" s="66">
        <f t="shared" ref="BR8:CJ8" si="8">BR7/BR2</f>
        <v>0.26859358733849059</v>
      </c>
      <c r="BS8" s="66">
        <f t="shared" si="8"/>
        <v>0.2633167355841935</v>
      </c>
      <c r="BT8" s="66">
        <f t="shared" si="8"/>
        <v>0.27599830367068812</v>
      </c>
      <c r="BU8" s="66">
        <f t="shared" si="8"/>
        <v>0.2894060671607116</v>
      </c>
      <c r="BV8" s="66">
        <f t="shared" si="8"/>
        <v>0.2825685473242337</v>
      </c>
      <c r="BW8" s="66">
        <f t="shared" si="8"/>
        <v>0.27408817034446115</v>
      </c>
      <c r="BX8" s="66">
        <f t="shared" si="8"/>
        <v>0.30790868507589841</v>
      </c>
      <c r="BY8" s="66">
        <f t="shared" si="8"/>
        <v>0.29771935232772012</v>
      </c>
      <c r="BZ8" s="66">
        <f t="shared" si="8"/>
        <v>1</v>
      </c>
      <c r="CA8" s="66">
        <f t="shared" si="8"/>
        <v>0.30148544387555865</v>
      </c>
      <c r="CB8" s="66">
        <f t="shared" si="8"/>
        <v>1</v>
      </c>
      <c r="CC8" s="66">
        <f t="shared" si="8"/>
        <v>0.31427830394882211</v>
      </c>
      <c r="CD8" s="66">
        <f t="shared" si="8"/>
        <v>1</v>
      </c>
      <c r="CE8" s="66">
        <f t="shared" si="8"/>
        <v>1</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0.27892697478262357</v>
      </c>
      <c r="F9" s="66">
        <f t="shared" ref="F9:BQ9" si="9">(F7-J7)/J7</f>
        <v>0.26776713927973544</v>
      </c>
      <c r="G9" s="66">
        <f t="shared" si="9"/>
        <v>0.24606148045023615</v>
      </c>
      <c r="H9" s="66">
        <f t="shared" si="9"/>
        <v>0.22574681596966167</v>
      </c>
      <c r="I9" s="66">
        <f t="shared" si="9"/>
        <v>0.21188381057397482</v>
      </c>
      <c r="J9" s="66">
        <f t="shared" si="9"/>
        <v>0.25484652735081054</v>
      </c>
      <c r="K9" s="66">
        <f t="shared" si="9"/>
        <v>0.32099556149983938</v>
      </c>
      <c r="L9" s="66">
        <f t="shared" si="9"/>
        <v>0.30347229002748233</v>
      </c>
      <c r="M9" s="66">
        <f t="shared" si="9"/>
        <v>0.24618474142406696</v>
      </c>
      <c r="N9" s="66">
        <f t="shared" si="9"/>
        <v>0.26573831104766177</v>
      </c>
      <c r="O9" s="66">
        <f t="shared" si="9"/>
        <v>0.24691748788222947</v>
      </c>
      <c r="P9" s="66">
        <f t="shared" si="9"/>
        <v>0.28385962740517695</v>
      </c>
      <c r="Q9" s="66">
        <f t="shared" si="9"/>
        <v>0.28388251562101718</v>
      </c>
      <c r="R9" s="66">
        <f t="shared" si="9"/>
        <v>0.29303069656271941</v>
      </c>
      <c r="S9" s="66">
        <f t="shared" si="9"/>
        <v>0.32882316031154074</v>
      </c>
      <c r="T9" s="66">
        <f t="shared" si="9"/>
        <v>0.23573467727924882</v>
      </c>
      <c r="U9" s="66">
        <f t="shared" si="9"/>
        <v>0.39641333750710356</v>
      </c>
      <c r="V9" s="66">
        <f t="shared" si="9"/>
        <v>0.55800776010470554</v>
      </c>
      <c r="W9" s="66">
        <f t="shared" si="9"/>
        <v>0.53280756960482589</v>
      </c>
      <c r="X9" s="66">
        <f t="shared" si="9"/>
        <v>0.81614629353397639</v>
      </c>
      <c r="Y9" s="66">
        <f t="shared" si="9"/>
        <v>-0.14405513689012467</v>
      </c>
      <c r="Z9" s="66">
        <f t="shared" si="9"/>
        <v>-0.34635283582402987</v>
      </c>
      <c r="AA9" s="66">
        <f t="shared" si="9"/>
        <v>-0.42991986571763324</v>
      </c>
      <c r="AB9" s="66">
        <f t="shared" si="9"/>
        <v>-0.48983206965446902</v>
      </c>
      <c r="AC9" s="66">
        <f t="shared" si="9"/>
        <v>3.7262189920919044E-2</v>
      </c>
      <c r="AD9" s="66">
        <f t="shared" si="9"/>
        <v>0.79693872004858213</v>
      </c>
      <c r="AE9" s="66">
        <f t="shared" si="9"/>
        <v>0.99033040272923967</v>
      </c>
      <c r="AF9" s="66">
        <f t="shared" si="9"/>
        <v>1.292063807291675</v>
      </c>
      <c r="AG9" s="66">
        <f t="shared" si="9"/>
        <v>0.71794921083716912</v>
      </c>
      <c r="AH9" s="66">
        <f t="shared" si="9"/>
        <v>0.28642366559362331</v>
      </c>
      <c r="AI9" s="66">
        <f t="shared" si="9"/>
        <v>0.40566570317838224</v>
      </c>
      <c r="AJ9" s="66">
        <f t="shared" si="9"/>
        <v>0.46184467933190465</v>
      </c>
      <c r="AK9" s="66">
        <f t="shared" si="9"/>
        <v>0.28229353101046911</v>
      </c>
      <c r="AL9" s="66">
        <f t="shared" si="9"/>
        <v>5.069228822276084E-2</v>
      </c>
      <c r="AM9" s="66">
        <f t="shared" si="9"/>
        <v>-0.16581781912147356</v>
      </c>
      <c r="AN9" s="66">
        <f t="shared" si="9"/>
        <v>-0.27824176922425403</v>
      </c>
      <c r="AO9" s="66">
        <f t="shared" si="9"/>
        <v>-0.19911705720355471</v>
      </c>
      <c r="AP9" s="66">
        <f t="shared" si="9"/>
        <v>-0.17831828735213084</v>
      </c>
      <c r="AQ9" s="66">
        <f t="shared" si="9"/>
        <v>-8.1288144807055415E-2</v>
      </c>
      <c r="AR9" s="66">
        <f t="shared" si="9"/>
        <v>-0.11507141985842373</v>
      </c>
      <c r="AS9" s="66">
        <f t="shared" si="9"/>
        <v>0.10053231809523176</v>
      </c>
      <c r="AT9" s="66">
        <f t="shared" si="9"/>
        <v>0.19160563705668854</v>
      </c>
      <c r="AU9" s="66">
        <f t="shared" si="9"/>
        <v>0.25493638907497629</v>
      </c>
      <c r="AV9" s="66">
        <f t="shared" si="9"/>
        <v>0.33393922365228923</v>
      </c>
      <c r="AW9" s="66">
        <f t="shared" si="9"/>
        <v>0.39205043005630047</v>
      </c>
      <c r="AX9" s="66">
        <f t="shared" si="9"/>
        <v>0.51277637433019707</v>
      </c>
      <c r="AY9" s="66">
        <f t="shared" si="9"/>
        <v>0.48018820503717013</v>
      </c>
      <c r="AZ9" s="66">
        <f t="shared" si="9"/>
        <v>0.3314770815602196</v>
      </c>
      <c r="BA9" s="66">
        <f t="shared" si="9"/>
        <v>0.40678659659550842</v>
      </c>
      <c r="BB9" s="66">
        <f t="shared" si="9"/>
        <v>0.26119164674748374</v>
      </c>
      <c r="BC9" s="66">
        <f t="shared" si="9"/>
        <v>0.24556714508349417</v>
      </c>
      <c r="BD9" s="66">
        <f t="shared" si="9"/>
        <v>0.31174946202153381</v>
      </c>
      <c r="BE9" s="66">
        <f t="shared" si="9"/>
        <v>-0.13405132777079076</v>
      </c>
      <c r="BF9" s="66">
        <f t="shared" si="9"/>
        <v>5.2363341067849567E-2</v>
      </c>
      <c r="BG9" s="66">
        <f t="shared" si="9"/>
        <v>3.6076213895846081E-2</v>
      </c>
      <c r="BH9" s="66">
        <f t="shared" si="9"/>
        <v>-0.22218794805641318</v>
      </c>
      <c r="BI9" s="66">
        <f t="shared" si="9"/>
        <v>-0.11132166118710987</v>
      </c>
      <c r="BJ9" s="66">
        <f t="shared" si="9"/>
        <v>-0.39806331383389071</v>
      </c>
      <c r="BK9" s="66">
        <f t="shared" si="9"/>
        <v>-0.42944404669288216</v>
      </c>
      <c r="BL9" s="66">
        <f t="shared" si="9"/>
        <v>-0.24376243566954023</v>
      </c>
      <c r="BM9" s="66">
        <f t="shared" si="9"/>
        <v>0.24553139610233257</v>
      </c>
      <c r="BN9" s="66">
        <f t="shared" si="9"/>
        <v>0.76887031500135838</v>
      </c>
      <c r="BO9" s="66">
        <f t="shared" si="9"/>
        <v>-0.46023752870772289</v>
      </c>
      <c r="BP9" s="66">
        <f t="shared" si="9"/>
        <v>-0.47820354518809621</v>
      </c>
      <c r="BQ9" s="66">
        <f t="shared" si="9"/>
        <v>-0.37367133515132789</v>
      </c>
      <c r="BR9" s="66">
        <f t="shared" ref="BR9:CK9" si="10">(BR7-BV7)/BV7</f>
        <v>-0.23905284492860146</v>
      </c>
      <c r="BS9" s="66">
        <f t="shared" si="10"/>
        <v>0.20792722337885267</v>
      </c>
      <c r="BT9" s="66">
        <f t="shared" si="10"/>
        <v>0.31495332092533129</v>
      </c>
      <c r="BU9" s="66">
        <f t="shared" si="10"/>
        <v>0.40558372776863294</v>
      </c>
      <c r="BV9" s="66">
        <f t="shared" si="10"/>
        <v>-0.54828031633145258</v>
      </c>
      <c r="BW9" s="66">
        <f t="shared" si="10"/>
        <v>0.45602045877640085</v>
      </c>
      <c r="BX9" s="66">
        <f t="shared" si="10"/>
        <v>-0.53218699855396467</v>
      </c>
      <c r="BY9" s="66">
        <f t="shared" si="10"/>
        <v>0.73333009964179441</v>
      </c>
      <c r="BZ9" s="66">
        <f t="shared" si="10"/>
        <v>0.15521363010276318</v>
      </c>
      <c r="CA9" s="66">
        <f t="shared" si="10"/>
        <v>-0.15830495852397838</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131791477.12</v>
      </c>
      <c r="F10" s="27">
        <f>股权价值增加表!F8</f>
        <v>98446618.900000006</v>
      </c>
      <c r="G10" s="27">
        <f>股权价值增加表!G8</f>
        <v>64532273.740000002</v>
      </c>
      <c r="H10" s="27">
        <f>股权价值增加表!H8</f>
        <v>29239701.579999998</v>
      </c>
      <c r="I10" s="27">
        <f>股权价值增加表!I8</f>
        <v>99204438.579999998</v>
      </c>
      <c r="J10" s="27">
        <f>股权价值增加表!J8</f>
        <v>62360730.859999999</v>
      </c>
      <c r="K10" s="27">
        <f>股权价值增加表!K8</f>
        <v>44723877.460000001</v>
      </c>
      <c r="L10" s="27">
        <f>股权价值增加表!L8</f>
        <v>25562733.25</v>
      </c>
      <c r="M10" s="27">
        <f>股权价值增加表!M8</f>
        <v>66761675.479999997</v>
      </c>
      <c r="N10" s="27">
        <f>股权价值增加表!N8</f>
        <v>57452288.109999999</v>
      </c>
      <c r="O10" s="27">
        <f>股权价值增加表!O8</f>
        <v>37697582.259999998</v>
      </c>
      <c r="P10" s="27">
        <f>股权价值增加表!P8</f>
        <v>17128541.02</v>
      </c>
      <c r="Q10" s="27">
        <f>股权价值增加表!Q8</f>
        <v>67429778.790000007</v>
      </c>
      <c r="R10" s="27">
        <f>股权价值增加表!R8</f>
        <v>51122619.479999997</v>
      </c>
      <c r="S10" s="27">
        <f>股权价值增加表!S8</f>
        <v>31180668.93</v>
      </c>
      <c r="T10" s="27">
        <f>股权价值增加表!T8</f>
        <v>18158736.210000001</v>
      </c>
      <c r="U10" s="27">
        <f>股权价值增加表!U8</f>
        <v>53002629.990000002</v>
      </c>
      <c r="V10" s="27">
        <f>股权价值增加表!V8</f>
        <v>40669122.030000001</v>
      </c>
      <c r="W10" s="27">
        <f>股权价值增加表!W8</f>
        <v>25957616.210000001</v>
      </c>
      <c r="X10" s="27">
        <f>股权价值增加表!X8</f>
        <v>17327435.34</v>
      </c>
      <c r="Y10" s="27">
        <f>股权价值增加表!Y8</f>
        <v>30481840.170000002</v>
      </c>
      <c r="Z10" s="27">
        <f>股权价值增加表!Z8</f>
        <v>24274034.120000001</v>
      </c>
      <c r="AA10" s="27">
        <f>股权价值增加表!AA8</f>
        <v>15731754.99</v>
      </c>
      <c r="AB10" s="27">
        <f>股权价值增加表!AB8</f>
        <v>11841728.85</v>
      </c>
      <c r="AC10" s="27">
        <f>股权价值增加表!AC8</f>
        <v>22435896.129999999</v>
      </c>
      <c r="AD10" s="27">
        <f>股权价值增加表!AD8</f>
        <v>18817214.73</v>
      </c>
      <c r="AE10" s="27">
        <f>股权价值增加表!AE8</f>
        <v>15808434.08</v>
      </c>
      <c r="AF10" s="27">
        <f>股权价值增加表!AF8</f>
        <v>9475406.3699999992</v>
      </c>
      <c r="AG10" s="27">
        <f>股权价值增加表!AG8</f>
        <v>23799193.190000001</v>
      </c>
      <c r="AH10" s="27">
        <f>股权价值增加表!AH8</f>
        <v>13490511.699999999</v>
      </c>
      <c r="AI10" s="27">
        <f>股权价值增加表!AI8</f>
        <v>9954984.4000000004</v>
      </c>
      <c r="AJ10" s="27">
        <f>股权价值增加表!AJ8</f>
        <v>5091868.01</v>
      </c>
      <c r="AK10" s="27">
        <f>股权价值增加表!AK8</f>
        <v>19057858.100000001</v>
      </c>
      <c r="AL10" s="27">
        <f>股权价值增加表!AL8</f>
        <v>14468653.779999999</v>
      </c>
      <c r="AM10" s="27">
        <f>股权价值增加表!AM8</f>
        <v>10960213.77</v>
      </c>
      <c r="AN10" s="27">
        <f>股权价值增加表!AN8</f>
        <v>7247483.2300000004</v>
      </c>
      <c r="AO10" s="27">
        <f>股权价值增加表!AO8</f>
        <v>17500882.039999999</v>
      </c>
      <c r="AP10" s="27">
        <f>股权价值增加表!AP8</f>
        <v>11116954.939999999</v>
      </c>
      <c r="AQ10" s="27">
        <f>股权价值增加表!AQ8</f>
        <v>7499547.7000000002</v>
      </c>
      <c r="AR10" s="27">
        <f>股权价值增加表!AR8</f>
        <v>5119721.3</v>
      </c>
      <c r="AS10" s="27">
        <f>股权价值增加表!AS8</f>
        <v>22623370.5</v>
      </c>
      <c r="AT10" s="27">
        <f>股权价值增加表!AT8</f>
        <v>15200247.67</v>
      </c>
      <c r="AU10" s="27">
        <f>股权价值增加表!AU8</f>
        <v>9962138.1799999997</v>
      </c>
      <c r="AV10" s="27">
        <f>股权价值增加表!AV8</f>
        <v>6160000.3099999996</v>
      </c>
      <c r="AW10" s="27">
        <f>股权价值增加表!AW8</f>
        <v>14491471.82</v>
      </c>
      <c r="AX10" s="27">
        <f>股权价值增加表!AX8</f>
        <v>11154144.18</v>
      </c>
      <c r="AY10" s="27">
        <f>股权价值增加表!AY8</f>
        <v>8406724.8900000006</v>
      </c>
      <c r="AZ10" s="27">
        <f>股权价值增加表!AZ8</f>
        <v>4202084.05</v>
      </c>
      <c r="BA10" s="27">
        <f>股权价值增加表!BA8</f>
        <v>10799593.949999999</v>
      </c>
      <c r="BB10" s="27">
        <f>股权价值增加表!BB8</f>
        <v>8255445.0300000003</v>
      </c>
      <c r="BC10" s="27">
        <f>股权价值增加表!BC8</f>
        <v>5873605.7599999998</v>
      </c>
      <c r="BD10" s="27">
        <f>股权价值增加表!BD8</f>
        <v>2851388.8</v>
      </c>
      <c r="BE10" s="27">
        <f>股权价值增加表!BE8</f>
        <v>5642078.4100000001</v>
      </c>
      <c r="BF10" s="27">
        <f>股权价值增加表!BF8</f>
        <v>4663285.51</v>
      </c>
      <c r="BG10" s="27">
        <f>股权价值增加表!BG8</f>
        <v>2595207.86</v>
      </c>
      <c r="BH10" s="27">
        <f>股权价值增加表!BH8</f>
        <v>1935011.26</v>
      </c>
      <c r="BI10" s="27">
        <f>股权价值增加表!BI8</f>
        <v>11960428.98</v>
      </c>
      <c r="BJ10" s="27">
        <f>股权价值增加表!BJ8</f>
        <v>5938607.2199999997</v>
      </c>
      <c r="BK10" s="27">
        <f>股权价值增加表!BK8</f>
        <v>3220189.63</v>
      </c>
      <c r="BL10" s="27">
        <f>股权价值增加表!BL8</f>
        <v>2276290.83</v>
      </c>
      <c r="BM10" s="27">
        <f>股权价值增加表!BM8</f>
        <v>9193914.8300000001</v>
      </c>
      <c r="BN10" s="27">
        <f>股权价值增加表!BN8</f>
        <v>8252948.3700000001</v>
      </c>
      <c r="BO10" s="27">
        <f>股权价值增加表!BO8</f>
        <v>6212946.46</v>
      </c>
      <c r="BP10" s="27">
        <f>股权价值增加表!BP8</f>
        <v>4762321.46</v>
      </c>
      <c r="BQ10" s="27">
        <f>股权价值增加表!BQ8</f>
        <v>12702583.960000001</v>
      </c>
      <c r="BR10" s="27">
        <f>股权价值增加表!BR8</f>
        <v>7632378.6399999997</v>
      </c>
      <c r="BS10" s="27">
        <f>股权价值增加表!BS8</f>
        <v>14553861.73</v>
      </c>
      <c r="BT10" s="27">
        <f>股权价值增加表!BT8</f>
        <v>7009597.2999999998</v>
      </c>
      <c r="BU10" s="27">
        <f>股权价值增加表!BU8</f>
        <v>17589703.219999999</v>
      </c>
      <c r="BV10" s="27">
        <f>股权价值增加表!BV8</f>
        <v>8384055.7000000002</v>
      </c>
      <c r="BW10" s="27">
        <f>股权价值增加表!BW8</f>
        <v>12094071.689999999</v>
      </c>
      <c r="BX10" s="27">
        <f>股权价值增加表!BX8</f>
        <v>5731319.0700000003</v>
      </c>
      <c r="BY10" s="27">
        <f>股权价值增加表!BY8</f>
        <v>13887109.609999999</v>
      </c>
      <c r="BZ10" s="27">
        <f>股权价值增加表!BZ8</f>
        <v>0</v>
      </c>
      <c r="CA10" s="27">
        <f>股权价值增加表!CA8</f>
        <v>8984585.9100000001</v>
      </c>
      <c r="CB10" s="27">
        <f>股权价值增加表!CB8</f>
        <v>0</v>
      </c>
      <c r="CC10" s="27">
        <f>股权价值增加表!CC8</f>
        <v>5728193.0599999996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6.1628866811552843E-3</v>
      </c>
      <c r="F11" s="57">
        <f t="shared" ref="F11:BQ11" si="11">F10/F2</f>
        <v>6.161727055535058E-3</v>
      </c>
      <c r="G11" s="57">
        <f t="shared" si="11"/>
        <v>6.1063495593226338E-3</v>
      </c>
      <c r="H11" s="57">
        <f t="shared" si="11"/>
        <v>5.1384340351431339E-3</v>
      </c>
      <c r="I11" s="57">
        <f t="shared" si="11"/>
        <v>6.073153218508512E-3</v>
      </c>
      <c r="J11" s="57">
        <f t="shared" si="11"/>
        <v>5.1727450383882373E-3</v>
      </c>
      <c r="K11" s="57">
        <f t="shared" si="11"/>
        <v>5.6011358059052307E-3</v>
      </c>
      <c r="L11" s="57">
        <f t="shared" si="11"/>
        <v>6.0292606759961374E-3</v>
      </c>
      <c r="M11" s="57">
        <f t="shared" si="11"/>
        <v>5.0840368694204854E-3</v>
      </c>
      <c r="N11" s="57">
        <f t="shared" si="11"/>
        <v>5.9771568633092392E-3</v>
      </c>
      <c r="O11" s="57">
        <f t="shared" si="11"/>
        <v>6.1780033079021964E-3</v>
      </c>
      <c r="P11" s="57">
        <f t="shared" si="11"/>
        <v>5.1999647190696307E-3</v>
      </c>
      <c r="Q11" s="57">
        <f t="shared" si="11"/>
        <v>6.2410609661792066E-3</v>
      </c>
      <c r="R11" s="57">
        <f t="shared" si="11"/>
        <v>6.572453908076036E-3</v>
      </c>
      <c r="S11" s="57">
        <f t="shared" si="11"/>
        <v>6.2686593260021673E-3</v>
      </c>
      <c r="T11" s="57">
        <f t="shared" si="11"/>
        <v>7.0487607860839725E-3</v>
      </c>
      <c r="U11" s="57">
        <f t="shared" si="11"/>
        <v>6.0727425436783149E-3</v>
      </c>
      <c r="V11" s="57">
        <f t="shared" si="11"/>
        <v>6.4044704565057982E-3</v>
      </c>
      <c r="W11" s="57">
        <f t="shared" si="11"/>
        <v>6.4922860816650765E-3</v>
      </c>
      <c r="X11" s="57">
        <f t="shared" si="11"/>
        <v>7.3444925992095988E-3</v>
      </c>
      <c r="Y11" s="57">
        <f t="shared" si="11"/>
        <v>4.4177451169087924E-3</v>
      </c>
      <c r="Z11" s="57">
        <f t="shared" si="11"/>
        <v>5.3056625670102166E-3</v>
      </c>
      <c r="AA11" s="57">
        <f t="shared" si="11"/>
        <v>5.0725854476630257E-3</v>
      </c>
      <c r="AB11" s="57">
        <f t="shared" si="11"/>
        <v>7.2668021767980885E-3</v>
      </c>
      <c r="AC11" s="57">
        <f t="shared" si="11"/>
        <v>2.0441571998386578E-3</v>
      </c>
      <c r="AD11" s="57">
        <f t="shared" si="11"/>
        <v>2.0091472972808954E-3</v>
      </c>
      <c r="AE11" s="57">
        <f t="shared" si="11"/>
        <v>2.3428530556483789E-3</v>
      </c>
      <c r="AF11" s="57">
        <f t="shared" si="11"/>
        <v>2.4730800314455201E-3</v>
      </c>
      <c r="AG11" s="57">
        <f t="shared" si="11"/>
        <v>2.1244790142879184E-3</v>
      </c>
      <c r="AH11" s="57">
        <f t="shared" si="11"/>
        <v>2.4182939272032618E-3</v>
      </c>
      <c r="AI11" s="57">
        <f t="shared" si="11"/>
        <v>2.7392996750057693E-3</v>
      </c>
      <c r="AJ11" s="57">
        <f t="shared" si="11"/>
        <v>3.0635033240655478E-3</v>
      </c>
      <c r="AK11" s="57">
        <f t="shared" si="11"/>
        <v>4.3558384664204074E-3</v>
      </c>
      <c r="AL11" s="57">
        <f t="shared" si="11"/>
        <v>4.9584604867824889E-3</v>
      </c>
      <c r="AM11" s="57">
        <f t="shared" si="11"/>
        <v>5.7609878084702608E-3</v>
      </c>
      <c r="AN11" s="57">
        <f t="shared" si="11"/>
        <v>7.4401387088610773E-3</v>
      </c>
      <c r="AO11" s="57">
        <f t="shared" si="11"/>
        <v>4.0766208108103325E-3</v>
      </c>
      <c r="AP11" s="57">
        <f t="shared" si="11"/>
        <v>3.2463370884824546E-3</v>
      </c>
      <c r="AQ11" s="57">
        <f t="shared" si="11"/>
        <v>3.0933253794313857E-3</v>
      </c>
      <c r="AR11" s="57">
        <f t="shared" si="11"/>
        <v>4.4990524739291649E-3</v>
      </c>
      <c r="AS11" s="57">
        <f t="shared" si="11"/>
        <v>4.5240482770012407E-3</v>
      </c>
      <c r="AT11" s="57">
        <f t="shared" si="11"/>
        <v>3.7188061476676744E-3</v>
      </c>
      <c r="AU11" s="57">
        <f t="shared" si="11"/>
        <v>3.5099714417141082E-3</v>
      </c>
      <c r="AV11" s="57">
        <f t="shared" si="11"/>
        <v>4.2534763730543304E-3</v>
      </c>
      <c r="AW11" s="57">
        <f t="shared" si="11"/>
        <v>3.4046807649451916E-3</v>
      </c>
      <c r="AX11" s="57">
        <f t="shared" si="11"/>
        <v>3.4578817505824238E-3</v>
      </c>
      <c r="AY11" s="57">
        <f t="shared" si="11"/>
        <v>3.8979313106053287E-3</v>
      </c>
      <c r="AZ11" s="57">
        <f t="shared" si="11"/>
        <v>4.3047822886266851E-3</v>
      </c>
      <c r="BA11" s="57">
        <f t="shared" si="11"/>
        <v>3.3125866055521537E-3</v>
      </c>
      <c r="BB11" s="57">
        <f t="shared" si="11"/>
        <v>3.7776350762340999E-3</v>
      </c>
      <c r="BC11" s="57">
        <f t="shared" si="11"/>
        <v>4.2062313103685229E-3</v>
      </c>
      <c r="BD11" s="57">
        <f t="shared" si="11"/>
        <v>3.9464203338883301E-3</v>
      </c>
      <c r="BE11" s="57">
        <f t="shared" si="11"/>
        <v>2.3286153668992528E-3</v>
      </c>
      <c r="BF11" s="57">
        <f t="shared" si="11"/>
        <v>2.8590387751131307E-3</v>
      </c>
      <c r="BG11" s="57">
        <f t="shared" si="11"/>
        <v>2.3661301072166372E-3</v>
      </c>
      <c r="BH11" s="57">
        <f t="shared" si="11"/>
        <v>3.2596672722669264E-3</v>
      </c>
      <c r="BI11" s="57">
        <f t="shared" si="11"/>
        <v>4.1224090455229418E-3</v>
      </c>
      <c r="BJ11" s="57">
        <f t="shared" si="11"/>
        <v>3.0071992783047216E-3</v>
      </c>
      <c r="BK11" s="57">
        <f t="shared" si="11"/>
        <v>2.3340651232148552E-3</v>
      </c>
      <c r="BL11" s="57">
        <f t="shared" si="11"/>
        <v>2.6970121094024215E-3</v>
      </c>
      <c r="BM11" s="57">
        <f t="shared" si="11"/>
        <v>3.1252668367979458E-3</v>
      </c>
      <c r="BN11" s="57">
        <f t="shared" si="11"/>
        <v>3.4196791201208249E-3</v>
      </c>
      <c r="BO11" s="57">
        <f t="shared" si="11"/>
        <v>3.9999646538110617E-3</v>
      </c>
      <c r="BP11" s="57">
        <f t="shared" si="11"/>
        <v>6.7552786742608407E-3</v>
      </c>
      <c r="BQ11" s="57">
        <f t="shared" si="11"/>
        <v>6.5024992396523823E-3</v>
      </c>
      <c r="BR11" s="57">
        <f t="shared" ref="BR11:CJ11" si="12">BR10/BR2</f>
        <v>6.7565078801474672E-3</v>
      </c>
      <c r="BS11" s="57">
        <f t="shared" si="12"/>
        <v>5.3411343326796304E-3</v>
      </c>
      <c r="BT11" s="57">
        <f t="shared" si="12"/>
        <v>4.7570517496414331E-3</v>
      </c>
      <c r="BU11" s="57">
        <f t="shared" si="12"/>
        <v>6.6135782697004999E-3</v>
      </c>
      <c r="BV11" s="57">
        <f t="shared" si="12"/>
        <v>5.9415425550517062E-3</v>
      </c>
      <c r="BW11" s="57">
        <f t="shared" si="12"/>
        <v>5.5805935594961916E-3</v>
      </c>
      <c r="BX11" s="57">
        <f t="shared" si="12"/>
        <v>5.7059144607191341E-3</v>
      </c>
      <c r="BY11" s="57">
        <f t="shared" si="12"/>
        <v>7.5499835237268463E-3</v>
      </c>
      <c r="BZ11" s="57">
        <f t="shared" si="12"/>
        <v>0</v>
      </c>
      <c r="CA11" s="57">
        <f t="shared" si="12"/>
        <v>6.6397152531931583E-3</v>
      </c>
      <c r="CB11" s="57">
        <f t="shared" si="12"/>
        <v>0</v>
      </c>
      <c r="CC11" s="57">
        <f t="shared" si="12"/>
        <v>5.6982355935868405E-3</v>
      </c>
      <c r="CD11" s="57">
        <f t="shared" si="12"/>
        <v>0</v>
      </c>
      <c r="CE11" s="57">
        <f t="shared" si="12"/>
        <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2872849586.1399999</v>
      </c>
      <c r="F12" s="27">
        <f>股权价值增加表!F9</f>
        <v>2235935416.9000001</v>
      </c>
      <c r="G12" s="27">
        <f>股权价值增加表!G9</f>
        <v>1533889871.4000001</v>
      </c>
      <c r="H12" s="27">
        <f>股权价值增加表!H9</f>
        <v>862300832.44000006</v>
      </c>
      <c r="I12" s="27">
        <f>股权价值增加表!I9</f>
        <v>2325645712.6500001</v>
      </c>
      <c r="J12" s="27">
        <f>股权价值增加表!J9</f>
        <v>1730895706.04</v>
      </c>
      <c r="K12" s="27">
        <f>股权价值增加表!K9</f>
        <v>1191332056.1199999</v>
      </c>
      <c r="L12" s="27">
        <f>股权价值增加表!L9</f>
        <v>631396475.17999995</v>
      </c>
      <c r="M12" s="27">
        <f>股权价值增加表!M9</f>
        <v>1957833768.25</v>
      </c>
      <c r="N12" s="27">
        <f>股权价值增加表!N9</f>
        <v>1345059132.8</v>
      </c>
      <c r="O12" s="27">
        <f>股权价值增加表!O9</f>
        <v>849993249.29999995</v>
      </c>
      <c r="P12" s="27">
        <f>股权价值增加表!P9</f>
        <v>472357387.27999997</v>
      </c>
      <c r="Q12" s="27">
        <f>股权价值增加表!Q9</f>
        <v>1519482348.76</v>
      </c>
      <c r="R12" s="27">
        <f>股权价值增加表!R9</f>
        <v>1080503620.01</v>
      </c>
      <c r="S12" s="27">
        <f>股权价值增加表!S9</f>
        <v>708872153.89999998</v>
      </c>
      <c r="T12" s="27">
        <f>股权价值增加表!T9</f>
        <v>384822055.79000002</v>
      </c>
      <c r="U12" s="27">
        <f>股权价值增加表!U9</f>
        <v>1267118417.2</v>
      </c>
      <c r="V12" s="27">
        <f>股权价值增加表!V9</f>
        <v>873771862.52999997</v>
      </c>
      <c r="W12" s="27">
        <f>股权价值增加表!W9</f>
        <v>539966097.75999999</v>
      </c>
      <c r="X12" s="27">
        <f>股权价值增加表!X9</f>
        <v>328751508.20999998</v>
      </c>
      <c r="Y12" s="27">
        <f>股权价值增加表!Y9</f>
        <v>840560482.52999997</v>
      </c>
      <c r="Z12" s="27">
        <f>股权价值增加表!Z9</f>
        <v>500220233.73000002</v>
      </c>
      <c r="AA12" s="27">
        <f>股权价值增加表!AA9</f>
        <v>283844635.95999998</v>
      </c>
      <c r="AB12" s="27">
        <f>股权价值增加表!AB9</f>
        <v>98782478.060000002</v>
      </c>
      <c r="AC12" s="27">
        <f>股权价值增加表!AC9</f>
        <v>894035414.82000005</v>
      </c>
      <c r="AD12" s="27">
        <f>股权价值增加表!AD9</f>
        <v>693133218.91999996</v>
      </c>
      <c r="AE12" s="27">
        <f>股权价值增加表!AE9</f>
        <v>524121604.12</v>
      </c>
      <c r="AF12" s="27">
        <f>股权价值增加表!AF9</f>
        <v>265417681.27000001</v>
      </c>
      <c r="AG12" s="27">
        <f>股权价值增加表!AG9</f>
        <v>738452660.85000002</v>
      </c>
      <c r="AH12" s="27">
        <f>股权价值增加表!AH9</f>
        <v>329656681.36000001</v>
      </c>
      <c r="AI12" s="27">
        <f>股权价值增加表!AI9</f>
        <v>211488684.03999999</v>
      </c>
      <c r="AJ12" s="27">
        <f>股权价值增加表!AJ9</f>
        <v>104366030.09999999</v>
      </c>
      <c r="AK12" s="27">
        <f>股权价值增加表!AK9</f>
        <v>504572636.19999999</v>
      </c>
      <c r="AL12" s="27">
        <f>股权价值增加表!AL9</f>
        <v>389212140.48000002</v>
      </c>
      <c r="AM12" s="27">
        <f>股权价值增加表!AM9</f>
        <v>238060212.18000001</v>
      </c>
      <c r="AN12" s="27">
        <f>股权价值增加表!AN9</f>
        <v>117938509.69</v>
      </c>
      <c r="AO12" s="27">
        <f>股权价值增加表!AO9</f>
        <v>512655618.88999999</v>
      </c>
      <c r="AP12" s="27">
        <f>股权价值增加表!AP9</f>
        <v>345204576.25</v>
      </c>
      <c r="AQ12" s="27">
        <f>股权价值增加表!AQ9</f>
        <v>299080889.25</v>
      </c>
      <c r="AR12" s="27">
        <f>股权价值增加表!AR9</f>
        <v>165154471.44999999</v>
      </c>
      <c r="AS12" s="27">
        <f>股权价值增加表!AS9</f>
        <v>593071799.97000003</v>
      </c>
      <c r="AT12" s="27">
        <f>股权价值增加表!AT9</f>
        <v>512001878.12</v>
      </c>
      <c r="AU12" s="27">
        <f>股权价值增加表!AU9</f>
        <v>345164901.97000003</v>
      </c>
      <c r="AV12" s="27">
        <f>股权价值增加表!AV9</f>
        <v>188612863.63</v>
      </c>
      <c r="AW12" s="27">
        <f>股权价值增加表!AW9</f>
        <v>593680233.63999999</v>
      </c>
      <c r="AX12" s="27">
        <f>股权价值增加表!AX9</f>
        <v>477243142.04000002</v>
      </c>
      <c r="AY12" s="27">
        <f>股权价值增加表!AY9</f>
        <v>306401918.17000002</v>
      </c>
      <c r="AZ12" s="27">
        <f>股权价值增加表!AZ9</f>
        <v>146434291.83000001</v>
      </c>
      <c r="BA12" s="27">
        <f>股权价值增加表!BA9</f>
        <v>465466485.70999998</v>
      </c>
      <c r="BB12" s="27">
        <f>股权价值增加表!BB9</f>
        <v>330399294.91000003</v>
      </c>
      <c r="BC12" s="27">
        <f>股权价值增加表!BC9</f>
        <v>211437126.87</v>
      </c>
      <c r="BD12" s="27">
        <f>股权价值增加表!BD9</f>
        <v>117518300.75</v>
      </c>
      <c r="BE12" s="27">
        <f>股权价值增加表!BE9</f>
        <v>347325662.87</v>
      </c>
      <c r="BF12" s="27">
        <f>股权价值增加表!BF9</f>
        <v>202772865.05000001</v>
      </c>
      <c r="BG12" s="27">
        <f>股权价值增加表!BG9</f>
        <v>135830436.28999999</v>
      </c>
      <c r="BH12" s="27">
        <f>股权价值增加表!BH9</f>
        <v>76471684.200000003</v>
      </c>
      <c r="BI12" s="27">
        <f>股权价值增加表!BI9</f>
        <v>386364358.01999998</v>
      </c>
      <c r="BJ12" s="27">
        <f>股权价值增加表!BJ9</f>
        <v>256786938.61000001</v>
      </c>
      <c r="BK12" s="27">
        <f>股权价值增加表!BK9</f>
        <v>189162277.25999999</v>
      </c>
      <c r="BL12" s="27">
        <f>股权价值增加表!BL9</f>
        <v>105268295.23999999</v>
      </c>
      <c r="BM12" s="27">
        <f>股权价值增加表!BM9</f>
        <v>543207784.61000001</v>
      </c>
      <c r="BN12" s="27">
        <f>股权价值增加表!BN9</f>
        <v>366568194.94</v>
      </c>
      <c r="BO12" s="27">
        <f>股权价值增加表!BO9</f>
        <v>247121582.28999999</v>
      </c>
      <c r="BP12" s="27">
        <f>股权价值增加表!BP9</f>
        <v>134183200.38</v>
      </c>
      <c r="BQ12" s="27">
        <f>股权价值增加表!BQ9</f>
        <v>377793992.50999999</v>
      </c>
      <c r="BR12" s="27">
        <f>股权价值增加表!BR9</f>
        <v>140010265.78</v>
      </c>
      <c r="BS12" s="27">
        <f>股权价值增加表!BS9</f>
        <v>350190690.19999999</v>
      </c>
      <c r="BT12" s="27">
        <f>股权价值增加表!BT9</f>
        <v>197586665.75999999</v>
      </c>
      <c r="BU12" s="27">
        <f>股权价值增加表!BU9</f>
        <v>335786443.16000003</v>
      </c>
      <c r="BV12" s="27">
        <f>股权价值增加表!BV9</f>
        <v>158738505.84</v>
      </c>
      <c r="BW12" s="27">
        <f>股权价值增加表!BW9</f>
        <v>187477852.09999999</v>
      </c>
      <c r="BX12" s="27">
        <f>股权价值增加表!BX9</f>
        <v>88394820.780000001</v>
      </c>
      <c r="BY12" s="27">
        <f>股权价值增加表!BY9</f>
        <v>144982990.06999999</v>
      </c>
      <c r="BZ12" s="27">
        <f>股权价值增加表!BZ9</f>
        <v>0</v>
      </c>
      <c r="CA12" s="27">
        <f>股权价值增加表!CA9</f>
        <v>125467914.55</v>
      </c>
      <c r="CB12" s="27">
        <f>股权价值增加表!CB9</f>
        <v>0</v>
      </c>
      <c r="CC12" s="27">
        <f>股权价值增加表!CC9</f>
        <v>86816874.099999994</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0.13434136135574012</v>
      </c>
      <c r="F13" s="57">
        <f t="shared" ref="F13:BQ13" si="13">F12/F2</f>
        <v>0.13994613432825359</v>
      </c>
      <c r="G13" s="57">
        <f t="shared" si="13"/>
        <v>0.14514392872642706</v>
      </c>
      <c r="H13" s="57">
        <f t="shared" si="13"/>
        <v>0.15153629163481885</v>
      </c>
      <c r="I13" s="57">
        <f t="shared" si="13"/>
        <v>0.14237268964030331</v>
      </c>
      <c r="J13" s="57">
        <f t="shared" si="13"/>
        <v>0.14357564531253658</v>
      </c>
      <c r="K13" s="57">
        <f t="shared" si="13"/>
        <v>0.14920022625999815</v>
      </c>
      <c r="L13" s="57">
        <f t="shared" si="13"/>
        <v>0.14892202259965082</v>
      </c>
      <c r="M13" s="57">
        <f t="shared" si="13"/>
        <v>0.14909300868222372</v>
      </c>
      <c r="N13" s="57">
        <f t="shared" si="13"/>
        <v>0.13993575698463673</v>
      </c>
      <c r="O13" s="57">
        <f t="shared" si="13"/>
        <v>0.13929967894630535</v>
      </c>
      <c r="P13" s="57">
        <f t="shared" si="13"/>
        <v>0.14340052347598664</v>
      </c>
      <c r="Q13" s="57">
        <f t="shared" si="13"/>
        <v>0.1406378924240326</v>
      </c>
      <c r="R13" s="57">
        <f t="shared" si="13"/>
        <v>0.13891229190247723</v>
      </c>
      <c r="S13" s="57">
        <f t="shared" si="13"/>
        <v>0.14251387769981619</v>
      </c>
      <c r="T13" s="57">
        <f t="shared" si="13"/>
        <v>0.14937816074331148</v>
      </c>
      <c r="U13" s="57">
        <f t="shared" si="13"/>
        <v>0.14517928490455212</v>
      </c>
      <c r="V13" s="57">
        <f t="shared" si="13"/>
        <v>0.1375993825283823</v>
      </c>
      <c r="W13" s="57">
        <f t="shared" si="13"/>
        <v>0.13505147594052713</v>
      </c>
      <c r="X13" s="57">
        <f t="shared" si="13"/>
        <v>0.13934624320619962</v>
      </c>
      <c r="Y13" s="57">
        <f t="shared" si="13"/>
        <v>0.12182276222345946</v>
      </c>
      <c r="Z13" s="57">
        <f t="shared" si="13"/>
        <v>0.10933492785921661</v>
      </c>
      <c r="AA13" s="57">
        <f t="shared" si="13"/>
        <v>9.1523556696830113E-2</v>
      </c>
      <c r="AB13" s="57">
        <f t="shared" si="13"/>
        <v>6.0618912634190024E-2</v>
      </c>
      <c r="AC13" s="57">
        <f t="shared" si="13"/>
        <v>8.1456471340645487E-2</v>
      </c>
      <c r="AD13" s="57">
        <f t="shared" si="13"/>
        <v>7.400705967544248E-2</v>
      </c>
      <c r="AE13" s="57">
        <f t="shared" si="13"/>
        <v>7.7676251520534659E-2</v>
      </c>
      <c r="AF13" s="57">
        <f t="shared" si="13"/>
        <v>6.9273985928416576E-2</v>
      </c>
      <c r="AG13" s="57">
        <f t="shared" si="13"/>
        <v>6.5919343084289594E-2</v>
      </c>
      <c r="AH13" s="57">
        <f t="shared" si="13"/>
        <v>5.9093885267144382E-2</v>
      </c>
      <c r="AI13" s="57">
        <f t="shared" si="13"/>
        <v>5.8195056886093145E-2</v>
      </c>
      <c r="AJ13" s="57">
        <f t="shared" si="13"/>
        <v>6.2791431259207955E-2</v>
      </c>
      <c r="AK13" s="57">
        <f t="shared" si="13"/>
        <v>0.11532444445386597</v>
      </c>
      <c r="AL13" s="57">
        <f t="shared" si="13"/>
        <v>0.13338442186057445</v>
      </c>
      <c r="AM13" s="57">
        <f t="shared" si="13"/>
        <v>0.12513095171599228</v>
      </c>
      <c r="AN13" s="57">
        <f t="shared" si="13"/>
        <v>0.12107359801506655</v>
      </c>
      <c r="AO13" s="57">
        <f t="shared" si="13"/>
        <v>0.11941698481077385</v>
      </c>
      <c r="AP13" s="57">
        <f t="shared" si="13"/>
        <v>0.10080551959080303</v>
      </c>
      <c r="AQ13" s="57">
        <f t="shared" si="13"/>
        <v>0.12336137354255811</v>
      </c>
      <c r="AR13" s="57">
        <f t="shared" si="13"/>
        <v>0.14513263316844729</v>
      </c>
      <c r="AS13" s="57">
        <f t="shared" si="13"/>
        <v>0.11859795404015078</v>
      </c>
      <c r="AT13" s="57">
        <f t="shared" si="13"/>
        <v>0.12526346762940943</v>
      </c>
      <c r="AU13" s="57">
        <f t="shared" si="13"/>
        <v>0.12161234131734858</v>
      </c>
      <c r="AV13" s="57">
        <f t="shared" si="13"/>
        <v>0.13023706472903138</v>
      </c>
      <c r="AW13" s="57">
        <f t="shared" si="13"/>
        <v>0.13948146172514</v>
      </c>
      <c r="AX13" s="57">
        <f t="shared" si="13"/>
        <v>0.14794952663510683</v>
      </c>
      <c r="AY13" s="57">
        <f t="shared" si="13"/>
        <v>0.14206883728109898</v>
      </c>
      <c r="AZ13" s="57">
        <f t="shared" si="13"/>
        <v>0.15001312168360253</v>
      </c>
      <c r="BA13" s="57">
        <f t="shared" si="13"/>
        <v>0.14277370547773038</v>
      </c>
      <c r="BB13" s="57">
        <f t="shared" si="13"/>
        <v>0.15118845332739508</v>
      </c>
      <c r="BC13" s="57">
        <f t="shared" si="13"/>
        <v>0.15141524636732784</v>
      </c>
      <c r="BD13" s="57">
        <f t="shared" si="13"/>
        <v>0.16264937692250325</v>
      </c>
      <c r="BE13" s="57">
        <f t="shared" si="13"/>
        <v>0.14334927966333441</v>
      </c>
      <c r="BF13" s="57">
        <f t="shared" si="13"/>
        <v>0.12431910559101328</v>
      </c>
      <c r="BG13" s="57">
        <f t="shared" si="13"/>
        <v>0.12384074884165167</v>
      </c>
      <c r="BH13" s="57">
        <f t="shared" si="13"/>
        <v>0.12882211664332735</v>
      </c>
      <c r="BI13" s="57">
        <f t="shared" si="13"/>
        <v>0.13316846135140148</v>
      </c>
      <c r="BJ13" s="57">
        <f t="shared" si="13"/>
        <v>0.13003208797265278</v>
      </c>
      <c r="BK13" s="57">
        <f t="shared" si="13"/>
        <v>0.13710902919107423</v>
      </c>
      <c r="BL13" s="57">
        <f t="shared" si="13"/>
        <v>0.12472477736881682</v>
      </c>
      <c r="BM13" s="57">
        <f t="shared" si="13"/>
        <v>0.18465140325126489</v>
      </c>
      <c r="BN13" s="57">
        <f t="shared" si="13"/>
        <v>0.1518906390949224</v>
      </c>
      <c r="BO13" s="57">
        <f t="shared" si="13"/>
        <v>0.15909964792354922</v>
      </c>
      <c r="BP13" s="57">
        <f t="shared" si="13"/>
        <v>0.19033677578982314</v>
      </c>
      <c r="BQ13" s="57">
        <f t="shared" si="13"/>
        <v>0.19339412805908449</v>
      </c>
      <c r="BR13" s="57">
        <f t="shared" ref="BR13:CJ13" si="14">BR12/BR2</f>
        <v>0.12394307314450942</v>
      </c>
      <c r="BS13" s="57">
        <f t="shared" si="14"/>
        <v>0.12851678496824609</v>
      </c>
      <c r="BT13" s="57">
        <f t="shared" si="14"/>
        <v>0.13409186773959539</v>
      </c>
      <c r="BU13" s="57">
        <f t="shared" si="14"/>
        <v>0.12625283644455931</v>
      </c>
      <c r="BV13" s="57">
        <f t="shared" si="14"/>
        <v>0.11249347825464515</v>
      </c>
      <c r="BW13" s="57">
        <f t="shared" si="14"/>
        <v>8.6508309260521637E-2</v>
      </c>
      <c r="BX13" s="57">
        <f t="shared" si="14"/>
        <v>8.8003002446918069E-2</v>
      </c>
      <c r="BY13" s="57">
        <f t="shared" si="14"/>
        <v>7.8822679232035883E-2</v>
      </c>
      <c r="BZ13" s="57">
        <f t="shared" si="14"/>
        <v>0</v>
      </c>
      <c r="CA13" s="57">
        <f t="shared" si="14"/>
        <v>9.2722272831377586E-2</v>
      </c>
      <c r="CB13" s="57">
        <f t="shared" si="14"/>
        <v>0</v>
      </c>
      <c r="CC13" s="57">
        <f t="shared" si="14"/>
        <v>8.6362836751275193E-2</v>
      </c>
      <c r="CD13" s="57">
        <f t="shared" si="14"/>
        <v>0</v>
      </c>
      <c r="CE13" s="57">
        <f t="shared" si="14"/>
        <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728323077.71000004</v>
      </c>
      <c r="F14" s="26">
        <f>股权价值增加表!F10</f>
        <v>480040555.31999999</v>
      </c>
      <c r="G14" s="26">
        <f>股权价值增加表!G10</f>
        <v>328163105.39999998</v>
      </c>
      <c r="H14" s="26">
        <f>股权价值增加表!H10</f>
        <v>189893301.81999999</v>
      </c>
      <c r="I14" s="26">
        <f>股权价值增加表!I10</f>
        <v>505321107.13999999</v>
      </c>
      <c r="J14" s="26">
        <f>股权价值增加表!J10</f>
        <v>367042544.04000002</v>
      </c>
      <c r="K14" s="26">
        <f>股权价值增加表!K10</f>
        <v>265946054.68000001</v>
      </c>
      <c r="L14" s="26">
        <f>股权价值增加表!L10</f>
        <v>153743559.27000001</v>
      </c>
      <c r="M14" s="26">
        <f>股权价值增加表!M10</f>
        <v>539747209.79999995</v>
      </c>
      <c r="N14" s="26">
        <f>股权价值增加表!N10</f>
        <v>434300798.20999998</v>
      </c>
      <c r="O14" s="26">
        <f>股权价值增加表!O10</f>
        <v>272955998.10000002</v>
      </c>
      <c r="P14" s="26">
        <f>股权价值增加表!P10</f>
        <v>136356668.53999999</v>
      </c>
      <c r="Q14" s="26">
        <f>股权价值增加表!Q10</f>
        <v>441240435.75999999</v>
      </c>
      <c r="R14" s="26">
        <f>股权价值增加表!R10</f>
        <v>325821024.69</v>
      </c>
      <c r="S14" s="26">
        <f>股权价值增加表!S10</f>
        <v>210082884.69</v>
      </c>
      <c r="T14" s="26">
        <f>股权价值增加表!T10</f>
        <v>99867200.75</v>
      </c>
      <c r="U14" s="26">
        <f>股权价值增加表!U10</f>
        <v>393481200.80000001</v>
      </c>
      <c r="V14" s="26">
        <f>股权价值增加表!V10</f>
        <v>283474894.04000002</v>
      </c>
      <c r="W14" s="26">
        <f>股权价值增加表!W10</f>
        <v>173092190.68000001</v>
      </c>
      <c r="X14" s="26">
        <f>股权价值增加表!X10</f>
        <v>94490588.189999998</v>
      </c>
      <c r="Y14" s="26">
        <f>股权价值增加表!Y10</f>
        <v>331386860.95999998</v>
      </c>
      <c r="Z14" s="26">
        <f>股权价值增加表!Z10</f>
        <v>188886422.93000001</v>
      </c>
      <c r="AA14" s="26">
        <f>股权价值增加表!AA10</f>
        <v>123624901.19</v>
      </c>
      <c r="AB14" s="26">
        <f>股权价值增加表!AB10</f>
        <v>65368571.920000002</v>
      </c>
      <c r="AC14" s="26">
        <f>股权价值增加表!AC10</f>
        <v>373315207.86000001</v>
      </c>
      <c r="AD14" s="26">
        <f>股权价值增加表!AD10</f>
        <v>312420908.49000001</v>
      </c>
      <c r="AE14" s="26">
        <f>股权价值增加表!AE10</f>
        <v>239982133.44999999</v>
      </c>
      <c r="AF14" s="26">
        <f>股权价值增加表!AF10</f>
        <v>195118432.47</v>
      </c>
      <c r="AG14" s="26">
        <f>股权价值增加表!AG10</f>
        <v>325689250.06</v>
      </c>
      <c r="AH14" s="26">
        <f>股权价值增加表!AH10</f>
        <v>175834095.5</v>
      </c>
      <c r="AI14" s="26">
        <f>股权价值增加表!AI10</f>
        <v>123563218.78</v>
      </c>
      <c r="AJ14" s="26">
        <f>股权价值增加表!AJ10</f>
        <v>77055101.379999995</v>
      </c>
      <c r="AK14" s="26">
        <f>股权价值增加表!AK10</f>
        <v>187592749.28</v>
      </c>
      <c r="AL14" s="26">
        <f>股权价值增加表!AL10</f>
        <v>94524104.239999995</v>
      </c>
      <c r="AM14" s="26">
        <f>股权价值增加表!AM10</f>
        <v>67681769.629999995</v>
      </c>
      <c r="AN14" s="26">
        <f>股权价值增加表!AN10</f>
        <v>40946880.740000002</v>
      </c>
      <c r="AO14" s="26">
        <f>股权价值增加表!AO10</f>
        <v>232941380.94999999</v>
      </c>
      <c r="AP14" s="26">
        <f>股权价值增加表!AP10</f>
        <v>124914099.52</v>
      </c>
      <c r="AQ14" s="26">
        <f>股权价值增加表!AQ10</f>
        <v>80164564.810000002</v>
      </c>
      <c r="AR14" s="26">
        <f>股权价值增加表!AR10</f>
        <v>44790178.950000003</v>
      </c>
      <c r="AS14" s="26">
        <f>股权价值增加表!AS10</f>
        <v>167378329.84999999</v>
      </c>
      <c r="AT14" s="26">
        <f>股权价值增加表!AT10</f>
        <v>175237013.13</v>
      </c>
      <c r="AU14" s="26">
        <f>股权价值增加表!AU10</f>
        <v>122401881.55</v>
      </c>
      <c r="AV14" s="26">
        <f>股权价值增加表!AV10</f>
        <v>77090490.739999995</v>
      </c>
      <c r="AW14" s="26">
        <f>股权价值增加表!AW10</f>
        <v>277025651.75</v>
      </c>
      <c r="AX14" s="26">
        <f>股权价值增加表!AX10</f>
        <v>148235370.16999999</v>
      </c>
      <c r="AY14" s="26">
        <f>股权价值增加表!AY10</f>
        <v>82853881.030000001</v>
      </c>
      <c r="AZ14" s="26">
        <f>股权价值增加表!AZ10</f>
        <v>46651078.590000004</v>
      </c>
      <c r="BA14" s="26">
        <f>股权价值增加表!BA10</f>
        <v>150264621.88</v>
      </c>
      <c r="BB14" s="26">
        <f>股权价值增加表!BB10</f>
        <v>86625936.519999996</v>
      </c>
      <c r="BC14" s="26">
        <f>股权价值增加表!BC10</f>
        <v>59088222.789999999</v>
      </c>
      <c r="BD14" s="26">
        <f>股权价值增加表!BD10</f>
        <v>33911907.210000001</v>
      </c>
      <c r="BE14" s="26">
        <f>股权价值增加表!BE10</f>
        <v>121147525.08</v>
      </c>
      <c r="BF14" s="26">
        <f>股权价值增加表!BF10</f>
        <v>100474792.8</v>
      </c>
      <c r="BG14" s="26">
        <f>股权价值增加表!BG10</f>
        <v>70417566.650000006</v>
      </c>
      <c r="BH14" s="26">
        <f>股权价值增加表!BH10</f>
        <v>35591619.689999998</v>
      </c>
      <c r="BI14" s="26">
        <f>股权价值增加表!BI10</f>
        <v>107490914.15000001</v>
      </c>
      <c r="BJ14" s="26">
        <f>股权价值增加表!BJ10</f>
        <v>65883317.350000001</v>
      </c>
      <c r="BK14" s="26">
        <f>股权价值增加表!BK10</f>
        <v>45393658.240000002</v>
      </c>
      <c r="BL14" s="26">
        <f>股权价值增加表!BL10</f>
        <v>39692052.329999998</v>
      </c>
      <c r="BM14" s="26">
        <f>股权价值增加表!BM10</f>
        <v>653016641.34000003</v>
      </c>
      <c r="BN14" s="26">
        <f>股权价值增加表!BN10</f>
        <v>109399415.09</v>
      </c>
      <c r="BO14" s="26">
        <f>股权价值增加表!BO10</f>
        <v>68484191.090000004</v>
      </c>
      <c r="BP14" s="26">
        <f>股权价值增加表!BP10</f>
        <v>37388236.140000001</v>
      </c>
      <c r="BQ14" s="26">
        <f>股权价值增加表!BQ10</f>
        <v>152645208.46000001</v>
      </c>
      <c r="BR14" s="26">
        <f>股权价值增加表!BR10</f>
        <v>59062721.140000001</v>
      </c>
      <c r="BS14" s="26">
        <f>股权价值增加表!BS10</f>
        <v>117288907.59999999</v>
      </c>
      <c r="BT14" s="26">
        <f>股权价值增加表!BT10</f>
        <v>52497327.719999999</v>
      </c>
      <c r="BU14" s="26">
        <f>股权价值增加表!BU10</f>
        <v>105127119.83</v>
      </c>
      <c r="BV14" s="26">
        <f>股权价值增加表!BV10</f>
        <v>47051162.049999997</v>
      </c>
      <c r="BW14" s="26">
        <f>股权价值增加表!BW10</f>
        <v>85231162.840000004</v>
      </c>
      <c r="BX14" s="26">
        <f>股权价值增加表!BX10</f>
        <v>38275896.950000003</v>
      </c>
      <c r="BY14" s="26">
        <f>股权价值增加表!BY10</f>
        <v>52603946.979999997</v>
      </c>
      <c r="BZ14" s="26">
        <f>股权价值增加表!BZ10</f>
        <v>0</v>
      </c>
      <c r="CA14" s="26">
        <f>股权价值增加表!CA10</f>
        <v>41027633.560000002</v>
      </c>
      <c r="CB14" s="26">
        <f>股权价值增加表!CB10</f>
        <v>0</v>
      </c>
      <c r="CC14" s="26">
        <f>股权价值增加表!CC10</f>
        <v>35453932.219999999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3.4058140126239027E-2</v>
      </c>
      <c r="F15" s="57">
        <f t="shared" ref="F15:BQ15" si="15">F14/F2</f>
        <v>3.0045510049195985E-2</v>
      </c>
      <c r="G15" s="57">
        <f t="shared" si="15"/>
        <v>3.1052348195863163E-2</v>
      </c>
      <c r="H15" s="57">
        <f t="shared" si="15"/>
        <v>3.3370867429953974E-2</v>
      </c>
      <c r="I15" s="57">
        <f t="shared" si="15"/>
        <v>3.0935032264032956E-2</v>
      </c>
      <c r="J15" s="57">
        <f t="shared" si="15"/>
        <v>3.0445722370103508E-2</v>
      </c>
      <c r="K15" s="57">
        <f t="shared" si="15"/>
        <v>3.330659267277624E-2</v>
      </c>
      <c r="L15" s="57">
        <f t="shared" si="15"/>
        <v>3.6262162853586577E-2</v>
      </c>
      <c r="M15" s="57">
        <f t="shared" si="15"/>
        <v>4.110284373573115E-2</v>
      </c>
      <c r="N15" s="57">
        <f t="shared" si="15"/>
        <v>4.5183300476935216E-2</v>
      </c>
      <c r="O15" s="57">
        <f t="shared" si="15"/>
        <v>4.4732923388640308E-2</v>
      </c>
      <c r="P15" s="57">
        <f t="shared" si="15"/>
        <v>4.1395812100397555E-2</v>
      </c>
      <c r="Q15" s="57">
        <f t="shared" si="15"/>
        <v>4.0839648442240417E-2</v>
      </c>
      <c r="R15" s="57">
        <f t="shared" si="15"/>
        <v>4.1888379133132973E-2</v>
      </c>
      <c r="S15" s="57">
        <f t="shared" si="15"/>
        <v>4.2235721026444524E-2</v>
      </c>
      <c r="T15" s="57">
        <f t="shared" si="15"/>
        <v>3.8765914120990244E-2</v>
      </c>
      <c r="U15" s="57">
        <f t="shared" si="15"/>
        <v>4.5082857750391225E-2</v>
      </c>
      <c r="V15" s="57">
        <f t="shared" si="15"/>
        <v>4.4640909206278521E-2</v>
      </c>
      <c r="W15" s="57">
        <f t="shared" si="15"/>
        <v>4.3292265796107995E-2</v>
      </c>
      <c r="X15" s="57">
        <f t="shared" si="15"/>
        <v>4.0051248903198437E-2</v>
      </c>
      <c r="Y15" s="57">
        <f t="shared" si="15"/>
        <v>4.8028028447397134E-2</v>
      </c>
      <c r="Z15" s="57">
        <f t="shared" si="15"/>
        <v>4.1285581893882636E-2</v>
      </c>
      <c r="AA15" s="57">
        <f t="shared" si="15"/>
        <v>3.9861914652484266E-2</v>
      </c>
      <c r="AB15" s="57">
        <f t="shared" si="15"/>
        <v>4.0114115661619668E-2</v>
      </c>
      <c r="AC15" s="57">
        <f t="shared" si="15"/>
        <v>3.401312635495269E-2</v>
      </c>
      <c r="AD15" s="57">
        <f t="shared" si="15"/>
        <v>3.3357732954282203E-2</v>
      </c>
      <c r="AE15" s="57">
        <f t="shared" si="15"/>
        <v>3.5566006842238068E-2</v>
      </c>
      <c r="AF15" s="57">
        <f t="shared" si="15"/>
        <v>5.0925889641660643E-2</v>
      </c>
      <c r="AG15" s="57">
        <f t="shared" si="15"/>
        <v>2.9073253509382523E-2</v>
      </c>
      <c r="AH15" s="57">
        <f t="shared" si="15"/>
        <v>3.1519821842112071E-2</v>
      </c>
      <c r="AI15" s="57">
        <f t="shared" si="15"/>
        <v>3.4000724807436239E-2</v>
      </c>
      <c r="AJ15" s="57">
        <f t="shared" si="15"/>
        <v>4.6359913247994378E-2</v>
      </c>
      <c r="AK15" s="57">
        <f t="shared" si="15"/>
        <v>4.28759469740927E-2</v>
      </c>
      <c r="AL15" s="57">
        <f t="shared" si="15"/>
        <v>3.239375570451649E-2</v>
      </c>
      <c r="AM15" s="57">
        <f t="shared" si="15"/>
        <v>3.5575387294122345E-2</v>
      </c>
      <c r="AN15" s="57">
        <f t="shared" si="15"/>
        <v>4.2035346993247485E-2</v>
      </c>
      <c r="AO15" s="57">
        <f t="shared" si="15"/>
        <v>5.4260904056677342E-2</v>
      </c>
      <c r="AP15" s="57">
        <f t="shared" si="15"/>
        <v>3.6477009786833263E-2</v>
      </c>
      <c r="AQ15" s="57">
        <f t="shared" si="15"/>
        <v>3.3065338441389626E-2</v>
      </c>
      <c r="AR15" s="57">
        <f t="shared" si="15"/>
        <v>3.9360221700491298E-2</v>
      </c>
      <c r="AS15" s="57">
        <f t="shared" si="15"/>
        <v>3.3471035837265614E-2</v>
      </c>
      <c r="AT15" s="57">
        <f t="shared" si="15"/>
        <v>4.2872491019533825E-2</v>
      </c>
      <c r="AU15" s="57">
        <f t="shared" si="15"/>
        <v>4.3125993726436447E-2</v>
      </c>
      <c r="AV15" s="57">
        <f t="shared" si="15"/>
        <v>5.3230935787039531E-2</v>
      </c>
      <c r="AW15" s="57">
        <f t="shared" si="15"/>
        <v>6.5085446090294388E-2</v>
      </c>
      <c r="AX15" s="57">
        <f t="shared" si="15"/>
        <v>4.5954254582862418E-2</v>
      </c>
      <c r="AY15" s="57">
        <f t="shared" si="15"/>
        <v>3.8416712964661544E-2</v>
      </c>
      <c r="AZ15" s="57">
        <f t="shared" si="15"/>
        <v>4.77912232287604E-2</v>
      </c>
      <c r="BA15" s="57">
        <f t="shared" si="15"/>
        <v>4.6091045277498334E-2</v>
      </c>
      <c r="BB15" s="57">
        <f t="shared" si="15"/>
        <v>3.9639434957218833E-2</v>
      </c>
      <c r="BC15" s="57">
        <f t="shared" si="15"/>
        <v>4.2314507123700613E-2</v>
      </c>
      <c r="BD15" s="57">
        <f t="shared" si="15"/>
        <v>4.6935247895509118E-2</v>
      </c>
      <c r="BE15" s="57">
        <f t="shared" si="15"/>
        <v>5.0000366542779152E-2</v>
      </c>
      <c r="BF15" s="57">
        <f t="shared" si="15"/>
        <v>6.1600630697102143E-2</v>
      </c>
      <c r="BG15" s="57">
        <f t="shared" si="15"/>
        <v>6.4201841823760195E-2</v>
      </c>
      <c r="BH15" s="57">
        <f t="shared" si="15"/>
        <v>5.9956673260115355E-2</v>
      </c>
      <c r="BI15" s="57">
        <f t="shared" si="15"/>
        <v>3.704896517879662E-2</v>
      </c>
      <c r="BJ15" s="57">
        <f t="shared" si="15"/>
        <v>3.3362075828150317E-2</v>
      </c>
      <c r="BK15" s="57">
        <f t="shared" si="15"/>
        <v>3.2902333926564019E-2</v>
      </c>
      <c r="BL15" s="57">
        <f t="shared" si="15"/>
        <v>4.7028237503836265E-2</v>
      </c>
      <c r="BM15" s="57">
        <f t="shared" si="15"/>
        <v>0.22197848150580274</v>
      </c>
      <c r="BN15" s="57">
        <f t="shared" si="15"/>
        <v>4.5330575058075168E-2</v>
      </c>
      <c r="BO15" s="57">
        <f t="shared" si="15"/>
        <v>4.4090890766318051E-2</v>
      </c>
      <c r="BP15" s="57">
        <f t="shared" si="15"/>
        <v>5.3034629515490636E-2</v>
      </c>
      <c r="BQ15" s="57">
        <f t="shared" si="15"/>
        <v>7.8139641121311609E-2</v>
      </c>
      <c r="BR15" s="57">
        <f t="shared" ref="BR15:CK15" si="16">BR14/BR2</f>
        <v>5.2284845868883996E-2</v>
      </c>
      <c r="BS15" s="57">
        <f t="shared" si="16"/>
        <v>4.3043957875010593E-2</v>
      </c>
      <c r="BT15" s="57">
        <f t="shared" si="16"/>
        <v>3.5627225644178688E-2</v>
      </c>
      <c r="BU15" s="57">
        <f t="shared" si="16"/>
        <v>3.9526899718998705E-2</v>
      </c>
      <c r="BV15" s="57">
        <f t="shared" si="16"/>
        <v>3.3343824467281249E-2</v>
      </c>
      <c r="BW15" s="57">
        <f t="shared" si="16"/>
        <v>3.9328399120253203E-2</v>
      </c>
      <c r="BX15" s="57">
        <f t="shared" si="16"/>
        <v>3.8106235447122022E-2</v>
      </c>
      <c r="BY15" s="57">
        <f t="shared" si="16"/>
        <v>2.8599106951385296E-2</v>
      </c>
      <c r="BZ15" s="57">
        <f t="shared" si="16"/>
        <v>0</v>
      </c>
      <c r="CA15" s="57">
        <f t="shared" si="16"/>
        <v>3.0319906457519925E-2</v>
      </c>
      <c r="CB15" s="57">
        <f t="shared" si="16"/>
        <v>0</v>
      </c>
      <c r="CC15" s="57">
        <f t="shared" si="16"/>
        <v>3.5268514240443444E-2</v>
      </c>
      <c r="CD15" s="57">
        <f t="shared" si="16"/>
        <v>0</v>
      </c>
      <c r="CE15" s="57">
        <f t="shared" si="16"/>
        <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70595875.650000006</v>
      </c>
      <c r="F16" s="26">
        <f>股权价值增加表!F11</f>
        <v>42120409.700000003</v>
      </c>
      <c r="G16" s="26">
        <f>股权价值增加表!G11</f>
        <v>37555448.390000001</v>
      </c>
      <c r="H16" s="26">
        <f>股权价值增加表!H11</f>
        <v>-3720918.11</v>
      </c>
      <c r="I16" s="26">
        <f>股权价值增加表!I11</f>
        <v>94569651.269999996</v>
      </c>
      <c r="J16" s="26">
        <f>股权价值增加表!J11</f>
        <v>53015842.509999998</v>
      </c>
      <c r="K16" s="26">
        <f>股权价值增加表!K11</f>
        <v>27933789.440000001</v>
      </c>
      <c r="L16" s="26">
        <f>股权价值增加表!L11</f>
        <v>18030144.140000001</v>
      </c>
      <c r="M16" s="26">
        <f>股权价值增加表!M11</f>
        <v>22451935.850000001</v>
      </c>
      <c r="N16" s="26">
        <f>股权价值增加表!N11</f>
        <v>8668425.8000000007</v>
      </c>
      <c r="O16" s="26">
        <f>股权价值增加表!O11</f>
        <v>-1325118.42</v>
      </c>
      <c r="P16" s="26">
        <f>股权价值增加表!P11</f>
        <v>9542850.0399999991</v>
      </c>
      <c r="Q16" s="26">
        <f>股权价值增加表!Q11</f>
        <v>38221081.619999997</v>
      </c>
      <c r="R16" s="26">
        <f>股权价值增加表!R11</f>
        <v>22431011.829999998</v>
      </c>
      <c r="S16" s="26">
        <f>股权价值增加表!S11</f>
        <v>11419997.310000001</v>
      </c>
      <c r="T16" s="26">
        <f>股权价值增加表!T11</f>
        <v>9727712.1500000004</v>
      </c>
      <c r="U16" s="26">
        <f>股权价值增加表!U11</f>
        <v>49333919.329999998</v>
      </c>
      <c r="V16" s="26">
        <f>股权价值增加表!V11</f>
        <v>23330292.190000001</v>
      </c>
      <c r="W16" s="26">
        <f>股权价值增加表!W11</f>
        <v>13726351.33</v>
      </c>
      <c r="X16" s="26">
        <f>股权价值增加表!X11</f>
        <v>7982163.7300000004</v>
      </c>
      <c r="Y16" s="26">
        <f>股权价值增加表!Y11</f>
        <v>8671358.1699999999</v>
      </c>
      <c r="Z16" s="26">
        <f>股权价值增加表!Z11</f>
        <v>-4721398.1100000003</v>
      </c>
      <c r="AA16" s="26">
        <f>股权价值增加表!AA11</f>
        <v>2759322.21</v>
      </c>
      <c r="AB16" s="26">
        <f>股权价值增加表!AB11</f>
        <v>5492702.1799999997</v>
      </c>
      <c r="AC16" s="26">
        <f>股权价值增加表!AC11</f>
        <v>14335871.52</v>
      </c>
      <c r="AD16" s="26">
        <f>股权价值增加表!AD11</f>
        <v>23852866.969999999</v>
      </c>
      <c r="AE16" s="26">
        <f>股权价值增加表!AE11</f>
        <v>5531967.3300000001</v>
      </c>
      <c r="AF16" s="26">
        <f>股权价值增加表!AF11</f>
        <v>6114638.2199999997</v>
      </c>
      <c r="AG16" s="26">
        <f>股权价值增加表!AG11</f>
        <v>-21221918.57</v>
      </c>
      <c r="AH16" s="26">
        <f>股权价值增加表!AH11</f>
        <v>-1882519.5</v>
      </c>
      <c r="AI16" s="26">
        <f>股权价值增加表!AI11</f>
        <v>-4029773.78</v>
      </c>
      <c r="AJ16" s="26">
        <f>股权价值增加表!AJ11</f>
        <v>-13083139.68</v>
      </c>
      <c r="AK16" s="26">
        <f>股权价值增加表!AK11</f>
        <v>102939009.94</v>
      </c>
      <c r="AL16" s="26">
        <f>股权价值增加表!AL11</f>
        <v>6729217.1799999997</v>
      </c>
      <c r="AM16" s="26">
        <f>股权价值增加表!AM11</f>
        <v>4672084.6399999997</v>
      </c>
      <c r="AN16" s="26">
        <f>股权价值增加表!AN11</f>
        <v>62240.73</v>
      </c>
      <c r="AO16" s="26">
        <f>股权价值增加表!AO11</f>
        <v>38621384.060000002</v>
      </c>
      <c r="AP16" s="26">
        <f>股权价值增加表!AP11</f>
        <v>8345509.9900000002</v>
      </c>
      <c r="AQ16" s="26">
        <f>股权价值增加表!AQ11</f>
        <v>8345509.9900000002</v>
      </c>
      <c r="AR16" s="26">
        <f>股权价值增加表!AR11</f>
        <v>0</v>
      </c>
      <c r="AS16" s="26">
        <f>股权价值增加表!AS11</f>
        <v>19643738.760000002</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2895964.07</v>
      </c>
      <c r="BT16" s="26">
        <f>股权价值增加表!BT11</f>
        <v>0</v>
      </c>
      <c r="BU16" s="26">
        <f>股权价值增加表!BU11</f>
        <v>3404064.14</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3.3012330637415327E-3</v>
      </c>
      <c r="F17" s="57">
        <f t="shared" ref="F17:BQ17" si="17">F16/F2</f>
        <v>2.6362964105688682E-3</v>
      </c>
      <c r="G17" s="57">
        <f t="shared" si="17"/>
        <v>3.5536745016981081E-3</v>
      </c>
      <c r="H17" s="57">
        <f t="shared" si="17"/>
        <v>-6.5389491770608097E-4</v>
      </c>
      <c r="I17" s="57">
        <f t="shared" si="17"/>
        <v>5.7894181974577144E-3</v>
      </c>
      <c r="J17" s="57">
        <f t="shared" si="17"/>
        <v>4.3975981762503459E-3</v>
      </c>
      <c r="K17" s="57">
        <f t="shared" si="17"/>
        <v>3.4983761943927264E-3</v>
      </c>
      <c r="L17" s="57">
        <f t="shared" si="17"/>
        <v>4.252614068405389E-3</v>
      </c>
      <c r="M17" s="57">
        <f t="shared" si="17"/>
        <v>1.7097604101541579E-3</v>
      </c>
      <c r="N17" s="57">
        <f t="shared" si="17"/>
        <v>9.018359837184366E-4</v>
      </c>
      <c r="O17" s="57">
        <f t="shared" si="17"/>
        <v>-2.1716474880694727E-4</v>
      </c>
      <c r="P17" s="57">
        <f t="shared" si="17"/>
        <v>2.8970642315320921E-3</v>
      </c>
      <c r="Q17" s="57">
        <f t="shared" si="17"/>
        <v>3.5376076395953943E-3</v>
      </c>
      <c r="R17" s="57">
        <f t="shared" si="17"/>
        <v>2.8837878978767713E-3</v>
      </c>
      <c r="S17" s="57">
        <f t="shared" si="17"/>
        <v>2.2959120216748717E-3</v>
      </c>
      <c r="T17" s="57">
        <f t="shared" si="17"/>
        <v>3.7760511055539257E-3</v>
      </c>
      <c r="U17" s="57">
        <f t="shared" si="17"/>
        <v>5.6524023584906824E-3</v>
      </c>
      <c r="V17" s="57">
        <f t="shared" si="17"/>
        <v>3.6739953953833352E-3</v>
      </c>
      <c r="W17" s="57">
        <f t="shared" si="17"/>
        <v>3.433111845511946E-3</v>
      </c>
      <c r="X17" s="57">
        <f t="shared" si="17"/>
        <v>3.3833594695534606E-3</v>
      </c>
      <c r="Y17" s="57">
        <f t="shared" si="17"/>
        <v>1.2567433592866534E-3</v>
      </c>
      <c r="Z17" s="57">
        <f t="shared" si="17"/>
        <v>-1.0319728930240043E-3</v>
      </c>
      <c r="AA17" s="57">
        <f t="shared" si="17"/>
        <v>8.8972258319282272E-4</v>
      </c>
      <c r="AB17" s="57">
        <f t="shared" si="17"/>
        <v>3.3706547974308334E-3</v>
      </c>
      <c r="AC17" s="57">
        <f t="shared" si="17"/>
        <v>1.3061557610077044E-3</v>
      </c>
      <c r="AD17" s="57">
        <f t="shared" si="17"/>
        <v>2.5468127931160748E-3</v>
      </c>
      <c r="AE17" s="57">
        <f t="shared" si="17"/>
        <v>8.1985264936737523E-4</v>
      </c>
      <c r="AF17" s="57">
        <f t="shared" si="17"/>
        <v>1.5959199100181263E-3</v>
      </c>
      <c r="AG17" s="57">
        <f t="shared" si="17"/>
        <v>-1.8944138267609932E-3</v>
      </c>
      <c r="AH17" s="57">
        <f t="shared" si="17"/>
        <v>-3.3745832448236351E-4</v>
      </c>
      <c r="AI17" s="57">
        <f t="shared" si="17"/>
        <v>-1.1088674338757146E-3</v>
      </c>
      <c r="AJ17" s="57">
        <f t="shared" si="17"/>
        <v>-7.8714220046905477E-3</v>
      </c>
      <c r="AK17" s="57">
        <f t="shared" si="17"/>
        <v>2.3527601939269584E-2</v>
      </c>
      <c r="AL17" s="57">
        <f t="shared" si="17"/>
        <v>2.306127301223451E-3</v>
      </c>
      <c r="AM17" s="57">
        <f t="shared" si="17"/>
        <v>2.4557753357744194E-3</v>
      </c>
      <c r="AN17" s="57">
        <f t="shared" si="17"/>
        <v>6.3895237814958126E-5</v>
      </c>
      <c r="AO17" s="57">
        <f t="shared" si="17"/>
        <v>8.9963887329472265E-3</v>
      </c>
      <c r="AP17" s="57">
        <f t="shared" si="17"/>
        <v>2.4370287321536848E-3</v>
      </c>
      <c r="AQ17" s="57">
        <f t="shared" si="17"/>
        <v>3.442257971952785E-3</v>
      </c>
      <c r="AR17" s="57">
        <f t="shared" si="17"/>
        <v>0</v>
      </c>
      <c r="AS17" s="57">
        <f t="shared" si="17"/>
        <v>3.9282043535926927E-3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1.0627923644897536E-3</v>
      </c>
      <c r="BT17" s="57">
        <f t="shared" si="18"/>
        <v>0</v>
      </c>
      <c r="BU17" s="57">
        <f t="shared" si="18"/>
        <v>1.2798990604555934E-3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4.405624309339537E-4</v>
      </c>
      <c r="F19" s="57">
        <f t="shared" ref="F19:BQ19" si="19">F18/F2</f>
        <v>7.5357787375105166E-8</v>
      </c>
      <c r="G19" s="57">
        <f t="shared" si="19"/>
        <v>8.2134273446600633E-8</v>
      </c>
      <c r="H19" s="57">
        <f t="shared" si="19"/>
        <v>1.1317323159329517E-7</v>
      </c>
      <c r="I19" s="57">
        <f t="shared" si="19"/>
        <v>7.4004215563842272E-4</v>
      </c>
      <c r="J19" s="57">
        <f t="shared" si="19"/>
        <v>0</v>
      </c>
      <c r="K19" s="57">
        <f t="shared" si="19"/>
        <v>0</v>
      </c>
      <c r="L19" s="57">
        <f t="shared" si="19"/>
        <v>0</v>
      </c>
      <c r="M19" s="57">
        <f t="shared" si="19"/>
        <v>3.4425734398776524E-4</v>
      </c>
      <c r="N19" s="57">
        <f t="shared" si="19"/>
        <v>0</v>
      </c>
      <c r="O19" s="57">
        <f t="shared" si="19"/>
        <v>0</v>
      </c>
      <c r="P19" s="57">
        <f t="shared" si="19"/>
        <v>0</v>
      </c>
      <c r="Q19" s="57">
        <f t="shared" si="19"/>
        <v>2.628307987656145E-4</v>
      </c>
      <c r="R19" s="57">
        <f t="shared" si="19"/>
        <v>0</v>
      </c>
      <c r="S19" s="57">
        <f t="shared" si="19"/>
        <v>0</v>
      </c>
      <c r="T19" s="57">
        <f t="shared" si="19"/>
        <v>0</v>
      </c>
      <c r="U19" s="57">
        <f t="shared" si="19"/>
        <v>2.9056481805220361E-4</v>
      </c>
      <c r="V19" s="57">
        <f t="shared" si="19"/>
        <v>0</v>
      </c>
      <c r="W19" s="57">
        <f t="shared" si="19"/>
        <v>0</v>
      </c>
      <c r="X19" s="57">
        <f t="shared" si="19"/>
        <v>0</v>
      </c>
      <c r="Y19" s="57">
        <f t="shared" si="19"/>
        <v>4.4109220446715157E-4</v>
      </c>
      <c r="Z19" s="57">
        <f t="shared" si="19"/>
        <v>0</v>
      </c>
      <c r="AA19" s="57">
        <f t="shared" si="19"/>
        <v>0</v>
      </c>
      <c r="AB19" s="57">
        <f t="shared" si="19"/>
        <v>0</v>
      </c>
      <c r="AC19" s="57">
        <f t="shared" si="19"/>
        <v>3.5583881033286784E-4</v>
      </c>
      <c r="AD19" s="57">
        <f t="shared" si="19"/>
        <v>0</v>
      </c>
      <c r="AE19" s="57">
        <f t="shared" si="19"/>
        <v>0</v>
      </c>
      <c r="AF19" s="57">
        <f t="shared" si="19"/>
        <v>0</v>
      </c>
      <c r="AG19" s="57">
        <f t="shared" si="19"/>
        <v>6.7008627461525997E-4</v>
      </c>
      <c r="AH19" s="57">
        <f t="shared" si="19"/>
        <v>0</v>
      </c>
      <c r="AI19" s="57">
        <f t="shared" si="19"/>
        <v>0</v>
      </c>
      <c r="AJ19" s="57">
        <f t="shared" si="19"/>
        <v>0</v>
      </c>
      <c r="AK19" s="57">
        <f t="shared" si="19"/>
        <v>4.2023120048007581E-4</v>
      </c>
      <c r="AL19" s="57">
        <f t="shared" si="19"/>
        <v>0</v>
      </c>
      <c r="AM19" s="57">
        <f t="shared" si="19"/>
        <v>0</v>
      </c>
      <c r="AN19" s="57">
        <f t="shared" si="19"/>
        <v>0</v>
      </c>
      <c r="AO19" s="57">
        <f t="shared" si="19"/>
        <v>3.3515232032716027E-4</v>
      </c>
      <c r="AP19" s="57">
        <f t="shared" si="19"/>
        <v>0</v>
      </c>
      <c r="AQ19" s="57">
        <f t="shared" si="19"/>
        <v>0</v>
      </c>
      <c r="AR19" s="57">
        <f t="shared" si="19"/>
        <v>0</v>
      </c>
      <c r="AS19" s="57">
        <f t="shared" si="19"/>
        <v>3.0215000482841403E-4</v>
      </c>
      <c r="AT19" s="57">
        <f t="shared" si="19"/>
        <v>0</v>
      </c>
      <c r="AU19" s="57">
        <f t="shared" si="19"/>
        <v>0</v>
      </c>
      <c r="AV19" s="57">
        <f t="shared" si="19"/>
        <v>0</v>
      </c>
      <c r="AW19" s="57">
        <f t="shared" si="19"/>
        <v>6.4179620982136778E-4</v>
      </c>
      <c r="AX19" s="57">
        <f t="shared" si="19"/>
        <v>0</v>
      </c>
      <c r="AY19" s="57">
        <f t="shared" si="19"/>
        <v>0</v>
      </c>
      <c r="AZ19" s="57">
        <f t="shared" si="19"/>
        <v>0</v>
      </c>
      <c r="BA19" s="57">
        <f t="shared" si="19"/>
        <v>-7.8974132124671575E-5</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15828206.859999999</v>
      </c>
      <c r="F20" s="26">
        <f>股权价值增加表!F13-股权价值增加表!F14</f>
        <v>20841315.100000001</v>
      </c>
      <c r="G20" s="26">
        <f>股权价值增加表!G13-股权价值增加表!G14</f>
        <v>12544095.440000001</v>
      </c>
      <c r="H20" s="26">
        <f>股权价值增加表!H13-股权价值增加表!H14</f>
        <v>12441949.18</v>
      </c>
      <c r="I20" s="26">
        <f>股权价值增加表!I13-股权价值增加表!I14</f>
        <v>30401714.300000004</v>
      </c>
      <c r="J20" s="26">
        <f>股权价值增加表!J13-股权价值增加表!J14</f>
        <v>26996080.719999999</v>
      </c>
      <c r="K20" s="26">
        <f>股权价值增加表!K13-股权价值增加表!K14</f>
        <v>19251080.390000001</v>
      </c>
      <c r="L20" s="26">
        <f>股权价值增加表!L13-股权价值增加表!L14</f>
        <v>5391220.3700000001</v>
      </c>
      <c r="M20" s="26">
        <f>股权价值增加表!M13-股权价值增加表!M14</f>
        <v>15117636.480000004</v>
      </c>
      <c r="N20" s="26">
        <f>股权价值增加表!N13-股权价值增加表!N14</f>
        <v>27815043.419999994</v>
      </c>
      <c r="O20" s="26">
        <f>股权价值增加表!O13-股权价值增加表!O14</f>
        <v>9607846.4199999999</v>
      </c>
      <c r="P20" s="26">
        <f>股权价值增加表!P13-股权价值增加表!P14</f>
        <v>4134896.16</v>
      </c>
      <c r="Q20" s="26">
        <f>股权价值增加表!Q13-股权价值增加表!Q14</f>
        <v>25593866.810000002</v>
      </c>
      <c r="R20" s="26">
        <f>股权价值增加表!R13-股权价值增加表!R14</f>
        <v>19588348.079999998</v>
      </c>
      <c r="S20" s="26">
        <f>股权价值增加表!S13-股权价值增加表!S14</f>
        <v>6865971.1400000006</v>
      </c>
      <c r="T20" s="26">
        <f>股权价值增加表!T13-股权价值增加表!T14</f>
        <v>5523982.4700000007</v>
      </c>
      <c r="U20" s="26">
        <f>股权价值增加表!U13-股权价值增加表!U14</f>
        <v>27178984.82</v>
      </c>
      <c r="V20" s="26">
        <f>股权价值增加表!V13-股权价值增加表!V14</f>
        <v>14792057.610000001</v>
      </c>
      <c r="W20" s="26">
        <f>股权价值增加表!W13-股权价值增加表!W14</f>
        <v>10218403.27</v>
      </c>
      <c r="X20" s="26">
        <f>股权价值增加表!X13-股权价值增加表!X14</f>
        <v>2094615.13</v>
      </c>
      <c r="Y20" s="26">
        <f>股权价值增加表!Y13-股权价值增加表!Y14</f>
        <v>41115449.770000003</v>
      </c>
      <c r="Z20" s="26">
        <f>股权价值增加表!Z13-股权价值增加表!Z14</f>
        <v>22102267</v>
      </c>
      <c r="AA20" s="26">
        <f>股权价值增加表!AA13-股权价值增加表!AA14</f>
        <v>15373280.309999999</v>
      </c>
      <c r="AB20" s="26">
        <f>股权价值增加表!AB13-股权价值增加表!AB14</f>
        <v>443794.47000000067</v>
      </c>
      <c r="AC20" s="26">
        <f>股权价值增加表!AC13-股权价值增加表!AC14</f>
        <v>77103823.159999996</v>
      </c>
      <c r="AD20" s="26">
        <f>股权价值增加表!AD13-股权价值增加表!AD14</f>
        <v>48422732.270000003</v>
      </c>
      <c r="AE20" s="26">
        <f>股权价值增加表!AE13-股权价值增加表!AE14</f>
        <v>27280847.93</v>
      </c>
      <c r="AF20" s="26">
        <f>股权价值增加表!AF13-股权价值增加表!AF14</f>
        <v>20545158.699999999</v>
      </c>
      <c r="AG20" s="26">
        <f>股权价值增加表!AG13-股权价值增加表!AG14</f>
        <v>53438078.440000005</v>
      </c>
      <c r="AH20" s="26">
        <f>股权价值增加表!AH13-股权价值增加表!AH14</f>
        <v>18188409.549999997</v>
      </c>
      <c r="AI20" s="26">
        <f>股权价值增加表!AI13-股权价值增加表!AI14</f>
        <v>-728228.05000000075</v>
      </c>
      <c r="AJ20" s="26">
        <f>股权价值增加表!AJ13-股权价值增加表!AJ14</f>
        <v>-634207.35000000009</v>
      </c>
      <c r="AK20" s="26">
        <f>股权价值增加表!AK13-股权价值增加表!AK14</f>
        <v>77798503.570000008</v>
      </c>
      <c r="AL20" s="26">
        <f>股权价值增加表!AL13-股权价值增加表!AL14</f>
        <v>4357139.5999999978</v>
      </c>
      <c r="AM20" s="26">
        <f>股权价值增加表!AM13-股权价值增加表!AM14</f>
        <v>12181682.330000002</v>
      </c>
      <c r="AN20" s="26">
        <f>股权价值增加表!AN13-股权价值增加表!AN14</f>
        <v>14102546.08</v>
      </c>
      <c r="AO20" s="26">
        <f>股权价值增加表!AO13-股权价值增加表!AO14</f>
        <v>-2278851.91</v>
      </c>
      <c r="AP20" s="26">
        <f>股权价值增加表!AP13-股权价值增加表!AP14</f>
        <v>-1354634.3800000008</v>
      </c>
      <c r="AQ20" s="26">
        <f>股权价值增加表!AQ13-股权价值增加表!AQ14</f>
        <v>-3976286.5900000008</v>
      </c>
      <c r="AR20" s="26">
        <f>股权价值增加表!AR13-股权价值增加表!AR14</f>
        <v>-2997492.5700000003</v>
      </c>
      <c r="AS20" s="26">
        <f>股权价值增加表!AS13-股权价值增加表!AS14</f>
        <v>-7705278.9199999981</v>
      </c>
      <c r="AT20" s="26">
        <f>股权价值增加表!AT13-股权价值增加表!AT14</f>
        <v>-6218344.8599999994</v>
      </c>
      <c r="AU20" s="26">
        <f>股权价值增加表!AU13-股权价值增加表!AU14</f>
        <v>-5048850.26</v>
      </c>
      <c r="AV20" s="26">
        <f>股权价值增加表!AV13-股权价值增加表!AV14</f>
        <v>-3966837.41</v>
      </c>
      <c r="AW20" s="26">
        <f>股权价值增加表!AW13-股权价值增加表!AW14</f>
        <v>-16501553.029999999</v>
      </c>
      <c r="AX20" s="26">
        <f>股权价值增加表!AX13-股权价值增加表!AX14</f>
        <v>-11804345.469999999</v>
      </c>
      <c r="AY20" s="26">
        <f>股权价值增加表!AY13-股权价值增加表!AY14</f>
        <v>-7917235.1000000006</v>
      </c>
      <c r="AZ20" s="26">
        <f>股权价值增加表!AZ13-股权价值增加表!AZ14</f>
        <v>-4788310.76</v>
      </c>
      <c r="BA20" s="26">
        <f>股权价值增加表!BA13-股权价值增加表!BA14</f>
        <v>-11072686.370000001</v>
      </c>
      <c r="BB20" s="26">
        <f>股权价值增加表!BB13-股权价值增加表!BB14</f>
        <v>-8730146.9499999993</v>
      </c>
      <c r="BC20" s="26">
        <f>股权价值增加表!BC13-股权价值增加表!BC14</f>
        <v>-5724979.3900000006</v>
      </c>
      <c r="BD20" s="26">
        <f>股权价值增加表!BD13-股权价值增加表!BD14</f>
        <v>-3215148.29</v>
      </c>
      <c r="BE20" s="26">
        <f>股权价值增加表!BE13-股权价值增加表!BE14</f>
        <v>-1866090.8900000006</v>
      </c>
      <c r="BF20" s="26">
        <f>股权价值增加表!BF13-股权价值增加表!BF14</f>
        <v>-2942475.41</v>
      </c>
      <c r="BG20" s="26">
        <f>股权价值增加表!BG13-股权价值增加表!BG14</f>
        <v>-4101309.2300000004</v>
      </c>
      <c r="BH20" s="26">
        <f>股权价值增加表!BH13-股权价值增加表!BH14</f>
        <v>-6604884.7000000002</v>
      </c>
      <c r="BI20" s="26">
        <f>股权价值增加表!BI13-股权价值增加表!BI14</f>
        <v>-15991149.579999998</v>
      </c>
      <c r="BJ20" s="26">
        <f>股权价值增加表!BJ13-股权价值增加表!BJ14</f>
        <v>-17858482.460000001</v>
      </c>
      <c r="BK20" s="26">
        <f>股权价值增加表!BK13-股权价值增加表!BK14</f>
        <v>-14941643.299999999</v>
      </c>
      <c r="BL20" s="26">
        <f>股权价值增加表!BL13-股权价值增加表!BL14</f>
        <v>-2974431.8000000003</v>
      </c>
      <c r="BM20" s="26">
        <f>股权价值增加表!BM13-股权价值增加表!BM14</f>
        <v>-36551043.450000003</v>
      </c>
      <c r="BN20" s="26">
        <f>股权价值增加表!BN13-股权价值增加表!BN14</f>
        <v>-7515946.5700000003</v>
      </c>
      <c r="BO20" s="26">
        <f>股权价值增加表!BO13-股权价值增加表!BO14</f>
        <v>-5076127.25</v>
      </c>
      <c r="BP20" s="26">
        <f>股权价值增加表!BP13-股权价值增加表!BP14</f>
        <v>-2726107.37</v>
      </c>
      <c r="BQ20" s="26">
        <f>股权价值增加表!BQ13-股权价值增加表!BQ14</f>
        <v>-7178090.5800000001</v>
      </c>
      <c r="BR20" s="26">
        <f>股权价值增加表!BR13-股权价值增加表!BR14</f>
        <v>-1718749.1599999997</v>
      </c>
      <c r="BS20" s="26">
        <f>股权价值增加表!BS13-股权价值增加表!BS14</f>
        <v>-7993938.7299999986</v>
      </c>
      <c r="BT20" s="26">
        <f>股权价值增加表!BT13-股权价值增加表!BT14</f>
        <v>-4678260.3099999996</v>
      </c>
      <c r="BU20" s="26">
        <f>股权价值增加表!BU13-股权价值增加表!BU14</f>
        <v>-6635088.5</v>
      </c>
      <c r="BV20" s="26">
        <f>股权价值增加表!BV13-股权价值增加表!BV14</f>
        <v>-3450808.93</v>
      </c>
      <c r="BW20" s="26">
        <f>股权价值增加表!BW13-股权价值增加表!BW14</f>
        <v>-3491126.0199999996</v>
      </c>
      <c r="BX20" s="26">
        <f>股权价值增加表!BX13-股权价值增加表!BX14</f>
        <v>-2269993.75</v>
      </c>
      <c r="BY20" s="26">
        <f>股权价值增加表!BY13-股权价值增加表!BY14</f>
        <v>-3873656.04</v>
      </c>
      <c r="BZ20" s="26">
        <f>股权价值增加表!BZ13-股权价值增加表!BZ14</f>
        <v>0</v>
      </c>
      <c r="CA20" s="26">
        <f>股权价值增加表!CA13-股权价值增加表!CA14</f>
        <v>-3666472.96</v>
      </c>
      <c r="CB20" s="26">
        <f>股权价值增加表!CB13-股权价值增加表!CB14</f>
        <v>0</v>
      </c>
      <c r="CC20" s="26">
        <f>股权价值增加表!CC13-股权价值增加表!CC14</f>
        <v>-4552011.78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7.4016504993904041E-4</v>
      </c>
      <c r="F21" s="57">
        <f t="shared" ref="F21:BQ21" si="21">F20/F2</f>
        <v>1.3044479999363527E-3</v>
      </c>
      <c r="G21" s="57">
        <f t="shared" si="21"/>
        <v>1.1869817569230602E-3</v>
      </c>
      <c r="H21" s="57">
        <f t="shared" si="21"/>
        <v>2.1864838447517841E-3</v>
      </c>
      <c r="I21" s="57">
        <f t="shared" si="21"/>
        <v>1.8611492761014857E-3</v>
      </c>
      <c r="J21" s="57">
        <f t="shared" si="21"/>
        <v>2.2392913084006206E-3</v>
      </c>
      <c r="K21" s="57">
        <f t="shared" si="21"/>
        <v>2.4109697503582471E-3</v>
      </c>
      <c r="L21" s="57">
        <f t="shared" si="21"/>
        <v>1.2715804939391741E-3</v>
      </c>
      <c r="M21" s="57">
        <f t="shared" si="21"/>
        <v>1.1512386513702899E-3</v>
      </c>
      <c r="N21" s="57">
        <f t="shared" si="21"/>
        <v>2.8937903632798843E-3</v>
      </c>
      <c r="O21" s="57">
        <f t="shared" si="21"/>
        <v>1.5745653542232306E-3</v>
      </c>
      <c r="P21" s="57">
        <f t="shared" si="21"/>
        <v>1.2552916283944246E-3</v>
      </c>
      <c r="Q21" s="57">
        <f t="shared" si="21"/>
        <v>2.3688774601937344E-3</v>
      </c>
      <c r="R21" s="57">
        <f t="shared" si="21"/>
        <v>2.518327820457562E-3</v>
      </c>
      <c r="S21" s="57">
        <f t="shared" si="21"/>
        <v>1.3803563392256811E-3</v>
      </c>
      <c r="T21" s="57">
        <f t="shared" si="21"/>
        <v>2.1442698746903205E-3</v>
      </c>
      <c r="U21" s="57">
        <f t="shared" si="21"/>
        <v>3.1140148600464026E-3</v>
      </c>
      <c r="V21" s="57">
        <f t="shared" si="21"/>
        <v>2.3294158129180732E-3</v>
      </c>
      <c r="W21" s="57">
        <f t="shared" si="21"/>
        <v>2.5557353491151681E-3</v>
      </c>
      <c r="X21" s="57">
        <f t="shared" si="21"/>
        <v>8.8783394764510202E-4</v>
      </c>
      <c r="Y21" s="57">
        <f t="shared" si="21"/>
        <v>5.9588783497950548E-3</v>
      </c>
      <c r="Z21" s="57">
        <f t="shared" si="21"/>
        <v>4.8309716501282237E-3</v>
      </c>
      <c r="AA21" s="57">
        <f t="shared" si="21"/>
        <v>4.956997997548303E-3</v>
      </c>
      <c r="AB21" s="57">
        <f t="shared" si="21"/>
        <v>2.7233917120530581E-4</v>
      </c>
      <c r="AC21" s="57">
        <f t="shared" si="21"/>
        <v>7.0250073513600563E-3</v>
      </c>
      <c r="AD21" s="57">
        <f t="shared" si="21"/>
        <v>5.1701807660259882E-3</v>
      </c>
      <c r="AE21" s="57">
        <f t="shared" si="21"/>
        <v>4.0430960846616158E-3</v>
      </c>
      <c r="AF21" s="57">
        <f t="shared" si="21"/>
        <v>5.3622841849525031E-3</v>
      </c>
      <c r="AG21" s="57">
        <f t="shared" si="21"/>
        <v>4.7702489451345838E-3</v>
      </c>
      <c r="AH21" s="57">
        <f t="shared" si="21"/>
        <v>3.2604338025407006E-3</v>
      </c>
      <c r="AI21" s="57">
        <f t="shared" si="21"/>
        <v>-2.0038553357201516E-4</v>
      </c>
      <c r="AJ21" s="57">
        <f t="shared" si="21"/>
        <v>-3.8156847763062943E-4</v>
      </c>
      <c r="AK21" s="57">
        <f t="shared" si="21"/>
        <v>1.7781521548853981E-2</v>
      </c>
      <c r="AL21" s="57">
        <f t="shared" si="21"/>
        <v>1.4932076522460854E-3</v>
      </c>
      <c r="AM21" s="57">
        <f t="shared" si="21"/>
        <v>6.4030250561242126E-3</v>
      </c>
      <c r="AN21" s="57">
        <f t="shared" si="21"/>
        <v>1.4477425563260673E-2</v>
      </c>
      <c r="AO21" s="57">
        <f t="shared" si="21"/>
        <v>-5.3083125180934459E-4</v>
      </c>
      <c r="AP21" s="57">
        <f t="shared" si="21"/>
        <v>-3.9557593359530502E-4</v>
      </c>
      <c r="AQ21" s="57">
        <f t="shared" si="21"/>
        <v>-1.6400920051138129E-3</v>
      </c>
      <c r="AR21" s="57">
        <f t="shared" si="21"/>
        <v>-2.634103610804516E-3</v>
      </c>
      <c r="AS21" s="57">
        <f t="shared" si="21"/>
        <v>-1.5408426353553273E-3</v>
      </c>
      <c r="AT21" s="57">
        <f t="shared" si="21"/>
        <v>-1.521344888302447E-3</v>
      </c>
      <c r="AU21" s="57">
        <f t="shared" si="21"/>
        <v>-1.7788671373448917E-3</v>
      </c>
      <c r="AV21" s="57">
        <f t="shared" si="21"/>
        <v>-2.7390987581270162E-3</v>
      </c>
      <c r="AW21" s="57">
        <f t="shared" si="21"/>
        <v>-3.8769367867399988E-3</v>
      </c>
      <c r="AX21" s="57">
        <f t="shared" si="21"/>
        <v>-3.6594498080338871E-3</v>
      </c>
      <c r="AY21" s="57">
        <f t="shared" si="21"/>
        <v>-3.6709704425350251E-3</v>
      </c>
      <c r="AZ21" s="57">
        <f t="shared" si="21"/>
        <v>-4.9053362823831626E-3</v>
      </c>
      <c r="BA21" s="57">
        <f t="shared" si="21"/>
        <v>-3.3963529301712222E-3</v>
      </c>
      <c r="BB21" s="57">
        <f t="shared" si="21"/>
        <v>-3.994855421985426E-3</v>
      </c>
      <c r="BC21" s="57">
        <f t="shared" si="21"/>
        <v>-4.0997963679183826E-3</v>
      </c>
      <c r="BD21" s="57">
        <f t="shared" si="21"/>
        <v>-4.4498760001169587E-3</v>
      </c>
      <c r="BE21" s="57">
        <f t="shared" si="21"/>
        <v>-7.7017857723900437E-4</v>
      </c>
      <c r="BF21" s="57">
        <f t="shared" si="21"/>
        <v>-1.8040180627942955E-3</v>
      </c>
      <c r="BG21" s="57">
        <f t="shared" si="21"/>
        <v>-3.7392886318202215E-3</v>
      </c>
      <c r="BH21" s="57">
        <f t="shared" si="21"/>
        <v>-1.1126408894223467E-2</v>
      </c>
      <c r="BI21" s="57">
        <f t="shared" si="21"/>
        <v>-5.511680207050766E-3</v>
      </c>
      <c r="BJ21" s="57">
        <f t="shared" si="21"/>
        <v>-9.0432004636483657E-3</v>
      </c>
      <c r="BK21" s="57">
        <f t="shared" si="21"/>
        <v>-1.0830035655399249E-2</v>
      </c>
      <c r="BL21" s="57">
        <f t="shared" si="21"/>
        <v>-3.5241887712527671E-3</v>
      </c>
      <c r="BM21" s="57">
        <f t="shared" si="21"/>
        <v>-1.2424714178546048E-2</v>
      </c>
      <c r="BN21" s="57">
        <f t="shared" si="21"/>
        <v>-3.1142961764793801E-3</v>
      </c>
      <c r="BO21" s="57">
        <f t="shared" si="21"/>
        <v>-3.2680676888123621E-3</v>
      </c>
      <c r="BP21" s="57">
        <f t="shared" si="21"/>
        <v>-3.8669407630257512E-3</v>
      </c>
      <c r="BQ21" s="57">
        <f t="shared" si="21"/>
        <v>-3.674490850490385E-3</v>
      </c>
      <c r="BR21" s="57">
        <f t="shared" ref="BR21:CK21" si="22">BR20/BR2</f>
        <v>-1.5215102383254978E-3</v>
      </c>
      <c r="BS21" s="57">
        <f t="shared" si="22"/>
        <v>-2.933702504272754E-3</v>
      </c>
      <c r="BT21" s="57">
        <f t="shared" si="22"/>
        <v>-3.1748937122198975E-3</v>
      </c>
      <c r="BU21" s="57">
        <f t="shared" si="22"/>
        <v>-2.4947366406526381E-3</v>
      </c>
      <c r="BV21" s="57">
        <f t="shared" si="22"/>
        <v>-2.4454904452683255E-3</v>
      </c>
      <c r="BW21" s="57">
        <f t="shared" si="22"/>
        <v>-1.6109178018773238E-3</v>
      </c>
      <c r="BX21" s="57">
        <f t="shared" si="22"/>
        <v>-2.2599317898151943E-3</v>
      </c>
      <c r="BY21" s="57">
        <f t="shared" si="22"/>
        <v>-2.1059846217045147E-3</v>
      </c>
      <c r="BZ21" s="57">
        <f t="shared" si="22"/>
        <v>0</v>
      </c>
      <c r="CA21" s="57">
        <f t="shared" si="22"/>
        <v>-2.7095668828584075E-3</v>
      </c>
      <c r="CB21" s="57">
        <f t="shared" si="22"/>
        <v>0</v>
      </c>
      <c r="CC21" s="57">
        <f t="shared" si="22"/>
        <v>-4.5282055397802166E-3</v>
      </c>
      <c r="CD21" s="57">
        <f t="shared" si="22"/>
        <v>0</v>
      </c>
      <c r="CE21" s="57">
        <f t="shared" si="22"/>
        <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0.17904434870774896</v>
      </c>
      <c r="F22" s="66">
        <f t="shared" ref="F22:BQ22" si="23">F11+F13+F15+F17+F19+F21</f>
        <v>0.1800941912012772</v>
      </c>
      <c r="G22" s="66">
        <f t="shared" si="23"/>
        <v>0.18704336487450746</v>
      </c>
      <c r="H22" s="66">
        <f t="shared" si="23"/>
        <v>0.19157829520019326</v>
      </c>
      <c r="I22" s="66">
        <f t="shared" si="23"/>
        <v>0.18777148475204239</v>
      </c>
      <c r="J22" s="66">
        <f t="shared" si="23"/>
        <v>0.1858310022056793</v>
      </c>
      <c r="K22" s="66">
        <f t="shared" si="23"/>
        <v>0.19401730068343062</v>
      </c>
      <c r="L22" s="66">
        <f t="shared" si="23"/>
        <v>0.19673764069157806</v>
      </c>
      <c r="M22" s="66">
        <f t="shared" si="23"/>
        <v>0.19848514569288758</v>
      </c>
      <c r="N22" s="66">
        <f t="shared" si="23"/>
        <v>0.19489184067187951</v>
      </c>
      <c r="O22" s="66">
        <f t="shared" si="23"/>
        <v>0.19156800624826414</v>
      </c>
      <c r="P22" s="66">
        <f t="shared" si="23"/>
        <v>0.19414865615538035</v>
      </c>
      <c r="Q22" s="66">
        <f t="shared" si="23"/>
        <v>0.19388791773100697</v>
      </c>
      <c r="R22" s="66">
        <f t="shared" si="23"/>
        <v>0.19277524066202056</v>
      </c>
      <c r="S22" s="66">
        <f t="shared" si="23"/>
        <v>0.19469452641316343</v>
      </c>
      <c r="T22" s="66">
        <f t="shared" si="23"/>
        <v>0.20111315663062995</v>
      </c>
      <c r="U22" s="66">
        <f t="shared" si="23"/>
        <v>0.20539186723521094</v>
      </c>
      <c r="V22" s="66">
        <f t="shared" si="23"/>
        <v>0.19464817339946802</v>
      </c>
      <c r="W22" s="66">
        <f t="shared" si="23"/>
        <v>0.19082487501292733</v>
      </c>
      <c r="X22" s="66">
        <f t="shared" si="23"/>
        <v>0.19101317812580623</v>
      </c>
      <c r="Y22" s="66">
        <f t="shared" si="23"/>
        <v>0.18192524970131427</v>
      </c>
      <c r="Z22" s="66">
        <f t="shared" si="23"/>
        <v>0.15972517107721368</v>
      </c>
      <c r="AA22" s="66">
        <f t="shared" si="23"/>
        <v>0.14230477737771852</v>
      </c>
      <c r="AB22" s="66">
        <f t="shared" si="23"/>
        <v>0.11164282444124392</v>
      </c>
      <c r="AC22" s="66">
        <f t="shared" si="23"/>
        <v>0.12620075681813747</v>
      </c>
      <c r="AD22" s="66">
        <f t="shared" si="23"/>
        <v>0.11709093348614764</v>
      </c>
      <c r="AE22" s="66">
        <f t="shared" si="23"/>
        <v>0.1204480601524501</v>
      </c>
      <c r="AF22" s="66">
        <f t="shared" si="23"/>
        <v>0.12963115969649336</v>
      </c>
      <c r="AG22" s="66">
        <f t="shared" si="23"/>
        <v>0.1006629970009489</v>
      </c>
      <c r="AH22" s="66">
        <f t="shared" si="23"/>
        <v>9.5954976514518037E-2</v>
      </c>
      <c r="AI22" s="66">
        <f t="shared" si="23"/>
        <v>9.3625828401087421E-2</v>
      </c>
      <c r="AJ22" s="66">
        <f t="shared" si="23"/>
        <v>0.10396185734894671</v>
      </c>
      <c r="AK22" s="66">
        <f t="shared" si="23"/>
        <v>0.20428558458298271</v>
      </c>
      <c r="AL22" s="66">
        <f t="shared" si="23"/>
        <v>0.17453597300534299</v>
      </c>
      <c r="AM22" s="66">
        <f t="shared" si="23"/>
        <v>0.17532612721048355</v>
      </c>
      <c r="AN22" s="66">
        <f t="shared" si="23"/>
        <v>0.18509040451825076</v>
      </c>
      <c r="AO22" s="66">
        <f t="shared" si="23"/>
        <v>0.18655521947972659</v>
      </c>
      <c r="AP22" s="66">
        <f t="shared" si="23"/>
        <v>0.14257031926467714</v>
      </c>
      <c r="AQ22" s="66">
        <f t="shared" si="23"/>
        <v>0.16132220333021807</v>
      </c>
      <c r="AR22" s="66">
        <f t="shared" si="23"/>
        <v>0.18635780373206326</v>
      </c>
      <c r="AS22" s="66">
        <f t="shared" si="23"/>
        <v>0.15928254987748341</v>
      </c>
      <c r="AT22" s="66">
        <f t="shared" si="23"/>
        <v>0.1703334199083085</v>
      </c>
      <c r="AU22" s="66">
        <f t="shared" si="23"/>
        <v>0.16646943934815422</v>
      </c>
      <c r="AV22" s="66">
        <f t="shared" si="23"/>
        <v>0.18498237813099822</v>
      </c>
      <c r="AW22" s="66">
        <f t="shared" si="23"/>
        <v>0.20473644800346091</v>
      </c>
      <c r="AX22" s="66">
        <f t="shared" si="23"/>
        <v>0.19370221316051778</v>
      </c>
      <c r="AY22" s="66">
        <f t="shared" si="23"/>
        <v>0.18071251111383083</v>
      </c>
      <c r="AZ22" s="66">
        <f t="shared" si="23"/>
        <v>0.19720379091860646</v>
      </c>
      <c r="BA22" s="66">
        <f t="shared" si="23"/>
        <v>0.18870201029848496</v>
      </c>
      <c r="BB22" s="66">
        <f t="shared" si="23"/>
        <v>0.19061066793886258</v>
      </c>
      <c r="BC22" s="66">
        <f t="shared" si="23"/>
        <v>0.19383618843347858</v>
      </c>
      <c r="BD22" s="66">
        <f t="shared" si="23"/>
        <v>0.20908116915178376</v>
      </c>
      <c r="BE22" s="66">
        <f t="shared" si="23"/>
        <v>0.19490808299577378</v>
      </c>
      <c r="BF22" s="66">
        <f t="shared" si="23"/>
        <v>0.18697475700043426</v>
      </c>
      <c r="BG22" s="66">
        <f t="shared" si="23"/>
        <v>0.18666943214080828</v>
      </c>
      <c r="BH22" s="66">
        <f t="shared" si="23"/>
        <v>0.18091204828148616</v>
      </c>
      <c r="BI22" s="66">
        <f t="shared" si="23"/>
        <v>0.16882815536867027</v>
      </c>
      <c r="BJ22" s="66">
        <f t="shared" si="23"/>
        <v>0.15735816261545946</v>
      </c>
      <c r="BK22" s="66">
        <f t="shared" si="23"/>
        <v>0.16151539258545386</v>
      </c>
      <c r="BL22" s="66">
        <f t="shared" si="23"/>
        <v>0.17092583821080276</v>
      </c>
      <c r="BM22" s="66">
        <f t="shared" si="23"/>
        <v>0.39733043741531948</v>
      </c>
      <c r="BN22" s="66">
        <f t="shared" si="23"/>
        <v>0.197526597096639</v>
      </c>
      <c r="BO22" s="66">
        <f t="shared" si="23"/>
        <v>0.20392243565486598</v>
      </c>
      <c r="BP22" s="66">
        <f t="shared" si="23"/>
        <v>0.24625974321654887</v>
      </c>
      <c r="BQ22" s="66">
        <f t="shared" si="23"/>
        <v>0.2743617775695581</v>
      </c>
      <c r="BR22" s="66">
        <f t="shared" ref="BR22:CJ22" si="24">BR11+BR13+BR15+BR17+BR19+BR21</f>
        <v>0.18146291665521538</v>
      </c>
      <c r="BS22" s="66">
        <f t="shared" si="24"/>
        <v>0.17503096703615331</v>
      </c>
      <c r="BT22" s="66">
        <f t="shared" si="24"/>
        <v>0.17130125142119562</v>
      </c>
      <c r="BU22" s="66">
        <f t="shared" si="24"/>
        <v>0.17117847685306145</v>
      </c>
      <c r="BV22" s="66">
        <f t="shared" si="24"/>
        <v>0.14933335483170979</v>
      </c>
      <c r="BW22" s="66">
        <f t="shared" si="24"/>
        <v>0.12980638413839371</v>
      </c>
      <c r="BX22" s="66">
        <f t="shared" si="24"/>
        <v>0.12955522056494401</v>
      </c>
      <c r="BY22" s="66">
        <f t="shared" si="24"/>
        <v>0.11286578508544352</v>
      </c>
      <c r="BZ22" s="66">
        <f t="shared" si="24"/>
        <v>0</v>
      </c>
      <c r="CA22" s="66">
        <f t="shared" si="24"/>
        <v>0.12697232765923228</v>
      </c>
      <c r="CB22" s="66">
        <f t="shared" si="24"/>
        <v>0</v>
      </c>
      <c r="CC22" s="66">
        <f t="shared" si="24"/>
        <v>0.12280138104552525</v>
      </c>
      <c r="CD22" s="66">
        <f t="shared" si="24"/>
        <v>0</v>
      </c>
      <c r="CE22" s="66">
        <f t="shared" si="24"/>
        <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1302531208.6354809</v>
      </c>
      <c r="F23" s="27">
        <f>股权价值增加表!F17</f>
        <v>1056813953.5720314</v>
      </c>
      <c r="G23" s="27">
        <f>股权价值增加表!G17</f>
        <v>635086038.55176151</v>
      </c>
      <c r="H23" s="27">
        <f>股权价值增加表!H17</f>
        <v>331377293.16396087</v>
      </c>
      <c r="I23" s="27">
        <f>股权价值增加表!I17</f>
        <v>1041252159.35712</v>
      </c>
      <c r="J23" s="27">
        <f>股权价值增加表!J17</f>
        <v>880397832.8664633</v>
      </c>
      <c r="K23" s="27">
        <f>股权价值增加表!K17</f>
        <v>559865740.51663828</v>
      </c>
      <c r="L23" s="27">
        <f>股权价值增加表!L17</f>
        <v>313668345.88022155</v>
      </c>
      <c r="M23" s="27">
        <f>股权价值增加表!M17</f>
        <v>789445300.55888867</v>
      </c>
      <c r="N23" s="27">
        <f>股权价值增加表!N17</f>
        <v>645253911.80819631</v>
      </c>
      <c r="O23" s="27">
        <f>股权价值增加表!O17</f>
        <v>427042064.23666298</v>
      </c>
      <c r="P23" s="27">
        <f>股权价值增加表!P17</f>
        <v>240797933.54212812</v>
      </c>
      <c r="Q23" s="27">
        <f>股权价值增加表!Q17</f>
        <v>637452067.39949429</v>
      </c>
      <c r="R23" s="27">
        <f>股权价值增加表!R17</f>
        <v>480663178.56836748</v>
      </c>
      <c r="S23" s="27">
        <f>股权价值增加表!S17</f>
        <v>306054931.99903661</v>
      </c>
      <c r="T23" s="27">
        <f>股权价值增加表!T17</f>
        <v>175941886.45021182</v>
      </c>
      <c r="U23" s="27">
        <f>股权价值增加表!U17</f>
        <v>376387165.26690811</v>
      </c>
      <c r="V23" s="27">
        <f>股权价值增加表!V17</f>
        <v>308756759.50404739</v>
      </c>
      <c r="W23" s="27">
        <f>股权价值增加表!W17</f>
        <v>211292102.29745761</v>
      </c>
      <c r="X23" s="27">
        <f>股权价值增加表!X17</f>
        <v>110471609.84479782</v>
      </c>
      <c r="Y23" s="27">
        <f>股权价值增加表!Y17</f>
        <v>327309426.02442932</v>
      </c>
      <c r="Z23" s="27">
        <f>股权价值增加表!Z17</f>
        <v>278447343.98639536</v>
      </c>
      <c r="AA23" s="27">
        <f>股权价值增加表!AA17</f>
        <v>206812827.95766866</v>
      </c>
      <c r="AB23" s="27">
        <f>股权价值增加表!AB17</f>
        <v>115312581.058676</v>
      </c>
      <c r="AC23" s="27">
        <f>股权价值增加表!AC17</f>
        <v>468513049.89189756</v>
      </c>
      <c r="AD23" s="27">
        <f>股权价值增加表!AD17</f>
        <v>440423167.74670368</v>
      </c>
      <c r="AE23" s="27">
        <f>股权价值增加表!AE17</f>
        <v>301102212.40706444</v>
      </c>
      <c r="AF23" s="27">
        <f>股权价值增加表!AF17</f>
        <v>138983942.01790982</v>
      </c>
      <c r="AG23" s="27">
        <f>股权价值增加表!AG17</f>
        <v>617219098.10002398</v>
      </c>
      <c r="AH23" s="27">
        <f>股权价值增加表!AH17</f>
        <v>302246320.96897817</v>
      </c>
      <c r="AI23" s="27">
        <f>股权价值增加表!AI17</f>
        <v>190516176.66389871</v>
      </c>
      <c r="AJ23" s="27">
        <f>股权价值增加表!AJ17</f>
        <v>82643794.066017762</v>
      </c>
      <c r="AK23" s="27">
        <f>股权价值增加表!AK17</f>
        <v>225565344.09931755</v>
      </c>
      <c r="AL23" s="27">
        <f>股权价值增加表!AL17</f>
        <v>141789589.60022348</v>
      </c>
      <c r="AM23" s="27">
        <f>股权价值增加表!AM17</f>
        <v>84658324.326442957</v>
      </c>
      <c r="AN23" s="27">
        <f>股权价值增加表!AN17</f>
        <v>27459567.381842747</v>
      </c>
      <c r="AO23" s="27">
        <f>股权价值增加表!AO17</f>
        <v>-1986191.2695630686</v>
      </c>
      <c r="AP23" s="27">
        <f>股权价值增加表!AP17</f>
        <v>106112326.04243441</v>
      </c>
      <c r="AQ23" s="27">
        <f>股权价值增加表!AQ17</f>
        <v>62891705.595235638</v>
      </c>
      <c r="AR23" s="27">
        <f>股权价值增加表!AR17</f>
        <v>32011879.947871387</v>
      </c>
      <c r="AS23" s="27">
        <f>股权价值增加表!AS17</f>
        <v>149959184.57498276</v>
      </c>
      <c r="AT23" s="27">
        <f>股权价值增加表!AT17</f>
        <v>59082492.515295416</v>
      </c>
      <c r="AU23" s="27">
        <f>股权价值增加表!AU17</f>
        <v>40648828.425589532</v>
      </c>
      <c r="AV23" s="27">
        <f>股权价值增加表!AV17</f>
        <v>11245052.458980961</v>
      </c>
      <c r="AW23" s="27">
        <f>股权价值增加表!AW17</f>
        <v>812337.06888923247</v>
      </c>
      <c r="AX23" s="27">
        <f>股权价值增加表!AX17</f>
        <v>637937.33573748195</v>
      </c>
      <c r="AY23" s="27">
        <f>股权价值增加表!AY17</f>
        <v>5291789.3740812968</v>
      </c>
      <c r="AZ23" s="27">
        <f>股权价值增加表!AZ17</f>
        <v>14713408.255443759</v>
      </c>
      <c r="BA23" s="27">
        <f>股权价值增加表!BA17</f>
        <v>46458699.224279404</v>
      </c>
      <c r="BB23" s="27">
        <f>股权价值增加表!BB17</f>
        <v>-5965834.3042910155</v>
      </c>
      <c r="BC23" s="27">
        <f>股权价值增加表!BC17</f>
        <v>5711967.0163463019</v>
      </c>
      <c r="BD23" s="27">
        <f>股权价值增加表!BD17</f>
        <v>4534484.014134381</v>
      </c>
      <c r="BE23" s="27">
        <f>股权价值增加表!BE17</f>
        <v>-306360.43567630276</v>
      </c>
      <c r="BF23" s="27">
        <f>股权价值增加表!BF17</f>
        <v>17934137.16230575</v>
      </c>
      <c r="BG23" s="27">
        <f>股权价值增加表!BG17</f>
        <v>11455977.930863045</v>
      </c>
      <c r="BH23" s="27">
        <f>股权价值增加表!BH17</f>
        <v>1825327.2655705661</v>
      </c>
      <c r="BI23" s="27">
        <f>股权价值增加表!BI17</f>
        <v>8697202.7951195389</v>
      </c>
      <c r="BJ23" s="27">
        <f>股权价值增加表!BJ17</f>
        <v>66206161.089564152</v>
      </c>
      <c r="BK23" s="27">
        <f>股权价值增加表!BK17</f>
        <v>-45675600.052529618</v>
      </c>
      <c r="BL23" s="27">
        <f>股权价值增加表!BL17</f>
        <v>3453463.9398967121</v>
      </c>
      <c r="BM23" s="27">
        <f>股权价值增加表!BM17</f>
        <v>-650003702.00675809</v>
      </c>
      <c r="BN23" s="27">
        <f>股权价值增加表!BN17</f>
        <v>16640989.529040091</v>
      </c>
      <c r="BO23" s="27">
        <f>股权价值增加表!BO17</f>
        <v>42313311.442353249</v>
      </c>
      <c r="BP23" s="27">
        <f>股权价值增加表!BP17</f>
        <v>21377152.532724969</v>
      </c>
      <c r="BQ23" s="27">
        <f>股权价值增加表!BQ17</f>
        <v>-135786470.02910578</v>
      </c>
      <c r="BR23" s="27">
        <f>股权价值增加表!BR17</f>
        <v>77325546.763734683</v>
      </c>
      <c r="BS23" s="27">
        <f>股权价值增加表!BS17</f>
        <v>181774588.64392418</v>
      </c>
      <c r="BT23" s="27">
        <f>股权价值增加表!BT17</f>
        <v>119115185.12351024</v>
      </c>
      <c r="BU23" s="27">
        <f>股权价值增加表!BU17</f>
        <v>220362010.89007691</v>
      </c>
      <c r="BV23" s="27">
        <f>股权价值增加表!BV17</f>
        <v>141694291.5830873</v>
      </c>
      <c r="BW23" s="27">
        <f>股权价值增加表!BW17</f>
        <v>234026267.00094372</v>
      </c>
      <c r="BX23" s="27">
        <f>股权价值增加表!BX17</f>
        <v>140921020.07682401</v>
      </c>
      <c r="BY23" s="27">
        <f>股权价值增加表!BY17</f>
        <v>270993479.54029512</v>
      </c>
      <c r="BZ23" s="27">
        <f>股权价值增加表!BZ17</f>
        <v>862751340.02852178</v>
      </c>
      <c r="CA23" s="27">
        <f>股权价值增加表!CA17</f>
        <v>189629446.55077547</v>
      </c>
      <c r="CB23" s="27">
        <f>股权价值增加表!CB17</f>
        <v>644173552.43296981</v>
      </c>
      <c r="CC23" s="27">
        <f>股权价值增加表!CC17</f>
        <v>156290373.727988</v>
      </c>
      <c r="CD23" s="27">
        <f>股权价值增加表!CD17</f>
        <v>764095148.28999996</v>
      </c>
      <c r="CE23" s="27">
        <f>股权价值增加表!CE17</f>
        <v>484685682.33999997</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6.090949439909199E-2</v>
      </c>
      <c r="F24" s="57">
        <f t="shared" ref="F24:BQ24" si="25">F23/F2</f>
        <v>6.6145482731167271E-2</v>
      </c>
      <c r="G24" s="57">
        <f t="shared" si="25"/>
        <v>6.0094850636553843E-2</v>
      </c>
      <c r="H24" s="57">
        <f t="shared" si="25"/>
        <v>5.8234532832304675E-2</v>
      </c>
      <c r="I24" s="57">
        <f t="shared" si="25"/>
        <v>6.3743961393210397E-2</v>
      </c>
      <c r="J24" s="57">
        <f t="shared" si="25"/>
        <v>7.3027904884432185E-2</v>
      </c>
      <c r="K24" s="57">
        <f t="shared" si="25"/>
        <v>7.0116551242947384E-2</v>
      </c>
      <c r="L24" s="57">
        <f t="shared" si="25"/>
        <v>7.3982238308588341E-2</v>
      </c>
      <c r="M24" s="57">
        <f t="shared" si="25"/>
        <v>6.0117859319370796E-2</v>
      </c>
      <c r="N24" s="57">
        <f t="shared" si="25"/>
        <v>6.7130204460389337E-2</v>
      </c>
      <c r="O24" s="57">
        <f t="shared" si="25"/>
        <v>6.9985052815094942E-2</v>
      </c>
      <c r="P24" s="57">
        <f t="shared" si="25"/>
        <v>7.3102592765016475E-2</v>
      </c>
      <c r="Q24" s="57">
        <f t="shared" si="25"/>
        <v>5.9000300565233699E-2</v>
      </c>
      <c r="R24" s="57">
        <f t="shared" si="25"/>
        <v>6.1795280026404401E-2</v>
      </c>
      <c r="S24" s="57">
        <f t="shared" si="25"/>
        <v>6.1530241960229812E-2</v>
      </c>
      <c r="T24" s="57">
        <f t="shared" si="25"/>
        <v>6.8296177415525766E-2</v>
      </c>
      <c r="U24" s="57">
        <f t="shared" si="25"/>
        <v>4.3124319526070251E-2</v>
      </c>
      <c r="V24" s="57">
        <f t="shared" si="25"/>
        <v>4.8622233423959098E-2</v>
      </c>
      <c r="W24" s="57">
        <f t="shared" si="25"/>
        <v>5.2846484970490958E-2</v>
      </c>
      <c r="X24" s="57">
        <f t="shared" si="25"/>
        <v>4.6825043926430707E-2</v>
      </c>
      <c r="Y24" s="57">
        <f t="shared" si="25"/>
        <v>4.7437084194173897E-2</v>
      </c>
      <c r="Z24" s="57">
        <f t="shared" si="25"/>
        <v>6.0861233141911525E-2</v>
      </c>
      <c r="AA24" s="57">
        <f t="shared" si="25"/>
        <v>6.6685232649183732E-2</v>
      </c>
      <c r="AB24" s="57">
        <f t="shared" si="25"/>
        <v>7.0762785203394754E-2</v>
      </c>
      <c r="AC24" s="57">
        <f t="shared" si="25"/>
        <v>4.2686698075513452E-2</v>
      </c>
      <c r="AD24" s="57">
        <f t="shared" si="25"/>
        <v>4.7024760562860424E-2</v>
      </c>
      <c r="AE24" s="57">
        <f t="shared" si="25"/>
        <v>4.4624169277642844E-2</v>
      </c>
      <c r="AF24" s="57">
        <f t="shared" si="25"/>
        <v>3.6274793742284088E-2</v>
      </c>
      <c r="AG24" s="57">
        <f t="shared" si="25"/>
        <v>5.5097204794412477E-2</v>
      </c>
      <c r="AH24" s="57">
        <f t="shared" si="25"/>
        <v>5.4180334947473333E-2</v>
      </c>
      <c r="AI24" s="57">
        <f t="shared" si="25"/>
        <v>5.2424080224451129E-2</v>
      </c>
      <c r="AJ24" s="57">
        <f t="shared" si="25"/>
        <v>4.9722329278255192E-2</v>
      </c>
      <c r="AK24" s="57">
        <f t="shared" si="25"/>
        <v>5.15549122762732E-2</v>
      </c>
      <c r="AL24" s="57">
        <f t="shared" si="25"/>
        <v>4.8591810140736776E-2</v>
      </c>
      <c r="AM24" s="57">
        <f t="shared" si="25"/>
        <v>4.4498728269800822E-2</v>
      </c>
      <c r="AN24" s="57">
        <f t="shared" si="25"/>
        <v>2.8189508512491891E-2</v>
      </c>
      <c r="AO24" s="57">
        <f t="shared" si="25"/>
        <v>-4.6265946169137207E-4</v>
      </c>
      <c r="AP24" s="57">
        <f t="shared" si="25"/>
        <v>3.0986576939089176E-2</v>
      </c>
      <c r="AQ24" s="57">
        <f t="shared" si="25"/>
        <v>2.5940832281588035E-2</v>
      </c>
      <c r="AR24" s="57">
        <f t="shared" si="25"/>
        <v>2.8131048398004434E-2</v>
      </c>
      <c r="AS24" s="57">
        <f t="shared" si="25"/>
        <v>2.9987688642457662E-2</v>
      </c>
      <c r="AT24" s="57">
        <f t="shared" si="25"/>
        <v>1.4454786603184996E-2</v>
      </c>
      <c r="AU24" s="57">
        <f t="shared" si="25"/>
        <v>1.4321847813694541E-2</v>
      </c>
      <c r="AV24" s="57">
        <f t="shared" si="25"/>
        <v>7.7647017111971564E-3</v>
      </c>
      <c r="AW24" s="57">
        <f t="shared" si="25"/>
        <v>1.9085351905263732E-4</v>
      </c>
      <c r="AX24" s="57">
        <f t="shared" si="25"/>
        <v>1.9776612491858713E-4</v>
      </c>
      <c r="AY24" s="57">
        <f t="shared" si="25"/>
        <v>2.4536346508610514E-3</v>
      </c>
      <c r="AZ24" s="57">
        <f t="shared" si="25"/>
        <v>1.5073001517751162E-2</v>
      </c>
      <c r="BA24" s="57">
        <f t="shared" si="25"/>
        <v>1.4250393623523613E-2</v>
      </c>
      <c r="BB24" s="57">
        <f t="shared" si="25"/>
        <v>-2.729924897445583E-3</v>
      </c>
      <c r="BC24" s="57">
        <f t="shared" si="25"/>
        <v>4.090477892058607E-3</v>
      </c>
      <c r="BD24" s="57">
        <f t="shared" si="25"/>
        <v>6.2758820954446825E-3</v>
      </c>
      <c r="BE24" s="57">
        <f t="shared" si="25"/>
        <v>-1.2644198936713973E-4</v>
      </c>
      <c r="BF24" s="57">
        <f t="shared" si="25"/>
        <v>1.0995336535855707E-2</v>
      </c>
      <c r="BG24" s="57">
        <f t="shared" si="25"/>
        <v>1.0444764254769329E-2</v>
      </c>
      <c r="BH24" s="57">
        <f t="shared" si="25"/>
        <v>3.0748966022848129E-3</v>
      </c>
      <c r="BI24" s="57">
        <f t="shared" si="25"/>
        <v>2.9976706967034051E-3</v>
      </c>
      <c r="BJ24" s="57">
        <f t="shared" si="25"/>
        <v>3.3525557840793432E-2</v>
      </c>
      <c r="BK24" s="57">
        <f t="shared" si="25"/>
        <v>-3.310669162813247E-2</v>
      </c>
      <c r="BL24" s="57">
        <f t="shared" si="25"/>
        <v>4.0917592526109802E-3</v>
      </c>
      <c r="BM24" s="57">
        <f t="shared" si="25"/>
        <v>-0.22095429979936146</v>
      </c>
      <c r="BN24" s="57">
        <f t="shared" si="25"/>
        <v>6.8953350826072932E-3</v>
      </c>
      <c r="BO24" s="57">
        <f t="shared" si="25"/>
        <v>2.7241784754590038E-2</v>
      </c>
      <c r="BP24" s="57">
        <f t="shared" si="25"/>
        <v>3.0323157273960694E-2</v>
      </c>
      <c r="BQ24" s="57">
        <f t="shared" si="25"/>
        <v>-6.9509591190243247E-2</v>
      </c>
      <c r="BR24" s="57">
        <f t="shared" ref="BR24:CJ24" si="26">BR23/BR2</f>
        <v>6.8451879903836235E-2</v>
      </c>
      <c r="BS24" s="57">
        <f t="shared" si="26"/>
        <v>6.6709613862380723E-2</v>
      </c>
      <c r="BT24" s="57">
        <f t="shared" si="26"/>
        <v>8.0837325676420463E-2</v>
      </c>
      <c r="BU24" s="57">
        <f t="shared" si="26"/>
        <v>8.2854235143264551E-2</v>
      </c>
      <c r="BV24" s="57">
        <f t="shared" si="26"/>
        <v>0.100414726878403</v>
      </c>
      <c r="BW24" s="57">
        <f t="shared" si="26"/>
        <v>0.10798724464799354</v>
      </c>
      <c r="BX24" s="57">
        <f t="shared" si="26"/>
        <v>0.14029637443926873</v>
      </c>
      <c r="BY24" s="57">
        <f t="shared" si="26"/>
        <v>0.14733060824214494</v>
      </c>
      <c r="BZ24" s="57">
        <f t="shared" si="26"/>
        <v>0.9774080149785711</v>
      </c>
      <c r="CA24" s="57">
        <f t="shared" si="26"/>
        <v>0.14013840385413606</v>
      </c>
      <c r="CB24" s="57">
        <f t="shared" si="26"/>
        <v>0.97437001024472158</v>
      </c>
      <c r="CC24" s="57">
        <f t="shared" si="26"/>
        <v>0.15547300190189658</v>
      </c>
      <c r="CD24" s="57">
        <f t="shared" si="26"/>
        <v>1</v>
      </c>
      <c r="CE24" s="57">
        <f t="shared" si="26"/>
        <v>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671</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601</v>
      </c>
      <c r="B26" s="151"/>
      <c r="C26" s="151"/>
      <c r="D26" s="151"/>
      <c r="E26" s="152">
        <f>POWER(E2/Y2,1/6)-1</f>
        <v>0.2074720949881077</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34699</v>
      </c>
      <c r="CE27" s="1">
        <v>34334</v>
      </c>
      <c r="CF27" s="1">
        <v>25569</v>
      </c>
      <c r="CG27" s="1"/>
      <c r="CH27" s="1"/>
      <c r="CI27" s="1"/>
      <c r="CJ27" s="1"/>
      <c r="CK27" s="1"/>
    </row>
    <row r="28" spans="1:89" s="26" customFormat="1" x14ac:dyDescent="0.25">
      <c r="A28" s="17" t="s">
        <v>374</v>
      </c>
      <c r="E28" s="26">
        <f>股权价值增加表!E15</f>
        <v>1604652313.0400012</v>
      </c>
      <c r="F28" s="26">
        <f>股权价值增加表!F15</f>
        <v>1254326807.5699987</v>
      </c>
      <c r="G28" s="26">
        <f>股权价值增加表!G15</f>
        <v>755091570.93999922</v>
      </c>
      <c r="H28" s="26">
        <f>股权价值增加表!H15</f>
        <v>396412462.02999961</v>
      </c>
      <c r="I28" s="26">
        <f>股权价值增加表!I15</f>
        <v>1217273494.7299998</v>
      </c>
      <c r="J28" s="26">
        <f>股权价值增加表!J15</f>
        <v>1039849195.03</v>
      </c>
      <c r="K28" s="26">
        <f>股权价值增加表!K15</f>
        <v>661510723.93999994</v>
      </c>
      <c r="L28" s="26">
        <f>股权价值增加表!L15</f>
        <v>369142804.94999969</v>
      </c>
      <c r="M28" s="26">
        <f>股权价值增加表!M15</f>
        <v>909038496.17000008</v>
      </c>
      <c r="N28" s="26">
        <f>股权价值增加表!N15</f>
        <v>753300542.51999962</v>
      </c>
      <c r="O28" s="26">
        <f>股权价值增加表!O15</f>
        <v>494648527.12000078</v>
      </c>
      <c r="P28" s="26">
        <f>股权价值增加表!P15</f>
        <v>283601652.53999984</v>
      </c>
      <c r="Q28" s="26">
        <f>股权价值增加表!Q15</f>
        <v>753105610.73000097</v>
      </c>
      <c r="R28" s="26">
        <f>股权价值增加表!R15</f>
        <v>570908876.42000043</v>
      </c>
      <c r="S28" s="26">
        <f>股权价值增加表!S15</f>
        <v>364052210.28000033</v>
      </c>
      <c r="T28" s="26">
        <f>股权价值增加表!T15</f>
        <v>205527895.87999997</v>
      </c>
      <c r="U28" s="26">
        <f>股权价值增加表!U15</f>
        <v>440040885.01000124</v>
      </c>
      <c r="V28" s="26">
        <f>股权价值增加表!V15</f>
        <v>364428008.75999963</v>
      </c>
      <c r="W28" s="26">
        <f>股权价值增加表!W15</f>
        <v>249889572.45999995</v>
      </c>
      <c r="X28" s="26">
        <f>股权价值增加表!X15</f>
        <v>130187430.33999985</v>
      </c>
      <c r="Y28" s="26">
        <f>股权价值增加表!Y15</f>
        <v>386920800.58000088</v>
      </c>
      <c r="Z28" s="26">
        <f>股权价值增加表!Z15</f>
        <v>321706323.31000054</v>
      </c>
      <c r="AA28" s="26">
        <f>股权价值增加表!AA15</f>
        <v>236860815.90999985</v>
      </c>
      <c r="AB28" s="26">
        <f>股权价值增加表!AB15</f>
        <v>136468258.96000001</v>
      </c>
      <c r="AC28" s="26">
        <f>股权价值增加表!AC15</f>
        <v>591564029.21000111</v>
      </c>
      <c r="AD28" s="26">
        <f>股权价值增加表!AD15</f>
        <v>542717796.91999924</v>
      </c>
      <c r="AE28" s="26">
        <f>股权价值增加表!AE15</f>
        <v>377550990.17999941</v>
      </c>
      <c r="AF28" s="26">
        <f>股权价值增加表!AF15</f>
        <v>166782592.06999978</v>
      </c>
      <c r="AG28" s="26">
        <f>股权价值增加表!AG15</f>
        <v>736230157.62999916</v>
      </c>
      <c r="AH28" s="26">
        <f>股权价值增加表!AH15</f>
        <v>359504708.59999967</v>
      </c>
      <c r="AI28" s="26">
        <f>股权价值增加表!AI15</f>
        <v>228910612.35999987</v>
      </c>
      <c r="AJ28" s="26">
        <f>股权价值增加表!AJ15</f>
        <v>97465717.360000208</v>
      </c>
      <c r="AK28" s="26">
        <f>股权价值增加表!AK15</f>
        <v>284539056.74000007</v>
      </c>
      <c r="AL28" s="26">
        <f>股权价值增加表!AL15</f>
        <v>166711018.59000006</v>
      </c>
      <c r="AM28" s="26">
        <f>股权价值增加表!AM15</f>
        <v>96747415.129999951</v>
      </c>
      <c r="AN28" s="26">
        <f>股权价值增加表!AN15</f>
        <v>33652051.729999982</v>
      </c>
      <c r="AO28" s="26">
        <f>股权价值增加表!AO15</f>
        <v>-7849321.7600003816</v>
      </c>
      <c r="AP28" s="26">
        <f>股权价值增加表!AP15</f>
        <v>144157869.51000017</v>
      </c>
      <c r="AQ28" s="26">
        <f>股权价值增加表!AQ15</f>
        <v>87565525.299999863</v>
      </c>
      <c r="AR28" s="26">
        <f>股权价值增加表!AR15</f>
        <v>39288328.800000176</v>
      </c>
      <c r="AS28" s="26">
        <f>股权价值增加表!AS15</f>
        <v>183951886.73000023</v>
      </c>
      <c r="AT28" s="26">
        <f>股权价值增加表!AT15</f>
        <v>64261804.569999829</v>
      </c>
      <c r="AU28" s="26">
        <f>股权价值增加表!AU15</f>
        <v>47112055.039999954</v>
      </c>
      <c r="AV28" s="26">
        <f>股权价值增加表!AV15</f>
        <v>14984455.380000021</v>
      </c>
      <c r="AW28" s="26">
        <f>股权价值增加表!AW15</f>
        <v>481808.66000005975</v>
      </c>
      <c r="AX28" s="26">
        <f>股权价值增加表!AX15</f>
        <v>199815.82000031881</v>
      </c>
      <c r="AY28" s="26">
        <f>股权价值增加表!AY15</f>
        <v>16505241.780000234</v>
      </c>
      <c r="AZ28" s="26">
        <f>股权价值增加表!AZ15</f>
        <v>15936151.889999978</v>
      </c>
      <c r="BA28" s="26">
        <f>股权价值增加表!BA15</f>
        <v>12711292.36999977</v>
      </c>
      <c r="BB28" s="26">
        <f>股权价值增加表!BB15</f>
        <v>-5238383.0900000446</v>
      </c>
      <c r="BC28" s="26">
        <f>股权价值增加表!BC15</f>
        <v>3032371.3500000685</v>
      </c>
      <c r="BD28" s="26">
        <f>股权价值增加表!BD15</f>
        <v>6240145.459999999</v>
      </c>
      <c r="BE28" s="26">
        <f>股权价值增加表!BE15</f>
        <v>-13894774.40000011</v>
      </c>
      <c r="BF28" s="26">
        <f>股权价值增加表!BF15</f>
        <v>29120637.849999875</v>
      </c>
      <c r="BG28" s="26">
        <f>股权价值增加表!BG15</f>
        <v>15992400.219999988</v>
      </c>
      <c r="BH28" s="26">
        <f>股权价值增加表!BH15</f>
        <v>4220095.4899999686</v>
      </c>
      <c r="BI28" s="26">
        <f>股权价值增加表!BI15</f>
        <v>11812054.950000331</v>
      </c>
      <c r="BJ28" s="26">
        <f>股权价值增加表!BJ15</f>
        <v>-23409668.360000037</v>
      </c>
      <c r="BK28" s="26">
        <f>股权价值增加表!BK15</f>
        <v>-31752440.610000059</v>
      </c>
      <c r="BL28" s="26">
        <f>股权价值增加表!BL15</f>
        <v>10268951.96999998</v>
      </c>
      <c r="BM28" s="26">
        <f>股权价值增加表!BM15</f>
        <v>-641505884.25000024</v>
      </c>
      <c r="BN28" s="26">
        <f>股权价值增加表!BN15</f>
        <v>44960600.729999833</v>
      </c>
      <c r="BO28" s="26">
        <f>股权价值增加表!BO15</f>
        <v>60385885.919999957</v>
      </c>
      <c r="BP28" s="26">
        <f>股权价值增加表!BP15</f>
        <v>33148612.170000017</v>
      </c>
      <c r="BQ28" s="26">
        <f>股权价值增加表!BQ15</f>
        <v>-68225644.999999955</v>
      </c>
      <c r="BR28" s="26">
        <f>股权价值增加表!BR15</f>
        <v>94988238.999999911</v>
      </c>
      <c r="BS28" s="26">
        <f>股权价值增加表!BS15</f>
        <v>224578786.49999994</v>
      </c>
      <c r="BT28" s="26">
        <f>股权价值增加表!BT15</f>
        <v>144916380.61999992</v>
      </c>
      <c r="BU28" s="26">
        <f>股权价值增加表!BU15</f>
        <v>301172041.89000028</v>
      </c>
      <c r="BV28" s="26">
        <f>股权价值增加表!BV15</f>
        <v>181105328.94000006</v>
      </c>
      <c r="BW28" s="26">
        <f>股权价值增加表!BW15</f>
        <v>305700305.35000002</v>
      </c>
      <c r="BX28" s="26">
        <f>股权价值增加表!BX15</f>
        <v>174607565.33999997</v>
      </c>
      <c r="BY28" s="26">
        <f>股权价值增加表!BY15</f>
        <v>332264257.75000012</v>
      </c>
      <c r="BZ28" s="26">
        <f>股权价值增加表!BZ15</f>
        <v>882693130</v>
      </c>
      <c r="CA28" s="26">
        <f>股权价值增加表!CA15</f>
        <v>228810928.5200001</v>
      </c>
      <c r="CB28" s="26">
        <f>股权价值增加表!CB15</f>
        <v>661118000</v>
      </c>
      <c r="CC28" s="26">
        <f>股权价值增加表!CC15</f>
        <v>183379555.42000005</v>
      </c>
      <c r="CD28" s="26">
        <f>股权价值增加表!CD15</f>
        <v>764095148.28999996</v>
      </c>
      <c r="CE28" s="26">
        <f>股权价值增加表!CE15</f>
        <v>484685682.33999997</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0.79599703961243873</v>
      </c>
      <c r="F29" s="59">
        <f t="shared" si="27"/>
        <v>0.85236146960473935</v>
      </c>
      <c r="G29" s="59">
        <f t="shared" si="27"/>
        <v>0.83042550168779972</v>
      </c>
      <c r="H29" s="59">
        <f t="shared" si="27"/>
        <v>0.84936012681098427</v>
      </c>
      <c r="I29" s="59">
        <f t="shared" si="27"/>
        <v>0.74250812283599643</v>
      </c>
      <c r="J29" s="59">
        <f t="shared" si="27"/>
        <v>0.85858561150711488</v>
      </c>
      <c r="K29" s="59">
        <f t="shared" si="27"/>
        <v>0.8646170751813913</v>
      </c>
      <c r="L29" s="59">
        <f t="shared" si="27"/>
        <v>0.90259815892421291</v>
      </c>
      <c r="M29" s="59">
        <f t="shared" si="27"/>
        <v>0.70824289834217269</v>
      </c>
      <c r="N29" s="59">
        <f t="shared" si="27"/>
        <v>0.88422159313624327</v>
      </c>
      <c r="O29" s="59">
        <f t="shared" si="27"/>
        <v>0.87363880576767927</v>
      </c>
      <c r="P29" s="59">
        <f t="shared" si="27"/>
        <v>0.90131663098750081</v>
      </c>
      <c r="Q29" s="59">
        <f t="shared" si="27"/>
        <v>0.79496048921182905</v>
      </c>
      <c r="R29" s="59">
        <f t="shared" si="27"/>
        <v>0.8802922605476512</v>
      </c>
      <c r="S29" s="59">
        <f t="shared" si="27"/>
        <v>0.89419924943991524</v>
      </c>
      <c r="T29" s="59">
        <f t="shared" si="27"/>
        <v>0.94788659800966535</v>
      </c>
      <c r="U29" s="59">
        <f t="shared" si="27"/>
        <v>0.7959147466452412</v>
      </c>
      <c r="V29" s="59">
        <f t="shared" si="27"/>
        <v>0.80711367651014121</v>
      </c>
      <c r="W29" s="59">
        <f t="shared" si="27"/>
        <v>0.8371896383849653</v>
      </c>
      <c r="X29" s="59">
        <f t="shared" si="27"/>
        <v>0.86513357211108444</v>
      </c>
      <c r="Y29" s="59">
        <f t="shared" si="27"/>
        <v>0.85172201903357847</v>
      </c>
      <c r="Z29" s="59">
        <f t="shared" si="27"/>
        <v>0.99550101606469121</v>
      </c>
      <c r="AA29" s="59">
        <f t="shared" si="27"/>
        <v>0.99645700650017655</v>
      </c>
      <c r="AB29" s="59">
        <f t="shared" si="27"/>
        <v>0.99552211017164527</v>
      </c>
      <c r="AC29" s="59">
        <f t="shared" si="27"/>
        <v>0.87029235679131001</v>
      </c>
      <c r="AD29" s="59">
        <f t="shared" si="27"/>
        <v>0.88229454331864199</v>
      </c>
      <c r="AE29" s="59">
        <f t="shared" si="27"/>
        <v>0.90300397681262623</v>
      </c>
      <c r="AF29" s="59">
        <f t="shared" si="27"/>
        <v>0.83242516975758019</v>
      </c>
      <c r="AG29" s="59">
        <f t="shared" si="27"/>
        <v>0.9834664881659142</v>
      </c>
      <c r="AH29" s="59">
        <f t="shared" si="27"/>
        <v>0.99973679952814209</v>
      </c>
      <c r="AI29" s="59">
        <f t="shared" si="27"/>
        <v>0.99808324087439715</v>
      </c>
      <c r="AJ29" s="59">
        <f t="shared" si="27"/>
        <v>0.98598886847590039</v>
      </c>
      <c r="AK29" s="59">
        <f t="shared" ref="AK29:BP29" si="28">AK28/AK34</f>
        <v>1.0200508503028554</v>
      </c>
      <c r="AL29" s="59">
        <f t="shared" si="28"/>
        <v>1.0309618788689325</v>
      </c>
      <c r="AM29" s="59">
        <f t="shared" si="28"/>
        <v>1.3095955946061921</v>
      </c>
      <c r="AN29" s="59">
        <f t="shared" si="28"/>
        <v>0.75272234640650537</v>
      </c>
      <c r="AO29" s="59">
        <f t="shared" si="28"/>
        <v>-0.11533073734060036</v>
      </c>
      <c r="AP29" s="59">
        <f t="shared" si="28"/>
        <v>0.74518206132307496</v>
      </c>
      <c r="AQ29" s="59">
        <f t="shared" si="28"/>
        <v>0.68242477953404701</v>
      </c>
      <c r="AR29" s="59">
        <f t="shared" si="28"/>
        <v>0.70775366923787375</v>
      </c>
      <c r="AS29" s="59">
        <f t="shared" si="28"/>
        <v>0.40044351967930431</v>
      </c>
      <c r="AT29" s="59">
        <f t="shared" si="28"/>
        <v>0.25793925829403436</v>
      </c>
      <c r="AU29" s="59">
        <f t="shared" si="28"/>
        <v>0.61659159486050674</v>
      </c>
      <c r="AV29" s="59">
        <f t="shared" si="28"/>
        <v>0.51908838998575746</v>
      </c>
      <c r="AW29" s="59">
        <f t="shared" si="28"/>
        <v>9.9724247582952709E-3</v>
      </c>
      <c r="AX29" s="59">
        <f t="shared" si="28"/>
        <v>6.4116621424072356E-3</v>
      </c>
      <c r="AY29" s="59">
        <f t="shared" si="28"/>
        <v>0.5595982876704656</v>
      </c>
      <c r="AZ29" s="59">
        <f t="shared" si="28"/>
        <v>0.76962395127270122</v>
      </c>
      <c r="BA29" s="59">
        <f t="shared" si="28"/>
        <v>0.26404918302316382</v>
      </c>
      <c r="BB29" s="59">
        <f t="shared" si="28"/>
        <v>-0.30853169269317382</v>
      </c>
      <c r="BC29" s="59">
        <f t="shared" si="28"/>
        <v>0.2303261740196989</v>
      </c>
      <c r="BD29" s="59">
        <f t="shared" si="28"/>
        <v>0.4806057965707704</v>
      </c>
      <c r="BE29" s="59">
        <f t="shared" si="28"/>
        <v>-0.66989606004565516</v>
      </c>
      <c r="BF29" s="59">
        <f t="shared" si="28"/>
        <v>0.58645331595826122</v>
      </c>
      <c r="BG29" s="59">
        <f t="shared" si="28"/>
        <v>0.54100654983032426</v>
      </c>
      <c r="BH29" s="59">
        <f t="shared" si="28"/>
        <v>0.39788925750797149</v>
      </c>
      <c r="BI29" s="59">
        <f t="shared" si="28"/>
        <v>0.17246965604349718</v>
      </c>
      <c r="BJ29" s="59">
        <f t="shared" si="28"/>
        <v>-1.8648790270968245</v>
      </c>
      <c r="BK29" s="59">
        <f t="shared" si="28"/>
        <v>3.9628164292060397</v>
      </c>
      <c r="BL29" s="59">
        <f t="shared" si="28"/>
        <v>0.77784134256161797</v>
      </c>
      <c r="BM29" s="59">
        <f t="shared" si="28"/>
        <v>1.0446266451424231</v>
      </c>
      <c r="BN29" s="59">
        <f t="shared" si="28"/>
        <v>0.92370911223759578</v>
      </c>
      <c r="BO29" s="59">
        <f t="shared" si="28"/>
        <v>1.2135386509481649</v>
      </c>
      <c r="BP29" s="59">
        <f t="shared" si="28"/>
        <v>0.87912681239188828</v>
      </c>
      <c r="BQ29" s="59">
        <f t="shared" ref="BQ29:CK29" si="29">BQ28/BQ34</f>
        <v>1.4525072216959733</v>
      </c>
      <c r="BR29" s="59">
        <f t="shared" si="29"/>
        <v>0.86820620661850001</v>
      </c>
      <c r="BS29" s="59">
        <f t="shared" si="29"/>
        <v>0.92857416007007543</v>
      </c>
      <c r="BT29" s="59">
        <f t="shared" si="29"/>
        <v>0.95677060825418514</v>
      </c>
      <c r="BU29" s="59">
        <f t="shared" si="29"/>
        <v>1.0880473998164597</v>
      </c>
      <c r="BV29" s="59">
        <f t="shared" si="29"/>
        <v>1.0521409358299028</v>
      </c>
      <c r="BW29" s="59">
        <f t="shared" si="29"/>
        <v>1.1755269297833355</v>
      </c>
      <c r="BX29" s="59">
        <f t="shared" si="29"/>
        <v>1.0677827316259161</v>
      </c>
      <c r="BY29" s="59">
        <f t="shared" si="29"/>
        <v>1.0734676001374472</v>
      </c>
      <c r="BZ29" s="59">
        <f t="shared" si="29"/>
        <v>1.0039151174575043</v>
      </c>
      <c r="CA29" s="59">
        <f t="shared" si="29"/>
        <v>1.0567604178919792</v>
      </c>
      <c r="CB29" s="59">
        <f t="shared" si="29"/>
        <v>1.0019186120523997</v>
      </c>
      <c r="CC29" s="59">
        <f t="shared" si="29"/>
        <v>0.99594848764294197</v>
      </c>
      <c r="CD29" s="59">
        <f t="shared" si="29"/>
        <v>1</v>
      </c>
      <c r="CE29" s="59">
        <f t="shared" si="29"/>
        <v>1</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-263002.03999999998</v>
      </c>
      <c r="N30" s="26">
        <f>股权价值增加表!N20</f>
        <v>0</v>
      </c>
      <c r="O30" s="26">
        <f>股权价值增加表!O20</f>
        <v>0</v>
      </c>
      <c r="P30" s="26">
        <f>股权价值增加表!P20</f>
        <v>0</v>
      </c>
      <c r="Q30" s="26">
        <f>股权价值增加表!Q20</f>
        <v>-319108.43</v>
      </c>
      <c r="R30" s="26">
        <f>股权价值增加表!R20</f>
        <v>0</v>
      </c>
      <c r="S30" s="26">
        <f>股权价值增加表!S20</f>
        <v>0</v>
      </c>
      <c r="T30" s="26">
        <f>股权价值增加表!T20</f>
        <v>0</v>
      </c>
      <c r="U30" s="26">
        <f>股权价值增加表!U20</f>
        <v>-116701.92</v>
      </c>
      <c r="V30" s="26">
        <f>股权价值增加表!V20</f>
        <v>0</v>
      </c>
      <c r="W30" s="26">
        <f>股权价值增加表!W20</f>
        <v>0</v>
      </c>
      <c r="X30" s="26">
        <f>股权价值增加表!X20</f>
        <v>0</v>
      </c>
      <c r="Y30" s="26">
        <f>股权价值增加表!Y20</f>
        <v>-143000.95000000001</v>
      </c>
      <c r="Z30" s="26">
        <f>股权价值增加表!Z20</f>
        <v>0</v>
      </c>
      <c r="AA30" s="26">
        <f>股权价值增加表!AA20</f>
        <v>0</v>
      </c>
      <c r="AB30" s="26">
        <f>股权价值增加表!AB20</f>
        <v>0</v>
      </c>
      <c r="AC30" s="26">
        <f>股权价值增加表!AC20</f>
        <v>0</v>
      </c>
      <c r="AD30" s="26">
        <f>股权价值增加表!AD20</f>
        <v>24693027.379999999</v>
      </c>
      <c r="AE30" s="26">
        <f>股权价值增加表!AE20</f>
        <v>-1078070.6299999999</v>
      </c>
      <c r="AF30" s="26">
        <f>股权价值增加表!AF20</f>
        <v>-319761.06</v>
      </c>
      <c r="AG30" s="26">
        <f>股权价值增加表!AG20</f>
        <v>0</v>
      </c>
      <c r="AH30" s="26">
        <f>股权价值增加表!AH20</f>
        <v>0</v>
      </c>
      <c r="AI30" s="26">
        <f>股权价值增加表!AI20</f>
        <v>0</v>
      </c>
      <c r="AJ30" s="26">
        <f>股权价值增加表!AJ20</f>
        <v>0</v>
      </c>
      <c r="AK30" s="26">
        <f>股权价值增加表!AK20</f>
        <v>12248086.380000001</v>
      </c>
      <c r="AL30" s="26">
        <f>股权价值增加表!AL20</f>
        <v>0</v>
      </c>
      <c r="AM30" s="26">
        <f>股权价值增加表!AM20</f>
        <v>0</v>
      </c>
      <c r="AN30" s="26">
        <f>股权价值增加表!AN20</f>
        <v>0</v>
      </c>
      <c r="AO30" s="26">
        <f>股权价值增加表!AO20</f>
        <v>0</v>
      </c>
      <c r="AP30" s="26">
        <f>股权价值增加表!AP20</f>
        <v>48596734.090000004</v>
      </c>
      <c r="AQ30" s="26">
        <f>股权价值增加表!AQ20</f>
        <v>40159135.950000003</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-2.0490807360117524E-4</v>
      </c>
      <c r="N31" s="59">
        <f t="shared" si="30"/>
        <v>0</v>
      </c>
      <c r="O31" s="59">
        <f t="shared" si="30"/>
        <v>0</v>
      </c>
      <c r="P31" s="59">
        <f t="shared" si="30"/>
        <v>0</v>
      </c>
      <c r="Q31" s="59">
        <f t="shared" si="30"/>
        <v>-3.3684331919732046E-4</v>
      </c>
      <c r="R31" s="59">
        <f t="shared" si="30"/>
        <v>0</v>
      </c>
      <c r="S31" s="59">
        <f t="shared" si="30"/>
        <v>0</v>
      </c>
      <c r="T31" s="59">
        <f t="shared" si="30"/>
        <v>0</v>
      </c>
      <c r="U31" s="59">
        <f t="shared" si="30"/>
        <v>-2.1108215680391181E-4</v>
      </c>
      <c r="V31" s="59">
        <f t="shared" si="30"/>
        <v>0</v>
      </c>
      <c r="W31" s="59">
        <f t="shared" si="30"/>
        <v>0</v>
      </c>
      <c r="X31" s="59">
        <f t="shared" si="30"/>
        <v>0</v>
      </c>
      <c r="Y31" s="59">
        <f t="shared" si="30"/>
        <v>-3.1478550048264127E-4</v>
      </c>
      <c r="Z31" s="59">
        <f t="shared" si="30"/>
        <v>0</v>
      </c>
      <c r="AA31" s="59">
        <f t="shared" si="30"/>
        <v>0</v>
      </c>
      <c r="AB31" s="59">
        <f t="shared" si="30"/>
        <v>0</v>
      </c>
      <c r="AC31" s="59">
        <f t="shared" si="30"/>
        <v>0</v>
      </c>
      <c r="AD31" s="59">
        <f t="shared" si="30"/>
        <v>4.0143373663132927E-2</v>
      </c>
      <c r="AE31" s="59">
        <f t="shared" si="30"/>
        <v>-2.5784651384724777E-3</v>
      </c>
      <c r="AF31" s="59">
        <f t="shared" si="30"/>
        <v>-1.595952859040873E-3</v>
      </c>
      <c r="AG31" s="59">
        <f t="shared" si="30"/>
        <v>0</v>
      </c>
      <c r="AH31" s="59">
        <f t="shared" si="30"/>
        <v>0</v>
      </c>
      <c r="AI31" s="59">
        <f t="shared" si="30"/>
        <v>0</v>
      </c>
      <c r="AJ31" s="59">
        <f t="shared" si="30"/>
        <v>0</v>
      </c>
      <c r="AK31" s="59">
        <f t="shared" si="30"/>
        <v>4.3908456960683677E-2</v>
      </c>
      <c r="AL31" s="59">
        <f t="shared" si="30"/>
        <v>0</v>
      </c>
      <c r="AM31" s="59">
        <f t="shared" si="30"/>
        <v>0</v>
      </c>
      <c r="AN31" s="59">
        <f t="shared" si="30"/>
        <v>0</v>
      </c>
      <c r="AO31" s="59">
        <f t="shared" si="30"/>
        <v>0</v>
      </c>
      <c r="AP31" s="59">
        <f t="shared" si="30"/>
        <v>0.25120664314648078</v>
      </c>
      <c r="AQ31" s="59">
        <f t="shared" si="30"/>
        <v>0.31297236444439647</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411250049.88999999</v>
      </c>
      <c r="F32" s="26">
        <f>股权价值增加表!F27</f>
        <v>217263418.28999999</v>
      </c>
      <c r="G32" s="26">
        <f>股权价值增加表!G27</f>
        <v>154191163.52000001</v>
      </c>
      <c r="H32" s="26">
        <f>股权价值增加表!H27</f>
        <v>70306482.640000001</v>
      </c>
      <c r="I32" s="26">
        <f>股权价值增加表!I27</f>
        <v>422134152.53000003</v>
      </c>
      <c r="J32" s="26">
        <f>股权价值增加表!J27</f>
        <v>171269627.71000001</v>
      </c>
      <c r="K32" s="26">
        <f>股权价值增加表!K27</f>
        <v>103580254.40000001</v>
      </c>
      <c r="L32" s="26">
        <f>股权价值增加表!L27</f>
        <v>39835211.789999999</v>
      </c>
      <c r="M32" s="26">
        <f>股权价值增加表!M27</f>
        <v>374736840.82999992</v>
      </c>
      <c r="N32" s="26">
        <f>股权价值增加表!N27</f>
        <v>98635836.739999995</v>
      </c>
      <c r="O32" s="26">
        <f>股权价值增加表!O27</f>
        <v>71544874.379999995</v>
      </c>
      <c r="P32" s="26">
        <f>股权价值增加表!P27</f>
        <v>31050982.049999997</v>
      </c>
      <c r="Q32" s="26">
        <f>股权价值增加表!Q27</f>
        <v>194563235.14000002</v>
      </c>
      <c r="R32" s="26">
        <f>股权价值增加表!R27</f>
        <v>77635819.479999989</v>
      </c>
      <c r="S32" s="26">
        <f>股权价值增加表!S27</f>
        <v>43074289.219999999</v>
      </c>
      <c r="T32" s="26">
        <f>股权价值增加表!T27</f>
        <v>11299619.469999999</v>
      </c>
      <c r="U32" s="26">
        <f>股权价值增加表!U27</f>
        <v>112950213.15000001</v>
      </c>
      <c r="V32" s="26">
        <f>股权价值增加表!V27</f>
        <v>87092042.710000008</v>
      </c>
      <c r="W32" s="26">
        <f>股权价值增加表!W27</f>
        <v>48596649.780000001</v>
      </c>
      <c r="X32" s="26">
        <f>股权价值增加表!X27</f>
        <v>20295032.18</v>
      </c>
      <c r="Y32" s="26">
        <f>股权价值增加表!Y27</f>
        <v>67502812.980000004</v>
      </c>
      <c r="Z32" s="26">
        <f>股权价值增加表!Z27</f>
        <v>1453892.6199999999</v>
      </c>
      <c r="AA32" s="26">
        <f>股权价值增加表!AA27</f>
        <v>842180.16999999993</v>
      </c>
      <c r="AB32" s="26">
        <f>股权价值增加表!AB27</f>
        <v>613838.53000000014</v>
      </c>
      <c r="AC32" s="26">
        <f>股权价值增加表!AC27</f>
        <v>88166206.950000003</v>
      </c>
      <c r="AD32" s="26">
        <f>股权价值增加表!AD27</f>
        <v>47710056.850000001</v>
      </c>
      <c r="AE32" s="26">
        <f>股权价值增加表!AE27</f>
        <v>41632647.949999996</v>
      </c>
      <c r="AF32" s="26">
        <f>股权价值增加表!AF27</f>
        <v>33894628.289999999</v>
      </c>
      <c r="AG32" s="26">
        <f>股权价值增加表!AG27</f>
        <v>12377107.069999998</v>
      </c>
      <c r="AH32" s="26">
        <f>股权价值增加表!AH27</f>
        <v>94646.720000000001</v>
      </c>
      <c r="AI32" s="26">
        <f>股权价值增加表!AI27</f>
        <v>439609.13</v>
      </c>
      <c r="AJ32" s="26">
        <f>股权价值增加表!AJ27</f>
        <v>1385010.55</v>
      </c>
      <c r="AK32" s="26">
        <f>股权价值增加表!AK27</f>
        <v>-17841189.93</v>
      </c>
      <c r="AL32" s="26">
        <f>股权价值增加表!AL27</f>
        <v>-5006670.4400000004</v>
      </c>
      <c r="AM32" s="26">
        <f>股权价值增加表!AM27</f>
        <v>-22871620.550000001</v>
      </c>
      <c r="AN32" s="26">
        <f>股权价值增加表!AN27</f>
        <v>11055072.869999999</v>
      </c>
      <c r="AO32" s="26">
        <f>股权价值增加表!AO27</f>
        <v>75908556.800000012</v>
      </c>
      <c r="AP32" s="26">
        <f>股权价值增加表!AP27</f>
        <v>698616.75</v>
      </c>
      <c r="AQ32" s="26">
        <f>股权价值增加表!AQ27</f>
        <v>590616.75</v>
      </c>
      <c r="AR32" s="26">
        <f>股权价值增加表!AR27</f>
        <v>16222974.789999999</v>
      </c>
      <c r="AS32" s="26">
        <f>股权价值增加表!AS27</f>
        <v>275418480.60000002</v>
      </c>
      <c r="AT32" s="26">
        <f>股权价值增加表!AT27</f>
        <v>184873612.02000001</v>
      </c>
      <c r="AU32" s="26">
        <f>股权价值增加表!AU27</f>
        <v>29295173.719999999</v>
      </c>
      <c r="AV32" s="26">
        <f>股权价值增加表!AV27</f>
        <v>13882411.359999999</v>
      </c>
      <c r="AW32" s="26">
        <f>股权价值增加表!AW27</f>
        <v>47832284.620000005</v>
      </c>
      <c r="AX32" s="26">
        <f>股权价值增加表!AX27</f>
        <v>30964617.920000002</v>
      </c>
      <c r="AY32" s="26">
        <f>股权价值增加表!AY27</f>
        <v>12989562.16</v>
      </c>
      <c r="AZ32" s="26">
        <f>股权价值增加表!AZ27</f>
        <v>4770261.76</v>
      </c>
      <c r="BA32" s="26">
        <f>股权价值增加表!BA27</f>
        <v>35428573.940000005</v>
      </c>
      <c r="BB32" s="26">
        <f>股权价值增加表!BB27</f>
        <v>22216810.960000001</v>
      </c>
      <c r="BC32" s="26">
        <f>股权价值增加表!BC27</f>
        <v>10133181.210000001</v>
      </c>
      <c r="BD32" s="26">
        <f>股权价值增加表!BD27</f>
        <v>6743770.8899999997</v>
      </c>
      <c r="BE32" s="26">
        <f>股权价值增加表!BE27</f>
        <v>34636461.399999999</v>
      </c>
      <c r="BF32" s="26">
        <f>股权价值增加表!BF27</f>
        <v>20534871.050000001</v>
      </c>
      <c r="BG32" s="26">
        <f>股权价值增加表!BG27</f>
        <v>13568055.609999999</v>
      </c>
      <c r="BH32" s="26">
        <f>股权价值增加表!BH27</f>
        <v>6386110.6600000001</v>
      </c>
      <c r="BI32" s="26">
        <f>股权价值增加表!BI27</f>
        <v>56675673.390000001</v>
      </c>
      <c r="BJ32" s="26">
        <f>股权价值增加表!BJ27</f>
        <v>35962583.600000001</v>
      </c>
      <c r="BK32" s="26">
        <f>股权价值增加表!BK27</f>
        <v>23739846.239999998</v>
      </c>
      <c r="BL32" s="26">
        <f>股权价值增加表!BL27</f>
        <v>2932907.34</v>
      </c>
      <c r="BM32" s="26">
        <f>股权价值增加表!BM27</f>
        <v>27405251.039999999</v>
      </c>
      <c r="BN32" s="26">
        <f>股权价值增加表!BN27</f>
        <v>3713381.3</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0.20400296038756116</v>
      </c>
      <c r="F33" s="59">
        <f t="shared" ref="F33:BQ33" si="32">F32/F34</f>
        <v>0.1476385303952607</v>
      </c>
      <c r="G33" s="59">
        <f t="shared" si="32"/>
        <v>0.16957449831220031</v>
      </c>
      <c r="H33" s="59">
        <f t="shared" si="32"/>
        <v>0.15063987318901575</v>
      </c>
      <c r="I33" s="59">
        <f t="shared" si="32"/>
        <v>0.25749187716400362</v>
      </c>
      <c r="J33" s="59">
        <f t="shared" si="32"/>
        <v>0.1414143884928851</v>
      </c>
      <c r="K33" s="59">
        <f t="shared" si="32"/>
        <v>0.13538292481860872</v>
      </c>
      <c r="L33" s="59">
        <f t="shared" si="32"/>
        <v>9.7401841075786977E-2</v>
      </c>
      <c r="M33" s="59">
        <f t="shared" si="32"/>
        <v>0.29196200973142838</v>
      </c>
      <c r="N33" s="59">
        <f t="shared" si="32"/>
        <v>0.11577840686375672</v>
      </c>
      <c r="O33" s="59">
        <f t="shared" si="32"/>
        <v>0.12636119423232081</v>
      </c>
      <c r="P33" s="59">
        <f t="shared" si="32"/>
        <v>9.8683369012499106E-2</v>
      </c>
      <c r="Q33" s="59">
        <f t="shared" si="32"/>
        <v>0.20537635410736829</v>
      </c>
      <c r="R33" s="59">
        <f t="shared" si="32"/>
        <v>0.11970773945234872</v>
      </c>
      <c r="S33" s="59">
        <f t="shared" si="32"/>
        <v>0.10580075056008473</v>
      </c>
      <c r="T33" s="59">
        <f t="shared" si="32"/>
        <v>5.2113401990334624E-2</v>
      </c>
      <c r="U33" s="59">
        <f t="shared" si="32"/>
        <v>0.20429633551156282</v>
      </c>
      <c r="V33" s="59">
        <f t="shared" si="32"/>
        <v>0.19288632348985871</v>
      </c>
      <c r="W33" s="59">
        <f t="shared" si="32"/>
        <v>0.16281036161503468</v>
      </c>
      <c r="X33" s="59">
        <f t="shared" si="32"/>
        <v>0.13486642788891556</v>
      </c>
      <c r="Y33" s="59">
        <f t="shared" si="32"/>
        <v>0.14859276646690411</v>
      </c>
      <c r="Z33" s="59">
        <f t="shared" si="32"/>
        <v>4.4989839353088137E-3</v>
      </c>
      <c r="AA33" s="59">
        <f t="shared" si="32"/>
        <v>3.5429934998234564E-3</v>
      </c>
      <c r="AB33" s="59">
        <f t="shared" si="32"/>
        <v>4.4778898283547126E-3</v>
      </c>
      <c r="AC33" s="59">
        <f t="shared" si="32"/>
        <v>0.12970764320868997</v>
      </c>
      <c r="AD33" s="59">
        <f t="shared" si="32"/>
        <v>7.7562083018225078E-2</v>
      </c>
      <c r="AE33" s="59">
        <f t="shared" si="32"/>
        <v>9.9574488325846214E-2</v>
      </c>
      <c r="AF33" s="59">
        <f t="shared" si="32"/>
        <v>0.16917078310146069</v>
      </c>
      <c r="AG33" s="59">
        <f t="shared" si="32"/>
        <v>1.6533511834085746E-2</v>
      </c>
      <c r="AH33" s="59">
        <f t="shared" si="32"/>
        <v>2.6320047185784284E-4</v>
      </c>
      <c r="AI33" s="59">
        <f t="shared" si="32"/>
        <v>1.9167591256028845E-3</v>
      </c>
      <c r="AJ33" s="59">
        <f t="shared" si="32"/>
        <v>1.401113152409964E-2</v>
      </c>
      <c r="AK33" s="59">
        <f t="shared" si="32"/>
        <v>-6.3959307263539072E-2</v>
      </c>
      <c r="AL33" s="59">
        <f t="shared" si="32"/>
        <v>-3.0961878868932556E-2</v>
      </c>
      <c r="AM33" s="59">
        <f t="shared" si="32"/>
        <v>-0.30959559460619224</v>
      </c>
      <c r="AN33" s="59">
        <f t="shared" si="32"/>
        <v>0.24727765359349468</v>
      </c>
      <c r="AO33" s="59">
        <f t="shared" si="32"/>
        <v>1.1153307373406003</v>
      </c>
      <c r="AP33" s="59">
        <f t="shared" si="32"/>
        <v>3.6112955304442385E-3</v>
      </c>
      <c r="AQ33" s="59">
        <f t="shared" si="32"/>
        <v>4.6028560215565341E-3</v>
      </c>
      <c r="AR33" s="59">
        <f t="shared" si="32"/>
        <v>0.29224633076212631</v>
      </c>
      <c r="AS33" s="59">
        <f t="shared" si="32"/>
        <v>0.59955648032069564</v>
      </c>
      <c r="AT33" s="59">
        <f t="shared" si="32"/>
        <v>0.74206074170596559</v>
      </c>
      <c r="AU33" s="59">
        <f t="shared" si="32"/>
        <v>0.38340840513949315</v>
      </c>
      <c r="AV33" s="59">
        <f t="shared" si="32"/>
        <v>0.48091161001424254</v>
      </c>
      <c r="AW33" s="59">
        <f t="shared" si="32"/>
        <v>0.99002757524170482</v>
      </c>
      <c r="AX33" s="59">
        <f t="shared" si="32"/>
        <v>0.99358833785759271</v>
      </c>
      <c r="AY33" s="59">
        <f t="shared" si="32"/>
        <v>0.44040171232953434</v>
      </c>
      <c r="AZ33" s="59">
        <f t="shared" si="32"/>
        <v>0.2303760487272988</v>
      </c>
      <c r="BA33" s="59">
        <f t="shared" si="32"/>
        <v>0.73595081697683606</v>
      </c>
      <c r="BB33" s="59">
        <f t="shared" si="32"/>
        <v>1.3085316926931738</v>
      </c>
      <c r="BC33" s="59">
        <f t="shared" si="32"/>
        <v>0.7696738259803011</v>
      </c>
      <c r="BD33" s="59">
        <f t="shared" si="32"/>
        <v>0.5193942034292296</v>
      </c>
      <c r="BE33" s="59">
        <f t="shared" si="32"/>
        <v>1.6698960600456552</v>
      </c>
      <c r="BF33" s="59">
        <f t="shared" si="32"/>
        <v>0.41354668404173889</v>
      </c>
      <c r="BG33" s="59">
        <f t="shared" si="32"/>
        <v>0.45899345016967574</v>
      </c>
      <c r="BH33" s="59">
        <f t="shared" si="32"/>
        <v>0.60211074249202845</v>
      </c>
      <c r="BI33" s="59">
        <f t="shared" si="32"/>
        <v>0.82753034395650282</v>
      </c>
      <c r="BJ33" s="59">
        <f t="shared" si="32"/>
        <v>2.8648790270968245</v>
      </c>
      <c r="BK33" s="59">
        <f t="shared" si="32"/>
        <v>-2.9628164292060397</v>
      </c>
      <c r="BL33" s="59">
        <f t="shared" si="32"/>
        <v>0.22215865743838201</v>
      </c>
      <c r="BM33" s="59">
        <f t="shared" si="32"/>
        <v>-4.4626645142423087E-2</v>
      </c>
      <c r="BN33" s="59">
        <f t="shared" si="32"/>
        <v>7.629088776240428E-2</v>
      </c>
      <c r="BO33" s="59">
        <f t="shared" si="32"/>
        <v>-0.21353865094816493</v>
      </c>
      <c r="BP33" s="59">
        <f t="shared" si="32"/>
        <v>0.12087318760811179</v>
      </c>
      <c r="BQ33" s="59">
        <f t="shared" si="32"/>
        <v>-0.45250722169597324</v>
      </c>
      <c r="BR33" s="59">
        <f t="shared" ref="BR33:CJ33" si="33">BR32/BR34</f>
        <v>0.13179379338150002</v>
      </c>
      <c r="BS33" s="59">
        <f t="shared" si="33"/>
        <v>7.1425839929924628E-2</v>
      </c>
      <c r="BT33" s="59">
        <f t="shared" si="33"/>
        <v>4.3229391745814777E-2</v>
      </c>
      <c r="BU33" s="59">
        <f t="shared" si="33"/>
        <v>-8.8047399816459648E-2</v>
      </c>
      <c r="BV33" s="59">
        <f t="shared" si="33"/>
        <v>-5.2140935829902826E-2</v>
      </c>
      <c r="BW33" s="59">
        <f t="shared" si="33"/>
        <v>-0.17552692978333553</v>
      </c>
      <c r="BX33" s="59">
        <f t="shared" si="33"/>
        <v>-6.778273162591604E-2</v>
      </c>
      <c r="BY33" s="59">
        <f t="shared" si="33"/>
        <v>-7.3467600137447242E-2</v>
      </c>
      <c r="BZ33" s="59">
        <f t="shared" si="33"/>
        <v>-3.9151174575043869E-3</v>
      </c>
      <c r="CA33" s="59">
        <f t="shared" si="33"/>
        <v>-5.6760417891979283E-2</v>
      </c>
      <c r="CB33" s="59">
        <f t="shared" si="33"/>
        <v>-1.918612052399629E-3</v>
      </c>
      <c r="CC33" s="59">
        <f t="shared" si="33"/>
        <v>4.0515123570579945E-3</v>
      </c>
      <c r="CD33" s="59">
        <f t="shared" si="33"/>
        <v>0</v>
      </c>
      <c r="CE33" s="59">
        <f t="shared" si="33"/>
        <v>0</v>
      </c>
      <c r="CF33" s="59" t="e">
        <f t="shared" si="33"/>
        <v>#DIV/0!</v>
      </c>
      <c r="CG33" s="59" t="e">
        <f t="shared" si="33"/>
        <v>#DIV/0!</v>
      </c>
      <c r="CH33" s="59" t="e">
        <f t="shared" si="33"/>
        <v>#DIV/0!</v>
      </c>
      <c r="CI33" s="59" t="e">
        <f t="shared" si="33"/>
        <v>#DIV/0!</v>
      </c>
      <c r="CJ33" s="59" t="e">
        <f t="shared" si="33"/>
        <v>#DIV/0!</v>
      </c>
    </row>
    <row r="34" spans="1:89" s="58" customFormat="1" x14ac:dyDescent="0.25">
      <c r="A34" s="145" t="s">
        <v>377</v>
      </c>
      <c r="E34" s="58">
        <f>股权价值增加表!E31</f>
        <v>2015902362.9300013</v>
      </c>
      <c r="F34" s="58">
        <f>股权价值增加表!F31</f>
        <v>1471590225.8599987</v>
      </c>
      <c r="G34" s="58">
        <f>股权价值增加表!G31</f>
        <v>909282734.4599992</v>
      </c>
      <c r="H34" s="58">
        <f>股权价值增加表!H31</f>
        <v>466718944.6699996</v>
      </c>
      <c r="I34" s="58">
        <f>股权价值增加表!I31</f>
        <v>1639407647.2599998</v>
      </c>
      <c r="J34" s="58">
        <f>股权价值增加表!J31</f>
        <v>1211118822.74</v>
      </c>
      <c r="K34" s="58">
        <f>股权价值增加表!K31</f>
        <v>765090978.33999991</v>
      </c>
      <c r="L34" s="58">
        <f>股权价值增加表!L31</f>
        <v>408978016.73999971</v>
      </c>
      <c r="M34" s="58">
        <f>股权价值增加表!M31</f>
        <v>1283512334.96</v>
      </c>
      <c r="N34" s="58">
        <f>股权价值增加表!N31</f>
        <v>851936379.25999963</v>
      </c>
      <c r="O34" s="58">
        <f>股权价值增加表!O31</f>
        <v>566193401.50000072</v>
      </c>
      <c r="P34" s="58">
        <f>股权价值增加表!P31</f>
        <v>314652634.58999985</v>
      </c>
      <c r="Q34" s="58">
        <f>股权价值增加表!Q31</f>
        <v>947349737.44000101</v>
      </c>
      <c r="R34" s="58">
        <f>股权价值增加表!R31</f>
        <v>648544695.90000045</v>
      </c>
      <c r="S34" s="58">
        <f>股权价值增加表!S31</f>
        <v>407126499.50000036</v>
      </c>
      <c r="T34" s="58">
        <f>股权价值增加表!T31</f>
        <v>216827515.34999996</v>
      </c>
      <c r="U34" s="58">
        <f>股权价值增加表!U31</f>
        <v>552874396.2400012</v>
      </c>
      <c r="V34" s="58">
        <f>股权价值增加表!V31</f>
        <v>451520051.46999967</v>
      </c>
      <c r="W34" s="58">
        <f>股权价值增加表!W31</f>
        <v>298486222.23999995</v>
      </c>
      <c r="X34" s="58">
        <f>股权价值增加表!X31</f>
        <v>150482462.51999986</v>
      </c>
      <c r="Y34" s="58">
        <f>股权价值增加表!Y31</f>
        <v>454280612.61000091</v>
      </c>
      <c r="Z34" s="58">
        <f>股权价值增加表!Z31</f>
        <v>323160215.93000054</v>
      </c>
      <c r="AA34" s="58">
        <f>股权价值增加表!AA31</f>
        <v>237702996.07999983</v>
      </c>
      <c r="AB34" s="58">
        <f>股权价值增加表!AB31</f>
        <v>137082097.49000001</v>
      </c>
      <c r="AC34" s="58">
        <f>股权价值增加表!AC31</f>
        <v>679730236.16000116</v>
      </c>
      <c r="AD34" s="58">
        <f>股权价值增加表!AD31</f>
        <v>615120881.14999926</v>
      </c>
      <c r="AE34" s="58">
        <f>股权价值增加表!AE31</f>
        <v>418105567.4999994</v>
      </c>
      <c r="AF34" s="58">
        <f>股权价值增加表!AF31</f>
        <v>200357459.29999977</v>
      </c>
      <c r="AG34" s="58">
        <f>股权价值增加表!AG31</f>
        <v>748607264.69999921</v>
      </c>
      <c r="AH34" s="58">
        <f>股权价值增加表!AH31</f>
        <v>359599355.31999969</v>
      </c>
      <c r="AI34" s="58">
        <f>股权价值增加表!AI31</f>
        <v>229350221.48999986</v>
      </c>
      <c r="AJ34" s="58">
        <f>股权价值增加表!AJ31</f>
        <v>98850727.910000205</v>
      </c>
      <c r="AK34" s="58">
        <f>股权价值增加表!AK31</f>
        <v>278945953.19000006</v>
      </c>
      <c r="AL34" s="58">
        <f>股权价值增加表!AL31</f>
        <v>161704348.15000007</v>
      </c>
      <c r="AM34" s="58">
        <f>股权价值增加表!AM31</f>
        <v>73875794.579999954</v>
      </c>
      <c r="AN34" s="58">
        <f>股权价值增加表!AN31</f>
        <v>44707124.599999979</v>
      </c>
      <c r="AO34" s="58">
        <f>股权价值增加表!AO31</f>
        <v>68059235.039999634</v>
      </c>
      <c r="AP34" s="58">
        <f>股权价值增加表!AP31</f>
        <v>193453220.35000017</v>
      </c>
      <c r="AQ34" s="58">
        <f>股权价值增加表!AQ31</f>
        <v>128315277.99999987</v>
      </c>
      <c r="AR34" s="58">
        <f>股权价值增加表!AR31</f>
        <v>55511303.590000175</v>
      </c>
      <c r="AS34" s="58">
        <f>股权价值增加表!AS31</f>
        <v>459370367.33000028</v>
      </c>
      <c r="AT34" s="58">
        <f>股权价值增加表!AT31</f>
        <v>249135416.58999985</v>
      </c>
      <c r="AU34" s="58">
        <f>股权价值增加表!AU31</f>
        <v>76407228.759999961</v>
      </c>
      <c r="AV34" s="58">
        <f>股权价值增加表!AV31</f>
        <v>28866866.740000021</v>
      </c>
      <c r="AW34" s="58">
        <f>股权价值增加表!AW31</f>
        <v>48314093.280000061</v>
      </c>
      <c r="AX34" s="58">
        <f>股权价值增加表!AX31</f>
        <v>31164433.740000322</v>
      </c>
      <c r="AY34" s="58">
        <f>股权价值增加表!AY31</f>
        <v>29494803.940000236</v>
      </c>
      <c r="AZ34" s="58">
        <f>股权价值增加表!AZ31</f>
        <v>20706413.649999976</v>
      </c>
      <c r="BA34" s="58">
        <f>股权价值增加表!BA31</f>
        <v>48139866.309999779</v>
      </c>
      <c r="BB34" s="58">
        <f>股权价值增加表!BB31</f>
        <v>16978427.869999956</v>
      </c>
      <c r="BC34" s="58">
        <f>股权价值增加表!BC31</f>
        <v>13165552.560000069</v>
      </c>
      <c r="BD34" s="58">
        <f>股权价值增加表!BD31</f>
        <v>12983916.349999998</v>
      </c>
      <c r="BE34" s="58">
        <f>股权价值增加表!BE31</f>
        <v>20741686.999999888</v>
      </c>
      <c r="BF34" s="58">
        <f>股权价值增加表!BF31</f>
        <v>49655508.899999872</v>
      </c>
      <c r="BG34" s="58">
        <f>股权价值增加表!BG31</f>
        <v>29560455.829999987</v>
      </c>
      <c r="BH34" s="58">
        <f>股权价值增加表!BH31</f>
        <v>10606206.149999969</v>
      </c>
      <c r="BI34" s="58">
        <f>股权价值增加表!BI31</f>
        <v>68487728.340000331</v>
      </c>
      <c r="BJ34" s="58">
        <f>股权价值增加表!BJ31</f>
        <v>12552915.239999965</v>
      </c>
      <c r="BK34" s="58">
        <f>股权价值增加表!BK31</f>
        <v>-8012594.3700000606</v>
      </c>
      <c r="BL34" s="58">
        <f>股权价值增加表!BL31</f>
        <v>13201859.30999998</v>
      </c>
      <c r="BM34" s="58">
        <f>股权价值增加表!BM31</f>
        <v>-614100633.21000028</v>
      </c>
      <c r="BN34" s="58">
        <f>股权价值增加表!BN31</f>
        <v>48673982.02999983</v>
      </c>
      <c r="BO34" s="58">
        <f>股权价值增加表!BO31</f>
        <v>49760166.989999957</v>
      </c>
      <c r="BP34" s="58">
        <f>股权价值增加表!BP31</f>
        <v>37706291.860000014</v>
      </c>
      <c r="BQ34" s="58">
        <f>股权价值增加表!BQ31</f>
        <v>-46970950.629999951</v>
      </c>
      <c r="BR34" s="58">
        <f>股权价值增加表!BR31</f>
        <v>109407463.65999991</v>
      </c>
      <c r="BS34" s="58">
        <f>股权价值增加表!BS31</f>
        <v>241853366.32999992</v>
      </c>
      <c r="BT34" s="58">
        <f>股权价值增加表!BT31</f>
        <v>151464080.69999993</v>
      </c>
      <c r="BU34" s="58">
        <f>股权价值增加表!BU31</f>
        <v>276800479.41000026</v>
      </c>
      <c r="BV34" s="58">
        <f>股权价值增加表!BV31</f>
        <v>172130294.31000006</v>
      </c>
      <c r="BW34" s="58">
        <f>股权价值增加表!BW31</f>
        <v>260053851.26000002</v>
      </c>
      <c r="BX34" s="58">
        <f>股权价值增加表!BX31</f>
        <v>163523496.08999997</v>
      </c>
      <c r="BY34" s="58">
        <f>股权价值增加表!BY31</f>
        <v>309524253.6500001</v>
      </c>
      <c r="BZ34" s="58">
        <f>股权价值增加表!BZ31</f>
        <v>879250760</v>
      </c>
      <c r="CA34" s="58">
        <f>股权价值增加表!CA31</f>
        <v>216521100.38000011</v>
      </c>
      <c r="CB34" s="58">
        <f>股权价值增加表!CB31</f>
        <v>659852000</v>
      </c>
      <c r="CC34" s="58">
        <f>股权价值增加表!CC31</f>
        <v>184125542.33000004</v>
      </c>
      <c r="CD34" s="58">
        <f>股权价值增加表!CD31</f>
        <v>764095148.28999996</v>
      </c>
      <c r="CE34" s="58">
        <f>股权价值增加表!CE31</f>
        <v>484685682.33999997</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678</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34699</v>
      </c>
      <c r="CE38" s="1">
        <v>34334</v>
      </c>
      <c r="CF38" s="1">
        <v>25569</v>
      </c>
      <c r="CG38" s="1"/>
      <c r="CH38" s="1"/>
      <c r="CI38" s="1"/>
      <c r="CJ38" s="1"/>
      <c r="CK38" s="1"/>
    </row>
    <row r="39" spans="1:89" x14ac:dyDescent="0.25">
      <c r="A39" s="17" t="s">
        <v>377</v>
      </c>
      <c r="E39" s="26">
        <f>股权价值增加表!E31</f>
        <v>2015902362.9300013</v>
      </c>
      <c r="F39" s="26">
        <f>股权价值增加表!F31</f>
        <v>1471590225.8599987</v>
      </c>
      <c r="G39" s="26">
        <f>股权价值增加表!G31</f>
        <v>909282734.4599992</v>
      </c>
      <c r="H39" s="26">
        <f>股权价值增加表!H31</f>
        <v>466718944.6699996</v>
      </c>
      <c r="I39" s="26">
        <f>股权价值增加表!I31</f>
        <v>1639407647.2599998</v>
      </c>
      <c r="J39" s="26">
        <f>股权价值增加表!J31</f>
        <v>1211118822.74</v>
      </c>
      <c r="K39" s="26">
        <f>股权价值增加表!K31</f>
        <v>765090978.33999991</v>
      </c>
      <c r="L39" s="26">
        <f>股权价值增加表!L31</f>
        <v>408978016.73999971</v>
      </c>
      <c r="M39" s="26">
        <f>股权价值增加表!M31</f>
        <v>1283512334.96</v>
      </c>
      <c r="N39" s="26">
        <f>股权价值增加表!N31</f>
        <v>851936379.25999963</v>
      </c>
      <c r="O39" s="26">
        <f>股权价值增加表!O31</f>
        <v>566193401.50000072</v>
      </c>
      <c r="P39" s="26">
        <f>股权价值增加表!P31</f>
        <v>314652634.58999985</v>
      </c>
      <c r="Q39" s="26">
        <f>股权价值增加表!Q31</f>
        <v>947349737.44000101</v>
      </c>
      <c r="R39" s="26">
        <f>股权价值增加表!R31</f>
        <v>648544695.90000045</v>
      </c>
      <c r="S39" s="26">
        <f>股权价值增加表!S31</f>
        <v>407126499.50000036</v>
      </c>
      <c r="T39" s="26">
        <f>股权价值增加表!T31</f>
        <v>216827515.34999996</v>
      </c>
      <c r="U39" s="26">
        <f>股权价值增加表!U31</f>
        <v>552874396.2400012</v>
      </c>
      <c r="V39" s="26">
        <f>股权价值增加表!V31</f>
        <v>451520051.46999967</v>
      </c>
      <c r="W39" s="26">
        <f>股权价值增加表!W31</f>
        <v>298486222.23999995</v>
      </c>
      <c r="X39" s="26">
        <f>股权价值增加表!X31</f>
        <v>150482462.51999986</v>
      </c>
      <c r="Y39" s="26">
        <f>股权价值增加表!Y31</f>
        <v>454280612.61000091</v>
      </c>
      <c r="Z39" s="26">
        <f>股权价值增加表!Z31</f>
        <v>323160215.93000054</v>
      </c>
      <c r="AA39" s="26">
        <f>股权价值增加表!AA31</f>
        <v>237702996.07999983</v>
      </c>
      <c r="AB39" s="26">
        <f>股权价值增加表!AB31</f>
        <v>137082097.49000001</v>
      </c>
      <c r="AC39" s="26">
        <f>股权价值增加表!AC31</f>
        <v>679730236.16000116</v>
      </c>
      <c r="AD39" s="26">
        <f>股权价值增加表!AD31</f>
        <v>615120881.14999926</v>
      </c>
      <c r="AE39" s="26">
        <f>股权价值增加表!AE31</f>
        <v>418105567.4999994</v>
      </c>
      <c r="AF39" s="26">
        <f>股权价值增加表!AF31</f>
        <v>200357459.29999977</v>
      </c>
      <c r="AG39" s="26">
        <f>股权价值增加表!AG31</f>
        <v>748607264.69999921</v>
      </c>
      <c r="AH39" s="26">
        <f>股权价值增加表!AH31</f>
        <v>359599355.31999969</v>
      </c>
      <c r="AI39" s="26">
        <f>股权价值增加表!AI31</f>
        <v>229350221.48999986</v>
      </c>
      <c r="AJ39" s="26">
        <f>股权价值增加表!AJ31</f>
        <v>98850727.910000205</v>
      </c>
      <c r="AK39" s="26">
        <f>股权价值增加表!AK31</f>
        <v>278945953.19000006</v>
      </c>
      <c r="AL39" s="26">
        <f>股权价值增加表!AL31</f>
        <v>161704348.15000007</v>
      </c>
      <c r="AM39" s="26">
        <f>股权价值增加表!AM31</f>
        <v>73875794.579999954</v>
      </c>
      <c r="AN39" s="26">
        <f>股权价值增加表!AN31</f>
        <v>44707124.599999979</v>
      </c>
      <c r="AO39" s="26">
        <f>股权价值增加表!AO31</f>
        <v>68059235.039999634</v>
      </c>
      <c r="AP39" s="26">
        <f>股权价值增加表!AP31</f>
        <v>193453220.35000017</v>
      </c>
      <c r="AQ39" s="26">
        <f>股权价值增加表!AQ31</f>
        <v>128315277.99999987</v>
      </c>
      <c r="AR39" s="26">
        <f>股权价值增加表!AR31</f>
        <v>55511303.590000175</v>
      </c>
      <c r="AS39" s="26">
        <f>股权价值增加表!AS31</f>
        <v>459370367.33000028</v>
      </c>
      <c r="AT39" s="26">
        <f>股权价值增加表!AT31</f>
        <v>249135416.58999985</v>
      </c>
      <c r="AU39" s="26">
        <f>股权价值增加表!AU31</f>
        <v>76407228.759999961</v>
      </c>
      <c r="AV39" s="26">
        <f>股权价值增加表!AV31</f>
        <v>28866866.740000021</v>
      </c>
      <c r="AW39" s="26">
        <f>股权价值增加表!AW31</f>
        <v>48314093.280000061</v>
      </c>
      <c r="AX39" s="26">
        <f>股权价值增加表!AX31</f>
        <v>31164433.740000322</v>
      </c>
      <c r="AY39" s="26">
        <f>股权价值增加表!AY31</f>
        <v>29494803.940000236</v>
      </c>
      <c r="AZ39" s="26">
        <f>股权价值增加表!AZ31</f>
        <v>20706413.649999976</v>
      </c>
      <c r="BA39" s="26">
        <f>股权价值增加表!BA31</f>
        <v>48139866.309999779</v>
      </c>
      <c r="BB39" s="26">
        <f>股权价值增加表!BB31</f>
        <v>16978427.869999956</v>
      </c>
      <c r="BC39" s="26">
        <f>股权价值增加表!BC31</f>
        <v>13165552.560000069</v>
      </c>
      <c r="BD39" s="26">
        <f>股权价值增加表!BD31</f>
        <v>12983916.349999998</v>
      </c>
      <c r="BE39" s="26">
        <f>股权价值增加表!BE31</f>
        <v>20741686.999999888</v>
      </c>
      <c r="BF39" s="26">
        <f>股权价值增加表!BF31</f>
        <v>49655508.899999872</v>
      </c>
      <c r="BG39" s="26">
        <f>股权价值增加表!BG31</f>
        <v>29560455.829999987</v>
      </c>
      <c r="BH39" s="26">
        <f>股权价值增加表!BH31</f>
        <v>10606206.149999969</v>
      </c>
      <c r="BI39" s="26">
        <f>股权价值增加表!BI31</f>
        <v>68487728.340000331</v>
      </c>
      <c r="BJ39" s="26">
        <f>股权价值增加表!BJ31</f>
        <v>12552915.239999965</v>
      </c>
      <c r="BK39" s="26">
        <f>股权价值增加表!BK31</f>
        <v>-8012594.3700000606</v>
      </c>
      <c r="BL39" s="26">
        <f>股权价值增加表!BL31</f>
        <v>13201859.30999998</v>
      </c>
      <c r="BM39" s="26">
        <f>股权价值增加表!BM31</f>
        <v>-614100633.21000028</v>
      </c>
      <c r="BN39" s="26">
        <f>股权价值增加表!BN31</f>
        <v>48673982.02999983</v>
      </c>
      <c r="BO39" s="26">
        <f>股权价值增加表!BO31</f>
        <v>49760166.989999957</v>
      </c>
      <c r="BP39" s="26">
        <f>股权价值增加表!BP31</f>
        <v>37706291.860000014</v>
      </c>
      <c r="BQ39" s="26">
        <f>股权价值增加表!BQ31</f>
        <v>-46970950.629999951</v>
      </c>
      <c r="BR39" s="26">
        <f>股权价值增加表!BR31</f>
        <v>109407463.65999991</v>
      </c>
      <c r="BS39" s="26">
        <f>股权价值增加表!BS31</f>
        <v>241853366.32999992</v>
      </c>
      <c r="BT39" s="26">
        <f>股权价值增加表!BT31</f>
        <v>151464080.69999993</v>
      </c>
      <c r="BU39" s="26">
        <f>股权价值增加表!BU31</f>
        <v>276800479.41000026</v>
      </c>
      <c r="BV39" s="26">
        <f>股权价值增加表!BV31</f>
        <v>172130294.31000006</v>
      </c>
      <c r="BW39" s="26">
        <f>股权价值增加表!BW31</f>
        <v>260053851.26000002</v>
      </c>
      <c r="BX39" s="26">
        <f>股权价值增加表!BX31</f>
        <v>163523496.08999997</v>
      </c>
      <c r="BY39" s="26">
        <f>股权价值增加表!BY31</f>
        <v>309524253.6500001</v>
      </c>
      <c r="BZ39" s="26">
        <f>股权价值增加表!BZ31</f>
        <v>879250760</v>
      </c>
      <c r="CA39" s="26">
        <f>股权价值增加表!CA31</f>
        <v>216521100.38000011</v>
      </c>
      <c r="CB39" s="26">
        <f>股权价值增加表!CB31</f>
        <v>659852000</v>
      </c>
      <c r="CC39" s="26">
        <f>股权价值增加表!CC31</f>
        <v>184125542.33000004</v>
      </c>
      <c r="CD39" s="26">
        <f>股权价值增加表!CD31</f>
        <v>764095148.28999996</v>
      </c>
      <c r="CE39" s="26">
        <f>股权价值增加表!CE31</f>
        <v>484685682.33999997</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1892277451.2500012</v>
      </c>
      <c r="F40" s="26">
        <f>股权价值增加表!F38</f>
        <v>1497891719.5299988</v>
      </c>
      <c r="G40" s="26">
        <f>股权价值增加表!G38</f>
        <v>932782623.29999924</v>
      </c>
      <c r="H40" s="26">
        <f>股权价值增加表!H38</f>
        <v>485102774.51999962</v>
      </c>
      <c r="I40" s="26">
        <f>股权价值增加表!I38</f>
        <v>1671139981.0399997</v>
      </c>
      <c r="J40" s="26">
        <f>股权价值增加表!J38</f>
        <v>1305135552.26</v>
      </c>
      <c r="K40" s="26">
        <f>股权价值增加表!K38</f>
        <v>828490442.80999994</v>
      </c>
      <c r="L40" s="26">
        <f>股权价值增加表!L38</f>
        <v>439671744.83999974</v>
      </c>
      <c r="M40" s="26">
        <f>股权价值增加表!M38</f>
        <v>1309643513.21</v>
      </c>
      <c r="N40" s="26">
        <f>股权价值增加表!N38</f>
        <v>933861075.65999961</v>
      </c>
      <c r="O40" s="26">
        <f>股权价值增加表!O38</f>
        <v>577398679.08000076</v>
      </c>
      <c r="P40" s="26">
        <f>股权价值增加表!P38</f>
        <v>326567121.97999984</v>
      </c>
      <c r="Q40" s="26">
        <f>股权价值增加表!Q38</f>
        <v>932328351.72000098</v>
      </c>
      <c r="R40" s="26">
        <f>股权价值增加表!R38</f>
        <v>691960881.00000048</v>
      </c>
      <c r="S40" s="26">
        <f>股权价值增加表!S38</f>
        <v>417026328.36000037</v>
      </c>
      <c r="T40" s="26">
        <f>股权价值增加表!T38</f>
        <v>219533795.15999997</v>
      </c>
      <c r="U40" s="26">
        <f>股权价值增加表!U38</f>
        <v>510622280.40000117</v>
      </c>
      <c r="V40" s="26">
        <f>股权价值增加表!V38</f>
        <v>429418490.23999965</v>
      </c>
      <c r="W40" s="26">
        <f>股权价值增加表!W38</f>
        <v>278343124.49999994</v>
      </c>
      <c r="X40" s="26">
        <f>股权价值增加表!X38</f>
        <v>141620533.31999987</v>
      </c>
      <c r="Y40" s="26">
        <f>股权价值增加表!Y38</f>
        <v>433161205.8100009</v>
      </c>
      <c r="Z40" s="26">
        <f>股权价值增加表!Z38</f>
        <v>375066607.95000052</v>
      </c>
      <c r="AA40" s="26">
        <f>股权价值增加表!AA38</f>
        <v>268242986.83999982</v>
      </c>
      <c r="AB40" s="26">
        <f>股权价值增加表!AB38</f>
        <v>153256625.16</v>
      </c>
      <c r="AC40" s="26">
        <f>股权价值增加表!AC38</f>
        <v>633664829.59000111</v>
      </c>
      <c r="AD40" s="26">
        <f>股权价值增加表!AD38</f>
        <v>613145314.25999928</v>
      </c>
      <c r="AE40" s="26">
        <f>股权价值增加表!AE38</f>
        <v>416993796.80999941</v>
      </c>
      <c r="AF40" s="26">
        <f>股权价值增加表!AF38</f>
        <v>196600877.23999977</v>
      </c>
      <c r="AG40" s="26">
        <f>股权价值增加表!AG38</f>
        <v>692509168.56999922</v>
      </c>
      <c r="AH40" s="26">
        <f>股权价值增加表!AH38</f>
        <v>338090656.91999972</v>
      </c>
      <c r="AI40" s="26">
        <f>股权价值增加表!AI38</f>
        <v>218128689.66999987</v>
      </c>
      <c r="AJ40" s="26">
        <f>股权价值增加表!AJ38</f>
        <v>100022680.6000002</v>
      </c>
      <c r="AK40" s="26">
        <f>股权价值增加表!AK38</f>
        <v>269848274.81000006</v>
      </c>
      <c r="AL40" s="26">
        <f>股权价值增加表!AL38</f>
        <v>159312177.14000008</v>
      </c>
      <c r="AM40" s="26">
        <f>股权价值增加表!AM38</f>
        <v>71662982.379999951</v>
      </c>
      <c r="AN40" s="26">
        <f>股权价值增加表!AN38</f>
        <v>43957477.669999979</v>
      </c>
      <c r="AO40" s="26">
        <f>股权价值增加表!AO38</f>
        <v>19555697.999999627</v>
      </c>
      <c r="AP40" s="26">
        <f>股权价值增加表!AP38</f>
        <v>158932192.69000018</v>
      </c>
      <c r="AQ40" s="26">
        <f>股权价值增加表!AQ38</f>
        <v>98575705.749999866</v>
      </c>
      <c r="AR40" s="26">
        <f>股权价值增加表!AR38</f>
        <v>43816060.310000174</v>
      </c>
      <c r="AS40" s="26">
        <f>股权价值增加表!AS38</f>
        <v>390032315.97000027</v>
      </c>
      <c r="AT40" s="26">
        <f>股权价值增加表!AT38</f>
        <v>229945221.69999987</v>
      </c>
      <c r="AU40" s="26">
        <f>股权价值增加表!AU38</f>
        <v>63770321.639999963</v>
      </c>
      <c r="AV40" s="26">
        <f>股权价值增加表!AV38</f>
        <v>23173278.410000019</v>
      </c>
      <c r="AW40" s="26">
        <f>股权价值增加表!AW38</f>
        <v>-23687623.329999939</v>
      </c>
      <c r="AX40" s="26">
        <f>股权价值增加表!AX38</f>
        <v>-2677766.2499996796</v>
      </c>
      <c r="AY40" s="26">
        <f>股权价值增加表!AY38</f>
        <v>8223313.2600002363</v>
      </c>
      <c r="AZ40" s="26">
        <f>股权价值增加表!AZ38</f>
        <v>11109294.959999977</v>
      </c>
      <c r="BA40" s="26">
        <f>股权价值增加表!BA38</f>
        <v>-3088926.8600002229</v>
      </c>
      <c r="BB40" s="26">
        <f>股权价值增加表!BB38</f>
        <v>-11141182.740000043</v>
      </c>
      <c r="BC40" s="26">
        <f>股权价值增加表!BC38</f>
        <v>-1889986.6899999306</v>
      </c>
      <c r="BD40" s="26">
        <f>股权价值增加表!BD38</f>
        <v>5121894.7299999977</v>
      </c>
      <c r="BE40" s="26">
        <f>股权价值增加表!BE38</f>
        <v>8842474.2699998878</v>
      </c>
      <c r="BF40" s="26">
        <f>股权价值增加表!BF38</f>
        <v>36833598.949999869</v>
      </c>
      <c r="BG40" s="26">
        <f>股权价值增加表!BG38</f>
        <v>22426381.859999988</v>
      </c>
      <c r="BH40" s="26">
        <f>股权价值增加表!BH38</f>
        <v>3223786.3899999689</v>
      </c>
      <c r="BI40" s="26">
        <f>股权价值增加表!BI38</f>
        <v>55548580.890000328</v>
      </c>
      <c r="BJ40" s="26">
        <f>股权价值增加表!BJ38</f>
        <v>2017563.609999964</v>
      </c>
      <c r="BK40" s="26">
        <f>股权价值增加表!BK38</f>
        <v>-15382782.900000062</v>
      </c>
      <c r="BL40" s="26">
        <f>股权价值增加表!BL38</f>
        <v>4057049.0299999807</v>
      </c>
      <c r="BM40" s="26">
        <f>股权价值增加表!BM38</f>
        <v>-646801578.5600003</v>
      </c>
      <c r="BN40" s="26">
        <f>股权价值增加表!BN38</f>
        <v>26695878.41999983</v>
      </c>
      <c r="BO40" s="26">
        <f>股权价值增加表!BO38</f>
        <v>40518147.639999956</v>
      </c>
      <c r="BP40" s="26">
        <f>股权价值增加表!BP38</f>
        <v>30113177.510000013</v>
      </c>
      <c r="BQ40" s="26">
        <f>股权价值增加表!BQ38</f>
        <v>-49223674.119999953</v>
      </c>
      <c r="BR40" s="26">
        <f>股权价值增加表!BR38</f>
        <v>105922182.7299999</v>
      </c>
      <c r="BS40" s="26">
        <f>股权价值增加表!BS38</f>
        <v>220238382.43999994</v>
      </c>
      <c r="BT40" s="26">
        <f>股权价值增加表!BT38</f>
        <v>139386477.42999992</v>
      </c>
      <c r="BU40" s="26">
        <f>股权价值增加表!BU38</f>
        <v>254776871.91000026</v>
      </c>
      <c r="BV40" s="26">
        <f>股权价值增加表!BV38</f>
        <v>166062749.25000006</v>
      </c>
      <c r="BW40" s="26">
        <f>股权价值增加表!BW38</f>
        <v>275614721.66000003</v>
      </c>
      <c r="BX40" s="26">
        <f>股权价值增加表!BX38</f>
        <v>165403954.21999997</v>
      </c>
      <c r="BY40" s="26">
        <f>股权价值增加表!BY38</f>
        <v>316234366.76000011</v>
      </c>
      <c r="BZ40" s="26">
        <f>股权价值增加表!BZ38</f>
        <v>879250760</v>
      </c>
      <c r="CA40" s="26">
        <f>股权价值增加表!CA38</f>
        <v>211500470.90000013</v>
      </c>
      <c r="CB40" s="26">
        <f>股权价值增加表!CB38</f>
        <v>659852000</v>
      </c>
      <c r="CC40" s="26">
        <f>股权价值增加表!CC38</f>
        <v>174959596.52000004</v>
      </c>
      <c r="CD40" s="26">
        <f>股权价值增加表!CD38</f>
        <v>764095148.28999996</v>
      </c>
      <c r="CE40" s="26">
        <f>股权价值增加表!CE38</f>
        <v>484685682.33999997</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6.132485082279393E-2</v>
      </c>
      <c r="F41" s="59">
        <f t="shared" ref="F41:BQ41" si="34">1-F40/F39</f>
        <v>-1.7872837973376354E-2</v>
      </c>
      <c r="G41" s="59">
        <f t="shared" si="34"/>
        <v>-2.5844424346137096E-2</v>
      </c>
      <c r="H41" s="59">
        <f t="shared" si="34"/>
        <v>-3.9389508525304429E-2</v>
      </c>
      <c r="I41" s="59">
        <f t="shared" si="34"/>
        <v>-1.9355975210336052E-2</v>
      </c>
      <c r="J41" s="59">
        <f t="shared" si="34"/>
        <v>-7.7627997975705965E-2</v>
      </c>
      <c r="K41" s="59">
        <f t="shared" si="34"/>
        <v>-8.2865262125500827E-2</v>
      </c>
      <c r="L41" s="59">
        <f t="shared" si="34"/>
        <v>-7.5049823813667205E-2</v>
      </c>
      <c r="M41" s="59">
        <f t="shared" si="34"/>
        <v>-2.0359117351851808E-2</v>
      </c>
      <c r="N41" s="59">
        <f t="shared" si="34"/>
        <v>-9.6162927648612229E-2</v>
      </c>
      <c r="O41" s="59">
        <f t="shared" si="34"/>
        <v>-1.9790547806304737E-2</v>
      </c>
      <c r="P41" s="59">
        <f t="shared" si="34"/>
        <v>-3.7865525599443561E-2</v>
      </c>
      <c r="Q41" s="59">
        <f t="shared" si="34"/>
        <v>1.5856219858773501E-2</v>
      </c>
      <c r="R41" s="59">
        <f t="shared" si="34"/>
        <v>-6.6944013842793693E-2</v>
      </c>
      <c r="S41" s="59">
        <f t="shared" si="34"/>
        <v>-2.4316346079555462E-2</v>
      </c>
      <c r="T41" s="59">
        <f t="shared" si="34"/>
        <v>-1.2481256383128247E-2</v>
      </c>
      <c r="U41" s="59">
        <f t="shared" si="34"/>
        <v>7.6422630759082066E-2</v>
      </c>
      <c r="V41" s="59">
        <f t="shared" si="34"/>
        <v>4.8949235273261227E-2</v>
      </c>
      <c r="W41" s="59">
        <f t="shared" si="34"/>
        <v>6.7484179299250213E-2</v>
      </c>
      <c r="X41" s="59">
        <f t="shared" si="34"/>
        <v>5.8890112851670007E-2</v>
      </c>
      <c r="Y41" s="59">
        <f t="shared" si="34"/>
        <v>4.6489782336652352E-2</v>
      </c>
      <c r="Z41" s="59">
        <f t="shared" si="34"/>
        <v>-0.16062123201218359</v>
      </c>
      <c r="AA41" s="59">
        <f t="shared" si="34"/>
        <v>-0.1284796206343215</v>
      </c>
      <c r="AB41" s="59">
        <f t="shared" si="34"/>
        <v>-0.11799153912989913</v>
      </c>
      <c r="AC41" s="59">
        <f t="shared" si="34"/>
        <v>6.7770130147861707E-2</v>
      </c>
      <c r="AD41" s="59">
        <f t="shared" si="34"/>
        <v>3.211672616781569E-3</v>
      </c>
      <c r="AE41" s="59">
        <f t="shared" si="34"/>
        <v>2.6590669352901664E-3</v>
      </c>
      <c r="AF41" s="59">
        <f t="shared" si="34"/>
        <v>1.8749399563782632E-2</v>
      </c>
      <c r="AG41" s="59">
        <f t="shared" si="34"/>
        <v>7.4936617336302525E-2</v>
      </c>
      <c r="AH41" s="59">
        <f t="shared" si="34"/>
        <v>5.9812950389913411E-2</v>
      </c>
      <c r="AI41" s="59">
        <f t="shared" si="34"/>
        <v>4.892749502092486E-2</v>
      </c>
      <c r="AJ41" s="59">
        <f t="shared" si="34"/>
        <v>-1.1855782094665201E-2</v>
      </c>
      <c r="AK41" s="59">
        <f t="shared" si="34"/>
        <v>3.2614484189355641E-2</v>
      </c>
      <c r="AL41" s="59">
        <f t="shared" si="34"/>
        <v>1.4793485996931643E-2</v>
      </c>
      <c r="AM41" s="59">
        <f t="shared" si="34"/>
        <v>2.9953142468115868E-2</v>
      </c>
      <c r="AN41" s="59">
        <f t="shared" si="34"/>
        <v>1.6767952238198713E-2</v>
      </c>
      <c r="AO41" s="59">
        <f t="shared" si="34"/>
        <v>0.71266650310561985</v>
      </c>
      <c r="AP41" s="59">
        <f t="shared" si="34"/>
        <v>0.17844638407953994</v>
      </c>
      <c r="AQ41" s="59">
        <f t="shared" si="34"/>
        <v>0.2317695344898838</v>
      </c>
      <c r="AR41" s="59">
        <f t="shared" si="34"/>
        <v>0.21068219486214312</v>
      </c>
      <c r="AS41" s="59">
        <f t="shared" si="34"/>
        <v>0.15094149795297807</v>
      </c>
      <c r="AT41" s="59">
        <f t="shared" si="34"/>
        <v>7.702716519659325E-2</v>
      </c>
      <c r="AU41" s="59">
        <f t="shared" si="34"/>
        <v>0.16538889480854413</v>
      </c>
      <c r="AV41" s="59">
        <f t="shared" si="34"/>
        <v>0.19723610398320623</v>
      </c>
      <c r="AW41" s="59">
        <f t="shared" si="34"/>
        <v>1.490283925907921</v>
      </c>
      <c r="AX41" s="59">
        <f t="shared" si="34"/>
        <v>1.085923789674468</v>
      </c>
      <c r="AY41" s="59">
        <f t="shared" si="34"/>
        <v>0.72119451016767222</v>
      </c>
      <c r="AZ41" s="59">
        <f t="shared" si="34"/>
        <v>0.46348531678251348</v>
      </c>
      <c r="BA41" s="59">
        <f t="shared" si="34"/>
        <v>1.0641656717554817</v>
      </c>
      <c r="BB41" s="59">
        <f t="shared" si="34"/>
        <v>1.6561963702002094</v>
      </c>
      <c r="BC41" s="59">
        <f t="shared" si="34"/>
        <v>1.1435554399548817</v>
      </c>
      <c r="BD41" s="59">
        <f t="shared" si="34"/>
        <v>0.60552004557546324</v>
      </c>
      <c r="BE41" s="59">
        <f t="shared" si="34"/>
        <v>0.57368586894595719</v>
      </c>
      <c r="BF41" s="59">
        <f t="shared" si="34"/>
        <v>0.25821727002781836</v>
      </c>
      <c r="BG41" s="59">
        <f t="shared" si="34"/>
        <v>0.24133842898186464</v>
      </c>
      <c r="BH41" s="59">
        <f t="shared" si="34"/>
        <v>0.69604716857214977</v>
      </c>
      <c r="BI41" s="59">
        <f t="shared" si="34"/>
        <v>0.18892650937062661</v>
      </c>
      <c r="BJ41" s="59">
        <f t="shared" si="34"/>
        <v>0.83927529411088653</v>
      </c>
      <c r="BK41" s="59">
        <f t="shared" si="34"/>
        <v>-0.91982548843289891</v>
      </c>
      <c r="BL41" s="59">
        <f t="shared" si="34"/>
        <v>0.69269108731321671</v>
      </c>
      <c r="BM41" s="59">
        <f t="shared" si="34"/>
        <v>-5.3250141070636969E-2</v>
      </c>
      <c r="BN41" s="59">
        <f t="shared" si="34"/>
        <v>0.45153699560586524</v>
      </c>
      <c r="BO41" s="59">
        <f t="shared" si="34"/>
        <v>0.18573127682343438</v>
      </c>
      <c r="BP41" s="59">
        <f t="shared" si="34"/>
        <v>0.20137526061147926</v>
      </c>
      <c r="BQ41" s="59">
        <f t="shared" si="34"/>
        <v>-4.7959929696658188E-2</v>
      </c>
      <c r="BR41" s="59">
        <f t="shared" ref="BR41:CK41" si="35">1-BR40/BR39</f>
        <v>3.1855970455827776E-2</v>
      </c>
      <c r="BS41" s="59">
        <f t="shared" si="35"/>
        <v>8.9372268072990702E-2</v>
      </c>
      <c r="BT41" s="59">
        <f t="shared" si="35"/>
        <v>7.9739059017706837E-2</v>
      </c>
      <c r="BU41" s="59">
        <f t="shared" si="35"/>
        <v>7.9564918192856049E-2</v>
      </c>
      <c r="BV41" s="59">
        <f t="shared" si="35"/>
        <v>3.5249722219568125E-2</v>
      </c>
      <c r="BW41" s="59">
        <f t="shared" si="35"/>
        <v>-5.9837108062831046E-2</v>
      </c>
      <c r="BX41" s="59">
        <f t="shared" si="35"/>
        <v>-1.1499620390729826E-2</v>
      </c>
      <c r="BY41" s="59">
        <f t="shared" si="35"/>
        <v>-2.1678795864532141E-2</v>
      </c>
      <c r="BZ41" s="59">
        <f t="shared" si="35"/>
        <v>0</v>
      </c>
      <c r="CA41" s="59">
        <f t="shared" si="35"/>
        <v>2.3187714597739717E-2</v>
      </c>
      <c r="CB41" s="59">
        <f t="shared" si="35"/>
        <v>0</v>
      </c>
      <c r="CC41" s="59">
        <f t="shared" si="35"/>
        <v>4.9780957568463124E-2</v>
      </c>
      <c r="CD41" s="59">
        <f t="shared" si="35"/>
        <v>0</v>
      </c>
      <c r="CE41" s="59">
        <f t="shared" si="35"/>
        <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16.306603058678927</v>
      </c>
      <c r="F42" s="29">
        <f t="shared" ref="F42:BQ42" si="36">F39/(F39-F40)</f>
        <v>-55.95082333816346</v>
      </c>
      <c r="G42" s="29">
        <f t="shared" si="36"/>
        <v>-38.693065343878366</v>
      </c>
      <c r="H42" s="29">
        <f t="shared" si="36"/>
        <v>-25.387470863150913</v>
      </c>
      <c r="I42" s="29">
        <f t="shared" si="36"/>
        <v>-51.663633019430605</v>
      </c>
      <c r="J42" s="29">
        <f t="shared" si="36"/>
        <v>-12.881950147844286</v>
      </c>
      <c r="K42" s="29">
        <f t="shared" si="36"/>
        <v>-12.067782981069707</v>
      </c>
      <c r="L42" s="29">
        <f t="shared" si="36"/>
        <v>-13.324481646789573</v>
      </c>
      <c r="M42" s="29">
        <f t="shared" si="36"/>
        <v>-49.118042924834441</v>
      </c>
      <c r="N42" s="29">
        <f t="shared" si="36"/>
        <v>-10.399017838288868</v>
      </c>
      <c r="O42" s="29">
        <f t="shared" si="36"/>
        <v>-50.529172299183557</v>
      </c>
      <c r="P42" s="29">
        <f t="shared" si="36"/>
        <v>-26.409246515640504</v>
      </c>
      <c r="Q42" s="29">
        <f t="shared" si="36"/>
        <v>63.066733995031136</v>
      </c>
      <c r="R42" s="29">
        <f t="shared" si="36"/>
        <v>-14.937855419729177</v>
      </c>
      <c r="S42" s="29">
        <f t="shared" si="36"/>
        <v>-41.124599753939563</v>
      </c>
      <c r="T42" s="29">
        <f t="shared" si="36"/>
        <v>-80.120139295574091</v>
      </c>
      <c r="U42" s="29">
        <f t="shared" si="36"/>
        <v>13.085129235506724</v>
      </c>
      <c r="V42" s="29">
        <f t="shared" si="36"/>
        <v>20.429328352474911</v>
      </c>
      <c r="W42" s="29">
        <f t="shared" si="36"/>
        <v>14.818287936282427</v>
      </c>
      <c r="X42" s="29">
        <f t="shared" si="36"/>
        <v>16.980779142311366</v>
      </c>
      <c r="Y42" s="29">
        <f t="shared" si="36"/>
        <v>21.510102859991346</v>
      </c>
      <c r="Z42" s="29">
        <f t="shared" si="36"/>
        <v>-6.2258269811063753</v>
      </c>
      <c r="AA42" s="29">
        <f t="shared" si="36"/>
        <v>-7.7833355598565976</v>
      </c>
      <c r="AB42" s="29">
        <f t="shared" si="36"/>
        <v>-8.4751839612760769</v>
      </c>
      <c r="AC42" s="29">
        <f t="shared" si="36"/>
        <v>14.755763310741585</v>
      </c>
      <c r="AD42" s="29">
        <f t="shared" si="36"/>
        <v>311.36423892486056</v>
      </c>
      <c r="AE42" s="29">
        <f t="shared" si="36"/>
        <v>376.07176665180867</v>
      </c>
      <c r="AF42" s="29">
        <f t="shared" si="36"/>
        <v>53.335041295490733</v>
      </c>
      <c r="AG42" s="29">
        <f t="shared" si="36"/>
        <v>13.344610893125497</v>
      </c>
      <c r="AH42" s="29">
        <f t="shared" si="36"/>
        <v>16.718787377668566</v>
      </c>
      <c r="AI42" s="29">
        <f t="shared" si="36"/>
        <v>20.438405840567317</v>
      </c>
      <c r="AJ42" s="29">
        <f t="shared" si="36"/>
        <v>-84.347029324196015</v>
      </c>
      <c r="AK42" s="29">
        <f t="shared" si="36"/>
        <v>30.66122383521764</v>
      </c>
      <c r="AL42" s="29">
        <f t="shared" si="36"/>
        <v>67.597319536950963</v>
      </c>
      <c r="AM42" s="29">
        <f t="shared" si="36"/>
        <v>33.385478704428621</v>
      </c>
      <c r="AN42" s="29">
        <f t="shared" si="36"/>
        <v>59.637574451215315</v>
      </c>
      <c r="AO42" s="29">
        <f t="shared" si="36"/>
        <v>1.4031808646011195</v>
      </c>
      <c r="AP42" s="29">
        <f t="shared" si="36"/>
        <v>5.6039241431435469</v>
      </c>
      <c r="AQ42" s="29">
        <f t="shared" si="36"/>
        <v>4.3146309207591198</v>
      </c>
      <c r="AR42" s="29">
        <f t="shared" si="36"/>
        <v>4.7464855805889803</v>
      </c>
      <c r="AS42" s="29">
        <f t="shared" si="36"/>
        <v>6.6250833174553776</v>
      </c>
      <c r="AT42" s="29">
        <f t="shared" si="36"/>
        <v>12.982432852718153</v>
      </c>
      <c r="AU42" s="29">
        <f t="shared" si="36"/>
        <v>6.0463551749203628</v>
      </c>
      <c r="AV42" s="29">
        <f t="shared" si="36"/>
        <v>5.0700656715727126</v>
      </c>
      <c r="AW42" s="29">
        <f t="shared" si="36"/>
        <v>0.67101307517007069</v>
      </c>
      <c r="AX42" s="29">
        <f t="shared" si="36"/>
        <v>0.92087493570775747</v>
      </c>
      <c r="AY42" s="29">
        <f t="shared" si="36"/>
        <v>1.3865884805023094</v>
      </c>
      <c r="AZ42" s="29">
        <f t="shared" si="36"/>
        <v>2.1575656526552738</v>
      </c>
      <c r="BA42" s="29">
        <f t="shared" si="36"/>
        <v>0.93970330611244768</v>
      </c>
      <c r="BB42" s="29">
        <f t="shared" si="36"/>
        <v>0.60379313588225958</v>
      </c>
      <c r="BC42" s="29">
        <f t="shared" si="36"/>
        <v>0.87446569275159436</v>
      </c>
      <c r="BD42" s="29">
        <f t="shared" si="36"/>
        <v>1.6514729897168607</v>
      </c>
      <c r="BE42" s="29">
        <f t="shared" si="36"/>
        <v>1.7431142270199491</v>
      </c>
      <c r="BF42" s="29">
        <f t="shared" si="36"/>
        <v>3.8727076616225853</v>
      </c>
      <c r="BG42" s="29">
        <f t="shared" si="36"/>
        <v>4.1435589193925884</v>
      </c>
      <c r="BH42" s="29">
        <f t="shared" si="36"/>
        <v>1.4366842437580343</v>
      </c>
      <c r="BI42" s="29">
        <f t="shared" si="36"/>
        <v>5.2930634421358507</v>
      </c>
      <c r="BJ42" s="29">
        <f t="shared" si="36"/>
        <v>1.1915041548546741</v>
      </c>
      <c r="BK42" s="29">
        <f t="shared" si="36"/>
        <v>-1.0871627418193139</v>
      </c>
      <c r="BL42" s="29">
        <f t="shared" si="36"/>
        <v>1.4436449642780322</v>
      </c>
      <c r="BM42" s="29">
        <f t="shared" si="36"/>
        <v>-18.779292972641841</v>
      </c>
      <c r="BN42" s="29">
        <f t="shared" si="36"/>
        <v>2.2146579565606039</v>
      </c>
      <c r="BO42" s="29">
        <f t="shared" si="36"/>
        <v>5.3841227880571303</v>
      </c>
      <c r="BP42" s="29">
        <f t="shared" si="36"/>
        <v>4.9658532878541477</v>
      </c>
      <c r="BQ42" s="29">
        <f t="shared" si="36"/>
        <v>-20.850739488671071</v>
      </c>
      <c r="BR42" s="29">
        <f t="shared" ref="BR42:CK42" si="37">BR39/(BR39-BR40)</f>
        <v>31.391289786215221</v>
      </c>
      <c r="BS42" s="29">
        <f t="shared" si="37"/>
        <v>11.189153207830593</v>
      </c>
      <c r="BT42" s="29">
        <f t="shared" si="37"/>
        <v>12.540905452344751</v>
      </c>
      <c r="BU42" s="29">
        <f t="shared" si="37"/>
        <v>12.568353273186524</v>
      </c>
      <c r="BV42" s="29">
        <f t="shared" si="37"/>
        <v>28.369017882497605</v>
      </c>
      <c r="BW42" s="29">
        <f t="shared" si="37"/>
        <v>-16.712037602986523</v>
      </c>
      <c r="BX42" s="29">
        <f t="shared" si="37"/>
        <v>-86.959392225340522</v>
      </c>
      <c r="BY42" s="29">
        <f t="shared" si="37"/>
        <v>-46.128023265169581</v>
      </c>
      <c r="BZ42" s="29" t="e">
        <f t="shared" si="37"/>
        <v>#DIV/0!</v>
      </c>
      <c r="CA42" s="29">
        <f t="shared" si="37"/>
        <v>43.126285507131385</v>
      </c>
      <c r="CB42" s="29" t="e">
        <f t="shared" si="37"/>
        <v>#DIV/0!</v>
      </c>
      <c r="CC42" s="29">
        <f t="shared" si="37"/>
        <v>20.088002498238641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700</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34699</v>
      </c>
      <c r="CE46" s="1">
        <v>34334</v>
      </c>
      <c r="CF46" s="1">
        <v>25569</v>
      </c>
      <c r="CG46" s="1"/>
      <c r="CH46" s="1"/>
      <c r="CI46" s="1"/>
      <c r="CJ46" s="1"/>
      <c r="CK46" s="1"/>
    </row>
    <row r="47" spans="1:89" s="26" customFormat="1" x14ac:dyDescent="0.25">
      <c r="A47" s="17" t="s">
        <v>425</v>
      </c>
      <c r="E47" s="26">
        <f>股权价值增加表!E42</f>
        <v>1536002793.6400013</v>
      </c>
      <c r="F47" s="26">
        <f>股权价值增加表!F42</f>
        <v>1262025861.6699986</v>
      </c>
      <c r="G47" s="26">
        <f>股权价值增加表!G42</f>
        <v>784536927.51999927</v>
      </c>
      <c r="H47" s="26">
        <f>股权价值增加表!H42</f>
        <v>405517131.07999963</v>
      </c>
      <c r="I47" s="26">
        <f>股权价值增加表!I42</f>
        <v>1429488213.9299998</v>
      </c>
      <c r="J47" s="26">
        <f>股权价值增加表!J42</f>
        <v>1105004953.8899999</v>
      </c>
      <c r="K47" s="26">
        <f>股权价值增加表!K42</f>
        <v>701188051.05999994</v>
      </c>
      <c r="L47" s="26">
        <f>股权价值增加表!L42</f>
        <v>373598258.13999975</v>
      </c>
      <c r="M47" s="26">
        <f>股权价值增加表!M42</f>
        <v>1137346681.4300001</v>
      </c>
      <c r="N47" s="26">
        <f>股权价值增加表!N42</f>
        <v>799916471.76999962</v>
      </c>
      <c r="O47" s="26">
        <f>股权价值增加表!O42</f>
        <v>498482276.37000078</v>
      </c>
      <c r="P47" s="26">
        <f>股权价值增加表!P42</f>
        <v>277278666.85999984</v>
      </c>
      <c r="Q47" s="26">
        <f>股权价值增加表!Q42</f>
        <v>789151782.74000096</v>
      </c>
      <c r="R47" s="26">
        <f>股权价值增加表!R42</f>
        <v>582580040.78000045</v>
      </c>
      <c r="S47" s="26">
        <f>股权价值增加表!S42</f>
        <v>350589725.77000034</v>
      </c>
      <c r="T47" s="26">
        <f>股权价值增加表!T42</f>
        <v>187931618.20999998</v>
      </c>
      <c r="U47" s="26">
        <f>股权价值增加表!U42</f>
        <v>436758672.18000114</v>
      </c>
      <c r="V47" s="26">
        <f>股权价值增加表!V42</f>
        <v>363819076.27999967</v>
      </c>
      <c r="W47" s="26">
        <f>股权价值增加表!W42</f>
        <v>235350772.56999993</v>
      </c>
      <c r="X47" s="26">
        <f>股权价值增加表!X42</f>
        <v>120173262.97999987</v>
      </c>
      <c r="Y47" s="26">
        <f>股权价值增加表!Y42</f>
        <v>366425752.86000091</v>
      </c>
      <c r="Z47" s="26">
        <f>股权价值增加表!Z42</f>
        <v>324632415.45000052</v>
      </c>
      <c r="AA47" s="26">
        <f>股权价值增加表!AA42</f>
        <v>234213879.88999981</v>
      </c>
      <c r="AB47" s="26">
        <f>股权价值增加表!AB42</f>
        <v>129498369.41</v>
      </c>
      <c r="AC47" s="26">
        <f>股权价值增加表!AC42</f>
        <v>501856480.89000112</v>
      </c>
      <c r="AD47" s="26">
        <f>股权价值增加表!AD42</f>
        <v>497576094.1099993</v>
      </c>
      <c r="AE47" s="26">
        <f>股权价值增加表!AE42</f>
        <v>332558404.14999938</v>
      </c>
      <c r="AF47" s="26">
        <f>股权价值增加表!AF42</f>
        <v>163832235.62999976</v>
      </c>
      <c r="AG47" s="26">
        <f>股权价值增加表!AG42</f>
        <v>580565574.52999926</v>
      </c>
      <c r="AH47" s="26">
        <f>股权价值增加表!AH42</f>
        <v>284242889.6299997</v>
      </c>
      <c r="AI47" s="26">
        <f>股权价值增加表!AI42</f>
        <v>181542670.94999987</v>
      </c>
      <c r="AJ47" s="26">
        <f>股权价值增加表!AJ42</f>
        <v>84811911.730000198</v>
      </c>
      <c r="AK47" s="26">
        <f>股权价值增加表!AK42</f>
        <v>213919381.26000005</v>
      </c>
      <c r="AL47" s="26">
        <f>股权价值增加表!AL42</f>
        <v>135496792.03000009</v>
      </c>
      <c r="AM47" s="26">
        <f>股权价值增加表!AM42</f>
        <v>62708321.41999995</v>
      </c>
      <c r="AN47" s="26">
        <f>股权价值增加表!AN42</f>
        <v>35868639.73999998</v>
      </c>
      <c r="AO47" s="26">
        <f>股权价值增加表!AO42</f>
        <v>4948371.059999628</v>
      </c>
      <c r="AP47" s="26">
        <f>股权价值增加表!AP42</f>
        <v>116987471.49000017</v>
      </c>
      <c r="AQ47" s="26">
        <f>股权价值增加表!AQ42</f>
        <v>70799486.939999864</v>
      </c>
      <c r="AR47" s="26">
        <f>股权价值增加表!AR42</f>
        <v>35701046.730000176</v>
      </c>
      <c r="AS47" s="26">
        <f>股权价值增加表!AS42</f>
        <v>317957750.26000029</v>
      </c>
      <c r="AT47" s="26">
        <f>股权价值增加表!AT42</f>
        <v>211412314.52999985</v>
      </c>
      <c r="AU47" s="26">
        <f>股权价值增加表!AU42</f>
        <v>55021774.379999965</v>
      </c>
      <c r="AV47" s="26">
        <f>股权价值增加表!AV42</f>
        <v>17390337.170000017</v>
      </c>
      <c r="AW47" s="26">
        <f>股权价值增加表!AW42</f>
        <v>-39937709.92999994</v>
      </c>
      <c r="AX47" s="26">
        <f>股权价值增加表!AX42</f>
        <v>-8549108.2099996805</v>
      </c>
      <c r="AY47" s="26">
        <f>股权价值增加表!AY42</f>
        <v>2636498.2900002366</v>
      </c>
      <c r="AZ47" s="26">
        <f>股权价值增加表!AZ42</f>
        <v>10256904.759999977</v>
      </c>
      <c r="BA47" s="26">
        <f>股权价值增加表!BA42</f>
        <v>-11289766.590000223</v>
      </c>
      <c r="BB47" s="26">
        <f>股权价值增加表!BB42</f>
        <v>-12688352.310000043</v>
      </c>
      <c r="BC47" s="26">
        <f>股权价值增加表!BC42</f>
        <v>-3560098.8099999307</v>
      </c>
      <c r="BD47" s="26">
        <f>股权价值增加表!BD42</f>
        <v>3721892.3699999973</v>
      </c>
      <c r="BE47" s="26">
        <f>股权价值增加表!BE42</f>
        <v>194964.24999988824</v>
      </c>
      <c r="BF47" s="26">
        <f>股权价值增加表!BF42</f>
        <v>22684215.199999869</v>
      </c>
      <c r="BG47" s="26">
        <f>股权价值增加表!BG42</f>
        <v>16064889.079999987</v>
      </c>
      <c r="BH47" s="26">
        <f>股权价值增加表!BH42</f>
        <v>1394391.479999969</v>
      </c>
      <c r="BI47" s="26">
        <f>股权价值增加表!BI42</f>
        <v>40900357.730000332</v>
      </c>
      <c r="BJ47" s="26">
        <f>股权价值增加表!BJ42</f>
        <v>-5705981.7900000364</v>
      </c>
      <c r="BK47" s="26">
        <f>股权价值增加表!BK42</f>
        <v>-22127994.760000061</v>
      </c>
      <c r="BL47" s="26">
        <f>股权价值增加表!BL42</f>
        <v>1364391.6699999808</v>
      </c>
      <c r="BM47" s="26">
        <f>股权价值增加表!BM42</f>
        <v>-655369546.64000034</v>
      </c>
      <c r="BN47" s="26">
        <f>股权价值增加表!BN42</f>
        <v>9880780.6399998292</v>
      </c>
      <c r="BO47" s="26">
        <f>股权价值增加表!BO42</f>
        <v>28391684.149999954</v>
      </c>
      <c r="BP47" s="26">
        <f>股权价值增加表!BP42</f>
        <v>19419636.20000001</v>
      </c>
      <c r="BQ47" s="26">
        <f>股权价值增加表!BQ42</f>
        <v>-97967691.629999951</v>
      </c>
      <c r="BR47" s="26">
        <f>股权价值增加表!BR42</f>
        <v>86226366.339999899</v>
      </c>
      <c r="BS47" s="26">
        <f>股权价值增加表!BS42</f>
        <v>178261455.56999993</v>
      </c>
      <c r="BT47" s="26">
        <f>股权价值增加表!BT42</f>
        <v>114569836.69999991</v>
      </c>
      <c r="BU47" s="26">
        <f>股权价值增加表!BU42</f>
        <v>186415523.40000027</v>
      </c>
      <c r="BV47" s="26">
        <f>股权价值增加表!BV42</f>
        <v>129925186.36000006</v>
      </c>
      <c r="BW47" s="26">
        <f>股权价值增加表!BW42</f>
        <v>210994504.46000004</v>
      </c>
      <c r="BX47" s="26">
        <f>股权价值增加表!BX42</f>
        <v>133493035.69999997</v>
      </c>
      <c r="BY47" s="26">
        <f>股权价值增加表!BY42</f>
        <v>257919560.7100001</v>
      </c>
      <c r="BZ47" s="26">
        <f>股权价值增加表!BZ42</f>
        <v>859386740</v>
      </c>
      <c r="CA47" s="26">
        <f>股权价值增加表!CA42</f>
        <v>175283224.02000013</v>
      </c>
      <c r="CB47" s="26">
        <f>股权价值增加表!CB42</f>
        <v>642940000</v>
      </c>
      <c r="CC47" s="26">
        <f>股权价值增加表!CC42</f>
        <v>149114227.40000004</v>
      </c>
      <c r="CD47" s="26">
        <f>股权价值增加表!CD42</f>
        <v>764095148.28999996</v>
      </c>
      <c r="CE47" s="26">
        <f>股权价值增加表!CE42</f>
        <v>484685682.33999997</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7.1827187660413044E-2</v>
      </c>
      <c r="F48" s="63">
        <f>股权价值增加表!F43</f>
        <v>7.8989598459810323E-2</v>
      </c>
      <c r="G48" s="63">
        <f>股权价值增加表!G43</f>
        <v>7.4236601997561671E-2</v>
      </c>
      <c r="H48" s="63">
        <f>股权价值增加表!H43</f>
        <v>7.1263484768269297E-2</v>
      </c>
      <c r="I48" s="63">
        <f>股权价值增加表!I43</f>
        <v>8.7511214936699291E-2</v>
      </c>
      <c r="J48" s="63">
        <f>股权价值增加表!J43</f>
        <v>9.1658786127140651E-2</v>
      </c>
      <c r="K48" s="63">
        <f>股权价值增加表!K43</f>
        <v>8.7815496386190808E-2</v>
      </c>
      <c r="L48" s="63">
        <f>股权价值增加表!L43</f>
        <v>8.8117388089716669E-2</v>
      </c>
      <c r="M48" s="63">
        <f>股权价值增加表!M43</f>
        <v>8.6611254437965413E-2</v>
      </c>
      <c r="N48" s="63">
        <f>股权价值增加表!N43</f>
        <v>8.3220814811759553E-2</v>
      </c>
      <c r="O48" s="63">
        <f>股权价值增加表!O43</f>
        <v>8.1692908874217068E-2</v>
      </c>
      <c r="P48" s="63">
        <f>股权价值增加表!P43</f>
        <v>8.4177588934113479E-2</v>
      </c>
      <c r="Q48" s="63">
        <f>股权价值增加表!Q43</f>
        <v>7.3041087721613052E-2</v>
      </c>
      <c r="R48" s="63">
        <f>股权价值增加表!R43</f>
        <v>7.4897970893091068E-2</v>
      </c>
      <c r="S48" s="63">
        <f>股权价值增加表!S43</f>
        <v>7.0483656363579339E-2</v>
      </c>
      <c r="T48" s="63">
        <f>股权价值增加表!T43</f>
        <v>7.2950287155691448E-2</v>
      </c>
      <c r="U48" s="63">
        <f>股权价值增加表!U43</f>
        <v>5.004134644579631E-2</v>
      </c>
      <c r="V48" s="63">
        <f>股权价值增加表!V43</f>
        <v>5.7293307778557109E-2</v>
      </c>
      <c r="W48" s="63">
        <f>股权价值增加表!W43</f>
        <v>5.8863823731113457E-2</v>
      </c>
      <c r="X48" s="63">
        <f>股权价值增加表!X43</f>
        <v>5.0937234695199729E-2</v>
      </c>
      <c r="Y48" s="63">
        <f>股权价值增加表!Y43</f>
        <v>5.3106228868691582E-2</v>
      </c>
      <c r="Z48" s="63">
        <f>股权价值增加表!Z43</f>
        <v>7.095606960822616E-2</v>
      </c>
      <c r="AA48" s="63">
        <f>股权价值增加表!AA43</f>
        <v>7.5520494663558757E-2</v>
      </c>
      <c r="AB48" s="63">
        <f>股权价值增加表!AB43</f>
        <v>7.9468044289866591E-2</v>
      </c>
      <c r="AC48" s="63">
        <f>股权价值增加表!AC43</f>
        <v>4.5724651814787465E-2</v>
      </c>
      <c r="AD48" s="63">
        <f>股权价值增加表!AD43</f>
        <v>5.3127079592649666E-2</v>
      </c>
      <c r="AE48" s="63">
        <f>股权价值增加表!AE43</f>
        <v>4.9286062705609521E-2</v>
      </c>
      <c r="AF48" s="63">
        <f>股权价值增加表!AF43</f>
        <v>4.2760195671020039E-2</v>
      </c>
      <c r="AG48" s="63">
        <f>股权价值增加表!AG43</f>
        <v>5.18252601951752E-2</v>
      </c>
      <c r="AH48" s="63">
        <f>股权价值增加表!AH43</f>
        <v>5.0953060130620204E-2</v>
      </c>
      <c r="AI48" s="63">
        <f>股权价值增加表!AI43</f>
        <v>4.9954852720112145E-2</v>
      </c>
      <c r="AJ48" s="63">
        <f>股权价值增加表!AJ43</f>
        <v>5.1026769153273761E-2</v>
      </c>
      <c r="AK48" s="63">
        <f>股权价值增加表!AK43</f>
        <v>4.8893126641821355E-2</v>
      </c>
      <c r="AL48" s="63">
        <f>股权价值增加表!AL43</f>
        <v>4.6435245433493255E-2</v>
      </c>
      <c r="AM48" s="63">
        <f>股权价值增加表!AM43</f>
        <v>3.2961207032210491E-2</v>
      </c>
      <c r="AN48" s="63">
        <f>股权价值增加表!AN43</f>
        <v>3.6822114173248877E-2</v>
      </c>
      <c r="AO48" s="63">
        <f>股权价值增加表!AO43</f>
        <v>1.1526637569866205E-3</v>
      </c>
      <c r="AP48" s="63">
        <f>股权价值增加表!AP43</f>
        <v>3.4162301604666878E-2</v>
      </c>
      <c r="AQ48" s="63">
        <f>股权价值增加表!AQ43</f>
        <v>2.9202541081540495E-2</v>
      </c>
      <c r="AR48" s="63">
        <f>股权价值增加表!AR43</f>
        <v>3.1372973878962512E-2</v>
      </c>
      <c r="AS48" s="63">
        <f>股权价值增加表!AS43</f>
        <v>6.3582754489343002E-2</v>
      </c>
      <c r="AT48" s="63">
        <f>股权价值增加表!AT43</f>
        <v>5.1722934522869878E-2</v>
      </c>
      <c r="AU48" s="63">
        <f>股权价值增加表!AU43</f>
        <v>1.9385884160285444E-2</v>
      </c>
      <c r="AV48" s="63">
        <f>股权价值增加表!AV43</f>
        <v>1.2008016972330896E-2</v>
      </c>
      <c r="AW48" s="63">
        <f>股权价值增加表!AW43</f>
        <v>-9.3831154270313018E-3</v>
      </c>
      <c r="AX48" s="63">
        <f>股权价值增加表!AX43</f>
        <v>-2.6502979328632157E-3</v>
      </c>
      <c r="AY48" s="63">
        <f>股权价值增加表!AY43</f>
        <v>1.2224605145785055E-3</v>
      </c>
      <c r="AZ48" s="63">
        <f>股权价值增加表!AZ43</f>
        <v>1.0507581814547152E-2</v>
      </c>
      <c r="BA48" s="63">
        <f>股权价值增加表!BA43</f>
        <v>-3.4629384918536642E-3</v>
      </c>
      <c r="BB48" s="63">
        <f>股权价值增加表!BB43</f>
        <v>-5.8061030715714336E-3</v>
      </c>
      <c r="BC48" s="63">
        <f>股权价值增加表!BC43</f>
        <v>-2.549472963372235E-3</v>
      </c>
      <c r="BD48" s="63">
        <f>股权价值增加表!BD43</f>
        <v>5.1512272649425492E-3</v>
      </c>
      <c r="BE48" s="63">
        <f>股权价值增加表!BE43</f>
        <v>8.0466224599265603E-5</v>
      </c>
      <c r="BF48" s="63">
        <f>股权价值增加表!BF43</f>
        <v>1.3907587408219894E-2</v>
      </c>
      <c r="BG48" s="63">
        <f>股权价值增加表!BG43</f>
        <v>1.464684902784001E-2</v>
      </c>
      <c r="BH48" s="63">
        <f>股权价值增加表!BH43</f>
        <v>2.3489539136241212E-3</v>
      </c>
      <c r="BI48" s="63">
        <f>股权价值增加表!BI43</f>
        <v>1.4097153618254045E-2</v>
      </c>
      <c r="BJ48" s="63">
        <f>股权价值增加表!BJ43</f>
        <v>-2.8894021249831021E-3</v>
      </c>
      <c r="BK48" s="63">
        <f>股权价值增加表!BK43</f>
        <v>-1.6038863157259844E-2</v>
      </c>
      <c r="BL48" s="63">
        <f>股权价值增加表!BL43</f>
        <v>1.6165688529166287E-3</v>
      </c>
      <c r="BM48" s="63">
        <f>股权价值增加表!BM43</f>
        <v>-0.22277829932445628</v>
      </c>
      <c r="BN48" s="63">
        <f>股权价值增加表!BN43</f>
        <v>4.0941852208753729E-3</v>
      </c>
      <c r="BO48" s="63">
        <f>股权价值增加表!BO43</f>
        <v>1.8278884872632167E-2</v>
      </c>
      <c r="BP48" s="63">
        <f>股权价值增加表!BP43</f>
        <v>2.7546450903329803E-2</v>
      </c>
      <c r="BQ48" s="63">
        <f>股权价值增加表!BQ43</f>
        <v>-5.0150020054232622E-2</v>
      </c>
      <c r="BR48" s="63">
        <f>股权价值增加表!BR43</f>
        <v>7.6331265930576486E-2</v>
      </c>
      <c r="BS48" s="63">
        <f>股权价值增加表!BS43</f>
        <v>6.5420326110132085E-2</v>
      </c>
      <c r="BT48" s="63">
        <f>股权价值增加表!BT43</f>
        <v>7.775263239870682E-2</v>
      </c>
      <c r="BU48" s="63">
        <f>股权价值增加表!BU43</f>
        <v>7.0090645605167118E-2</v>
      </c>
      <c r="BV48" s="63">
        <f>股权价值增加表!BV43</f>
        <v>9.2074295705235329E-2</v>
      </c>
      <c r="BW48" s="63">
        <f>股权价值增加表!BW43</f>
        <v>9.7359648831266909E-2</v>
      </c>
      <c r="BX48" s="63">
        <f>股权价值增加表!BX43</f>
        <v>0.13290131529981725</v>
      </c>
      <c r="BY48" s="63">
        <f>股权价值增加表!BY43</f>
        <v>0.14022273089895823</v>
      </c>
      <c r="BZ48" s="63">
        <f>股权价值增加表!BZ43</f>
        <v>0.97359627122055425</v>
      </c>
      <c r="CA48" s="63">
        <f>股权价值增加表!CA43</f>
        <v>0.12953637572312648</v>
      </c>
      <c r="CB48" s="63">
        <f>股权价值增加表!CB43</f>
        <v>0.97250415205757523</v>
      </c>
      <c r="CC48" s="63">
        <f>股权价值增加表!CC43</f>
        <v>0.14833438558736048</v>
      </c>
      <c r="CD48" s="63">
        <f>股权价值增加表!CD43</f>
        <v>1</v>
      </c>
      <c r="CE48" s="63">
        <f>股权价值增加表!CE43</f>
        <v>1</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7.4512387490882348E-2</v>
      </c>
      <c r="F49" s="59">
        <f t="shared" ref="F49:BQ49" si="38">(F47-J47)/J47</f>
        <v>0.14209973197607018</v>
      </c>
      <c r="G49" s="59">
        <f t="shared" si="38"/>
        <v>0.11886807873294356</v>
      </c>
      <c r="H49" s="59">
        <f t="shared" si="38"/>
        <v>8.5436353742417107E-2</v>
      </c>
      <c r="I49" s="59">
        <f t="shared" si="38"/>
        <v>0.25686234221274257</v>
      </c>
      <c r="J49" s="59">
        <f t="shared" si="38"/>
        <v>0.38140042477800418</v>
      </c>
      <c r="K49" s="59">
        <f t="shared" si="38"/>
        <v>0.40664590156770158</v>
      </c>
      <c r="L49" s="59">
        <f t="shared" si="38"/>
        <v>0.34737469121139575</v>
      </c>
      <c r="M49" s="59">
        <f t="shared" si="38"/>
        <v>0.44122677830244178</v>
      </c>
      <c r="N49" s="59">
        <f t="shared" si="38"/>
        <v>0.37305849115430284</v>
      </c>
      <c r="O49" s="59">
        <f t="shared" si="38"/>
        <v>0.42183937442885405</v>
      </c>
      <c r="P49" s="59">
        <f t="shared" si="38"/>
        <v>0.47542318584284737</v>
      </c>
      <c r="Q49" s="59">
        <f t="shared" si="38"/>
        <v>0.80683712312132005</v>
      </c>
      <c r="R49" s="59">
        <f t="shared" si="38"/>
        <v>0.60129052807456318</v>
      </c>
      <c r="S49" s="59">
        <f t="shared" si="38"/>
        <v>0.48964765206251915</v>
      </c>
      <c r="T49" s="59">
        <f t="shared" si="38"/>
        <v>0.5638388569117655</v>
      </c>
      <c r="U49" s="59">
        <f t="shared" si="38"/>
        <v>0.19194316657888427</v>
      </c>
      <c r="V49" s="59">
        <f t="shared" si="38"/>
        <v>0.12071086855475968</v>
      </c>
      <c r="W49" s="59">
        <f t="shared" si="38"/>
        <v>4.8540790175803242E-3</v>
      </c>
      <c r="X49" s="59">
        <f t="shared" si="38"/>
        <v>-7.2009450562858068E-2</v>
      </c>
      <c r="Y49" s="59">
        <f t="shared" si="38"/>
        <v>-0.26985947813172595</v>
      </c>
      <c r="Z49" s="59">
        <f t="shared" si="38"/>
        <v>-0.34757232251951009</v>
      </c>
      <c r="AA49" s="59">
        <f t="shared" si="38"/>
        <v>-0.29572106142186561</v>
      </c>
      <c r="AB49" s="59">
        <f t="shared" si="38"/>
        <v>-0.20956722032127842</v>
      </c>
      <c r="AC49" s="59">
        <f t="shared" si="38"/>
        <v>-0.1355731326365977</v>
      </c>
      <c r="AD49" s="59">
        <f t="shared" si="38"/>
        <v>0.75053136688026367</v>
      </c>
      <c r="AE49" s="59">
        <f t="shared" si="38"/>
        <v>0.8318470385488157</v>
      </c>
      <c r="AF49" s="59">
        <f t="shared" si="38"/>
        <v>0.93171256593722074</v>
      </c>
      <c r="AG49" s="59">
        <f t="shared" si="38"/>
        <v>1.7139456514432101</v>
      </c>
      <c r="AH49" s="59">
        <f t="shared" si="38"/>
        <v>1.0977831679370387</v>
      </c>
      <c r="AI49" s="59">
        <f t="shared" si="38"/>
        <v>1.895033176443778</v>
      </c>
      <c r="AJ49" s="59">
        <f t="shared" si="38"/>
        <v>1.3645143039929577</v>
      </c>
      <c r="AK49" s="59">
        <f t="shared" si="38"/>
        <v>42.230262780660624</v>
      </c>
      <c r="AL49" s="59">
        <f t="shared" si="38"/>
        <v>0.15821626285496779</v>
      </c>
      <c r="AM49" s="59">
        <f t="shared" si="38"/>
        <v>-0.11428282703315208</v>
      </c>
      <c r="AN49" s="59">
        <f t="shared" si="38"/>
        <v>4.694344433855858E-3</v>
      </c>
      <c r="AO49" s="59">
        <f t="shared" si="38"/>
        <v>-0.98443701700633723</v>
      </c>
      <c r="AP49" s="59">
        <f t="shared" si="38"/>
        <v>-0.446638329701464</v>
      </c>
      <c r="AQ49" s="59">
        <f t="shared" si="38"/>
        <v>0.28675397581752632</v>
      </c>
      <c r="AR49" s="59">
        <f t="shared" si="38"/>
        <v>1.0529243556926471</v>
      </c>
      <c r="AS49" s="59">
        <f t="shared" si="38"/>
        <v>-8.9613415695916139</v>
      </c>
      <c r="AT49" s="59">
        <f t="shared" si="38"/>
        <v>-25.729165819040176</v>
      </c>
      <c r="AU49" s="59">
        <f t="shared" si="38"/>
        <v>19.869262304734903</v>
      </c>
      <c r="AV49" s="59">
        <f t="shared" si="38"/>
        <v>0.69547612821941174</v>
      </c>
      <c r="AW49" s="59">
        <f t="shared" si="38"/>
        <v>2.5375142268551674</v>
      </c>
      <c r="AX49" s="59">
        <f t="shared" si="38"/>
        <v>-0.32622392560286251</v>
      </c>
      <c r="AY49" s="59">
        <f t="shared" si="38"/>
        <v>-1.7405688523572995</v>
      </c>
      <c r="AZ49" s="59">
        <f t="shared" si="38"/>
        <v>1.7558305669113115</v>
      </c>
      <c r="BA49" s="59">
        <f t="shared" si="38"/>
        <v>-58.906855179894237</v>
      </c>
      <c r="BB49" s="59">
        <f t="shared" si="38"/>
        <v>-1.5593472023665214</v>
      </c>
      <c r="BC49" s="59">
        <f t="shared" si="38"/>
        <v>-1.2216074317271248</v>
      </c>
      <c r="BD49" s="59">
        <f t="shared" si="38"/>
        <v>1.6691875440891824</v>
      </c>
      <c r="BE49" s="59">
        <f t="shared" si="38"/>
        <v>-0.99523318961445462</v>
      </c>
      <c r="BF49" s="59">
        <f t="shared" si="38"/>
        <v>-4.9755148254687516</v>
      </c>
      <c r="BG49" s="59">
        <f t="shared" si="38"/>
        <v>-1.7259984130618053</v>
      </c>
      <c r="BH49" s="59">
        <f t="shared" si="38"/>
        <v>2.1987681880224763E-2</v>
      </c>
      <c r="BI49" s="59">
        <f t="shared" si="38"/>
        <v>-1.0624080840186907</v>
      </c>
      <c r="BJ49" s="59">
        <f t="shared" si="38"/>
        <v>-1.5774828930925577</v>
      </c>
      <c r="BK49" s="59">
        <f t="shared" si="38"/>
        <v>-1.7793829574565796</v>
      </c>
      <c r="BL49" s="59">
        <f t="shared" si="38"/>
        <v>-0.9297416462415512</v>
      </c>
      <c r="BM49" s="59">
        <f t="shared" si="38"/>
        <v>5.6896497787777935</v>
      </c>
      <c r="BN49" s="59">
        <f t="shared" si="38"/>
        <v>-0.88540882494063555</v>
      </c>
      <c r="BO49" s="59">
        <f t="shared" si="38"/>
        <v>-0.84073010029444606</v>
      </c>
      <c r="BP49" s="59">
        <f t="shared" si="38"/>
        <v>-0.83049957336632896</v>
      </c>
      <c r="BQ49" s="59">
        <f t="shared" si="38"/>
        <v>-1.5255339783038679</v>
      </c>
      <c r="BR49" s="59">
        <f t="shared" ref="BR49:CJ49" si="39">(BR47-BV47)/BV47</f>
        <v>-0.33633832857409451</v>
      </c>
      <c r="BS49" s="59">
        <f t="shared" si="39"/>
        <v>-0.15513697370352875</v>
      </c>
      <c r="BT49" s="59">
        <f t="shared" si="39"/>
        <v>-0.1417542038861587</v>
      </c>
      <c r="BU49" s="59">
        <f t="shared" si="39"/>
        <v>-0.27723386746303286</v>
      </c>
      <c r="BV49" s="59">
        <f t="shared" si="39"/>
        <v>-0.84881639393225916</v>
      </c>
      <c r="BW49" s="59">
        <f t="shared" si="39"/>
        <v>0.20373473068891743</v>
      </c>
      <c r="BX49" s="59">
        <f t="shared" si="39"/>
        <v>-0.79237092776930973</v>
      </c>
      <c r="BY49" s="59">
        <f t="shared" si="39"/>
        <v>0.72967774576016098</v>
      </c>
      <c r="BZ49" s="59">
        <f t="shared" si="39"/>
        <v>0.12471168273121093</v>
      </c>
      <c r="CA49" s="59">
        <f t="shared" si="39"/>
        <v>-0.63835691788180049</v>
      </c>
      <c r="CB49" s="59" t="e">
        <f t="shared" si="39"/>
        <v>#DIV/0!</v>
      </c>
      <c r="CC49" s="59">
        <f t="shared" si="39"/>
        <v>-35.437465912240192</v>
      </c>
      <c r="CD49" s="59">
        <f t="shared" si="39"/>
        <v>-182.06520101658768</v>
      </c>
      <c r="CE49" s="59">
        <f t="shared" si="39"/>
        <v>-39.743859499600319</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878538952.59680128</v>
      </c>
      <c r="F50" s="26">
        <f>股权价值增加表!F47</f>
        <v>637166650.81639862</v>
      </c>
      <c r="G50" s="26">
        <f>股权价值增加表!G47</f>
        <v>199780883.4031992</v>
      </c>
      <c r="H50" s="26">
        <f>股权价值增加表!H47</f>
        <v>-184591372.27520031</v>
      </c>
      <c r="I50" s="26">
        <f>股权价值增加表!I47</f>
        <v>872760608.53799987</v>
      </c>
      <c r="J50" s="26">
        <f>股权价值增加表!J47</f>
        <v>565838689.66599989</v>
      </c>
      <c r="K50" s="26">
        <f>股权价值增加表!K47</f>
        <v>195286145.22879988</v>
      </c>
      <c r="L50" s="26">
        <f>股权价值增加表!L47</f>
        <v>-135932598.91680026</v>
      </c>
      <c r="M50" s="26">
        <f>股权价值增加表!M47</f>
        <v>658328514.46200001</v>
      </c>
      <c r="N50" s="26">
        <f>股权价值增加表!N47</f>
        <v>345756405.36599958</v>
      </c>
      <c r="O50" s="26">
        <f>股权价值增加表!O47</f>
        <v>69212312.950000763</v>
      </c>
      <c r="P50" s="26">
        <f>股权价值增加表!P47</f>
        <v>-156666134.25840014</v>
      </c>
      <c r="Q50" s="26">
        <f>股权价值增加表!Q47</f>
        <v>377576095.16320097</v>
      </c>
      <c r="R50" s="26">
        <f>股权价值增加表!R47</f>
        <v>187593480.47280043</v>
      </c>
      <c r="S50" s="26">
        <f>股权价值增加表!S47</f>
        <v>-25488892.675599635</v>
      </c>
      <c r="T50" s="26">
        <f>股权价值增加表!T47</f>
        <v>-189849262.09960002</v>
      </c>
      <c r="U50" s="26">
        <f>股权价值增加表!U47</f>
        <v>74012321.327201128</v>
      </c>
      <c r="V50" s="26">
        <f>股权价值增加表!V47</f>
        <v>9849810.4231996536</v>
      </c>
      <c r="W50" s="26">
        <f>股权价值增加表!W47</f>
        <v>-108341028.98920006</v>
      </c>
      <c r="X50" s="26">
        <f>股权价值增加表!X47</f>
        <v>-229484044.15040013</v>
      </c>
      <c r="Y50" s="26">
        <f>股权价值增加表!Y47</f>
        <v>26382306.769600868</v>
      </c>
      <c r="Z50" s="26">
        <f>股权价值增加表!Z47</f>
        <v>-8420696.0603994727</v>
      </c>
      <c r="AA50" s="26">
        <f>股权价值增加表!AA47</f>
        <v>-91605748.776400208</v>
      </c>
      <c r="AB50" s="26">
        <f>股权价值增加表!AB47</f>
        <v>-198063822.64040002</v>
      </c>
      <c r="AC50" s="26">
        <f>股权价值增加表!AC47</f>
        <v>184654158.39080113</v>
      </c>
      <c r="AD50" s="26">
        <f>股权价值增加表!AD47</f>
        <v>183219646.14919925</v>
      </c>
      <c r="AE50" s="26">
        <f>股权价值增加表!AE47</f>
        <v>31403371.385999382</v>
      </c>
      <c r="AF50" s="26">
        <f>股权价值增加表!AF47</f>
        <v>-128884605.76440024</v>
      </c>
      <c r="AG50" s="26">
        <f>股权价值增加表!AG47</f>
        <v>299698191.98599923</v>
      </c>
      <c r="AH50" s="26">
        <f>股权价值增加表!AH47</f>
        <v>109286653.40199971</v>
      </c>
      <c r="AI50" s="26">
        <f>股权价值增加表!AI47</f>
        <v>14758794.552399874</v>
      </c>
      <c r="AJ50" s="26">
        <f>股权价值增加表!AJ47</f>
        <v>-75149503.930799812</v>
      </c>
      <c r="AK50" s="26">
        <f>股权价值增加表!AK47</f>
        <v>60742918.53760004</v>
      </c>
      <c r="AL50" s="26">
        <f>股权价值增加表!AL47</f>
        <v>-11198108.14199993</v>
      </c>
      <c r="AM50" s="26">
        <f>股权价值增加表!AM47</f>
        <v>-78872044.103200048</v>
      </c>
      <c r="AN50" s="26">
        <f>股权价值增加表!AN47</f>
        <v>-102807890.45920002</v>
      </c>
      <c r="AO50" s="26">
        <f>股权价值增加表!AO47</f>
        <v>-130715408.21600036</v>
      </c>
      <c r="AP50" s="26">
        <f>股权价值增加表!AP47</f>
        <v>-28754432.810799822</v>
      </c>
      <c r="AQ50" s="26">
        <f>股权价值增加表!AQ47</f>
        <v>-71389167.992800131</v>
      </c>
      <c r="AR50" s="26">
        <f>股权价值增加表!AR47</f>
        <v>-103993547.44279984</v>
      </c>
      <c r="AS50" s="26">
        <f>股权价值增加表!AS47</f>
        <v>180478516.09600028</v>
      </c>
      <c r="AT50" s="26">
        <f>股权价值增加表!AT47</f>
        <v>91754985.637199849</v>
      </c>
      <c r="AU50" s="26">
        <f>股权价值增加表!AU47</f>
        <v>-52327934.850400046</v>
      </c>
      <c r="AV50" s="26">
        <f>股权价值增加表!AV47</f>
        <v>-90774039.38759999</v>
      </c>
      <c r="AW50" s="26">
        <f>股权价值增加表!AW47</f>
        <v>-145093407.62679994</v>
      </c>
      <c r="AX50" s="26">
        <f>股权价值增加表!AX47</f>
        <v>-115464577.04759969</v>
      </c>
      <c r="AY50" s="26">
        <f>股权价值增加表!AY47</f>
        <v>-100032682.92839977</v>
      </c>
      <c r="AZ50" s="26">
        <f>股权价值增加表!AZ47</f>
        <v>-91322891.524800017</v>
      </c>
      <c r="BA50" s="26">
        <f>股权价值增加表!BA47</f>
        <v>-111924424.94840023</v>
      </c>
      <c r="BB50" s="26">
        <f>股权价值增加表!BB47</f>
        <v>-112472312.74120006</v>
      </c>
      <c r="BC50" s="26">
        <f>股权价值增加表!BC47</f>
        <v>-103280929.24759993</v>
      </c>
      <c r="BD50" s="26">
        <f>股权价值增加表!BD47</f>
        <v>-94755839.970800012</v>
      </c>
      <c r="BE50" s="26">
        <f>股权价值增加表!BE47</f>
        <v>-97288821.36040011</v>
      </c>
      <c r="BF50" s="26">
        <f>股权价值增加表!BF47</f>
        <v>-75020048.533600137</v>
      </c>
      <c r="BG50" s="26">
        <f>股权价值增加表!BG47</f>
        <v>-81186610.123200014</v>
      </c>
      <c r="BH50" s="26">
        <f>股权价值增加表!BH47</f>
        <v>-93864796.044800028</v>
      </c>
      <c r="BI50" s="26">
        <f>股权价值增加表!BI47</f>
        <v>-54056756.577999666</v>
      </c>
      <c r="BJ50" s="26">
        <f>股权价值增加表!BJ47</f>
        <v>-86702369.970000044</v>
      </c>
      <c r="BK50" s="26">
        <f>股权价值增加表!BK47</f>
        <v>-101523148.25600007</v>
      </c>
      <c r="BL50" s="26">
        <f>股权价值增加表!BL47</f>
        <v>1364391.6699999808</v>
      </c>
      <c r="BM50" s="26">
        <f>股权价值增加表!BM47</f>
        <v>-746394686.28480029</v>
      </c>
      <c r="BN50" s="26">
        <f>股权价值增加表!BN47</f>
        <v>-158104852.36800015</v>
      </c>
      <c r="BO50" s="26">
        <f>股权价值增加表!BO47</f>
        <v>-139806410.02440006</v>
      </c>
      <c r="BP50" s="26">
        <f>股权价值增加表!BP47</f>
        <v>-148875621.40559998</v>
      </c>
      <c r="BQ50" s="26">
        <f>股权价值增加表!BQ47</f>
        <v>-255402289.70599997</v>
      </c>
      <c r="BR50" s="26">
        <f>股权价值增加表!BR47</f>
        <v>-87970314.684800103</v>
      </c>
      <c r="BS50" s="26">
        <f>股权价值增加表!BS47</f>
        <v>12308256.241999924</v>
      </c>
      <c r="BT50" s="26">
        <f>股权价值增加表!BT47</f>
        <v>-56481530.553600088</v>
      </c>
      <c r="BU50" s="26">
        <f>股权价值增加表!BU47</f>
        <v>24686529.312800288</v>
      </c>
      <c r="BV50" s="26">
        <f>股权价值增加表!BV47</f>
        <v>-34941324.033599958</v>
      </c>
      <c r="BW50" s="26">
        <f>股权价值增加表!BW47</f>
        <v>58695331.956800044</v>
      </c>
      <c r="BX50" s="26">
        <f>股权价值增加表!BX47</f>
        <v>-20385088.856000021</v>
      </c>
      <c r="BY50" s="26">
        <f>股权价值增加表!BY47</f>
        <v>117255246.53160009</v>
      </c>
      <c r="BZ50" s="26">
        <f>股权价值增加表!BZ47</f>
        <v>720055024</v>
      </c>
      <c r="CA50" s="26">
        <f>股权价值增加表!CA47</f>
        <v>102800395.63040012</v>
      </c>
      <c r="CB50" s="26">
        <f>股权价值增加表!CB47</f>
        <v>591839760</v>
      </c>
      <c r="CC50" s="26">
        <f>股权价值增加表!CC47</f>
        <v>149114227.40000004</v>
      </c>
      <c r="CD50" s="26">
        <f>股权价值增加表!CD47</f>
        <v>764095148.28999996</v>
      </c>
      <c r="CE50" s="26">
        <f>股权价值增加表!CE47</f>
        <v>484685682.33999997</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685</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2015902362.9300013</v>
      </c>
      <c r="F54" s="192">
        <f t="shared" ref="F54:AC54" si="41">F39</f>
        <v>1471590225.8599987</v>
      </c>
      <c r="G54" s="192">
        <f t="shared" si="41"/>
        <v>909282734.4599992</v>
      </c>
      <c r="H54" s="192">
        <f t="shared" si="41"/>
        <v>466718944.6699996</v>
      </c>
      <c r="I54" s="192">
        <f t="shared" si="41"/>
        <v>1639407647.2599998</v>
      </c>
      <c r="J54" s="192">
        <f t="shared" si="41"/>
        <v>1211118822.74</v>
      </c>
      <c r="K54" s="192">
        <f t="shared" si="41"/>
        <v>765090978.33999991</v>
      </c>
      <c r="L54" s="192">
        <f t="shared" si="41"/>
        <v>408978016.73999971</v>
      </c>
      <c r="M54" s="192">
        <f t="shared" si="41"/>
        <v>1283512334.96</v>
      </c>
      <c r="N54" s="192">
        <f t="shared" si="41"/>
        <v>851936379.25999963</v>
      </c>
      <c r="O54" s="192">
        <f t="shared" si="41"/>
        <v>566193401.50000072</v>
      </c>
      <c r="P54" s="192">
        <f t="shared" si="41"/>
        <v>314652634.58999985</v>
      </c>
      <c r="Q54" s="192">
        <f t="shared" si="41"/>
        <v>947349737.44000101</v>
      </c>
      <c r="R54" s="192">
        <f t="shared" si="41"/>
        <v>648544695.90000045</v>
      </c>
      <c r="S54" s="192">
        <f t="shared" si="41"/>
        <v>407126499.50000036</v>
      </c>
      <c r="T54" s="192">
        <f t="shared" si="41"/>
        <v>216827515.34999996</v>
      </c>
      <c r="U54" s="192">
        <f t="shared" si="41"/>
        <v>552874396.2400012</v>
      </c>
      <c r="V54" s="192">
        <f t="shared" si="41"/>
        <v>451520051.46999967</v>
      </c>
      <c r="W54" s="192">
        <f t="shared" si="41"/>
        <v>298486222.23999995</v>
      </c>
      <c r="X54" s="192">
        <f t="shared" si="41"/>
        <v>150482462.51999986</v>
      </c>
      <c r="Y54" s="192">
        <f t="shared" si="41"/>
        <v>454280612.61000091</v>
      </c>
      <c r="Z54" s="192">
        <f t="shared" si="41"/>
        <v>323160215.93000054</v>
      </c>
      <c r="AA54" s="192">
        <f t="shared" si="41"/>
        <v>237702996.07999983</v>
      </c>
      <c r="AB54" s="192">
        <f t="shared" si="41"/>
        <v>137082097.49000001</v>
      </c>
      <c r="AC54" s="192">
        <f t="shared" si="41"/>
        <v>679730236.16000116</v>
      </c>
    </row>
    <row r="55" spans="1:88" s="63" customFormat="1" x14ac:dyDescent="0.25">
      <c r="A55" s="63" t="s">
        <v>674</v>
      </c>
      <c r="E55" s="63">
        <f>E54/E2</f>
        <v>9.4268446598398448E-2</v>
      </c>
      <c r="F55" s="63">
        <f t="shared" ref="F55:AC55" si="42">F54/F2</f>
        <v>9.2106132345216585E-2</v>
      </c>
      <c r="G55" s="63">
        <f t="shared" si="42"/>
        <v>8.6040641419827577E-2</v>
      </c>
      <c r="H55" s="63">
        <f t="shared" si="42"/>
        <v>8.2018775177199035E-2</v>
      </c>
      <c r="I55" s="63">
        <f t="shared" si="42"/>
        <v>0.10036218108704442</v>
      </c>
      <c r="J55" s="63">
        <f t="shared" si="42"/>
        <v>0.10046079952609038</v>
      </c>
      <c r="K55" s="63">
        <f t="shared" si="42"/>
        <v>9.5818580966911468E-2</v>
      </c>
      <c r="L55" s="63">
        <f t="shared" si="42"/>
        <v>9.646210558009756E-2</v>
      </c>
      <c r="M55" s="63">
        <f t="shared" si="42"/>
        <v>9.7742065135070763E-2</v>
      </c>
      <c r="N55" s="63">
        <f t="shared" si="42"/>
        <v>8.8632803738767058E-2</v>
      </c>
      <c r="O55" s="63">
        <f t="shared" si="42"/>
        <v>9.2789629935789972E-2</v>
      </c>
      <c r="P55" s="63">
        <f t="shared" si="42"/>
        <v>9.552375749457194E-2</v>
      </c>
      <c r="Q55" s="63">
        <f t="shared" si="42"/>
        <v>8.7683328846004507E-2</v>
      </c>
      <c r="R55" s="63">
        <f t="shared" si="42"/>
        <v>8.3378554629766441E-2</v>
      </c>
      <c r="S55" s="63">
        <f t="shared" si="42"/>
        <v>8.1849986402882921E-2</v>
      </c>
      <c r="T55" s="63">
        <f t="shared" si="42"/>
        <v>8.4166941458262437E-2</v>
      </c>
      <c r="U55" s="63">
        <f t="shared" si="42"/>
        <v>6.3345231510032046E-2</v>
      </c>
      <c r="V55" s="63">
        <f t="shared" si="42"/>
        <v>7.1104235494104426E-2</v>
      </c>
      <c r="W55" s="63">
        <f t="shared" si="42"/>
        <v>7.4654695968229684E-2</v>
      </c>
      <c r="X55" s="63">
        <f t="shared" si="42"/>
        <v>6.3784242191780402E-2</v>
      </c>
      <c r="Y55" s="63">
        <f t="shared" si="42"/>
        <v>6.5839068339428472E-2</v>
      </c>
      <c r="Z55" s="63">
        <f t="shared" si="42"/>
        <v>7.0634285686945492E-2</v>
      </c>
      <c r="AA55" s="63">
        <f t="shared" si="42"/>
        <v>7.6645533797580989E-2</v>
      </c>
      <c r="AB55" s="63">
        <f t="shared" si="42"/>
        <v>8.412187925079706E-2</v>
      </c>
      <c r="AC55" s="63">
        <f t="shared" si="42"/>
        <v>6.193090965225901E-2</v>
      </c>
    </row>
    <row r="56" spans="1:88" x14ac:dyDescent="0.25">
      <c r="A56" s="17" t="s">
        <v>675</v>
      </c>
      <c r="E56" s="192">
        <f>E23</f>
        <v>1302531208.6354809</v>
      </c>
      <c r="F56" s="192">
        <f t="shared" ref="F56:AC56" si="43">F23</f>
        <v>1056813953.5720314</v>
      </c>
      <c r="G56" s="192">
        <f t="shared" si="43"/>
        <v>635086038.55176151</v>
      </c>
      <c r="H56" s="192">
        <f t="shared" si="43"/>
        <v>331377293.16396087</v>
      </c>
      <c r="I56" s="192">
        <f t="shared" si="43"/>
        <v>1041252159.35712</v>
      </c>
      <c r="J56" s="192">
        <f t="shared" si="43"/>
        <v>880397832.8664633</v>
      </c>
      <c r="K56" s="192">
        <f t="shared" si="43"/>
        <v>559865740.51663828</v>
      </c>
      <c r="L56" s="192">
        <f t="shared" si="43"/>
        <v>313668345.88022155</v>
      </c>
      <c r="M56" s="192">
        <f t="shared" si="43"/>
        <v>789445300.55888867</v>
      </c>
      <c r="N56" s="192">
        <f t="shared" si="43"/>
        <v>645253911.80819631</v>
      </c>
      <c r="O56" s="192">
        <f t="shared" si="43"/>
        <v>427042064.23666298</v>
      </c>
      <c r="P56" s="192">
        <f t="shared" si="43"/>
        <v>240797933.54212812</v>
      </c>
      <c r="Q56" s="192">
        <f t="shared" si="43"/>
        <v>637452067.39949429</v>
      </c>
      <c r="R56" s="192">
        <f t="shared" si="43"/>
        <v>480663178.56836748</v>
      </c>
      <c r="S56" s="192">
        <f t="shared" si="43"/>
        <v>306054931.99903661</v>
      </c>
      <c r="T56" s="192">
        <f t="shared" si="43"/>
        <v>175941886.45021182</v>
      </c>
      <c r="U56" s="192">
        <f t="shared" si="43"/>
        <v>376387165.26690811</v>
      </c>
      <c r="V56" s="192">
        <f t="shared" si="43"/>
        <v>308756759.50404739</v>
      </c>
      <c r="W56" s="192">
        <f t="shared" si="43"/>
        <v>211292102.29745761</v>
      </c>
      <c r="X56" s="192">
        <f t="shared" si="43"/>
        <v>110471609.84479782</v>
      </c>
      <c r="Y56" s="192">
        <f t="shared" si="43"/>
        <v>327309426.02442932</v>
      </c>
      <c r="Z56" s="192">
        <f t="shared" si="43"/>
        <v>278447343.98639536</v>
      </c>
      <c r="AA56" s="192">
        <f t="shared" si="43"/>
        <v>206812827.95766866</v>
      </c>
      <c r="AB56" s="192">
        <f t="shared" si="43"/>
        <v>115312581.058676</v>
      </c>
      <c r="AC56" s="192">
        <f t="shared" si="43"/>
        <v>468513049.89189756</v>
      </c>
    </row>
    <row r="57" spans="1:88" s="63" customFormat="1" x14ac:dyDescent="0.25">
      <c r="A57" s="63" t="s">
        <v>676</v>
      </c>
      <c r="E57" s="63">
        <f>E56/E2</f>
        <v>6.090949439909199E-2</v>
      </c>
      <c r="F57" s="63">
        <f t="shared" ref="F57:AC57" si="44">F56/F2</f>
        <v>6.6145482731167271E-2</v>
      </c>
      <c r="G57" s="63">
        <f t="shared" si="44"/>
        <v>6.0094850636553843E-2</v>
      </c>
      <c r="H57" s="63">
        <f t="shared" si="44"/>
        <v>5.8234532832304675E-2</v>
      </c>
      <c r="I57" s="63">
        <f t="shared" si="44"/>
        <v>6.3743961393210397E-2</v>
      </c>
      <c r="J57" s="63">
        <f t="shared" si="44"/>
        <v>7.3027904884432185E-2</v>
      </c>
      <c r="K57" s="63">
        <f t="shared" si="44"/>
        <v>7.0116551242947384E-2</v>
      </c>
      <c r="L57" s="63">
        <f t="shared" si="44"/>
        <v>7.3982238308588341E-2</v>
      </c>
      <c r="M57" s="63">
        <f t="shared" si="44"/>
        <v>6.0117859319370796E-2</v>
      </c>
      <c r="N57" s="63">
        <f t="shared" si="44"/>
        <v>6.7130204460389337E-2</v>
      </c>
      <c r="O57" s="63">
        <f t="shared" si="44"/>
        <v>6.9985052815094942E-2</v>
      </c>
      <c r="P57" s="63">
        <f t="shared" si="44"/>
        <v>7.3102592765016475E-2</v>
      </c>
      <c r="Q57" s="63">
        <f t="shared" si="44"/>
        <v>5.9000300565233699E-2</v>
      </c>
      <c r="R57" s="63">
        <f t="shared" si="44"/>
        <v>6.1795280026404401E-2</v>
      </c>
      <c r="S57" s="63">
        <f t="shared" si="44"/>
        <v>6.1530241960229812E-2</v>
      </c>
      <c r="T57" s="63">
        <f t="shared" si="44"/>
        <v>6.8296177415525766E-2</v>
      </c>
      <c r="U57" s="63">
        <f t="shared" si="44"/>
        <v>4.3124319526070251E-2</v>
      </c>
      <c r="V57" s="63">
        <f t="shared" si="44"/>
        <v>4.8622233423959098E-2</v>
      </c>
      <c r="W57" s="63">
        <f t="shared" si="44"/>
        <v>5.2846484970490958E-2</v>
      </c>
      <c r="X57" s="63">
        <f t="shared" si="44"/>
        <v>4.6825043926430707E-2</v>
      </c>
      <c r="Y57" s="63">
        <f t="shared" si="44"/>
        <v>4.7437084194173897E-2</v>
      </c>
      <c r="Z57" s="63">
        <f t="shared" si="44"/>
        <v>6.0861233141911525E-2</v>
      </c>
      <c r="AA57" s="63">
        <f t="shared" si="44"/>
        <v>6.6685232649183732E-2</v>
      </c>
      <c r="AB57" s="63">
        <f t="shared" si="44"/>
        <v>7.0762785203394754E-2</v>
      </c>
      <c r="AC57" s="63">
        <f t="shared" si="44"/>
        <v>4.2686698075513452E-2</v>
      </c>
    </row>
    <row r="58" spans="1:88" ht="93" customHeight="1" x14ac:dyDescent="0.25">
      <c r="A58" s="276" t="s">
        <v>677</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680</v>
      </c>
      <c r="B61" s="89"/>
      <c r="C61" s="89"/>
      <c r="D61" s="89"/>
      <c r="E61" s="89">
        <f>股权价值增加表!E38</f>
        <v>1892277451.2500012</v>
      </c>
      <c r="F61" s="89">
        <f>股权价值增加表!F38</f>
        <v>1497891719.5299988</v>
      </c>
      <c r="G61" s="89">
        <f>股权价值增加表!G38</f>
        <v>932782623.29999924</v>
      </c>
      <c r="H61" s="89">
        <f>股权价值增加表!H38</f>
        <v>485102774.51999962</v>
      </c>
      <c r="I61" s="89">
        <f>股权价值增加表!I38</f>
        <v>1671139981.0399997</v>
      </c>
      <c r="J61" s="89">
        <f>股权价值增加表!J38</f>
        <v>1305135552.26</v>
      </c>
      <c r="K61" s="89">
        <f>股权价值增加表!K38</f>
        <v>828490442.80999994</v>
      </c>
      <c r="L61" s="89">
        <f>股权价值增加表!L38</f>
        <v>439671744.83999974</v>
      </c>
      <c r="M61" s="89">
        <f>股权价值增加表!M38</f>
        <v>1309643513.21</v>
      </c>
      <c r="N61" s="89">
        <f>股权价值增加表!N38</f>
        <v>933861075.65999961</v>
      </c>
      <c r="O61" s="89">
        <f>股权价值增加表!O38</f>
        <v>577398679.08000076</v>
      </c>
      <c r="P61" s="89">
        <f>股权价值增加表!P38</f>
        <v>326567121.97999984</v>
      </c>
      <c r="Q61" s="89">
        <f>股权价值增加表!Q38</f>
        <v>932328351.72000098</v>
      </c>
      <c r="R61" s="89">
        <f>股权价值增加表!R38</f>
        <v>691960881.00000048</v>
      </c>
      <c r="S61" s="89">
        <f>股权价值增加表!S38</f>
        <v>417026328.36000037</v>
      </c>
      <c r="T61" s="89">
        <f>股权价值增加表!T38</f>
        <v>219533795.15999997</v>
      </c>
      <c r="U61" s="89">
        <f>股权价值增加表!U38</f>
        <v>510622280.40000117</v>
      </c>
      <c r="V61" s="89">
        <f>股权价值增加表!V38</f>
        <v>429418490.23999965</v>
      </c>
      <c r="W61" s="89">
        <f>股权价值增加表!W38</f>
        <v>278343124.49999994</v>
      </c>
      <c r="X61" s="89">
        <f>股权价值增加表!X38</f>
        <v>141620533.31999987</v>
      </c>
      <c r="Y61" s="89">
        <f>股权价值增加表!Y38</f>
        <v>433161205.8100009</v>
      </c>
      <c r="Z61" s="89">
        <f>股权价值增加表!Z38</f>
        <v>375066607.95000052</v>
      </c>
      <c r="AA61" s="89">
        <f>股权价值增加表!AA38</f>
        <v>268242986.83999982</v>
      </c>
      <c r="AB61" s="89">
        <f>股权价值增加表!AB38</f>
        <v>153256625.16</v>
      </c>
      <c r="AC61" s="89">
        <f>股权价值增加表!AC38</f>
        <v>633664829.59000111</v>
      </c>
    </row>
    <row r="62" spans="1:88" s="192" customFormat="1" x14ac:dyDescent="0.25">
      <c r="A62" s="89" t="s">
        <v>681</v>
      </c>
      <c r="B62" s="89"/>
      <c r="C62" s="89"/>
      <c r="D62" s="89"/>
      <c r="E62" s="89">
        <f>股权价值增加表!E40</f>
        <v>356274657.61000001</v>
      </c>
      <c r="F62" s="89">
        <f>股权价值增加表!F40</f>
        <v>235865857.86000001</v>
      </c>
      <c r="G62" s="89">
        <f>股权价值增加表!G40</f>
        <v>148245695.78</v>
      </c>
      <c r="H62" s="89">
        <f>股权价值增加表!H40</f>
        <v>79585643.439999998</v>
      </c>
      <c r="I62" s="89">
        <f>股权价值增加表!I40</f>
        <v>241651767.11000001</v>
      </c>
      <c r="J62" s="89">
        <f>股权价值增加表!J40</f>
        <v>200130598.37</v>
      </c>
      <c r="K62" s="89">
        <f>股权价值增加表!K40</f>
        <v>127302391.75</v>
      </c>
      <c r="L62" s="89">
        <f>股权价值增加表!L40</f>
        <v>66073486.700000003</v>
      </c>
      <c r="M62" s="89">
        <f>股权价值增加表!M40</f>
        <v>172296831.78</v>
      </c>
      <c r="N62" s="89">
        <f>股权价值增加表!N40</f>
        <v>133944603.89</v>
      </c>
      <c r="O62" s="89">
        <f>股权价值增加表!O40</f>
        <v>78916402.709999993</v>
      </c>
      <c r="P62" s="89">
        <f>股权价值增加表!P40</f>
        <v>49288455.119999997</v>
      </c>
      <c r="Q62" s="89">
        <f>股权价值增加表!Q40</f>
        <v>143176568.97999999</v>
      </c>
      <c r="R62" s="89">
        <f>股权价值增加表!R40</f>
        <v>109380840.22</v>
      </c>
      <c r="S62" s="89">
        <f>股权价值增加表!S40</f>
        <v>66436602.590000004</v>
      </c>
      <c r="T62" s="89">
        <f>股权价值增加表!T40</f>
        <v>31602176.949999999</v>
      </c>
      <c r="U62" s="89">
        <f>股权价值增加表!U40</f>
        <v>73863608.219999999</v>
      </c>
      <c r="V62" s="89">
        <f>股权价值增加表!V40</f>
        <v>65599413.960000001</v>
      </c>
      <c r="W62" s="89">
        <f>股权价值增加表!W40</f>
        <v>42992351.93</v>
      </c>
      <c r="X62" s="89">
        <f>股权价值增加表!X40</f>
        <v>21447270.34</v>
      </c>
      <c r="Y62" s="89">
        <f>股权价值增加表!Y40</f>
        <v>66735452.950000003</v>
      </c>
      <c r="Z62" s="89">
        <f>股权价值增加表!Z40</f>
        <v>50434192.5</v>
      </c>
      <c r="AA62" s="89">
        <f>股权价值增加表!AA40</f>
        <v>34029106.950000003</v>
      </c>
      <c r="AB62" s="89">
        <f>股权价值增加表!AB40</f>
        <v>23758255.75</v>
      </c>
      <c r="AC62" s="89">
        <f>股权价值增加表!AC40</f>
        <v>131808348.7</v>
      </c>
    </row>
    <row r="63" spans="1:88" x14ac:dyDescent="0.25">
      <c r="A63" s="183" t="s">
        <v>682</v>
      </c>
      <c r="B63" s="64"/>
      <c r="C63" s="64"/>
      <c r="D63" s="64"/>
      <c r="E63" s="64">
        <f>股权价值增加表!E42</f>
        <v>1536002793.6400013</v>
      </c>
      <c r="F63" s="64">
        <f>股权价值增加表!F42</f>
        <v>1262025861.6699986</v>
      </c>
      <c r="G63" s="64">
        <f>股权价值增加表!G42</f>
        <v>784536927.51999927</v>
      </c>
      <c r="H63" s="64">
        <f>股权价值增加表!H42</f>
        <v>405517131.07999963</v>
      </c>
      <c r="I63" s="64">
        <f>股权价值增加表!I42</f>
        <v>1429488213.9299998</v>
      </c>
      <c r="J63" s="64">
        <f>股权价值增加表!J42</f>
        <v>1105004953.8899999</v>
      </c>
      <c r="K63" s="64">
        <f>股权价值增加表!K42</f>
        <v>701188051.05999994</v>
      </c>
      <c r="L63" s="64">
        <f>股权价值增加表!L42</f>
        <v>373598258.13999975</v>
      </c>
      <c r="M63" s="64">
        <f>股权价值增加表!M42</f>
        <v>1137346681.4300001</v>
      </c>
      <c r="N63" s="64">
        <f>股权价值增加表!N42</f>
        <v>799916471.76999962</v>
      </c>
      <c r="O63" s="64">
        <f>股权价值增加表!O42</f>
        <v>498482276.37000078</v>
      </c>
      <c r="P63" s="64">
        <f>股权价值增加表!P42</f>
        <v>277278666.85999984</v>
      </c>
      <c r="Q63" s="64">
        <f>股权价值增加表!Q42</f>
        <v>789151782.74000096</v>
      </c>
      <c r="R63" s="64">
        <f>股权价值增加表!R42</f>
        <v>582580040.78000045</v>
      </c>
      <c r="S63" s="64">
        <f>股权价值增加表!S42</f>
        <v>350589725.77000034</v>
      </c>
      <c r="T63" s="64">
        <f>股权价值增加表!T42</f>
        <v>187931618.20999998</v>
      </c>
      <c r="U63" s="64">
        <f>股权价值增加表!U42</f>
        <v>436758672.18000114</v>
      </c>
      <c r="V63" s="64">
        <f>股权价值增加表!V42</f>
        <v>363819076.27999967</v>
      </c>
      <c r="W63" s="64">
        <f>股权价值增加表!W42</f>
        <v>235350772.56999993</v>
      </c>
      <c r="X63" s="64">
        <f>股权价值增加表!X42</f>
        <v>120173262.97999987</v>
      </c>
      <c r="Y63" s="64">
        <f>股权价值增加表!Y42</f>
        <v>366425752.86000091</v>
      </c>
      <c r="Z63" s="64">
        <f>股权价值增加表!Z42</f>
        <v>324632415.45000052</v>
      </c>
      <c r="AA63" s="64">
        <f>股权价值增加表!AA42</f>
        <v>234213879.88999981</v>
      </c>
      <c r="AB63" s="64">
        <f>股权价值增加表!AB42</f>
        <v>129498369.41</v>
      </c>
      <c r="AC63" s="64">
        <f>股权价值增加表!AC42</f>
        <v>501856480.89000112</v>
      </c>
    </row>
    <row r="64" spans="1:88" s="63" customFormat="1" x14ac:dyDescent="0.25">
      <c r="A64" s="213" t="s">
        <v>683</v>
      </c>
      <c r="B64" s="213"/>
      <c r="C64" s="213"/>
      <c r="D64" s="213"/>
      <c r="E64" s="213">
        <f>1-E63/E61</f>
        <v>0.1882782344495264</v>
      </c>
      <c r="F64" s="213">
        <f t="shared" ref="F64:AC64" si="46">1-F63/F61</f>
        <v>0.15746522581352473</v>
      </c>
      <c r="G64" s="213">
        <f t="shared" si="46"/>
        <v>0.15892844921953653</v>
      </c>
      <c r="H64" s="213">
        <f t="shared" si="46"/>
        <v>0.16405934498879859</v>
      </c>
      <c r="I64" s="213">
        <f t="shared" si="46"/>
        <v>0.14460294759964565</v>
      </c>
      <c r="J64" s="213">
        <f t="shared" si="46"/>
        <v>0.15334085262136166</v>
      </c>
      <c r="K64" s="213">
        <f t="shared" si="46"/>
        <v>0.15365583617141931</v>
      </c>
      <c r="L64" s="213">
        <f t="shared" si="46"/>
        <v>0.15027912863503357</v>
      </c>
      <c r="M64" s="213">
        <f t="shared" si="46"/>
        <v>0.13156010016625974</v>
      </c>
      <c r="N64" s="213">
        <f t="shared" si="46"/>
        <v>0.1434309742435036</v>
      </c>
      <c r="O64" s="213">
        <f t="shared" si="46"/>
        <v>0.13667575900198037</v>
      </c>
      <c r="P64" s="213">
        <f t="shared" si="46"/>
        <v>0.15092901827091643</v>
      </c>
      <c r="Q64" s="213">
        <f t="shared" si="46"/>
        <v>0.15356882445531284</v>
      </c>
      <c r="R64" s="213">
        <f t="shared" si="46"/>
        <v>0.15807373396878477</v>
      </c>
      <c r="S64" s="213">
        <f t="shared" si="46"/>
        <v>0.15931033143942952</v>
      </c>
      <c r="T64" s="213">
        <f t="shared" si="46"/>
        <v>0.14395130793856947</v>
      </c>
      <c r="U64" s="213">
        <f t="shared" si="46"/>
        <v>0.14465410354232533</v>
      </c>
      <c r="V64" s="213">
        <f t="shared" si="46"/>
        <v>0.15276336592617801</v>
      </c>
      <c r="W64" s="213">
        <f t="shared" si="46"/>
        <v>0.1544581063650452</v>
      </c>
      <c r="X64" s="213">
        <f t="shared" si="46"/>
        <v>0.15144181311292371</v>
      </c>
      <c r="Y64" s="213">
        <f t="shared" si="46"/>
        <v>0.15406608914851072</v>
      </c>
      <c r="Z64" s="213">
        <f t="shared" si="46"/>
        <v>0.13446729575756655</v>
      </c>
      <c r="AA64" s="213">
        <f t="shared" si="46"/>
        <v>0.12685926051926022</v>
      </c>
      <c r="AB64" s="213">
        <f t="shared" si="46"/>
        <v>0.15502269950937764</v>
      </c>
      <c r="AC64" s="213">
        <f t="shared" si="46"/>
        <v>0.20800956995717068</v>
      </c>
    </row>
    <row r="65" spans="1:29" ht="42.6" customHeight="1" x14ac:dyDescent="0.25">
      <c r="A65" s="278" t="s">
        <v>684</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736</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0" t="s">
        <v>704</v>
      </c>
      <c r="B69" s="280"/>
      <c r="C69" s="280"/>
      <c r="D69" s="280"/>
      <c r="E69" s="280"/>
      <c r="F69" s="256"/>
      <c r="G69" s="256"/>
      <c r="H69" s="256"/>
      <c r="I69" s="256" t="s">
        <v>708</v>
      </c>
      <c r="J69" s="256"/>
      <c r="K69" s="256"/>
      <c r="L69" s="256"/>
      <c r="M69" s="256" t="s">
        <v>709</v>
      </c>
    </row>
    <row r="70" spans="1:29" ht="57.6" x14ac:dyDescent="0.25">
      <c r="A70" s="281" t="s">
        <v>705</v>
      </c>
      <c r="B70" s="65"/>
      <c r="C70" s="65"/>
      <c r="D70" s="65"/>
      <c r="E70" s="65" t="s">
        <v>706</v>
      </c>
      <c r="F70" s="65"/>
      <c r="G70" s="65"/>
      <c r="H70" s="65"/>
      <c r="I70" s="257" t="s">
        <v>710</v>
      </c>
      <c r="J70" s="258"/>
      <c r="K70" s="258"/>
      <c r="L70" s="258"/>
      <c r="M70" s="257" t="s">
        <v>711</v>
      </c>
    </row>
    <row r="71" spans="1:29" ht="54.6" customHeight="1" x14ac:dyDescent="0.25">
      <c r="A71" s="281"/>
      <c r="B71" s="65"/>
      <c r="C71" s="65"/>
      <c r="D71" s="65"/>
      <c r="E71" s="65" t="s">
        <v>707</v>
      </c>
      <c r="F71" s="65"/>
      <c r="G71" s="65"/>
      <c r="H71" s="65"/>
      <c r="I71" s="257" t="s">
        <v>712</v>
      </c>
      <c r="J71" s="258"/>
      <c r="K71" s="258"/>
      <c r="L71" s="258"/>
      <c r="M71" s="257" t="s">
        <v>713</v>
      </c>
    </row>
    <row r="72" spans="1:29" ht="57.6" x14ac:dyDescent="0.25">
      <c r="A72" s="281" t="s">
        <v>721</v>
      </c>
      <c r="B72" s="65"/>
      <c r="C72" s="65"/>
      <c r="D72" s="65"/>
      <c r="E72" s="65" t="s">
        <v>714</v>
      </c>
      <c r="F72" s="65"/>
      <c r="G72" s="65"/>
      <c r="H72" s="65"/>
      <c r="I72" s="257" t="s">
        <v>722</v>
      </c>
      <c r="J72" s="258"/>
      <c r="K72" s="258"/>
      <c r="L72" s="258"/>
      <c r="M72" s="257" t="s">
        <v>723</v>
      </c>
    </row>
    <row r="73" spans="1:29" ht="43.2" x14ac:dyDescent="0.25">
      <c r="A73" s="281"/>
      <c r="B73" s="65"/>
      <c r="C73" s="65"/>
      <c r="D73" s="65"/>
      <c r="E73" s="65" t="s">
        <v>715</v>
      </c>
      <c r="F73" s="65"/>
      <c r="G73" s="65"/>
      <c r="H73" s="65"/>
      <c r="I73" s="257" t="s">
        <v>724</v>
      </c>
      <c r="J73" s="258"/>
      <c r="K73" s="258"/>
      <c r="L73" s="258"/>
      <c r="M73" s="257" t="s">
        <v>725</v>
      </c>
    </row>
    <row r="74" spans="1:29" ht="72" x14ac:dyDescent="0.25">
      <c r="A74" s="281"/>
      <c r="B74" s="65"/>
      <c r="C74" s="65"/>
      <c r="D74" s="65"/>
      <c r="E74" s="65" t="s">
        <v>716</v>
      </c>
      <c r="F74" s="65"/>
      <c r="G74" s="65"/>
      <c r="H74" s="65"/>
      <c r="I74" s="257" t="s">
        <v>726</v>
      </c>
      <c r="J74" s="258"/>
      <c r="K74" s="258"/>
      <c r="L74" s="258"/>
      <c r="M74" s="257" t="s">
        <v>727</v>
      </c>
    </row>
    <row r="75" spans="1:29" ht="72" x14ac:dyDescent="0.25">
      <c r="A75" s="281"/>
      <c r="B75" s="65"/>
      <c r="C75" s="65"/>
      <c r="D75" s="65"/>
      <c r="E75" s="65" t="s">
        <v>717</v>
      </c>
      <c r="F75" s="65"/>
      <c r="G75" s="65"/>
      <c r="H75" s="65"/>
      <c r="I75" s="257" t="s">
        <v>728</v>
      </c>
      <c r="J75" s="258"/>
      <c r="K75" s="258"/>
      <c r="L75" s="258"/>
      <c r="M75" s="257" t="s">
        <v>729</v>
      </c>
    </row>
    <row r="76" spans="1:29" x14ac:dyDescent="0.25">
      <c r="A76" s="281"/>
      <c r="B76" s="65"/>
      <c r="C76" s="65"/>
      <c r="D76" s="65"/>
      <c r="E76" s="65" t="s">
        <v>718</v>
      </c>
      <c r="F76" s="65"/>
      <c r="G76" s="65"/>
      <c r="H76" s="65"/>
      <c r="I76" s="257" t="s">
        <v>730</v>
      </c>
      <c r="J76" s="258"/>
      <c r="K76" s="258"/>
      <c r="L76" s="258"/>
      <c r="M76" s="257" t="s">
        <v>731</v>
      </c>
    </row>
    <row r="77" spans="1:29" ht="57.6" x14ac:dyDescent="0.25">
      <c r="A77" s="281"/>
      <c r="B77" s="65"/>
      <c r="C77" s="65"/>
      <c r="D77" s="65"/>
      <c r="E77" s="65" t="s">
        <v>719</v>
      </c>
      <c r="F77" s="65"/>
      <c r="G77" s="65"/>
      <c r="H77" s="65"/>
      <c r="I77" s="257" t="s">
        <v>732</v>
      </c>
      <c r="J77" s="258"/>
      <c r="K77" s="258"/>
      <c r="L77" s="258"/>
      <c r="M77" s="257" t="s">
        <v>733</v>
      </c>
    </row>
    <row r="78" spans="1:29" ht="57.6" x14ac:dyDescent="0.25">
      <c r="A78" s="281"/>
      <c r="B78" s="65"/>
      <c r="C78" s="65"/>
      <c r="D78" s="65"/>
      <c r="E78" s="65" t="s">
        <v>720</v>
      </c>
      <c r="F78" s="65"/>
      <c r="G78" s="65"/>
      <c r="H78" s="65"/>
      <c r="I78" s="257" t="s">
        <v>734</v>
      </c>
      <c r="J78" s="258"/>
      <c r="K78" s="258"/>
      <c r="L78" s="258"/>
      <c r="M78" s="257"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0" width="20.44140625" hidden="1" customWidth="1"/>
    <col min="11"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5" width="19.33203125" hidden="1" customWidth="1"/>
    <col min="36" max="36" width="20.441406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20.44140625" hidden="1" customWidth="1"/>
    <col min="69" max="69" width="19.33203125" bestFit="1" customWidth="1"/>
    <col min="70" max="70" width="20.44140625" hidden="1" customWidth="1"/>
    <col min="71" max="71" width="20.44140625" bestFit="1" customWidth="1"/>
    <col min="72" max="72" width="19.33203125" hidden="1" customWidth="1"/>
    <col min="73" max="73" width="20.441406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7" width="17.21875" bestFit="1" customWidth="1"/>
    <col min="88" max="89" width="16.10937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425</v>
      </c>
      <c r="E2" s="26">
        <f>股权价值增加表!E42</f>
        <v>1536002793.6400013</v>
      </c>
      <c r="F2" s="26">
        <f>股权价值增加表!F42</f>
        <v>1262025861.6699986</v>
      </c>
      <c r="G2" s="26">
        <f>股权价值增加表!G42</f>
        <v>784536927.51999927</v>
      </c>
      <c r="H2" s="26">
        <f>股权价值增加表!H42</f>
        <v>405517131.07999963</v>
      </c>
      <c r="I2" s="26">
        <f>股权价值增加表!I42</f>
        <v>1429488213.9299998</v>
      </c>
      <c r="J2" s="26">
        <f>股权价值增加表!J42</f>
        <v>1105004953.8899999</v>
      </c>
      <c r="K2" s="26">
        <f>股权价值增加表!K42</f>
        <v>701188051.05999994</v>
      </c>
      <c r="L2" s="26">
        <f>股权价值增加表!L42</f>
        <v>373598258.13999975</v>
      </c>
      <c r="M2" s="26">
        <f>股权价值增加表!M42</f>
        <v>1137346681.4300001</v>
      </c>
      <c r="N2" s="26">
        <f>股权价值增加表!N42</f>
        <v>799916471.76999962</v>
      </c>
      <c r="O2" s="26">
        <f>股权价值增加表!O42</f>
        <v>498482276.37000078</v>
      </c>
      <c r="P2" s="26">
        <f>股权价值增加表!P42</f>
        <v>277278666.85999984</v>
      </c>
      <c r="Q2" s="26">
        <f>股权价值增加表!Q42</f>
        <v>789151782.74000096</v>
      </c>
      <c r="R2" s="26">
        <f>股权价值增加表!R42</f>
        <v>582580040.78000045</v>
      </c>
      <c r="S2" s="26">
        <f>股权价值增加表!S42</f>
        <v>350589725.77000034</v>
      </c>
      <c r="T2" s="26">
        <f>股权价值增加表!T42</f>
        <v>187931618.20999998</v>
      </c>
      <c r="U2" s="26">
        <f>股权价值增加表!U42</f>
        <v>436758672.18000114</v>
      </c>
      <c r="V2" s="26">
        <f>股权价值增加表!V42</f>
        <v>363819076.27999967</v>
      </c>
      <c r="W2" s="26">
        <f>股权价值增加表!W42</f>
        <v>235350772.56999993</v>
      </c>
      <c r="X2" s="26">
        <f>股权价值增加表!X42</f>
        <v>120173262.97999987</v>
      </c>
      <c r="Y2" s="26">
        <f>股权价值增加表!Y42</f>
        <v>366425752.86000091</v>
      </c>
      <c r="Z2" s="26">
        <f>股权价值增加表!Z42</f>
        <v>324632415.45000052</v>
      </c>
      <c r="AA2" s="26">
        <f>股权价值增加表!AA42</f>
        <v>234213879.88999981</v>
      </c>
      <c r="AB2" s="26">
        <f>股权价值增加表!AB42</f>
        <v>129498369.41</v>
      </c>
      <c r="AC2" s="26">
        <f>股权价值增加表!AC42</f>
        <v>501856480.89000112</v>
      </c>
      <c r="AD2" s="26">
        <f>股权价值增加表!AD42</f>
        <v>497576094.1099993</v>
      </c>
      <c r="AE2" s="26">
        <f>股权价值增加表!AE42</f>
        <v>332558404.14999938</v>
      </c>
      <c r="AF2" s="26">
        <f>股权价值增加表!AF42</f>
        <v>163832235.62999976</v>
      </c>
      <c r="AG2" s="26">
        <f>股权价值增加表!AG42</f>
        <v>580565574.52999926</v>
      </c>
      <c r="AH2" s="26">
        <f>股权价值增加表!AH42</f>
        <v>284242889.6299997</v>
      </c>
      <c r="AI2" s="26">
        <f>股权价值增加表!AI42</f>
        <v>181542670.94999987</v>
      </c>
      <c r="AJ2" s="26">
        <f>股权价值增加表!AJ42</f>
        <v>84811911.730000198</v>
      </c>
      <c r="AK2" s="26">
        <f>股权价值增加表!AK42</f>
        <v>213919381.26000005</v>
      </c>
      <c r="AL2" s="26">
        <f>股权价值增加表!AL42</f>
        <v>135496792.03000009</v>
      </c>
      <c r="AM2" s="26">
        <f>股权价值增加表!AM42</f>
        <v>62708321.41999995</v>
      </c>
      <c r="AN2" s="26">
        <f>股权价值增加表!AN42</f>
        <v>35868639.73999998</v>
      </c>
      <c r="AO2" s="26">
        <f>股权价值增加表!AO42</f>
        <v>4948371.059999628</v>
      </c>
      <c r="AP2" s="26">
        <f>股权价值增加表!AP42</f>
        <v>116987471.49000017</v>
      </c>
      <c r="AQ2" s="26">
        <f>股权价值增加表!AQ42</f>
        <v>70799486.939999864</v>
      </c>
      <c r="AR2" s="26">
        <f>股权价值增加表!AR42</f>
        <v>35701046.730000176</v>
      </c>
      <c r="AS2" s="26">
        <f>股权价值增加表!AS42</f>
        <v>317957750.26000029</v>
      </c>
      <c r="AT2" s="26">
        <f>股权价值增加表!AT42</f>
        <v>211412314.52999985</v>
      </c>
      <c r="AU2" s="26">
        <f>股权价值增加表!AU42</f>
        <v>55021774.379999965</v>
      </c>
      <c r="AV2" s="26">
        <f>股权价值增加表!AV42</f>
        <v>17390337.170000017</v>
      </c>
      <c r="AW2" s="26">
        <f>股权价值增加表!AW42</f>
        <v>-39937709.92999994</v>
      </c>
      <c r="AX2" s="26">
        <f>股权价值增加表!AX42</f>
        <v>-8549108.2099996805</v>
      </c>
      <c r="AY2" s="26">
        <f>股权价值增加表!AY42</f>
        <v>2636498.2900002366</v>
      </c>
      <c r="AZ2" s="26">
        <f>股权价值增加表!AZ42</f>
        <v>10256904.759999977</v>
      </c>
      <c r="BA2" s="26">
        <f>股权价值增加表!BA42</f>
        <v>-11289766.590000223</v>
      </c>
      <c r="BB2" s="26">
        <f>股权价值增加表!BB42</f>
        <v>-12688352.310000043</v>
      </c>
      <c r="BC2" s="26">
        <f>股权价值增加表!BC42</f>
        <v>-3560098.8099999307</v>
      </c>
      <c r="BD2" s="26">
        <f>股权价值增加表!BD42</f>
        <v>3721892.3699999973</v>
      </c>
      <c r="BE2" s="26">
        <f>股权价值增加表!BE42</f>
        <v>194964.24999988824</v>
      </c>
      <c r="BF2" s="26">
        <f>股权价值增加表!BF42</f>
        <v>22684215.199999869</v>
      </c>
      <c r="BG2" s="26">
        <f>股权价值增加表!BG42</f>
        <v>16064889.079999987</v>
      </c>
      <c r="BH2" s="26">
        <f>股权价值增加表!BH42</f>
        <v>1394391.479999969</v>
      </c>
      <c r="BI2" s="26">
        <f>股权价值增加表!BI42</f>
        <v>40900357.730000332</v>
      </c>
      <c r="BJ2" s="26">
        <f>股权价值增加表!BJ42</f>
        <v>-5705981.7900000364</v>
      </c>
      <c r="BK2" s="26">
        <f>股权价值增加表!BK42</f>
        <v>-22127994.760000061</v>
      </c>
      <c r="BL2" s="26">
        <f>股权价值增加表!BL42</f>
        <v>1364391.6699999808</v>
      </c>
      <c r="BM2" s="26">
        <f>股权价值增加表!BM42</f>
        <v>-655369546.64000034</v>
      </c>
      <c r="BN2" s="26">
        <f>股权价值增加表!BN42</f>
        <v>9880780.6399998292</v>
      </c>
      <c r="BO2" s="26">
        <f>股权价值增加表!BO42</f>
        <v>28391684.149999954</v>
      </c>
      <c r="BP2" s="26">
        <f>股权价值增加表!BP42</f>
        <v>19419636.20000001</v>
      </c>
      <c r="BQ2" s="26">
        <f>股权价值增加表!BQ42</f>
        <v>-97967691.629999951</v>
      </c>
      <c r="BR2" s="26">
        <f>股权价值增加表!BR42</f>
        <v>86226366.339999899</v>
      </c>
      <c r="BS2" s="26">
        <f>股权价值增加表!BS42</f>
        <v>178261455.56999993</v>
      </c>
      <c r="BT2" s="26">
        <f>股权价值增加表!BT42</f>
        <v>114569836.69999991</v>
      </c>
      <c r="BU2" s="26">
        <f>股权价值增加表!BU42</f>
        <v>186415523.40000027</v>
      </c>
      <c r="BV2" s="26">
        <f>股权价值增加表!BV42</f>
        <v>129925186.36000006</v>
      </c>
      <c r="BW2" s="26">
        <f>股权价值增加表!BW42</f>
        <v>210994504.46000004</v>
      </c>
      <c r="BX2" s="26">
        <f>股权价值增加表!BX42</f>
        <v>133493035.69999997</v>
      </c>
      <c r="BY2" s="26">
        <f>股权价值增加表!BY42</f>
        <v>257919560.7100001</v>
      </c>
      <c r="BZ2" s="26">
        <f>股权价值增加表!BZ42</f>
        <v>859386740</v>
      </c>
      <c r="CA2" s="26">
        <f>股权价值增加表!CA42</f>
        <v>175283224.02000013</v>
      </c>
      <c r="CB2" s="26">
        <f>股权价值增加表!CB42</f>
        <v>642940000</v>
      </c>
      <c r="CC2" s="26">
        <f>股权价值增加表!CC42</f>
        <v>149114227.40000004</v>
      </c>
      <c r="CD2" s="26">
        <f>股权价值增加表!CD42</f>
        <v>764095148.28999996</v>
      </c>
      <c r="CE2" s="26">
        <f>股权价值增加表!CE42</f>
        <v>484685682.33999997</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8218298013.04</v>
      </c>
      <c r="F3" s="26">
        <f>资产资本表!F107</f>
        <v>7810740135.6700001</v>
      </c>
      <c r="G3" s="26">
        <f>资产资本表!G107</f>
        <v>7309450551.46</v>
      </c>
      <c r="H3" s="26">
        <f>资产资本表!H107</f>
        <v>7376356291.9399996</v>
      </c>
      <c r="I3" s="26">
        <f>资产资本表!I107</f>
        <v>6959095067.4000006</v>
      </c>
      <c r="J3" s="26">
        <f>资产资本表!J107</f>
        <v>6739578302.8000002</v>
      </c>
      <c r="K3" s="26">
        <f>资产资本表!K107</f>
        <v>6323773822.8899994</v>
      </c>
      <c r="L3" s="26">
        <f>资产资本表!L107</f>
        <v>6369135713.210001</v>
      </c>
      <c r="M3" s="26">
        <f>资产资本表!M107</f>
        <v>5987727087.1000004</v>
      </c>
      <c r="N3" s="26">
        <f>资产资本表!N107</f>
        <v>5677000830.0500002</v>
      </c>
      <c r="O3" s="26">
        <f>资产资本表!O107</f>
        <v>5365874542.75</v>
      </c>
      <c r="P3" s="26">
        <f>资产资本表!P107</f>
        <v>5424310013.9799995</v>
      </c>
      <c r="Q3" s="26">
        <f>资产资本表!Q107</f>
        <v>5144696094.71</v>
      </c>
      <c r="R3" s="26">
        <f>资产资本表!R107</f>
        <v>4937332003.8400002</v>
      </c>
      <c r="S3" s="26">
        <f>资产资本表!S107</f>
        <v>4700982730.5699997</v>
      </c>
      <c r="T3" s="26">
        <f>资产资本表!T107</f>
        <v>4722261003.8699999</v>
      </c>
      <c r="U3" s="26">
        <f>资产资本表!U107</f>
        <v>4534329385.6599998</v>
      </c>
      <c r="V3" s="26">
        <f>资产资本表!V107</f>
        <v>4424615823.21</v>
      </c>
      <c r="W3" s="26">
        <f>资产资本表!W107</f>
        <v>4296147519.4899998</v>
      </c>
      <c r="X3" s="26">
        <f>资产资本表!X107</f>
        <v>4370716339.1300001</v>
      </c>
      <c r="Y3" s="26">
        <f>资产资本表!Y107</f>
        <v>4250543076.1300001</v>
      </c>
      <c r="Z3" s="26">
        <f>资产资本表!Z107</f>
        <v>4163163893.8800001</v>
      </c>
      <c r="AA3" s="26">
        <f>资产资本表!AA107</f>
        <v>4072745358.3299999</v>
      </c>
      <c r="AB3" s="26">
        <f>资产资本表!AB107</f>
        <v>4094527400.6300001</v>
      </c>
      <c r="AC3" s="26">
        <f>资产资本表!AC107</f>
        <v>3965029031.2399998</v>
      </c>
      <c r="AD3" s="26">
        <f>资产资本表!AD107</f>
        <v>3929455599.5099998</v>
      </c>
      <c r="AE3" s="26">
        <f>资产资本表!AE107</f>
        <v>3764437909.5500002</v>
      </c>
      <c r="AF3" s="26">
        <f>资产资本表!AF107</f>
        <v>3658960517.4300003</v>
      </c>
      <c r="AG3" s="26">
        <f>资产资本表!AG107</f>
        <v>3510842281.8000002</v>
      </c>
      <c r="AH3" s="26">
        <f>资产资本表!AH107</f>
        <v>2186952952.8499999</v>
      </c>
      <c r="AI3" s="26">
        <f>资产资本表!AI107</f>
        <v>2084798454.97</v>
      </c>
      <c r="AJ3" s="26">
        <f>资产资本表!AJ107</f>
        <v>1999517695.76</v>
      </c>
      <c r="AK3" s="26">
        <f>资产资本表!AK107</f>
        <v>1914705784.03</v>
      </c>
      <c r="AL3" s="26">
        <f>资产资本表!AL107</f>
        <v>1833686252.1499999</v>
      </c>
      <c r="AM3" s="26">
        <f>资产资本表!AM107</f>
        <v>1769754569.04</v>
      </c>
      <c r="AN3" s="26">
        <f>资产资本表!AN107</f>
        <v>1733456627.49</v>
      </c>
      <c r="AO3" s="26">
        <f>资产资本表!AO107</f>
        <v>1695797240.9499998</v>
      </c>
      <c r="AP3" s="26">
        <f>资产资本表!AP107</f>
        <v>1821773803.76</v>
      </c>
      <c r="AQ3" s="26">
        <f>资产资本表!AQ107</f>
        <v>1777358186.6600001</v>
      </c>
      <c r="AR3" s="26">
        <f>资产资本表!AR107</f>
        <v>1746182427.1600001</v>
      </c>
      <c r="AS3" s="26">
        <f>资产资本表!AS107</f>
        <v>1718490427.05</v>
      </c>
      <c r="AT3" s="26">
        <f>资产资本表!AT107</f>
        <v>1495716611.1600001</v>
      </c>
      <c r="AU3" s="26">
        <f>资产资本表!AU107</f>
        <v>1341871365.3799999</v>
      </c>
      <c r="AV3" s="26">
        <f>资产资本表!AV107</f>
        <v>1352054706.97</v>
      </c>
      <c r="AW3" s="26">
        <f>资产资本表!AW107</f>
        <v>1314446221.21</v>
      </c>
      <c r="AX3" s="26">
        <f>资产资本表!AX107</f>
        <v>1336443360.47</v>
      </c>
      <c r="AY3" s="26">
        <f>资产资本表!AY107</f>
        <v>1283364765.23</v>
      </c>
      <c r="AZ3" s="26">
        <f>资产资本表!AZ107</f>
        <v>1269747453.5599999</v>
      </c>
      <c r="BA3" s="26">
        <f>资产资本表!BA107</f>
        <v>1257933229.48</v>
      </c>
      <c r="BB3" s="26">
        <f>资产资本表!BB107</f>
        <v>1247299505.3900001</v>
      </c>
      <c r="BC3" s="26">
        <f>资产资本表!BC107</f>
        <v>1246510380.47</v>
      </c>
      <c r="BD3" s="26">
        <f>资产资本表!BD107</f>
        <v>1230971654.26</v>
      </c>
      <c r="BE3" s="26">
        <f>资产资本表!BE107</f>
        <v>1218547320.1299999</v>
      </c>
      <c r="BF3" s="26">
        <f>资产资本表!BF107</f>
        <v>1221303296.6700001</v>
      </c>
      <c r="BG3" s="26">
        <f>资产资本表!BG107</f>
        <v>1215643740.0400002</v>
      </c>
      <c r="BH3" s="26">
        <f>资产资本表!BH107</f>
        <v>1190739844.0600002</v>
      </c>
      <c r="BI3" s="26">
        <f>资产资本表!BI107</f>
        <v>1186963928.8500001</v>
      </c>
      <c r="BJ3" s="26">
        <f>资产资本表!BJ107</f>
        <v>1012454852.25</v>
      </c>
      <c r="BK3" s="26">
        <f>资产资本表!BK107</f>
        <v>992439418.70000005</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0.18690035226306234</v>
      </c>
      <c r="F4" s="59">
        <f t="shared" ref="F4:BQ4" si="0">F2/F3</f>
        <v>0.16157570726320714</v>
      </c>
      <c r="G4" s="59">
        <f t="shared" si="0"/>
        <v>0.10733186058195505</v>
      </c>
      <c r="H4" s="59">
        <f t="shared" si="0"/>
        <v>5.4975263535344716E-2</v>
      </c>
      <c r="I4" s="59">
        <f t="shared" si="0"/>
        <v>0.20541294522997131</v>
      </c>
      <c r="J4" s="59">
        <f t="shared" si="0"/>
        <v>0.16395758076301578</v>
      </c>
      <c r="K4" s="59">
        <f t="shared" si="0"/>
        <v>0.11088126658197797</v>
      </c>
      <c r="L4" s="59">
        <f t="shared" si="0"/>
        <v>5.8657606771533019E-2</v>
      </c>
      <c r="M4" s="59">
        <f t="shared" si="0"/>
        <v>0.18994631266349921</v>
      </c>
      <c r="N4" s="59">
        <f t="shared" si="0"/>
        <v>0.14090476568821539</v>
      </c>
      <c r="O4" s="59">
        <f t="shared" si="0"/>
        <v>9.2898608120369805E-2</v>
      </c>
      <c r="P4" s="59">
        <f t="shared" si="0"/>
        <v>5.1117776481317136E-2</v>
      </c>
      <c r="Q4" s="59">
        <f t="shared" si="0"/>
        <v>0.15339133122973797</v>
      </c>
      <c r="R4" s="59">
        <f t="shared" si="0"/>
        <v>0.11799490905754363</v>
      </c>
      <c r="S4" s="59">
        <f t="shared" si="0"/>
        <v>7.4577965047638223E-2</v>
      </c>
      <c r="T4" s="59">
        <f t="shared" si="0"/>
        <v>3.9796957020373454E-2</v>
      </c>
      <c r="U4" s="59">
        <f t="shared" si="0"/>
        <v>9.6322660978549135E-2</v>
      </c>
      <c r="V4" s="59">
        <f t="shared" si="0"/>
        <v>8.2226139130889275E-2</v>
      </c>
      <c r="W4" s="59">
        <f t="shared" si="0"/>
        <v>5.4781818245835903E-2</v>
      </c>
      <c r="X4" s="59">
        <f t="shared" si="0"/>
        <v>2.7495095461610441E-2</v>
      </c>
      <c r="Y4" s="59">
        <f t="shared" si="0"/>
        <v>8.6206808470606355E-2</v>
      </c>
      <c r="Z4" s="59">
        <f t="shared" si="0"/>
        <v>7.7977332558831464E-2</v>
      </c>
      <c r="AA4" s="59">
        <f t="shared" si="0"/>
        <v>5.7507616922565848E-2</v>
      </c>
      <c r="AB4" s="59">
        <f t="shared" si="0"/>
        <v>3.1627183491329147E-2</v>
      </c>
      <c r="AC4" s="59">
        <f t="shared" si="0"/>
        <v>0.12657069517926164</v>
      </c>
      <c r="AD4" s="59">
        <f t="shared" si="0"/>
        <v>0.1266272341064362</v>
      </c>
      <c r="AE4" s="59">
        <f t="shared" si="0"/>
        <v>8.8342114318403858E-2</v>
      </c>
      <c r="AF4" s="59">
        <f t="shared" si="0"/>
        <v>4.4775622707476793E-2</v>
      </c>
      <c r="AG4" s="59">
        <f t="shared" si="0"/>
        <v>0.1653636158877364</v>
      </c>
      <c r="AH4" s="59">
        <f t="shared" si="0"/>
        <v>0.12997210994391956</v>
      </c>
      <c r="AI4" s="59">
        <f t="shared" si="0"/>
        <v>8.7079242848255203E-2</v>
      </c>
      <c r="AJ4" s="59">
        <f t="shared" si="0"/>
        <v>4.2416184617843002E-2</v>
      </c>
      <c r="AK4" s="59">
        <f t="shared" si="0"/>
        <v>0.11172441376854812</v>
      </c>
      <c r="AL4" s="59">
        <f t="shared" si="0"/>
        <v>7.3893116595671646E-2</v>
      </c>
      <c r="AM4" s="59">
        <f t="shared" si="0"/>
        <v>3.5433343423442024E-2</v>
      </c>
      <c r="AN4" s="59">
        <f t="shared" si="0"/>
        <v>2.0691974157978694E-2</v>
      </c>
      <c r="AO4" s="59">
        <f t="shared" si="0"/>
        <v>2.9180204687840566E-3</v>
      </c>
      <c r="AP4" s="59">
        <f t="shared" si="0"/>
        <v>6.4216244216788662E-2</v>
      </c>
      <c r="AQ4" s="59">
        <f t="shared" si="0"/>
        <v>3.9834113051261659E-2</v>
      </c>
      <c r="AR4" s="59">
        <f t="shared" si="0"/>
        <v>2.0445198723059273E-2</v>
      </c>
      <c r="AS4" s="59">
        <f t="shared" si="0"/>
        <v>0.1850215428932088</v>
      </c>
      <c r="AT4" s="59">
        <f t="shared" si="0"/>
        <v>0.14134516722792792</v>
      </c>
      <c r="AU4" s="59">
        <f t="shared" si="0"/>
        <v>4.1003762208174505E-2</v>
      </c>
      <c r="AV4" s="59">
        <f t="shared" si="0"/>
        <v>1.2862154970764716E-2</v>
      </c>
      <c r="AW4" s="59">
        <f t="shared" si="0"/>
        <v>-3.0383677388669192E-2</v>
      </c>
      <c r="AX4" s="59">
        <f t="shared" si="0"/>
        <v>-6.3969102341854076E-3</v>
      </c>
      <c r="AY4" s="59">
        <f t="shared" si="0"/>
        <v>2.0543639356716582E-3</v>
      </c>
      <c r="AZ4" s="59">
        <f t="shared" si="0"/>
        <v>8.0779092970358953E-3</v>
      </c>
      <c r="BA4" s="59">
        <f t="shared" si="0"/>
        <v>-8.9748536133886433E-3</v>
      </c>
      <c r="BB4" s="59">
        <f t="shared" si="0"/>
        <v>-1.0172658816242139E-2</v>
      </c>
      <c r="BC4" s="59">
        <f t="shared" si="0"/>
        <v>-2.8560522766425626E-3</v>
      </c>
      <c r="BD4" s="59">
        <f t="shared" si="0"/>
        <v>3.0235402717192681E-3</v>
      </c>
      <c r="BE4" s="59">
        <f t="shared" si="0"/>
        <v>1.5999727444239803E-4</v>
      </c>
      <c r="BF4" s="59">
        <f t="shared" si="0"/>
        <v>1.8573777096852637E-2</v>
      </c>
      <c r="BG4" s="59">
        <f t="shared" si="0"/>
        <v>1.3215129195229006E-2</v>
      </c>
      <c r="BH4" s="59">
        <f t="shared" si="0"/>
        <v>1.1710294964562445E-3</v>
      </c>
      <c r="BI4" s="59">
        <f t="shared" si="0"/>
        <v>3.4457961809864754E-2</v>
      </c>
      <c r="BJ4" s="59">
        <f t="shared" si="0"/>
        <v>-5.635788872283551E-3</v>
      </c>
      <c r="BK4" s="59">
        <f t="shared" si="0"/>
        <v>-2.2296569788597877E-2</v>
      </c>
      <c r="BL4" s="59">
        <f t="shared" si="0"/>
        <v>1.1065745129447558E-3</v>
      </c>
      <c r="BM4" s="59">
        <f t="shared" si="0"/>
        <v>-0.57598992910960256</v>
      </c>
      <c r="BN4" s="59">
        <f t="shared" si="0"/>
        <v>4.7055360452303808E-3</v>
      </c>
      <c r="BO4" s="59">
        <f t="shared" si="0"/>
        <v>1.3503926683288764E-2</v>
      </c>
      <c r="BP4" s="59">
        <f t="shared" si="0"/>
        <v>9.2312220683056605E-3</v>
      </c>
      <c r="BQ4" s="59">
        <f t="shared" si="0"/>
        <v>-4.9782039184401897E-2</v>
      </c>
      <c r="BR4" s="59">
        <f t="shared" ref="BR4:CJ4" si="1">BR2/BR3</f>
        <v>3.9599544989137439E-2</v>
      </c>
      <c r="BS4" s="59">
        <f t="shared" si="1"/>
        <v>8.593336255852381E-2</v>
      </c>
      <c r="BT4" s="59">
        <f t="shared" si="1"/>
        <v>5.3583827379825234E-2</v>
      </c>
      <c r="BU4" s="59">
        <f t="shared" si="1"/>
        <v>9.2211306674913188E-2</v>
      </c>
      <c r="BV4" s="59">
        <f t="shared" si="1"/>
        <v>6.3045034943637002E-2</v>
      </c>
      <c r="BW4" s="59">
        <f t="shared" si="1"/>
        <v>0.1108315959920619</v>
      </c>
      <c r="BX4" s="59">
        <f t="shared" si="1"/>
        <v>6.940195617027739E-2</v>
      </c>
      <c r="BY4" s="59">
        <f t="shared" si="1"/>
        <v>0.14668656352051826</v>
      </c>
      <c r="BZ4" s="59">
        <f t="shared" si="1"/>
        <v>0.49343352090775944</v>
      </c>
      <c r="CA4" s="59">
        <f t="shared" si="1"/>
        <v>0.19346179271906025</v>
      </c>
      <c r="CB4" s="59">
        <f t="shared" si="1"/>
        <v>1.0065549594287619</v>
      </c>
      <c r="CC4" s="59">
        <f t="shared" si="1"/>
        <v>0.27826654510289761</v>
      </c>
      <c r="CD4" s="59">
        <f t="shared" si="1"/>
        <v>2.5260938243103257</v>
      </c>
      <c r="CE4" s="59">
        <f t="shared" si="1"/>
        <v>2.1814204188696951</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878538952.59680128</v>
      </c>
      <c r="F5" s="26">
        <f>股权价值增加表!F47</f>
        <v>637166650.81639862</v>
      </c>
      <c r="G5" s="26">
        <f>股权价值增加表!G47</f>
        <v>199780883.4031992</v>
      </c>
      <c r="H5" s="26">
        <f>股权价值增加表!H47</f>
        <v>-184591372.27520031</v>
      </c>
      <c r="I5" s="26">
        <f>股权价值增加表!I47</f>
        <v>872760608.53799987</v>
      </c>
      <c r="J5" s="26">
        <f>股权价值增加表!J47</f>
        <v>565838689.66599989</v>
      </c>
      <c r="K5" s="26">
        <f>股权价值增加表!K47</f>
        <v>195286145.22879988</v>
      </c>
      <c r="L5" s="26">
        <f>股权价值增加表!L47</f>
        <v>-135932598.91680026</v>
      </c>
      <c r="M5" s="26">
        <f>股权价值增加表!M47</f>
        <v>658328514.46200001</v>
      </c>
      <c r="N5" s="26">
        <f>股权价值增加表!N47</f>
        <v>345756405.36599958</v>
      </c>
      <c r="O5" s="26">
        <f>股权价值增加表!O47</f>
        <v>69212312.950000763</v>
      </c>
      <c r="P5" s="26">
        <f>股权价值增加表!P47</f>
        <v>-156666134.25840014</v>
      </c>
      <c r="Q5" s="26">
        <f>股权价值增加表!Q47</f>
        <v>377576095.16320097</v>
      </c>
      <c r="R5" s="26">
        <f>股权价值增加表!R47</f>
        <v>187593480.47280043</v>
      </c>
      <c r="S5" s="26">
        <f>股权价值增加表!S47</f>
        <v>-25488892.675599635</v>
      </c>
      <c r="T5" s="26">
        <f>股权价值增加表!T47</f>
        <v>-189849262.09960002</v>
      </c>
      <c r="U5" s="26">
        <f>股权价值增加表!U47</f>
        <v>74012321.327201128</v>
      </c>
      <c r="V5" s="26">
        <f>股权价值增加表!V47</f>
        <v>9849810.4231996536</v>
      </c>
      <c r="W5" s="26">
        <f>股权价值增加表!W47</f>
        <v>-108341028.98920006</v>
      </c>
      <c r="X5" s="26">
        <f>股权价值增加表!X47</f>
        <v>-229484044.15040013</v>
      </c>
      <c r="Y5" s="26">
        <f>股权价值增加表!Y47</f>
        <v>26382306.769600868</v>
      </c>
      <c r="Z5" s="26">
        <f>股权价值增加表!Z47</f>
        <v>-8420696.0603994727</v>
      </c>
      <c r="AA5" s="26">
        <f>股权价值增加表!AA47</f>
        <v>-91605748.776400208</v>
      </c>
      <c r="AB5" s="26">
        <f>股权价值增加表!AB47</f>
        <v>-198063822.64040002</v>
      </c>
      <c r="AC5" s="26">
        <f>股权价值增加表!AC47</f>
        <v>184654158.39080113</v>
      </c>
      <c r="AD5" s="26">
        <f>股权价值增加表!AD47</f>
        <v>183219646.14919925</v>
      </c>
      <c r="AE5" s="26">
        <f>股权价值增加表!AE47</f>
        <v>31403371.385999382</v>
      </c>
      <c r="AF5" s="26">
        <f>股权价值增加表!AF47</f>
        <v>-128884605.76440024</v>
      </c>
      <c r="AG5" s="26">
        <f>股权价值增加表!AG47</f>
        <v>299698191.98599923</v>
      </c>
      <c r="AH5" s="26">
        <f>股权价值增加表!AH47</f>
        <v>109286653.40199971</v>
      </c>
      <c r="AI5" s="26">
        <f>股权价值增加表!AI47</f>
        <v>14758794.552399874</v>
      </c>
      <c r="AJ5" s="26">
        <f>股权价值增加表!AJ47</f>
        <v>-75149503.930799812</v>
      </c>
      <c r="AK5" s="26">
        <f>股权价值增加表!AK47</f>
        <v>60742918.53760004</v>
      </c>
      <c r="AL5" s="26">
        <f>股权价值增加表!AL47</f>
        <v>-11198108.14199993</v>
      </c>
      <c r="AM5" s="26">
        <f>股权价值增加表!AM47</f>
        <v>-78872044.103200048</v>
      </c>
      <c r="AN5" s="26">
        <f>股权价值增加表!AN47</f>
        <v>-102807890.45920002</v>
      </c>
      <c r="AO5" s="26">
        <f>股权价值增加表!AO47</f>
        <v>-130715408.21600036</v>
      </c>
      <c r="AP5" s="26">
        <f>股权价值增加表!AP47</f>
        <v>-28754432.810799822</v>
      </c>
      <c r="AQ5" s="26">
        <f>股权价值增加表!AQ47</f>
        <v>-71389167.992800131</v>
      </c>
      <c r="AR5" s="26">
        <f>股权价值增加表!AR47</f>
        <v>-103993547.44279984</v>
      </c>
      <c r="AS5" s="26">
        <f>股权价值增加表!AS47</f>
        <v>180478516.09600028</v>
      </c>
      <c r="AT5" s="26">
        <f>股权价值增加表!AT47</f>
        <v>91754985.637199849</v>
      </c>
      <c r="AU5" s="26">
        <f>股权价值增加表!AU47</f>
        <v>-52327934.850400046</v>
      </c>
      <c r="AV5" s="26">
        <f>股权价值增加表!AV47</f>
        <v>-90774039.38759999</v>
      </c>
      <c r="AW5" s="26">
        <f>股权价值增加表!AW47</f>
        <v>-145093407.62679994</v>
      </c>
      <c r="AX5" s="26">
        <f>股权价值增加表!AX47</f>
        <v>-115464577.04759969</v>
      </c>
      <c r="AY5" s="26">
        <f>股权价值增加表!AY47</f>
        <v>-100032682.92839977</v>
      </c>
      <c r="AZ5" s="26">
        <f>股权价值增加表!AZ47</f>
        <v>-91322891.524800017</v>
      </c>
      <c r="BA5" s="26">
        <f>股权价值增加表!BA47</f>
        <v>-111924424.94840023</v>
      </c>
      <c r="BB5" s="26">
        <f>股权价值增加表!BB47</f>
        <v>-112472312.74120006</v>
      </c>
      <c r="BC5" s="26">
        <f>股权价值增加表!BC47</f>
        <v>-103280929.24759993</v>
      </c>
      <c r="BD5" s="26">
        <f>股权价值增加表!BD47</f>
        <v>-94755839.970800012</v>
      </c>
      <c r="BE5" s="26">
        <f>股权价值增加表!BE47</f>
        <v>-97288821.36040011</v>
      </c>
      <c r="BF5" s="26">
        <f>股权价值增加表!BF47</f>
        <v>-75020048.533600137</v>
      </c>
      <c r="BG5" s="26">
        <f>股权价值增加表!BG47</f>
        <v>-81186610.123200014</v>
      </c>
      <c r="BH5" s="26">
        <f>股权价值增加表!BH47</f>
        <v>-93864796.044800028</v>
      </c>
      <c r="BI5" s="26">
        <f>股权价值增加表!BI47</f>
        <v>-54056756.577999666</v>
      </c>
      <c r="BJ5" s="26">
        <f>股权价值增加表!BJ47</f>
        <v>-86702369.970000044</v>
      </c>
      <c r="BK5" s="26">
        <f>股权价值增加表!BK47</f>
        <v>-101523148.25600007</v>
      </c>
      <c r="BL5" s="26">
        <f>股权价值增加表!BL47</f>
        <v>1364391.6699999808</v>
      </c>
      <c r="BM5" s="26">
        <f>股权价值增加表!BM47</f>
        <v>-746394686.28480029</v>
      </c>
      <c r="BN5" s="26">
        <f>股权价值增加表!BN47</f>
        <v>-158104852.36800015</v>
      </c>
      <c r="BO5" s="26">
        <f>股权价值增加表!BO47</f>
        <v>-139806410.02440006</v>
      </c>
      <c r="BP5" s="26">
        <f>股权价值增加表!BP47</f>
        <v>-148875621.40559998</v>
      </c>
      <c r="BQ5" s="26">
        <f>股权价值增加表!BQ47</f>
        <v>-255402289.70599997</v>
      </c>
      <c r="BR5" s="26">
        <f>股权价值增加表!BR47</f>
        <v>-87970314.684800103</v>
      </c>
      <c r="BS5" s="26">
        <f>股权价值增加表!BS47</f>
        <v>12308256.241999924</v>
      </c>
      <c r="BT5" s="26">
        <f>股权价值增加表!BT47</f>
        <v>-56481530.553600088</v>
      </c>
      <c r="BU5" s="26">
        <f>股权价值增加表!BU47</f>
        <v>24686529.312800288</v>
      </c>
      <c r="BV5" s="26">
        <f>股权价值增加表!BV47</f>
        <v>-34941324.033599958</v>
      </c>
      <c r="BW5" s="26">
        <f>股权价值增加表!BW47</f>
        <v>58695331.956800044</v>
      </c>
      <c r="BX5" s="26">
        <f>股权价值增加表!BX47</f>
        <v>-20385088.856000021</v>
      </c>
      <c r="BY5" s="26">
        <f>股权价值增加表!BY47</f>
        <v>117255246.53160009</v>
      </c>
      <c r="BZ5" s="26">
        <f>股权价值增加表!BZ47</f>
        <v>720055024</v>
      </c>
      <c r="CA5" s="26">
        <f>股权价值增加表!CA47</f>
        <v>102800395.63040012</v>
      </c>
      <c r="CB5" s="26">
        <f>股权价值增加表!CB47</f>
        <v>591839760</v>
      </c>
      <c r="CC5" s="26">
        <f>股权价值增加表!CC47</f>
        <v>149114227.40000004</v>
      </c>
      <c r="CD5" s="26">
        <f>股权价值增加表!CD47</f>
        <v>764095148.28999996</v>
      </c>
      <c r="CE5" s="26">
        <f>股权价值增加表!CE47</f>
        <v>484685682.33999997</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9.4268446598398448E-2</v>
      </c>
      <c r="F6" s="157">
        <f>股权价值增加表!F31/股权价值增加表!F4</f>
        <v>9.2106132345216585E-2</v>
      </c>
      <c r="G6" s="157">
        <f>股权价值增加表!G31/股权价值增加表!G4</f>
        <v>8.6040641419827577E-2</v>
      </c>
      <c r="H6" s="157">
        <f>股权价值增加表!H31/股权价值增加表!H4</f>
        <v>8.2018775177199035E-2</v>
      </c>
      <c r="I6" s="157">
        <f>股权价值增加表!I31/股权价值增加表!I4</f>
        <v>0.10036218108704442</v>
      </c>
      <c r="J6" s="157">
        <f>股权价值增加表!J31/股权价值增加表!J4</f>
        <v>0.10046079952609038</v>
      </c>
      <c r="K6" s="157">
        <f>股权价值增加表!K31/股权价值增加表!K4</f>
        <v>9.5818580966911468E-2</v>
      </c>
      <c r="L6" s="157">
        <f>股权价值增加表!L31/股权价值增加表!L4</f>
        <v>9.646210558009756E-2</v>
      </c>
      <c r="M6" s="157">
        <f>股权价值增加表!M31/股权价值增加表!M4</f>
        <v>9.7742065135070763E-2</v>
      </c>
      <c r="N6" s="157">
        <f>股权价值增加表!N31/股权价值增加表!N4</f>
        <v>8.8632803738767058E-2</v>
      </c>
      <c r="O6" s="157">
        <f>股权价值增加表!O31/股权价值增加表!O4</f>
        <v>9.2789629935789972E-2</v>
      </c>
      <c r="P6" s="157">
        <f>股权价值增加表!P31/股权价值增加表!P4</f>
        <v>9.552375749457194E-2</v>
      </c>
      <c r="Q6" s="157">
        <f>股权价值增加表!Q31/股权价值增加表!Q4</f>
        <v>8.7683328846004507E-2</v>
      </c>
      <c r="R6" s="157">
        <f>股权价值增加表!R31/股权价值增加表!R4</f>
        <v>8.3378554629766441E-2</v>
      </c>
      <c r="S6" s="157">
        <f>股权价值增加表!S31/股权价值增加表!S4</f>
        <v>8.1849986402882921E-2</v>
      </c>
      <c r="T6" s="157">
        <f>股权价值增加表!T31/股权价值增加表!T4</f>
        <v>8.4166941458262437E-2</v>
      </c>
      <c r="U6" s="157">
        <f>股权价值增加表!U31/股权价值增加表!U4</f>
        <v>6.3345231510032046E-2</v>
      </c>
      <c r="V6" s="157">
        <f>股权价值增加表!V31/股权价值增加表!V4</f>
        <v>7.1104235494104426E-2</v>
      </c>
      <c r="W6" s="157">
        <f>股权价值增加表!W31/股权价值增加表!W4</f>
        <v>7.4654695968229684E-2</v>
      </c>
      <c r="X6" s="157">
        <f>股权价值增加表!X31/股权价值增加表!X4</f>
        <v>6.3784242191780402E-2</v>
      </c>
      <c r="Y6" s="157">
        <f>股权价值增加表!Y31/股权价值增加表!Y4</f>
        <v>6.5839068339428472E-2</v>
      </c>
      <c r="Z6" s="157">
        <f>股权价值增加表!Z31/股权价值增加表!Z4</f>
        <v>7.0634285686945492E-2</v>
      </c>
      <c r="AA6" s="157">
        <f>股权价值增加表!AA31/股权价值增加表!AA4</f>
        <v>7.6645533797580989E-2</v>
      </c>
      <c r="AB6" s="157">
        <f>股权价值增加表!AB31/股权价值增加表!AB4</f>
        <v>8.412187925079706E-2</v>
      </c>
      <c r="AC6" s="157">
        <f>股权价值增加表!AC31/股权价值增加表!AC4</f>
        <v>6.193090965225901E-2</v>
      </c>
      <c r="AD6" s="157">
        <f>股权价值增加表!AD31/股权价值增加表!AD4</f>
        <v>6.5677544397324525E-2</v>
      </c>
      <c r="AE6" s="157">
        <f>股权价值增加表!AE31/股权价值增加表!AE4</f>
        <v>6.1964385684491093E-2</v>
      </c>
      <c r="AF6" s="157">
        <f>股权价值增加表!AF31/股权价值增加表!AF4</f>
        <v>5.2293275074173737E-2</v>
      </c>
      <c r="AG6" s="157">
        <f>股权价值增加表!AG31/股权价值增加表!AG4</f>
        <v>6.6825812585398367E-2</v>
      </c>
      <c r="AH6" s="157">
        <f>股权价值增加表!AH31/股权价值增加表!AH4</f>
        <v>6.4461375263961507E-2</v>
      </c>
      <c r="AI6" s="157">
        <f>股权价值增加表!AI31/股权价值增加表!AI4</f>
        <v>6.3109992135201923E-2</v>
      </c>
      <c r="AJ6" s="157">
        <f>股权价值增加表!AJ31/股权价值增加表!AJ4</f>
        <v>5.9473170346099495E-2</v>
      </c>
      <c r="AK6" s="157">
        <f>股权价值增加表!AK31/股权价值增加表!AK4</f>
        <v>6.3755512638500988E-2</v>
      </c>
      <c r="AL6" s="157">
        <f>股权价值增加表!AL31/股权价值增加表!AL4</f>
        <v>5.541667062011172E-2</v>
      </c>
      <c r="AM6" s="157">
        <f>股权价值增加表!AM31/股权价值增加表!AM4</f>
        <v>3.8831136038730119E-2</v>
      </c>
      <c r="AN6" s="157">
        <f>股权价值增加表!AN31/股权价值增加表!AN4</f>
        <v>4.5895547149591008E-2</v>
      </c>
      <c r="AO6" s="157">
        <f>股权价值增加表!AO31/股权价值增加表!AO4</f>
        <v>1.5853583453551142E-2</v>
      </c>
      <c r="AP6" s="157">
        <f>股权价值增加表!AP31/股权价值增加表!AP4</f>
        <v>5.6491581327626966E-2</v>
      </c>
      <c r="AQ6" s="157">
        <f>股权价值增加表!AQ31/股权价值增加表!AQ4</f>
        <v>5.2925979256881493E-2</v>
      </c>
      <c r="AR6" s="157">
        <f>股权价值增加表!AR31/股权价值增加表!AR4</f>
        <v>4.8781613903011327E-2</v>
      </c>
      <c r="AS6" s="157">
        <f>股权价值增加表!AS31/股权价值增加表!AS4</f>
        <v>9.186136605174347E-2</v>
      </c>
      <c r="AT6" s="157">
        <f>股权价值增加表!AT31/股权价值增加表!AT4</f>
        <v>6.095205413298628E-2</v>
      </c>
      <c r="AU6" s="157">
        <f>股权价值增加表!AU31/股权价值增加表!AU4</f>
        <v>2.6920645552430667E-2</v>
      </c>
      <c r="AV6" s="157">
        <f>股权价值增加表!AV31/股权价值增加表!AV4</f>
        <v>1.9932553484351686E-2</v>
      </c>
      <c r="AW6" s="157">
        <f>股权价值增加表!AW31/股权价值增加表!AW4</f>
        <v>1.1351094361523862E-2</v>
      </c>
      <c r="AX6" s="157">
        <f>股权价值增加表!AX31/股权价值增加表!AX4</f>
        <v>9.6612456283295296E-3</v>
      </c>
      <c r="AY6" s="157">
        <f>股权价值增加表!AY31/股权价值增加表!AY4</f>
        <v>1.3675803750239331E-2</v>
      </c>
      <c r="AZ6" s="157">
        <f>股权价值增加表!AZ31/股权价值增加表!AZ4</f>
        <v>2.1212474972150484E-2</v>
      </c>
      <c r="BA6" s="157">
        <f>股权价值增加表!BA31/股权价值增加表!BA4</f>
        <v>1.4766062230661613E-2</v>
      </c>
      <c r="BB6" s="157">
        <f>股权价值增加表!BB31/股权价值增加表!BB4</f>
        <v>7.7692122505747512E-3</v>
      </c>
      <c r="BC6" s="157">
        <f>股权价值增加表!BC31/股权价值增加表!BC4</f>
        <v>9.4281709837084407E-3</v>
      </c>
      <c r="BD6" s="157">
        <f>股权价值增加表!BD31/股权价值增加表!BD4</f>
        <v>1.7970187544099611E-2</v>
      </c>
      <c r="BE6" s="157">
        <f>股权价值增加表!BE31/股权价值增加表!BE4</f>
        <v>8.5605706928865953E-3</v>
      </c>
      <c r="BF6" s="157">
        <f>股权价值增加表!BF31/股权价值增加表!BF4</f>
        <v>3.044356281395149E-2</v>
      </c>
      <c r="BG6" s="157">
        <f>股权价值增加表!BG31/股权价值增加表!BG4</f>
        <v>2.6951168575148558E-2</v>
      </c>
      <c r="BH6" s="157">
        <f>股权价值增加表!BH31/股权价值增加表!BH4</f>
        <v>1.7866926040560144E-2</v>
      </c>
      <c r="BI6" s="157">
        <f>股权价值增加表!BI31/股权价值增加表!BI4</f>
        <v>2.3605711073428008E-2</v>
      </c>
      <c r="BJ6" s="157">
        <f>股权价值增加表!BJ31/股权价值增加表!BJ4</f>
        <v>6.3565607644864982E-3</v>
      </c>
      <c r="BK6" s="157">
        <f>股权价值增加表!BK31/股权价值增加表!BK4</f>
        <v>-5.8077067546748315E-3</v>
      </c>
      <c r="BL6" s="157">
        <f>股权价值增加表!BL31/股权价值增加表!BL4</f>
        <v>1.5641926750500964E-2</v>
      </c>
      <c r="BM6" s="157">
        <f>股权价值增加表!BM31/股权价值增加表!BM4</f>
        <v>-0.20874985019062148</v>
      </c>
      <c r="BN6" s="157">
        <f>股权价值增加表!BN31/股权价值增加表!BN4</f>
        <v>2.0168477079801076E-2</v>
      </c>
      <c r="BO6" s="157">
        <f>股权价值增加表!BO31/股权价值增加表!BO4</f>
        <v>3.2036153926189762E-2</v>
      </c>
      <c r="BP6" s="157">
        <f>股权价值增加表!BP31/股权价值增加表!BP4</f>
        <v>5.3485786591002879E-2</v>
      </c>
      <c r="BQ6" s="157">
        <f>股权价值增加表!BQ31/股权价值增加表!BQ4</f>
        <v>-2.4044601611696352E-2</v>
      </c>
      <c r="BR6" s="157">
        <f>股权价值增加表!BR31/股权价值增加表!BR4</f>
        <v>9.6852164342535435E-2</v>
      </c>
      <c r="BS6" s="157">
        <f>股权价值增加表!BS31/股权价值增加表!BS4</f>
        <v>8.875797656621727E-2</v>
      </c>
      <c r="BT6" s="157">
        <f>股权价值增加表!BT31/股权价值增加表!BT4</f>
        <v>0.10279085078136597</v>
      </c>
      <c r="BU6" s="157">
        <f>股权价值增加表!BU31/股权价值增加表!BU4</f>
        <v>0.1040746175630278</v>
      </c>
      <c r="BV6" s="157">
        <f>股权价值增加表!BV31/股权价值增加表!BV4</f>
        <v>0.1219838590357218</v>
      </c>
      <c r="BW6" s="157">
        <f>股权价值增加表!BW31/股权价值增加表!BW4</f>
        <v>0.11999720893532563</v>
      </c>
      <c r="BX6" s="157">
        <f>股权价值增加表!BX31/股权价值增加表!BX4</f>
        <v>0.16279866285777728</v>
      </c>
      <c r="BY6" s="157">
        <f>股权价值增加表!BY31/股权价值增加表!BY4</f>
        <v>0.16827857494323831</v>
      </c>
      <c r="BZ6" s="157">
        <f>股权价值增加表!BZ31/股权价值增加表!BZ4</f>
        <v>0.99610015090975046</v>
      </c>
      <c r="CA6" s="157">
        <f>股权价值增加表!CA31/股权价值增加表!CA4</f>
        <v>0.16001165409650514</v>
      </c>
      <c r="CB6" s="157">
        <f>股权价值增加表!CB31/股权价值增加表!CB4</f>
        <v>0.99808506197078284</v>
      </c>
      <c r="CC6" s="157">
        <f>股权价值增加表!CC31/股权价值增加表!CC4</f>
        <v>0.18316259735025181</v>
      </c>
      <c r="CD6" s="157">
        <f>股权价值增加表!CD31/股权价值增加表!CD4</f>
        <v>1</v>
      </c>
      <c r="CE6" s="157">
        <f>股权价值增加表!CE31/股权价值增加表!CE4</f>
        <v>1</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2.573697136225547</v>
      </c>
      <c r="F7" s="61">
        <f>股权价值增加表!F4/资产资本表!F70</f>
        <v>2.0049759818406763</v>
      </c>
      <c r="G7" s="61">
        <f>股权价值增加表!G4/资产资本表!G70</f>
        <v>1.4108685830205681</v>
      </c>
      <c r="H7" s="61">
        <f>股权价值增加表!H4/资产资本表!H70</f>
        <v>0.75784084777135441</v>
      </c>
      <c r="I7" s="61">
        <f>股权价值增加表!I4/资产资本表!I70</f>
        <v>2.284032847781992</v>
      </c>
      <c r="J7" s="61">
        <f>股权价值增加表!J4/资产资本表!J70</f>
        <v>1.7842982603180273</v>
      </c>
      <c r="K7" s="61">
        <f>股权价值增加表!K4/资产资本表!K70</f>
        <v>1.2592892568818388</v>
      </c>
      <c r="L7" s="61">
        <f>股权价值增加表!L4/资产资本表!L70</f>
        <v>0.66409237894259321</v>
      </c>
      <c r="M7" s="61">
        <f>股权价值增加表!M4/资产资本表!M70</f>
        <v>2.1874711014110493</v>
      </c>
      <c r="N7" s="61">
        <f>股权价值增加表!N4/资产资本表!N70</f>
        <v>1.6596055231818625</v>
      </c>
      <c r="O7" s="61">
        <f>股权价值增加表!O4/资产资本表!O70</f>
        <v>1.1307605468501742</v>
      </c>
      <c r="P7" s="61">
        <f>股权价值增加表!P4/资产资本表!P70</f>
        <v>0.59302741114602531</v>
      </c>
      <c r="Q7" s="61">
        <f>股权价值增加表!Q4/资产资本表!Q70</f>
        <v>2.0943499195837423</v>
      </c>
      <c r="R7" s="61">
        <f>股权价值增加表!R4/资产资本表!R70</f>
        <v>1.5395271242108273</v>
      </c>
      <c r="S7" s="61">
        <f>股权价值增加表!S4/资产资本表!S70</f>
        <v>1.0436834137977997</v>
      </c>
      <c r="T7" s="61">
        <f>股权价值增加表!T4/资产资本表!T70</f>
        <v>0.54382222993295659</v>
      </c>
      <c r="U7" s="61">
        <f>股权价值增加表!U4/资产资本表!U70</f>
        <v>1.9182537416453309</v>
      </c>
      <c r="V7" s="61">
        <f>股权价值增加表!V4/资产资本表!V70</f>
        <v>1.4294959541052386</v>
      </c>
      <c r="W7" s="61">
        <f>股权价值增加表!W4/资产资本表!W70</f>
        <v>0.92619033710374898</v>
      </c>
      <c r="X7" s="61">
        <f>股权价值增加表!X4/资产资本表!X70</f>
        <v>0.53740019788177162</v>
      </c>
      <c r="Y7" s="61">
        <f>股权价值增加表!Y4/资产资本表!Y70</f>
        <v>1.6160572783473979</v>
      </c>
      <c r="Z7" s="61">
        <f>股权价值增加表!Z4/资产资本表!Z70</f>
        <v>1.0894013742831508</v>
      </c>
      <c r="AA7" s="61">
        <f>股权价值增加表!AA4/资产资本表!AA70</f>
        <v>0.75583311414169319</v>
      </c>
      <c r="AB7" s="61">
        <f>股权价值增加表!AB4/资产资本表!AB70</f>
        <v>0.39439597787208658</v>
      </c>
      <c r="AC7" s="61">
        <f>股权价值增加表!AC4/资产资本表!AC70</f>
        <v>2.7428066064512584</v>
      </c>
      <c r="AD7" s="61">
        <f>股权价值增加表!AD4/资产资本表!AD70</f>
        <v>2.3622812681658405</v>
      </c>
      <c r="AE7" s="61">
        <f>股权价值增加表!AE4/资产资本表!AE70</f>
        <v>1.7595123671509438</v>
      </c>
      <c r="AF7" s="61">
        <f>股权价值增加表!AF4/资产资本表!AF70</f>
        <v>1.0109089609665769</v>
      </c>
      <c r="AG7" s="61">
        <f>股权价值增加表!AG4/资产资本表!AG70</f>
        <v>3.1563840556995162</v>
      </c>
      <c r="AH7" s="61">
        <f>股权价值增加表!AH4/资产资本表!AH70</f>
        <v>2.5173425073819615</v>
      </c>
      <c r="AI7" s="61">
        <f>股权价值增加表!AI4/资产资本表!AI70</f>
        <v>1.7217806714018569</v>
      </c>
      <c r="AJ7" s="61">
        <f>股权价值增加表!AJ4/资产资本表!AJ70</f>
        <v>0.8233181320737869</v>
      </c>
      <c r="AK7" s="61">
        <f>股权价值增加表!AK4/资产资本表!AK70</f>
        <v>2.2627849203355472</v>
      </c>
      <c r="AL7" s="61">
        <f>股权价值增加表!AL4/资产资本表!AL70</f>
        <v>1.5659512122336252</v>
      </c>
      <c r="AM7" s="61">
        <f>股权价值增加表!AM4/资产资本表!AM70</f>
        <v>1.0482775019110138</v>
      </c>
      <c r="AN7" s="61">
        <f>股权价值增加表!AN4/资产资本表!AN70</f>
        <v>0.5321140351507001</v>
      </c>
      <c r="AO7" s="61">
        <f>股权价值增加表!AO4/资产资本表!AO70</f>
        <v>2.3938239554341481</v>
      </c>
      <c r="AP7" s="61">
        <f>股权价值增加表!AP4/资产资本表!AP70</f>
        <v>1.7445919323077372</v>
      </c>
      <c r="AQ7" s="61">
        <f>股权价值增加表!AQ4/资产资本表!AQ70</f>
        <v>1.2167939747921432</v>
      </c>
      <c r="AR7" s="61">
        <f>股权价值增加表!AR4/资产资本表!AR70</f>
        <v>0.57401638974712521</v>
      </c>
      <c r="AS7" s="61">
        <f>股权价值增加表!AS4/资产资本表!AS70</f>
        <v>2.5854770896901438</v>
      </c>
      <c r="AT7" s="61">
        <f>股权价值增加表!AT4/资产资本表!AT70</f>
        <v>2.1775917391121458</v>
      </c>
      <c r="AU7" s="61">
        <f>股权价值增加表!AU4/资产资本表!AU70</f>
        <v>1.6274871996953717</v>
      </c>
      <c r="AV7" s="61">
        <f>股权价值增加表!AV4/资产资本表!AV70</f>
        <v>0.80126645203920477</v>
      </c>
      <c r="AW7" s="61">
        <f>股权价值增加表!AW4/资产资本表!AW70</f>
        <v>2.080981689310951</v>
      </c>
      <c r="AX7" s="61">
        <f>股权价值增加表!AX4/资产资本表!AX70</f>
        <v>1.3905026447474766</v>
      </c>
      <c r="AY7" s="61">
        <f>股权价值增加表!AY4/资产资本表!AY70</f>
        <v>0.98131918621396041</v>
      </c>
      <c r="AZ7" s="61">
        <f>股权价值增加表!AZ4/资产资本表!AZ70</f>
        <v>0.45346477598824131</v>
      </c>
      <c r="BA7" s="61">
        <f>股权价值增加表!BA4/资产资本表!BA70</f>
        <v>1.5790086184319319</v>
      </c>
      <c r="BB7" s="61">
        <f>股权价值增加表!BB4/资产资本表!BB70</f>
        <v>1.034433546300475</v>
      </c>
      <c r="BC7" s="61">
        <f>股权价值增加表!BC4/资产资本表!BC70</f>
        <v>0.68197290400578559</v>
      </c>
      <c r="BD7" s="61">
        <f>股权价值增加表!BD4/资产资本表!BD70</f>
        <v>0.34856892997158551</v>
      </c>
      <c r="BE7" s="61">
        <f>股权价值增加表!BE4/资产资本表!BE70</f>
        <v>1.1974737713089016</v>
      </c>
      <c r="BF7" s="61">
        <f>股权价值增加表!BF4/资产资本表!BF70</f>
        <v>0.8429039006409238</v>
      </c>
      <c r="BG7" s="61">
        <f>股权价值增加表!BG4/资产资本表!BG70</f>
        <v>0.56823975901780388</v>
      </c>
      <c r="BH7" s="61">
        <f>股权价值增加表!BH4/资产资本表!BH70</f>
        <v>0.31330608642841457</v>
      </c>
      <c r="BI7" s="61">
        <f>股权价值增加表!BI4/资产资本表!BI70</f>
        <v>1.5618032264007529</v>
      </c>
      <c r="BJ7" s="61">
        <f>股权价值增加表!BJ4/资产资本表!BJ70</f>
        <v>1.2129103056449195</v>
      </c>
      <c r="BK7" s="61">
        <f>股权价值增加表!BK4/资产资本表!BK70</f>
        <v>0.84234723936919831</v>
      </c>
      <c r="BL7" s="61" t="e">
        <f>股权价值增加表!BL4/资产资本表!BL70</f>
        <v>#DIV/0!</v>
      </c>
      <c r="BM7" s="61">
        <f>股权价值增加表!BM4/资产资本表!BM70</f>
        <v>1.579214978155556</v>
      </c>
      <c r="BN7" s="61">
        <f>股权价值增加表!BN4/资产资本表!BN70</f>
        <v>0.85673559664185017</v>
      </c>
      <c r="BO7" s="61">
        <f>股权价值增加表!BO4/资产资本表!BO70</f>
        <v>0.54356190187790576</v>
      </c>
      <c r="BP7" s="61">
        <f>股权价值增加表!BP4/资产资本表!BP70</f>
        <v>0.24675282498345175</v>
      </c>
      <c r="BQ7" s="61">
        <f>股权价值增加表!BQ4/资产资本表!BQ70</f>
        <v>0.78004959917059224</v>
      </c>
      <c r="BR7" s="61">
        <f>股权价值增加表!BR4/资产资本表!BR70</f>
        <v>0.39337665378549647</v>
      </c>
      <c r="BS7" s="61">
        <f>股权价值增加表!BS4/资产资本表!BS70</f>
        <v>0.99253852881716909</v>
      </c>
      <c r="BT7" s="61">
        <f>股权价值增加表!BT4/资产资本表!BT70</f>
        <v>0.49537569038197471</v>
      </c>
      <c r="BU7" s="61">
        <f>股权价值增加表!BU4/资产资本表!BU70</f>
        <v>1.0110078038676245</v>
      </c>
      <c r="BV7" s="61">
        <f>股权价值增加表!BV4/资产资本表!BV70</f>
        <v>0.54756683285839225</v>
      </c>
      <c r="BW7" s="61">
        <f>股权价值增加表!BW4/资产资本表!BW70</f>
        <v>0.94881883250649712</v>
      </c>
      <c r="BX7" s="61">
        <f>股权价值增加表!BX4/资产资本表!BX70</f>
        <v>0.43352385002806937</v>
      </c>
      <c r="BY7" s="61">
        <f>股权价值增加表!BY4/资产资本表!BY70</f>
        <v>0.85876767637258666</v>
      </c>
      <c r="BZ7" s="61">
        <f>股权价值增加表!BZ4/资产资本表!BZ70</f>
        <v>2.3765174075399109</v>
      </c>
      <c r="CA7" s="61">
        <f>股权价值增加表!CA4/资产资本表!CA70</f>
        <v>1.1596978033365388</v>
      </c>
      <c r="CB7" s="61">
        <f>股权价值增加表!CB4/资产资本表!CB70</f>
        <v>2.3590799446196886</v>
      </c>
      <c r="CC7" s="61">
        <f>股权价值增加表!CC4/资产资本表!CC70</f>
        <v>17.260526087740907</v>
      </c>
      <c r="CD7" s="61">
        <f>股权价值增加表!CD4/资产资本表!CD70</f>
        <v>15.528716147314677</v>
      </c>
      <c r="CE7" s="61">
        <f>股权价值增加表!CE4/资产资本表!CE70</f>
        <v>12.659154314541365</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0.24261843104672898</v>
      </c>
      <c r="F8" s="63">
        <f>股权价值增加表!F31/资产资本表!F70</f>
        <v>0.18467058313239787</v>
      </c>
      <c r="G8" s="63">
        <f>股权价值增加表!G31/资产资本表!G70</f>
        <v>0.12139203784217292</v>
      </c>
      <c r="H8" s="63">
        <f>股权价值增加表!H31/资产资本表!H70</f>
        <v>6.2157178113456633E-2</v>
      </c>
      <c r="I8" s="63">
        <f>股权价值增加表!I31/资产资本表!I70</f>
        <v>0.22923051827785404</v>
      </c>
      <c r="J8" s="63">
        <f>股权价值增加表!J31/资产资本表!J70</f>
        <v>0.17925202982456118</v>
      </c>
      <c r="K8" s="63">
        <f>股权价值增加表!K31/资产资本表!K70</f>
        <v>0.12066330962129425</v>
      </c>
      <c r="L8" s="63">
        <f>股权价值增加表!L31/资产资本表!L70</f>
        <v>6.4059749172498584E-2</v>
      </c>
      <c r="M8" s="63">
        <f>股权价值增加表!M31/资产资本表!M70</f>
        <v>0.21380794287520377</v>
      </c>
      <c r="N8" s="63">
        <f>股权价值增加表!N31/资产资本表!N70</f>
        <v>0.14709549061995184</v>
      </c>
      <c r="O8" s="63">
        <f>股权价值增加表!O31/资产资本表!O70</f>
        <v>0.10492285268821916</v>
      </c>
      <c r="P8" s="63">
        <f>股权价值增加表!P31/资产资本表!P70</f>
        <v>5.6648206609946732E-2</v>
      </c>
      <c r="Q8" s="63">
        <f>股权价值增加表!Q31/资产资本表!Q70</f>
        <v>0.18363957271746437</v>
      </c>
      <c r="R8" s="63">
        <f>股权价值增加表!R31/资产资本表!R70</f>
        <v>0.12836354643001968</v>
      </c>
      <c r="S8" s="63">
        <f>股权价值增加表!S31/资产资本表!S70</f>
        <v>8.5425473228264326E-2</v>
      </c>
      <c r="T8" s="63">
        <f>股权价值增加表!T31/资产资本表!T70</f>
        <v>4.5771853790468886E-2</v>
      </c>
      <c r="U8" s="63">
        <f>股权价值增加表!U31/资产资本表!U70</f>
        <v>0.12151222735950869</v>
      </c>
      <c r="V8" s="63">
        <f>股权价值增加表!V31/资产资本表!V70</f>
        <v>0.10164321695856837</v>
      </c>
      <c r="W8" s="63">
        <f>股权价值增加表!W31/资产资本表!W70</f>
        <v>6.9144458025192534E-2</v>
      </c>
      <c r="X8" s="63">
        <f>股权价值增加表!X31/资产资本表!X70</f>
        <v>3.4277664375601632E-2</v>
      </c>
      <c r="Y8" s="63">
        <f>股权价值增加表!Y31/资产资本表!Y70</f>
        <v>0.1063997055895451</v>
      </c>
      <c r="Z8" s="63">
        <f>股权价值增加表!Z31/资产资本表!Z70</f>
        <v>7.6949087898867105E-2</v>
      </c>
      <c r="AA8" s="63">
        <f>股权价值增加表!AA31/资产资本表!AA70</f>
        <v>5.793123249527804E-2</v>
      </c>
      <c r="AB8" s="63">
        <f>股权价值增加表!AB31/资产资本表!AB70</f>
        <v>3.3177330827555696E-2</v>
      </c>
      <c r="AC8" s="63">
        <f>股权价值增加表!AC31/资产资本表!AC70</f>
        <v>0.16986450813775203</v>
      </c>
      <c r="AD8" s="63">
        <f>股权价值增加表!AD31/资产资本表!AD70</f>
        <v>0.15514883286893005</v>
      </c>
      <c r="AE8" s="63">
        <f>股权价值增加表!AE31/资产资本表!AE70</f>
        <v>0.10902710293477298</v>
      </c>
      <c r="AF8" s="63">
        <f>股权价值增加表!AF31/资产资本表!AF70</f>
        <v>5.2863740370772364E-2</v>
      </c>
      <c r="AG8" s="63">
        <f>股权价值增加表!AG31/资产资本表!AG70</f>
        <v>0.21092792935371546</v>
      </c>
      <c r="AH8" s="63">
        <f>股权价值增加表!AH31/资产资本表!AH70</f>
        <v>0.16227136003627041</v>
      </c>
      <c r="AI8" s="63">
        <f>股权价值增加表!AI31/资产资本表!AI70</f>
        <v>0.10866156463071389</v>
      </c>
      <c r="AJ8" s="63">
        <f>股权价值增加表!AJ31/资产资本表!AJ70</f>
        <v>4.8965339517856775E-2</v>
      </c>
      <c r="AK8" s="63">
        <f>股权价值增加表!AK31/资产资本表!AK70</f>
        <v>0.14426501258666244</v>
      </c>
      <c r="AL8" s="63">
        <f>股权价值增加表!AL31/资产资本表!AL70</f>
        <v>8.6779802535515468E-2</v>
      </c>
      <c r="AM8" s="63">
        <f>股权价值增加表!AM31/资产资本表!AM70</f>
        <v>4.070580628304675E-2</v>
      </c>
      <c r="AN8" s="63">
        <f>股权价值增加表!AN31/资产资本表!AN70</f>
        <v>2.4421664789218082E-2</v>
      </c>
      <c r="AO8" s="63">
        <f>股权价值增加表!AO31/资产资本表!AO70</f>
        <v>3.7950687850585155E-2</v>
      </c>
      <c r="AP8" s="63">
        <f>股权价值增加表!AP31/资产资本表!AP70</f>
        <v>9.855475702748441E-2</v>
      </c>
      <c r="AQ8" s="63">
        <f>股权价值增加表!AQ31/资产资本表!AQ70</f>
        <v>6.4400012669747361E-2</v>
      </c>
      <c r="AR8" s="63">
        <f>股权价值增加表!AR31/资产资本表!AR70</f>
        <v>2.8001445898644731E-2</v>
      </c>
      <c r="AS8" s="63">
        <f>股权价值增加表!AS31/资产资本表!AS70</f>
        <v>0.23750545735442266</v>
      </c>
      <c r="AT8" s="63">
        <f>股权价值增加表!AT31/资产资本表!AT70</f>
        <v>0.13272868956190725</v>
      </c>
      <c r="AU8" s="63">
        <f>股权价值增加表!AU31/资产资本表!AU70</f>
        <v>4.3813006044117052E-2</v>
      </c>
      <c r="AV8" s="63">
        <f>股权价值增加表!AV31/资产资本表!AV70</f>
        <v>1.5971286410488165E-2</v>
      </c>
      <c r="AW8" s="63">
        <f>股权价值增加表!AW31/资产资本表!AW70</f>
        <v>2.3621419519971938E-2</v>
      </c>
      <c r="AX8" s="63">
        <f>股权价值增加表!AX31/资产资本表!AX70</f>
        <v>1.3433987597747207E-2</v>
      </c>
      <c r="AY8" s="63">
        <f>股权价值增加表!AY31/资产资本表!AY70</f>
        <v>1.3420328607006688E-2</v>
      </c>
      <c r="AZ8" s="63">
        <f>股权价值增加表!AZ31/资产资本表!AZ70</f>
        <v>9.619110211402394E-3</v>
      </c>
      <c r="BA8" s="63">
        <f>股权价值增加表!BA31/资产资本表!BA70</f>
        <v>2.3315739522516924E-2</v>
      </c>
      <c r="BB8" s="63">
        <f>股权价值增加表!BB31/资产资本表!BB70</f>
        <v>8.036733780323135E-3</v>
      </c>
      <c r="BC8" s="63">
        <f>股权价值增加表!BC31/资产资本表!BC70</f>
        <v>6.4297571452227292E-3</v>
      </c>
      <c r="BD8" s="63">
        <f>股权价值增加表!BD31/资产资本表!BD70</f>
        <v>6.2638490436355155E-3</v>
      </c>
      <c r="BE8" s="63">
        <f>股权价值增加表!BE31/资产资本表!BE70</f>
        <v>1.0251058872167368E-2</v>
      </c>
      <c r="BF8" s="63">
        <f>股权价值增加表!BF31/资产资本表!BF70</f>
        <v>2.5660997845286686E-2</v>
      </c>
      <c r="BG8" s="63">
        <f>股权价值增加表!BG31/资产资本表!BG70</f>
        <v>1.5314725536390624E-2</v>
      </c>
      <c r="BH8" s="63">
        <f>股权价值增加表!BH31/资产资本表!BH70</f>
        <v>5.597816674273828E-3</v>
      </c>
      <c r="BI8" s="63">
        <f>股权价值增加表!BI31/资产资本表!BI70</f>
        <v>3.6867475715963847E-2</v>
      </c>
      <c r="BJ8" s="63">
        <f>股权价值增加表!BJ31/资产资本表!BJ70</f>
        <v>7.7099380597038221E-3</v>
      </c>
      <c r="BK8" s="63">
        <f>股权价值增加表!BK31/资产资本表!BK70</f>
        <v>-4.8921057518661899E-3</v>
      </c>
      <c r="BL8" s="63" t="e">
        <f>股权价值增加表!BL31/资产资本表!BL70</f>
        <v>#DIV/0!</v>
      </c>
      <c r="BM8" s="63">
        <f>股权价值增加表!BM31/资产资本表!BM70</f>
        <v>-0.32966089010875788</v>
      </c>
      <c r="BN8" s="63">
        <f>股权价值增加表!BN31/资产资本表!BN70</f>
        <v>1.7279052244320855E-2</v>
      </c>
      <c r="BO8" s="63">
        <f>股权价值增加表!BO31/资产资本表!BO70</f>
        <v>1.7413632756973045E-2</v>
      </c>
      <c r="BP8" s="63">
        <f>股权价值增加表!BP31/资产资本表!BP70</f>
        <v>1.3197768937791983E-2</v>
      </c>
      <c r="BQ8" s="63">
        <f>股权价值增加表!BQ31/资产资本表!BQ70</f>
        <v>-1.8755981849420317E-2</v>
      </c>
      <c r="BR8" s="63">
        <f>股权价值增加表!BR31/资产资本表!BR70</f>
        <v>3.8099380320949568E-2</v>
      </c>
      <c r="BS8" s="63">
        <f>股权价值增加表!BS31/资产资本表!BS70</f>
        <v>8.8095711481822062E-2</v>
      </c>
      <c r="BT8" s="63">
        <f>股权价值增加表!BT31/资产资本表!BT70</f>
        <v>5.092008867076972E-2</v>
      </c>
      <c r="BU8" s="63">
        <f>股权价值增加表!BU31/资产资本表!BU70</f>
        <v>0.10522025054075962</v>
      </c>
      <c r="BV8" s="63">
        <f>股权价值增加表!BV31/资产资本表!BV70</f>
        <v>6.6794315352034755E-2</v>
      </c>
      <c r="BW8" s="63">
        <f>股权价值增加表!BW31/资产资本表!BW70</f>
        <v>0.11385561168605388</v>
      </c>
      <c r="BX8" s="63">
        <f>股权价值增加表!BX31/资产资本表!BX70</f>
        <v>7.0577103101525263E-2</v>
      </c>
      <c r="BY8" s="63">
        <f>股权价值增加表!BY31/资产资本表!BY70</f>
        <v>0.14451220078729493</v>
      </c>
      <c r="BZ8" s="63">
        <f>股权价值增加表!BZ31/资产资本表!BZ70</f>
        <v>2.3672493482901542</v>
      </c>
      <c r="CA8" s="63">
        <f>股权价值增加表!CA31/资产资本表!CA70</f>
        <v>0.18556516376396309</v>
      </c>
      <c r="CB8" s="63">
        <f>股权价值增加表!CB31/资产资本表!CB70</f>
        <v>2.3545624527197728</v>
      </c>
      <c r="CC8" s="63">
        <f>股权价值增加表!CC31/资产资本表!CC70</f>
        <v>3.1614827898624043</v>
      </c>
      <c r="CD8" s="63">
        <f>股权价值增加表!CD31/资产资本表!CD70</f>
        <v>15.528716147314677</v>
      </c>
      <c r="CE8" s="63">
        <f>股权价值增加表!CE31/资产资本表!CE70</f>
        <v>12.659154314541365</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0.93867514917720607</v>
      </c>
      <c r="F9" s="157">
        <f>股权价值增加表!F38/股权价值增加表!F31</f>
        <v>1.0178728379733764</v>
      </c>
      <c r="G9" s="157">
        <f>股权价值增加表!G38/股权价值增加表!G31</f>
        <v>1.0258444243461371</v>
      </c>
      <c r="H9" s="157">
        <f>股权价值增加表!H38/股权价值增加表!H31</f>
        <v>1.0393895085253044</v>
      </c>
      <c r="I9" s="157">
        <f>股权价值增加表!I38/股权价值增加表!I31</f>
        <v>1.0193559752103361</v>
      </c>
      <c r="J9" s="157">
        <f>股权价值增加表!J38/股权价值增加表!J31</f>
        <v>1.077627997975706</v>
      </c>
      <c r="K9" s="157">
        <f>股权价值增加表!K38/股权价值增加表!K31</f>
        <v>1.0828652621255008</v>
      </c>
      <c r="L9" s="157">
        <f>股权价值增加表!L38/股权价值增加表!L31</f>
        <v>1.0750498238136672</v>
      </c>
      <c r="M9" s="157">
        <f>股权价值增加表!M38/股权价值增加表!M31</f>
        <v>1.0203591173518518</v>
      </c>
      <c r="N9" s="157">
        <f>股权价值增加表!N38/股权价值增加表!N31</f>
        <v>1.0961629276486122</v>
      </c>
      <c r="O9" s="157">
        <f>股权价值增加表!O38/股权价值增加表!O31</f>
        <v>1.0197905478063047</v>
      </c>
      <c r="P9" s="157">
        <f>股权价值增加表!P38/股权价值增加表!P31</f>
        <v>1.0378655255994436</v>
      </c>
      <c r="Q9" s="157">
        <f>股权价值增加表!Q38/股权价值增加表!Q31</f>
        <v>0.9841437801412265</v>
      </c>
      <c r="R9" s="157">
        <f>股权价值增加表!R38/股权价值增加表!R31</f>
        <v>1.0669440138427937</v>
      </c>
      <c r="S9" s="157">
        <f>股权价值增加表!S38/股权价值增加表!S31</f>
        <v>1.0243163460795555</v>
      </c>
      <c r="T9" s="157">
        <f>股权价值增加表!T38/股权价值增加表!T31</f>
        <v>1.0124812563831282</v>
      </c>
      <c r="U9" s="157">
        <f>股权价值增加表!U38/股权价值增加表!U31</f>
        <v>0.92357736924091793</v>
      </c>
      <c r="V9" s="157">
        <f>股权价值增加表!V38/股权价值增加表!V31</f>
        <v>0.95105076472673877</v>
      </c>
      <c r="W9" s="157">
        <f>股权价值增加表!W38/股权价值增加表!W31</f>
        <v>0.93251582070074979</v>
      </c>
      <c r="X9" s="157">
        <f>股权价值增加表!X38/股权价值增加表!X31</f>
        <v>0.94110988714832999</v>
      </c>
      <c r="Y9" s="157">
        <f>股权价值增加表!Y38/股权价值增加表!Y31</f>
        <v>0.95351021766334765</v>
      </c>
      <c r="Z9" s="157">
        <f>股权价值增加表!Z38/股权价值增加表!Z31</f>
        <v>1.1606212320121836</v>
      </c>
      <c r="AA9" s="157">
        <f>股权价值增加表!AA38/股权价值增加表!AA31</f>
        <v>1.1284796206343215</v>
      </c>
      <c r="AB9" s="157">
        <f>股权价值增加表!AB38/股权价值增加表!AB31</f>
        <v>1.1179915391298991</v>
      </c>
      <c r="AC9" s="157">
        <f>股权价值增加表!AC38/股权价值增加表!AC31</f>
        <v>0.93222986985213829</v>
      </c>
      <c r="AD9" s="157">
        <f>股权价值增加表!AD38/股权价值增加表!AD31</f>
        <v>0.99678832738321843</v>
      </c>
      <c r="AE9" s="157">
        <f>股权价值增加表!AE38/股权价值增加表!AE31</f>
        <v>0.99734093306470983</v>
      </c>
      <c r="AF9" s="157">
        <f>股权价值增加表!AF38/股权价值增加表!AF31</f>
        <v>0.98125060043621737</v>
      </c>
      <c r="AG9" s="157">
        <f>股权价值增加表!AG38/股权价值增加表!AG31</f>
        <v>0.92506338266369748</v>
      </c>
      <c r="AH9" s="157">
        <f>股权价值增加表!AH38/股权价值增加表!AH31</f>
        <v>0.94018704961008659</v>
      </c>
      <c r="AI9" s="157">
        <f>股权价值增加表!AI38/股权价值增加表!AI31</f>
        <v>0.95107250497907514</v>
      </c>
      <c r="AJ9" s="157">
        <f>股权价值增加表!AJ38/股权价值增加表!AJ31</f>
        <v>1.0118557820946652</v>
      </c>
      <c r="AK9" s="157">
        <f>股权价值增加表!AK38/股权价值增加表!AK31</f>
        <v>0.96738551581064436</v>
      </c>
      <c r="AL9" s="157">
        <f>股权价值增加表!AL38/股权价值增加表!AL31</f>
        <v>0.98520651400306836</v>
      </c>
      <c r="AM9" s="157">
        <f>股权价值增加表!AM38/股权价值增加表!AM31</f>
        <v>0.97004685753188413</v>
      </c>
      <c r="AN9" s="157">
        <f>股权价值增加表!AN38/股权价值增加表!AN31</f>
        <v>0.98323204776180129</v>
      </c>
      <c r="AO9" s="157">
        <f>股权价值增加表!AO38/股权价值增加表!AO31</f>
        <v>0.2873334968943802</v>
      </c>
      <c r="AP9" s="157">
        <f>股权价值增加表!AP38/股权价值增加表!AP31</f>
        <v>0.82155361592046006</v>
      </c>
      <c r="AQ9" s="157">
        <f>股权价值增加表!AQ38/股权价值增加表!AQ31</f>
        <v>0.7682304655101162</v>
      </c>
      <c r="AR9" s="157">
        <f>股权价值增加表!AR38/股权价值增加表!AR31</f>
        <v>0.78931780513785688</v>
      </c>
      <c r="AS9" s="157">
        <f>股权价值增加表!AS38/股权价值增加表!AS31</f>
        <v>0.84905850204702193</v>
      </c>
      <c r="AT9" s="157">
        <f>股权价值增加表!AT38/股权价值增加表!AT31</f>
        <v>0.92297283480340675</v>
      </c>
      <c r="AU9" s="157">
        <f>股权价值增加表!AU38/股权价值增加表!AU31</f>
        <v>0.83461110519145587</v>
      </c>
      <c r="AV9" s="157">
        <f>股权价值增加表!AV38/股权价值增加表!AV31</f>
        <v>0.80276389601679377</v>
      </c>
      <c r="AW9" s="157">
        <f>股权价值增加表!AW38/股权价值增加表!AW31</f>
        <v>-0.49028392590792108</v>
      </c>
      <c r="AX9" s="157">
        <f>股权价值增加表!AX38/股权价值增加表!AX31</f>
        <v>-8.5923789674467926E-2</v>
      </c>
      <c r="AY9" s="157">
        <f>股权价值增加表!AY38/股权价值增加表!AY31</f>
        <v>0.27880548983232778</v>
      </c>
      <c r="AZ9" s="157">
        <f>股权价值增加表!AZ38/股权价值增加表!AZ31</f>
        <v>0.53651468321748652</v>
      </c>
      <c r="BA9" s="157">
        <f>股权价值增加表!BA38/股权价值增加表!BA31</f>
        <v>-6.416567175548181E-2</v>
      </c>
      <c r="BB9" s="157">
        <f>股权价值增加表!BB38/股权价值增加表!BB31</f>
        <v>-0.65619637020020938</v>
      </c>
      <c r="BC9" s="157">
        <f>股权价值增加表!BC38/股权价值增加表!BC31</f>
        <v>-0.14355543995488182</v>
      </c>
      <c r="BD9" s="157">
        <f>股权价值增加表!BD38/股权价值增加表!BD31</f>
        <v>0.39447995442453682</v>
      </c>
      <c r="BE9" s="157">
        <f>股权价值增加表!BE38/股权价值增加表!BE31</f>
        <v>0.42631413105404276</v>
      </c>
      <c r="BF9" s="157">
        <f>股权价值增加表!BF38/股权价值增加表!BF31</f>
        <v>0.74178272997218164</v>
      </c>
      <c r="BG9" s="157">
        <f>股权价值增加表!BG38/股权价值增加表!BG31</f>
        <v>0.75866157101813536</v>
      </c>
      <c r="BH9" s="157">
        <f>股权价值增加表!BH38/股权价值增加表!BH31</f>
        <v>0.30395283142785023</v>
      </c>
      <c r="BI9" s="157">
        <f>股权价值增加表!BI38/股权价值增加表!BI31</f>
        <v>0.81107349062937339</v>
      </c>
      <c r="BJ9" s="157">
        <f>股权价值增加表!BJ38/股权价值增加表!BJ31</f>
        <v>0.16072470588911342</v>
      </c>
      <c r="BK9" s="157">
        <f>股权价值增加表!BK38/股权价值增加表!BK31</f>
        <v>1.9198254884328989</v>
      </c>
      <c r="BL9" s="157">
        <f>股权价值增加表!BL38/股权价值增加表!BL31</f>
        <v>0.30730891268678329</v>
      </c>
      <c r="BM9" s="157">
        <f>股权价值增加表!BM38/股权价值增加表!BM31</f>
        <v>1.053250141070637</v>
      </c>
      <c r="BN9" s="157">
        <f>股权价值增加表!BN38/股权价值增加表!BN31</f>
        <v>0.54846300439413476</v>
      </c>
      <c r="BO9" s="157">
        <f>股权价值增加表!BO38/股权价值增加表!BO31</f>
        <v>0.81426872317656562</v>
      </c>
      <c r="BP9" s="157">
        <f>股权价值增加表!BP38/股权价值增加表!BP31</f>
        <v>0.79862473938852074</v>
      </c>
      <c r="BQ9" s="157">
        <f>股权价值增加表!BQ38/股权价值增加表!BQ31</f>
        <v>1.0479599296966582</v>
      </c>
      <c r="BR9" s="157">
        <f>股权价值增加表!BR38/股权价值增加表!BR31</f>
        <v>0.96814402954417222</v>
      </c>
      <c r="BS9" s="157">
        <f>股权价值增加表!BS38/股权价值增加表!BS31</f>
        <v>0.9106277319270093</v>
      </c>
      <c r="BT9" s="157">
        <f>股权价值增加表!BT38/股权价值增加表!BT31</f>
        <v>0.92026094098229316</v>
      </c>
      <c r="BU9" s="157">
        <f>股权价值增加表!BU38/股权价值增加表!BU31</f>
        <v>0.92043508180714395</v>
      </c>
      <c r="BV9" s="157">
        <f>股权价值增加表!BV38/股权价值增加表!BV31</f>
        <v>0.96475027778043188</v>
      </c>
      <c r="BW9" s="157">
        <f>股权价值增加表!BW38/股权价值增加表!BW31</f>
        <v>1.059837108062831</v>
      </c>
      <c r="BX9" s="157">
        <f>股权价值增加表!BX38/股权价值增加表!BX31</f>
        <v>1.0114996203907298</v>
      </c>
      <c r="BY9" s="157">
        <f>股权价值增加表!BY38/股权价值增加表!BY31</f>
        <v>1.0216787958645321</v>
      </c>
      <c r="BZ9" s="157">
        <f>股权价值增加表!BZ38/股权价值增加表!BZ31</f>
        <v>1</v>
      </c>
      <c r="CA9" s="157">
        <f>股权价值增加表!CA38/股权价值增加表!CA31</f>
        <v>0.97681228540226028</v>
      </c>
      <c r="CB9" s="157">
        <f>股权价值增加表!CB38/股权价值增加表!CB31</f>
        <v>1</v>
      </c>
      <c r="CC9" s="157">
        <f>股权价值增加表!CC38/股权价值增加表!CC31</f>
        <v>0.95021904243153688</v>
      </c>
      <c r="CD9" s="157">
        <f>股权价值增加表!CD38/股权价值增加表!CD31</f>
        <v>1</v>
      </c>
      <c r="CE9" s="157">
        <f>股权价值增加表!CE38/股权价值增加表!CE31</f>
        <v>1</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1.0110294781846769</v>
      </c>
      <c r="F10" s="61">
        <f>资产资本表!F70/资产资本表!F107</f>
        <v>1.0202274046243698</v>
      </c>
      <c r="G10" s="61">
        <f>资产资本表!G70/资产资本表!G107</f>
        <v>1.0247643538903</v>
      </c>
      <c r="H10" s="61">
        <f>资产资本表!H70/资产资本表!H107</f>
        <v>1.0179401735236948</v>
      </c>
      <c r="I10" s="61">
        <f>资产资本表!I70/资产资本表!I107</f>
        <v>1.0276891014138696</v>
      </c>
      <c r="J10" s="61">
        <f>资产资本表!J70/资产资本表!J107</f>
        <v>1.0025128501709024</v>
      </c>
      <c r="K10" s="61">
        <f>资产资本表!K70/资产资本表!K107</f>
        <v>1.0026780765685668</v>
      </c>
      <c r="L10" s="61">
        <f>资产资本表!L70/资产资本表!L107</f>
        <v>1.0023842353474275</v>
      </c>
      <c r="M10" s="61">
        <f>资产资本表!M70/资产资本表!M107</f>
        <v>1.0025688668298087</v>
      </c>
      <c r="N10" s="61">
        <f>资产资本表!N70/资产资本表!N107</f>
        <v>1.0202082870840425</v>
      </c>
      <c r="O10" s="61">
        <f>资产资本表!O70/资产资本表!O107</f>
        <v>1.0056670001353434</v>
      </c>
      <c r="P10" s="61">
        <f>资产资本表!P70/资产资本表!P107</f>
        <v>1.0240017631504204</v>
      </c>
      <c r="Q10" s="61">
        <f>资产资本表!Q70/资产资本表!Q107</f>
        <v>1.0027307655965227</v>
      </c>
      <c r="R10" s="61">
        <f>资产资本表!R70/资产资本表!R107</f>
        <v>1.0233068300350274</v>
      </c>
      <c r="S10" s="61">
        <f>资产资本表!S70/资产资本表!S107</f>
        <v>1.0138024164241362</v>
      </c>
      <c r="T10" s="61">
        <f>资产资本表!T70/资产资本表!T107</f>
        <v>1.0031500610867989</v>
      </c>
      <c r="U10" s="61">
        <f>资产资本表!U70/资产资本表!U107</f>
        <v>1.0034446716573782</v>
      </c>
      <c r="V10" s="61">
        <f>资产资本表!V70/资产资本表!V107</f>
        <v>1.0039754001347938</v>
      </c>
      <c r="W10" s="61">
        <f>资产资本表!W70/资产资本表!W107</f>
        <v>1.0048187420231922</v>
      </c>
      <c r="X10" s="61">
        <f>资产资本表!X70/资产资本表!X107</f>
        <v>1.0044354817050098</v>
      </c>
      <c r="Y10" s="61">
        <f>资产资本表!Y70/资产资本表!Y107</f>
        <v>1.0044755146058462</v>
      </c>
      <c r="Z10" s="61">
        <f>资产资本表!Z70/资产资本表!Z107</f>
        <v>1.0087670889041034</v>
      </c>
      <c r="AA10" s="61">
        <f>资产资本表!AA70/资产资本表!AA107</f>
        <v>1.0074758164164934</v>
      </c>
      <c r="AB10" s="61">
        <f>资产资本表!AB70/资产资本表!AB107</f>
        <v>1.0091030429895926</v>
      </c>
      <c r="AC10" s="61">
        <f>资产资本表!AC70/资产资本表!AC107</f>
        <v>1.0092240040014444</v>
      </c>
      <c r="AD10" s="61">
        <f>资产资本表!AD70/资产资本表!AD107</f>
        <v>1.0089730616537307</v>
      </c>
      <c r="AE10" s="61">
        <f>资产资本表!AE70/资产资本表!AE107</f>
        <v>1.0187118080846287</v>
      </c>
      <c r="AF10" s="61">
        <f>资产资本表!AF70/资产资本表!AF107</f>
        <v>1.0358333850598891</v>
      </c>
      <c r="AG10" s="61">
        <f>资产资本表!AG70/资产资本表!AG107</f>
        <v>1.0109010043568176</v>
      </c>
      <c r="AH10" s="61">
        <f>资产资本表!AH70/资产资本表!AH107</f>
        <v>1.0132989393219907</v>
      </c>
      <c r="AI10" s="61">
        <f>资产资本表!AI70/资产资本表!AI107</f>
        <v>1.0124163103432329</v>
      </c>
      <c r="AJ10" s="61">
        <f>资产资本表!AJ70/资产资本表!AJ107</f>
        <v>1.0096383757997576</v>
      </c>
      <c r="AK10" s="61">
        <f>资产资本表!AK70/资产资本表!AK107</f>
        <v>1.0098502982167332</v>
      </c>
      <c r="AL10" s="61">
        <f>资产资本表!AL70/资产资本表!AL107</f>
        <v>1.0161972411720799</v>
      </c>
      <c r="AM10" s="61">
        <f>资产资本表!AM70/资产资本表!AM107</f>
        <v>1.0254931442185644</v>
      </c>
      <c r="AN10" s="61">
        <f>资产资本表!AN70/资产资本表!AN107</f>
        <v>1.0560597559574998</v>
      </c>
      <c r="AO10" s="61">
        <f>资产资本表!AO70/资产资本表!AO107</f>
        <v>1.0575319262197551</v>
      </c>
      <c r="AP10" s="61">
        <f>资产资本表!AP70/资产资本表!AP107</f>
        <v>1.0774668549019231</v>
      </c>
      <c r="AQ10" s="61">
        <f>资产资本表!AQ70/资产资本表!AQ107</f>
        <v>1.1210305743853701</v>
      </c>
      <c r="AR10" s="61">
        <f>资产资本表!AR70/资产资本表!AR107</f>
        <v>1.135301875706227</v>
      </c>
      <c r="AS10" s="61">
        <f>资产资本表!AS70/资产资本表!AS107</f>
        <v>1.1254916212656476</v>
      </c>
      <c r="AT10" s="61">
        <f>资产资本表!AT70/资产资本表!AT107</f>
        <v>1.2549353322513914</v>
      </c>
      <c r="AU10" s="61">
        <f>资产资本表!AU70/资产资本表!AU107</f>
        <v>1.2996323450766383</v>
      </c>
      <c r="AV10" s="61">
        <f>资产资本表!AV70/资产资本表!AV107</f>
        <v>1.3367970701573866</v>
      </c>
      <c r="AW10" s="61">
        <f>资产资本表!AW70/资产资本表!AW107</f>
        <v>1.5560552687253901</v>
      </c>
      <c r="AX10" s="61">
        <f>资产资本表!AX70/资产资本表!AX107</f>
        <v>1.7358162085927578</v>
      </c>
      <c r="AY10" s="61">
        <f>资产资本表!AY70/资产资本表!AY107</f>
        <v>1.7125065926647312</v>
      </c>
      <c r="AZ10" s="61">
        <f>资产资本表!AZ70/资产资本表!AZ107</f>
        <v>1.6953237040363007</v>
      </c>
      <c r="BA10" s="61">
        <f>资产资本表!BA70/资产资本表!BA107</f>
        <v>1.6413382687358498</v>
      </c>
      <c r="BB10" s="61">
        <f>资产资本表!BB70/资产资本表!BB107</f>
        <v>1.6937415495001262</v>
      </c>
      <c r="BC10" s="61">
        <f>资产资本表!BC70/资产资本表!BC107</f>
        <v>1.642663555852578</v>
      </c>
      <c r="BD10" s="61">
        <f>资产资本表!BD70/资产资本表!BD107</f>
        <v>1.68390029688871</v>
      </c>
      <c r="BE10" s="61">
        <f>资产资本表!BE70/资产资本表!BE107</f>
        <v>1.6604773262675905</v>
      </c>
      <c r="BF10" s="61">
        <f>资产资本表!BF70/资产资本表!BF107</f>
        <v>1.5844201887574685</v>
      </c>
      <c r="BG10" s="61">
        <f>资产资本表!BG70/资产资本表!BG107</f>
        <v>1.5877992435402888</v>
      </c>
      <c r="BH10" s="61">
        <f>资产资本表!BH70/资产资本表!BH107</f>
        <v>1.5911990346520459</v>
      </c>
      <c r="BI10" s="61">
        <f>资产资本表!BI70/资产资本表!BI107</f>
        <v>1.5650630469536024</v>
      </c>
      <c r="BJ10" s="61">
        <f>资产资本表!BJ70/资产资本表!BJ107</f>
        <v>1.6081184745193662</v>
      </c>
      <c r="BK10" s="61">
        <f>资产资本表!BK70/资产资本表!BK107</f>
        <v>1.6503395795135196</v>
      </c>
      <c r="BL10" s="61">
        <f>资产资本表!BL70/资产资本表!BL107</f>
        <v>0</v>
      </c>
      <c r="BM10" s="61">
        <f>资产资本表!BM70/资产资本表!BM107</f>
        <v>1.6371962883301481</v>
      </c>
      <c r="BN10" s="61">
        <f>资产资本表!BN70/资产资本表!BN107</f>
        <v>1.341512755556113</v>
      </c>
      <c r="BO10" s="61">
        <f>资产资本表!BO70/资产资本表!BO107</f>
        <v>1.3591311441791223</v>
      </c>
      <c r="BP10" s="61">
        <f>资产资本表!BP70/资产资本表!BP107</f>
        <v>1.3580989486824058</v>
      </c>
      <c r="BQ10" s="61">
        <f>资产资本表!BQ70/资产资本表!BQ107</f>
        <v>1.2725631798372883</v>
      </c>
      <c r="BR10" s="61">
        <f>资产资本表!BR70/资产资本表!BR107</f>
        <v>1.318800639192969</v>
      </c>
      <c r="BS10" s="61">
        <f>资产资本表!BS70/资产资本表!BS107</f>
        <v>1.323432290788888</v>
      </c>
      <c r="BT10" s="61">
        <f>资产资本表!BT70/资产资本表!BT107</f>
        <v>1.3911819654548345</v>
      </c>
      <c r="BU10" s="61">
        <f>资产资本表!BU70/资产资本表!BU107</f>
        <v>1.3012765634944137</v>
      </c>
      <c r="BV10" s="61">
        <f>资产资本表!BV70/资产资本表!BV107</f>
        <v>1.2504759687325988</v>
      </c>
      <c r="BW10" s="61">
        <f>资产资本表!BW70/资产资本表!BW107</f>
        <v>1.1997790999275504</v>
      </c>
      <c r="BX10" s="61">
        <f>资产资本表!BX70/资产资本表!BX107</f>
        <v>1.2045627744659995</v>
      </c>
      <c r="BY10" s="61">
        <f>资产资本表!BY70/资产资本表!BY107</f>
        <v>1.2181372501875942</v>
      </c>
      <c r="BZ10" s="61">
        <f>资产资本表!BZ70/资产资本表!BZ107</f>
        <v>0.21325967735874293</v>
      </c>
      <c r="CA10" s="61">
        <f>资产资本表!CA70/资产资本表!CA107</f>
        <v>1.2878302779226731</v>
      </c>
      <c r="CB10" s="61">
        <f>资产资本表!CB70/资产资本表!CB107</f>
        <v>0.43873609986958967</v>
      </c>
      <c r="CC10" s="61">
        <f>资产资本表!CC70/资产资本表!CC107</f>
        <v>0.10868387901238311</v>
      </c>
      <c r="CD10" s="61">
        <f>资产资本表!CD70/资产资本表!CD107</f>
        <v>0.16267241930023646</v>
      </c>
      <c r="CE10" s="61">
        <f>资产资本表!CE70/资产资本表!CE107</f>
        <v>0.17231960087285872</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0.94902824625755444</v>
      </c>
      <c r="F11" s="28">
        <f t="shared" ref="F11:BQ11" si="2">F9*F10</f>
        <v>1.0384617637232194</v>
      </c>
      <c r="G11" s="28">
        <f t="shared" si="2"/>
        <v>1.0512487987070358</v>
      </c>
      <c r="H11" s="28">
        <f t="shared" si="2"/>
        <v>1.0580363366669563</v>
      </c>
      <c r="I11" s="28">
        <f t="shared" si="2"/>
        <v>1.0475810261847689</v>
      </c>
      <c r="J11" s="28">
        <f t="shared" si="2"/>
        <v>1.0803359156745884</v>
      </c>
      <c r="K11" s="28">
        <f t="shared" si="2"/>
        <v>1.0857652582109141</v>
      </c>
      <c r="L11" s="28">
        <f t="shared" si="2"/>
        <v>1.0776129956038494</v>
      </c>
      <c r="M11" s="28">
        <f t="shared" si="2"/>
        <v>1.0229802840429099</v>
      </c>
      <c r="N11" s="28">
        <f t="shared" si="2"/>
        <v>1.1183145027814199</v>
      </c>
      <c r="O11" s="28">
        <f t="shared" si="2"/>
        <v>1.025569700978745</v>
      </c>
      <c r="P11" s="28">
        <f t="shared" si="2"/>
        <v>1.0627761281268679</v>
      </c>
      <c r="Q11" s="28">
        <f t="shared" si="2"/>
        <v>0.98683124611806805</v>
      </c>
      <c r="R11" s="28">
        <f t="shared" si="2"/>
        <v>1.0918110966303176</v>
      </c>
      <c r="S11" s="28">
        <f t="shared" si="2"/>
        <v>1.038454386838195</v>
      </c>
      <c r="T11" s="28">
        <f t="shared" si="2"/>
        <v>1.0156706341899739</v>
      </c>
      <c r="U11" s="28">
        <f t="shared" si="2"/>
        <v>0.92675879002813799</v>
      </c>
      <c r="V11" s="28">
        <f t="shared" si="2"/>
        <v>0.95483157206502922</v>
      </c>
      <c r="W11" s="28">
        <f t="shared" si="2"/>
        <v>0.93700937387325212</v>
      </c>
      <c r="X11" s="28">
        <f t="shared" si="2"/>
        <v>0.94528416283518024</v>
      </c>
      <c r="Y11" s="28">
        <f t="shared" si="2"/>
        <v>0.9577776665693235</v>
      </c>
      <c r="Z11" s="28">
        <f t="shared" si="2"/>
        <v>1.1707965015372244</v>
      </c>
      <c r="AA11" s="28">
        <f t="shared" si="2"/>
        <v>1.1369159271079379</v>
      </c>
      <c r="AB11" s="28">
        <f t="shared" si="2"/>
        <v>1.1281686641725994</v>
      </c>
      <c r="AC11" s="28">
        <f t="shared" si="2"/>
        <v>0.94082876190192044</v>
      </c>
      <c r="AD11" s="28">
        <f t="shared" si="2"/>
        <v>1.0057325705005471</v>
      </c>
      <c r="AE11" s="28">
        <f t="shared" si="2"/>
        <v>1.0160029851991612</v>
      </c>
      <c r="AF11" s="28">
        <f t="shared" si="2"/>
        <v>1.0164121310418957</v>
      </c>
      <c r="AG11" s="28">
        <f t="shared" si="2"/>
        <v>0.93514750262844692</v>
      </c>
      <c r="AH11" s="28">
        <f t="shared" si="2"/>
        <v>0.95269054013417254</v>
      </c>
      <c r="AI11" s="28">
        <f t="shared" si="2"/>
        <v>0.96288131635981122</v>
      </c>
      <c r="AJ11" s="28">
        <f t="shared" si="2"/>
        <v>1.0216084283776512</v>
      </c>
      <c r="AK11" s="28">
        <f t="shared" si="2"/>
        <v>0.97691455163192753</v>
      </c>
      <c r="AL11" s="28">
        <f t="shared" si="2"/>
        <v>1.0011641415146801</v>
      </c>
      <c r="AM11" s="28">
        <f t="shared" si="2"/>
        <v>0.99477640196970962</v>
      </c>
      <c r="AN11" s="28">
        <f t="shared" si="2"/>
        <v>1.0383517964089206</v>
      </c>
      <c r="AO11" s="28">
        <f t="shared" si="2"/>
        <v>0.3038643464381719</v>
      </c>
      <c r="AP11" s="28">
        <f t="shared" si="2"/>
        <v>0.8851967906791206</v>
      </c>
      <c r="AQ11" s="28">
        <f t="shared" si="2"/>
        <v>0.86120984001114587</v>
      </c>
      <c r="AR11" s="28">
        <f t="shared" si="2"/>
        <v>0.89611398470133108</v>
      </c>
      <c r="AS11" s="28">
        <f t="shared" si="2"/>
        <v>0.95560823001828488</v>
      </c>
      <c r="AT11" s="28">
        <f t="shared" si="2"/>
        <v>1.1582712211030219</v>
      </c>
      <c r="AU11" s="28">
        <f t="shared" si="2"/>
        <v>1.0846875878669766</v>
      </c>
      <c r="AV11" s="28">
        <f t="shared" si="2"/>
        <v>1.0731324242233788</v>
      </c>
      <c r="AW11" s="28">
        <f t="shared" si="2"/>
        <v>-0.76290888608038943</v>
      </c>
      <c r="AX11" s="28">
        <f t="shared" si="2"/>
        <v>-0.14914790682065646</v>
      </c>
      <c r="AY11" s="28">
        <f t="shared" si="2"/>
        <v>0.47745623940898096</v>
      </c>
      <c r="AZ11" s="28">
        <f t="shared" si="2"/>
        <v>0.90956606002213181</v>
      </c>
      <c r="BA11" s="28">
        <f t="shared" si="2"/>
        <v>-0.10531757259141533</v>
      </c>
      <c r="BB11" s="28">
        <f t="shared" si="2"/>
        <v>-1.111427056839261</v>
      </c>
      <c r="BC11" s="28">
        <f t="shared" si="2"/>
        <v>-0.23581328945826741</v>
      </c>
      <c r="BD11" s="28">
        <f t="shared" si="2"/>
        <v>0.66426491237212237</v>
      </c>
      <c r="BE11" s="28">
        <f t="shared" si="2"/>
        <v>0.70788494848270811</v>
      </c>
      <c r="BF11" s="28">
        <f t="shared" si="2"/>
        <v>1.1752955330395543</v>
      </c>
      <c r="BG11" s="28">
        <f t="shared" si="2"/>
        <v>1.2046022685656823</v>
      </c>
      <c r="BH11" s="28">
        <f t="shared" si="2"/>
        <v>0.48364945194775133</v>
      </c>
      <c r="BI11" s="28">
        <f t="shared" si="2"/>
        <v>1.2693811485477013</v>
      </c>
      <c r="BJ11" s="28">
        <f t="shared" si="2"/>
        <v>0.25846436885197488</v>
      </c>
      <c r="BK11" s="28">
        <f t="shared" si="2"/>
        <v>3.1683639893196878</v>
      </c>
      <c r="BL11" s="28">
        <f t="shared" si="2"/>
        <v>0</v>
      </c>
      <c r="BM11" s="28">
        <f t="shared" si="2"/>
        <v>1.7243772216440516</v>
      </c>
      <c r="BN11" s="28">
        <f t="shared" si="2"/>
        <v>0.73577011634536027</v>
      </c>
      <c r="BO11" s="28">
        <f t="shared" si="2"/>
        <v>1.1066979814002387</v>
      </c>
      <c r="BP11" s="28">
        <f t="shared" si="2"/>
        <v>1.0846114189553102</v>
      </c>
      <c r="BQ11" s="28">
        <f t="shared" si="2"/>
        <v>1.3335952204768404</v>
      </c>
      <c r="BR11" s="28">
        <f t="shared" ref="BR11:CJ11" si="3">BR9*BR10</f>
        <v>1.276788964993711</v>
      </c>
      <c r="BS11" s="28">
        <f t="shared" si="3"/>
        <v>1.2051541453200514</v>
      </c>
      <c r="BT11" s="28">
        <f t="shared" si="3"/>
        <v>1.2802504246070621</v>
      </c>
      <c r="BU11" s="28">
        <f t="shared" si="3"/>
        <v>1.1977406001736999</v>
      </c>
      <c r="BV11" s="28">
        <f t="shared" si="3"/>
        <v>1.2063970381925293</v>
      </c>
      <c r="BW11" s="28">
        <f t="shared" si="3"/>
        <v>1.2715704115814415</v>
      </c>
      <c r="BX11" s="28">
        <f t="shared" si="3"/>
        <v>1.2184147891091628</v>
      </c>
      <c r="BY11" s="28">
        <f t="shared" si="3"/>
        <v>1.2445449989693935</v>
      </c>
      <c r="BZ11" s="28">
        <f t="shared" si="3"/>
        <v>0.21325967735874293</v>
      </c>
      <c r="CA11" s="28">
        <f t="shared" si="3"/>
        <v>1.2579684369878743</v>
      </c>
      <c r="CB11" s="28">
        <f t="shared" si="3"/>
        <v>0.43873609986958967</v>
      </c>
      <c r="CC11" s="28">
        <f t="shared" si="3"/>
        <v>0.10327349144289168</v>
      </c>
      <c r="CD11" s="28">
        <f t="shared" si="3"/>
        <v>0.16267241930023646</v>
      </c>
      <c r="CE11" s="28">
        <f t="shared" si="3"/>
        <v>0.17231960087285872</v>
      </c>
      <c r="CF11" s="28" t="e">
        <f t="shared" si="3"/>
        <v>#DIV/0!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0.8117217655504736</v>
      </c>
      <c r="F12" s="157">
        <f>F2/股权价值增加表!F38</f>
        <v>0.84253477418647527</v>
      </c>
      <c r="G12" s="157">
        <f>G2/股权价值增加表!G38</f>
        <v>0.84107155078046347</v>
      </c>
      <c r="H12" s="157">
        <f>H2/股权价值增加表!H38</f>
        <v>0.83594065501120141</v>
      </c>
      <c r="I12" s="157">
        <f>I2/股权价值增加表!I38</f>
        <v>0.85539705240035435</v>
      </c>
      <c r="J12" s="157">
        <f>J2/股权价值增加表!J38</f>
        <v>0.84665914737863834</v>
      </c>
      <c r="K12" s="157">
        <f>K2/股权价值增加表!K38</f>
        <v>0.84634416382858069</v>
      </c>
      <c r="L12" s="157">
        <f>L2/股权价值增加表!L38</f>
        <v>0.84972087136496643</v>
      </c>
      <c r="M12" s="157">
        <f>M2/股权价值增加表!M38</f>
        <v>0.86843989983374026</v>
      </c>
      <c r="N12" s="157">
        <f>N2/股权价值增加表!N38</f>
        <v>0.8565690257564964</v>
      </c>
      <c r="O12" s="157">
        <f>O2/股权价值增加表!O38</f>
        <v>0.86332424099801963</v>
      </c>
      <c r="P12" s="157">
        <f>P2/股权价值增加表!P38</f>
        <v>0.84907098172908357</v>
      </c>
      <c r="Q12" s="157">
        <f>Q2/股权价值增加表!Q38</f>
        <v>0.84643117554468716</v>
      </c>
      <c r="R12" s="157">
        <f>R2/股权价值增加表!R38</f>
        <v>0.84192626603121523</v>
      </c>
      <c r="S12" s="157">
        <f>S2/股权价值增加表!S38</f>
        <v>0.84068966856057048</v>
      </c>
      <c r="T12" s="157">
        <f>T2/股权价值增加表!T38</f>
        <v>0.85604869206143053</v>
      </c>
      <c r="U12" s="157">
        <f>U2/股权价值增加表!U38</f>
        <v>0.85534589645767467</v>
      </c>
      <c r="V12" s="157">
        <f>V2/股权价值增加表!V38</f>
        <v>0.84723663407382199</v>
      </c>
      <c r="W12" s="157">
        <f>W2/股权价值增加表!W38</f>
        <v>0.8455418936349548</v>
      </c>
      <c r="X12" s="157">
        <f>X2/股权价值增加表!X38</f>
        <v>0.84855818688707629</v>
      </c>
      <c r="Y12" s="157">
        <f>Y2/股权价值增加表!Y38</f>
        <v>0.84593391085148928</v>
      </c>
      <c r="Z12" s="157">
        <f>Z2/股权价值增加表!Z38</f>
        <v>0.86553270424243345</v>
      </c>
      <c r="AA12" s="157">
        <f>AA2/股权价值增加表!AA38</f>
        <v>0.87314073948073978</v>
      </c>
      <c r="AB12" s="157">
        <f>AB2/股权价值增加表!AB38</f>
        <v>0.84497730049062236</v>
      </c>
      <c r="AC12" s="157">
        <f>AC2/股权价值增加表!AC38</f>
        <v>0.79199043004282932</v>
      </c>
      <c r="AD12" s="157">
        <f>AD2/股权价值增加表!AD38</f>
        <v>0.81151414279422551</v>
      </c>
      <c r="AE12" s="157">
        <f>AE2/股权价值增加表!AE38</f>
        <v>0.79751403184908176</v>
      </c>
      <c r="AF12" s="157">
        <f>AF2/股权价值增加表!AF38</f>
        <v>0.83332403156066381</v>
      </c>
      <c r="AG12" s="157">
        <f>AG2/股权价值增加表!AG38</f>
        <v>0.83835074087010497</v>
      </c>
      <c r="AH12" s="157">
        <f>AH2/股权价值增加表!AH38</f>
        <v>0.84072979779875523</v>
      </c>
      <c r="AI12" s="157">
        <f>AI2/股权价值增加表!AI38</f>
        <v>0.83227323844768031</v>
      </c>
      <c r="AJ12" s="157">
        <f>AJ2/股权价值增加表!AJ38</f>
        <v>0.84792680241365204</v>
      </c>
      <c r="AK12" s="157">
        <f>AK2/股权价值增加表!AK38</f>
        <v>0.79273948077163181</v>
      </c>
      <c r="AL12" s="157">
        <f>AL2/股权价值增加表!AL38</f>
        <v>0.85051120675432401</v>
      </c>
      <c r="AM12" s="157">
        <f>AM2/股权价值增加表!AM38</f>
        <v>0.87504481864127515</v>
      </c>
      <c r="AN12" s="157">
        <f>AN2/股权价值增加表!AN38</f>
        <v>0.81598493911036085</v>
      </c>
      <c r="AO12" s="157">
        <f>AO2/股权价值增加表!AO38</f>
        <v>0.25303985876646912</v>
      </c>
      <c r="AP12" s="157">
        <f>AP2/股权价值增加表!AP38</f>
        <v>0.73608417218647537</v>
      </c>
      <c r="AQ12" s="157">
        <f>AQ2/股权价值增加表!AQ38</f>
        <v>0.71822449965061452</v>
      </c>
      <c r="AR12" s="157">
        <f>AR2/股权价值增加表!AR38</f>
        <v>0.81479362766560959</v>
      </c>
      <c r="AS12" s="157">
        <f>AS2/股权价值增加表!AS38</f>
        <v>0.8152087333308462</v>
      </c>
      <c r="AT12" s="157">
        <f>AT2/股权价值增加表!AT38</f>
        <v>0.91940294721940719</v>
      </c>
      <c r="AU12" s="157">
        <f>AU2/股权价值增加表!AU38</f>
        <v>0.86281161777122872</v>
      </c>
      <c r="AV12" s="157">
        <f>AV2/股权价值增加表!AV38</f>
        <v>0.7504478590519813</v>
      </c>
      <c r="AW12" s="157">
        <f>AW2/股权价值增加表!AW38</f>
        <v>1.6860159152995129</v>
      </c>
      <c r="AX12" s="157">
        <f>AX2/股权价值增加表!AX38</f>
        <v>3.1926267686735925</v>
      </c>
      <c r="AY12" s="157">
        <f>AY2/股权价值增加表!AY38</f>
        <v>0.32061265412624701</v>
      </c>
      <c r="AZ12" s="157">
        <f>AZ2/股权价值增加表!AZ38</f>
        <v>0.92327234058784946</v>
      </c>
      <c r="BA12" s="157">
        <f>BA2/股权价值增加表!BA38</f>
        <v>3.6549154776683217</v>
      </c>
      <c r="BB12" s="157">
        <f>BB2/股权价值增加表!BB38</f>
        <v>1.1388694186340933</v>
      </c>
      <c r="BC12" s="157">
        <f>BC2/股权价值增加表!BC38</f>
        <v>1.8836634293969876</v>
      </c>
      <c r="BD12" s="157">
        <f>BD2/股权价值增加表!BD38</f>
        <v>0.7266631912991306</v>
      </c>
      <c r="BE12" s="157">
        <f>BE2/股权价值增加表!BE38</f>
        <v>2.204860812107183E-2</v>
      </c>
      <c r="BF12" s="157">
        <f>BF2/股权价值增加表!BF38</f>
        <v>0.61585660501958495</v>
      </c>
      <c r="BG12" s="157">
        <f>BG2/股权价值增加表!BG38</f>
        <v>0.71633887179338318</v>
      </c>
      <c r="BH12" s="157">
        <f>BH2/股权价值增加表!BH38</f>
        <v>0.43253221873673287</v>
      </c>
      <c r="BI12" s="157">
        <f>BI2/股权价值增加表!BI38</f>
        <v>0.73629887703149366</v>
      </c>
      <c r="BJ12" s="157">
        <f>BJ2/股权价值增加表!BJ38</f>
        <v>-2.8281545928557552</v>
      </c>
      <c r="BK12" s="157">
        <f>BK2/股权价值增加表!BK38</f>
        <v>1.4384910002207709</v>
      </c>
      <c r="BL12" s="157">
        <f>BL2/股权价值增加表!BL38</f>
        <v>0.33630149892469685</v>
      </c>
      <c r="BM12" s="157">
        <f>BM2/股权价值增加表!BM38</f>
        <v>1.0132466715666886</v>
      </c>
      <c r="BN12" s="157">
        <f>BN2/股权价值增加表!BN38</f>
        <v>0.3701238252792392</v>
      </c>
      <c r="BO12" s="157">
        <f>BO2/股权价值增加表!BO38</f>
        <v>0.70071525485956254</v>
      </c>
      <c r="BP12" s="157">
        <f>BP2/股权价值增加表!BP38</f>
        <v>0.64488831155566761</v>
      </c>
      <c r="BQ12" s="157">
        <f>BQ2/股权价值增加表!BQ38</f>
        <v>1.9902555707477134</v>
      </c>
      <c r="BR12" s="157">
        <f>BR2/股权价值增加表!BR38</f>
        <v>0.81405390370206532</v>
      </c>
      <c r="BS12" s="157">
        <f>BS2/股权价值增加表!BS38</f>
        <v>0.80940231032873722</v>
      </c>
      <c r="BT12" s="157">
        <f>BT2/股权价值增加表!BT38</f>
        <v>0.8219580465223898</v>
      </c>
      <c r="BU12" s="157">
        <f>BU2/股权价值增加表!BU38</f>
        <v>0.73168149841266372</v>
      </c>
      <c r="BV12" s="157">
        <f>BV2/股权价值增加表!BV38</f>
        <v>0.78238609770577439</v>
      </c>
      <c r="BW12" s="157">
        <f>BW2/股权价值增加表!BW38</f>
        <v>0.76554148918171405</v>
      </c>
      <c r="BX12" s="157">
        <f>BX2/股权价值增加表!BX38</f>
        <v>0.80707281956780774</v>
      </c>
      <c r="BY12" s="157">
        <f>BY2/股权价值增加表!BY38</f>
        <v>0.81559624070126158</v>
      </c>
      <c r="BZ12" s="157">
        <f>BZ2/股权价值增加表!BZ38</f>
        <v>0.9774080149785711</v>
      </c>
      <c r="CA12" s="157">
        <f>CA2/股权价值增加表!CA38</f>
        <v>0.82876044329412424</v>
      </c>
      <c r="CB12" s="157">
        <f>CB2/股权价值增加表!CB38</f>
        <v>0.97437001024472158</v>
      </c>
      <c r="CC12" s="157">
        <f>CC2/股权价值增加表!CC38</f>
        <v>0.85227807085708751</v>
      </c>
      <c r="CD12" s="157">
        <f>CD2/股权价值增加表!CD38</f>
        <v>1</v>
      </c>
      <c r="CE12" s="157">
        <f>CE2/股权价值增加表!CE38</f>
        <v>1</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0.1882782344495264</v>
      </c>
      <c r="F13" s="63">
        <f>1-F2/股权价值增加表!F38</f>
        <v>0.15746522581352473</v>
      </c>
      <c r="G13" s="63">
        <f>1-G2/股权价值增加表!G38</f>
        <v>0.15892844921953653</v>
      </c>
      <c r="H13" s="63">
        <f>1-H2/股权价值增加表!H38</f>
        <v>0.16405934498879859</v>
      </c>
      <c r="I13" s="63">
        <f>1-I2/股权价值增加表!I38</f>
        <v>0.14460294759964565</v>
      </c>
      <c r="J13" s="63">
        <f>1-J2/股权价值增加表!J38</f>
        <v>0.15334085262136166</v>
      </c>
      <c r="K13" s="63">
        <f>1-K2/股权价值增加表!K38</f>
        <v>0.15365583617141931</v>
      </c>
      <c r="L13" s="63">
        <f>1-L2/股权价值增加表!L38</f>
        <v>0.15027912863503357</v>
      </c>
      <c r="M13" s="63">
        <f>1-M2/股权价值增加表!M38</f>
        <v>0.13156010016625974</v>
      </c>
      <c r="N13" s="63">
        <f>1-N2/股权价值增加表!N38</f>
        <v>0.1434309742435036</v>
      </c>
      <c r="O13" s="63">
        <f>1-O2/股权价值增加表!O38</f>
        <v>0.13667575900198037</v>
      </c>
      <c r="P13" s="63">
        <f>1-P2/股权价值增加表!P38</f>
        <v>0.15092901827091643</v>
      </c>
      <c r="Q13" s="63">
        <f>1-Q2/股权价值增加表!Q38</f>
        <v>0.15356882445531284</v>
      </c>
      <c r="R13" s="63">
        <f>1-R2/股权价值增加表!R38</f>
        <v>0.15807373396878477</v>
      </c>
      <c r="S13" s="63">
        <f>1-S2/股权价值增加表!S38</f>
        <v>0.15931033143942952</v>
      </c>
      <c r="T13" s="63">
        <f>1-T2/股权价值增加表!T38</f>
        <v>0.14395130793856947</v>
      </c>
      <c r="U13" s="63">
        <f>1-U2/股权价值增加表!U38</f>
        <v>0.14465410354232533</v>
      </c>
      <c r="V13" s="63">
        <f>1-V2/股权价值增加表!V38</f>
        <v>0.15276336592617801</v>
      </c>
      <c r="W13" s="63">
        <f>1-W2/股权价值增加表!W38</f>
        <v>0.1544581063650452</v>
      </c>
      <c r="X13" s="63">
        <f>1-X2/股权价值增加表!X38</f>
        <v>0.15144181311292371</v>
      </c>
      <c r="Y13" s="63">
        <f>1-Y2/股权价值增加表!Y38</f>
        <v>0.15406608914851072</v>
      </c>
      <c r="Z13" s="63">
        <f>1-Z2/股权价值增加表!Z38</f>
        <v>0.13446729575756655</v>
      </c>
      <c r="AA13" s="63">
        <f>1-AA2/股权价值增加表!AA38</f>
        <v>0.12685926051926022</v>
      </c>
      <c r="AB13" s="63">
        <f>1-AB2/股权价值增加表!AB38</f>
        <v>0.15502269950937764</v>
      </c>
      <c r="AC13" s="63">
        <f>1-AC2/股权价值增加表!AC38</f>
        <v>0.20800956995717068</v>
      </c>
      <c r="AD13" s="63">
        <f>1-AD2/股权价值增加表!AD38</f>
        <v>0.18848585720577449</v>
      </c>
      <c r="AE13" s="63">
        <f>1-AE2/股权价值增加表!AE38</f>
        <v>0.20248596815091824</v>
      </c>
      <c r="AF13" s="63">
        <f>1-AF2/股权价值增加表!AF38</f>
        <v>0.16667596843933619</v>
      </c>
      <c r="AG13" s="63">
        <f>1-AG2/股权价值增加表!AG38</f>
        <v>0.16164925912989503</v>
      </c>
      <c r="AH13" s="63">
        <f>1-AH2/股权价值增加表!AH38</f>
        <v>0.15927020220124477</v>
      </c>
      <c r="AI13" s="63">
        <f>1-AI2/股权价值增加表!AI38</f>
        <v>0.16772676155231969</v>
      </c>
      <c r="AJ13" s="63">
        <f>1-AJ2/股权价值增加表!AJ38</f>
        <v>0.15207319758634796</v>
      </c>
      <c r="AK13" s="63">
        <f>1-AK2/股权价值增加表!AK38</f>
        <v>0.20726051922836819</v>
      </c>
      <c r="AL13" s="63">
        <f>1-AL2/股权价值增加表!AL38</f>
        <v>0.14948879324567599</v>
      </c>
      <c r="AM13" s="63">
        <f>1-AM2/股权价值增加表!AM38</f>
        <v>0.12495518135872485</v>
      </c>
      <c r="AN13" s="63">
        <f>1-AN2/股权价值增加表!AN38</f>
        <v>0.18401506088963915</v>
      </c>
      <c r="AO13" s="63">
        <f>1-AO2/股权价值增加表!AO38</f>
        <v>0.74696014123353094</v>
      </c>
      <c r="AP13" s="63">
        <f>1-AP2/股权价值增加表!AP38</f>
        <v>0.26391582781352463</v>
      </c>
      <c r="AQ13" s="63">
        <f>1-AQ2/股权价值增加表!AQ38</f>
        <v>0.28177550034938548</v>
      </c>
      <c r="AR13" s="63">
        <f>1-AR2/股权价值增加表!AR38</f>
        <v>0.18520637233439041</v>
      </c>
      <c r="AS13" s="63">
        <f>1-AS2/股权价值增加表!AS38</f>
        <v>0.1847912666691538</v>
      </c>
      <c r="AT13" s="63">
        <f>1-AT2/股权价值增加表!AT38</f>
        <v>8.0597052780592815E-2</v>
      </c>
      <c r="AU13" s="63">
        <f>1-AU2/股权价值增加表!AU38</f>
        <v>0.13718838222877128</v>
      </c>
      <c r="AV13" s="63">
        <f>1-AV2/股权价值增加表!AV38</f>
        <v>0.2495521409480187</v>
      </c>
      <c r="AW13" s="63">
        <f>1-AW2/股权价值增加表!AW38</f>
        <v>-0.68601591529951289</v>
      </c>
      <c r="AX13" s="63">
        <f>1-AX2/股权价值增加表!AX38</f>
        <v>-2.1926267686735925</v>
      </c>
      <c r="AY13" s="63">
        <f>1-AY2/股权价值增加表!AY38</f>
        <v>0.67938734587375293</v>
      </c>
      <c r="AZ13" s="63">
        <f>1-AZ2/股权价值增加表!AZ38</f>
        <v>7.672765941215054E-2</v>
      </c>
      <c r="BA13" s="63">
        <f>1-BA2/股权价值增加表!BA38</f>
        <v>-2.6549154776683217</v>
      </c>
      <c r="BB13" s="63">
        <f>1-BB2/股权价值增加表!BB38</f>
        <v>-0.1388694186340933</v>
      </c>
      <c r="BC13" s="63">
        <f>1-BC2/股权价值增加表!BC38</f>
        <v>-0.88366342939698761</v>
      </c>
      <c r="BD13" s="63">
        <f>1-BD2/股权价值增加表!BD38</f>
        <v>0.2733368087008694</v>
      </c>
      <c r="BE13" s="63">
        <f>1-BE2/股权价值增加表!BE38</f>
        <v>0.97795139187892821</v>
      </c>
      <c r="BF13" s="63">
        <f>1-BF2/股权价值增加表!BF38</f>
        <v>0.38414339498041505</v>
      </c>
      <c r="BG13" s="63">
        <f>1-BG2/股权价值增加表!BG38</f>
        <v>0.28366112820661682</v>
      </c>
      <c r="BH13" s="63">
        <f>1-BH2/股权价值增加表!BH38</f>
        <v>0.56746778126326713</v>
      </c>
      <c r="BI13" s="63">
        <f>1-BI2/股权价值增加表!BI38</f>
        <v>0.26370112296850634</v>
      </c>
      <c r="BJ13" s="63">
        <f>1-BJ2/股权价值增加表!BJ38</f>
        <v>3.8281545928557552</v>
      </c>
      <c r="BK13" s="63">
        <f>1-BK2/股权价值增加表!BK38</f>
        <v>-0.43849100022077092</v>
      </c>
      <c r="BL13" s="63">
        <f>1-BL2/股权价值增加表!BL38</f>
        <v>0.66369850107530315</v>
      </c>
      <c r="BM13" s="63">
        <f>1-BM2/股权价值增加表!BM38</f>
        <v>-1.3246671566688573E-2</v>
      </c>
      <c r="BN13" s="63">
        <f>1-BN2/股权价值增加表!BN38</f>
        <v>0.62987617472076085</v>
      </c>
      <c r="BO13" s="63">
        <f>1-BO2/股权价值增加表!BO38</f>
        <v>0.29928474514043746</v>
      </c>
      <c r="BP13" s="63">
        <f>1-BP2/股权价值增加表!BP38</f>
        <v>0.35511168844433239</v>
      </c>
      <c r="BQ13" s="63">
        <f>1-BQ2/股权价值增加表!BQ38</f>
        <v>-0.99025557074771342</v>
      </c>
      <c r="BR13" s="63">
        <f>1-BR2/股权价值增加表!BR38</f>
        <v>0.18594609629793468</v>
      </c>
      <c r="BS13" s="63">
        <f>1-BS2/股权价值增加表!BS38</f>
        <v>0.19059768967126278</v>
      </c>
      <c r="BT13" s="63">
        <f>1-BT2/股权价值增加表!BT38</f>
        <v>0.1780419534776102</v>
      </c>
      <c r="BU13" s="63">
        <f>1-BU2/股权价值增加表!BU38</f>
        <v>0.26831850158733628</v>
      </c>
      <c r="BV13" s="63">
        <f>1-BV2/股权价值增加表!BV38</f>
        <v>0.21761390229422561</v>
      </c>
      <c r="BW13" s="63">
        <f>1-BW2/股权价值增加表!BW38</f>
        <v>0.23445851081828595</v>
      </c>
      <c r="BX13" s="63">
        <f>1-BX2/股权价值增加表!BX38</f>
        <v>0.19292718043219226</v>
      </c>
      <c r="BY13" s="63">
        <f>1-BY2/股权价值增加表!BY38</f>
        <v>0.18440375929873842</v>
      </c>
      <c r="BZ13" s="63">
        <f>1-BZ2/股权价值增加表!BZ38</f>
        <v>2.2591985021428895E-2</v>
      </c>
      <c r="CA13" s="63">
        <f>1-CA2/股权价值增加表!CA38</f>
        <v>0.17123955670587576</v>
      </c>
      <c r="CB13" s="63">
        <f>1-CB2/股权价值增加表!CB38</f>
        <v>2.5629989755278415E-2</v>
      </c>
      <c r="CC13" s="63">
        <f>1-CC2/股权价值增加表!CC38</f>
        <v>0.14772192914291249</v>
      </c>
      <c r="CD13" s="63">
        <f>1-CD2/股权价值增加表!CD38</f>
        <v>0</v>
      </c>
      <c r="CE13" s="63">
        <f>1-CE2/股权价值增加表!CE38</f>
        <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0.18690035226306229</v>
      </c>
      <c r="F14" s="59">
        <f t="shared" ref="F14:BQ14" si="4">F6*F7*F9*F10*F12</f>
        <v>0.16157570726320716</v>
      </c>
      <c r="G14" s="59">
        <f t="shared" si="4"/>
        <v>0.10733186058195505</v>
      </c>
      <c r="H14" s="59">
        <f t="shared" si="4"/>
        <v>5.4975263535344709E-2</v>
      </c>
      <c r="I14" s="59">
        <f t="shared" si="4"/>
        <v>0.20541294522997128</v>
      </c>
      <c r="J14" s="59">
        <f t="shared" si="4"/>
        <v>0.16395758076301581</v>
      </c>
      <c r="K14" s="59">
        <f t="shared" si="4"/>
        <v>0.11088126658197796</v>
      </c>
      <c r="L14" s="59">
        <f t="shared" si="4"/>
        <v>5.8657606771533033E-2</v>
      </c>
      <c r="M14" s="59">
        <f t="shared" si="4"/>
        <v>0.18994631266349921</v>
      </c>
      <c r="N14" s="59">
        <f t="shared" si="4"/>
        <v>0.14090476568821542</v>
      </c>
      <c r="O14" s="59">
        <f t="shared" si="4"/>
        <v>9.2898608120369833E-2</v>
      </c>
      <c r="P14" s="59">
        <f t="shared" si="4"/>
        <v>5.1117776481317143E-2</v>
      </c>
      <c r="Q14" s="59">
        <f t="shared" si="4"/>
        <v>0.15339133122973797</v>
      </c>
      <c r="R14" s="59">
        <f t="shared" si="4"/>
        <v>0.11799490905754363</v>
      </c>
      <c r="S14" s="59">
        <f t="shared" si="4"/>
        <v>7.4577965047638223E-2</v>
      </c>
      <c r="T14" s="59">
        <f t="shared" si="4"/>
        <v>3.9796957020373461E-2</v>
      </c>
      <c r="U14" s="59">
        <f t="shared" si="4"/>
        <v>9.6322660978549121E-2</v>
      </c>
      <c r="V14" s="59">
        <f t="shared" si="4"/>
        <v>8.2226139130889275E-2</v>
      </c>
      <c r="W14" s="59">
        <f t="shared" si="4"/>
        <v>5.478181824583591E-2</v>
      </c>
      <c r="X14" s="59">
        <f t="shared" si="4"/>
        <v>2.7495095461610438E-2</v>
      </c>
      <c r="Y14" s="59">
        <f t="shared" si="4"/>
        <v>8.6206808470606355E-2</v>
      </c>
      <c r="Z14" s="59">
        <f t="shared" si="4"/>
        <v>7.7977332558831478E-2</v>
      </c>
      <c r="AA14" s="59">
        <f t="shared" si="4"/>
        <v>5.7507616922565841E-2</v>
      </c>
      <c r="AB14" s="59">
        <f t="shared" si="4"/>
        <v>3.1627183491329147E-2</v>
      </c>
      <c r="AC14" s="59">
        <f t="shared" si="4"/>
        <v>0.12657069517926164</v>
      </c>
      <c r="AD14" s="59">
        <f t="shared" si="4"/>
        <v>0.12662723410643623</v>
      </c>
      <c r="AE14" s="59">
        <f t="shared" si="4"/>
        <v>8.8342114318403872E-2</v>
      </c>
      <c r="AF14" s="59">
        <f t="shared" si="4"/>
        <v>4.4775622707476787E-2</v>
      </c>
      <c r="AG14" s="59">
        <f t="shared" si="4"/>
        <v>0.16536361588773643</v>
      </c>
      <c r="AH14" s="59">
        <f t="shared" si="4"/>
        <v>0.12997210994391953</v>
      </c>
      <c r="AI14" s="59">
        <f t="shared" si="4"/>
        <v>8.7079242848255189E-2</v>
      </c>
      <c r="AJ14" s="59">
        <f t="shared" si="4"/>
        <v>4.2416184617843002E-2</v>
      </c>
      <c r="AK14" s="59">
        <f t="shared" si="4"/>
        <v>0.11172441376854814</v>
      </c>
      <c r="AL14" s="59">
        <f t="shared" si="4"/>
        <v>7.389311659567166E-2</v>
      </c>
      <c r="AM14" s="59">
        <f t="shared" si="4"/>
        <v>3.5433343423442024E-2</v>
      </c>
      <c r="AN14" s="59">
        <f t="shared" si="4"/>
        <v>2.0691974157978698E-2</v>
      </c>
      <c r="AO14" s="59">
        <f t="shared" si="4"/>
        <v>2.918020468784057E-3</v>
      </c>
      <c r="AP14" s="59">
        <f t="shared" si="4"/>
        <v>6.4216244216788662E-2</v>
      </c>
      <c r="AQ14" s="59">
        <f t="shared" si="4"/>
        <v>3.9834113051261652E-2</v>
      </c>
      <c r="AR14" s="59">
        <f t="shared" si="4"/>
        <v>2.0445198723059273E-2</v>
      </c>
      <c r="AS14" s="59">
        <f t="shared" si="4"/>
        <v>0.18502154289320882</v>
      </c>
      <c r="AT14" s="59">
        <f t="shared" si="4"/>
        <v>0.14134516722792795</v>
      </c>
      <c r="AU14" s="59">
        <f t="shared" si="4"/>
        <v>4.1003762208174512E-2</v>
      </c>
      <c r="AV14" s="59">
        <f t="shared" si="4"/>
        <v>1.2862154970764716E-2</v>
      </c>
      <c r="AW14" s="59">
        <f t="shared" si="4"/>
        <v>-3.0383677388669188E-2</v>
      </c>
      <c r="AX14" s="59">
        <f t="shared" si="4"/>
        <v>-6.3969102341854068E-3</v>
      </c>
      <c r="AY14" s="59">
        <f t="shared" si="4"/>
        <v>2.0543639356716587E-3</v>
      </c>
      <c r="AZ14" s="59">
        <f t="shared" si="4"/>
        <v>8.0779092970358953E-3</v>
      </c>
      <c r="BA14" s="59">
        <f t="shared" si="4"/>
        <v>-8.9748536133886433E-3</v>
      </c>
      <c r="BB14" s="59">
        <f t="shared" si="4"/>
        <v>-1.0172658816242139E-2</v>
      </c>
      <c r="BC14" s="59">
        <f t="shared" si="4"/>
        <v>-2.856052276642563E-3</v>
      </c>
      <c r="BD14" s="59">
        <f t="shared" si="4"/>
        <v>3.0235402717192681E-3</v>
      </c>
      <c r="BE14" s="59">
        <f t="shared" si="4"/>
        <v>1.5999727444239803E-4</v>
      </c>
      <c r="BF14" s="59">
        <f t="shared" si="4"/>
        <v>1.8573777096852637E-2</v>
      </c>
      <c r="BG14" s="59">
        <f t="shared" si="4"/>
        <v>1.3215129195229007E-2</v>
      </c>
      <c r="BH14" s="59">
        <f t="shared" si="4"/>
        <v>1.171029496456244E-3</v>
      </c>
      <c r="BI14" s="59">
        <f t="shared" si="4"/>
        <v>3.4457961809864747E-2</v>
      </c>
      <c r="BJ14" s="59">
        <f t="shared" si="4"/>
        <v>-5.635788872283551E-3</v>
      </c>
      <c r="BK14" s="59">
        <f t="shared" si="4"/>
        <v>-2.229656978859788E-2</v>
      </c>
      <c r="BL14" s="59" t="e">
        <f t="shared" si="4"/>
        <v>#DIV/0!</v>
      </c>
      <c r="BM14" s="59">
        <f t="shared" si="4"/>
        <v>-0.57598992910960256</v>
      </c>
      <c r="BN14" s="59">
        <f t="shared" si="4"/>
        <v>4.7055360452303808E-3</v>
      </c>
      <c r="BO14" s="59">
        <f t="shared" si="4"/>
        <v>1.3503926683288762E-2</v>
      </c>
      <c r="BP14" s="59">
        <f t="shared" si="4"/>
        <v>9.2312220683056622E-3</v>
      </c>
      <c r="BQ14" s="59">
        <f t="shared" si="4"/>
        <v>-4.9782039184401911E-2</v>
      </c>
      <c r="BR14" s="59">
        <f t="shared" ref="BR14:CJ14" si="5">BR6*BR7*BR9*BR10*BR12</f>
        <v>3.9599544989137439E-2</v>
      </c>
      <c r="BS14" s="59">
        <f t="shared" si="5"/>
        <v>8.593336255852381E-2</v>
      </c>
      <c r="BT14" s="59">
        <f t="shared" si="5"/>
        <v>5.3583827379825234E-2</v>
      </c>
      <c r="BU14" s="59">
        <f t="shared" si="5"/>
        <v>9.2211306674913202E-2</v>
      </c>
      <c r="BV14" s="59">
        <f t="shared" si="5"/>
        <v>6.3045034943637002E-2</v>
      </c>
      <c r="BW14" s="59">
        <f t="shared" si="5"/>
        <v>0.11083159599206191</v>
      </c>
      <c r="BX14" s="59">
        <f t="shared" si="5"/>
        <v>6.940195617027739E-2</v>
      </c>
      <c r="BY14" s="59">
        <f t="shared" si="5"/>
        <v>0.14668656352051829</v>
      </c>
      <c r="BZ14" s="59">
        <f t="shared" si="5"/>
        <v>0.49343352090775949</v>
      </c>
      <c r="CA14" s="59">
        <f t="shared" si="5"/>
        <v>0.19346179271906022</v>
      </c>
      <c r="CB14" s="59">
        <f t="shared" si="5"/>
        <v>1.0065549594287619</v>
      </c>
      <c r="CC14" s="59">
        <f t="shared" si="5"/>
        <v>0.27826654510289767</v>
      </c>
      <c r="CD14" s="59">
        <f t="shared" si="5"/>
        <v>2.5260938243103257</v>
      </c>
      <c r="CE14" s="59">
        <f t="shared" si="5"/>
        <v>2.1814204188696955</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699</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34699</v>
      </c>
      <c r="CE18" s="1">
        <v>34334</v>
      </c>
      <c r="CF18" s="1">
        <v>25569</v>
      </c>
      <c r="CG18" s="1"/>
      <c r="CH18" s="1"/>
      <c r="CI18" s="1"/>
      <c r="CJ18" s="1"/>
      <c r="CK18" s="1"/>
    </row>
    <row r="19" spans="1:89" s="116" customFormat="1" x14ac:dyDescent="0.25">
      <c r="A19" s="158" t="s">
        <v>447</v>
      </c>
      <c r="B19" s="76">
        <v>43373</v>
      </c>
      <c r="C19" s="76">
        <v>43281</v>
      </c>
      <c r="D19" s="76">
        <v>43190</v>
      </c>
      <c r="E19" s="76">
        <f>股权价值增加表!E4</f>
        <v>21384699076.650002</v>
      </c>
      <c r="F19" s="76">
        <f>股权价值增加表!F4</f>
        <v>15977114535.049999</v>
      </c>
      <c r="G19" s="76">
        <f>股权价值增加表!G4</f>
        <v>10568060854.209999</v>
      </c>
      <c r="H19" s="76">
        <f>股权价值增加表!H4</f>
        <v>5690391543.4200001</v>
      </c>
      <c r="I19" s="76">
        <f>股权价值增加表!I4</f>
        <v>16334914501.690001</v>
      </c>
      <c r="J19" s="76">
        <f>股权价值增加表!J4</f>
        <v>12055635914.24</v>
      </c>
      <c r="K19" s="76">
        <f>股权价值增加表!K4</f>
        <v>7984787194.9200001</v>
      </c>
      <c r="L19" s="76">
        <f>股权价值增加表!L4</f>
        <v>4239779074.6999998</v>
      </c>
      <c r="M19" s="76">
        <f>股权价值增加表!M4</f>
        <v>13131626932.440001</v>
      </c>
      <c r="N19" s="76">
        <f>股权价值增加表!N4</f>
        <v>9611975965.1399994</v>
      </c>
      <c r="O19" s="76">
        <f>股权价值增加表!O4</f>
        <v>6101903864.6000004</v>
      </c>
      <c r="P19" s="76">
        <f>股权价值增加表!P4</f>
        <v>3293972545.0799999</v>
      </c>
      <c r="Q19" s="76">
        <f>股权价值增加表!Q4</f>
        <v>10804217288.6</v>
      </c>
      <c r="R19" s="76">
        <f>股权价值增加表!R4</f>
        <v>7778315404.7200003</v>
      </c>
      <c r="S19" s="76">
        <f>股权价值增加表!S4</f>
        <v>4974057020.5600004</v>
      </c>
      <c r="T19" s="76">
        <f>股权价值增加表!T4</f>
        <v>2576160088.4299998</v>
      </c>
      <c r="U19" s="76">
        <f>股权价值增加表!U4</f>
        <v>8727956044.3700008</v>
      </c>
      <c r="V19" s="76">
        <f>股权价值增加表!V4</f>
        <v>6350114706</v>
      </c>
      <c r="W19" s="76">
        <f>股权价值增加表!W4</f>
        <v>3998224336.3099999</v>
      </c>
      <c r="X19" s="76">
        <f>股权价值增加表!X4</f>
        <v>2359241990.6399999</v>
      </c>
      <c r="Y19" s="76">
        <f>股权价值增加表!Y4</f>
        <v>6899863926.8100004</v>
      </c>
      <c r="Z19" s="76">
        <f>股权价值增加表!Z4</f>
        <v>4575118340.7200003</v>
      </c>
      <c r="AA19" s="76">
        <f>股权价值增加表!AA4</f>
        <v>3101328731.1399999</v>
      </c>
      <c r="AB19" s="76">
        <f>股权价值增加表!AB4</f>
        <v>1629565324.8699999</v>
      </c>
      <c r="AC19" s="76">
        <f>股权价值增加表!AC4</f>
        <v>10975621704.52</v>
      </c>
      <c r="AD19" s="76">
        <f>股权价值增加表!AD4</f>
        <v>9365771616.3799992</v>
      </c>
      <c r="AE19" s="76">
        <f>股权价值增加表!AE4</f>
        <v>6747514122.5299997</v>
      </c>
      <c r="AF19" s="76">
        <f>股权价值增加表!AF4</f>
        <v>3831419221.9899998</v>
      </c>
      <c r="AG19" s="76">
        <f>股权价值增加表!AG4</f>
        <v>11202366806.139999</v>
      </c>
      <c r="AH19" s="76">
        <f>股权价值增加表!AH4</f>
        <v>5578524408.5699997</v>
      </c>
      <c r="AI19" s="76">
        <f>股权价值增加表!AI4</f>
        <v>3634134845.0599999</v>
      </c>
      <c r="AJ19" s="76">
        <f>股权价值增加表!AJ4</f>
        <v>1662106246.1400001</v>
      </c>
      <c r="AK19" s="76">
        <f>股权价值增加表!AK4</f>
        <v>4375244455.6700001</v>
      </c>
      <c r="AL19" s="76">
        <f>股权价值增加表!AL4</f>
        <v>2917972991.5300002</v>
      </c>
      <c r="AM19" s="76">
        <f>股权价值增加表!AM4</f>
        <v>1902488624.24</v>
      </c>
      <c r="AN19" s="76">
        <f>股权价值增加表!AN4</f>
        <v>974105929.14999998</v>
      </c>
      <c r="AO19" s="76">
        <f>股权价值增加表!AO4</f>
        <v>4292987464.9099998</v>
      </c>
      <c r="AP19" s="76">
        <f>股权价值增加表!AP4</f>
        <v>3424461057.8000002</v>
      </c>
      <c r="AQ19" s="76">
        <f>股权价值增加表!AQ4</f>
        <v>2424428981.79</v>
      </c>
      <c r="AR19" s="76">
        <f>股权价值增加表!AR4</f>
        <v>1137955453.8800001</v>
      </c>
      <c r="AS19" s="76">
        <f>股权价值增加表!AS4</f>
        <v>5000691662.6000004</v>
      </c>
      <c r="AT19" s="76">
        <f>股权价值增加表!AT4</f>
        <v>4087399844.5799999</v>
      </c>
      <c r="AU19" s="76">
        <f>股权价值增加表!AU4</f>
        <v>2838239098.3600001</v>
      </c>
      <c r="AV19" s="76">
        <f>股权价值增加表!AV4</f>
        <v>1448227231.03</v>
      </c>
      <c r="AW19" s="76">
        <f>股权价值增加表!AW4</f>
        <v>4256337912.5599999</v>
      </c>
      <c r="AX19" s="76">
        <f>股权价值增加表!AX4</f>
        <v>3225715910.6500001</v>
      </c>
      <c r="AY19" s="76">
        <f>股权价值增加表!AY4</f>
        <v>2156714477.5300002</v>
      </c>
      <c r="AZ19" s="76">
        <f>股权价值增加表!AZ4</f>
        <v>976143221.25</v>
      </c>
      <c r="BA19" s="76">
        <f>股权价值增加表!BA4</f>
        <v>3260169539.9899998</v>
      </c>
      <c r="BB19" s="76">
        <f>股权价值增加表!BB4</f>
        <v>2185347410.0599999</v>
      </c>
      <c r="BC19" s="76">
        <f>股权价值增加表!BC4</f>
        <v>1396405790.98</v>
      </c>
      <c r="BD19" s="76">
        <f>股权价值增加表!BD4</f>
        <v>722525366.98000002</v>
      </c>
      <c r="BE19" s="76">
        <f>股权价值增加表!BE4</f>
        <v>2422932739.4299998</v>
      </c>
      <c r="BF19" s="76">
        <f>股权价值增加表!BF4</f>
        <v>1631067598.8699999</v>
      </c>
      <c r="BG19" s="76">
        <f>股权价值增加表!BG4</f>
        <v>1096815366.1900001</v>
      </c>
      <c r="BH19" s="76">
        <f>股权价值增加表!BH4</f>
        <v>593622323.5</v>
      </c>
      <c r="BI19" s="76">
        <f>股权价值增加表!BI4</f>
        <v>2901320283.3400002</v>
      </c>
      <c r="BJ19" s="76">
        <f>股权价值增加表!BJ4</f>
        <v>1974796702.98</v>
      </c>
      <c r="BK19" s="76">
        <f>股权价值增加表!BK4</f>
        <v>1379648578.77</v>
      </c>
      <c r="BL19" s="76">
        <f>股权价值增加表!BL4</f>
        <v>844004675.41999996</v>
      </c>
      <c r="BM19" s="76">
        <f>股权价值增加表!BM4</f>
        <v>2941801551.71</v>
      </c>
      <c r="BN19" s="76">
        <f>股权价值增加表!BN4</f>
        <v>2413369231.4699998</v>
      </c>
      <c r="BO19" s="76">
        <f>股权价值增加表!BO4</f>
        <v>1553250340.3699999</v>
      </c>
      <c r="BP19" s="76">
        <f>股权价值增加表!BP4</f>
        <v>704977794.35000002</v>
      </c>
      <c r="BQ19" s="76">
        <f>股权价值增加表!BQ4</f>
        <v>1953492571.3699999</v>
      </c>
      <c r="BR19" s="76">
        <f>股权价值增加表!BR4</f>
        <v>1129633647.3499999</v>
      </c>
      <c r="BS19" s="76">
        <f>股权价值增加表!BS4</f>
        <v>2724863451</v>
      </c>
      <c r="BT19" s="76">
        <f>股权价值增加表!BT4</f>
        <v>1473517142.3199999</v>
      </c>
      <c r="BU19" s="76">
        <f>股权价值增加表!BU4</f>
        <v>2659634845.5700002</v>
      </c>
      <c r="BV19" s="76">
        <f>股权价值增加表!BV4</f>
        <v>1411090743.24</v>
      </c>
      <c r="BW19" s="76">
        <f>股权价值增加表!BW4</f>
        <v>2167165833</v>
      </c>
      <c r="BX19" s="76">
        <f>股权价值增加表!BX4</f>
        <v>1004452329.15</v>
      </c>
      <c r="BY19" s="76">
        <f>股权价值增加表!BY4</f>
        <v>1839356280.23</v>
      </c>
      <c r="BZ19" s="76">
        <f>股权价值增加表!BZ4</f>
        <v>882693130</v>
      </c>
      <c r="CA19" s="76">
        <f>股权价值增加表!CA4</f>
        <v>1353158315.8900001</v>
      </c>
      <c r="CB19" s="76">
        <f>股权价值增加表!CB4</f>
        <v>661118000</v>
      </c>
      <c r="CC19" s="76">
        <f>股权价值增加表!CC4</f>
        <v>1005257323.24</v>
      </c>
      <c r="CD19" s="76">
        <f>股权价值增加表!CD4</f>
        <v>764095148.28999996</v>
      </c>
      <c r="CE19" s="76">
        <f>股权价值增加表!CE4</f>
        <v>484685682.33999997</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448</v>
      </c>
      <c r="E20" s="76">
        <f>股权价值增加表!E15</f>
        <v>1604652313.0400012</v>
      </c>
      <c r="F20" s="76">
        <f>股权价值增加表!F15</f>
        <v>1254326807.5699987</v>
      </c>
      <c r="G20" s="76">
        <f>股权价值增加表!G15</f>
        <v>755091570.93999922</v>
      </c>
      <c r="H20" s="76">
        <f>股权价值增加表!H15</f>
        <v>396412462.02999961</v>
      </c>
      <c r="I20" s="76">
        <f>股权价值增加表!I15</f>
        <v>1217273494.7299998</v>
      </c>
      <c r="J20" s="76">
        <f>股权价值增加表!J15</f>
        <v>1039849195.03</v>
      </c>
      <c r="K20" s="76">
        <f>股权价值增加表!K15</f>
        <v>661510723.93999994</v>
      </c>
      <c r="L20" s="76">
        <f>股权价值增加表!L15</f>
        <v>369142804.94999969</v>
      </c>
      <c r="M20" s="76">
        <f>股权价值增加表!M15</f>
        <v>909038496.17000008</v>
      </c>
      <c r="N20" s="76">
        <f>股权价值增加表!N15</f>
        <v>753300542.51999962</v>
      </c>
      <c r="O20" s="76">
        <f>股权价值增加表!O15</f>
        <v>494648527.12000078</v>
      </c>
      <c r="P20" s="76">
        <f>股权价值增加表!P15</f>
        <v>283601652.53999984</v>
      </c>
      <c r="Q20" s="76">
        <f>股权价值增加表!Q15</f>
        <v>753105610.73000097</v>
      </c>
      <c r="R20" s="76">
        <f>股权价值增加表!R15</f>
        <v>570908876.42000043</v>
      </c>
      <c r="S20" s="76">
        <f>股权价值增加表!S15</f>
        <v>364052210.28000033</v>
      </c>
      <c r="T20" s="76">
        <f>股权价值增加表!T15</f>
        <v>205527895.87999997</v>
      </c>
      <c r="U20" s="76">
        <f>股权价值增加表!U15</f>
        <v>440040885.01000124</v>
      </c>
      <c r="V20" s="76">
        <f>股权价值增加表!V15</f>
        <v>364428008.75999963</v>
      </c>
      <c r="W20" s="76">
        <f>股权价值增加表!W15</f>
        <v>249889572.45999995</v>
      </c>
      <c r="X20" s="76">
        <f>股权价值增加表!X15</f>
        <v>130187430.33999985</v>
      </c>
      <c r="Y20" s="76">
        <f>股权价值增加表!Y15</f>
        <v>386920800.58000088</v>
      </c>
      <c r="Z20" s="76">
        <f>股权价值增加表!Z15</f>
        <v>321706323.31000054</v>
      </c>
      <c r="AA20" s="76">
        <f>股权价值增加表!AA15</f>
        <v>236860815.90999985</v>
      </c>
      <c r="AB20" s="76">
        <f>股权价值增加表!AB15</f>
        <v>136468258.96000001</v>
      </c>
      <c r="AC20" s="76">
        <f>股权价值增加表!AC15</f>
        <v>591564029.21000111</v>
      </c>
      <c r="AD20" s="76">
        <f>股权价值增加表!AD15</f>
        <v>542717796.91999924</v>
      </c>
      <c r="AE20" s="76">
        <f>股权价值增加表!AE15</f>
        <v>377550990.17999941</v>
      </c>
      <c r="AF20" s="76">
        <f>股权价值增加表!AF15</f>
        <v>166782592.06999978</v>
      </c>
      <c r="AG20" s="76">
        <f>股权价值增加表!AG15</f>
        <v>736230157.62999916</v>
      </c>
      <c r="AH20" s="76">
        <f>股权价值增加表!AH15</f>
        <v>359504708.59999967</v>
      </c>
      <c r="AI20" s="76">
        <f>股权价值增加表!AI15</f>
        <v>228910612.35999987</v>
      </c>
      <c r="AJ20" s="76">
        <f>股权价值增加表!AJ15</f>
        <v>97465717.360000208</v>
      </c>
      <c r="AK20" s="76">
        <f>股权价值增加表!AK15</f>
        <v>284539056.74000007</v>
      </c>
      <c r="AL20" s="76">
        <f>股权价值增加表!AL15</f>
        <v>166711018.59000006</v>
      </c>
      <c r="AM20" s="76">
        <f>股权价值增加表!AM15</f>
        <v>96747415.129999951</v>
      </c>
      <c r="AN20" s="76">
        <f>股权价值增加表!AN15</f>
        <v>33652051.729999982</v>
      </c>
      <c r="AO20" s="76">
        <f>股权价值增加表!AO15</f>
        <v>-7849321.7600003816</v>
      </c>
      <c r="AP20" s="76">
        <f>股权价值增加表!AP15</f>
        <v>144157869.51000017</v>
      </c>
      <c r="AQ20" s="76">
        <f>股权价值增加表!AQ15</f>
        <v>87565525.299999863</v>
      </c>
      <c r="AR20" s="76">
        <f>股权价值增加表!AR15</f>
        <v>39288328.800000176</v>
      </c>
      <c r="AS20" s="76">
        <f>股权价值增加表!AS15</f>
        <v>183951886.73000023</v>
      </c>
      <c r="AT20" s="76">
        <f>股权价值增加表!AT15</f>
        <v>64261804.569999829</v>
      </c>
      <c r="AU20" s="76">
        <f>股权价值增加表!AU15</f>
        <v>47112055.039999954</v>
      </c>
      <c r="AV20" s="76">
        <f>股权价值增加表!AV15</f>
        <v>14984455.380000021</v>
      </c>
      <c r="AW20" s="76">
        <f>股权价值增加表!AW15</f>
        <v>481808.66000005975</v>
      </c>
      <c r="AX20" s="76">
        <f>股权价值增加表!AX15</f>
        <v>199815.82000031881</v>
      </c>
      <c r="AY20" s="76">
        <f>股权价值增加表!AY15</f>
        <v>16505241.780000234</v>
      </c>
      <c r="AZ20" s="76">
        <f>股权价值增加表!AZ15</f>
        <v>15936151.889999978</v>
      </c>
      <c r="BA20" s="76">
        <f>股权价值增加表!BA15</f>
        <v>12711292.36999977</v>
      </c>
      <c r="BB20" s="76">
        <f>股权价值增加表!BB15</f>
        <v>-5238383.0900000446</v>
      </c>
      <c r="BC20" s="76">
        <f>股权价值增加表!BC15</f>
        <v>3032371.3500000685</v>
      </c>
      <c r="BD20" s="76">
        <f>股权价值增加表!BD15</f>
        <v>6240145.459999999</v>
      </c>
      <c r="BE20" s="76">
        <f>股权价值增加表!BE15</f>
        <v>-13894774.40000011</v>
      </c>
      <c r="BF20" s="76">
        <f>股权价值增加表!BF15</f>
        <v>29120637.849999875</v>
      </c>
      <c r="BG20" s="76">
        <f>股权价值增加表!BG15</f>
        <v>15992400.219999988</v>
      </c>
      <c r="BH20" s="76">
        <f>股权价值增加表!BH15</f>
        <v>4220095.4899999686</v>
      </c>
      <c r="BI20" s="76">
        <f>股权价值增加表!BI15</f>
        <v>11812054.950000331</v>
      </c>
      <c r="BJ20" s="76">
        <f>股权价值增加表!BJ15</f>
        <v>-23409668.360000037</v>
      </c>
      <c r="BK20" s="76">
        <f>股权价值增加表!BK15</f>
        <v>-31752440.610000059</v>
      </c>
      <c r="BL20" s="76">
        <f>股权价值增加表!BL15</f>
        <v>10268951.96999998</v>
      </c>
      <c r="BM20" s="76">
        <f>股权价值增加表!BM15</f>
        <v>-641505884.25000024</v>
      </c>
      <c r="BN20" s="76">
        <f>股权价值增加表!BN15</f>
        <v>44960600.729999833</v>
      </c>
      <c r="BO20" s="76">
        <f>股权价值增加表!BO15</f>
        <v>60385885.919999957</v>
      </c>
      <c r="BP20" s="76">
        <f>股权价值增加表!BP15</f>
        <v>33148612.170000017</v>
      </c>
      <c r="BQ20" s="76">
        <f>股权价值增加表!BQ15</f>
        <v>-68225644.999999955</v>
      </c>
      <c r="BR20" s="76">
        <f>股权价值增加表!BR15</f>
        <v>94988238.999999911</v>
      </c>
      <c r="BS20" s="76">
        <f>股权价值增加表!BS15</f>
        <v>224578786.49999994</v>
      </c>
      <c r="BT20" s="76">
        <f>股权价值增加表!BT15</f>
        <v>144916380.61999992</v>
      </c>
      <c r="BU20" s="76">
        <f>股权价值增加表!BU15</f>
        <v>301172041.89000028</v>
      </c>
      <c r="BV20" s="76">
        <f>股权价值增加表!BV15</f>
        <v>181105328.94000006</v>
      </c>
      <c r="BW20" s="76">
        <f>股权价值增加表!BW15</f>
        <v>305700305.35000002</v>
      </c>
      <c r="BX20" s="76">
        <f>股权价值增加表!BX15</f>
        <v>174607565.33999997</v>
      </c>
      <c r="BY20" s="76">
        <f>股权价值增加表!BY15</f>
        <v>332264257.75000012</v>
      </c>
      <c r="BZ20" s="76">
        <f>股权价值增加表!BZ15</f>
        <v>882693130</v>
      </c>
      <c r="CA20" s="76">
        <f>股权价值增加表!CA15</f>
        <v>228810928.5200001</v>
      </c>
      <c r="CB20" s="76">
        <f>股权价值增加表!CB15</f>
        <v>661118000</v>
      </c>
      <c r="CC20" s="76">
        <f>股权价值增加表!CC15</f>
        <v>183379555.42000005</v>
      </c>
      <c r="CD20" s="76">
        <f>股权价值增加表!CD15</f>
        <v>764095148.28999996</v>
      </c>
      <c r="CE20" s="76">
        <f>股权价值增加表!CE15</f>
        <v>484685682.33999997</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449</v>
      </c>
      <c r="E21" s="243">
        <f>E20/E19</f>
        <v>7.5037404421188433E-2</v>
      </c>
      <c r="F21" s="243">
        <f t="shared" ref="F21:BQ21" si="6">F20/F19</f>
        <v>7.8507718325377424E-2</v>
      </c>
      <c r="G21" s="243">
        <f t="shared" si="6"/>
        <v>7.1450342816600398E-2</v>
      </c>
      <c r="H21" s="243">
        <f t="shared" si="6"/>
        <v>6.9663477285387382E-2</v>
      </c>
      <c r="I21" s="243">
        <f t="shared" si="6"/>
        <v>7.451973468266769E-2</v>
      </c>
      <c r="J21" s="243">
        <f t="shared" si="6"/>
        <v>8.6254196993601984E-2</v>
      </c>
      <c r="K21" s="243">
        <f t="shared" si="6"/>
        <v>8.2846381223642324E-2</v>
      </c>
      <c r="L21" s="243">
        <f t="shared" si="6"/>
        <v>8.70665189025491E-2</v>
      </c>
      <c r="M21" s="243">
        <f t="shared" si="6"/>
        <v>6.9225123501211946E-2</v>
      </c>
      <c r="N21" s="243">
        <f t="shared" si="6"/>
        <v>7.837103892602458E-2</v>
      </c>
      <c r="O21" s="243">
        <f t="shared" si="6"/>
        <v>8.1064621484728455E-2</v>
      </c>
      <c r="P21" s="243">
        <f t="shared" si="6"/>
        <v>8.6097151284274615E-2</v>
      </c>
      <c r="Q21" s="243">
        <f t="shared" si="6"/>
        <v>6.9704781995141421E-2</v>
      </c>
      <c r="R21" s="243">
        <f t="shared" si="6"/>
        <v>7.3397496336232937E-2</v>
      </c>
      <c r="S21" s="243">
        <f t="shared" si="6"/>
        <v>7.3190196408125172E-2</v>
      </c>
      <c r="T21" s="243">
        <f t="shared" si="6"/>
        <v>7.978071580375104E-2</v>
      </c>
      <c r="U21" s="243">
        <f t="shared" si="6"/>
        <v>5.0417403888491301E-2</v>
      </c>
      <c r="V21" s="243">
        <f t="shared" si="6"/>
        <v>5.7389200925089499E-2</v>
      </c>
      <c r="W21" s="243">
        <f t="shared" si="6"/>
        <v>6.2500137921381732E-2</v>
      </c>
      <c r="X21" s="243">
        <f t="shared" si="6"/>
        <v>5.518188929177352E-2</v>
      </c>
      <c r="Y21" s="243">
        <f t="shared" si="6"/>
        <v>5.607658421734777E-2</v>
      </c>
      <c r="Z21" s="243">
        <f t="shared" si="6"/>
        <v>7.0316503170357911E-2</v>
      </c>
      <c r="AA21" s="243">
        <f t="shared" si="6"/>
        <v>7.6373979169545664E-2</v>
      </c>
      <c r="AB21" s="243">
        <f t="shared" si="6"/>
        <v>8.3745190743357831E-2</v>
      </c>
      <c r="AC21" s="243">
        <f t="shared" si="6"/>
        <v>5.3897997319494177E-2</v>
      </c>
      <c r="AD21" s="243">
        <f t="shared" si="6"/>
        <v>5.7946939040327272E-2</v>
      </c>
      <c r="AE21" s="243">
        <f t="shared" si="6"/>
        <v>5.5954086693846827E-2</v>
      </c>
      <c r="AF21" s="243">
        <f t="shared" si="6"/>
        <v>4.3530238380798912E-2</v>
      </c>
      <c r="AG21" s="243">
        <f t="shared" si="6"/>
        <v>6.5720947222195278E-2</v>
      </c>
      <c r="AH21" s="243">
        <f t="shared" si="6"/>
        <v>6.4444408999575431E-2</v>
      </c>
      <c r="AI21" s="243">
        <f t="shared" si="6"/>
        <v>6.2989025481860056E-2</v>
      </c>
      <c r="AJ21" s="243">
        <f t="shared" si="6"/>
        <v>5.8639883934225118E-2</v>
      </c>
      <c r="AK21" s="243">
        <f t="shared" si="6"/>
        <v>6.5033864878397379E-2</v>
      </c>
      <c r="AL21" s="243">
        <f t="shared" si="6"/>
        <v>5.7132474863171148E-2</v>
      </c>
      <c r="AM21" s="243">
        <f t="shared" si="6"/>
        <v>5.0853084689874713E-2</v>
      </c>
      <c r="AN21" s="243">
        <f t="shared" si="6"/>
        <v>3.454660394005054E-2</v>
      </c>
      <c r="AO21" s="243">
        <f t="shared" si="6"/>
        <v>-1.8284054691887945E-3</v>
      </c>
      <c r="AP21" s="243">
        <f t="shared" si="6"/>
        <v>4.2096513021121197E-2</v>
      </c>
      <c r="AQ21" s="243">
        <f t="shared" si="6"/>
        <v>3.6117999726000903E-2</v>
      </c>
      <c r="AR21" s="243">
        <f t="shared" si="6"/>
        <v>3.4525366231201539E-2</v>
      </c>
      <c r="AS21" s="243">
        <f t="shared" si="6"/>
        <v>3.6785288744309114E-2</v>
      </c>
      <c r="AT21" s="243">
        <f t="shared" si="6"/>
        <v>1.5721927634560314E-2</v>
      </c>
      <c r="AU21" s="243">
        <f t="shared" si="6"/>
        <v>1.659904377584763E-2</v>
      </c>
      <c r="AV21" s="243">
        <f t="shared" si="6"/>
        <v>1.0346757096497116E-2</v>
      </c>
      <c r="AW21" s="243">
        <f t="shared" si="6"/>
        <v>1.131979344446064E-4</v>
      </c>
      <c r="AX21" s="243">
        <f t="shared" si="6"/>
        <v>6.1944642843657851E-5</v>
      </c>
      <c r="AY21" s="243">
        <f t="shared" si="6"/>
        <v>7.6529563611512615E-3</v>
      </c>
      <c r="AZ21" s="243">
        <f t="shared" si="6"/>
        <v>1.6325628804339739E-2</v>
      </c>
      <c r="BA21" s="243">
        <f t="shared" si="6"/>
        <v>3.8989666684753951E-3</v>
      </c>
      <c r="BB21" s="243">
        <f t="shared" si="6"/>
        <v>-2.3970482065623707E-3</v>
      </c>
      <c r="BC21" s="243">
        <f t="shared" si="6"/>
        <v>2.1715545506811062E-3</v>
      </c>
      <c r="BD21" s="243">
        <f t="shared" si="6"/>
        <v>8.6365762991581305E-3</v>
      </c>
      <c r="BE21" s="243">
        <f t="shared" si="6"/>
        <v>-5.7346925789070339E-3</v>
      </c>
      <c r="BF21" s="243">
        <f t="shared" si="6"/>
        <v>1.7853728361825465E-2</v>
      </c>
      <c r="BG21" s="243">
        <f t="shared" si="6"/>
        <v>1.4580758724736577E-2</v>
      </c>
      <c r="BH21" s="243">
        <f t="shared" si="6"/>
        <v>7.1090579362283173E-3</v>
      </c>
      <c r="BI21" s="243">
        <f t="shared" si="6"/>
        <v>4.0712688694963016E-3</v>
      </c>
      <c r="BJ21" s="243">
        <f t="shared" si="6"/>
        <v>-1.1854216854157428E-2</v>
      </c>
      <c r="BK21" s="243">
        <f t="shared" si="6"/>
        <v>-2.3014875743436317E-2</v>
      </c>
      <c r="BL21" s="243">
        <f t="shared" si="6"/>
        <v>1.2166937303860155E-2</v>
      </c>
      <c r="BM21" s="243">
        <f t="shared" si="6"/>
        <v>-0.2180656556786123</v>
      </c>
      <c r="BN21" s="243">
        <f t="shared" si="6"/>
        <v>1.8629806058567351E-2</v>
      </c>
      <c r="BO21" s="243">
        <f t="shared" si="6"/>
        <v>3.8877111017156081E-2</v>
      </c>
      <c r="BP21" s="243">
        <f t="shared" si="6"/>
        <v>4.7020789074021158E-2</v>
      </c>
      <c r="BQ21" s="243">
        <f t="shared" si="6"/>
        <v>-3.492495748379159E-2</v>
      </c>
      <c r="BR21" s="243">
        <f t="shared" ref="BR21:CK21" si="7">BR20/BR19</f>
        <v>8.4087650206624232E-2</v>
      </c>
      <c r="BS21" s="243">
        <f t="shared" si="7"/>
        <v>8.2418363539494638E-2</v>
      </c>
      <c r="BT21" s="243">
        <f t="shared" si="7"/>
        <v>9.834726482505271E-2</v>
      </c>
      <c r="BU21" s="243">
        <f t="shared" si="7"/>
        <v>0.11323811702634484</v>
      </c>
      <c r="BV21" s="243">
        <f t="shared" si="7"/>
        <v>0.12834421160198728</v>
      </c>
      <c r="BW21" s="243">
        <f t="shared" si="7"/>
        <v>0.14105995060231277</v>
      </c>
      <c r="BX21" s="243">
        <f t="shared" si="7"/>
        <v>0.17383360093132397</v>
      </c>
      <c r="BY21" s="243">
        <f t="shared" si="7"/>
        <v>0.18064159799886759</v>
      </c>
      <c r="BZ21" s="243">
        <f t="shared" si="7"/>
        <v>1</v>
      </c>
      <c r="CA21" s="243">
        <f t="shared" si="7"/>
        <v>0.16909398245060958</v>
      </c>
      <c r="CB21" s="243">
        <f t="shared" si="7"/>
        <v>1</v>
      </c>
      <c r="CC21" s="243">
        <f t="shared" si="7"/>
        <v>0.18242051182373642</v>
      </c>
      <c r="CD21" s="243">
        <f t="shared" si="7"/>
        <v>1</v>
      </c>
      <c r="CE21" s="243">
        <f t="shared" si="7"/>
        <v>1</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6592567064.6299992</v>
      </c>
      <c r="F22" s="192">
        <f>资产资本表!F69</f>
        <v>4752358761.3800011</v>
      </c>
      <c r="G22" s="192">
        <f>资产资本表!G69</f>
        <v>3943141940.9400039</v>
      </c>
      <c r="H22" s="192">
        <f>资产资本表!H69</f>
        <v>3231636033.3300009</v>
      </c>
      <c r="I22" s="192">
        <f>资产资本表!I69</f>
        <v>2787898235.0399985</v>
      </c>
      <c r="J22" s="192">
        <f>资产资本表!J69</f>
        <v>4596022166.1600008</v>
      </c>
      <c r="K22" s="192">
        <f>资产资本表!K69</f>
        <v>4190559385.1099977</v>
      </c>
      <c r="L22" s="192">
        <f>资产资本表!L69</f>
        <v>3999049299.6700001</v>
      </c>
      <c r="M22" s="192">
        <f>资产资本表!M69</f>
        <v>2868289185.5299997</v>
      </c>
      <c r="N22" s="192">
        <f>资产资本表!N69</f>
        <v>1656476750.5899985</v>
      </c>
      <c r="O22" s="192">
        <f>资产资本表!O69</f>
        <v>2505273410.999999</v>
      </c>
      <c r="P22" s="192">
        <f>资产资本表!P69</f>
        <v>3315141076.54</v>
      </c>
      <c r="Q22" s="192">
        <f>资产资本表!Q69</f>
        <v>2022301971.8800001</v>
      </c>
      <c r="R22" s="192">
        <f>资产资本表!R69</f>
        <v>2657616650.8900008</v>
      </c>
      <c r="S22" s="192">
        <f>资产资本表!S69</f>
        <v>2585273304.1399994</v>
      </c>
      <c r="T22" s="192">
        <f>资产资本表!T69</f>
        <v>3051825822.039999</v>
      </c>
      <c r="U22" s="192">
        <f>资产资本表!U69</f>
        <v>2903200091.0999999</v>
      </c>
      <c r="V22" s="192">
        <f>资产资本表!V69</f>
        <v>2946961545.9600005</v>
      </c>
      <c r="W22" s="192">
        <f>资产资本表!W69</f>
        <v>2750079641.1999993</v>
      </c>
      <c r="X22" s="192">
        <f>资产资本表!X69</f>
        <v>2957354442.9899988</v>
      </c>
      <c r="Y22" s="192">
        <f>资产资本表!Y69</f>
        <v>2853018463.5699983</v>
      </c>
      <c r="Z22" s="192">
        <f>资产资本表!Z69</f>
        <v>1356102373.0399995</v>
      </c>
      <c r="AA22" s="192">
        <f>资产资本表!AA69</f>
        <v>970978682.79999995</v>
      </c>
      <c r="AB22" s="192">
        <f>资产资本表!AB69</f>
        <v>1798130033.2200003</v>
      </c>
      <c r="AC22" s="192">
        <f>资产资本表!AC69</f>
        <v>1570493432.420001</v>
      </c>
      <c r="AD22" s="192">
        <f>资产资本表!AD69</f>
        <v>970929175.85999942</v>
      </c>
      <c r="AE22" s="192">
        <f>资产资本表!AE69</f>
        <v>2026966121.0899999</v>
      </c>
      <c r="AF22" s="192">
        <f>资产资本表!AF69</f>
        <v>2127486860.7900009</v>
      </c>
      <c r="AG22" s="192">
        <f>资产资本表!AG69</f>
        <v>1215862960.5800006</v>
      </c>
      <c r="AH22" s="192">
        <f>资产资本表!AH69</f>
        <v>306753392.04000044</v>
      </c>
      <c r="AI22" s="192">
        <f>资产资本表!AI69</f>
        <v>670059893.62999988</v>
      </c>
      <c r="AJ22" s="192">
        <f>资产资本表!AJ69</f>
        <v>1416681305.5500002</v>
      </c>
      <c r="AK22" s="192">
        <f>资产资本表!AK69</f>
        <v>936744392.5599997</v>
      </c>
      <c r="AL22" s="192">
        <f>资产资本表!AL69</f>
        <v>714216677.90000045</v>
      </c>
      <c r="AM22" s="192">
        <f>资产资本表!AM69</f>
        <v>875193342.05999994</v>
      </c>
      <c r="AN22" s="192">
        <f>资产资本表!AN69</f>
        <v>957669343.11000001</v>
      </c>
      <c r="AO22" s="192">
        <f>资产资本表!AO69</f>
        <v>917186455.06999958</v>
      </c>
      <c r="AP22" s="192">
        <f>资产资本表!AP69</f>
        <v>1146830627.7200003</v>
      </c>
      <c r="AQ22" s="192">
        <f>资产资本表!AQ69</f>
        <v>932334241.92999995</v>
      </c>
      <c r="AR22" s="192">
        <f>资产资本表!AR69</f>
        <v>932266323.10000014</v>
      </c>
      <c r="AS22" s="192">
        <f>资产资本表!AS69</f>
        <v>717393379.97999978</v>
      </c>
      <c r="AT22" s="192">
        <f>资产资本表!AT69</f>
        <v>706440573.14999986</v>
      </c>
      <c r="AU22" s="192">
        <f>资产资本表!AU69</f>
        <v>907553445.31999969</v>
      </c>
      <c r="AV22" s="192">
        <f>资产资本表!AV69</f>
        <v>1031428424.8299997</v>
      </c>
      <c r="AW22" s="192">
        <f>资产资本表!AW69</f>
        <v>1020207592.6900003</v>
      </c>
      <c r="AX22" s="192">
        <f>资产资本表!AX69</f>
        <v>1229920262.8299999</v>
      </c>
      <c r="AY22" s="192">
        <f>资产资本表!AY69</f>
        <v>868377991.21999979</v>
      </c>
      <c r="AZ22" s="192">
        <f>资产资本表!AZ69</f>
        <v>921742196.90999985</v>
      </c>
      <c r="BA22" s="192">
        <f>资产资本表!BA69</f>
        <v>853043129.8099997</v>
      </c>
      <c r="BB22" s="192">
        <f>资产资本表!BB69</f>
        <v>1140748271.5699999</v>
      </c>
      <c r="BC22" s="192">
        <f>资产资本表!BC69</f>
        <v>1136960555.4000001</v>
      </c>
      <c r="BD22" s="192">
        <f>资产资本表!BD69</f>
        <v>969274439.56000042</v>
      </c>
      <c r="BE22" s="192">
        <f>资产资本表!BE69</f>
        <v>855040414.78999984</v>
      </c>
      <c r="BF22" s="192">
        <f>资产资本表!BF69</f>
        <v>954033674.08000004</v>
      </c>
      <c r="BG22" s="192">
        <f>资产资本表!BG69</f>
        <v>741178718.52999997</v>
      </c>
      <c r="BH22" s="192">
        <f>资产资本表!BH69</f>
        <v>758567997.98000002</v>
      </c>
      <c r="BI22" s="192">
        <f>资产资本表!BI69</f>
        <v>667901128.89999998</v>
      </c>
      <c r="BJ22" s="192">
        <f>资产资本表!BJ69</f>
        <v>626263111.07000017</v>
      </c>
      <c r="BK22" s="192">
        <f>资产资本表!BK69</f>
        <v>649189923.05999982</v>
      </c>
      <c r="BL22" s="192">
        <f>资产资本表!BL69</f>
        <v>0</v>
      </c>
      <c r="BM22" s="192">
        <f>资产资本表!BM69</f>
        <v>927053525.09999967</v>
      </c>
      <c r="BN22" s="192">
        <f>资产资本表!BN69</f>
        <v>1957334216.98</v>
      </c>
      <c r="BO22" s="192">
        <f>资产资本表!BO69</f>
        <v>1954891869.0100002</v>
      </c>
      <c r="BP22" s="192">
        <f>资产资本表!BP69</f>
        <v>2039356226.8000002</v>
      </c>
      <c r="BQ22" s="192">
        <f>资产资本表!BQ69</f>
        <v>1667577650.8699999</v>
      </c>
      <c r="BR22" s="192">
        <f>资产资本表!BR69</f>
        <v>1984624314.3299999</v>
      </c>
      <c r="BS22" s="192">
        <f>资产资本表!BS69</f>
        <v>1872706480.7199998</v>
      </c>
      <c r="BT22" s="192">
        <f>资产资本表!BT69</f>
        <v>1718023716.0500002</v>
      </c>
      <c r="BU22" s="192">
        <f>资产资本表!BU69</f>
        <v>1808613496.1199999</v>
      </c>
      <c r="BV22" s="192">
        <f>资产资本表!BV69</f>
        <v>1727656540.6800003</v>
      </c>
      <c r="BW22" s="192">
        <f>资产资本表!BW69</f>
        <v>1500541319.7200003</v>
      </c>
      <c r="BX22" s="192">
        <f>资产资本表!BX69</f>
        <v>1214517915.5599999</v>
      </c>
      <c r="BY22" s="192">
        <f>资产资本表!BY69</f>
        <v>956459736.61000001</v>
      </c>
      <c r="BZ22" s="192">
        <f>资产资本表!BZ69</f>
        <v>218828900</v>
      </c>
      <c r="CA22" s="192">
        <f>资产资本表!CA69</f>
        <v>549249917.28999984</v>
      </c>
      <c r="CB22" s="192">
        <f>资产资本表!CB69</f>
        <v>151909000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3.2437590497003455</v>
      </c>
      <c r="F23" s="245">
        <f t="shared" ref="F23:BQ23" si="8">F19/F22</f>
        <v>3.3619335865145263</v>
      </c>
      <c r="G23" s="245">
        <f t="shared" si="8"/>
        <v>2.680111700896743</v>
      </c>
      <c r="H23" s="245">
        <f t="shared" si="8"/>
        <v>1.7608392420220675</v>
      </c>
      <c r="I23" s="245">
        <f t="shared" si="8"/>
        <v>5.8592219387289219</v>
      </c>
      <c r="J23" s="245">
        <f t="shared" si="8"/>
        <v>2.6230586969323828</v>
      </c>
      <c r="K23" s="245">
        <f t="shared" si="8"/>
        <v>1.9054227517432993</v>
      </c>
      <c r="L23" s="245">
        <f t="shared" si="8"/>
        <v>1.0601967510252661</v>
      </c>
      <c r="M23" s="245">
        <f t="shared" si="8"/>
        <v>4.5782088496120554</v>
      </c>
      <c r="N23" s="245">
        <f t="shared" si="8"/>
        <v>5.8026627670544952</v>
      </c>
      <c r="O23" s="245">
        <f t="shared" si="8"/>
        <v>2.4356239274356799</v>
      </c>
      <c r="P23" s="245">
        <f t="shared" si="8"/>
        <v>0.99361459106226224</v>
      </c>
      <c r="Q23" s="245">
        <f t="shared" si="8"/>
        <v>5.3425341214279864</v>
      </c>
      <c r="R23" s="245">
        <f t="shared" si="8"/>
        <v>2.9268011254050297</v>
      </c>
      <c r="S23" s="245">
        <f t="shared" si="8"/>
        <v>1.923996589681507</v>
      </c>
      <c r="T23" s="245">
        <f t="shared" si="8"/>
        <v>0.84413732586742463</v>
      </c>
      <c r="U23" s="245">
        <f t="shared" si="8"/>
        <v>3.006322599371043</v>
      </c>
      <c r="V23" s="245">
        <f t="shared" si="8"/>
        <v>2.1548006673875313</v>
      </c>
      <c r="W23" s="245">
        <f t="shared" si="8"/>
        <v>1.4538576543061028</v>
      </c>
      <c r="X23" s="245">
        <f t="shared" si="8"/>
        <v>0.79775422125415429</v>
      </c>
      <c r="Y23" s="245">
        <f t="shared" si="8"/>
        <v>2.4184434888571178</v>
      </c>
      <c r="Z23" s="245">
        <f t="shared" si="8"/>
        <v>3.3737263732264355</v>
      </c>
      <c r="AA23" s="245">
        <f t="shared" si="8"/>
        <v>3.1940235002860558</v>
      </c>
      <c r="AB23" s="245">
        <f t="shared" si="8"/>
        <v>0.90625555146968806</v>
      </c>
      <c r="AC23" s="245">
        <f t="shared" si="8"/>
        <v>6.9886454014694426</v>
      </c>
      <c r="AD23" s="245">
        <f t="shared" si="8"/>
        <v>9.6461944385225404</v>
      </c>
      <c r="AE23" s="245">
        <f t="shared" si="8"/>
        <v>3.328873656211643</v>
      </c>
      <c r="AF23" s="245">
        <f t="shared" si="8"/>
        <v>1.8009132242383281</v>
      </c>
      <c r="AG23" s="245">
        <f t="shared" si="8"/>
        <v>9.2135110364708837</v>
      </c>
      <c r="AH23" s="245">
        <f t="shared" si="8"/>
        <v>18.185697545090434</v>
      </c>
      <c r="AI23" s="245">
        <f t="shared" si="8"/>
        <v>5.4235970240993581</v>
      </c>
      <c r="AJ23" s="245">
        <f t="shared" si="8"/>
        <v>1.173239344394905</v>
      </c>
      <c r="AK23" s="245">
        <f t="shared" si="8"/>
        <v>4.6706919095752797</v>
      </c>
      <c r="AL23" s="245">
        <f t="shared" si="8"/>
        <v>4.0855570610723744</v>
      </c>
      <c r="AM23" s="245">
        <f t="shared" si="8"/>
        <v>2.1737923871335538</v>
      </c>
      <c r="AN23" s="245">
        <f t="shared" si="8"/>
        <v>1.0171631118383957</v>
      </c>
      <c r="AO23" s="245">
        <f t="shared" si="8"/>
        <v>4.6806049535286256</v>
      </c>
      <c r="AP23" s="245">
        <f t="shared" si="8"/>
        <v>2.9860216278040363</v>
      </c>
      <c r="AQ23" s="245">
        <f t="shared" si="8"/>
        <v>2.6003860769623297</v>
      </c>
      <c r="AR23" s="245">
        <f t="shared" si="8"/>
        <v>1.2206334452756336</v>
      </c>
      <c r="AS23" s="245">
        <f t="shared" si="8"/>
        <v>6.9706409372489819</v>
      </c>
      <c r="AT23" s="245">
        <f t="shared" si="8"/>
        <v>5.7859075482519247</v>
      </c>
      <c r="AU23" s="245">
        <f t="shared" si="8"/>
        <v>3.1273520176646441</v>
      </c>
      <c r="AV23" s="245">
        <f t="shared" si="8"/>
        <v>1.4040986230030428</v>
      </c>
      <c r="AW23" s="245">
        <f t="shared" si="8"/>
        <v>4.1720312052738553</v>
      </c>
      <c r="AX23" s="245">
        <f t="shared" si="8"/>
        <v>2.6227032825914667</v>
      </c>
      <c r="AY23" s="245">
        <f t="shared" si="8"/>
        <v>2.4836125504516686</v>
      </c>
      <c r="AZ23" s="245">
        <f t="shared" si="8"/>
        <v>1.0590197828876353</v>
      </c>
      <c r="BA23" s="245">
        <f t="shared" si="8"/>
        <v>3.8218109097439714</v>
      </c>
      <c r="BB23" s="245">
        <f t="shared" si="8"/>
        <v>1.9157139787311088</v>
      </c>
      <c r="BC23" s="245">
        <f t="shared" si="8"/>
        <v>1.2281919406506792</v>
      </c>
      <c r="BD23" s="245">
        <f t="shared" si="8"/>
        <v>0.74542909365069865</v>
      </c>
      <c r="BE23" s="245">
        <f t="shared" si="8"/>
        <v>2.8337055155750486</v>
      </c>
      <c r="BF23" s="245">
        <f t="shared" si="8"/>
        <v>1.7096541172332116</v>
      </c>
      <c r="BG23" s="245">
        <f t="shared" si="8"/>
        <v>1.4798257677518643</v>
      </c>
      <c r="BH23" s="245">
        <f t="shared" si="8"/>
        <v>0.78255650789482833</v>
      </c>
      <c r="BI23" s="245">
        <f t="shared" si="8"/>
        <v>4.3439367861502651</v>
      </c>
      <c r="BJ23" s="245">
        <f t="shared" si="8"/>
        <v>3.1533019717638586</v>
      </c>
      <c r="BK23" s="245">
        <f t="shared" si="8"/>
        <v>2.1251848338417436</v>
      </c>
      <c r="BL23" s="245" t="e">
        <f t="shared" si="8"/>
        <v>#DIV/0!</v>
      </c>
      <c r="BM23" s="245">
        <f t="shared" si="8"/>
        <v>3.1732812314075103</v>
      </c>
      <c r="BN23" s="245">
        <f t="shared" si="8"/>
        <v>1.2329878109389121</v>
      </c>
      <c r="BO23" s="245">
        <f t="shared" si="8"/>
        <v>0.7945453991563225</v>
      </c>
      <c r="BP23" s="245">
        <f t="shared" si="8"/>
        <v>0.34568644020382677</v>
      </c>
      <c r="BQ23" s="245">
        <f t="shared" si="8"/>
        <v>1.1714552364927857</v>
      </c>
      <c r="BR23" s="245">
        <f t="shared" ref="BR23:CK23" si="9">BR19/BR22</f>
        <v>0.56919268760010078</v>
      </c>
      <c r="BS23" s="245">
        <f t="shared" si="9"/>
        <v>1.455040327490281</v>
      </c>
      <c r="BT23" s="245">
        <f t="shared" si="9"/>
        <v>0.85768149097955504</v>
      </c>
      <c r="BU23" s="245">
        <f t="shared" si="9"/>
        <v>1.4705379846361246</v>
      </c>
      <c r="BV23" s="245">
        <f t="shared" si="9"/>
        <v>0.8167657807058103</v>
      </c>
      <c r="BW23" s="245">
        <f t="shared" si="9"/>
        <v>1.4442560191574008</v>
      </c>
      <c r="BX23" s="245">
        <f t="shared" si="9"/>
        <v>0.82703788579920523</v>
      </c>
      <c r="BY23" s="245">
        <f t="shared" si="9"/>
        <v>1.9230880400143853</v>
      </c>
      <c r="BZ23" s="245">
        <f t="shared" si="9"/>
        <v>4.0337136913817142</v>
      </c>
      <c r="CA23" s="245">
        <f t="shared" si="9"/>
        <v>2.4636477372021934</v>
      </c>
      <c r="CB23" s="245">
        <f t="shared" si="9"/>
        <v>4.3520660395368278</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0.24340325965725471</v>
      </c>
      <c r="F24" s="160">
        <f t="shared" ref="F24:BQ24" si="10">F21*F23</f>
        <v>0.26393773503870832</v>
      </c>
      <c r="G24" s="160">
        <f t="shared" si="10"/>
        <v>0.19149489981585427</v>
      </c>
      <c r="H24" s="160">
        <f t="shared" si="10"/>
        <v>0.12266618453982303</v>
      </c>
      <c r="I24" s="160">
        <f t="shared" si="10"/>
        <v>0.43662766432094507</v>
      </c>
      <c r="J24" s="160">
        <f t="shared" si="10"/>
        <v>0.22624982157098666</v>
      </c>
      <c r="K24" s="160">
        <f t="shared" si="10"/>
        <v>0.15785737968312696</v>
      </c>
      <c r="L24" s="160">
        <f t="shared" si="10"/>
        <v>9.2307640463562476E-2</v>
      </c>
      <c r="M24" s="160">
        <f t="shared" si="10"/>
        <v>0.31692707302873602</v>
      </c>
      <c r="N24" s="160">
        <f t="shared" si="10"/>
        <v>0.45476070959142134</v>
      </c>
      <c r="O24" s="160">
        <f t="shared" si="10"/>
        <v>0.19744293175672112</v>
      </c>
      <c r="P24" s="160">
        <f t="shared" si="10"/>
        <v>8.5547385764950246E-2</v>
      </c>
      <c r="Q24" s="160">
        <f t="shared" si="10"/>
        <v>0.37240017623574218</v>
      </c>
      <c r="R24" s="160">
        <f t="shared" si="10"/>
        <v>0.21481987487879811</v>
      </c>
      <c r="S24" s="160">
        <f t="shared" si="10"/>
        <v>0.1408176882873525</v>
      </c>
      <c r="T24" s="160">
        <f t="shared" si="10"/>
        <v>6.7345880094367386E-2</v>
      </c>
      <c r="U24" s="160">
        <f t="shared" si="10"/>
        <v>0.15157098071158889</v>
      </c>
      <c r="V24" s="160">
        <f t="shared" si="10"/>
        <v>0.12366228845421998</v>
      </c>
      <c r="W24" s="160">
        <f t="shared" si="10"/>
        <v>9.0866303912187946E-2</v>
      </c>
      <c r="X24" s="160">
        <f t="shared" si="10"/>
        <v>4.4021585119291738E-2</v>
      </c>
      <c r="Y24" s="160">
        <f t="shared" si="10"/>
        <v>0.13561804997779253</v>
      </c>
      <c r="Z24" s="160">
        <f t="shared" si="10"/>
        <v>0.23722864121889675</v>
      </c>
      <c r="AA24" s="160">
        <f t="shared" si="10"/>
        <v>0.24394028427788655</v>
      </c>
      <c r="AB24" s="160">
        <f t="shared" si="10"/>
        <v>7.5894544020055965E-2</v>
      </c>
      <c r="AC24" s="160">
        <f t="shared" si="10"/>
        <v>0.37667399111529531</v>
      </c>
      <c r="AD24" s="160">
        <f t="shared" si="10"/>
        <v>0.55896744110020957</v>
      </c>
      <c r="AE24" s="160">
        <f t="shared" si="10"/>
        <v>0.18626408515252912</v>
      </c>
      <c r="AF24" s="160">
        <f t="shared" si="10"/>
        <v>7.8394181954227593E-2</v>
      </c>
      <c r="AG24" s="160">
        <f t="shared" si="10"/>
        <v>0.60552067255901665</v>
      </c>
      <c r="AH24" s="160">
        <f t="shared" si="10"/>
        <v>1.1719665305383828</v>
      </c>
      <c r="AI24" s="160">
        <f t="shared" si="10"/>
        <v>0.34162709115433482</v>
      </c>
      <c r="AJ24" s="160">
        <f t="shared" si="10"/>
        <v>6.8798618982383597E-2</v>
      </c>
      <c r="AK24" s="160">
        <f t="shared" si="10"/>
        <v>0.3037531465359426</v>
      </c>
      <c r="AL24" s="160">
        <f t="shared" si="10"/>
        <v>0.23341798609376882</v>
      </c>
      <c r="AM24" s="160">
        <f t="shared" si="10"/>
        <v>0.11054404836110752</v>
      </c>
      <c r="AN24" s="160">
        <f t="shared" si="10"/>
        <v>3.513953116711039E-2</v>
      </c>
      <c r="AO24" s="160">
        <f t="shared" si="10"/>
        <v>-8.5580436961439025E-3</v>
      </c>
      <c r="AP24" s="160">
        <f t="shared" si="10"/>
        <v>0.12570109833620213</v>
      </c>
      <c r="AQ24" s="160">
        <f t="shared" si="10"/>
        <v>9.3920743615221985E-2</v>
      </c>
      <c r="AR24" s="160">
        <f t="shared" si="10"/>
        <v>4.2142816732194548E-2</v>
      </c>
      <c r="AS24" s="160">
        <f t="shared" si="10"/>
        <v>0.25641703960960532</v>
      </c>
      <c r="AT24" s="160">
        <f t="shared" si="10"/>
        <v>9.0965619773873047E-2</v>
      </c>
      <c r="AU24" s="160">
        <f t="shared" si="10"/>
        <v>5.191105304370084E-2</v>
      </c>
      <c r="AV24" s="160">
        <f t="shared" si="10"/>
        <v>1.4527867391738562E-2</v>
      </c>
      <c r="AW24" s="160">
        <f t="shared" si="10"/>
        <v>4.722653148754421E-4</v>
      </c>
      <c r="AX24" s="160">
        <f t="shared" si="10"/>
        <v>1.6246241812501746E-4</v>
      </c>
      <c r="AY24" s="160">
        <f t="shared" si="10"/>
        <v>1.9006978466614206E-2</v>
      </c>
      <c r="AZ24" s="160">
        <f t="shared" si="10"/>
        <v>1.7289163871875995E-2</v>
      </c>
      <c r="BA24" s="160">
        <f t="shared" si="10"/>
        <v>1.490111335030737E-2</v>
      </c>
      <c r="BB24" s="160">
        <f t="shared" si="10"/>
        <v>-4.592058757003868E-3</v>
      </c>
      <c r="BC24" s="160">
        <f t="shared" si="10"/>
        <v>2.6670857978298413E-3</v>
      </c>
      <c r="BD24" s="160">
        <f t="shared" si="10"/>
        <v>6.4379552429265508E-3</v>
      </c>
      <c r="BE24" s="160">
        <f t="shared" si="10"/>
        <v>-1.6250429990976163E-2</v>
      </c>
      <c r="BF24" s="160">
        <f t="shared" si="10"/>
        <v>3.0523700201758267E-2</v>
      </c>
      <c r="BG24" s="160">
        <f t="shared" si="10"/>
        <v>2.1576982474237998E-2</v>
      </c>
      <c r="BH24" s="160">
        <f t="shared" si="10"/>
        <v>5.5632395529968473E-3</v>
      </c>
      <c r="BI24" s="160">
        <f t="shared" si="10"/>
        <v>1.7685334608513386E-2</v>
      </c>
      <c r="BJ24" s="160">
        <f t="shared" si="10"/>
        <v>-3.7379925379930984E-2</v>
      </c>
      <c r="BK24" s="160">
        <f t="shared" si="10"/>
        <v>-4.8910864882703083E-2</v>
      </c>
      <c r="BL24" s="160" t="e">
        <f t="shared" si="10"/>
        <v>#DIV/0!</v>
      </c>
      <c r="BM24" s="160">
        <f t="shared" si="10"/>
        <v>-0.69198365237951298</v>
      </c>
      <c r="BN24" s="160">
        <f t="shared" si="10"/>
        <v>2.2970323790369441E-2</v>
      </c>
      <c r="BO24" s="160">
        <f t="shared" si="10"/>
        <v>3.0889629691170942E-2</v>
      </c>
      <c r="BP24" s="160">
        <f t="shared" si="10"/>
        <v>1.6254449190573367E-2</v>
      </c>
      <c r="BQ24" s="160">
        <f t="shared" si="10"/>
        <v>-4.0913024328675565E-2</v>
      </c>
      <c r="BR24" s="160">
        <f t="shared" ref="BR24:CK24" si="11">BR21*BR23</f>
        <v>4.7862075615085618E-2</v>
      </c>
      <c r="BS24" s="160">
        <f t="shared" si="11"/>
        <v>0.11992204267571932</v>
      </c>
      <c r="BT24" s="160">
        <f t="shared" si="11"/>
        <v>8.4350628728912358E-2</v>
      </c>
      <c r="BU24" s="160">
        <f t="shared" si="11"/>
        <v>0.16652095239591078</v>
      </c>
      <c r="BV24" s="160">
        <f t="shared" si="11"/>
        <v>0.10482716018816886</v>
      </c>
      <c r="BW24" s="160">
        <f t="shared" si="11"/>
        <v>0.20372668271943584</v>
      </c>
      <c r="BX24" s="160">
        <f t="shared" si="11"/>
        <v>0.14376697379510492</v>
      </c>
      <c r="BY24" s="160">
        <f t="shared" si="11"/>
        <v>0.34738969664070879</v>
      </c>
      <c r="BZ24" s="160">
        <f t="shared" si="11"/>
        <v>4.0337136913817142</v>
      </c>
      <c r="CA24" s="160">
        <f t="shared" si="11"/>
        <v>0.41658800723895167</v>
      </c>
      <c r="CB24" s="160">
        <f t="shared" si="11"/>
        <v>4.3520660395368278</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34699</v>
      </c>
      <c r="CE25" s="1">
        <v>34334</v>
      </c>
      <c r="CF25" s="1">
        <v>25569</v>
      </c>
      <c r="CG25" s="1"/>
      <c r="CH25" s="1"/>
      <c r="CI25" s="1"/>
      <c r="CJ25" s="1"/>
      <c r="CK25" s="1"/>
    </row>
    <row r="26" spans="1:89" s="76" customFormat="1" x14ac:dyDescent="0.25">
      <c r="A26" s="146"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-263002.03999999998</v>
      </c>
      <c r="N26" s="76">
        <f>利润表!N14</f>
        <v>0</v>
      </c>
      <c r="O26" s="76">
        <f>利润表!O14</f>
        <v>0</v>
      </c>
      <c r="P26" s="76">
        <f>利润表!P14</f>
        <v>0</v>
      </c>
      <c r="Q26" s="76">
        <f>利润表!Q14</f>
        <v>-319108.43</v>
      </c>
      <c r="R26" s="76">
        <f>利润表!R14</f>
        <v>0</v>
      </c>
      <c r="S26" s="76">
        <f>利润表!S14</f>
        <v>0</v>
      </c>
      <c r="T26" s="76">
        <f>利润表!T14</f>
        <v>0</v>
      </c>
      <c r="U26" s="76">
        <f>利润表!U14</f>
        <v>-116701.92</v>
      </c>
      <c r="V26" s="76">
        <f>利润表!V14</f>
        <v>0</v>
      </c>
      <c r="W26" s="76">
        <f>利润表!W14</f>
        <v>0</v>
      </c>
      <c r="X26" s="76">
        <f>利润表!X14</f>
        <v>0</v>
      </c>
      <c r="Y26" s="76">
        <f>利润表!Y14</f>
        <v>-143000.95000000001</v>
      </c>
      <c r="Z26" s="76">
        <f>利润表!Z14</f>
        <v>0</v>
      </c>
      <c r="AA26" s="76">
        <f>利润表!AA14</f>
        <v>0</v>
      </c>
      <c r="AB26" s="76">
        <f>利润表!AB14</f>
        <v>0</v>
      </c>
      <c r="AC26" s="76">
        <f>利润表!AC14</f>
        <v>0</v>
      </c>
      <c r="AD26" s="76">
        <f>利润表!AD14</f>
        <v>24693027.379999999</v>
      </c>
      <c r="AE26" s="76">
        <f>利润表!AE14</f>
        <v>-1078070.6299999999</v>
      </c>
      <c r="AF26" s="76">
        <f>利润表!AF14</f>
        <v>-319761.06</v>
      </c>
      <c r="AG26" s="76">
        <f>利润表!AG14</f>
        <v>0</v>
      </c>
      <c r="AH26" s="76">
        <f>利润表!AH14</f>
        <v>0</v>
      </c>
      <c r="AI26" s="76">
        <f>利润表!AI14</f>
        <v>0</v>
      </c>
      <c r="AJ26" s="76">
        <f>利润表!AJ14</f>
        <v>0</v>
      </c>
      <c r="AK26" s="76">
        <f>利润表!AK14</f>
        <v>12248086.380000001</v>
      </c>
      <c r="AL26" s="76">
        <f>利润表!AL14</f>
        <v>0</v>
      </c>
      <c r="AM26" s="76">
        <f>利润表!AM14</f>
        <v>0</v>
      </c>
      <c r="AN26" s="76">
        <f>利润表!AN14</f>
        <v>0</v>
      </c>
      <c r="AO26" s="76">
        <f>利润表!AO14</f>
        <v>0</v>
      </c>
      <c r="AP26" s="76">
        <f>利润表!AP14</f>
        <v>48596734.090000004</v>
      </c>
      <c r="AQ26" s="76">
        <f>利润表!AQ14</f>
        <v>40159135.950000003</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444</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2595011.08</v>
      </c>
      <c r="O27" s="76">
        <f>资产资本表!O19</f>
        <v>2726599.21</v>
      </c>
      <c r="P27" s="76">
        <f>资产资本表!P19</f>
        <v>2774768.17</v>
      </c>
      <c r="Q27" s="76">
        <f>资产资本表!Q19</f>
        <v>2850040.45</v>
      </c>
      <c r="R27" s="76">
        <f>资产资本表!R19</f>
        <v>3169463.53</v>
      </c>
      <c r="S27" s="76">
        <f>资产资本表!S19</f>
        <v>4598996.45</v>
      </c>
      <c r="T27" s="76">
        <f>资产资本表!T19</f>
        <v>4560311.21</v>
      </c>
      <c r="U27" s="76">
        <f>资产资本表!U19</f>
        <v>4579148.88</v>
      </c>
      <c r="V27" s="76">
        <f>资产资本表!V19</f>
        <v>4685470.12</v>
      </c>
      <c r="W27" s="76">
        <f>资产资本表!W19</f>
        <v>4748975.83</v>
      </c>
      <c r="X27" s="76">
        <f>资产资本表!X19</f>
        <v>4726423.12</v>
      </c>
      <c r="Y27" s="76">
        <f>资产资本表!Y19</f>
        <v>5695850.7999999998</v>
      </c>
      <c r="Z27" s="76">
        <f>资产资本表!Z19</f>
        <v>5903024.8899999997</v>
      </c>
      <c r="AA27" s="76">
        <f>资产资本表!AA19</f>
        <v>5889739.2599999998</v>
      </c>
      <c r="AB27" s="76">
        <f>资产资本表!AB19</f>
        <v>5828373.2800000003</v>
      </c>
      <c r="AC27" s="76">
        <f>资产资本表!AC19</f>
        <v>5838851.75</v>
      </c>
      <c r="AD27" s="76">
        <f>资产资本表!AD19</f>
        <v>5877852.4000000004</v>
      </c>
      <c r="AE27" s="76">
        <f>资产资本表!AE19</f>
        <v>108269047.88</v>
      </c>
      <c r="AF27" s="76">
        <f>资产资本表!AF19</f>
        <v>109027357.45</v>
      </c>
      <c r="AG27" s="76">
        <f>资产资本表!AG19</f>
        <v>109347118.51000001</v>
      </c>
      <c r="AH27" s="76">
        <f>资产资本表!AH19</f>
        <v>122160831.65000001</v>
      </c>
      <c r="AI27" s="76">
        <f>资产资本表!AI19</f>
        <v>144462637.56</v>
      </c>
      <c r="AJ27" s="76">
        <f>资产资本表!AJ19</f>
        <v>145349076.58000001</v>
      </c>
      <c r="AK27" s="76">
        <f>资产资本表!AK19</f>
        <v>144060027.63</v>
      </c>
      <c r="AL27" s="76">
        <f>资产资本表!AL19</f>
        <v>149060450.34999999</v>
      </c>
      <c r="AM27" s="76">
        <f>资产资本表!AM19</f>
        <v>176971435.46000001</v>
      </c>
      <c r="AN27" s="76">
        <f>资产资本表!AN19</f>
        <v>223695565.96000001</v>
      </c>
      <c r="AO27" s="76">
        <f>资产资本表!AO19</f>
        <v>218856545.66999999</v>
      </c>
      <c r="AP27" s="76">
        <f>资产资本表!AP19</f>
        <v>247642775.75999999</v>
      </c>
      <c r="AQ27" s="76">
        <f>资产资本表!AQ19</f>
        <v>242343156.62</v>
      </c>
      <c r="AR27" s="76">
        <f>资产资本表!AR19</f>
        <v>269466729.31999999</v>
      </c>
      <c r="AS27" s="76">
        <f>资产资本表!AS19</f>
        <v>254660465.09</v>
      </c>
      <c r="AT27" s="76">
        <f>资产资本表!AT19</f>
        <v>252633688.88999999</v>
      </c>
      <c r="AU27" s="76">
        <f>资产资本表!AU19</f>
        <v>208395070.62</v>
      </c>
      <c r="AV27" s="76">
        <f>资产资本表!AV19</f>
        <v>269360205.31999999</v>
      </c>
      <c r="AW27" s="76">
        <f>资产资本表!AW19</f>
        <v>301753067.99000001</v>
      </c>
      <c r="AX27" s="76">
        <f>资产资本表!AX19</f>
        <v>360948396.23000002</v>
      </c>
      <c r="AY27" s="76">
        <f>资产资本表!AY19</f>
        <v>461903705.42000002</v>
      </c>
      <c r="AZ27" s="76">
        <f>资产资本表!AZ19</f>
        <v>333793360.38</v>
      </c>
      <c r="BA27" s="76">
        <f>资产资本表!BA19</f>
        <v>329023098.62</v>
      </c>
      <c r="BB27" s="76">
        <f>资产资本表!BB19</f>
        <v>359455290.94999999</v>
      </c>
      <c r="BC27" s="76">
        <f>资产资本表!BC19</f>
        <v>351768956.56</v>
      </c>
      <c r="BD27" s="76">
        <f>资产资本表!BD19</f>
        <v>348304546.24000001</v>
      </c>
      <c r="BE27" s="76">
        <f>资产资本表!BE19</f>
        <v>308563922.69</v>
      </c>
      <c r="BF27" s="76">
        <f>资产资本表!BF19</f>
        <v>301999792.12</v>
      </c>
      <c r="BG27" s="76">
        <f>资产资本表!BG19</f>
        <v>315030354.95999998</v>
      </c>
      <c r="BH27" s="76">
        <f>资产资本表!BH19</f>
        <v>253101338.66</v>
      </c>
      <c r="BI27" s="76">
        <f>资产资本表!BI19</f>
        <v>244783701.88999999</v>
      </c>
      <c r="BJ27" s="76">
        <f>资产资本表!BJ19</f>
        <v>268423137.31999999</v>
      </c>
      <c r="BK27" s="76">
        <f>资产资本表!BK19</f>
        <v>249996565.91999999</v>
      </c>
      <c r="BL27" s="76">
        <f>资产资本表!BL19</f>
        <v>0</v>
      </c>
      <c r="BM27" s="76">
        <f>资产资本表!BM19</f>
        <v>251200945.66999999</v>
      </c>
      <c r="BN27" s="76">
        <f>资产资本表!BN19</f>
        <v>198611687.94999999</v>
      </c>
      <c r="BO27" s="76">
        <f>资产资本表!BO19</f>
        <v>186102224.62</v>
      </c>
      <c r="BP27" s="76">
        <f>资产资本表!BP19</f>
        <v>202515456.40000001</v>
      </c>
      <c r="BQ27" s="76">
        <f>资产资本表!BQ19</f>
        <v>236868936.91</v>
      </c>
      <c r="BR27" s="76">
        <f>资产资本表!BR19</f>
        <v>192122441.91999999</v>
      </c>
      <c r="BS27" s="76">
        <f>资产资本表!BS19</f>
        <v>183761267.22</v>
      </c>
      <c r="BT27" s="76">
        <f>资产资本表!BT19</f>
        <v>159977978.33000001</v>
      </c>
      <c r="BU27" s="76">
        <f>资产资本表!BU19</f>
        <v>165258630.91</v>
      </c>
      <c r="BV27" s="76">
        <f>资产资本表!BV19</f>
        <v>190345974.91999999</v>
      </c>
      <c r="BW27" s="76">
        <f>资产资本表!BW19</f>
        <v>234458173.80000001</v>
      </c>
      <c r="BX27" s="76">
        <f>资产资本表!BX19</f>
        <v>275764965.38999999</v>
      </c>
      <c r="BY27" s="76">
        <f>资产资本表!BY19</f>
        <v>220925759.05000001</v>
      </c>
      <c r="BZ27" s="76">
        <f>资产资本表!BZ19</f>
        <v>152594060</v>
      </c>
      <c r="CA27" s="76">
        <f>资产资本表!CA19</f>
        <v>150172810.05000001</v>
      </c>
      <c r="CB27" s="76">
        <f>资产资本表!CB19</f>
        <v>128335000</v>
      </c>
      <c r="CC27" s="76">
        <f>资产资本表!CC19</f>
        <v>58240248.189999998</v>
      </c>
      <c r="CD27" s="76">
        <f>资产资本表!CD19</f>
        <v>49205300.75</v>
      </c>
      <c r="CE27" s="76">
        <f>资产资本表!CE19</f>
        <v>38287366.619999997</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445</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f t="shared" si="12"/>
        <v>0</v>
      </c>
      <c r="O28" s="110">
        <f t="shared" si="12"/>
        <v>0</v>
      </c>
      <c r="P28" s="110">
        <f t="shared" si="12"/>
        <v>0</v>
      </c>
      <c r="Q28" s="110">
        <f t="shared" si="12"/>
        <v>-0.11196628103997611</v>
      </c>
      <c r="R28" s="110">
        <f t="shared" si="12"/>
        <v>0</v>
      </c>
      <c r="S28" s="110">
        <f t="shared" si="12"/>
        <v>0</v>
      </c>
      <c r="T28" s="110">
        <f t="shared" si="12"/>
        <v>0</v>
      </c>
      <c r="U28" s="110">
        <f t="shared" si="12"/>
        <v>-2.5485504633778144E-2</v>
      </c>
      <c r="V28" s="110">
        <f t="shared" si="12"/>
        <v>0</v>
      </c>
      <c r="W28" s="110">
        <f t="shared" si="12"/>
        <v>0</v>
      </c>
      <c r="X28" s="110">
        <f t="shared" si="12"/>
        <v>0</v>
      </c>
      <c r="Y28" s="110">
        <f t="shared" si="12"/>
        <v>-2.510616148864012E-2</v>
      </c>
      <c r="Z28" s="110">
        <f t="shared" si="12"/>
        <v>0</v>
      </c>
      <c r="AA28" s="110">
        <f t="shared" si="12"/>
        <v>0</v>
      </c>
      <c r="AB28" s="110">
        <f t="shared" si="12"/>
        <v>0</v>
      </c>
      <c r="AC28" s="110">
        <f t="shared" si="12"/>
        <v>0</v>
      </c>
      <c r="AD28" s="110">
        <f t="shared" si="12"/>
        <v>4.2010288281481847</v>
      </c>
      <c r="AE28" s="110">
        <f t="shared" si="12"/>
        <v>-9.9573299212428606E-3</v>
      </c>
      <c r="AF28" s="110">
        <f t="shared" si="12"/>
        <v>-2.9328516023755099E-3</v>
      </c>
      <c r="AG28" s="110">
        <f t="shared" si="12"/>
        <v>0</v>
      </c>
      <c r="AH28" s="110">
        <f t="shared" si="12"/>
        <v>0</v>
      </c>
      <c r="AI28" s="110">
        <f t="shared" si="12"/>
        <v>0</v>
      </c>
      <c r="AJ28" s="110">
        <f t="shared" si="12"/>
        <v>0</v>
      </c>
      <c r="AK28" s="110">
        <f t="shared" si="12"/>
        <v>8.5020713805898096E-2</v>
      </c>
      <c r="AL28" s="110">
        <f t="shared" si="12"/>
        <v>0</v>
      </c>
      <c r="AM28" s="110">
        <f t="shared" si="12"/>
        <v>0</v>
      </c>
      <c r="AN28" s="110">
        <f t="shared" si="12"/>
        <v>0</v>
      </c>
      <c r="AO28" s="110">
        <f t="shared" si="12"/>
        <v>0</v>
      </c>
      <c r="AP28" s="110">
        <f t="shared" si="12"/>
        <v>0.19623723704783919</v>
      </c>
      <c r="AQ28" s="110">
        <f t="shared" si="12"/>
        <v>0.16571186292242002</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t="e">
        <f t="shared" si="12"/>
        <v>#DIV/0!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7" t="s">
        <v>696</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34699</v>
      </c>
      <c r="CE31" s="1">
        <v>34334</v>
      </c>
      <c r="CF31" s="1">
        <v>25569</v>
      </c>
      <c r="CG31" s="1"/>
      <c r="CH31" s="1"/>
      <c r="CI31" s="1"/>
      <c r="CJ31" s="1"/>
      <c r="CK31" s="1"/>
    </row>
    <row r="32" spans="1:89" s="76" customFormat="1" x14ac:dyDescent="0.25">
      <c r="A32" s="146" t="s">
        <v>450</v>
      </c>
      <c r="E32" s="76">
        <f>股权价值增加表!E29</f>
        <v>326412634.6079632</v>
      </c>
      <c r="F32" s="76">
        <f>股权价值增加表!F29</f>
        <v>178542618.16033137</v>
      </c>
      <c r="G32" s="76">
        <f>股权价值增加表!G29</f>
        <v>124533932.27090102</v>
      </c>
      <c r="H32" s="76">
        <f>股权价值增加表!H29</f>
        <v>53374997.316614874</v>
      </c>
      <c r="I32" s="76">
        <f>股权价值增加表!I29</f>
        <v>367052378.91383505</v>
      </c>
      <c r="J32" s="76">
        <f>股权价值增加表!J29</f>
        <v>151219053.1186637</v>
      </c>
      <c r="K32" s="76">
        <f>股权价值增加表!K29</f>
        <v>93236838.180829152</v>
      </c>
      <c r="L32" s="76">
        <f>股权价值增加表!L29</f>
        <v>35735098.938938327</v>
      </c>
      <c r="M32" s="76">
        <f>股权价值增加表!M29</f>
        <v>331824164.4154945</v>
      </c>
      <c r="N32" s="76">
        <f>股权价值增加表!N29</f>
        <v>84660539.813275516</v>
      </c>
      <c r="O32" s="76">
        <f>股权价值增加表!O29</f>
        <v>61762768.883931376</v>
      </c>
      <c r="P32" s="76">
        <f>股权价值增加表!P29</f>
        <v>26381872.683502659</v>
      </c>
      <c r="Q32" s="76">
        <f>股权价值增加表!Q29</f>
        <v>164673543.66539431</v>
      </c>
      <c r="R32" s="76">
        <f>股权价值增加表!R29</f>
        <v>65405761.836277157</v>
      </c>
      <c r="S32" s="76">
        <f>股权价值增加表!S29</f>
        <v>36248115.458307773</v>
      </c>
      <c r="T32" s="76">
        <f>股权价值增加表!T29</f>
        <v>9707324.9669349883</v>
      </c>
      <c r="U32" s="76">
        <f>股权价值增加表!U29</f>
        <v>96478912.604464799</v>
      </c>
      <c r="V32" s="76">
        <f>股权价值增加表!V29</f>
        <v>73684830.962934166</v>
      </c>
      <c r="W32" s="76">
        <f>股权价值增加表!W29</f>
        <v>41002509.784280352</v>
      </c>
      <c r="X32" s="76">
        <f>股权价值增加表!X29</f>
        <v>17216871.720531452</v>
      </c>
      <c r="Y32" s="76">
        <f>股权价值增加表!Y29</f>
        <v>57091429.904815473</v>
      </c>
      <c r="Z32" s="76">
        <f>股权价值增加表!Z29</f>
        <v>1272916.0099589007</v>
      </c>
      <c r="AA32" s="76">
        <f>股权价值增加表!AA29</f>
        <v>744436.04472265998</v>
      </c>
      <c r="AB32" s="76">
        <f>股权价值增加表!AB29</f>
        <v>510783.05759597244</v>
      </c>
      <c r="AC32" s="76">
        <f>股权价值增加表!AC29</f>
        <v>69487611.018529639</v>
      </c>
      <c r="AD32" s="76">
        <f>股权价值增加表!AD29</f>
        <v>38456711.375498727</v>
      </c>
      <c r="AE32" s="76">
        <f>股权价值增加表!AE29</f>
        <v>33051487.727143556</v>
      </c>
      <c r="AF32" s="76">
        <f>股权价值增加表!AF29</f>
        <v>28195368.098415099</v>
      </c>
      <c r="AG32" s="76">
        <f>股权价值增加表!AG29</f>
        <v>10224738.122627979</v>
      </c>
      <c r="AH32" s="76">
        <f>股权价值增加表!AH29</f>
        <v>81164.382709119061</v>
      </c>
      <c r="AI32" s="76">
        <f>股权价值增加表!AI29</f>
        <v>366210.23361796269</v>
      </c>
      <c r="AJ32" s="76">
        <f>股权价值增加表!AJ29</f>
        <v>1188980.7543281757</v>
      </c>
      <c r="AK32" s="76">
        <f>股权价值增加表!AK29</f>
        <v>-15046859.788671559</v>
      </c>
      <c r="AL32" s="76">
        <f>股权价值增加表!AL29</f>
        <v>-4242389.8439863939</v>
      </c>
      <c r="AM32" s="76">
        <f>股权价值增加表!AM29</f>
        <v>-20013693.056206811</v>
      </c>
      <c r="AN32" s="76">
        <f>股权价值增加表!AN29</f>
        <v>9020772.962687552</v>
      </c>
      <c r="AO32" s="76">
        <f>股权价值增加表!AO29</f>
        <v>19207890.4918385</v>
      </c>
      <c r="AP32" s="76">
        <f>股权价值增加表!AP29</f>
        <v>514240.73209935578</v>
      </c>
      <c r="AQ32" s="76">
        <f>股权价值增加表!AQ29</f>
        <v>424195.41975402215</v>
      </c>
      <c r="AR32" s="76">
        <f>股权价值增加表!AR29</f>
        <v>13218376.480671829</v>
      </c>
      <c r="AS32" s="76">
        <f>股权价值增加表!AS29</f>
        <v>224523550.70583224</v>
      </c>
      <c r="AT32" s="76">
        <f>股权价值增加表!AT29</f>
        <v>169973343.75428525</v>
      </c>
      <c r="AU32" s="76">
        <f>股权价值增加表!AU29</f>
        <v>25276216.230242383</v>
      </c>
      <c r="AV32" s="76">
        <f>股权价值增加表!AV29</f>
        <v>10418025.883590905</v>
      </c>
      <c r="AW32" s="76">
        <f>股权价值增加表!AW29</f>
        <v>80645993.134456113</v>
      </c>
      <c r="AX32" s="76">
        <f>股权价值增加表!AX29</f>
        <v>98858468.053142011</v>
      </c>
      <c r="AY32" s="76">
        <f>股权价值增加表!AY29</f>
        <v>4164618.0000554677</v>
      </c>
      <c r="AZ32" s="76">
        <f>股权价值增加表!AZ29</f>
        <v>4404250.7403719136</v>
      </c>
      <c r="BA32" s="76">
        <f>股权价值增加表!BA29</f>
        <v>129488443.24502257</v>
      </c>
      <c r="BB32" s="76">
        <f>股权价值增加表!BB29</f>
        <v>25302046.581918754</v>
      </c>
      <c r="BC32" s="76">
        <f>股权价值增加表!BC29</f>
        <v>19087502.868729718</v>
      </c>
      <c r="BD32" s="76">
        <f>股权价值增加表!BD29</f>
        <v>4900450.0763175786</v>
      </c>
      <c r="BE32" s="76">
        <f>股权价值增加表!BE29</f>
        <v>763685.76410923153</v>
      </c>
      <c r="BF32" s="76">
        <f>股权价值增加表!BF29</f>
        <v>12646535.96936796</v>
      </c>
      <c r="BG32" s="76">
        <f>股权价值增加表!BG29</f>
        <v>9719325.6480972841</v>
      </c>
      <c r="BH32" s="76">
        <f>股权价值增加表!BH29</f>
        <v>2762198.6128681013</v>
      </c>
      <c r="BI32" s="76">
        <f>股权价值增加表!BI29</f>
        <v>41730234.672060706</v>
      </c>
      <c r="BJ32" s="76">
        <f>股权价值增加表!BJ29</f>
        <v>-101707745.97929907</v>
      </c>
      <c r="BK32" s="76">
        <f>股权价值增加表!BK29</f>
        <v>34149555.162864909</v>
      </c>
      <c r="BL32" s="76">
        <f>股权价值增加表!BL29</f>
        <v>986341.13464924553</v>
      </c>
      <c r="BM32" s="76">
        <f>股权价值增加表!BM29</f>
        <v>27768279.399729528</v>
      </c>
      <c r="BN32" s="76">
        <f>股权价值增加表!BN29</f>
        <v>1374410.8914763937</v>
      </c>
      <c r="BO32" s="76">
        <f>股权价值增加表!BO29</f>
        <v>-7445603.3481010292</v>
      </c>
      <c r="BP32" s="76">
        <f>股权价值增加表!BP29</f>
        <v>2939194.3598956591</v>
      </c>
      <c r="BQ32" s="76">
        <f>股权价值增加表!BQ29</f>
        <v>42302273.874432564</v>
      </c>
      <c r="BR32" s="76">
        <f>股权价值增加表!BR29</f>
        <v>11738026.122830085</v>
      </c>
      <c r="BS32" s="76">
        <f>股权价值增加表!BS29</f>
        <v>13982084.824360203</v>
      </c>
      <c r="BT32" s="76">
        <f>股权价值增加表!BT29</f>
        <v>5381934.7669712957</v>
      </c>
      <c r="BU32" s="76">
        <f>股权价值增加表!BU29</f>
        <v>-17832221.354024254</v>
      </c>
      <c r="BV32" s="76">
        <f>股权价值增加表!BV29</f>
        <v>-7021942.3209398892</v>
      </c>
      <c r="BW32" s="76">
        <f>股权价值增加表!BW29</f>
        <v>-34944254.439923346</v>
      </c>
      <c r="BX32" s="76">
        <f>股权价值增加表!BX29</f>
        <v>-8945651.0218823366</v>
      </c>
      <c r="BY32" s="76">
        <f>股权价值增加表!BY29</f>
        <v>-18546661.857491277</v>
      </c>
      <c r="BZ32" s="76">
        <f>股权价值增加表!BZ29</f>
        <v>-3364600.0285217836</v>
      </c>
      <c r="CA32" s="76">
        <f>股权价值增加表!CA29</f>
        <v>-10185323.417315003</v>
      </c>
      <c r="CB32" s="76">
        <f>股权价值增加表!CB29</f>
        <v>-1233552.4329698174</v>
      </c>
      <c r="CC32" s="76">
        <f>股权价值增加表!CC29</f>
        <v>635788.28453943983</v>
      </c>
      <c r="CD32" s="76">
        <f>股权价值增加表!CD29</f>
        <v>0</v>
      </c>
      <c r="CE32" s="76">
        <f>股权价值增加表!CE29</f>
        <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451</v>
      </c>
    </row>
    <row r="34" spans="1:89" s="76" customFormat="1" x14ac:dyDescent="0.25">
      <c r="A34" s="146" t="s">
        <v>452</v>
      </c>
      <c r="E34" s="76">
        <f>资产资本表!E4</f>
        <v>1588264516.05</v>
      </c>
      <c r="F34" s="76">
        <f>资产资本表!F4</f>
        <v>3104235150.9499998</v>
      </c>
      <c r="G34" s="76">
        <f>资产资本表!G4</f>
        <v>3424099307.77</v>
      </c>
      <c r="H34" s="76">
        <f>资产资本表!H4</f>
        <v>4181117303.0300002</v>
      </c>
      <c r="I34" s="76">
        <f>资产资本表!I4</f>
        <v>4272077211.1100001</v>
      </c>
      <c r="J34" s="76">
        <f>资产资本表!J4</f>
        <v>2072326734.1300001</v>
      </c>
      <c r="K34" s="76">
        <f>资产资本表!K4</f>
        <v>2054917706.6500001</v>
      </c>
      <c r="L34" s="76">
        <f>资产资本表!L4</f>
        <v>2292632934.3299999</v>
      </c>
      <c r="M34" s="76">
        <f>资产资本表!M4</f>
        <v>3042843924.8099999</v>
      </c>
      <c r="N34" s="76">
        <f>资产资本表!N4</f>
        <v>4062464287.1799998</v>
      </c>
      <c r="O34" s="76">
        <f>资产资本表!O4</f>
        <v>2816973344.0500002</v>
      </c>
      <c r="P34" s="76">
        <f>资产资本表!P4</f>
        <v>2163913113.1100001</v>
      </c>
      <c r="Q34" s="76">
        <f>资产资本表!Q4</f>
        <v>3059914956.21</v>
      </c>
      <c r="R34" s="76">
        <f>资产资本表!R4</f>
        <v>2380783432.6599998</v>
      </c>
      <c r="S34" s="76">
        <f>资产资本表!S4</f>
        <v>2165295105.79</v>
      </c>
      <c r="T34" s="76">
        <f>资产资本表!T4</f>
        <v>1668174675.28</v>
      </c>
      <c r="U34" s="76">
        <f>资产资本表!U4</f>
        <v>1617373088.5</v>
      </c>
      <c r="V34" s="76">
        <f>资产资本表!V4</f>
        <v>1470176770.74</v>
      </c>
      <c r="W34" s="76">
        <f>资产资本表!W4</f>
        <v>1545016690.3199999</v>
      </c>
      <c r="X34" s="76">
        <f>资产资本表!X4</f>
        <v>1417528392.6500001</v>
      </c>
      <c r="Y34" s="76">
        <f>资产资本表!Y4</f>
        <v>1404291094.6500001</v>
      </c>
      <c r="Z34" s="76">
        <f>资产资本表!Z4</f>
        <v>2832101839.1999998</v>
      </c>
      <c r="AA34" s="76">
        <f>资产资本表!AA4</f>
        <v>3120949620.1500001</v>
      </c>
      <c r="AB34" s="76">
        <f>资产资本表!AB4</f>
        <v>2320964526.3499999</v>
      </c>
      <c r="AC34" s="76">
        <f>资产资本表!AC4</f>
        <v>2415450351.2399998</v>
      </c>
      <c r="AD34" s="76">
        <f>资产资本表!AD4</f>
        <v>2976961141.6100001</v>
      </c>
      <c r="AE34" s="76">
        <f>资产资本表!AE4</f>
        <v>1684374158.6099999</v>
      </c>
      <c r="AF34" s="76">
        <f>资产资本表!AF4</f>
        <v>1535632135.22</v>
      </c>
      <c r="AG34" s="76">
        <f>资产资本表!AG4</f>
        <v>2215812460.4000001</v>
      </c>
      <c r="AH34" s="76">
        <f>资产资本表!AH4</f>
        <v>1786798307.78</v>
      </c>
      <c r="AI34" s="76">
        <f>资产资本表!AI4</f>
        <v>1295846260.4000001</v>
      </c>
      <c r="AJ34" s="76">
        <f>资产资本表!AJ4</f>
        <v>456333704.60000002</v>
      </c>
      <c r="AK34" s="76">
        <f>资产资本表!AK4</f>
        <v>852448970.80999994</v>
      </c>
      <c r="AL34" s="76">
        <f>资产资本表!AL4</f>
        <v>999829894.36000001</v>
      </c>
      <c r="AM34" s="76">
        <f>资产资本表!AM4</f>
        <v>748728302.46000004</v>
      </c>
      <c r="AN34" s="76">
        <f>资产资本表!AN4</f>
        <v>637784672.39999998</v>
      </c>
      <c r="AO34" s="76">
        <f>资产资本表!AO4</f>
        <v>617998210.34000003</v>
      </c>
      <c r="AP34" s="76">
        <f>资产资本表!AP4</f>
        <v>528550937.22000003</v>
      </c>
      <c r="AQ34" s="76">
        <f>资产资本表!AQ4</f>
        <v>775427309.40999997</v>
      </c>
      <c r="AR34" s="76">
        <f>资产资本表!AR4</f>
        <v>734210913.72000003</v>
      </c>
      <c r="AS34" s="76">
        <f>资产资本表!AS4</f>
        <v>907613092.05999994</v>
      </c>
      <c r="AT34" s="76">
        <f>资产资本表!AT4</f>
        <v>903358170.94000006</v>
      </c>
      <c r="AU34" s="76">
        <f>资产资本表!AU4</f>
        <v>619661233.44000006</v>
      </c>
      <c r="AV34" s="76">
        <f>资产资本表!AV4</f>
        <v>500964160.81999999</v>
      </c>
      <c r="AW34" s="76">
        <f>资产资本表!AW4</f>
        <v>723390307.28999996</v>
      </c>
      <c r="AX34" s="76">
        <f>资产资本表!AX4</f>
        <v>728951387.90999997</v>
      </c>
      <c r="AY34" s="76">
        <f>资产资本表!AY4</f>
        <v>867488924.61000001</v>
      </c>
      <c r="AZ34" s="76">
        <f>资产资本表!AZ4</f>
        <v>896747398.87</v>
      </c>
      <c r="BA34" s="76">
        <f>资产资本表!BA4</f>
        <v>882277720.63</v>
      </c>
      <c r="BB34" s="76">
        <f>资产资本表!BB4</f>
        <v>612399434.42999995</v>
      </c>
      <c r="BC34" s="76">
        <f>资产资本表!BC4</f>
        <v>558867662.02999997</v>
      </c>
      <c r="BD34" s="76">
        <f>资产资本表!BD4</f>
        <v>755254548.26999998</v>
      </c>
      <c r="BE34" s="76">
        <f>资产资本表!BE4</f>
        <v>859765858.58000004</v>
      </c>
      <c r="BF34" s="76">
        <f>资产资本表!BF4</f>
        <v>679024133.63999999</v>
      </c>
      <c r="BG34" s="76">
        <f>资产资本表!BG4</f>
        <v>873989137.36000001</v>
      </c>
      <c r="BH34" s="76">
        <f>资产资本表!BH4</f>
        <v>883034753.75</v>
      </c>
      <c r="BI34" s="76">
        <f>资产资本表!BI4</f>
        <v>944988552.32000005</v>
      </c>
      <c r="BJ34" s="76">
        <f>资产资本表!BJ4</f>
        <v>721735896.69000006</v>
      </c>
      <c r="BK34" s="76">
        <f>资产资本表!BK4</f>
        <v>721950356.52999997</v>
      </c>
      <c r="BL34" s="76">
        <f>资产资本表!BL4</f>
        <v>0</v>
      </c>
      <c r="BM34" s="76">
        <f>资产资本表!BM4</f>
        <v>677279408.63999999</v>
      </c>
      <c r="BN34" s="76">
        <f>资产资本表!BN4</f>
        <v>660984762.95000005</v>
      </c>
      <c r="BO34" s="76">
        <f>资产资本表!BO4</f>
        <v>716541558.66999996</v>
      </c>
      <c r="BP34" s="76">
        <f>资产资本表!BP4</f>
        <v>615143272.08000004</v>
      </c>
      <c r="BQ34" s="76">
        <f>资产资本表!BQ4</f>
        <v>599866621.51999998</v>
      </c>
      <c r="BR34" s="76">
        <f>资产资本表!BR4</f>
        <v>694819482.25999999</v>
      </c>
      <c r="BS34" s="76">
        <f>资产资本表!BS4</f>
        <v>664362710.46000004</v>
      </c>
      <c r="BT34" s="76">
        <f>资产资本表!BT4</f>
        <v>1039485600.05</v>
      </c>
      <c r="BU34" s="76">
        <f>资产资本表!BU4</f>
        <v>656789143.50999999</v>
      </c>
      <c r="BV34" s="76">
        <f>资产资本表!BV4</f>
        <v>658991600.60000002</v>
      </c>
      <c r="BW34" s="76">
        <f>资产资本表!BW4</f>
        <v>549041557.79999995</v>
      </c>
      <c r="BX34" s="76">
        <f>资产资本表!BX4</f>
        <v>816742538.27999997</v>
      </c>
      <c r="BY34" s="76">
        <f>资产资本表!BY4</f>
        <v>964470015.25</v>
      </c>
      <c r="BZ34" s="76">
        <f>资产资本表!BZ4</f>
        <v>0</v>
      </c>
      <c r="CA34" s="76">
        <f>资产资本表!CA4</f>
        <v>467397035.52999997</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453</v>
      </c>
      <c r="E35" s="76">
        <f>利润表!E12</f>
        <v>5270238.03</v>
      </c>
      <c r="F35" s="76">
        <f>利润表!F12</f>
        <v>7279041.3300000001</v>
      </c>
      <c r="G35" s="76">
        <f>利润表!G12</f>
        <v>4917873.13</v>
      </c>
      <c r="H35" s="76">
        <f>利润表!H12</f>
        <v>0</v>
      </c>
      <c r="I35" s="76">
        <f>利润表!I12</f>
        <v>0</v>
      </c>
      <c r="J35" s="76">
        <f>利润表!J12</f>
        <v>0</v>
      </c>
      <c r="K35" s="76">
        <f>利润表!K12</f>
        <v>0</v>
      </c>
      <c r="L35" s="76">
        <f>利润表!L12</f>
        <v>0</v>
      </c>
      <c r="M35" s="76">
        <f>利润表!M12</f>
        <v>0</v>
      </c>
      <c r="N35" s="76">
        <f>利润表!N12</f>
        <v>-248907.75</v>
      </c>
      <c r="O35" s="76">
        <f>利润表!O12</f>
        <v>-248907.75</v>
      </c>
      <c r="P35" s="76">
        <f>利润表!P12</f>
        <v>-28329.51</v>
      </c>
      <c r="Q35" s="76">
        <f>利润表!Q12</f>
        <v>-14767832.25</v>
      </c>
      <c r="R35" s="76">
        <f>利润表!R12</f>
        <v>-13390840</v>
      </c>
      <c r="S35" s="76">
        <f>利润表!S12</f>
        <v>-13529790</v>
      </c>
      <c r="T35" s="76">
        <f>利润表!T12</f>
        <v>-11925800</v>
      </c>
      <c r="U35" s="76">
        <f>利润表!U12</f>
        <v>13792150</v>
      </c>
      <c r="V35" s="76">
        <f>利润表!V12</f>
        <v>13951660</v>
      </c>
      <c r="W35" s="76">
        <f>利润表!W12</f>
        <v>10584660</v>
      </c>
      <c r="X35" s="76">
        <f>利润表!X12</f>
        <v>3919510</v>
      </c>
      <c r="Y35" s="76">
        <f>利润表!Y12</f>
        <v>-3067710</v>
      </c>
      <c r="Z35" s="76">
        <f>利润表!Z12</f>
        <v>-4011100</v>
      </c>
      <c r="AA35" s="76">
        <f>利润表!AA12</f>
        <v>-4292300</v>
      </c>
      <c r="AB35" s="76">
        <f>利润表!AB12</f>
        <v>-2873250</v>
      </c>
      <c r="AC35" s="76">
        <f>利润表!AC12</f>
        <v>-3486333.32</v>
      </c>
      <c r="AD35" s="76">
        <f>利润表!AD12</f>
        <v>8777385.9000000004</v>
      </c>
      <c r="AE35" s="76">
        <f>利润表!AE12</f>
        <v>11689065.84</v>
      </c>
      <c r="AF35" s="76">
        <f>利润表!AF12</f>
        <v>12226997.48</v>
      </c>
      <c r="AG35" s="76">
        <f>利润表!AG12</f>
        <v>7778633.3200000003</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8134949.6799999997</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454</v>
      </c>
      <c r="E36" s="76">
        <f>资产资本表!E13</f>
        <v>60943907.979999997</v>
      </c>
      <c r="F36" s="76">
        <f>资产资本表!F13</f>
        <v>42692360.899999999</v>
      </c>
      <c r="G36" s="76">
        <f>资产资本表!G13</f>
        <v>55176400.57</v>
      </c>
      <c r="H36" s="76">
        <f>资产资本表!H13</f>
        <v>31844191.18</v>
      </c>
      <c r="I36" s="76">
        <f>资产资本表!I13</f>
        <v>26755807.07</v>
      </c>
      <c r="J36" s="76">
        <f>资产资本表!J13</f>
        <v>22536571.629999999</v>
      </c>
      <c r="K36" s="76">
        <f>资产资本表!K13</f>
        <v>28465678.210000001</v>
      </c>
      <c r="L36" s="76">
        <f>资产资本表!L13</f>
        <v>24734172.239999998</v>
      </c>
      <c r="M36" s="76">
        <f>资产资本表!M13</f>
        <v>22932602.739999998</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9864250.0299999993</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1798815.52</v>
      </c>
      <c r="AN37" s="76">
        <f>资产资本表!AN11</f>
        <v>1798815.52</v>
      </c>
      <c r="AO37" s="76">
        <f>资产资本表!AO11</f>
        <v>1798815.52</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11725207.439999999</v>
      </c>
      <c r="BK37" s="76">
        <f>资产资本表!BK11</f>
        <v>16725207.439999999</v>
      </c>
      <c r="BL37" s="76">
        <f>资产资本表!BL11</f>
        <v>0</v>
      </c>
      <c r="BM37" s="76">
        <f>资产资本表!BM11</f>
        <v>7286180.2300000004</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456</v>
      </c>
      <c r="E38" s="76">
        <f>资产资本表!E8</f>
        <v>200000</v>
      </c>
      <c r="F38" s="76">
        <f>资产资本表!F8</f>
        <v>200000</v>
      </c>
      <c r="G38" s="76">
        <f>资产资本表!G8</f>
        <v>200000</v>
      </c>
      <c r="H38" s="76">
        <f>资产资本表!H8</f>
        <v>200000</v>
      </c>
      <c r="I38" s="76">
        <f>资产资本表!I8</f>
        <v>200000</v>
      </c>
      <c r="J38" s="76">
        <f>资产资本表!J8</f>
        <v>200000</v>
      </c>
      <c r="K38" s="76">
        <f>资产资本表!K8</f>
        <v>200000</v>
      </c>
      <c r="L38" s="76">
        <f>资产资本表!L8</f>
        <v>200000</v>
      </c>
      <c r="M38" s="76">
        <f>资产资本表!M8</f>
        <v>200000</v>
      </c>
      <c r="N38" s="76">
        <f>资产资本表!N8</f>
        <v>200000</v>
      </c>
      <c r="O38" s="76">
        <f>资产资本表!O8</f>
        <v>200000</v>
      </c>
      <c r="P38" s="76">
        <f>资产资本表!P8</f>
        <v>200000</v>
      </c>
      <c r="Q38" s="76">
        <f>资产资本表!Q8</f>
        <v>200000</v>
      </c>
      <c r="R38" s="76">
        <f>资产资本表!R8</f>
        <v>501056</v>
      </c>
      <c r="S38" s="76">
        <f>资产资本表!S8</f>
        <v>251664</v>
      </c>
      <c r="T38" s="76">
        <f>资产资本表!T8</f>
        <v>270480</v>
      </c>
      <c r="U38" s="76">
        <f>资产资本表!U8</f>
        <v>312816</v>
      </c>
      <c r="V38" s="76">
        <f>资产资本表!V8</f>
        <v>301056</v>
      </c>
      <c r="W38" s="76">
        <f>资产资本表!W8</f>
        <v>242256</v>
      </c>
      <c r="X38" s="76">
        <f>资产资本表!X8</f>
        <v>348096</v>
      </c>
      <c r="Y38" s="76">
        <f>资产资本表!Y8</f>
        <v>286944</v>
      </c>
      <c r="Z38" s="76">
        <f>资产资本表!Z8</f>
        <v>176400</v>
      </c>
      <c r="AA38" s="76">
        <f>资产资本表!AA8</f>
        <v>228144</v>
      </c>
      <c r="AB38" s="76">
        <f>资产资本表!AB8</f>
        <v>263424</v>
      </c>
      <c r="AC38" s="76">
        <f>资产资本表!AC8</f>
        <v>284592</v>
      </c>
      <c r="AD38" s="76">
        <f>资产资本表!AD8</f>
        <v>258720</v>
      </c>
      <c r="AE38" s="76">
        <f>资产资本表!AE8</f>
        <v>322224</v>
      </c>
      <c r="AF38" s="76">
        <f>资产资本表!AF8</f>
        <v>350448</v>
      </c>
      <c r="AG38" s="76">
        <f>资产资本表!AG8</f>
        <v>312816</v>
      </c>
      <c r="AH38" s="76">
        <f>资产资本表!AH8</f>
        <v>324576</v>
      </c>
      <c r="AI38" s="76">
        <f>资产资本表!AI8</f>
        <v>315168</v>
      </c>
      <c r="AJ38" s="76">
        <f>资产资本表!AJ8</f>
        <v>425712</v>
      </c>
      <c r="AK38" s="76">
        <f>资产资本表!AK8</f>
        <v>312816</v>
      </c>
      <c r="AL38" s="76">
        <f>资产资本表!AL8</f>
        <v>279888</v>
      </c>
      <c r="AM38" s="76">
        <f>资产资本表!AM8</f>
        <v>12179282</v>
      </c>
      <c r="AN38" s="76">
        <f>资产资本表!AN8</f>
        <v>9685386</v>
      </c>
      <c r="AO38" s="76">
        <f>资产资本表!AO8</f>
        <v>7045326</v>
      </c>
      <c r="AP38" s="76">
        <f>资产资本表!AP8</f>
        <v>8891976</v>
      </c>
      <c r="AQ38" s="76">
        <f>资产资本表!AQ8</f>
        <v>11128485</v>
      </c>
      <c r="AR38" s="76">
        <f>资产资本表!AR8</f>
        <v>14495237</v>
      </c>
      <c r="AS38" s="76">
        <f>资产资本表!AS8</f>
        <v>22474658</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5200</v>
      </c>
      <c r="BN39" s="76">
        <f>资产资本表!BN9</f>
        <v>5200</v>
      </c>
      <c r="BO39" s="76">
        <f>资产资本表!BO9</f>
        <v>5200</v>
      </c>
      <c r="BP39" s="76">
        <f>资产资本表!BP9</f>
        <v>5200</v>
      </c>
      <c r="BQ39" s="76">
        <f>资产资本表!BQ9</f>
        <v>5200</v>
      </c>
      <c r="BR39" s="76">
        <f>资产资本表!BR9</f>
        <v>10400</v>
      </c>
      <c r="BS39" s="76">
        <f>资产资本表!BS9</f>
        <v>10400</v>
      </c>
      <c r="BT39" s="76">
        <f>资产资本表!BT9</f>
        <v>15600</v>
      </c>
      <c r="BU39" s="76">
        <f>资产资本表!BU9</f>
        <v>15600</v>
      </c>
      <c r="BV39" s="76">
        <f>资产资本表!BV9</f>
        <v>26000</v>
      </c>
      <c r="BW39" s="76">
        <f>资产资本表!BW9</f>
        <v>26000</v>
      </c>
      <c r="BX39" s="76">
        <f>资产资本表!BX9</f>
        <v>58588.800000000003</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458</v>
      </c>
      <c r="E40" s="76">
        <f>资产资本表!E10</f>
        <v>61695825</v>
      </c>
      <c r="F40" s="76">
        <f>资产资本表!F10</f>
        <v>61965822.25</v>
      </c>
      <c r="G40" s="76">
        <f>资产资本表!G10</f>
        <v>62928849.25</v>
      </c>
      <c r="H40" s="76">
        <f>资产资本表!H10</f>
        <v>63891876.25</v>
      </c>
      <c r="I40" s="76">
        <f>资产资本表!I10</f>
        <v>64854903.25</v>
      </c>
      <c r="J40" s="76">
        <f>资产资本表!J10</f>
        <v>65428381.369999997</v>
      </c>
      <c r="K40" s="76">
        <f>资产资本表!K10</f>
        <v>66566603.420000002</v>
      </c>
      <c r="L40" s="76">
        <f>资产资本表!L10</f>
        <v>67704825.469999999</v>
      </c>
      <c r="M40" s="76">
        <f>资产资本表!M10</f>
        <v>68843047.519999996</v>
      </c>
      <c r="N40" s="76">
        <f>资产资本表!N10</f>
        <v>69987243.75</v>
      </c>
      <c r="O40" s="76">
        <f>资产资本表!O10</f>
        <v>71109600.25</v>
      </c>
      <c r="P40" s="76">
        <f>资产资本表!P10</f>
        <v>72253482.129999995</v>
      </c>
      <c r="Q40" s="76">
        <f>资产资本表!Q10</f>
        <v>73229177.519999996</v>
      </c>
      <c r="R40" s="76">
        <f>资产资本表!R10</f>
        <v>8709058.5999999996</v>
      </c>
      <c r="S40" s="76">
        <f>资产资本表!S10</f>
        <v>8961631.4399999995</v>
      </c>
      <c r="T40" s="76">
        <f>资产资本表!T10</f>
        <v>9214185.9700000007</v>
      </c>
      <c r="U40" s="76">
        <f>资产资本表!U10</f>
        <v>9466777.0999999996</v>
      </c>
      <c r="V40" s="76">
        <f>资产资本表!V10</f>
        <v>4904348.7300000004</v>
      </c>
      <c r="W40" s="76">
        <f>资产资本表!W10</f>
        <v>4952732.7300000004</v>
      </c>
      <c r="X40" s="76">
        <f>资产资本表!X10</f>
        <v>5001116.7300000004</v>
      </c>
      <c r="Y40" s="76">
        <f>资产资本表!Y10</f>
        <v>5049500.7300000004</v>
      </c>
      <c r="Z40" s="76">
        <f>资产资本表!Z10</f>
        <v>5097884.7300000004</v>
      </c>
      <c r="AA40" s="76">
        <f>资产资本表!AA10</f>
        <v>5146268.7300000004</v>
      </c>
      <c r="AB40" s="76">
        <f>资产资本表!AB10</f>
        <v>5194652.7300000004</v>
      </c>
      <c r="AC40" s="76">
        <f>资产资本表!AC10</f>
        <v>5242947.4800000004</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30474370.100000001</v>
      </c>
      <c r="AP40" s="76">
        <f>资产资本表!AP10</f>
        <v>30984573.98</v>
      </c>
      <c r="AQ40" s="76">
        <f>资产资本表!AQ10</f>
        <v>31239675.920000002</v>
      </c>
      <c r="AR40" s="76">
        <f>资产资本表!AR10</f>
        <v>32004981.739999998</v>
      </c>
      <c r="AS40" s="76">
        <f>资产资本表!AS10</f>
        <v>32004981.739999998</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461</v>
      </c>
      <c r="E43" s="76">
        <f>SUM(E34:E42)</f>
        <v>1716374487.0599999</v>
      </c>
      <c r="F43" s="76">
        <f t="shared" ref="F43:BQ43" si="14">SUM(F34:F42)</f>
        <v>3216372375.4299998</v>
      </c>
      <c r="G43" s="76">
        <f t="shared" si="14"/>
        <v>3547322430.7200003</v>
      </c>
      <c r="H43" s="76">
        <f t="shared" si="14"/>
        <v>4277053370.46</v>
      </c>
      <c r="I43" s="76">
        <f t="shared" si="14"/>
        <v>4363887921.4300003</v>
      </c>
      <c r="J43" s="76">
        <f t="shared" si="14"/>
        <v>2160491687.1300001</v>
      </c>
      <c r="K43" s="76">
        <f t="shared" si="14"/>
        <v>2150149988.2800002</v>
      </c>
      <c r="L43" s="76">
        <f t="shared" si="14"/>
        <v>2385271932.0399995</v>
      </c>
      <c r="M43" s="76">
        <f t="shared" si="14"/>
        <v>3134819575.0699997</v>
      </c>
      <c r="N43" s="76">
        <f t="shared" si="14"/>
        <v>4132402623.1799998</v>
      </c>
      <c r="O43" s="76">
        <f t="shared" si="14"/>
        <v>2888034036.5500002</v>
      </c>
      <c r="P43" s="76">
        <f t="shared" si="14"/>
        <v>2236338265.73</v>
      </c>
      <c r="Q43" s="76">
        <f t="shared" si="14"/>
        <v>3118576301.48</v>
      </c>
      <c r="R43" s="76">
        <f t="shared" si="14"/>
        <v>2376602707.2599998</v>
      </c>
      <c r="S43" s="76">
        <f t="shared" si="14"/>
        <v>2160978611.23</v>
      </c>
      <c r="T43" s="76">
        <f t="shared" si="14"/>
        <v>1665733541.25</v>
      </c>
      <c r="U43" s="76">
        <f t="shared" si="14"/>
        <v>1640944831.5999999</v>
      </c>
      <c r="V43" s="76">
        <f t="shared" si="14"/>
        <v>1489333835.47</v>
      </c>
      <c r="W43" s="76">
        <f t="shared" si="14"/>
        <v>1560796339.05</v>
      </c>
      <c r="X43" s="76">
        <f t="shared" si="14"/>
        <v>1426797115.3800001</v>
      </c>
      <c r="Y43" s="76">
        <f t="shared" si="14"/>
        <v>1406559829.3800001</v>
      </c>
      <c r="Z43" s="76">
        <f t="shared" si="14"/>
        <v>2833365023.9299998</v>
      </c>
      <c r="AA43" s="76">
        <f t="shared" si="14"/>
        <v>3122031732.8800001</v>
      </c>
      <c r="AB43" s="76">
        <f t="shared" si="14"/>
        <v>2323549353.0799999</v>
      </c>
      <c r="AC43" s="76">
        <f t="shared" si="14"/>
        <v>2417491557.3999996</v>
      </c>
      <c r="AD43" s="76">
        <f t="shared" si="14"/>
        <v>2985997247.5100002</v>
      </c>
      <c r="AE43" s="76">
        <f t="shared" si="14"/>
        <v>1696385448.4499998</v>
      </c>
      <c r="AF43" s="76">
        <f t="shared" si="14"/>
        <v>1548209580.7</v>
      </c>
      <c r="AG43" s="76">
        <f t="shared" si="14"/>
        <v>2223903909.7200003</v>
      </c>
      <c r="AH43" s="76">
        <f t="shared" si="14"/>
        <v>1787122883.78</v>
      </c>
      <c r="AI43" s="76">
        <f t="shared" si="14"/>
        <v>1296161428.4000001</v>
      </c>
      <c r="AJ43" s="76">
        <f t="shared" si="14"/>
        <v>456759416.60000002</v>
      </c>
      <c r="AK43" s="76">
        <f t="shared" si="14"/>
        <v>852761786.80999994</v>
      </c>
      <c r="AL43" s="76">
        <f t="shared" si="14"/>
        <v>1000109782.36</v>
      </c>
      <c r="AM43" s="76">
        <f t="shared" si="14"/>
        <v>762706399.98000002</v>
      </c>
      <c r="AN43" s="76">
        <f t="shared" si="14"/>
        <v>649268873.91999996</v>
      </c>
      <c r="AO43" s="76">
        <f t="shared" si="14"/>
        <v>657316721.96000004</v>
      </c>
      <c r="AP43" s="76">
        <f t="shared" si="14"/>
        <v>568427487.20000005</v>
      </c>
      <c r="AQ43" s="76">
        <f t="shared" si="14"/>
        <v>817795470.32999992</v>
      </c>
      <c r="AR43" s="76">
        <f t="shared" si="14"/>
        <v>780711132.46000004</v>
      </c>
      <c r="AS43" s="76">
        <f t="shared" si="14"/>
        <v>962092731.79999995</v>
      </c>
      <c r="AT43" s="76">
        <f t="shared" si="14"/>
        <v>911493120.62</v>
      </c>
      <c r="AU43" s="76">
        <f t="shared" si="14"/>
        <v>619661233.44000006</v>
      </c>
      <c r="AV43" s="76">
        <f t="shared" si="14"/>
        <v>500964160.81999999</v>
      </c>
      <c r="AW43" s="76">
        <f t="shared" si="14"/>
        <v>723390307.28999996</v>
      </c>
      <c r="AX43" s="76">
        <f t="shared" si="14"/>
        <v>728951387.90999997</v>
      </c>
      <c r="AY43" s="76">
        <f t="shared" si="14"/>
        <v>867488924.61000001</v>
      </c>
      <c r="AZ43" s="76">
        <f t="shared" si="14"/>
        <v>896747398.87</v>
      </c>
      <c r="BA43" s="76">
        <f t="shared" si="14"/>
        <v>882277720.63</v>
      </c>
      <c r="BB43" s="76">
        <f t="shared" si="14"/>
        <v>612399434.42999995</v>
      </c>
      <c r="BC43" s="76">
        <f t="shared" si="14"/>
        <v>558867662.02999997</v>
      </c>
      <c r="BD43" s="76">
        <f t="shared" si="14"/>
        <v>755254548.26999998</v>
      </c>
      <c r="BE43" s="76">
        <f t="shared" si="14"/>
        <v>859765858.58000004</v>
      </c>
      <c r="BF43" s="76">
        <f t="shared" si="14"/>
        <v>679024133.63999999</v>
      </c>
      <c r="BG43" s="76">
        <f t="shared" si="14"/>
        <v>873989137.36000001</v>
      </c>
      <c r="BH43" s="76">
        <f t="shared" si="14"/>
        <v>883034753.75</v>
      </c>
      <c r="BI43" s="76">
        <f t="shared" si="14"/>
        <v>944988552.32000005</v>
      </c>
      <c r="BJ43" s="76">
        <f t="shared" si="14"/>
        <v>733461104.13000011</v>
      </c>
      <c r="BK43" s="76">
        <f t="shared" si="14"/>
        <v>738675563.97000003</v>
      </c>
      <c r="BL43" s="76">
        <f t="shared" si="14"/>
        <v>0</v>
      </c>
      <c r="BM43" s="76">
        <f t="shared" si="14"/>
        <v>684570788.87</v>
      </c>
      <c r="BN43" s="76">
        <f t="shared" si="14"/>
        <v>660989962.95000005</v>
      </c>
      <c r="BO43" s="76">
        <f t="shared" si="14"/>
        <v>716546758.66999996</v>
      </c>
      <c r="BP43" s="76">
        <f t="shared" si="14"/>
        <v>615148472.08000004</v>
      </c>
      <c r="BQ43" s="76">
        <f t="shared" si="14"/>
        <v>599871821.51999998</v>
      </c>
      <c r="BR43" s="76">
        <f t="shared" ref="BR43:CJ43" si="15">SUM(BR34:BR42)</f>
        <v>694829882.25999999</v>
      </c>
      <c r="BS43" s="76">
        <f t="shared" si="15"/>
        <v>664373110.46000004</v>
      </c>
      <c r="BT43" s="76">
        <f t="shared" si="15"/>
        <v>1039501200.05</v>
      </c>
      <c r="BU43" s="76">
        <f t="shared" si="15"/>
        <v>656804743.50999999</v>
      </c>
      <c r="BV43" s="76">
        <f t="shared" si="15"/>
        <v>659017600.60000002</v>
      </c>
      <c r="BW43" s="76">
        <f t="shared" si="15"/>
        <v>549067557.79999995</v>
      </c>
      <c r="BX43" s="76">
        <f t="shared" si="15"/>
        <v>826665377.1099999</v>
      </c>
      <c r="BY43" s="76">
        <f t="shared" si="15"/>
        <v>964470015.25</v>
      </c>
      <c r="BZ43" s="76">
        <f t="shared" si="15"/>
        <v>0</v>
      </c>
      <c r="CA43" s="76">
        <f t="shared" si="15"/>
        <v>467397035.52999997</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462</v>
      </c>
      <c r="E44" s="110">
        <f>E32/E43</f>
        <v>0.19017565051731783</v>
      </c>
      <c r="F44" s="110">
        <f t="shared" ref="F44:BQ44" si="16">F32/F43</f>
        <v>5.5510555781484054E-2</v>
      </c>
      <c r="G44" s="110">
        <f t="shared" si="16"/>
        <v>3.5106459788495845E-2</v>
      </c>
      <c r="H44" s="110">
        <f t="shared" si="16"/>
        <v>1.2479385383698019E-2</v>
      </c>
      <c r="I44" s="110">
        <f t="shared" si="16"/>
        <v>8.4111321262704625E-2</v>
      </c>
      <c r="J44" s="110">
        <f t="shared" si="16"/>
        <v>6.9992888202010758E-2</v>
      </c>
      <c r="K44" s="110">
        <f t="shared" si="16"/>
        <v>4.336294616145054E-2</v>
      </c>
      <c r="L44" s="110">
        <f t="shared" si="16"/>
        <v>1.4981561833235487E-2</v>
      </c>
      <c r="M44" s="110">
        <f t="shared" si="16"/>
        <v>0.10585112044545178</v>
      </c>
      <c r="N44" s="110">
        <f t="shared" si="16"/>
        <v>2.0487001759796303E-2</v>
      </c>
      <c r="O44" s="110">
        <f t="shared" si="16"/>
        <v>2.1385748264141722E-2</v>
      </c>
      <c r="P44" s="110">
        <f t="shared" si="16"/>
        <v>1.1796906169242208E-2</v>
      </c>
      <c r="Q44" s="110">
        <f t="shared" si="16"/>
        <v>5.28040771640714E-2</v>
      </c>
      <c r="R44" s="110">
        <f t="shared" si="16"/>
        <v>2.7520696512074529E-2</v>
      </c>
      <c r="S44" s="110">
        <f t="shared" si="16"/>
        <v>1.6773935322606379E-2</v>
      </c>
      <c r="T44" s="110">
        <f t="shared" si="16"/>
        <v>5.8276577414959271E-3</v>
      </c>
      <c r="U44" s="110">
        <f t="shared" si="16"/>
        <v>5.8794732611694954E-2</v>
      </c>
      <c r="V44" s="110">
        <f t="shared" si="16"/>
        <v>4.9475026490404618E-2</v>
      </c>
      <c r="W44" s="110">
        <f t="shared" si="16"/>
        <v>2.6270249845176528E-2</v>
      </c>
      <c r="X44" s="110">
        <f t="shared" si="16"/>
        <v>1.2066797398834149E-2</v>
      </c>
      <c r="Y44" s="110">
        <f t="shared" si="16"/>
        <v>4.0589407369881238E-2</v>
      </c>
      <c r="Z44" s="110">
        <f t="shared" si="16"/>
        <v>4.4925944917372884E-4</v>
      </c>
      <c r="AA44" s="110">
        <f t="shared" si="16"/>
        <v>2.3844602118631747E-4</v>
      </c>
      <c r="AB44" s="110">
        <f t="shared" si="16"/>
        <v>2.1982879637090546E-4</v>
      </c>
      <c r="AC44" s="110">
        <f t="shared" si="16"/>
        <v>2.874368301549033E-2</v>
      </c>
      <c r="AD44" s="110">
        <f t="shared" si="16"/>
        <v>1.2879017690845991E-2</v>
      </c>
      <c r="AE44" s="110">
        <f t="shared" si="16"/>
        <v>1.9483477506449343E-2</v>
      </c>
      <c r="AF44" s="110">
        <f t="shared" si="16"/>
        <v>1.8211596446565705E-2</v>
      </c>
      <c r="AG44" s="110">
        <f t="shared" si="16"/>
        <v>4.5976528382988095E-3</v>
      </c>
      <c r="AH44" s="110">
        <f t="shared" si="16"/>
        <v>4.541622931795586E-5</v>
      </c>
      <c r="AI44" s="110">
        <f t="shared" si="16"/>
        <v>2.8253443251279107E-4</v>
      </c>
      <c r="AJ44" s="110">
        <f t="shared" si="16"/>
        <v>2.6030788006050176E-3</v>
      </c>
      <c r="AK44" s="110">
        <f t="shared" si="16"/>
        <v>-1.7644857006267427E-2</v>
      </c>
      <c r="AL44" s="110">
        <f t="shared" si="16"/>
        <v>-4.241924155541657E-3</v>
      </c>
      <c r="AM44" s="110">
        <f t="shared" si="16"/>
        <v>-2.6240363338673463E-2</v>
      </c>
      <c r="AN44" s="110">
        <f t="shared" si="16"/>
        <v>1.3893740059066888E-2</v>
      </c>
      <c r="AO44" s="110">
        <f t="shared" si="16"/>
        <v>2.9221667196544204E-2</v>
      </c>
      <c r="AP44" s="110">
        <f t="shared" si="16"/>
        <v>9.0467252847401664E-4</v>
      </c>
      <c r="AQ44" s="110">
        <f t="shared" si="16"/>
        <v>5.1870600308271363E-4</v>
      </c>
      <c r="AR44" s="110">
        <f t="shared" si="16"/>
        <v>1.6931200198236032E-2</v>
      </c>
      <c r="AS44" s="110">
        <f t="shared" si="16"/>
        <v>0.23336996869913601</v>
      </c>
      <c r="AT44" s="110">
        <f t="shared" si="16"/>
        <v>0.18647792277210928</v>
      </c>
      <c r="AU44" s="110">
        <f t="shared" si="16"/>
        <v>4.0790378461992009E-2</v>
      </c>
      <c r="AV44" s="110">
        <f t="shared" si="16"/>
        <v>2.0795950485835605E-2</v>
      </c>
      <c r="AW44" s="110">
        <f t="shared" si="16"/>
        <v>0.11148337532552249</v>
      </c>
      <c r="AX44" s="110">
        <f t="shared" si="16"/>
        <v>0.13561736721097728</v>
      </c>
      <c r="AY44" s="110">
        <f t="shared" si="16"/>
        <v>4.8007736835692389E-3</v>
      </c>
      <c r="AZ44" s="110">
        <f t="shared" si="16"/>
        <v>4.9113616007381254E-3</v>
      </c>
      <c r="BA44" s="110">
        <f t="shared" si="16"/>
        <v>0.14676608081246792</v>
      </c>
      <c r="BB44" s="110">
        <f t="shared" si="16"/>
        <v>4.1316247467584645E-2</v>
      </c>
      <c r="BC44" s="110">
        <f t="shared" si="16"/>
        <v>3.4153886806399442E-2</v>
      </c>
      <c r="BD44" s="110">
        <f t="shared" si="16"/>
        <v>6.488474763300188E-3</v>
      </c>
      <c r="BE44" s="110">
        <f t="shared" si="16"/>
        <v>8.8824853474705828E-4</v>
      </c>
      <c r="BF44" s="110">
        <f t="shared" si="16"/>
        <v>1.8624575096579422E-2</v>
      </c>
      <c r="BG44" s="110">
        <f t="shared" si="16"/>
        <v>1.1120648109490004E-2</v>
      </c>
      <c r="BH44" s="110">
        <f t="shared" si="16"/>
        <v>3.1280746325530466E-3</v>
      </c>
      <c r="BI44" s="110">
        <f t="shared" si="16"/>
        <v>4.4159513434962397E-2</v>
      </c>
      <c r="BJ44" s="110">
        <f t="shared" si="16"/>
        <v>-0.13866822031406886</v>
      </c>
      <c r="BK44" s="110">
        <f t="shared" si="16"/>
        <v>4.6230790388311571E-2</v>
      </c>
      <c r="BL44" s="110" t="e">
        <f t="shared" si="16"/>
        <v>#DIV/0!</v>
      </c>
      <c r="BM44" s="110">
        <f t="shared" si="16"/>
        <v>4.0563050383095919E-2</v>
      </c>
      <c r="BN44" s="110">
        <f t="shared" si="16"/>
        <v>2.079321878568918E-3</v>
      </c>
      <c r="BO44" s="110">
        <f t="shared" si="16"/>
        <v>-1.0390952520559854E-2</v>
      </c>
      <c r="BP44" s="110">
        <f t="shared" si="16"/>
        <v>4.7780243198156181E-3</v>
      </c>
      <c r="BQ44" s="110">
        <f t="shared" si="16"/>
        <v>7.0518854790084837E-2</v>
      </c>
      <c r="BR44" s="110">
        <f t="shared" ref="BR44:CK44" si="17">BR32/BR43</f>
        <v>1.689338127578947E-2</v>
      </c>
      <c r="BS44" s="110">
        <f t="shared" si="17"/>
        <v>2.1045530898562793E-2</v>
      </c>
      <c r="BT44" s="110">
        <f t="shared" si="17"/>
        <v>5.1774204461836355E-3</v>
      </c>
      <c r="BU44" s="110">
        <f t="shared" si="17"/>
        <v>-2.7149958233748283E-2</v>
      </c>
      <c r="BV44" s="110">
        <f t="shared" si="17"/>
        <v>-1.0655166591221218E-2</v>
      </c>
      <c r="BW44" s="110">
        <f t="shared" si="17"/>
        <v>-6.3642905036927946E-2</v>
      </c>
      <c r="BX44" s="110">
        <f t="shared" si="17"/>
        <v>-1.0821368923367873E-2</v>
      </c>
      <c r="BY44" s="110">
        <f t="shared" si="17"/>
        <v>-1.9229899907965312E-2</v>
      </c>
      <c r="BZ44" s="110" t="e">
        <f t="shared" si="17"/>
        <v>#DIV/0!</v>
      </c>
      <c r="CA44" s="110">
        <f t="shared" si="17"/>
        <v>-2.179158754347995E-2</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6" t="s">
        <v>697</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698</v>
      </c>
      <c r="E46" s="57">
        <f>E43/资产资本表!E70</f>
        <v>0.2065695704299301</v>
      </c>
      <c r="F46" s="57">
        <f>F43/资产资本表!F70</f>
        <v>0.40362415549102842</v>
      </c>
      <c r="G46" s="57">
        <f>G43/资产资本表!G70</f>
        <v>0.47357843982827175</v>
      </c>
      <c r="H46" s="57">
        <f>H43/资产资本表!H70</f>
        <v>0.56961383544525934</v>
      </c>
      <c r="I46" s="57">
        <f>I43/资产资本表!I70</f>
        <v>0.61018154429605342</v>
      </c>
      <c r="J46" s="57">
        <f>J43/资产资本表!J70</f>
        <v>0.31976426512882461</v>
      </c>
      <c r="K46" s="57">
        <f>K43/资产资本表!K70</f>
        <v>0.33910243502146886</v>
      </c>
      <c r="L46" s="57">
        <f>L43/资产资本表!L70</f>
        <v>0.37361402183096604</v>
      </c>
      <c r="M46" s="57">
        <f>M43/资产资本表!M70</f>
        <v>0.52219936371045861</v>
      </c>
      <c r="N46" s="57">
        <f>N43/资产资本表!N70</f>
        <v>0.71350139058955242</v>
      </c>
      <c r="O46" s="57">
        <f>O43/资产资本表!O70</f>
        <v>0.53518951116829339</v>
      </c>
      <c r="P46" s="57">
        <f>P43/资产资本表!P70</f>
        <v>0.4026171663614897</v>
      </c>
      <c r="Q46" s="57">
        <f>Q43/资产资本表!Q70</f>
        <v>0.604522276047887</v>
      </c>
      <c r="R46" s="57">
        <f>R43/资产资本表!R70</f>
        <v>0.47039032758679489</v>
      </c>
      <c r="S46" s="57">
        <f>S43/资产资本表!S70</f>
        <v>0.45342816232103317</v>
      </c>
      <c r="T46" s="57">
        <f>T43/资产资本表!T70</f>
        <v>0.35163301106367167</v>
      </c>
      <c r="U46" s="57">
        <f>U43/资产资本表!U70</f>
        <v>0.36065128502574595</v>
      </c>
      <c r="V46" s="57">
        <f>V43/资产资本表!V70</f>
        <v>0.33526901334629244</v>
      </c>
      <c r="W46" s="57">
        <f>W43/资产资本表!W70</f>
        <v>0.36155912370569226</v>
      </c>
      <c r="X46" s="57">
        <f>X43/资产资本表!X70</f>
        <v>0.32500313879813197</v>
      </c>
      <c r="Y46" s="57">
        <f>Y43/资产资本表!Y70</f>
        <v>0.32943856195024013</v>
      </c>
      <c r="Z46" s="57">
        <f>Z43/资产资本表!Z70</f>
        <v>0.6746648984885919</v>
      </c>
      <c r="AA46" s="57">
        <f>AA43/资产资本表!AA70</f>
        <v>0.76087869802969121</v>
      </c>
      <c r="AB46" s="57">
        <f>AB43/资产资本表!AB70</f>
        <v>0.56235764547527256</v>
      </c>
      <c r="AC46" s="57">
        <f>AC43/资产资本表!AC70</f>
        <v>0.60413086321535558</v>
      </c>
      <c r="AD46" s="57">
        <f>AD43/资产资本表!AD70</f>
        <v>0.75314300342869245</v>
      </c>
      <c r="AE46" s="57">
        <f>AE43/资产资本表!AE70</f>
        <v>0.44235715876997839</v>
      </c>
      <c r="AF46" s="57">
        <f>AF43/资产资本表!AF70</f>
        <v>0.40849065265456397</v>
      </c>
      <c r="AG46" s="57">
        <f>AG43/资产资本表!AG70</f>
        <v>0.62660819481474672</v>
      </c>
      <c r="AH46" s="57">
        <f>AH43/资产资本表!AH70</f>
        <v>0.80644989100399944</v>
      </c>
      <c r="AI46" s="57">
        <f>AI43/资产资本表!AI70</f>
        <v>0.61409545588804271</v>
      </c>
      <c r="AJ46" s="57">
        <f>AJ43/资产资本表!AJ70</f>
        <v>0.22625407404344061</v>
      </c>
      <c r="AK46" s="57">
        <f>AK43/资产资本表!AK70</f>
        <v>0.44103055986538564</v>
      </c>
      <c r="AL46" s="57">
        <f>AL43/资产资本表!AL70</f>
        <v>0.53671611443948741</v>
      </c>
      <c r="AM46" s="57">
        <f>AM43/资产资本表!AM70</f>
        <v>0.42025374000959914</v>
      </c>
      <c r="AN46" s="57">
        <f>AN43/资产资本表!AN70</f>
        <v>0.35466890207802237</v>
      </c>
      <c r="AO46" s="57">
        <f>AO43/资产资本表!AO70</f>
        <v>0.36652809452549451</v>
      </c>
      <c r="AP46" s="57">
        <f>AP43/资产资本表!AP70</f>
        <v>0.2895854242559755</v>
      </c>
      <c r="AQ46" s="57">
        <f>AQ43/资产资本表!AQ70</f>
        <v>0.4104424622804001</v>
      </c>
      <c r="AR46" s="57">
        <f>AR43/资产资本表!AR70</f>
        <v>0.39381241520666443</v>
      </c>
      <c r="AS46" s="57">
        <f>AS43/资产资本表!AS70</f>
        <v>0.49742493320074022</v>
      </c>
      <c r="AT46" s="57">
        <f>AT43/资产资本表!AT70</f>
        <v>0.48560453226802347</v>
      </c>
      <c r="AU46" s="57">
        <f>AU43/资产资本表!AU70</f>
        <v>0.35532268093754854</v>
      </c>
      <c r="AV46" s="57">
        <f>AV43/资产资本表!AV70</f>
        <v>0.27717043785563505</v>
      </c>
      <c r="AW46" s="57">
        <f>AW43/资产资本表!AW70</f>
        <v>0.35367539293657796</v>
      </c>
      <c r="AX46" s="57">
        <f>AX43/资产资本表!AX70</f>
        <v>0.3142275578065245</v>
      </c>
      <c r="AY46" s="57">
        <f>AY43/资产资本表!AY70</f>
        <v>0.39471313167186145</v>
      </c>
      <c r="AZ46" s="57">
        <f>AZ43/资产资本表!AZ70</f>
        <v>0.41658165471445424</v>
      </c>
      <c r="BA46" s="57">
        <f>BA43/资产资本表!BA70</f>
        <v>0.42731646548955965</v>
      </c>
      <c r="BB46" s="57">
        <f>BB43/资产资本表!BB70</f>
        <v>0.2898790900676233</v>
      </c>
      <c r="BC46" s="57">
        <f>BC43/资产资本表!BC70</f>
        <v>0.27293828548365118</v>
      </c>
      <c r="BD46" s="57">
        <f>BD43/资产资本表!BD70</f>
        <v>0.36435851497783361</v>
      </c>
      <c r="BE46" s="57">
        <f>BE43/资产资本表!BE70</f>
        <v>0.4249177240300247</v>
      </c>
      <c r="BF46" s="57">
        <f>BF43/资产资本表!BF70</f>
        <v>0.35090641937281092</v>
      </c>
      <c r="BG46" s="57">
        <f>BG43/资产资本表!BG70</f>
        <v>0.45279761034237104</v>
      </c>
      <c r="BH46" s="57">
        <f>BH43/资产资本表!BH70</f>
        <v>0.46605417607360461</v>
      </c>
      <c r="BI46" s="57">
        <f>BI43/资产资本表!BI70</f>
        <v>0.50869467200846663</v>
      </c>
      <c r="BJ46" s="57">
        <f>BJ43/资产资本表!BJ70</f>
        <v>0.45048815943763926</v>
      </c>
      <c r="BK46" s="57">
        <f>BK43/资产资本表!BK70</f>
        <v>0.45099986451212454</v>
      </c>
      <c r="BL46" s="57" t="e">
        <f>BL43/资产资本表!BL70</f>
        <v>#DIV/0!</v>
      </c>
      <c r="BM46" s="57">
        <f>BM43/资产资本表!BM70</f>
        <v>0.3674906088627426</v>
      </c>
      <c r="BN46" s="57">
        <f>BN43/资产资本表!BN70</f>
        <v>0.23464856636848286</v>
      </c>
      <c r="BO46" s="57">
        <f>BO43/资产资本表!BO70</f>
        <v>0.25075643558805472</v>
      </c>
      <c r="BP46" s="57">
        <f>BP43/资产资本表!BP70</f>
        <v>0.21531121190837832</v>
      </c>
      <c r="BQ46" s="57">
        <f>BQ43/资产资本表!BQ70</f>
        <v>0.23953496460047766</v>
      </c>
      <c r="BR46" s="57">
        <f>BR43/资产资本表!BR70</f>
        <v>0.24196327249530147</v>
      </c>
      <c r="BS46" s="57">
        <f>BS43/资产资本表!BS70</f>
        <v>0.24199961631092207</v>
      </c>
      <c r="BT46" s="57">
        <f>BT43/资产资本表!BT70</f>
        <v>0.3494656491182041</v>
      </c>
      <c r="BU46" s="57">
        <f>BU43/资产资本表!BU70</f>
        <v>0.24967138718757864</v>
      </c>
      <c r="BV46" s="57">
        <f>BV43/资产资本表!BV70</f>
        <v>0.25572854338900869</v>
      </c>
      <c r="BW46" s="57">
        <f>BW43/资产资本表!BW70</f>
        <v>0.24039029742261056</v>
      </c>
      <c r="BX46" s="57">
        <f>BX43/资产资本表!BX70</f>
        <v>0.35679060774631788</v>
      </c>
      <c r="BY46" s="57">
        <f>BY43/资产资本表!BY70</f>
        <v>0.45029648841262421</v>
      </c>
      <c r="BZ46" s="57">
        <f>BZ43/资产资本表!BZ70</f>
        <v>0</v>
      </c>
      <c r="CA46" s="57">
        <f>CA43/资产资本表!CA70</f>
        <v>0.40057346507429237</v>
      </c>
      <c r="CB46" s="57">
        <f>CB43/资产资本表!CB70</f>
        <v>0</v>
      </c>
      <c r="CC46" s="57">
        <f>CC43/资产资本表!CC70</f>
        <v>0</v>
      </c>
      <c r="CD46" s="57">
        <f>CD43/资产资本表!CD70</f>
        <v>0</v>
      </c>
      <c r="CE46" s="57">
        <f>CE43/资产资本表!CE70</f>
        <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34699</v>
      </c>
      <c r="CE48" s="1">
        <v>34334</v>
      </c>
      <c r="CF48" s="1">
        <v>25569</v>
      </c>
      <c r="CG48" s="1"/>
      <c r="CH48" s="1"/>
      <c r="CI48" s="1"/>
      <c r="CJ48" s="1"/>
      <c r="CK48" s="1"/>
    </row>
    <row r="49" spans="1:89" s="76" customFormat="1" x14ac:dyDescent="0.25">
      <c r="A49" s="146" t="s">
        <v>464</v>
      </c>
      <c r="E49" s="76">
        <f>利润表!E4</f>
        <v>21384699076.650002</v>
      </c>
      <c r="F49" s="76">
        <f>利润表!F4</f>
        <v>15977114535.049999</v>
      </c>
      <c r="G49" s="76">
        <f>利润表!G4</f>
        <v>10568060854.209999</v>
      </c>
      <c r="H49" s="76">
        <f>利润表!H4</f>
        <v>5690391543.4200001</v>
      </c>
      <c r="I49" s="76">
        <f>利润表!I4</f>
        <v>16334914501.690001</v>
      </c>
      <c r="J49" s="76">
        <f>利润表!J4</f>
        <v>12055635914.24</v>
      </c>
      <c r="K49" s="76">
        <f>利润表!K4</f>
        <v>7984787194.9200001</v>
      </c>
      <c r="L49" s="76">
        <f>利润表!L4</f>
        <v>4239779074.6999998</v>
      </c>
      <c r="M49" s="76">
        <f>利润表!M4</f>
        <v>13131626932.440001</v>
      </c>
      <c r="N49" s="76">
        <f>利润表!N4</f>
        <v>9611975965.1399994</v>
      </c>
      <c r="O49" s="76">
        <f>利润表!O4</f>
        <v>6101903864.6000004</v>
      </c>
      <c r="P49" s="76">
        <f>利润表!P4</f>
        <v>3293972545.0799999</v>
      </c>
      <c r="Q49" s="76">
        <f>利润表!Q4</f>
        <v>10804217288.6</v>
      </c>
      <c r="R49" s="76">
        <f>利润表!R4</f>
        <v>7778315404.7200003</v>
      </c>
      <c r="S49" s="76">
        <f>利润表!S4</f>
        <v>4974057020.5600004</v>
      </c>
      <c r="T49" s="76">
        <f>利润表!T4</f>
        <v>2576160088.4299998</v>
      </c>
      <c r="U49" s="76">
        <f>利润表!U4</f>
        <v>8727956044.3700008</v>
      </c>
      <c r="V49" s="76">
        <f>利润表!V4</f>
        <v>6350114706</v>
      </c>
      <c r="W49" s="76">
        <f>利润表!W4</f>
        <v>3998224336.3099999</v>
      </c>
      <c r="X49" s="76">
        <f>利润表!X4</f>
        <v>2359241990.6399999</v>
      </c>
      <c r="Y49" s="76">
        <f>利润表!Y4</f>
        <v>6899863926.8100004</v>
      </c>
      <c r="Z49" s="76">
        <f>利润表!Z4</f>
        <v>4575118340.7200003</v>
      </c>
      <c r="AA49" s="76">
        <f>利润表!AA4</f>
        <v>3101328731.1399999</v>
      </c>
      <c r="AB49" s="76">
        <f>利润表!AB4</f>
        <v>1629565324.8699999</v>
      </c>
      <c r="AC49" s="76">
        <f>利润表!AC4</f>
        <v>10975621704.52</v>
      </c>
      <c r="AD49" s="76">
        <f>利润表!AD4</f>
        <v>9365771616.3799992</v>
      </c>
      <c r="AE49" s="76">
        <f>利润表!AE4</f>
        <v>6747514122.5299997</v>
      </c>
      <c r="AF49" s="76">
        <f>利润表!AF4</f>
        <v>3831419221.9899998</v>
      </c>
      <c r="AG49" s="76">
        <f>利润表!AG4</f>
        <v>11202366806.139999</v>
      </c>
      <c r="AH49" s="76">
        <f>利润表!AH4</f>
        <v>5578524408.5699997</v>
      </c>
      <c r="AI49" s="76">
        <f>利润表!AI4</f>
        <v>3634134845.0599999</v>
      </c>
      <c r="AJ49" s="76">
        <f>利润表!AJ4</f>
        <v>1662106246.1400001</v>
      </c>
      <c r="AK49" s="76">
        <f>利润表!AK4</f>
        <v>4375244455.6700001</v>
      </c>
      <c r="AL49" s="76">
        <f>利润表!AL4</f>
        <v>2917972991.5300002</v>
      </c>
      <c r="AM49" s="76">
        <f>利润表!AM4</f>
        <v>1902488624.24</v>
      </c>
      <c r="AN49" s="76">
        <f>利润表!AN4</f>
        <v>974105929.14999998</v>
      </c>
      <c r="AO49" s="76">
        <f>利润表!AO4</f>
        <v>4292987464.9099998</v>
      </c>
      <c r="AP49" s="76">
        <f>利润表!AP4</f>
        <v>3424461057.8000002</v>
      </c>
      <c r="AQ49" s="76">
        <f>利润表!AQ4</f>
        <v>2424428981.79</v>
      </c>
      <c r="AR49" s="76">
        <f>利润表!AR4</f>
        <v>1137955453.8800001</v>
      </c>
      <c r="AS49" s="76">
        <f>利润表!AS4</f>
        <v>5000691662.6000004</v>
      </c>
      <c r="AT49" s="76">
        <f>利润表!AT4</f>
        <v>4087399844.5799999</v>
      </c>
      <c r="AU49" s="76">
        <f>利润表!AU4</f>
        <v>2838239098.3600001</v>
      </c>
      <c r="AV49" s="76">
        <f>利润表!AV4</f>
        <v>1448227231.03</v>
      </c>
      <c r="AW49" s="76">
        <f>利润表!AW4</f>
        <v>4256337912.5599999</v>
      </c>
      <c r="AX49" s="76">
        <f>利润表!AX4</f>
        <v>3225715910.6500001</v>
      </c>
      <c r="AY49" s="76">
        <f>利润表!AY4</f>
        <v>2156714477.5300002</v>
      </c>
      <c r="AZ49" s="76">
        <f>利润表!AZ4</f>
        <v>976143221.25</v>
      </c>
      <c r="BA49" s="76">
        <f>利润表!BA4</f>
        <v>3260169539.9899998</v>
      </c>
      <c r="BB49" s="76">
        <f>利润表!BB4</f>
        <v>2185347410.0599999</v>
      </c>
      <c r="BC49" s="76">
        <f>利润表!BC4</f>
        <v>1396405790.98</v>
      </c>
      <c r="BD49" s="76">
        <f>利润表!BD4</f>
        <v>722525366.98000002</v>
      </c>
      <c r="BE49" s="76">
        <f>利润表!BE4</f>
        <v>2422932739.4299998</v>
      </c>
      <c r="BF49" s="76">
        <f>利润表!BF4</f>
        <v>1631067598.8699999</v>
      </c>
      <c r="BG49" s="76">
        <f>利润表!BG4</f>
        <v>1096815366.1900001</v>
      </c>
      <c r="BH49" s="76">
        <f>利润表!BH4</f>
        <v>593622323.5</v>
      </c>
      <c r="BI49" s="76">
        <f>利润表!BI4</f>
        <v>2901320283.3400002</v>
      </c>
      <c r="BJ49" s="76">
        <f>利润表!BJ4</f>
        <v>1974796702.98</v>
      </c>
      <c r="BK49" s="76">
        <f>利润表!BK4</f>
        <v>1379648578.77</v>
      </c>
      <c r="BL49" s="76">
        <f>利润表!BL4</f>
        <v>844004675.41999996</v>
      </c>
      <c r="BM49" s="76">
        <f>利润表!BM4</f>
        <v>2941801551.71</v>
      </c>
      <c r="BN49" s="76">
        <f>利润表!BN4</f>
        <v>2413369231.4699998</v>
      </c>
      <c r="BO49" s="76">
        <f>利润表!BO4</f>
        <v>1553250340.3699999</v>
      </c>
      <c r="BP49" s="76">
        <f>利润表!BP4</f>
        <v>704977794.35000002</v>
      </c>
      <c r="BQ49" s="76">
        <f>利润表!BQ4</f>
        <v>1953492571.3699999</v>
      </c>
      <c r="BR49" s="76">
        <f>利润表!BR4</f>
        <v>1129633647.3499999</v>
      </c>
      <c r="BS49" s="76">
        <f>利润表!BS4</f>
        <v>2724863451</v>
      </c>
      <c r="BT49" s="76">
        <f>利润表!BT4</f>
        <v>1473517142.3199999</v>
      </c>
      <c r="BU49" s="76">
        <f>利润表!BU4</f>
        <v>2659634845.5700002</v>
      </c>
      <c r="BV49" s="76">
        <f>利润表!BV4</f>
        <v>1411090743.24</v>
      </c>
      <c r="BW49" s="76">
        <f>利润表!BW4</f>
        <v>2167165833</v>
      </c>
      <c r="BX49" s="76">
        <f>利润表!BX4</f>
        <v>1004452329.15</v>
      </c>
      <c r="BY49" s="76">
        <f>利润表!BY4</f>
        <v>1839356280.23</v>
      </c>
      <c r="BZ49" s="76">
        <f>利润表!BZ4</f>
        <v>882693130</v>
      </c>
      <c r="CA49" s="76">
        <f>利润表!CA4</f>
        <v>1353158315.8900001</v>
      </c>
      <c r="CB49" s="76">
        <f>利润表!CB4</f>
        <v>661118000</v>
      </c>
      <c r="CC49" s="76">
        <f>利润表!CC4</f>
        <v>1005257323.24</v>
      </c>
      <c r="CD49" s="76">
        <f>利润表!CD4</f>
        <v>764095148.28999996</v>
      </c>
      <c r="CE49" s="76">
        <f>利润表!CE4</f>
        <v>484685682.33999997</v>
      </c>
      <c r="CF49" s="76">
        <f>利润表!CF4</f>
        <v>0</v>
      </c>
      <c r="CG49" s="76">
        <f>利润表!CG4</f>
        <v>0</v>
      </c>
      <c r="CH49" s="76">
        <f>利润表!CH4</f>
        <v>0</v>
      </c>
      <c r="CI49" s="76">
        <f>利润表!CI4</f>
        <v>0</v>
      </c>
      <c r="CJ49" s="76">
        <f>利润表!CJ4</f>
        <v>0</v>
      </c>
      <c r="CK49" s="76">
        <f>利润表!CK4</f>
        <v>0</v>
      </c>
    </row>
    <row r="50" spans="1:89" s="76" customFormat="1" x14ac:dyDescent="0.25">
      <c r="A50" s="146" t="s">
        <v>465</v>
      </c>
      <c r="E50" s="76">
        <f>资产资本表!E50</f>
        <v>4881015676.2299995</v>
      </c>
      <c r="F50" s="76">
        <f>资产资本表!F50</f>
        <v>3128243085.7200012</v>
      </c>
      <c r="G50" s="76">
        <f>资产资本表!G50</f>
        <v>2356242222.0800037</v>
      </c>
      <c r="H50" s="76">
        <f>资产资本表!H50</f>
        <v>1651784141.3800011</v>
      </c>
      <c r="I50" s="76">
        <f>资产资本表!I50</f>
        <v>1294832924.5899982</v>
      </c>
      <c r="J50" s="76">
        <f>资产资本表!J50</f>
        <v>3087185450.7000008</v>
      </c>
      <c r="K50" s="76">
        <f>资产资本表!K50</f>
        <v>2682026108.3199978</v>
      </c>
      <c r="L50" s="76">
        <f>资产资本表!L50</f>
        <v>2474015598.0100002</v>
      </c>
      <c r="M50" s="76">
        <f>资产资本表!M50</f>
        <v>1362156578.7299995</v>
      </c>
      <c r="N50" s="76">
        <f>资产资本表!N50</f>
        <v>179732893.4299984</v>
      </c>
      <c r="O50" s="76">
        <f>资产资本表!O50</f>
        <v>1031829379.1399994</v>
      </c>
      <c r="P50" s="76">
        <f>资产资本表!P50</f>
        <v>1807405343.3800001</v>
      </c>
      <c r="Q50" s="76">
        <f>资产资本表!Q50</f>
        <v>516663926.03999996</v>
      </c>
      <c r="R50" s="76">
        <f>资产资本表!R50</f>
        <v>1058120373.6500006</v>
      </c>
      <c r="S50" s="76">
        <f>资产资本表!S50</f>
        <v>1011437902.3999996</v>
      </c>
      <c r="T50" s="76">
        <f>资产资本表!T50</f>
        <v>1455979374.4699993</v>
      </c>
      <c r="U50" s="76">
        <f>资产资本表!U50</f>
        <v>1313655853.3599997</v>
      </c>
      <c r="V50" s="76">
        <f>资产资本表!V50</f>
        <v>1347578109.3000002</v>
      </c>
      <c r="W50" s="76">
        <f>资产资本表!W50</f>
        <v>1160675682.6799994</v>
      </c>
      <c r="X50" s="76">
        <f>资产资本表!X50</f>
        <v>1323440914.599999</v>
      </c>
      <c r="Y50" s="76">
        <f>资产资本表!Y50</f>
        <v>1119178666.1899986</v>
      </c>
      <c r="Z50" s="76">
        <f>资产资本表!Z50</f>
        <v>-417165558.24000025</v>
      </c>
      <c r="AA50" s="76">
        <f>资产资本表!AA50</f>
        <v>-805607615.5999999</v>
      </c>
      <c r="AB50" s="76">
        <f>资产资本表!AB50</f>
        <v>-2565969.2099995613</v>
      </c>
      <c r="AC50" s="76">
        <f>资产资本表!AC50</f>
        <v>-268544666.86999893</v>
      </c>
      <c r="AD50" s="76">
        <f>资产资本表!AD50</f>
        <v>-832232950.33000088</v>
      </c>
      <c r="AE50" s="76">
        <f>资产资本表!AE50</f>
        <v>229325759.28999996</v>
      </c>
      <c r="AF50" s="76">
        <f>资产资本表!AF50</f>
        <v>382256800.96000099</v>
      </c>
      <c r="AG50" s="76">
        <f>资产资本表!AG50</f>
        <v>-432008478.93999958</v>
      </c>
      <c r="AH50" s="76">
        <f>资产资本表!AH50</f>
        <v>-633099424.68999958</v>
      </c>
      <c r="AI50" s="76">
        <f>资产资本表!AI50</f>
        <v>-227848786.32000017</v>
      </c>
      <c r="AJ50" s="76">
        <f>资产资本表!AJ50</f>
        <v>540601421.52000046</v>
      </c>
      <c r="AK50" s="76">
        <f>资产资本表!AK50</f>
        <v>83450911.499999762</v>
      </c>
      <c r="AL50" s="76">
        <f>资产资本表!AL50</f>
        <v>-112966303.74999952</v>
      </c>
      <c r="AM50" s="76">
        <f>资产资本表!AM50</f>
        <v>178534877.73000002</v>
      </c>
      <c r="AN50" s="76">
        <f>资产资本表!AN50</f>
        <v>233326982.53999996</v>
      </c>
      <c r="AO50" s="76">
        <f>资产资本表!AO50</f>
        <v>158593046.33999968</v>
      </c>
      <c r="AP50" s="76">
        <f>资产资本表!AP50</f>
        <v>329568351.70000029</v>
      </c>
      <c r="AQ50" s="76">
        <f>资产资本表!AQ50</f>
        <v>83958266.430000067</v>
      </c>
      <c r="AR50" s="76">
        <f>资产资本表!AR50</f>
        <v>109216693.83000016</v>
      </c>
      <c r="AS50" s="76">
        <f>资产资本表!AS50</f>
        <v>-113560422.69000006</v>
      </c>
      <c r="AT50" s="76">
        <f>资产资本表!AT50</f>
        <v>-217574355.78000021</v>
      </c>
      <c r="AU50" s="76">
        <f>资产资本表!AU50</f>
        <v>15432747.199999809</v>
      </c>
      <c r="AV50" s="76">
        <f>资产资本表!AV50</f>
        <v>118267190.6699996</v>
      </c>
      <c r="AW50" s="76">
        <f>资产资本表!AW50</f>
        <v>163667996.75000024</v>
      </c>
      <c r="AX50" s="76">
        <f>资产资本表!AX50</f>
        <v>365286268.00999999</v>
      </c>
      <c r="AY50" s="76">
        <f>资产资本表!AY50</f>
        <v>270293576.41999984</v>
      </c>
      <c r="AZ50" s="76">
        <f>资产资本表!AZ50</f>
        <v>310080733.6099999</v>
      </c>
      <c r="BA50" s="76">
        <f>资产资本表!BA50</f>
        <v>228283747.75999975</v>
      </c>
      <c r="BB50" s="76">
        <f>资产资本表!BB50</f>
        <v>482577253.05999994</v>
      </c>
      <c r="BC50" s="76">
        <f>资产资本表!BC50</f>
        <v>463912852.87</v>
      </c>
      <c r="BD50" s="76">
        <f>资产资本表!BD50</f>
        <v>290554769.89000034</v>
      </c>
      <c r="BE50" s="76">
        <f>资产资本表!BE50</f>
        <v>171362811.00999999</v>
      </c>
      <c r="BF50" s="76">
        <f>资产资本表!BF50</f>
        <v>293539013.98000002</v>
      </c>
      <c r="BG50" s="76">
        <f>资产资本表!BG50</f>
        <v>69267272.210000038</v>
      </c>
      <c r="BH50" s="76">
        <f>资产资本表!BH50</f>
        <v>5771811.7599999905</v>
      </c>
      <c r="BI50" s="76">
        <f>资产资本表!BI50</f>
        <v>-81288025.940000057</v>
      </c>
      <c r="BJ50" s="76">
        <f>资产资本表!BJ50</f>
        <v>68820607.260000229</v>
      </c>
      <c r="BK50" s="76">
        <f>资产资本表!BK50</f>
        <v>82915592.339999914</v>
      </c>
      <c r="BL50" s="76">
        <f>资产资本表!BL50</f>
        <v>0</v>
      </c>
      <c r="BM50" s="76">
        <f>资产资本表!BM50</f>
        <v>165111537.28999972</v>
      </c>
      <c r="BN50" s="76">
        <f>资产资本表!BN50</f>
        <v>1098950723.79</v>
      </c>
      <c r="BO50" s="76">
        <f>资产资本表!BO50</f>
        <v>1110872003.3800001</v>
      </c>
      <c r="BP50" s="76">
        <f>资产资本表!BP50</f>
        <v>1193537684.6000001</v>
      </c>
      <c r="BQ50" s="76">
        <f>资产资本表!BQ50</f>
        <v>868288774.6400001</v>
      </c>
      <c r="BR50" s="76">
        <f>资产资本表!BR50</f>
        <v>1157109972.9300001</v>
      </c>
      <c r="BS50" s="76">
        <f>资产资本表!BS50</f>
        <v>1047152725.7599998</v>
      </c>
      <c r="BT50" s="76">
        <f>资产资本表!BT50</f>
        <v>953931403.30000019</v>
      </c>
      <c r="BU50" s="76">
        <f>资产资本表!BU50</f>
        <v>1052502917.88</v>
      </c>
      <c r="BV50" s="76">
        <f>资产资本表!BV50</f>
        <v>870835088.74000013</v>
      </c>
      <c r="BW50" s="76">
        <f>资产资本表!BW50</f>
        <v>826572416.63000011</v>
      </c>
      <c r="BX50" s="76">
        <f>资产资本表!BX50</f>
        <v>691338390.57000005</v>
      </c>
      <c r="BY50" s="76">
        <f>资产资本表!BY50</f>
        <v>502187973.50999999</v>
      </c>
      <c r="BZ50" s="76">
        <f>资产资本表!BZ50</f>
        <v>0</v>
      </c>
      <c r="CA50" s="76">
        <f>资产资本表!CA50</f>
        <v>351156985.92999989</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466</v>
      </c>
      <c r="E51" s="44">
        <f>E49/E50</f>
        <v>4.3811986060178203</v>
      </c>
      <c r="F51" s="44">
        <f t="shared" ref="F51:BQ51" si="18">F49/F50</f>
        <v>5.1073762803099694</v>
      </c>
      <c r="G51" s="44">
        <f t="shared" si="18"/>
        <v>4.4851334702256986</v>
      </c>
      <c r="H51" s="44">
        <f t="shared" si="18"/>
        <v>3.4449970797430591</v>
      </c>
      <c r="I51" s="44">
        <f t="shared" si="18"/>
        <v>12.615461185359001</v>
      </c>
      <c r="J51" s="44">
        <f t="shared" si="18"/>
        <v>3.9050572460771531</v>
      </c>
      <c r="K51" s="44">
        <f t="shared" si="18"/>
        <v>2.9771474521258909</v>
      </c>
      <c r="L51" s="44">
        <f t="shared" si="18"/>
        <v>1.7137236637110573</v>
      </c>
      <c r="M51" s="44">
        <f t="shared" si="18"/>
        <v>9.6403211917701945</v>
      </c>
      <c r="N51" s="44">
        <f t="shared" si="18"/>
        <v>53.479225653726154</v>
      </c>
      <c r="O51" s="44">
        <f t="shared" si="18"/>
        <v>5.9136752528657057</v>
      </c>
      <c r="P51" s="44">
        <f t="shared" si="18"/>
        <v>1.8224868910257805</v>
      </c>
      <c r="Q51" s="44">
        <f t="shared" si="18"/>
        <v>20.911499224282093</v>
      </c>
      <c r="R51" s="44">
        <f t="shared" si="18"/>
        <v>7.3510685536548133</v>
      </c>
      <c r="S51" s="44">
        <f t="shared" si="18"/>
        <v>4.9178076170146126</v>
      </c>
      <c r="T51" s="44">
        <f t="shared" si="18"/>
        <v>1.7693657847095292</v>
      </c>
      <c r="U51" s="44">
        <f t="shared" si="18"/>
        <v>6.6440202143096272</v>
      </c>
      <c r="V51" s="44">
        <f t="shared" si="18"/>
        <v>4.7122424015173179</v>
      </c>
      <c r="W51" s="44">
        <f t="shared" si="18"/>
        <v>3.4447386087025644</v>
      </c>
      <c r="X51" s="44">
        <f t="shared" si="18"/>
        <v>1.7826575894799692</v>
      </c>
      <c r="Y51" s="44">
        <f t="shared" si="18"/>
        <v>6.1651138779289756</v>
      </c>
      <c r="Z51" s="44">
        <f t="shared" si="18"/>
        <v>-10.967152609678964</v>
      </c>
      <c r="AA51" s="44">
        <f t="shared" si="18"/>
        <v>-3.8496765312107861</v>
      </c>
      <c r="AB51" s="44">
        <f t="shared" si="18"/>
        <v>-635.06815222863816</v>
      </c>
      <c r="AC51" s="44">
        <f t="shared" si="18"/>
        <v>-40.87074911017779</v>
      </c>
      <c r="AD51" s="44">
        <f t="shared" si="18"/>
        <v>-11.253786109605779</v>
      </c>
      <c r="AE51" s="44">
        <f t="shared" si="18"/>
        <v>29.42327169621295</v>
      </c>
      <c r="AF51" s="44">
        <f t="shared" si="18"/>
        <v>10.023155146926781</v>
      </c>
      <c r="AG51" s="44">
        <f t="shared" si="18"/>
        <v>-25.930895693590923</v>
      </c>
      <c r="AH51" s="44">
        <f t="shared" si="18"/>
        <v>-8.8114507627321785</v>
      </c>
      <c r="AI51" s="44">
        <f t="shared" si="18"/>
        <v>-15.949766087215721</v>
      </c>
      <c r="AJ51" s="44">
        <f t="shared" si="18"/>
        <v>3.0745502693401772</v>
      </c>
      <c r="AK51" s="44">
        <f t="shared" si="18"/>
        <v>52.42895945684203</v>
      </c>
      <c r="AL51" s="44">
        <f t="shared" si="18"/>
        <v>-25.830472403413594</v>
      </c>
      <c r="AM51" s="44">
        <f t="shared" si="18"/>
        <v>10.656117440073258</v>
      </c>
      <c r="AN51" s="44">
        <f t="shared" si="18"/>
        <v>4.1748533262028795</v>
      </c>
      <c r="AO51" s="44">
        <f t="shared" si="18"/>
        <v>27.069203625148099</v>
      </c>
      <c r="AP51" s="44">
        <f t="shared" si="18"/>
        <v>10.390746077818847</v>
      </c>
      <c r="AQ51" s="44">
        <f t="shared" si="18"/>
        <v>28.876596491083575</v>
      </c>
      <c r="AR51" s="44">
        <f t="shared" si="18"/>
        <v>10.419244659166024</v>
      </c>
      <c r="AS51" s="44">
        <f t="shared" si="18"/>
        <v>-44.035514699086733</v>
      </c>
      <c r="AT51" s="44">
        <f t="shared" si="18"/>
        <v>-18.786220599972566</v>
      </c>
      <c r="AU51" s="44">
        <f t="shared" si="18"/>
        <v>183.91016593338841</v>
      </c>
      <c r="AV51" s="44">
        <f t="shared" si="18"/>
        <v>12.245384563762759</v>
      </c>
      <c r="AW51" s="44">
        <f t="shared" si="18"/>
        <v>26.005926614116721</v>
      </c>
      <c r="AX51" s="44">
        <f t="shared" si="18"/>
        <v>8.830651993087498</v>
      </c>
      <c r="AY51" s="44">
        <f t="shared" si="18"/>
        <v>7.9791555023074476</v>
      </c>
      <c r="AZ51" s="44">
        <f t="shared" si="18"/>
        <v>3.1480292563991794</v>
      </c>
      <c r="BA51" s="44">
        <f t="shared" si="18"/>
        <v>14.281216126771737</v>
      </c>
      <c r="BB51" s="44">
        <f t="shared" si="18"/>
        <v>4.5284923734030427</v>
      </c>
      <c r="BC51" s="44">
        <f t="shared" si="18"/>
        <v>3.010060580001451</v>
      </c>
      <c r="BD51" s="44">
        <f t="shared" si="18"/>
        <v>2.4867097079615568</v>
      </c>
      <c r="BE51" s="44">
        <f t="shared" si="18"/>
        <v>14.139198144273019</v>
      </c>
      <c r="BF51" s="44">
        <f t="shared" si="18"/>
        <v>5.5565615512394242</v>
      </c>
      <c r="BG51" s="44">
        <f t="shared" si="18"/>
        <v>15.834539620165005</v>
      </c>
      <c r="BH51" s="44">
        <f t="shared" si="18"/>
        <v>102.84852455063451</v>
      </c>
      <c r="BI51" s="44">
        <f t="shared" si="18"/>
        <v>-35.691853133221727</v>
      </c>
      <c r="BJ51" s="44">
        <f t="shared" si="18"/>
        <v>28.694845651671361</v>
      </c>
      <c r="BK51" s="44">
        <f t="shared" si="18"/>
        <v>16.639193423508036</v>
      </c>
      <c r="BL51" s="44" t="e">
        <f t="shared" si="18"/>
        <v>#DIV/0!</v>
      </c>
      <c r="BM51" s="44">
        <f t="shared" si="18"/>
        <v>17.817056275983056</v>
      </c>
      <c r="BN51" s="44">
        <f t="shared" si="18"/>
        <v>2.196066829226798</v>
      </c>
      <c r="BO51" s="44">
        <f t="shared" si="18"/>
        <v>1.3982262003579127</v>
      </c>
      <c r="BP51" s="44">
        <f t="shared" si="18"/>
        <v>0.59066236738579803</v>
      </c>
      <c r="BQ51" s="44">
        <f t="shared" si="18"/>
        <v>2.2498189869838345</v>
      </c>
      <c r="BR51" s="44">
        <f t="shared" ref="BR51:CJ51" si="19">BR49/BR50</f>
        <v>0.97625435246191383</v>
      </c>
      <c r="BS51" s="44">
        <f t="shared" si="19"/>
        <v>2.6021643108672192</v>
      </c>
      <c r="BT51" s="44">
        <f t="shared" si="19"/>
        <v>1.5446783041448906</v>
      </c>
      <c r="BU51" s="44">
        <f t="shared" si="19"/>
        <v>2.5269619688344043</v>
      </c>
      <c r="BV51" s="44">
        <f t="shared" si="19"/>
        <v>1.620388017760847</v>
      </c>
      <c r="BW51" s="44">
        <f t="shared" si="19"/>
        <v>2.6218704972465732</v>
      </c>
      <c r="BX51" s="44">
        <f t="shared" si="19"/>
        <v>1.4529098092206933</v>
      </c>
      <c r="BY51" s="44">
        <f t="shared" si="19"/>
        <v>3.66268484562459</v>
      </c>
      <c r="BZ51" s="44" t="e">
        <f t="shared" si="19"/>
        <v>#DIV/0!</v>
      </c>
      <c r="CA51" s="44">
        <f t="shared" si="19"/>
        <v>3.8534284382989337</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467</v>
      </c>
      <c r="E52" s="76">
        <f>资产资本表!E68</f>
        <v>1711551388.3999999</v>
      </c>
      <c r="F52" s="76">
        <f>资产资本表!F68</f>
        <v>1624115675.6600001</v>
      </c>
      <c r="G52" s="76">
        <f>资产资本表!G68</f>
        <v>1586899718.8600001</v>
      </c>
      <c r="H52" s="76">
        <f>资产资本表!H68</f>
        <v>1579851891.9499998</v>
      </c>
      <c r="I52" s="76">
        <f>资产资本表!I68</f>
        <v>1493065310.4500003</v>
      </c>
      <c r="J52" s="76">
        <f>资产资本表!J68</f>
        <v>1508836715.4599998</v>
      </c>
      <c r="K52" s="76">
        <f>资产资本表!K68</f>
        <v>1508533276.79</v>
      </c>
      <c r="L52" s="76">
        <f>资产资本表!L68</f>
        <v>1525033701.6600001</v>
      </c>
      <c r="M52" s="76">
        <f>资产资本表!M68</f>
        <v>1506132606.8000002</v>
      </c>
      <c r="N52" s="76">
        <f>资产资本表!N68</f>
        <v>1476743857.1600001</v>
      </c>
      <c r="O52" s="76">
        <f>资产资本表!O68</f>
        <v>1473444031.8599999</v>
      </c>
      <c r="P52" s="76">
        <f>资产资本表!P68</f>
        <v>1507735733.1600001</v>
      </c>
      <c r="Q52" s="76">
        <f>资产资本表!Q68</f>
        <v>1505638045.8400002</v>
      </c>
      <c r="R52" s="76">
        <f>资产资本表!R68</f>
        <v>1599496277.2400002</v>
      </c>
      <c r="S52" s="76">
        <f>资产资本表!S68</f>
        <v>1573835401.7399995</v>
      </c>
      <c r="T52" s="76">
        <f>资产资本表!T68</f>
        <v>1595846447.5699997</v>
      </c>
      <c r="U52" s="76">
        <f>资产资本表!U68</f>
        <v>1589544237.7400002</v>
      </c>
      <c r="V52" s="76">
        <f>资产资本表!V68</f>
        <v>1599383436.6600003</v>
      </c>
      <c r="W52" s="76">
        <f>资产资本表!W68</f>
        <v>1589403958.52</v>
      </c>
      <c r="X52" s="76">
        <f>资产资本表!X68</f>
        <v>1633913528.3900001</v>
      </c>
      <c r="Y52" s="76">
        <f>资产资本表!Y68</f>
        <v>1733839797.3799996</v>
      </c>
      <c r="Z52" s="76">
        <f>资产资本表!Z68</f>
        <v>1773267931.2799997</v>
      </c>
      <c r="AA52" s="76">
        <f>资产资本表!AA68</f>
        <v>1776586298.3999999</v>
      </c>
      <c r="AB52" s="76">
        <f>资产资本表!AB68</f>
        <v>1800696002.4299998</v>
      </c>
      <c r="AC52" s="76">
        <f>资产资本表!AC68</f>
        <v>1839038099.29</v>
      </c>
      <c r="AD52" s="76">
        <f>资产资本表!AD68</f>
        <v>1803162126.1900003</v>
      </c>
      <c r="AE52" s="76">
        <f>资产资本表!AE68</f>
        <v>1797640361.8</v>
      </c>
      <c r="AF52" s="76">
        <f>资产资本表!AF68</f>
        <v>1745230059.8299999</v>
      </c>
      <c r="AG52" s="76">
        <f>资产资本表!AG68</f>
        <v>1647871439.5200002</v>
      </c>
      <c r="AH52" s="76">
        <f>资产资本表!AH68</f>
        <v>939852816.73000002</v>
      </c>
      <c r="AI52" s="76">
        <f>资产资本表!AI68</f>
        <v>897908679.95000005</v>
      </c>
      <c r="AJ52" s="76">
        <f>资产资本表!AJ68</f>
        <v>876079884.02999985</v>
      </c>
      <c r="AK52" s="76">
        <f>资产资本表!AK68</f>
        <v>853293481.05999994</v>
      </c>
      <c r="AL52" s="76">
        <f>资产资本表!AL68</f>
        <v>827182981.64999998</v>
      </c>
      <c r="AM52" s="76">
        <f>资产资本表!AM68</f>
        <v>696658464.32999992</v>
      </c>
      <c r="AN52" s="76">
        <f>资产资本表!AN68</f>
        <v>724342360.57000005</v>
      </c>
      <c r="AO52" s="76">
        <f>资产资本表!AO68</f>
        <v>758593408.7299999</v>
      </c>
      <c r="AP52" s="76">
        <f>资产资本表!AP68</f>
        <v>817262276.01999998</v>
      </c>
      <c r="AQ52" s="76">
        <f>资产资本表!AQ68</f>
        <v>848375975.49999988</v>
      </c>
      <c r="AR52" s="76">
        <f>资产资本表!AR68</f>
        <v>823049629.26999998</v>
      </c>
      <c r="AS52" s="76">
        <f>资产资本表!AS68</f>
        <v>830953802.66999984</v>
      </c>
      <c r="AT52" s="76">
        <f>资产资本表!AT68</f>
        <v>924014928.93000007</v>
      </c>
      <c r="AU52" s="76">
        <f>资产资本表!AU68</f>
        <v>892120698.11999989</v>
      </c>
      <c r="AV52" s="76">
        <f>资产资本表!AV68</f>
        <v>913161234.16000009</v>
      </c>
      <c r="AW52" s="76">
        <f>资产资本表!AW68</f>
        <v>856539595.94000006</v>
      </c>
      <c r="AX52" s="76">
        <f>资产资本表!AX68</f>
        <v>864633994.81999993</v>
      </c>
      <c r="AY52" s="76">
        <f>资产资本表!AY68</f>
        <v>598084414.79999995</v>
      </c>
      <c r="AZ52" s="76">
        <f>资产资本表!AZ68</f>
        <v>611661463.29999995</v>
      </c>
      <c r="BA52" s="76">
        <f>资产资本表!BA68</f>
        <v>624759382.04999995</v>
      </c>
      <c r="BB52" s="76">
        <f>资产资本表!BB68</f>
        <v>658171018.50999999</v>
      </c>
      <c r="BC52" s="76">
        <f>资产资本表!BC68</f>
        <v>673047702.52999997</v>
      </c>
      <c r="BD52" s="76">
        <f>资产资本表!BD68</f>
        <v>678719669.67000008</v>
      </c>
      <c r="BE52" s="76">
        <f>资产资本表!BE68</f>
        <v>683677603.77999985</v>
      </c>
      <c r="BF52" s="76">
        <f>资产资本表!BF68</f>
        <v>660494660.10000002</v>
      </c>
      <c r="BG52" s="76">
        <f>资产资本表!BG68</f>
        <v>671911446.31999993</v>
      </c>
      <c r="BH52" s="76">
        <f>资产资本表!BH68</f>
        <v>752796186.22000003</v>
      </c>
      <c r="BI52" s="76">
        <f>资产资本表!BI68</f>
        <v>749189154.84000003</v>
      </c>
      <c r="BJ52" s="76">
        <f>资产资本表!BJ68</f>
        <v>557442503.80999994</v>
      </c>
      <c r="BK52" s="76">
        <f>资产资本表!BK68</f>
        <v>566274330.71999991</v>
      </c>
      <c r="BL52" s="76">
        <f>资产资本表!BL68</f>
        <v>0</v>
      </c>
      <c r="BM52" s="76">
        <f>资产资本表!BM68</f>
        <v>761941987.80999994</v>
      </c>
      <c r="BN52" s="76">
        <f>资产资本表!BN68</f>
        <v>858383493.18999994</v>
      </c>
      <c r="BO52" s="76">
        <f>资产资本表!BO68</f>
        <v>844019865.63</v>
      </c>
      <c r="BP52" s="76">
        <f>资产资本表!BP68</f>
        <v>845818542.20000005</v>
      </c>
      <c r="BQ52" s="76">
        <f>资产资本表!BQ68</f>
        <v>799288876.2299999</v>
      </c>
      <c r="BR52" s="76">
        <f>资产资本表!BR68</f>
        <v>827514341.39999998</v>
      </c>
      <c r="BS52" s="76">
        <f>资产资本表!BS68</f>
        <v>825553754.96000016</v>
      </c>
      <c r="BT52" s="76">
        <f>资产资本表!BT68</f>
        <v>764092312.74999988</v>
      </c>
      <c r="BU52" s="76">
        <f>资产资本表!BU68</f>
        <v>756110578.24000001</v>
      </c>
      <c r="BV52" s="76">
        <f>资产资本表!BV68</f>
        <v>856821451.94000006</v>
      </c>
      <c r="BW52" s="76">
        <f>资产资本表!BW68</f>
        <v>673968903.09000003</v>
      </c>
      <c r="BX52" s="76">
        <f>资产资本表!BX68</f>
        <v>523179524.99000001</v>
      </c>
      <c r="BY52" s="76">
        <f>资产资本表!BY68</f>
        <v>454271763.10000002</v>
      </c>
      <c r="BZ52" s="76">
        <f>资产资本表!BZ68</f>
        <v>218828900</v>
      </c>
      <c r="CA52" s="76">
        <f>资产资本表!CA68</f>
        <v>198092931.35999998</v>
      </c>
      <c r="CB52" s="76">
        <f>资产资本表!CB68</f>
        <v>151909000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468</v>
      </c>
      <c r="E53" s="44">
        <f>E49/E52</f>
        <v>12.494336554300565</v>
      </c>
      <c r="F53" s="44">
        <f t="shared" ref="F53:BQ53" si="20">F49/F52</f>
        <v>9.8374240052558442</v>
      </c>
      <c r="G53" s="44">
        <f t="shared" si="20"/>
        <v>6.6595643874723862</v>
      </c>
      <c r="H53" s="44">
        <f t="shared" si="20"/>
        <v>3.6018512699923981</v>
      </c>
      <c r="I53" s="44">
        <f t="shared" si="20"/>
        <v>10.940522418786063</v>
      </c>
      <c r="J53" s="44">
        <f t="shared" si="20"/>
        <v>7.9900202524993515</v>
      </c>
      <c r="K53" s="44">
        <f t="shared" si="20"/>
        <v>5.2930799192648816</v>
      </c>
      <c r="L53" s="44">
        <f t="shared" si="20"/>
        <v>2.7801215606481335</v>
      </c>
      <c r="M53" s="44">
        <f t="shared" si="20"/>
        <v>8.7187720876318249</v>
      </c>
      <c r="N53" s="44">
        <f t="shared" si="20"/>
        <v>6.5088985598526685</v>
      </c>
      <c r="O53" s="44">
        <f t="shared" si="20"/>
        <v>4.1412525570430194</v>
      </c>
      <c r="P53" s="44">
        <f t="shared" si="20"/>
        <v>2.1847147829920441</v>
      </c>
      <c r="Q53" s="44">
        <f t="shared" si="20"/>
        <v>7.1758397168904526</v>
      </c>
      <c r="R53" s="44">
        <f t="shared" si="20"/>
        <v>4.8629781234263447</v>
      </c>
      <c r="S53" s="44">
        <f t="shared" si="20"/>
        <v>3.1604683787521788</v>
      </c>
      <c r="T53" s="44">
        <f t="shared" si="20"/>
        <v>1.6142907059465068</v>
      </c>
      <c r="U53" s="44">
        <f t="shared" si="20"/>
        <v>5.4908544456613111</v>
      </c>
      <c r="V53" s="44">
        <f t="shared" si="20"/>
        <v>3.9703516745558982</v>
      </c>
      <c r="W53" s="44">
        <f t="shared" si="20"/>
        <v>2.5155495019862748</v>
      </c>
      <c r="X53" s="44">
        <f t="shared" si="20"/>
        <v>1.4439209601041203</v>
      </c>
      <c r="Y53" s="44">
        <f t="shared" si="20"/>
        <v>3.9795279455670385</v>
      </c>
      <c r="Z53" s="44">
        <f t="shared" si="20"/>
        <v>2.5800491059563333</v>
      </c>
      <c r="AA53" s="44">
        <f t="shared" si="20"/>
        <v>1.7456673700191585</v>
      </c>
      <c r="AB53" s="44">
        <f t="shared" si="20"/>
        <v>0.90496414867969788</v>
      </c>
      <c r="AC53" s="44">
        <f t="shared" si="20"/>
        <v>5.9681317688618707</v>
      </c>
      <c r="AD53" s="44">
        <f t="shared" si="20"/>
        <v>5.1940818190150484</v>
      </c>
      <c r="AE53" s="44">
        <f t="shared" si="20"/>
        <v>3.7535395098570379</v>
      </c>
      <c r="AF53" s="44">
        <f t="shared" si="20"/>
        <v>2.195366278737608</v>
      </c>
      <c r="AG53" s="44">
        <f t="shared" si="20"/>
        <v>6.7980829920828523</v>
      </c>
      <c r="AH53" s="44">
        <f t="shared" si="20"/>
        <v>5.9355298077194494</v>
      </c>
      <c r="AI53" s="44">
        <f t="shared" si="20"/>
        <v>4.0473323470515581</v>
      </c>
      <c r="AJ53" s="44">
        <f t="shared" si="20"/>
        <v>1.8972085496293443</v>
      </c>
      <c r="AK53" s="44">
        <f t="shared" si="20"/>
        <v>5.1274790594144379</v>
      </c>
      <c r="AL53" s="44">
        <f t="shared" si="20"/>
        <v>3.5276027871239028</v>
      </c>
      <c r="AM53" s="44">
        <f t="shared" si="20"/>
        <v>2.7308770676743128</v>
      </c>
      <c r="AN53" s="44">
        <f t="shared" si="20"/>
        <v>1.3448142510724566</v>
      </c>
      <c r="AO53" s="44">
        <f t="shared" si="20"/>
        <v>5.6591415315578741</v>
      </c>
      <c r="AP53" s="44">
        <f t="shared" si="20"/>
        <v>4.1901616632506808</v>
      </c>
      <c r="AQ53" s="44">
        <f t="shared" si="20"/>
        <v>2.8577294169146357</v>
      </c>
      <c r="AR53" s="44">
        <f t="shared" si="20"/>
        <v>1.38260854924302</v>
      </c>
      <c r="AS53" s="44">
        <f t="shared" si="20"/>
        <v>6.0180140538883196</v>
      </c>
      <c r="AT53" s="44">
        <f t="shared" si="20"/>
        <v>4.423521435214437</v>
      </c>
      <c r="AU53" s="44">
        <f t="shared" si="20"/>
        <v>3.1814519093000868</v>
      </c>
      <c r="AV53" s="44">
        <f t="shared" si="20"/>
        <v>1.5859490929465452</v>
      </c>
      <c r="AW53" s="44">
        <f t="shared" si="20"/>
        <v>4.9692249286957111</v>
      </c>
      <c r="AX53" s="44">
        <f t="shared" si="20"/>
        <v>3.7307299157506892</v>
      </c>
      <c r="AY53" s="44">
        <f t="shared" si="20"/>
        <v>3.6060369141222446</v>
      </c>
      <c r="AZ53" s="44">
        <f t="shared" si="20"/>
        <v>1.595888052164623</v>
      </c>
      <c r="BA53" s="44">
        <f t="shared" si="20"/>
        <v>5.2182802430153599</v>
      </c>
      <c r="BB53" s="44">
        <f t="shared" si="20"/>
        <v>3.320333695347597</v>
      </c>
      <c r="BC53" s="44">
        <f t="shared" si="20"/>
        <v>2.0747501042361223</v>
      </c>
      <c r="BD53" s="44">
        <f t="shared" si="20"/>
        <v>1.064541664648232</v>
      </c>
      <c r="BE53" s="44">
        <f t="shared" si="20"/>
        <v>3.5439697395874821</v>
      </c>
      <c r="BF53" s="44">
        <f t="shared" si="20"/>
        <v>2.4694637177279426</v>
      </c>
      <c r="BG53" s="44">
        <f t="shared" si="20"/>
        <v>1.632380832618884</v>
      </c>
      <c r="BH53" s="44">
        <f t="shared" si="20"/>
        <v>0.78855649691949625</v>
      </c>
      <c r="BI53" s="44">
        <f t="shared" si="20"/>
        <v>3.8726138313622789</v>
      </c>
      <c r="BJ53" s="44">
        <f t="shared" si="20"/>
        <v>3.5426015947522624</v>
      </c>
      <c r="BK53" s="44">
        <f t="shared" si="20"/>
        <v>2.4363607953336337</v>
      </c>
      <c r="BL53" s="44" t="e">
        <f t="shared" si="20"/>
        <v>#DIV/0!</v>
      </c>
      <c r="BM53" s="44">
        <f t="shared" si="20"/>
        <v>3.8609258956386272</v>
      </c>
      <c r="BN53" s="44">
        <f t="shared" si="20"/>
        <v>2.8115280065570993</v>
      </c>
      <c r="BO53" s="44">
        <f t="shared" si="20"/>
        <v>1.8403006891438634</v>
      </c>
      <c r="BP53" s="44">
        <f t="shared" si="20"/>
        <v>0.83348585917297469</v>
      </c>
      <c r="BQ53" s="44">
        <f t="shared" si="20"/>
        <v>2.4440382313138453</v>
      </c>
      <c r="BR53" s="44">
        <f t="shared" ref="BR53:CK53" si="21">BR49/BR52</f>
        <v>1.3650925317365139</v>
      </c>
      <c r="BS53" s="44">
        <f t="shared" si="21"/>
        <v>3.3006493334065512</v>
      </c>
      <c r="BT53" s="44">
        <f t="shared" si="21"/>
        <v>1.9284543473768905</v>
      </c>
      <c r="BU53" s="44">
        <f t="shared" si="21"/>
        <v>3.5175210109622288</v>
      </c>
      <c r="BV53" s="44">
        <f t="shared" si="21"/>
        <v>1.6468900726575335</v>
      </c>
      <c r="BW53" s="44">
        <f t="shared" si="21"/>
        <v>3.2155279317250671</v>
      </c>
      <c r="BX53" s="44">
        <f t="shared" si="21"/>
        <v>1.919899921865633</v>
      </c>
      <c r="BY53" s="44">
        <f t="shared" si="21"/>
        <v>4.0490218183010809</v>
      </c>
      <c r="BZ53" s="44">
        <f t="shared" si="21"/>
        <v>4.0337136913817142</v>
      </c>
      <c r="CA53" s="44">
        <f t="shared" si="21"/>
        <v>6.8309268109666492</v>
      </c>
      <c r="CB53" s="44">
        <f t="shared" si="21"/>
        <v>4.3520660395368278</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469</v>
      </c>
      <c r="E54" s="76">
        <f>资产资本表!E17</f>
        <v>1716374487.0599999</v>
      </c>
      <c r="F54" s="76">
        <f>资产资本表!F17</f>
        <v>3216372375.4299998</v>
      </c>
      <c r="G54" s="76">
        <f>资产资本表!G17</f>
        <v>3547322430.7200003</v>
      </c>
      <c r="H54" s="76">
        <f>资产资本表!H17</f>
        <v>4277053370.46</v>
      </c>
      <c r="I54" s="76">
        <f>资产资本表!I17</f>
        <v>4363887921.4300003</v>
      </c>
      <c r="J54" s="76">
        <f>资产资本表!J17</f>
        <v>2160491687.1300001</v>
      </c>
      <c r="K54" s="76">
        <f>资产资本表!K17</f>
        <v>2150149988.2800002</v>
      </c>
      <c r="L54" s="76">
        <f>资产资本表!L17</f>
        <v>2385271932.0399995</v>
      </c>
      <c r="M54" s="76">
        <f>资产资本表!M17</f>
        <v>3134819575.0699997</v>
      </c>
      <c r="N54" s="76">
        <f>资产资本表!N17</f>
        <v>4132651530.9299998</v>
      </c>
      <c r="O54" s="76">
        <f>资产资本表!O17</f>
        <v>2888282944.3000002</v>
      </c>
      <c r="P54" s="76">
        <f>资产资本表!P17</f>
        <v>2236587173.48</v>
      </c>
      <c r="Q54" s="76">
        <f>资产资本表!Q17</f>
        <v>3133593041.48</v>
      </c>
      <c r="R54" s="76">
        <f>资产资本表!R17</f>
        <v>2391619447.2599998</v>
      </c>
      <c r="S54" s="76">
        <f>资产资本表!S17</f>
        <v>2175995351.23</v>
      </c>
      <c r="T54" s="76">
        <f>资产资本表!T17</f>
        <v>1680750281.25</v>
      </c>
      <c r="U54" s="76">
        <f>资产资本表!U17</f>
        <v>1642169421.5999999</v>
      </c>
      <c r="V54" s="76">
        <f>资产资本表!V17</f>
        <v>1490558425.47</v>
      </c>
      <c r="W54" s="76">
        <f>资产资本表!W17</f>
        <v>1562020929.05</v>
      </c>
      <c r="X54" s="76">
        <f>资产资本表!X17</f>
        <v>1428021705.3800001</v>
      </c>
      <c r="Y54" s="76">
        <f>资产资本表!Y17</f>
        <v>1410852129.3800001</v>
      </c>
      <c r="Z54" s="76">
        <f>资产资本表!Z17</f>
        <v>2837657323.9299998</v>
      </c>
      <c r="AA54" s="76">
        <f>资产资本表!AA17</f>
        <v>3126324032.8800001</v>
      </c>
      <c r="AB54" s="76">
        <f>资产资本表!AB17</f>
        <v>2327841653.0799999</v>
      </c>
      <c r="AC54" s="76">
        <f>资产资本表!AC17</f>
        <v>2425270190.7199998</v>
      </c>
      <c r="AD54" s="76">
        <f>资产资本表!AD17</f>
        <v>2987907818.6100001</v>
      </c>
      <c r="AE54" s="76">
        <f>资产资本表!AE17</f>
        <v>1699642180.29</v>
      </c>
      <c r="AF54" s="76">
        <f>资产资本表!AF17</f>
        <v>1553559240.3299999</v>
      </c>
      <c r="AG54" s="76">
        <f>资产资本表!AG17</f>
        <v>2223903909.7200003</v>
      </c>
      <c r="AH54" s="76">
        <f>资产资本表!AH17</f>
        <v>1787122883.78</v>
      </c>
      <c r="AI54" s="76">
        <f>资产资本表!AI17</f>
        <v>1296161428.4000001</v>
      </c>
      <c r="AJ54" s="76">
        <f>资产资本表!AJ17</f>
        <v>456759416.60000002</v>
      </c>
      <c r="AK54" s="76">
        <f>资产资本表!AK17</f>
        <v>852761786.80999994</v>
      </c>
      <c r="AL54" s="76">
        <f>资产资本表!AL17</f>
        <v>1000109782.36</v>
      </c>
      <c r="AM54" s="76">
        <f>资产资本表!AM17</f>
        <v>762706399.98000002</v>
      </c>
      <c r="AN54" s="76">
        <f>资产资本表!AN17</f>
        <v>649268873.91999996</v>
      </c>
      <c r="AO54" s="76">
        <f>资产资本表!AO17</f>
        <v>657316721.96000004</v>
      </c>
      <c r="AP54" s="76">
        <f>资产资本表!AP17</f>
        <v>568427487.20000005</v>
      </c>
      <c r="AQ54" s="76">
        <f>资产资本表!AQ17</f>
        <v>817795470.32999992</v>
      </c>
      <c r="AR54" s="76">
        <f>资产资本表!AR17</f>
        <v>780711132.46000004</v>
      </c>
      <c r="AS54" s="76">
        <f>资产资本表!AS17</f>
        <v>962092731.79999995</v>
      </c>
      <c r="AT54" s="76">
        <f>资产资本表!AT17</f>
        <v>917953360.34000003</v>
      </c>
      <c r="AU54" s="76">
        <f>资产资本表!AU17</f>
        <v>627990913.44000006</v>
      </c>
      <c r="AV54" s="76">
        <f>资产资本表!AV17</f>
        <v>506634140.81999999</v>
      </c>
      <c r="AW54" s="76">
        <f>资产资本表!AW17</f>
        <v>723390307.28999996</v>
      </c>
      <c r="AX54" s="76">
        <f>资产资本表!AX17</f>
        <v>728951387.90999997</v>
      </c>
      <c r="AY54" s="76">
        <f>资产资本表!AY17</f>
        <v>867488924.61000001</v>
      </c>
      <c r="AZ54" s="76">
        <f>资产资本表!AZ17</f>
        <v>897097398.87</v>
      </c>
      <c r="BA54" s="76">
        <f>资产资本表!BA17</f>
        <v>882627720.63</v>
      </c>
      <c r="BB54" s="76">
        <f>资产资本表!BB17</f>
        <v>612399434.42999995</v>
      </c>
      <c r="BC54" s="76">
        <f>资产资本表!BC17</f>
        <v>558867662.02999997</v>
      </c>
      <c r="BD54" s="76">
        <f>资产资本表!BD17</f>
        <v>755254548.26999998</v>
      </c>
      <c r="BE54" s="76">
        <f>资产资本表!BE17</f>
        <v>859765858.58000004</v>
      </c>
      <c r="BF54" s="76">
        <f>资产资本表!BF17</f>
        <v>679024133.63999999</v>
      </c>
      <c r="BG54" s="76">
        <f>资产资本表!BG17</f>
        <v>873989137.36000001</v>
      </c>
      <c r="BH54" s="76">
        <f>资产资本表!BH17</f>
        <v>883034753.75</v>
      </c>
      <c r="BI54" s="76">
        <f>资产资本表!BI17</f>
        <v>944988552.32000005</v>
      </c>
      <c r="BJ54" s="76">
        <f>资产资本表!BJ17</f>
        <v>733461104.13000011</v>
      </c>
      <c r="BK54" s="76">
        <f>资产资本表!BK17</f>
        <v>738675563.97000003</v>
      </c>
      <c r="BL54" s="76">
        <f>资产资本表!BL17</f>
        <v>0</v>
      </c>
      <c r="BM54" s="76">
        <f>资产资本表!BM17</f>
        <v>684570788.87</v>
      </c>
      <c r="BN54" s="76">
        <f>资产资本表!BN17</f>
        <v>660989962.95000005</v>
      </c>
      <c r="BO54" s="76">
        <f>资产资本表!BO17</f>
        <v>716546758.66999996</v>
      </c>
      <c r="BP54" s="76">
        <f>资产资本表!BP17</f>
        <v>615148472.08000004</v>
      </c>
      <c r="BQ54" s="76">
        <f>资产资本表!BQ17</f>
        <v>599871821.51999998</v>
      </c>
      <c r="BR54" s="76">
        <f>资产资本表!BR17</f>
        <v>694886922.25999999</v>
      </c>
      <c r="BS54" s="76">
        <f>资产资本表!BS17</f>
        <v>688880036.44000006</v>
      </c>
      <c r="BT54" s="76">
        <f>资产资本表!BT17</f>
        <v>1096543021.74</v>
      </c>
      <c r="BU54" s="76">
        <f>资产资本表!BU17</f>
        <v>656804743.50999999</v>
      </c>
      <c r="BV54" s="76">
        <f>资产资本表!BV17</f>
        <v>659017600.60000002</v>
      </c>
      <c r="BW54" s="76">
        <f>资产资本表!BW17</f>
        <v>549067557.79999995</v>
      </c>
      <c r="BX54" s="76">
        <f>资产资本表!BX17</f>
        <v>826665377.1099999</v>
      </c>
      <c r="BY54" s="76">
        <f>资产资本表!BY17</f>
        <v>964470015.25</v>
      </c>
      <c r="BZ54" s="76">
        <f>资产资本表!BZ17</f>
        <v>0</v>
      </c>
      <c r="CA54" s="76">
        <f>资产资本表!CA17</f>
        <v>467397035.52999997</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470</v>
      </c>
      <c r="E55" s="44">
        <f>E49/E54</f>
        <v>12.459226839988824</v>
      </c>
      <c r="F55" s="44">
        <f t="shared" ref="F55:BQ55" si="22">F49/F54</f>
        <v>4.9674330799194246</v>
      </c>
      <c r="G55" s="44">
        <f t="shared" si="22"/>
        <v>2.9791655708232305</v>
      </c>
      <c r="H55" s="44">
        <f t="shared" si="22"/>
        <v>1.3304467002262341</v>
      </c>
      <c r="I55" s="44">
        <f t="shared" si="22"/>
        <v>3.7432021160472932</v>
      </c>
      <c r="J55" s="44">
        <f t="shared" si="22"/>
        <v>5.5800427217818749</v>
      </c>
      <c r="K55" s="44">
        <f t="shared" si="22"/>
        <v>3.7135954414544741</v>
      </c>
      <c r="L55" s="44">
        <f t="shared" si="22"/>
        <v>1.7774824822903679</v>
      </c>
      <c r="M55" s="44">
        <f t="shared" si="22"/>
        <v>4.1889578069725992</v>
      </c>
      <c r="N55" s="44">
        <f t="shared" si="22"/>
        <v>2.3258617120754308</v>
      </c>
      <c r="O55" s="44">
        <f t="shared" si="22"/>
        <v>2.1126406180675792</v>
      </c>
      <c r="P55" s="44">
        <f t="shared" si="22"/>
        <v>1.4727673413036566</v>
      </c>
      <c r="Q55" s="44">
        <f t="shared" si="22"/>
        <v>3.447868675218003</v>
      </c>
      <c r="R55" s="44">
        <f t="shared" si="22"/>
        <v>3.2523215236568519</v>
      </c>
      <c r="S55" s="44">
        <f t="shared" si="22"/>
        <v>2.2858766760454574</v>
      </c>
      <c r="T55" s="44">
        <f t="shared" si="22"/>
        <v>1.5327441067057681</v>
      </c>
      <c r="U55" s="44">
        <f t="shared" si="22"/>
        <v>5.314893779879406</v>
      </c>
      <c r="V55" s="44">
        <f t="shared" si="22"/>
        <v>4.2602252937503566</v>
      </c>
      <c r="W55" s="44">
        <f t="shared" si="22"/>
        <v>2.5596483772734504</v>
      </c>
      <c r="X55" s="44">
        <f t="shared" si="22"/>
        <v>1.6521051338027104</v>
      </c>
      <c r="Y55" s="44">
        <f t="shared" si="22"/>
        <v>4.8905649168507477</v>
      </c>
      <c r="Z55" s="44">
        <f t="shared" si="22"/>
        <v>1.6122871151981495</v>
      </c>
      <c r="AA55" s="44">
        <f t="shared" si="22"/>
        <v>0.99200489089514676</v>
      </c>
      <c r="AB55" s="44">
        <f t="shared" si="22"/>
        <v>0.70003272031579089</v>
      </c>
      <c r="AC55" s="44">
        <f t="shared" si="22"/>
        <v>4.5255253400288664</v>
      </c>
      <c r="AD55" s="44">
        <f t="shared" si="22"/>
        <v>3.1345584217979772</v>
      </c>
      <c r="AE55" s="44">
        <f t="shared" si="22"/>
        <v>3.9699615606025445</v>
      </c>
      <c r="AF55" s="44">
        <f t="shared" si="22"/>
        <v>2.4662202267717497</v>
      </c>
      <c r="AG55" s="44">
        <f t="shared" si="22"/>
        <v>5.0372530742798274</v>
      </c>
      <c r="AH55" s="44">
        <f t="shared" si="22"/>
        <v>3.1215113740643772</v>
      </c>
      <c r="AI55" s="44">
        <f t="shared" si="22"/>
        <v>2.803767158498172</v>
      </c>
      <c r="AJ55" s="44">
        <f t="shared" si="22"/>
        <v>3.6389096441892601</v>
      </c>
      <c r="AK55" s="44">
        <f t="shared" si="22"/>
        <v>5.1306760262286808</v>
      </c>
      <c r="AL55" s="44">
        <f t="shared" si="22"/>
        <v>2.9176526847326101</v>
      </c>
      <c r="AM55" s="44">
        <f t="shared" si="22"/>
        <v>2.4943918450007603</v>
      </c>
      <c r="AN55" s="44">
        <f t="shared" si="22"/>
        <v>1.5003120714362552</v>
      </c>
      <c r="AO55" s="44">
        <f t="shared" si="22"/>
        <v>6.5310790392021136</v>
      </c>
      <c r="AP55" s="44">
        <f t="shared" si="22"/>
        <v>6.0244466267253376</v>
      </c>
      <c r="AQ55" s="44">
        <f t="shared" si="22"/>
        <v>2.9645908662366218</v>
      </c>
      <c r="AR55" s="44">
        <f t="shared" si="22"/>
        <v>1.4575883531906773</v>
      </c>
      <c r="AS55" s="44">
        <f t="shared" si="22"/>
        <v>5.1977231480006081</v>
      </c>
      <c r="AT55" s="44">
        <f t="shared" si="22"/>
        <v>4.4527315015940143</v>
      </c>
      <c r="AU55" s="44">
        <f t="shared" si="22"/>
        <v>4.5195544037615649</v>
      </c>
      <c r="AV55" s="44">
        <f t="shared" si="22"/>
        <v>2.858526724405126</v>
      </c>
      <c r="AW55" s="44">
        <f t="shared" si="22"/>
        <v>5.8838746796391295</v>
      </c>
      <c r="AX55" s="44">
        <f t="shared" si="22"/>
        <v>4.425145440628838</v>
      </c>
      <c r="AY55" s="44">
        <f t="shared" si="22"/>
        <v>2.4861579397104139</v>
      </c>
      <c r="AZ55" s="44">
        <f t="shared" si="22"/>
        <v>1.0881128654252787</v>
      </c>
      <c r="BA55" s="44">
        <f t="shared" si="22"/>
        <v>3.6937085294159617</v>
      </c>
      <c r="BB55" s="44">
        <f t="shared" si="22"/>
        <v>3.5685000462060277</v>
      </c>
      <c r="BC55" s="44">
        <f t="shared" si="22"/>
        <v>2.4986340879122846</v>
      </c>
      <c r="BD55" s="44">
        <f t="shared" si="22"/>
        <v>0.95666470150365857</v>
      </c>
      <c r="BE55" s="44">
        <f t="shared" si="22"/>
        <v>2.8181309076772898</v>
      </c>
      <c r="BF55" s="44">
        <f t="shared" si="22"/>
        <v>2.4020760353927968</v>
      </c>
      <c r="BG55" s="44">
        <f t="shared" si="22"/>
        <v>1.2549530872924533</v>
      </c>
      <c r="BH55" s="44">
        <f t="shared" si="22"/>
        <v>0.67225250306293505</v>
      </c>
      <c r="BI55" s="44">
        <f t="shared" si="22"/>
        <v>3.0702173864615561</v>
      </c>
      <c r="BJ55" s="44">
        <f t="shared" si="22"/>
        <v>2.6924354841180276</v>
      </c>
      <c r="BK55" s="44">
        <f t="shared" si="22"/>
        <v>1.8677327991670669</v>
      </c>
      <c r="BL55" s="44" t="e">
        <f t="shared" si="22"/>
        <v>#DIV/0!</v>
      </c>
      <c r="BM55" s="44">
        <f t="shared" si="22"/>
        <v>4.2972934275591008</v>
      </c>
      <c r="BN55" s="44">
        <f t="shared" si="22"/>
        <v>3.6511435373377323</v>
      </c>
      <c r="BO55" s="44">
        <f t="shared" si="22"/>
        <v>2.1676887398849254</v>
      </c>
      <c r="BP55" s="44">
        <f t="shared" si="22"/>
        <v>1.1460286846950303</v>
      </c>
      <c r="BQ55" s="44">
        <f t="shared" si="22"/>
        <v>3.2565166445393197</v>
      </c>
      <c r="BR55" s="44">
        <f t="shared" ref="BR55:CK55" si="23">BR49/BR54</f>
        <v>1.6256366484435498</v>
      </c>
      <c r="BS55" s="44">
        <f t="shared" si="23"/>
        <v>3.9554977744478879</v>
      </c>
      <c r="BT55" s="44">
        <f t="shared" si="23"/>
        <v>1.3437841590399395</v>
      </c>
      <c r="BU55" s="44">
        <f t="shared" si="23"/>
        <v>4.0493538937565647</v>
      </c>
      <c r="BV55" s="44">
        <f t="shared" si="23"/>
        <v>2.141203424544774</v>
      </c>
      <c r="BW55" s="44">
        <f t="shared" si="23"/>
        <v>3.9469930470548742</v>
      </c>
      <c r="BX55" s="44">
        <f t="shared" si="23"/>
        <v>1.2150651968291433</v>
      </c>
      <c r="BY55" s="44">
        <f t="shared" si="23"/>
        <v>1.9071160856703471</v>
      </c>
      <c r="BZ55" s="44" t="e">
        <f t="shared" si="23"/>
        <v>#DIV/0!</v>
      </c>
      <c r="CA55" s="44">
        <f t="shared" si="23"/>
        <v>2.8950939202162469</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444</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2595011.08</v>
      </c>
      <c r="O56" s="76">
        <f>资产资本表!O19</f>
        <v>2726599.21</v>
      </c>
      <c r="P56" s="76">
        <f>资产资本表!P19</f>
        <v>2774768.17</v>
      </c>
      <c r="Q56" s="76">
        <f>资产资本表!Q19</f>
        <v>2850040.45</v>
      </c>
      <c r="R56" s="76">
        <f>资产资本表!R19</f>
        <v>3169463.53</v>
      </c>
      <c r="S56" s="76">
        <f>资产资本表!S19</f>
        <v>4598996.45</v>
      </c>
      <c r="T56" s="76">
        <f>资产资本表!T19</f>
        <v>4560311.21</v>
      </c>
      <c r="U56" s="76">
        <f>资产资本表!U19</f>
        <v>4579148.88</v>
      </c>
      <c r="V56" s="76">
        <f>资产资本表!V19</f>
        <v>4685470.12</v>
      </c>
      <c r="W56" s="76">
        <f>资产资本表!W19</f>
        <v>4748975.83</v>
      </c>
      <c r="X56" s="76">
        <f>资产资本表!X19</f>
        <v>4726423.12</v>
      </c>
      <c r="Y56" s="76">
        <f>资产资本表!Y19</f>
        <v>5695850.7999999998</v>
      </c>
      <c r="Z56" s="76">
        <f>资产资本表!Z19</f>
        <v>5903024.8899999997</v>
      </c>
      <c r="AA56" s="76">
        <f>资产资本表!AA19</f>
        <v>5889739.2599999998</v>
      </c>
      <c r="AB56" s="76">
        <f>资产资本表!AB19</f>
        <v>5828373.2800000003</v>
      </c>
      <c r="AC56" s="76">
        <f>资产资本表!AC19</f>
        <v>5838851.75</v>
      </c>
      <c r="AD56" s="76">
        <f>资产资本表!AD19</f>
        <v>5877852.4000000004</v>
      </c>
      <c r="AE56" s="76">
        <f>资产资本表!AE19</f>
        <v>108269047.88</v>
      </c>
      <c r="AF56" s="76">
        <f>资产资本表!AF19</f>
        <v>109027357.45</v>
      </c>
      <c r="AG56" s="76">
        <f>资产资本表!AG19</f>
        <v>109347118.51000001</v>
      </c>
      <c r="AH56" s="76">
        <f>资产资本表!AH19</f>
        <v>122160831.65000001</v>
      </c>
      <c r="AI56" s="76">
        <f>资产资本表!AI19</f>
        <v>144462637.56</v>
      </c>
      <c r="AJ56" s="76">
        <f>资产资本表!AJ19</f>
        <v>145349076.58000001</v>
      </c>
      <c r="AK56" s="76">
        <f>资产资本表!AK19</f>
        <v>144060027.63</v>
      </c>
      <c r="AL56" s="76">
        <f>资产资本表!AL19</f>
        <v>149060450.34999999</v>
      </c>
      <c r="AM56" s="76">
        <f>资产资本表!AM19</f>
        <v>176971435.46000001</v>
      </c>
      <c r="AN56" s="76">
        <f>资产资本表!AN19</f>
        <v>223695565.96000001</v>
      </c>
      <c r="AO56" s="76">
        <f>资产资本表!AO19</f>
        <v>218856545.66999999</v>
      </c>
      <c r="AP56" s="76">
        <f>资产资本表!AP19</f>
        <v>247642775.75999999</v>
      </c>
      <c r="AQ56" s="76">
        <f>资产资本表!AQ19</f>
        <v>242343156.62</v>
      </c>
      <c r="AR56" s="76">
        <f>资产资本表!AR19</f>
        <v>269466729.31999999</v>
      </c>
      <c r="AS56" s="76">
        <f>资产资本表!AS19</f>
        <v>254660465.09</v>
      </c>
      <c r="AT56" s="76">
        <f>资产资本表!AT19</f>
        <v>252633688.88999999</v>
      </c>
      <c r="AU56" s="76">
        <f>资产资本表!AU19</f>
        <v>208395070.62</v>
      </c>
      <c r="AV56" s="76">
        <f>资产资本表!AV19</f>
        <v>269360205.31999999</v>
      </c>
      <c r="AW56" s="76">
        <f>资产资本表!AW19</f>
        <v>301753067.99000001</v>
      </c>
      <c r="AX56" s="76">
        <f>资产资本表!AX19</f>
        <v>360948396.23000002</v>
      </c>
      <c r="AY56" s="76">
        <f>资产资本表!AY19</f>
        <v>461903705.42000002</v>
      </c>
      <c r="AZ56" s="76">
        <f>资产资本表!AZ19</f>
        <v>333793360.38</v>
      </c>
      <c r="BA56" s="76">
        <f>资产资本表!BA19</f>
        <v>329023098.62</v>
      </c>
      <c r="BB56" s="76">
        <f>资产资本表!BB19</f>
        <v>359455290.94999999</v>
      </c>
      <c r="BC56" s="76">
        <f>资产资本表!BC19</f>
        <v>351768956.56</v>
      </c>
      <c r="BD56" s="76">
        <f>资产资本表!BD19</f>
        <v>348304546.24000001</v>
      </c>
      <c r="BE56" s="76">
        <f>资产资本表!BE19</f>
        <v>308563922.69</v>
      </c>
      <c r="BF56" s="76">
        <f>资产资本表!BF19</f>
        <v>301999792.12</v>
      </c>
      <c r="BG56" s="76">
        <f>资产资本表!BG19</f>
        <v>315030354.95999998</v>
      </c>
      <c r="BH56" s="76">
        <f>资产资本表!BH19</f>
        <v>253101338.66</v>
      </c>
      <c r="BI56" s="76">
        <f>资产资本表!BI19</f>
        <v>244783701.88999999</v>
      </c>
      <c r="BJ56" s="76">
        <f>资产资本表!BJ19</f>
        <v>268423137.31999999</v>
      </c>
      <c r="BK56" s="76">
        <f>资产资本表!BK19</f>
        <v>249996565.91999999</v>
      </c>
      <c r="BL56" s="76">
        <f>资产资本表!BL19</f>
        <v>0</v>
      </c>
      <c r="BM56" s="76">
        <f>资产资本表!BM19</f>
        <v>251200945.66999999</v>
      </c>
      <c r="BN56" s="76">
        <f>资产资本表!BN19</f>
        <v>198611687.94999999</v>
      </c>
      <c r="BO56" s="76">
        <f>资产资本表!BO19</f>
        <v>186102224.62</v>
      </c>
      <c r="BP56" s="76">
        <f>资产资本表!BP19</f>
        <v>202515456.40000001</v>
      </c>
      <c r="BQ56" s="76">
        <f>资产资本表!BQ19</f>
        <v>236868936.91</v>
      </c>
      <c r="BR56" s="76">
        <f>资产资本表!BR19</f>
        <v>192122441.91999999</v>
      </c>
      <c r="BS56" s="76">
        <f>资产资本表!BS19</f>
        <v>183761267.22</v>
      </c>
      <c r="BT56" s="76">
        <f>资产资本表!BT19</f>
        <v>159977978.33000001</v>
      </c>
      <c r="BU56" s="76">
        <f>资产资本表!BU19</f>
        <v>165258630.91</v>
      </c>
      <c r="BV56" s="76">
        <f>资产资本表!BV19</f>
        <v>190345974.91999999</v>
      </c>
      <c r="BW56" s="76">
        <f>资产资本表!BW19</f>
        <v>234458173.80000001</v>
      </c>
      <c r="BX56" s="76">
        <f>资产资本表!BX19</f>
        <v>275764965.38999999</v>
      </c>
      <c r="BY56" s="76">
        <f>资产资本表!BY19</f>
        <v>220925759.05000001</v>
      </c>
      <c r="BZ56" s="76">
        <f>资产资本表!BZ19</f>
        <v>152594060</v>
      </c>
      <c r="CA56" s="76">
        <f>资产资本表!CA19</f>
        <v>150172810.05000001</v>
      </c>
      <c r="CB56" s="76">
        <f>资产资本表!CB19</f>
        <v>128335000</v>
      </c>
      <c r="CC56" s="76">
        <f>资产资本表!CC19</f>
        <v>58240248.189999998</v>
      </c>
      <c r="CD56" s="76">
        <f>资产资本表!CD19</f>
        <v>49205300.75</v>
      </c>
      <c r="CE56" s="76">
        <f>资产资本表!CE19</f>
        <v>38287366.619999997</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471</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f t="shared" si="24"/>
        <v>3704.0211655435396</v>
      </c>
      <c r="O57" s="117">
        <f t="shared" si="24"/>
        <v>2237.9174182332431</v>
      </c>
      <c r="P57" s="117">
        <f t="shared" si="24"/>
        <v>1187.1163078391519</v>
      </c>
      <c r="Q57" s="117">
        <f t="shared" si="24"/>
        <v>3790.8996304245434</v>
      </c>
      <c r="R57" s="117">
        <f t="shared" si="24"/>
        <v>2454.142579996811</v>
      </c>
      <c r="S57" s="117">
        <f t="shared" si="24"/>
        <v>1081.5526984283713</v>
      </c>
      <c r="T57" s="117">
        <f t="shared" si="24"/>
        <v>564.90883402450947</v>
      </c>
      <c r="U57" s="117">
        <f t="shared" si="24"/>
        <v>1906.0214623050215</v>
      </c>
      <c r="V57" s="117">
        <f t="shared" si="24"/>
        <v>1355.278028323015</v>
      </c>
      <c r="W57" s="117">
        <f t="shared" si="24"/>
        <v>841.91296806621142</v>
      </c>
      <c r="X57" s="117">
        <f t="shared" si="24"/>
        <v>499.16013245974472</v>
      </c>
      <c r="Y57" s="117">
        <f t="shared" si="24"/>
        <v>1211.3842460216831</v>
      </c>
      <c r="Z57" s="117">
        <f t="shared" si="24"/>
        <v>775.04642551490247</v>
      </c>
      <c r="AA57" s="117">
        <f t="shared" si="24"/>
        <v>526.56469059718609</v>
      </c>
      <c r="AB57" s="117">
        <f t="shared" si="24"/>
        <v>279.59179115411769</v>
      </c>
      <c r="AC57" s="117">
        <f t="shared" si="24"/>
        <v>1879.7568724912394</v>
      </c>
      <c r="AD57" s="117">
        <f t="shared" si="24"/>
        <v>1593.4002725859532</v>
      </c>
      <c r="AE57" s="117">
        <f t="shared" si="24"/>
        <v>62.32172772045255</v>
      </c>
      <c r="AF57" s="117">
        <f t="shared" si="24"/>
        <v>35.141814968294455</v>
      </c>
      <c r="AG57" s="117">
        <f t="shared" si="24"/>
        <v>102.44775499150919</v>
      </c>
      <c r="AH57" s="117">
        <f t="shared" si="24"/>
        <v>45.665409552489727</v>
      </c>
      <c r="AI57" s="117">
        <f t="shared" si="24"/>
        <v>25.15622659561803</v>
      </c>
      <c r="AJ57" s="117">
        <f t="shared" si="24"/>
        <v>11.435272141031994</v>
      </c>
      <c r="AK57" s="117">
        <f t="shared" si="24"/>
        <v>30.370981650144227</v>
      </c>
      <c r="AL57" s="117">
        <f t="shared" si="24"/>
        <v>19.575769324985139</v>
      </c>
      <c r="AM57" s="117">
        <f t="shared" si="24"/>
        <v>10.750258194464442</v>
      </c>
      <c r="AN57" s="117">
        <f t="shared" si="24"/>
        <v>4.3546054432039307</v>
      </c>
      <c r="AO57" s="117">
        <f t="shared" si="24"/>
        <v>19.615531496979422</v>
      </c>
      <c r="AP57" s="117">
        <f t="shared" si="24"/>
        <v>13.828229179270609</v>
      </c>
      <c r="AQ57" s="117">
        <f t="shared" si="24"/>
        <v>10.004115715929061</v>
      </c>
      <c r="AR57" s="117">
        <f t="shared" si="24"/>
        <v>4.2229905589889842</v>
      </c>
      <c r="AS57" s="117">
        <f t="shared" si="24"/>
        <v>19.636701993898807</v>
      </c>
      <c r="AT57" s="117">
        <f t="shared" si="24"/>
        <v>16.179155925477964</v>
      </c>
      <c r="AU57" s="117">
        <f t="shared" si="24"/>
        <v>13.619511679983134</v>
      </c>
      <c r="AV57" s="117">
        <f t="shared" si="24"/>
        <v>5.3765448734697303</v>
      </c>
      <c r="AW57" s="117">
        <f t="shared" si="24"/>
        <v>14.105367481138762</v>
      </c>
      <c r="AX57" s="117">
        <f t="shared" si="24"/>
        <v>8.9367786208268427</v>
      </c>
      <c r="AY57" s="117">
        <f t="shared" si="24"/>
        <v>4.6691863525297812</v>
      </c>
      <c r="AZ57" s="117">
        <f t="shared" si="24"/>
        <v>2.9243937630716514</v>
      </c>
      <c r="BA57" s="117">
        <f t="shared" si="24"/>
        <v>9.9086342377295544</v>
      </c>
      <c r="BB57" s="117">
        <f t="shared" si="24"/>
        <v>6.0796084105046058</v>
      </c>
      <c r="BC57" s="117">
        <f t="shared" si="24"/>
        <v>3.9696674903767977</v>
      </c>
      <c r="BD57" s="117">
        <f t="shared" si="24"/>
        <v>2.0744069372041509</v>
      </c>
      <c r="BE57" s="117">
        <f t="shared" si="24"/>
        <v>7.8522878446298758</v>
      </c>
      <c r="BF57" s="117">
        <f t="shared" si="24"/>
        <v>5.4008898066456057</v>
      </c>
      <c r="BG57" s="117">
        <f t="shared" si="24"/>
        <v>3.481618037503925</v>
      </c>
      <c r="BH57" s="117">
        <f t="shared" si="24"/>
        <v>2.3453938515016466</v>
      </c>
      <c r="BI57" s="117">
        <f t="shared" si="24"/>
        <v>11.852587655708325</v>
      </c>
      <c r="BJ57" s="117">
        <f t="shared" si="24"/>
        <v>7.3570286179382176</v>
      </c>
      <c r="BK57" s="117">
        <f t="shared" si="24"/>
        <v>5.5186701212987606</v>
      </c>
      <c r="BL57" s="117" t="e">
        <f t="shared" si="24"/>
        <v>#DIV/0!</v>
      </c>
      <c r="BM57" s="117">
        <f t="shared" si="24"/>
        <v>11.710949351180442</v>
      </c>
      <c r="BN57" s="117">
        <f t="shared" si="24"/>
        <v>12.151194405424718</v>
      </c>
      <c r="BO57" s="117">
        <f t="shared" si="24"/>
        <v>8.3462212423390643</v>
      </c>
      <c r="BP57" s="117">
        <f t="shared" si="24"/>
        <v>3.4811061184266228</v>
      </c>
      <c r="BQ57" s="117">
        <f t="shared" si="24"/>
        <v>8.2471454334775984</v>
      </c>
      <c r="BR57" s="117">
        <f t="shared" ref="BR57:CK57" si="25">BR49/BR56</f>
        <v>5.8797589498700038</v>
      </c>
      <c r="BS57" s="117">
        <f t="shared" si="25"/>
        <v>14.828279605504562</v>
      </c>
      <c r="BT57" s="117">
        <f t="shared" si="25"/>
        <v>9.2107498650873829</v>
      </c>
      <c r="BU57" s="117">
        <f t="shared" si="25"/>
        <v>16.093772718100514</v>
      </c>
      <c r="BV57" s="117">
        <f t="shared" si="25"/>
        <v>7.4132943648168217</v>
      </c>
      <c r="BW57" s="117">
        <f t="shared" si="25"/>
        <v>9.2432940079481245</v>
      </c>
      <c r="BX57" s="117">
        <f t="shared" si="25"/>
        <v>3.6424218273320381</v>
      </c>
      <c r="BY57" s="117">
        <f t="shared" si="25"/>
        <v>8.325675956209869</v>
      </c>
      <c r="BZ57" s="117">
        <f t="shared" si="25"/>
        <v>5.7845838166964034</v>
      </c>
      <c r="CA57" s="117">
        <f t="shared" si="25"/>
        <v>9.0106745384831406</v>
      </c>
      <c r="CB57" s="117">
        <f t="shared" si="25"/>
        <v>5.1515019285463826</v>
      </c>
      <c r="CC57" s="117">
        <f t="shared" si="25"/>
        <v>17.260526087740907</v>
      </c>
      <c r="CD57" s="117">
        <f t="shared" si="25"/>
        <v>15.528716147314677</v>
      </c>
      <c r="CE57" s="117">
        <f t="shared" si="25"/>
        <v>12.659154314541365</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6" t="s">
        <v>695</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34699</v>
      </c>
      <c r="CE61" s="1">
        <v>34334</v>
      </c>
      <c r="CF61" s="1">
        <v>25569</v>
      </c>
      <c r="CG61" s="1"/>
      <c r="CH61" s="1"/>
      <c r="CI61" s="1"/>
      <c r="CJ61" s="1"/>
      <c r="CK61" s="1"/>
    </row>
    <row r="62" spans="1:89" s="76" customFormat="1" x14ac:dyDescent="0.25">
      <c r="A62" s="146"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464</v>
      </c>
      <c r="E63" s="76">
        <f>E49</f>
        <v>21384699076.650002</v>
      </c>
      <c r="F63" s="76">
        <f t="shared" ref="F63:BQ63" si="26">F49</f>
        <v>15977114535.049999</v>
      </c>
      <c r="G63" s="76">
        <f t="shared" si="26"/>
        <v>10568060854.209999</v>
      </c>
      <c r="H63" s="76">
        <f t="shared" si="26"/>
        <v>5690391543.4200001</v>
      </c>
      <c r="I63" s="76">
        <f t="shared" si="26"/>
        <v>16334914501.690001</v>
      </c>
      <c r="J63" s="76">
        <f t="shared" si="26"/>
        <v>12055635914.24</v>
      </c>
      <c r="K63" s="76">
        <f t="shared" si="26"/>
        <v>7984787194.9200001</v>
      </c>
      <c r="L63" s="76">
        <f t="shared" si="26"/>
        <v>4239779074.6999998</v>
      </c>
      <c r="M63" s="76">
        <f t="shared" si="26"/>
        <v>13131626932.440001</v>
      </c>
      <c r="N63" s="76">
        <f t="shared" si="26"/>
        <v>9611975965.1399994</v>
      </c>
      <c r="O63" s="76">
        <f t="shared" si="26"/>
        <v>6101903864.6000004</v>
      </c>
      <c r="P63" s="76">
        <f t="shared" si="26"/>
        <v>3293972545.0799999</v>
      </c>
      <c r="Q63" s="76">
        <f t="shared" si="26"/>
        <v>10804217288.6</v>
      </c>
      <c r="R63" s="76">
        <f t="shared" si="26"/>
        <v>7778315404.7200003</v>
      </c>
      <c r="S63" s="76">
        <f t="shared" si="26"/>
        <v>4974057020.5600004</v>
      </c>
      <c r="T63" s="76">
        <f t="shared" si="26"/>
        <v>2576160088.4299998</v>
      </c>
      <c r="U63" s="76">
        <f t="shared" si="26"/>
        <v>8727956044.3700008</v>
      </c>
      <c r="V63" s="76">
        <f t="shared" si="26"/>
        <v>6350114706</v>
      </c>
      <c r="W63" s="76">
        <f t="shared" si="26"/>
        <v>3998224336.3099999</v>
      </c>
      <c r="X63" s="76">
        <f t="shared" si="26"/>
        <v>2359241990.6399999</v>
      </c>
      <c r="Y63" s="76">
        <f t="shared" si="26"/>
        <v>6899863926.8100004</v>
      </c>
      <c r="Z63" s="76">
        <f t="shared" si="26"/>
        <v>4575118340.7200003</v>
      </c>
      <c r="AA63" s="76">
        <f t="shared" si="26"/>
        <v>3101328731.1399999</v>
      </c>
      <c r="AB63" s="76">
        <f t="shared" si="26"/>
        <v>1629565324.8699999</v>
      </c>
      <c r="AC63" s="76">
        <f t="shared" si="26"/>
        <v>10975621704.52</v>
      </c>
      <c r="AD63" s="76">
        <f t="shared" si="26"/>
        <v>9365771616.3799992</v>
      </c>
      <c r="AE63" s="76">
        <f t="shared" si="26"/>
        <v>6747514122.5299997</v>
      </c>
      <c r="AF63" s="76">
        <f t="shared" si="26"/>
        <v>3831419221.9899998</v>
      </c>
      <c r="AG63" s="76">
        <f t="shared" si="26"/>
        <v>11202366806.139999</v>
      </c>
      <c r="AH63" s="76">
        <f t="shared" si="26"/>
        <v>5578524408.5699997</v>
      </c>
      <c r="AI63" s="76">
        <f t="shared" si="26"/>
        <v>3634134845.0599999</v>
      </c>
      <c r="AJ63" s="76">
        <f t="shared" si="26"/>
        <v>1662106246.1400001</v>
      </c>
      <c r="AK63" s="76">
        <f t="shared" si="26"/>
        <v>4375244455.6700001</v>
      </c>
      <c r="AL63" s="76">
        <f t="shared" si="26"/>
        <v>2917972991.5300002</v>
      </c>
      <c r="AM63" s="76">
        <f t="shared" si="26"/>
        <v>1902488624.24</v>
      </c>
      <c r="AN63" s="76">
        <f t="shared" si="26"/>
        <v>974105929.14999998</v>
      </c>
      <c r="AO63" s="76">
        <f t="shared" si="26"/>
        <v>4292987464.9099998</v>
      </c>
      <c r="AP63" s="76">
        <f t="shared" si="26"/>
        <v>3424461057.8000002</v>
      </c>
      <c r="AQ63" s="76">
        <f t="shared" si="26"/>
        <v>2424428981.79</v>
      </c>
      <c r="AR63" s="76">
        <f t="shared" si="26"/>
        <v>1137955453.8800001</v>
      </c>
      <c r="AS63" s="76">
        <f t="shared" si="26"/>
        <v>5000691662.6000004</v>
      </c>
      <c r="AT63" s="76">
        <f t="shared" si="26"/>
        <v>4087399844.5799999</v>
      </c>
      <c r="AU63" s="76">
        <f t="shared" si="26"/>
        <v>2838239098.3600001</v>
      </c>
      <c r="AV63" s="76">
        <f t="shared" si="26"/>
        <v>1448227231.03</v>
      </c>
      <c r="AW63" s="76">
        <f t="shared" si="26"/>
        <v>4256337912.5599999</v>
      </c>
      <c r="AX63" s="76">
        <f t="shared" si="26"/>
        <v>3225715910.6500001</v>
      </c>
      <c r="AY63" s="76">
        <f t="shared" si="26"/>
        <v>2156714477.5300002</v>
      </c>
      <c r="AZ63" s="76">
        <f t="shared" si="26"/>
        <v>976143221.25</v>
      </c>
      <c r="BA63" s="76">
        <f t="shared" si="26"/>
        <v>3260169539.9899998</v>
      </c>
      <c r="BB63" s="76">
        <f t="shared" si="26"/>
        <v>2185347410.0599999</v>
      </c>
      <c r="BC63" s="76">
        <f t="shared" si="26"/>
        <v>1396405790.98</v>
      </c>
      <c r="BD63" s="76">
        <f t="shared" si="26"/>
        <v>722525366.98000002</v>
      </c>
      <c r="BE63" s="76">
        <f t="shared" si="26"/>
        <v>2422932739.4299998</v>
      </c>
      <c r="BF63" s="76">
        <f t="shared" si="26"/>
        <v>1631067598.8699999</v>
      </c>
      <c r="BG63" s="76">
        <f t="shared" si="26"/>
        <v>1096815366.1900001</v>
      </c>
      <c r="BH63" s="76">
        <f t="shared" si="26"/>
        <v>593622323.5</v>
      </c>
      <c r="BI63" s="76">
        <f t="shared" si="26"/>
        <v>2901320283.3400002</v>
      </c>
      <c r="BJ63" s="76">
        <f t="shared" si="26"/>
        <v>1974796702.98</v>
      </c>
      <c r="BK63" s="76">
        <f t="shared" si="26"/>
        <v>1379648578.77</v>
      </c>
      <c r="BL63" s="76">
        <f t="shared" si="26"/>
        <v>844004675.41999996</v>
      </c>
      <c r="BM63" s="76">
        <f t="shared" si="26"/>
        <v>2941801551.71</v>
      </c>
      <c r="BN63" s="76">
        <f t="shared" si="26"/>
        <v>2413369231.4699998</v>
      </c>
      <c r="BO63" s="76">
        <f t="shared" si="26"/>
        <v>1553250340.3699999</v>
      </c>
      <c r="BP63" s="76">
        <f t="shared" si="26"/>
        <v>704977794.35000002</v>
      </c>
      <c r="BQ63" s="76">
        <f t="shared" si="26"/>
        <v>1953492571.3699999</v>
      </c>
      <c r="BR63" s="76">
        <f t="shared" ref="BR63:CJ63" si="27">BR49</f>
        <v>1129633647.3499999</v>
      </c>
      <c r="BS63" s="76">
        <f t="shared" si="27"/>
        <v>2724863451</v>
      </c>
      <c r="BT63" s="76">
        <f t="shared" si="27"/>
        <v>1473517142.3199999</v>
      </c>
      <c r="BU63" s="76">
        <f t="shared" si="27"/>
        <v>2659634845.5700002</v>
      </c>
      <c r="BV63" s="76">
        <f t="shared" si="27"/>
        <v>1411090743.24</v>
      </c>
      <c r="BW63" s="76">
        <f t="shared" si="27"/>
        <v>2167165833</v>
      </c>
      <c r="BX63" s="76">
        <f t="shared" si="27"/>
        <v>1004452329.15</v>
      </c>
      <c r="BY63" s="76">
        <f t="shared" si="27"/>
        <v>1839356280.23</v>
      </c>
      <c r="BZ63" s="76">
        <f t="shared" si="27"/>
        <v>882693130</v>
      </c>
      <c r="CA63" s="76">
        <f t="shared" si="27"/>
        <v>1353158315.8900001</v>
      </c>
      <c r="CB63" s="76">
        <f t="shared" si="27"/>
        <v>661118000</v>
      </c>
      <c r="CC63" s="76">
        <f t="shared" si="27"/>
        <v>1005257323.24</v>
      </c>
      <c r="CD63" s="76">
        <f t="shared" si="27"/>
        <v>764095148.28999996</v>
      </c>
      <c r="CE63" s="76">
        <f t="shared" si="27"/>
        <v>484685682.33999997</v>
      </c>
      <c r="CF63" s="76">
        <f t="shared" si="27"/>
        <v>0</v>
      </c>
      <c r="CG63" s="76">
        <f t="shared" si="27"/>
        <v>0</v>
      </c>
      <c r="CH63" s="76">
        <f t="shared" si="27"/>
        <v>0</v>
      </c>
      <c r="CI63" s="76">
        <f t="shared" si="27"/>
        <v>0</v>
      </c>
      <c r="CJ63" s="76">
        <f t="shared" si="27"/>
        <v>0</v>
      </c>
    </row>
    <row r="64" spans="1:89" s="76" customFormat="1" x14ac:dyDescent="0.25">
      <c r="A64" s="146" t="s">
        <v>474</v>
      </c>
      <c r="E64" s="76">
        <f>资产资本表!E22+资产资本表!E23-资产资本表!E37</f>
        <v>-45898621.549999714</v>
      </c>
      <c r="F64" s="76">
        <f>资产资本表!F22+资产资本表!F23-资产资本表!F37</f>
        <v>1158865667.2</v>
      </c>
      <c r="G64" s="76">
        <f>资产资本表!G22+资产资本表!G23-资产资本表!G37</f>
        <v>1827475754.8</v>
      </c>
      <c r="H64" s="76">
        <f>资产资本表!H22+资产资本表!H23-资产资本表!H37</f>
        <v>1216669264.1800001</v>
      </c>
      <c r="I64" s="76">
        <f>资产资本表!I22+资产资本表!I23-资产资本表!I37</f>
        <v>-251084062.04999971</v>
      </c>
      <c r="J64" s="76">
        <f>资产资本表!J22+资产资本表!J23-资产资本表!J37</f>
        <v>2243983303.1000004</v>
      </c>
      <c r="K64" s="76">
        <f>资产资本表!K22+资产资本表!K23-资产资本表!K37</f>
        <v>1919054522.3900003</v>
      </c>
      <c r="L64" s="76">
        <f>资产资本表!L22+资产资本表!L23-资产资本表!L37</f>
        <v>2296311251.3499999</v>
      </c>
      <c r="M64" s="76">
        <f>资产资本表!M22+资产资本表!M23-资产资本表!M37</f>
        <v>1448356073.29</v>
      </c>
      <c r="N64" s="76">
        <f>资产资本表!N22+资产资本表!N23-资产资本表!N37</f>
        <v>2113485884.7600002</v>
      </c>
      <c r="O64" s="76">
        <f>资产资本表!O22+资产资本表!O23-资产资本表!O37</f>
        <v>2386204368.3200002</v>
      </c>
      <c r="P64" s="76">
        <f>资产资本表!P22+资产资本表!P23-资产资本表!P37</f>
        <v>3544878229.5600004</v>
      </c>
      <c r="Q64" s="76">
        <f>资产资本表!Q22+资产资本表!Q23-资产资本表!Q37</f>
        <v>3151903939.2800007</v>
      </c>
      <c r="R64" s="76">
        <f>资产资本表!R22+资产资本表!R23-资产资本表!R37</f>
        <v>3227400282.4300003</v>
      </c>
      <c r="S64" s="76">
        <f>资产资本表!S22+资产资本表!S23-资产资本表!S37</f>
        <v>2762563329.6999998</v>
      </c>
      <c r="T64" s="76">
        <f>资产资本表!T22+资产资本表!T23-资产资本表!T37</f>
        <v>2833668268.3899994</v>
      </c>
      <c r="U64" s="76">
        <f>资产资本表!U22+资产资本表!U23-资产资本表!U37</f>
        <v>2169561760.21</v>
      </c>
      <c r="V64" s="76">
        <f>资产资本表!V22+资产资本表!V23-资产资本表!V37</f>
        <v>1717412175.9200001</v>
      </c>
      <c r="W64" s="76">
        <f>资产资本表!W22+资产资本表!W23-资产资本表!W37</f>
        <v>1566096388.8800001</v>
      </c>
      <c r="X64" s="76">
        <f>资产资本表!X22+资产资本表!X23-资产资本表!X37</f>
        <v>2689071218.5500002</v>
      </c>
      <c r="Y64" s="76">
        <f>资产资本表!Y22+资产资本表!Y23-资产资本表!Y37</f>
        <v>2180571705.6899996</v>
      </c>
      <c r="Z64" s="76">
        <f>资产资本表!Z22+资产资本表!Z23-资产资本表!Z37</f>
        <v>1898497870.9799998</v>
      </c>
      <c r="AA64" s="76">
        <f>资产资本表!AA22+资产资本表!AA23-资产资本表!AA37</f>
        <v>1639316724.5099998</v>
      </c>
      <c r="AB64" s="76">
        <f>资产资本表!AB22+资产资本表!AB23-资产资本表!AB37</f>
        <v>2157885598.1900001</v>
      </c>
      <c r="AC64" s="76">
        <f>资产资本表!AC22+资产资本表!AC23-资产资本表!AC37</f>
        <v>3201558970.5900002</v>
      </c>
      <c r="AD64" s="76">
        <f>资产资本表!AD22+资产资本表!AD23-资产资本表!AD37</f>
        <v>4405950826.3299999</v>
      </c>
      <c r="AE64" s="76">
        <f>资产资本表!AE22+资产资本表!AE23-资产资本表!AE37</f>
        <v>5054041145.8400002</v>
      </c>
      <c r="AF64" s="76">
        <f>资产资本表!AF22+资产资本表!AF23-资产资本表!AF37</f>
        <v>4086666494.1099997</v>
      </c>
      <c r="AG64" s="76">
        <f>资产资本表!AG22+资产资本表!AG23-资产资本表!AG37</f>
        <v>2001207722.8900001</v>
      </c>
      <c r="AH64" s="76">
        <f>资产资本表!AH22+资产资本表!AH23-资产资本表!AH37</f>
        <v>2772301346.1900001</v>
      </c>
      <c r="AI64" s="76">
        <f>资产资本表!AI22+资产资本表!AI23-资产资本表!AI37</f>
        <v>2559857395.1000004</v>
      </c>
      <c r="AJ64" s="76">
        <f>资产资本表!AJ22+资产资本表!AJ23-资产资本表!AJ37</f>
        <v>2191225750.6100001</v>
      </c>
      <c r="AK64" s="76">
        <f>资产资本表!AK22+资产资本表!AK23-资产资本表!AK37</f>
        <v>1344059335.4799998</v>
      </c>
      <c r="AL64" s="76">
        <f>资产资本表!AL22+资产资本表!AL23-资产资本表!AL37</f>
        <v>757569840.06999993</v>
      </c>
      <c r="AM64" s="76">
        <f>资产资本表!AM22+资产资本表!AM23-资产资本表!AM37</f>
        <v>765600326.78999996</v>
      </c>
      <c r="AN64" s="76">
        <f>资产资本表!AN22+资产资本表!AN23-资产资本表!AN37</f>
        <v>868698420.54999995</v>
      </c>
      <c r="AO64" s="76">
        <f>资产资本表!AO22+资产资本表!AO23-资产资本表!AO37</f>
        <v>578220627.96000004</v>
      </c>
      <c r="AP64" s="76">
        <f>资产资本表!AP22+资产资本表!AP23-资产资本表!AP37</f>
        <v>807912811.94000006</v>
      </c>
      <c r="AQ64" s="76">
        <f>资产资本表!AQ22+资产资本表!AQ23-资产资本表!AQ37</f>
        <v>840926242.34000003</v>
      </c>
      <c r="AR64" s="76">
        <f>资产资本表!AR22+资产资本表!AR23-资产资本表!AR37</f>
        <v>756832174.91000009</v>
      </c>
      <c r="AS64" s="76">
        <f>资产资本表!AS22+资产资本表!AS23-资产资本表!AS37</f>
        <v>765481781.5999999</v>
      </c>
      <c r="AT64" s="76">
        <f>资产资本表!AT22+资产资本表!AT23-资产资本表!AT37</f>
        <v>663492540.51999998</v>
      </c>
      <c r="AU64" s="76">
        <f>资产资本表!AU22+资产资本表!AU23-资产资本表!AU37</f>
        <v>665879912.66999984</v>
      </c>
      <c r="AV64" s="76">
        <f>资产资本表!AV22+资产资本表!AV23-资产资本表!AV37</f>
        <v>812090701.64999998</v>
      </c>
      <c r="AW64" s="76">
        <f>资产资本表!AW22+资产资本表!AW23-资产资本表!AW37</f>
        <v>634631058.62</v>
      </c>
      <c r="AX64" s="76">
        <f>资产资本表!AX22+资产资本表!AX23-资产资本表!AX37</f>
        <v>805627929.53999996</v>
      </c>
      <c r="AY64" s="76">
        <f>资产资本表!AY22+资产资本表!AY23-资产资本表!AY37</f>
        <v>668450058.28999996</v>
      </c>
      <c r="AZ64" s="76">
        <f>资产资本表!AZ22+资产资本表!AZ23-资产资本表!AZ37</f>
        <v>647423043.24000013</v>
      </c>
      <c r="BA64" s="76">
        <f>资产资本表!BA22+资产资本表!BA23-资产资本表!BA37</f>
        <v>646500308.97000003</v>
      </c>
      <c r="BB64" s="76">
        <f>资产资本表!BB22+资产资本表!BB23-资产资本表!BB37</f>
        <v>550479657.13999999</v>
      </c>
      <c r="BC64" s="76">
        <f>资产资本表!BC22+资产资本表!BC23-资产资本表!BC37</f>
        <v>472801934.84000003</v>
      </c>
      <c r="BD64" s="76">
        <f>资产资本表!BD22+资产资本表!BD23-资产资本表!BD37</f>
        <v>492943216.69999999</v>
      </c>
      <c r="BE64" s="76">
        <f>资产资本表!BE22+资产资本表!BE23-资产资本表!BE37</f>
        <v>494465580.19000006</v>
      </c>
      <c r="BF64" s="76">
        <f>资产资本表!BF22+资产资本表!BF23-资产资本表!BF37</f>
        <v>392807086.34000003</v>
      </c>
      <c r="BG64" s="76">
        <f>资产资本表!BG22+资产资本表!BG23-资产资本表!BG37</f>
        <v>384197863.11000001</v>
      </c>
      <c r="BH64" s="76">
        <f>资产资本表!BH22+资产资本表!BH23-资产资本表!BH37</f>
        <v>294375122.35000002</v>
      </c>
      <c r="BI64" s="76">
        <f>资产资本表!BI22+资产资本表!BI23-资产资本表!BI37</f>
        <v>299456364.33999997</v>
      </c>
      <c r="BJ64" s="76">
        <f>资产资本表!BJ22+资产资本表!BJ23-资产资本表!BJ37</f>
        <v>303887294.5</v>
      </c>
      <c r="BK64" s="76">
        <f>资产资本表!BK22+资产资本表!BK23-资产资本表!BK37</f>
        <v>156241912.68999994</v>
      </c>
      <c r="BL64" s="76">
        <f>资产资本表!BL22+资产资本表!BL23-资产资本表!BL37</f>
        <v>0</v>
      </c>
      <c r="BM64" s="76">
        <f>资产资本表!BM22+资产资本表!BM23-资产资本表!BM37</f>
        <v>266708996.01999998</v>
      </c>
      <c r="BN64" s="76">
        <f>资产资本表!BN22+资产资本表!BN23-资产资本表!BN37</f>
        <v>923850841.0999999</v>
      </c>
      <c r="BO64" s="76">
        <f>资产资本表!BO22+资产资本表!BO23-资产资本表!BO37</f>
        <v>764761029.29000008</v>
      </c>
      <c r="BP64" s="76">
        <f>资产资本表!BP22+资产资本表!BP23-资产资本表!BP37</f>
        <v>956215215.75</v>
      </c>
      <c r="BQ64" s="76">
        <f>资产资本表!BQ22+资产资本表!BQ23-资产资本表!BQ37</f>
        <v>740453106.62999988</v>
      </c>
      <c r="BR64" s="76">
        <f>资产资本表!BR22+资产资本表!BR23-资产资本表!BR37</f>
        <v>964282905.39999998</v>
      </c>
      <c r="BS64" s="76">
        <f>资产资本表!BS22+资产资本表!BS23-资产资本表!BS37</f>
        <v>1072605391.1599998</v>
      </c>
      <c r="BT64" s="76">
        <f>资产资本表!BT22+资产资本表!BT23-资产资本表!BT37</f>
        <v>931374754.39999998</v>
      </c>
      <c r="BU64" s="76">
        <f>资产资本表!BU22+资产资本表!BU23-资产资本表!BU37</f>
        <v>1007003264.3200002</v>
      </c>
      <c r="BV64" s="76">
        <f>资产资本表!BV22+资产资本表!BV23-资产资本表!BV37</f>
        <v>824546438.17000008</v>
      </c>
      <c r="BW64" s="76">
        <f>资产资本表!BW22+资产资本表!BW23-资产资本表!BW37</f>
        <v>813789841.23000002</v>
      </c>
      <c r="BX64" s="76">
        <f>资产资本表!BX22+资产资本表!BX23-资产资本表!BX37</f>
        <v>640276187.45000005</v>
      </c>
      <c r="BY64" s="76">
        <f>资产资本表!BY22+资产资本表!BY23-资产资本表!BY37</f>
        <v>455853142.17000002</v>
      </c>
      <c r="BZ64" s="76">
        <f>资产资本表!BZ22+资产资本表!BZ23-资产资本表!BZ37</f>
        <v>0</v>
      </c>
      <c r="CA64" s="76">
        <f>资产资本表!CA22+资产资本表!CA23-资产资本表!CA37</f>
        <v>234962356.03999996</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693</v>
      </c>
      <c r="E65" s="154">
        <f>E63/(E64+I64)*2</f>
        <v>-144.01310418120312</v>
      </c>
      <c r="F65" s="154">
        <f t="shared" ref="F65:BQ65" si="28">F63/(F64+J64)*2</f>
        <v>9.3904341182920223</v>
      </c>
      <c r="G65" s="154">
        <f t="shared" si="28"/>
        <v>5.6415189908121235</v>
      </c>
      <c r="H65" s="154">
        <f t="shared" si="28"/>
        <v>3.2396374066205129</v>
      </c>
      <c r="I65" s="154">
        <f t="shared" si="28"/>
        <v>27.286889442562224</v>
      </c>
      <c r="J65" s="154">
        <f t="shared" si="28"/>
        <v>5.5333200968246663</v>
      </c>
      <c r="K65" s="154">
        <f t="shared" si="28"/>
        <v>3.7093180213388703</v>
      </c>
      <c r="L65" s="154">
        <f t="shared" si="28"/>
        <v>1.4516834588421823</v>
      </c>
      <c r="M65" s="154">
        <f t="shared" si="28"/>
        <v>5.7090803113556312</v>
      </c>
      <c r="N65" s="154">
        <f t="shared" si="28"/>
        <v>3.5993936827143225</v>
      </c>
      <c r="O65" s="154">
        <f t="shared" si="28"/>
        <v>2.370238559003754</v>
      </c>
      <c r="P65" s="154">
        <f t="shared" si="28"/>
        <v>1.0328285750174118</v>
      </c>
      <c r="Q65" s="154">
        <f t="shared" si="28"/>
        <v>4.060617092631249</v>
      </c>
      <c r="R65" s="154">
        <f t="shared" si="28"/>
        <v>3.1460507229491537</v>
      </c>
      <c r="S65" s="154">
        <f t="shared" si="28"/>
        <v>2.2981972915125426</v>
      </c>
      <c r="T65" s="154">
        <f t="shared" si="28"/>
        <v>0.93292833910490336</v>
      </c>
      <c r="U65" s="154">
        <f t="shared" si="28"/>
        <v>4.0127302358822101</v>
      </c>
      <c r="V65" s="154">
        <f t="shared" si="28"/>
        <v>3.5123189590648667</v>
      </c>
      <c r="W65" s="154">
        <f t="shared" si="28"/>
        <v>2.4946702311837328</v>
      </c>
      <c r="X65" s="154">
        <f t="shared" si="28"/>
        <v>0.97349412418606829</v>
      </c>
      <c r="Y65" s="154">
        <f t="shared" si="28"/>
        <v>2.5639897437715211</v>
      </c>
      <c r="Z65" s="154">
        <f t="shared" si="28"/>
        <v>1.4513936302383188</v>
      </c>
      <c r="AA65" s="154">
        <f t="shared" si="28"/>
        <v>0.92668845479730166</v>
      </c>
      <c r="AB65" s="154">
        <f t="shared" si="28"/>
        <v>0.52191583985002743</v>
      </c>
      <c r="AC65" s="154">
        <f t="shared" si="28"/>
        <v>4.2191481383450933</v>
      </c>
      <c r="AD65" s="154">
        <f t="shared" si="28"/>
        <v>2.6094852594436082</v>
      </c>
      <c r="AE65" s="154">
        <f t="shared" si="28"/>
        <v>1.772420288042599</v>
      </c>
      <c r="AF65" s="154">
        <f t="shared" si="28"/>
        <v>1.2206068765236939</v>
      </c>
      <c r="AG65" s="154">
        <f t="shared" si="28"/>
        <v>6.697442452680245</v>
      </c>
      <c r="AH65" s="154">
        <f t="shared" si="28"/>
        <v>3.1607523981523</v>
      </c>
      <c r="AI65" s="154">
        <f t="shared" si="28"/>
        <v>2.1856448940175159</v>
      </c>
      <c r="AJ65" s="154">
        <f t="shared" si="28"/>
        <v>1.0863708727199635</v>
      </c>
      <c r="AK65" s="154">
        <f t="shared" si="28"/>
        <v>4.5521407275559573</v>
      </c>
      <c r="AL65" s="154">
        <f t="shared" si="28"/>
        <v>3.7278892714441407</v>
      </c>
      <c r="AM65" s="154">
        <f t="shared" si="28"/>
        <v>2.3684496239240853</v>
      </c>
      <c r="AN65" s="154">
        <f t="shared" si="28"/>
        <v>1.1985082678488042</v>
      </c>
      <c r="AO65" s="154">
        <f t="shared" si="28"/>
        <v>6.3897890401428299</v>
      </c>
      <c r="AP65" s="154">
        <f t="shared" si="28"/>
        <v>4.6546807133394514</v>
      </c>
      <c r="AQ65" s="154">
        <f t="shared" si="28"/>
        <v>3.2179706377346333</v>
      </c>
      <c r="AR65" s="154">
        <f t="shared" si="28"/>
        <v>1.4506200029093419</v>
      </c>
      <c r="AS65" s="154">
        <f t="shared" si="28"/>
        <v>7.1432694836428201</v>
      </c>
      <c r="AT65" s="154">
        <f t="shared" si="28"/>
        <v>5.564417524470362</v>
      </c>
      <c r="AU65" s="154">
        <f t="shared" si="28"/>
        <v>4.2541787415866779</v>
      </c>
      <c r="AV65" s="154">
        <f t="shared" si="28"/>
        <v>1.9845338710930047</v>
      </c>
      <c r="AW65" s="154">
        <f t="shared" si="28"/>
        <v>6.6446549046204506</v>
      </c>
      <c r="AX65" s="154">
        <f t="shared" si="28"/>
        <v>4.7573156323786145</v>
      </c>
      <c r="AY65" s="154">
        <f t="shared" si="28"/>
        <v>3.7795587486598654</v>
      </c>
      <c r="AZ65" s="154">
        <f t="shared" si="28"/>
        <v>1.7119819404361531</v>
      </c>
      <c r="BA65" s="154">
        <f t="shared" si="28"/>
        <v>5.7147537379758058</v>
      </c>
      <c r="BB65" s="154">
        <f t="shared" si="28"/>
        <v>4.6334742328674201</v>
      </c>
      <c r="BC65" s="154">
        <f t="shared" si="28"/>
        <v>3.2588240844870549</v>
      </c>
      <c r="BD65" s="154">
        <f t="shared" si="28"/>
        <v>1.8354084520673533</v>
      </c>
      <c r="BE65" s="154">
        <f t="shared" si="28"/>
        <v>6.1037051718336635</v>
      </c>
      <c r="BF65" s="154">
        <f t="shared" si="28"/>
        <v>4.6823044471908384</v>
      </c>
      <c r="BG65" s="154">
        <f t="shared" si="28"/>
        <v>4.05897350751584</v>
      </c>
      <c r="BH65" s="154">
        <f t="shared" si="28"/>
        <v>4.0331011585565122</v>
      </c>
      <c r="BI65" s="154">
        <f t="shared" si="28"/>
        <v>10.24902082139104</v>
      </c>
      <c r="BJ65" s="154">
        <f t="shared" si="28"/>
        <v>3.2169672761934858</v>
      </c>
      <c r="BK65" s="154">
        <f t="shared" si="28"/>
        <v>2.9959699711794396</v>
      </c>
      <c r="BL65" s="154">
        <f t="shared" si="28"/>
        <v>1.7653027509251908</v>
      </c>
      <c r="BM65" s="154">
        <f t="shared" si="28"/>
        <v>5.841763791488308</v>
      </c>
      <c r="BN65" s="154">
        <f t="shared" si="28"/>
        <v>2.5563541099179226</v>
      </c>
      <c r="BO65" s="154">
        <f t="shared" si="28"/>
        <v>1.6907355256765655</v>
      </c>
      <c r="BP65" s="154">
        <f t="shared" si="28"/>
        <v>0.74696073352623071</v>
      </c>
      <c r="BQ65" s="154">
        <f t="shared" si="28"/>
        <v>2.2358126976388988</v>
      </c>
      <c r="BR65" s="154">
        <f t="shared" ref="BR65:CK65" si="29">BR63/(BR64+BV64)*2</f>
        <v>1.2629864904782575</v>
      </c>
      <c r="BS65" s="154">
        <f t="shared" si="29"/>
        <v>2.8889634623892566</v>
      </c>
      <c r="BT65" s="154">
        <f t="shared" si="29"/>
        <v>1.8751201085216975</v>
      </c>
      <c r="BU65" s="154">
        <f t="shared" si="29"/>
        <v>3.6362213458142048</v>
      </c>
      <c r="BV65" s="154">
        <f t="shared" si="29"/>
        <v>3.4227077528144503</v>
      </c>
      <c r="BW65" s="154">
        <f t="shared" si="29"/>
        <v>4.132846326599048</v>
      </c>
      <c r="BX65" s="154">
        <f t="shared" si="29"/>
        <v>3.1375595370816094</v>
      </c>
      <c r="BY65" s="154">
        <f t="shared" si="29"/>
        <v>8.0699510876424068</v>
      </c>
      <c r="BZ65" s="154" t="e">
        <f t="shared" si="29"/>
        <v>#DIV/0!</v>
      </c>
      <c r="CA65" s="154">
        <f t="shared" si="29"/>
        <v>11.51808603468071</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475</v>
      </c>
      <c r="E66" s="83">
        <f>E62/E65</f>
        <v>-2.5344915802991248</v>
      </c>
      <c r="F66" s="83">
        <f t="shared" ref="F66:BQ66" si="30">F62/F65</f>
        <v>38.86934250345265</v>
      </c>
      <c r="G66" s="83">
        <f t="shared" si="30"/>
        <v>64.698887054079833</v>
      </c>
      <c r="H66" s="83">
        <f t="shared" si="30"/>
        <v>112.66692971691435</v>
      </c>
      <c r="I66" s="83">
        <f t="shared" si="30"/>
        <v>13.376387248840141</v>
      </c>
      <c r="J66" s="83">
        <f t="shared" si="30"/>
        <v>65.964013216849281</v>
      </c>
      <c r="K66" s="83">
        <f t="shared" si="30"/>
        <v>98.400837539471482</v>
      </c>
      <c r="L66" s="83">
        <f t="shared" si="30"/>
        <v>251.43222358620292</v>
      </c>
      <c r="M66" s="83">
        <f t="shared" si="30"/>
        <v>63.933239697819225</v>
      </c>
      <c r="N66" s="83">
        <f t="shared" si="30"/>
        <v>101.40596783087965</v>
      </c>
      <c r="O66" s="83">
        <f t="shared" si="30"/>
        <v>153.99293822703436</v>
      </c>
      <c r="P66" s="83">
        <f t="shared" si="30"/>
        <v>353.39843303023127</v>
      </c>
      <c r="Q66" s="83">
        <f t="shared" si="30"/>
        <v>89.887815490497971</v>
      </c>
      <c r="R66" s="83">
        <f t="shared" si="30"/>
        <v>116.01847272756102</v>
      </c>
      <c r="S66" s="83">
        <f t="shared" si="30"/>
        <v>158.82013321831818</v>
      </c>
      <c r="T66" s="83">
        <f t="shared" si="30"/>
        <v>391.24119688571011</v>
      </c>
      <c r="U66" s="83">
        <f t="shared" si="30"/>
        <v>90.960512804009539</v>
      </c>
      <c r="V66" s="83">
        <f t="shared" si="30"/>
        <v>103.91994697918295</v>
      </c>
      <c r="W66" s="83">
        <f t="shared" si="30"/>
        <v>146.31192349090796</v>
      </c>
      <c r="X66" s="83">
        <f t="shared" si="30"/>
        <v>374.93806170137287</v>
      </c>
      <c r="Y66" s="83">
        <f t="shared" si="30"/>
        <v>142.35626366550918</v>
      </c>
      <c r="Z66" s="83">
        <f t="shared" si="30"/>
        <v>251.4824320539887</v>
      </c>
      <c r="AA66" s="83">
        <f t="shared" si="30"/>
        <v>393.87563113628943</v>
      </c>
      <c r="AB66" s="83">
        <f t="shared" si="30"/>
        <v>699.34646954743278</v>
      </c>
      <c r="AC66" s="83">
        <f t="shared" si="30"/>
        <v>86.5103542306923</v>
      </c>
      <c r="AD66" s="83">
        <f t="shared" si="30"/>
        <v>139.87432911494005</v>
      </c>
      <c r="AE66" s="83">
        <f t="shared" si="30"/>
        <v>205.93309750651392</v>
      </c>
      <c r="AF66" s="83">
        <f t="shared" si="30"/>
        <v>299.0315776685818</v>
      </c>
      <c r="AG66" s="83">
        <f t="shared" si="30"/>
        <v>54.498415265058512</v>
      </c>
      <c r="AH66" s="83">
        <f t="shared" si="30"/>
        <v>115.47883352500824</v>
      </c>
      <c r="AI66" s="83">
        <f t="shared" si="30"/>
        <v>166.99876590157325</v>
      </c>
      <c r="AJ66" s="83">
        <f t="shared" si="30"/>
        <v>335.98102560145401</v>
      </c>
      <c r="AK66" s="83">
        <f t="shared" si="30"/>
        <v>80.18205539879439</v>
      </c>
      <c r="AL66" s="83">
        <f t="shared" si="30"/>
        <v>97.910633450387664</v>
      </c>
      <c r="AM66" s="83">
        <f t="shared" si="30"/>
        <v>154.10925202422592</v>
      </c>
      <c r="AN66" s="83">
        <f t="shared" si="30"/>
        <v>304.54524995070454</v>
      </c>
      <c r="AO66" s="83">
        <f t="shared" si="30"/>
        <v>57.122386624495071</v>
      </c>
      <c r="AP66" s="83">
        <f t="shared" si="30"/>
        <v>78.415690028744123</v>
      </c>
      <c r="AQ66" s="83">
        <f t="shared" si="30"/>
        <v>113.42552219710444</v>
      </c>
      <c r="AR66" s="83">
        <f t="shared" si="30"/>
        <v>251.61654966011872</v>
      </c>
      <c r="AS66" s="83">
        <f t="shared" si="30"/>
        <v>51.097050284299598</v>
      </c>
      <c r="AT66" s="83">
        <f t="shared" si="30"/>
        <v>65.595365264173239</v>
      </c>
      <c r="AU66" s="83">
        <f t="shared" si="30"/>
        <v>85.797993495653216</v>
      </c>
      <c r="AV66" s="83">
        <f t="shared" si="30"/>
        <v>183.92228286785152</v>
      </c>
      <c r="AW66" s="83">
        <f t="shared" si="30"/>
        <v>54.931370438243874</v>
      </c>
      <c r="AX66" s="83">
        <f t="shared" si="30"/>
        <v>76.723940180841709</v>
      </c>
      <c r="AY66" s="83">
        <f t="shared" si="30"/>
        <v>96.572119729431279</v>
      </c>
      <c r="AZ66" s="83">
        <f t="shared" si="30"/>
        <v>213.20318361945499</v>
      </c>
      <c r="BA66" s="83">
        <f t="shared" si="30"/>
        <v>63.869768801146073</v>
      </c>
      <c r="BB66" s="83">
        <f t="shared" si="30"/>
        <v>78.774582884454759</v>
      </c>
      <c r="BC66" s="83">
        <f t="shared" si="30"/>
        <v>112.00359103073576</v>
      </c>
      <c r="BD66" s="83">
        <f t="shared" si="30"/>
        <v>198.86581626497039</v>
      </c>
      <c r="BE66" s="83">
        <f t="shared" si="30"/>
        <v>59.7997428978614</v>
      </c>
      <c r="BF66" s="83">
        <f t="shared" si="30"/>
        <v>77.953068647422697</v>
      </c>
      <c r="BG66" s="83">
        <f t="shared" si="30"/>
        <v>89.924213430845015</v>
      </c>
      <c r="BH66" s="83">
        <f t="shared" si="30"/>
        <v>90.501077372092794</v>
      </c>
      <c r="BI66" s="83">
        <f t="shared" si="30"/>
        <v>35.613158209045444</v>
      </c>
      <c r="BJ66" s="83">
        <f t="shared" si="30"/>
        <v>113.46089924541928</v>
      </c>
      <c r="BK66" s="83">
        <f t="shared" si="30"/>
        <v>121.83032657577289</v>
      </c>
      <c r="BL66" s="83">
        <f t="shared" si="30"/>
        <v>206.76340067373962</v>
      </c>
      <c r="BM66" s="83">
        <f t="shared" si="30"/>
        <v>62.481129506095421</v>
      </c>
      <c r="BN66" s="83">
        <f t="shared" si="30"/>
        <v>142.7814709174697</v>
      </c>
      <c r="BO66" s="83">
        <f t="shared" si="30"/>
        <v>215.88237453870346</v>
      </c>
      <c r="BP66" s="83">
        <f t="shared" si="30"/>
        <v>488.64683726669074</v>
      </c>
      <c r="BQ66" s="83">
        <f t="shared" si="30"/>
        <v>163.25159991507945</v>
      </c>
      <c r="BR66" s="83">
        <f t="shared" ref="BR66:CJ66" si="31">BR62/BR65</f>
        <v>288.99754886672207</v>
      </c>
      <c r="BS66" s="83">
        <f t="shared" si="31"/>
        <v>126.3428924428606</v>
      </c>
      <c r="BT66" s="83">
        <f t="shared" si="31"/>
        <v>194.65419753178253</v>
      </c>
      <c r="BU66" s="83">
        <f t="shared" si="31"/>
        <v>100.37892781751739</v>
      </c>
      <c r="BV66" s="83">
        <f t="shared" si="31"/>
        <v>106.64071441678449</v>
      </c>
      <c r="BW66" s="83">
        <f t="shared" si="31"/>
        <v>88.316857476856967</v>
      </c>
      <c r="BX66" s="83">
        <f t="shared" si="31"/>
        <v>116.33245383432741</v>
      </c>
      <c r="BY66" s="83">
        <f t="shared" si="31"/>
        <v>45.229518250603526</v>
      </c>
      <c r="BZ66" s="83" t="e">
        <f t="shared" si="31"/>
        <v>#DIV/0!</v>
      </c>
      <c r="CA66" s="83">
        <f t="shared" si="31"/>
        <v>31.689292726325608</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476</v>
      </c>
      <c r="E67" s="76">
        <f>股权价值增加表!E5</f>
        <v>15982893658.84</v>
      </c>
      <c r="F67" s="76">
        <f>股权价值增加表!F5</f>
        <v>11887084837.76</v>
      </c>
      <c r="G67" s="76">
        <f>股权价值增加表!G5</f>
        <v>7861371811.7799997</v>
      </c>
      <c r="H67" s="76">
        <f>股权价值增加表!H5</f>
        <v>4228707468.8400002</v>
      </c>
      <c r="I67" s="76">
        <f>股权价值增加表!I5</f>
        <v>12111213286.280001</v>
      </c>
      <c r="J67" s="76">
        <f>股权价值增加表!J5</f>
        <v>8829467976.4799995</v>
      </c>
      <c r="K67" s="76">
        <f>股权价值增加表!K5</f>
        <v>5812591773.6700001</v>
      </c>
      <c r="L67" s="76">
        <f>股权价值增加表!L5</f>
        <v>3047294578.2800002</v>
      </c>
      <c r="M67" s="76">
        <f>股权价值增加表!M5</f>
        <v>9646390824.3600006</v>
      </c>
      <c r="N67" s="76">
        <f>股权价值增加表!N5</f>
        <v>7041009821.1199999</v>
      </c>
      <c r="O67" s="76">
        <f>股权价值增加表!O5</f>
        <v>4457541472.6599998</v>
      </c>
      <c r="P67" s="76">
        <f>股权价值增加表!P5</f>
        <v>2379120341.8200002</v>
      </c>
      <c r="Q67" s="76">
        <f>股权价值增加表!Q5</f>
        <v>8007492218.6899996</v>
      </c>
      <c r="R67" s="76">
        <f>股权价值增加表!R5</f>
        <v>5747116600.3699999</v>
      </c>
      <c r="S67" s="76">
        <f>股权价值增加表!S5</f>
        <v>3655315076.5900002</v>
      </c>
      <c r="T67" s="76">
        <f>股权价值增加表!T5</f>
        <v>1863580470.1199999</v>
      </c>
      <c r="U67" s="76">
        <f>股权价值增加表!U5</f>
        <v>6549621939.8999996</v>
      </c>
      <c r="V67" s="76">
        <f>股权价值增加表!V5</f>
        <v>4779232584.0600004</v>
      </c>
      <c r="W67" s="76">
        <f>股权价值增加表!W5</f>
        <v>3005810911.1399999</v>
      </c>
      <c r="X67" s="76">
        <f>股权价值增加表!X5</f>
        <v>1782597479.96</v>
      </c>
      <c r="Y67" s="76">
        <f>股权价值增加表!Y5</f>
        <v>5339914557.9799995</v>
      </c>
      <c r="Z67" s="76">
        <f>股权价值增加表!Z5</f>
        <v>3566854991.7399998</v>
      </c>
      <c r="AA67" s="76">
        <f>股权价值增加表!AA5</f>
        <v>2453880581.1900001</v>
      </c>
      <c r="AB67" s="76">
        <f>股权价值增加表!AB5</f>
        <v>1312055379.3699999</v>
      </c>
      <c r="AC67" s="76">
        <f>股权价值增加表!AC5</f>
        <v>9153133555.9699993</v>
      </c>
      <c r="AD67" s="76">
        <f>股权价值增加表!AD5</f>
        <v>7823252342.6199999</v>
      </c>
      <c r="AE67" s="76">
        <f>股权价值增加表!AE5</f>
        <v>5611799841.3000002</v>
      </c>
      <c r="AF67" s="76">
        <f>股权价值增加表!AF5</f>
        <v>3209055630.29</v>
      </c>
      <c r="AG67" s="76">
        <f>股权价值增加表!AG5</f>
        <v>9445348989.1800003</v>
      </c>
      <c r="AH67" s="76">
        <f>股权价值增加表!AH5</f>
        <v>4720109340.46</v>
      </c>
      <c r="AI67" s="76">
        <f>股权价值增加表!AI5</f>
        <v>3063518891.21</v>
      </c>
      <c r="AJ67" s="76">
        <f>股权价值增加表!AJ5</f>
        <v>1390576461.6199999</v>
      </c>
      <c r="AK67" s="76">
        <f>股权价值增加表!AK5</f>
        <v>3352503034.75</v>
      </c>
      <c r="AL67" s="76">
        <f>股权价值增加表!AL5</f>
        <v>2250684996.8600001</v>
      </c>
      <c r="AM67" s="76">
        <f>股权价值增加表!AM5</f>
        <v>1496548611.22</v>
      </c>
      <c r="AN67" s="76">
        <f>股权价值增加表!AN5</f>
        <v>788361309.11000001</v>
      </c>
      <c r="AO67" s="76">
        <f>股权价值增加表!AO5</f>
        <v>3495399864.1100001</v>
      </c>
      <c r="AP67" s="76">
        <f>股权价值增加表!AP5</f>
        <v>2789367413.21</v>
      </c>
      <c r="AQ67" s="76">
        <f>股权价值增加表!AQ5</f>
        <v>1937796658.1500001</v>
      </c>
      <c r="AR67" s="76">
        <f>股权价值增加表!AR5</f>
        <v>880605260.80999994</v>
      </c>
      <c r="AS67" s="76">
        <f>股权价值增加表!AS5</f>
        <v>4004806298.8600001</v>
      </c>
      <c r="AT67" s="76">
        <f>股权价值增加表!AT5</f>
        <v>3314480556.23</v>
      </c>
      <c r="AU67" s="76">
        <f>股权价值增加表!AU5</f>
        <v>2308549271.3600001</v>
      </c>
      <c r="AV67" s="76">
        <f>股权价值增加表!AV5</f>
        <v>1157412583.5599999</v>
      </c>
      <c r="AW67" s="76">
        <f>股权价值增加表!AW5</f>
        <v>3351425492.1199999</v>
      </c>
      <c r="AX67" s="76">
        <f>股权价值增加表!AX5</f>
        <v>2577079092.9699998</v>
      </c>
      <c r="AY67" s="76">
        <f>股权价值增加表!AY5</f>
        <v>1734629476.5599999</v>
      </c>
      <c r="AZ67" s="76">
        <f>股权价值增加表!AZ5</f>
        <v>758131304.13</v>
      </c>
      <c r="BA67" s="76">
        <f>股权价值增加表!BA5</f>
        <v>2610112328.77</v>
      </c>
      <c r="BB67" s="76">
        <f>股权价值增加表!BB5</f>
        <v>1756574969.74</v>
      </c>
      <c r="BC67" s="76">
        <f>股权价值增加表!BC5</f>
        <v>1111249484.8199999</v>
      </c>
      <c r="BD67" s="76">
        <f>股权价值增加表!BD5</f>
        <v>558788476.47000003</v>
      </c>
      <c r="BE67" s="76">
        <f>股权价值增加表!BE5</f>
        <v>1960846156.5799999</v>
      </c>
      <c r="BF67" s="76">
        <f>股权价值增加表!BF5</f>
        <v>1291093542.25</v>
      </c>
      <c r="BG67" s="76">
        <f>股权价值增加表!BG5</f>
        <v>867878445.94000006</v>
      </c>
      <c r="BH67" s="76">
        <f>股权价值增加表!BH5</f>
        <v>468799028.16000003</v>
      </c>
      <c r="BI67" s="76">
        <f>股权价值增加表!BI5</f>
        <v>2367701377.6599998</v>
      </c>
      <c r="BJ67" s="76">
        <f>股权价值增加表!BJ5</f>
        <v>1651739025.7</v>
      </c>
      <c r="BK67" s="76">
        <f>股权价值增加表!BK5</f>
        <v>1158683250.95</v>
      </c>
      <c r="BL67" s="76">
        <f>股权价值增加表!BL5</f>
        <v>683524653.25</v>
      </c>
      <c r="BM67" s="76">
        <f>股权价值增加表!BM5</f>
        <v>2341338051.73</v>
      </c>
      <c r="BN67" s="76">
        <f>股权价值增加表!BN5</f>
        <v>1876672125.77</v>
      </c>
      <c r="BO67" s="76">
        <f>股权价值增加表!BO5</f>
        <v>1165969607.3599999</v>
      </c>
      <c r="BP67" s="76">
        <f>股权价值增加表!BP5</f>
        <v>492769316.82999998</v>
      </c>
      <c r="BQ67" s="76">
        <f>股权价值增加表!BQ5</f>
        <v>1471398340.8599999</v>
      </c>
      <c r="BR67" s="76">
        <f>股权价值增加表!BR5</f>
        <v>826221293.63</v>
      </c>
      <c r="BS67" s="76">
        <f>股权价值增加表!BS5</f>
        <v>2007361302.1700001</v>
      </c>
      <c r="BT67" s="76">
        <f>股权价值增加表!BT5</f>
        <v>1066828910.61</v>
      </c>
      <c r="BU67" s="76">
        <f>股权价值增加表!BU5</f>
        <v>1889920384.8299999</v>
      </c>
      <c r="BV67" s="76">
        <f>股权价值增加表!BV5</f>
        <v>1012360881.78</v>
      </c>
      <c r="BW67" s="76">
        <f>股权价值增加表!BW5</f>
        <v>1573171315</v>
      </c>
      <c r="BX67" s="76">
        <f>股权价值增加表!BX5</f>
        <v>695172733.25999999</v>
      </c>
      <c r="BY67" s="76">
        <f>股权价值增加表!BY5</f>
        <v>1291744319.78</v>
      </c>
      <c r="BZ67" s="76">
        <f>股权价值增加表!BZ5</f>
        <v>0</v>
      </c>
      <c r="CA67" s="76">
        <f>股权价值增加表!CA5</f>
        <v>945200780.38999999</v>
      </c>
      <c r="CB67" s="76">
        <f>股权价值增加表!CB5</f>
        <v>0</v>
      </c>
      <c r="CC67" s="76">
        <f>股权价值增加表!CC5</f>
        <v>689326756.65999997</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477</v>
      </c>
      <c r="E68" s="76">
        <f>资产资本表!E26</f>
        <v>1980766196.1400001</v>
      </c>
      <c r="F68" s="76">
        <f>资产资本表!F26</f>
        <v>1414074811.5</v>
      </c>
      <c r="G68" s="76">
        <f>资产资本表!G26</f>
        <v>1084450981.78</v>
      </c>
      <c r="H68" s="76">
        <f>资产资本表!H26</f>
        <v>1252235093.98</v>
      </c>
      <c r="I68" s="76">
        <f>资产资本表!I26</f>
        <v>1724837944.6900001</v>
      </c>
      <c r="J68" s="76">
        <f>资产资本表!J26</f>
        <v>811050787.54999995</v>
      </c>
      <c r="K68" s="76">
        <f>资产资本表!K26</f>
        <v>596940535.67999995</v>
      </c>
      <c r="L68" s="76">
        <f>资产资本表!L26</f>
        <v>537014206.48000002</v>
      </c>
      <c r="M68" s="76">
        <f>资产资本表!M26</f>
        <v>745412967.51999998</v>
      </c>
      <c r="N68" s="76">
        <f>资产资本表!N26</f>
        <v>605989653.98000002</v>
      </c>
      <c r="O68" s="76">
        <f>资产资本表!O26</f>
        <v>458234419.10000002</v>
      </c>
      <c r="P68" s="76">
        <f>资产资本表!P26</f>
        <v>460044879.93000001</v>
      </c>
      <c r="Q68" s="76">
        <f>资产资本表!Q26</f>
        <v>605616993.25</v>
      </c>
      <c r="R68" s="76">
        <f>资产资本表!R26</f>
        <v>634779029.10000002</v>
      </c>
      <c r="S68" s="76">
        <f>资产资本表!S26</f>
        <v>581264111.17999995</v>
      </c>
      <c r="T68" s="76">
        <f>资产资本表!T26</f>
        <v>474524361.27999997</v>
      </c>
      <c r="U68" s="76">
        <f>资产资本表!U26</f>
        <v>798141838.58000004</v>
      </c>
      <c r="V68" s="76">
        <f>资产资本表!V26</f>
        <v>817683242.51999998</v>
      </c>
      <c r="W68" s="76">
        <f>资产资本表!W26</f>
        <v>656106685.70000005</v>
      </c>
      <c r="X68" s="76">
        <f>资产资本表!X26</f>
        <v>691855231.17999995</v>
      </c>
      <c r="Y68" s="76">
        <f>资产资本表!Y26</f>
        <v>952747860.67999995</v>
      </c>
      <c r="Z68" s="76">
        <f>资产资本表!Z26</f>
        <v>1135129579.6300001</v>
      </c>
      <c r="AA68" s="76">
        <f>资产资本表!AA26</f>
        <v>622818920.09000003</v>
      </c>
      <c r="AB68" s="76">
        <f>资产资本表!AB26</f>
        <v>618388769.88</v>
      </c>
      <c r="AC68" s="76">
        <f>资产资本表!AC26</f>
        <v>809400728.98000002</v>
      </c>
      <c r="AD68" s="76">
        <f>资产资本表!AD26</f>
        <v>782433623.40999997</v>
      </c>
      <c r="AE68" s="76">
        <f>资产资本表!AE26</f>
        <v>923715591.12</v>
      </c>
      <c r="AF68" s="76">
        <f>资产资本表!AF26</f>
        <v>635831510.03999996</v>
      </c>
      <c r="AG68" s="76">
        <f>资产资本表!AG26</f>
        <v>1050674093.84</v>
      </c>
      <c r="AH68" s="76">
        <f>资产资本表!AH26</f>
        <v>379555364.14999998</v>
      </c>
      <c r="AI68" s="76">
        <f>资产资本表!AI26</f>
        <v>338413144.22000003</v>
      </c>
      <c r="AJ68" s="76">
        <f>资产资本表!AJ26</f>
        <v>505083307.63</v>
      </c>
      <c r="AK68" s="76">
        <f>资产资本表!AK26</f>
        <v>440416228.67000002</v>
      </c>
      <c r="AL68" s="76">
        <f>资产资本表!AL26</f>
        <v>401943634.85000002</v>
      </c>
      <c r="AM68" s="76">
        <f>资产资本表!AM26</f>
        <v>384052952.50999999</v>
      </c>
      <c r="AN68" s="76">
        <f>资产资本表!AN26</f>
        <v>413334213.12</v>
      </c>
      <c r="AO68" s="76">
        <f>资产资本表!AO26</f>
        <v>694973687.17999995</v>
      </c>
      <c r="AP68" s="76">
        <f>资产资本表!AP26</f>
        <v>847015304.73000002</v>
      </c>
      <c r="AQ68" s="76">
        <f>资产资本表!AQ26</f>
        <v>767322582.78999996</v>
      </c>
      <c r="AR68" s="76">
        <f>资产资本表!AR26</f>
        <v>746684763.62</v>
      </c>
      <c r="AS68" s="76">
        <f>资产资本表!AS26</f>
        <v>650399632.38</v>
      </c>
      <c r="AT68" s="76">
        <f>资产资本表!AT26</f>
        <v>813284944.40999997</v>
      </c>
      <c r="AU68" s="76">
        <f>资产资本表!AU26</f>
        <v>854538072.97000003</v>
      </c>
      <c r="AV68" s="76">
        <f>资产资本表!AV26</f>
        <v>841837719.57000005</v>
      </c>
      <c r="AW68" s="76">
        <f>资产资本表!AW26</f>
        <v>777189758.47000003</v>
      </c>
      <c r="AX68" s="76">
        <f>资产资本表!AX26</f>
        <v>792817759.00999999</v>
      </c>
      <c r="AY68" s="76">
        <f>资产资本表!AY26</f>
        <v>662018028.32000005</v>
      </c>
      <c r="AZ68" s="76">
        <f>资产资本表!AZ26</f>
        <v>671795603.36000001</v>
      </c>
      <c r="BA68" s="76">
        <f>资产资本表!BA26</f>
        <v>629567542.96000004</v>
      </c>
      <c r="BB68" s="76">
        <f>资产资本表!BB26</f>
        <v>598093979.75999999</v>
      </c>
      <c r="BC68" s="76">
        <f>资产资本表!BC26</f>
        <v>552355168.33000004</v>
      </c>
      <c r="BD68" s="76">
        <f>资产资本表!BD26</f>
        <v>545325406.54999995</v>
      </c>
      <c r="BE68" s="76">
        <f>资产资本表!BE26</f>
        <v>506961970.12</v>
      </c>
      <c r="BF68" s="76">
        <f>资产资本表!BF26</f>
        <v>421842123.20999998</v>
      </c>
      <c r="BG68" s="76">
        <f>资产资本表!BG26</f>
        <v>433474382.02999997</v>
      </c>
      <c r="BH68" s="76">
        <f>资产资本表!BH26</f>
        <v>436632080.23000002</v>
      </c>
      <c r="BI68" s="76">
        <f>资产资本表!BI26</f>
        <v>407204772.81999999</v>
      </c>
      <c r="BJ68" s="76">
        <f>资产资本表!BJ26</f>
        <v>541724738.20000005</v>
      </c>
      <c r="BK68" s="76">
        <f>资产资本表!BK26</f>
        <v>566285987.36000001</v>
      </c>
      <c r="BL68" s="76">
        <f>资产资本表!BL26</f>
        <v>0</v>
      </c>
      <c r="BM68" s="76">
        <f>资产资本表!BM26</f>
        <v>648427814.48000002</v>
      </c>
      <c r="BN68" s="76">
        <f>资产资本表!BN26</f>
        <v>577408263.87</v>
      </c>
      <c r="BO68" s="76">
        <f>资产资本表!BO26</f>
        <v>715104409.88</v>
      </c>
      <c r="BP68" s="76">
        <f>资产资本表!BP26</f>
        <v>555259368.07000005</v>
      </c>
      <c r="BQ68" s="76">
        <f>资产资本表!BQ26</f>
        <v>411997858.44999999</v>
      </c>
      <c r="BR68" s="76">
        <f>资产资本表!BR26</f>
        <v>369739946.48000002</v>
      </c>
      <c r="BS68" s="76">
        <f>资产资本表!BS26</f>
        <v>297177484.02999997</v>
      </c>
      <c r="BT68" s="76">
        <f>资产资本表!BT26</f>
        <v>224712731.83000001</v>
      </c>
      <c r="BU68" s="76">
        <f>资产资本表!BU26</f>
        <v>289787446.87</v>
      </c>
      <c r="BV68" s="76">
        <f>资产资本表!BV26</f>
        <v>270310822.16000003</v>
      </c>
      <c r="BW68" s="76">
        <f>资产资本表!BW26</f>
        <v>225790713.80000001</v>
      </c>
      <c r="BX68" s="76">
        <f>资产资本表!BX26</f>
        <v>172816605.24000001</v>
      </c>
      <c r="BY68" s="76">
        <f>资产资本表!BY26</f>
        <v>144075531.56</v>
      </c>
      <c r="BZ68" s="76">
        <f>资产资本表!BZ26</f>
        <v>0</v>
      </c>
      <c r="CA68" s="76">
        <f>资产资本表!CA26</f>
        <v>89196813.390000001</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478</v>
      </c>
      <c r="E69" s="154">
        <f>E67/(E68+I68)*2</f>
        <v>8.6263362471632341</v>
      </c>
      <c r="F69" s="154">
        <f t="shared" ref="F69:BQ69" si="32">F67/(F68+J68)*2</f>
        <v>10.684416954112701</v>
      </c>
      <c r="G69" s="154">
        <f t="shared" si="32"/>
        <v>9.3510306554368832</v>
      </c>
      <c r="H69" s="154">
        <f t="shared" si="32"/>
        <v>4.7267951623653977</v>
      </c>
      <c r="I69" s="154">
        <f t="shared" si="32"/>
        <v>9.8056543377164491</v>
      </c>
      <c r="J69" s="154">
        <f t="shared" si="32"/>
        <v>12.461843314713995</v>
      </c>
      <c r="K69" s="154">
        <f t="shared" si="32"/>
        <v>11.017304281794489</v>
      </c>
      <c r="L69" s="154">
        <f t="shared" si="32"/>
        <v>6.11256568404999</v>
      </c>
      <c r="M69" s="154">
        <f t="shared" si="32"/>
        <v>14.280054631597038</v>
      </c>
      <c r="N69" s="154">
        <f t="shared" si="32"/>
        <v>11.349431875797952</v>
      </c>
      <c r="O69" s="154">
        <f t="shared" si="32"/>
        <v>8.5763304955502218</v>
      </c>
      <c r="P69" s="154">
        <f t="shared" si="32"/>
        <v>5.0913730880757839</v>
      </c>
      <c r="Q69" s="154">
        <f t="shared" si="32"/>
        <v>11.408643760055408</v>
      </c>
      <c r="R69" s="154">
        <f t="shared" si="32"/>
        <v>7.9136191179134299</v>
      </c>
      <c r="S69" s="154">
        <f t="shared" si="32"/>
        <v>5.9081967762723782</v>
      </c>
      <c r="T69" s="154">
        <f t="shared" si="32"/>
        <v>3.1954956725357997</v>
      </c>
      <c r="U69" s="154">
        <f t="shared" si="32"/>
        <v>7.4814786364533949</v>
      </c>
      <c r="V69" s="154">
        <f t="shared" si="32"/>
        <v>4.8947165133811241</v>
      </c>
      <c r="W69" s="154">
        <f t="shared" si="32"/>
        <v>4.7005250305912716</v>
      </c>
      <c r="X69" s="154">
        <f t="shared" si="32"/>
        <v>2.7210160527624803</v>
      </c>
      <c r="Y69" s="154">
        <f t="shared" si="32"/>
        <v>6.0606859027822582</v>
      </c>
      <c r="Z69" s="154">
        <f t="shared" si="32"/>
        <v>3.7201954919507245</v>
      </c>
      <c r="AA69" s="154">
        <f t="shared" si="32"/>
        <v>3.1733925927978128</v>
      </c>
      <c r="AB69" s="154">
        <f t="shared" si="32"/>
        <v>2.092224787584664</v>
      </c>
      <c r="AC69" s="154">
        <f t="shared" si="32"/>
        <v>9.841683187876523</v>
      </c>
      <c r="AD69" s="154">
        <f t="shared" si="32"/>
        <v>13.465277943894527</v>
      </c>
      <c r="AE69" s="154">
        <f t="shared" si="32"/>
        <v>8.8925950010769039</v>
      </c>
      <c r="AF69" s="154">
        <f t="shared" si="32"/>
        <v>5.6254079280758225</v>
      </c>
      <c r="AG69" s="154">
        <f t="shared" si="32"/>
        <v>12.66905008581954</v>
      </c>
      <c r="AH69" s="154">
        <f t="shared" si="32"/>
        <v>12.079629907395441</v>
      </c>
      <c r="AI69" s="154">
        <f t="shared" si="32"/>
        <v>8.480727068234728</v>
      </c>
      <c r="AJ69" s="154">
        <f t="shared" si="32"/>
        <v>3.0282010745710175</v>
      </c>
      <c r="AK69" s="154">
        <f t="shared" si="32"/>
        <v>5.9054655813816659</v>
      </c>
      <c r="AL69" s="154">
        <f t="shared" si="32"/>
        <v>3.6040976617163425</v>
      </c>
      <c r="AM69" s="154">
        <f t="shared" si="32"/>
        <v>2.5995838287984165</v>
      </c>
      <c r="AN69" s="154">
        <f t="shared" si="32"/>
        <v>1.3592214005421375</v>
      </c>
      <c r="AO69" s="154">
        <f t="shared" si="32"/>
        <v>5.196178359257428</v>
      </c>
      <c r="AP69" s="154">
        <f t="shared" si="32"/>
        <v>3.3600758834491931</v>
      </c>
      <c r="AQ69" s="154">
        <f t="shared" si="32"/>
        <v>2.3895969746450914</v>
      </c>
      <c r="AR69" s="154">
        <f t="shared" si="32"/>
        <v>1.1087098484644771</v>
      </c>
      <c r="AS69" s="154">
        <f t="shared" si="32"/>
        <v>5.6105856831501129</v>
      </c>
      <c r="AT69" s="154">
        <f t="shared" si="32"/>
        <v>4.1273581685308383</v>
      </c>
      <c r="AU69" s="154">
        <f t="shared" si="32"/>
        <v>3.0444627394876083</v>
      </c>
      <c r="AV69" s="154">
        <f t="shared" si="32"/>
        <v>1.5293169964302193</v>
      </c>
      <c r="AW69" s="154">
        <f t="shared" si="32"/>
        <v>4.7647529374302184</v>
      </c>
      <c r="AX69" s="154">
        <f t="shared" si="32"/>
        <v>3.7055968702211715</v>
      </c>
      <c r="AY69" s="154">
        <f t="shared" si="32"/>
        <v>2.8568309665351501</v>
      </c>
      <c r="AZ69" s="154">
        <f t="shared" si="32"/>
        <v>1.2457780252861794</v>
      </c>
      <c r="BA69" s="154">
        <f t="shared" si="32"/>
        <v>4.5931272329155526</v>
      </c>
      <c r="BB69" s="154">
        <f t="shared" si="32"/>
        <v>3.4444804230871848</v>
      </c>
      <c r="BC69" s="154">
        <f t="shared" si="32"/>
        <v>2.2544454757198134</v>
      </c>
      <c r="BD69" s="154">
        <f t="shared" si="32"/>
        <v>1.1381113418715494</v>
      </c>
      <c r="BE69" s="154">
        <f t="shared" si="32"/>
        <v>4.2899091915635283</v>
      </c>
      <c r="BF69" s="154">
        <f t="shared" si="32"/>
        <v>2.6798213885453177</v>
      </c>
      <c r="BG69" s="154">
        <f t="shared" si="32"/>
        <v>1.7361729320587749</v>
      </c>
      <c r="BH69" s="154">
        <f t="shared" si="32"/>
        <v>2.1473412027492609</v>
      </c>
      <c r="BI69" s="154">
        <f t="shared" si="32"/>
        <v>4.4858436659593632</v>
      </c>
      <c r="BJ69" s="154">
        <f t="shared" si="32"/>
        <v>2.9518189931757299</v>
      </c>
      <c r="BK69" s="154">
        <f t="shared" si="32"/>
        <v>1.8084781241465517</v>
      </c>
      <c r="BL69" s="154">
        <f t="shared" si="32"/>
        <v>2.4620013368737252</v>
      </c>
      <c r="BM69" s="154">
        <f t="shared" si="32"/>
        <v>4.4158456580191725</v>
      </c>
      <c r="BN69" s="154">
        <f t="shared" si="32"/>
        <v>3.9627845046057</v>
      </c>
      <c r="BO69" s="154">
        <f t="shared" si="32"/>
        <v>2.3036460779840127</v>
      </c>
      <c r="BP69" s="154">
        <f t="shared" si="32"/>
        <v>1.2635562653925128</v>
      </c>
      <c r="BQ69" s="154">
        <f t="shared" si="32"/>
        <v>4.1933005142906827</v>
      </c>
      <c r="BR69" s="154">
        <f t="shared" ref="BR69:CJ69" si="33">BR67/(BR68+BV68)*2</f>
        <v>2.5817367437448153</v>
      </c>
      <c r="BS69" s="154">
        <f t="shared" si="33"/>
        <v>7.6768006563279716</v>
      </c>
      <c r="BT69" s="154">
        <f t="shared" si="33"/>
        <v>5.3672965043188476</v>
      </c>
      <c r="BU69" s="154">
        <f t="shared" si="33"/>
        <v>8.7120610828283525</v>
      </c>
      <c r="BV69" s="154">
        <f t="shared" si="33"/>
        <v>7.4903466586385665</v>
      </c>
      <c r="BW69" s="154">
        <f t="shared" si="33"/>
        <v>9.9887848197307534</v>
      </c>
      <c r="BX69" s="154">
        <f t="shared" si="33"/>
        <v>8.0452076036857108</v>
      </c>
      <c r="BY69" s="154">
        <f t="shared" si="33"/>
        <v>17.931487821609117</v>
      </c>
      <c r="BZ69" s="154" t="e">
        <f t="shared" si="33"/>
        <v>#DIV/0!</v>
      </c>
      <c r="CA69" s="154">
        <f t="shared" si="33"/>
        <v>21.193599736736065</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479</v>
      </c>
      <c r="E70" s="83">
        <f>E62/E69</f>
        <v>42.312285255519697</v>
      </c>
      <c r="F70" s="83">
        <f t="shared" ref="F70:BQ70" si="34">F62/F69</f>
        <v>34.161901540121228</v>
      </c>
      <c r="G70" s="83">
        <f t="shared" si="34"/>
        <v>39.033130512493983</v>
      </c>
      <c r="H70" s="83">
        <f t="shared" si="34"/>
        <v>77.219339417565436</v>
      </c>
      <c r="I70" s="83">
        <f t="shared" si="34"/>
        <v>37.22342104147652</v>
      </c>
      <c r="J70" s="83">
        <f t="shared" si="34"/>
        <v>29.28940693460941</v>
      </c>
      <c r="K70" s="83">
        <f t="shared" si="34"/>
        <v>33.129701301174293</v>
      </c>
      <c r="L70" s="83">
        <f t="shared" si="34"/>
        <v>59.713059763500603</v>
      </c>
      <c r="M70" s="83">
        <f t="shared" si="34"/>
        <v>25.560126303184845</v>
      </c>
      <c r="N70" s="83">
        <f t="shared" si="34"/>
        <v>32.160200087049532</v>
      </c>
      <c r="O70" s="83">
        <f t="shared" si="34"/>
        <v>42.558994221290575</v>
      </c>
      <c r="P70" s="83">
        <f t="shared" si="34"/>
        <v>71.689894589505883</v>
      </c>
      <c r="Q70" s="83">
        <f t="shared" si="34"/>
        <v>31.993285764427032</v>
      </c>
      <c r="R70" s="83">
        <f t="shared" si="34"/>
        <v>46.123018376481951</v>
      </c>
      <c r="S70" s="83">
        <f t="shared" si="34"/>
        <v>61.778578781576599</v>
      </c>
      <c r="T70" s="83">
        <f t="shared" si="34"/>
        <v>114.22328095670761</v>
      </c>
      <c r="U70" s="83">
        <f t="shared" si="34"/>
        <v>48.787147265454031</v>
      </c>
      <c r="V70" s="83">
        <f t="shared" si="34"/>
        <v>74.570202176605505</v>
      </c>
      <c r="W70" s="83">
        <f t="shared" si="34"/>
        <v>77.650900191906274</v>
      </c>
      <c r="X70" s="83">
        <f t="shared" si="34"/>
        <v>134.14106823421272</v>
      </c>
      <c r="Y70" s="83">
        <f t="shared" si="34"/>
        <v>60.224206608766956</v>
      </c>
      <c r="Z70" s="83">
        <f t="shared" si="34"/>
        <v>98.113123568301603</v>
      </c>
      <c r="AA70" s="83">
        <f t="shared" si="34"/>
        <v>115.01886051804223</v>
      </c>
      <c r="AB70" s="83">
        <f t="shared" si="34"/>
        <v>174.45544196107556</v>
      </c>
      <c r="AC70" s="83">
        <f t="shared" si="34"/>
        <v>37.087151967015686</v>
      </c>
      <c r="AD70" s="83">
        <f t="shared" si="34"/>
        <v>27.106755725417429</v>
      </c>
      <c r="AE70" s="83">
        <f t="shared" si="34"/>
        <v>41.045386634137515</v>
      </c>
      <c r="AF70" s="83">
        <f t="shared" si="34"/>
        <v>64.884183452425418</v>
      </c>
      <c r="AG70" s="83">
        <f t="shared" si="34"/>
        <v>28.810368380226411</v>
      </c>
      <c r="AH70" s="83">
        <f t="shared" si="34"/>
        <v>30.216157514605491</v>
      </c>
      <c r="AI70" s="83">
        <f t="shared" si="34"/>
        <v>43.038762722023918</v>
      </c>
      <c r="AJ70" s="83">
        <f t="shared" si="34"/>
        <v>120.53360758142746</v>
      </c>
      <c r="AK70" s="83">
        <f t="shared" si="34"/>
        <v>61.807150506599541</v>
      </c>
      <c r="AL70" s="83">
        <f t="shared" si="34"/>
        <v>101.27361527328307</v>
      </c>
      <c r="AM70" s="83">
        <f t="shared" si="34"/>
        <v>140.40708976433001</v>
      </c>
      <c r="AN70" s="83">
        <f t="shared" si="34"/>
        <v>268.53608974550912</v>
      </c>
      <c r="AO70" s="83">
        <f t="shared" si="34"/>
        <v>70.243932129412357</v>
      </c>
      <c r="AP70" s="83">
        <f t="shared" si="34"/>
        <v>108.62849907583615</v>
      </c>
      <c r="AQ70" s="83">
        <f t="shared" si="34"/>
        <v>152.74542271054335</v>
      </c>
      <c r="AR70" s="83">
        <f t="shared" si="34"/>
        <v>329.2114708870962</v>
      </c>
      <c r="AS70" s="83">
        <f t="shared" si="34"/>
        <v>65.055596797350319</v>
      </c>
      <c r="AT70" s="83">
        <f t="shared" si="34"/>
        <v>88.434292614329678</v>
      </c>
      <c r="AU70" s="83">
        <f t="shared" si="34"/>
        <v>119.88979049269972</v>
      </c>
      <c r="AV70" s="83">
        <f t="shared" si="34"/>
        <v>238.66863498672589</v>
      </c>
      <c r="AW70" s="83">
        <f t="shared" si="34"/>
        <v>76.604181747323921</v>
      </c>
      <c r="AX70" s="83">
        <f t="shared" si="34"/>
        <v>98.49965141464908</v>
      </c>
      <c r="AY70" s="83">
        <f t="shared" si="34"/>
        <v>127.76394693126801</v>
      </c>
      <c r="AZ70" s="83">
        <f t="shared" si="34"/>
        <v>292.98959573167332</v>
      </c>
      <c r="BA70" s="83">
        <f t="shared" si="34"/>
        <v>79.466555462325189</v>
      </c>
      <c r="BB70" s="83">
        <f t="shared" si="34"/>
        <v>105.96663507027903</v>
      </c>
      <c r="BC70" s="83">
        <f t="shared" si="34"/>
        <v>161.90234092197795</v>
      </c>
      <c r="BD70" s="83">
        <f t="shared" si="34"/>
        <v>320.70675914694027</v>
      </c>
      <c r="BE70" s="83">
        <f t="shared" si="34"/>
        <v>85.083386081412527</v>
      </c>
      <c r="BF70" s="83">
        <f t="shared" si="34"/>
        <v>136.2031072519099</v>
      </c>
      <c r="BG70" s="83">
        <f t="shared" si="34"/>
        <v>210.23251385861579</v>
      </c>
      <c r="BH70" s="83">
        <f t="shared" si="34"/>
        <v>169.97764469507086</v>
      </c>
      <c r="BI70" s="83">
        <f t="shared" si="34"/>
        <v>81.367079902892556</v>
      </c>
      <c r="BJ70" s="83">
        <f t="shared" si="34"/>
        <v>123.65256841420104</v>
      </c>
      <c r="BK70" s="83">
        <f t="shared" si="34"/>
        <v>201.82715794378163</v>
      </c>
      <c r="BL70" s="83">
        <f t="shared" si="34"/>
        <v>148.25337197561427</v>
      </c>
      <c r="BM70" s="83">
        <f t="shared" si="34"/>
        <v>82.656874417057637</v>
      </c>
      <c r="BN70" s="83">
        <f t="shared" si="34"/>
        <v>92.106951456932123</v>
      </c>
      <c r="BO70" s="83">
        <f t="shared" si="34"/>
        <v>158.44447785982041</v>
      </c>
      <c r="BP70" s="83">
        <f t="shared" si="34"/>
        <v>288.86723131922895</v>
      </c>
      <c r="BQ70" s="83">
        <f t="shared" si="34"/>
        <v>87.043606523331064</v>
      </c>
      <c r="BR70" s="83">
        <f t="shared" ref="BR70:CJ70" si="35">BR62/BR69</f>
        <v>141.37769890146376</v>
      </c>
      <c r="BS70" s="83">
        <f t="shared" si="35"/>
        <v>47.545848373584015</v>
      </c>
      <c r="BT70" s="83">
        <f t="shared" si="35"/>
        <v>68.004441287396588</v>
      </c>
      <c r="BU70" s="83">
        <f t="shared" si="35"/>
        <v>41.895941331199154</v>
      </c>
      <c r="BV70" s="83">
        <f t="shared" si="35"/>
        <v>48.72938685408478</v>
      </c>
      <c r="BW70" s="83">
        <f t="shared" si="35"/>
        <v>36.54098136932722</v>
      </c>
      <c r="BX70" s="83">
        <f t="shared" si="35"/>
        <v>45.368624152443793</v>
      </c>
      <c r="BY70" s="83">
        <f t="shared" si="35"/>
        <v>20.355254601915458</v>
      </c>
      <c r="BZ70" s="83" t="e">
        <f t="shared" si="35"/>
        <v>#DIV/0!</v>
      </c>
      <c r="CA70" s="83">
        <f t="shared" si="35"/>
        <v>17.222180494771017</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480</v>
      </c>
      <c r="E71" s="76">
        <f>资产资本表!E35+资产资本表!E36-资产资本表!E24</f>
        <v>6548483508.1300001</v>
      </c>
      <c r="F71" s="76">
        <f>资产资本表!F35+资产资本表!F36-资产资本表!F24</f>
        <v>6165612144.289999</v>
      </c>
      <c r="G71" s="76">
        <f>资产资本表!G35+资产资本表!G36-资产资本表!G24</f>
        <v>6340141473.8400002</v>
      </c>
      <c r="H71" s="76">
        <f>资产资本表!H35+资产资本表!H36-资产资本表!H24</f>
        <v>5962948495.3900003</v>
      </c>
      <c r="I71" s="76">
        <f>资产资本表!I35+资产资本表!I36-资产资本表!I24</f>
        <v>5824125695.3499994</v>
      </c>
      <c r="J71" s="76">
        <f>资产资本表!J35+资产资本表!J36-资产资本表!J24</f>
        <v>5649120035.8900003</v>
      </c>
      <c r="K71" s="76">
        <f>资产资本表!K35+资产资本表!K36-资产资本表!K24</f>
        <v>5435957932.9499998</v>
      </c>
      <c r="L71" s="76">
        <f>资产资本表!L35+资产资本表!L36-资产资本表!L24</f>
        <v>4885448523.3099995</v>
      </c>
      <c r="M71" s="76">
        <f>资产资本表!M35+资产资本表!M36-资产资本表!M24</f>
        <v>4275244037.8400002</v>
      </c>
      <c r="N71" s="76">
        <f>资产资本表!N35+资产资本表!N36-资产资本表!N24</f>
        <v>3840206493.4499998</v>
      </c>
      <c r="O71" s="76">
        <f>资产资本表!O35+资产资本表!O36-资产资本表!O24</f>
        <v>4676958918.7799997</v>
      </c>
      <c r="P71" s="76">
        <f>资产资本表!P35+资产资本表!P36-资产资本表!P24</f>
        <v>4882027410.9200001</v>
      </c>
      <c r="Q71" s="76">
        <f>资产资本表!Q35+资产资本表!Q36-资产资本表!Q24</f>
        <v>4644951418.4000006</v>
      </c>
      <c r="R71" s="76">
        <f>资产资本表!R35+资产资本表!R36-资产资本表!R24</f>
        <v>4322200323.29</v>
      </c>
      <c r="S71" s="76">
        <f>资产资本表!S35+资产资本表!S36-资产资本表!S24</f>
        <v>3862443926.29</v>
      </c>
      <c r="T71" s="76">
        <f>资产资本表!T35+资产资本表!T36-资产资本表!T24</f>
        <v>3334990703.2800002</v>
      </c>
      <c r="U71" s="76">
        <f>资产资本表!U35+资产资本表!U36-资产资本表!U24</f>
        <v>3012877281.7400002</v>
      </c>
      <c r="V71" s="76">
        <f>资产资本表!V35+资产资本表!V36-资产资本表!V24</f>
        <v>2833638302.5100002</v>
      </c>
      <c r="W71" s="76">
        <f>资产资本表!W35+资产资本表!W36-资产资本表!W24</f>
        <v>2737166273.6200004</v>
      </c>
      <c r="X71" s="76">
        <f>资产资本表!X35+资产资本表!X36-资产资本表!X24</f>
        <v>3168138371.7600002</v>
      </c>
      <c r="Y71" s="76">
        <f>资产资本表!Y35+资产资本表!Y36-资产资本表!Y24</f>
        <v>3035881843.04</v>
      </c>
      <c r="Z71" s="76">
        <f>资产资本表!Z35+资产资本表!Z36-资产资本表!Z24</f>
        <v>3271831484.5299997</v>
      </c>
      <c r="AA71" s="76">
        <f>资产资本表!AA35+资产资本表!AA36-资产资本表!AA24</f>
        <v>2939104404.5300002</v>
      </c>
      <c r="AB71" s="76">
        <f>资产资本表!AB35+资产资本表!AB36-资产资本表!AB24</f>
        <v>2541304556.2599998</v>
      </c>
      <c r="AC71" s="76">
        <f>资产资本表!AC35+资产资本表!AC36-资产资本表!AC24</f>
        <v>4104755674.5699997</v>
      </c>
      <c r="AD71" s="76">
        <f>资产资本表!AD35+资产资本表!AD36-资产资本表!AD24</f>
        <v>5862237774.5100002</v>
      </c>
      <c r="AE71" s="76">
        <f>资产资本表!AE35+资产资本表!AE36-资产资本表!AE24</f>
        <v>5602602866.6400003</v>
      </c>
      <c r="AF71" s="76">
        <f>资产资本表!AF35+资产资本表!AF36-资产资本表!AF24</f>
        <v>4128337793.8699999</v>
      </c>
      <c r="AG71" s="76">
        <f>资产资本表!AG35+资产资本表!AG36-资产资本表!AG24</f>
        <v>3419827695.9300003</v>
      </c>
      <c r="AH71" s="76">
        <f>资产资本表!AH35+资产资本表!AH36-资产资本表!AH24</f>
        <v>3640900176.0799999</v>
      </c>
      <c r="AI71" s="76">
        <f>资产资本表!AI35+资产资本表!AI36-资产资本表!AI24</f>
        <v>2912824761.8900003</v>
      </c>
      <c r="AJ71" s="76">
        <f>资产资本表!AJ35+资产资本表!AJ36-资产资本表!AJ24</f>
        <v>1686619653.99</v>
      </c>
      <c r="AK71" s="76">
        <f>资产资本表!AK35+资产资本表!AK36-资产资本表!AK24</f>
        <v>1500199828.6200001</v>
      </c>
      <c r="AL71" s="76">
        <f>资产资本表!AL35+资产资本表!AL36-资产资本表!AL24</f>
        <v>1143146026.1099999</v>
      </c>
      <c r="AM71" s="76">
        <f>资产资本表!AM35+资产资本表!AM36-资产资本表!AM24</f>
        <v>890936739.21000004</v>
      </c>
      <c r="AN71" s="76">
        <f>资产资本表!AN35+资产资本表!AN36-资产资本表!AN24</f>
        <v>946832431.55999994</v>
      </c>
      <c r="AO71" s="76">
        <f>资产资本表!AO35+资产资本表!AO36-资产资本表!AO24</f>
        <v>998603851.31000006</v>
      </c>
      <c r="AP71" s="76">
        <f>资产资本表!AP35+资产资本表!AP36-资产资本表!AP24</f>
        <v>1075490801.1499999</v>
      </c>
      <c r="AQ71" s="76">
        <f>资产资本表!AQ35+资产资本表!AQ36-资产资本表!AQ24</f>
        <v>1242738009.27</v>
      </c>
      <c r="AR71" s="76">
        <f>资产资本表!AR35+资产资本表!AR36-资产资本表!AR24</f>
        <v>1326190753.3900001</v>
      </c>
      <c r="AS71" s="76">
        <f>资产资本表!AS35+资产资本表!AS36-资产资本表!AS24</f>
        <v>1472797510.98</v>
      </c>
      <c r="AT71" s="76">
        <f>资产资本表!AT35+资产资本表!AT36-资产资本表!AT24</f>
        <v>1552112152.9400001</v>
      </c>
      <c r="AU71" s="76">
        <f>资产资本表!AU35+资产资本表!AU36-资产资本表!AU24</f>
        <v>1441452774.7300003</v>
      </c>
      <c r="AV71" s="76">
        <f>资产资本表!AV35+资产资本表!AV36-资产资本表!AV24</f>
        <v>1461425052.03</v>
      </c>
      <c r="AW71" s="76">
        <f>资产资本表!AW35+资产资本表!AW36-资产资本表!AW24</f>
        <v>1209268216.5699999</v>
      </c>
      <c r="AX71" s="76">
        <f>资产资本表!AX35+资产资本表!AX36-资产资本表!AX24</f>
        <v>1113657779.4100001</v>
      </c>
      <c r="AY71" s="76">
        <f>资产资本表!AY35+资产资本表!AY36-资产资本表!AY24</f>
        <v>962489973.98000002</v>
      </c>
      <c r="AZ71" s="76">
        <f>资产资本表!AZ35+资产资本表!AZ36-资产资本表!AZ24</f>
        <v>924727711.6400001</v>
      </c>
      <c r="BA71" s="76">
        <f>资产资本表!BA35+资产资本表!BA36-资产资本表!BA24</f>
        <v>955939534.01000023</v>
      </c>
      <c r="BB71" s="76">
        <f>资产资本表!BB35+资产资本表!BB36-资产资本表!BB24</f>
        <v>553707048.53999996</v>
      </c>
      <c r="BC71" s="76">
        <f>资产资本表!BC35+资产资本表!BC36-资产资本表!BC24</f>
        <v>484075548.73000008</v>
      </c>
      <c r="BD71" s="76">
        <f>资产资本表!BD35+资产资本表!BD36-资产资本表!BD24</f>
        <v>736178989.08999991</v>
      </c>
      <c r="BE71" s="76">
        <f>资产资本表!BE35+资产资本表!BE36-资产资本表!BE24</f>
        <v>810026579.79999995</v>
      </c>
      <c r="BF71" s="76">
        <f>资产资本表!BF35+资产资本表!BF36-资产资本表!BF24</f>
        <v>567925910.96000004</v>
      </c>
      <c r="BG71" s="76">
        <f>资产资本表!BG35+资产资本表!BG36-资产资本表!BG24</f>
        <v>815351504.82000005</v>
      </c>
      <c r="BH71" s="76">
        <f>资产资本表!BH35+资产资本表!BH36-资产资本表!BH24</f>
        <v>743052741.11000001</v>
      </c>
      <c r="BI71" s="76">
        <f>资产资本表!BI35+资产资本表!BI36-资产资本表!BI24</f>
        <v>734779339.24000001</v>
      </c>
      <c r="BJ71" s="76">
        <f>资产资本表!BJ35+资产资本表!BJ36-资产资本表!BJ24</f>
        <v>814103555.70999992</v>
      </c>
      <c r="BK71" s="76">
        <f>资产资本表!BK35+资产资本表!BK36-资产资本表!BK24</f>
        <v>727395796.52999997</v>
      </c>
      <c r="BL71" s="76">
        <f>资产资本表!BL35+资产资本表!BL36-资产资本表!BL24</f>
        <v>0</v>
      </c>
      <c r="BM71" s="76">
        <f>资产资本表!BM35+资产资本表!BM36-资产资本表!BM24</f>
        <v>712532316.00999999</v>
      </c>
      <c r="BN71" s="76">
        <f>资产资本表!BN35+资产资本表!BN36-资产资本表!BN24</f>
        <v>514112564.30000007</v>
      </c>
      <c r="BO71" s="76">
        <f>资产资本表!BO35+资产资本表!BO36-资产资本表!BO24</f>
        <v>611497235.88</v>
      </c>
      <c r="BP71" s="76">
        <f>资产资本表!BP35+资产资本表!BP36-资产资本表!BP24</f>
        <v>387265297.11000001</v>
      </c>
      <c r="BQ71" s="76">
        <f>资产资本表!BQ35+资产资本表!BQ36-资产资本表!BQ24</f>
        <v>262013410.30000001</v>
      </c>
      <c r="BR71" s="76">
        <f>资产资本表!BR35+资产资本表!BR36-资产资本表!BR24</f>
        <v>226730989.82999998</v>
      </c>
      <c r="BS71" s="76">
        <f>资产资本表!BS35+资产资本表!BS36-资产资本表!BS24</f>
        <v>238457128.90000001</v>
      </c>
      <c r="BT71" s="76">
        <f>资产资本表!BT35+资产资本表!BT36-资产资本表!BT24</f>
        <v>189754071.75999999</v>
      </c>
      <c r="BU71" s="76">
        <f>资产资本表!BU35+资产资本表!BU36-资产资本表!BU24</f>
        <v>264590615.92000002</v>
      </c>
      <c r="BV71" s="76">
        <f>资产资本表!BV35+资产资本表!BV36-资产资本表!BV24</f>
        <v>186725160.82999998</v>
      </c>
      <c r="BW71" s="76">
        <f>资产资本表!BW35+资产资本表!BW36-资产资本表!BW24</f>
        <v>243733351.38999999</v>
      </c>
      <c r="BX71" s="76">
        <f>资产资本表!BX35+资产资本表!BX36-资产资本表!BX24</f>
        <v>238437749.02999997</v>
      </c>
      <c r="BY71" s="76">
        <f>资产资本表!BY35+资产资本表!BY36-资产资本表!BY24</f>
        <v>179862307.20999998</v>
      </c>
      <c r="BZ71" s="76">
        <f>资产资本表!BZ35+资产资本表!BZ36-资产资本表!BZ24</f>
        <v>0</v>
      </c>
      <c r="CA71" s="76">
        <f>资产资本表!CA35+资产资本表!CA36-资产资本表!CA24</f>
        <v>51643412.900000006</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481</v>
      </c>
      <c r="E72" s="154">
        <f>E67/(E71+I71)*2</f>
        <v>2.583593063675615</v>
      </c>
      <c r="F72" s="154">
        <f t="shared" ref="F72:BQ72" si="36">F67/(F71+J71)*2</f>
        <v>2.01224787095917</v>
      </c>
      <c r="G72" s="154">
        <f t="shared" si="36"/>
        <v>1.3351401920481749</v>
      </c>
      <c r="H72" s="154">
        <f t="shared" si="36"/>
        <v>0.77960042604464708</v>
      </c>
      <c r="I72" s="154">
        <f t="shared" si="36"/>
        <v>2.3984097238223478</v>
      </c>
      <c r="J72" s="154">
        <f t="shared" si="36"/>
        <v>1.8609261572315408</v>
      </c>
      <c r="K72" s="154">
        <f t="shared" si="36"/>
        <v>1.1495381320525047</v>
      </c>
      <c r="L72" s="154">
        <f t="shared" si="36"/>
        <v>0.6239676655052292</v>
      </c>
      <c r="M72" s="154">
        <f t="shared" si="36"/>
        <v>2.1628205058246786</v>
      </c>
      <c r="N72" s="154">
        <f t="shared" si="36"/>
        <v>1.7252288397779525</v>
      </c>
      <c r="O72" s="154">
        <f t="shared" si="36"/>
        <v>1.0439937202947263</v>
      </c>
      <c r="P72" s="154">
        <f t="shared" si="36"/>
        <v>0.57907146090102746</v>
      </c>
      <c r="Q72" s="154">
        <f t="shared" si="36"/>
        <v>2.091321843891234</v>
      </c>
      <c r="R72" s="154">
        <f t="shared" si="36"/>
        <v>1.606273394609284</v>
      </c>
      <c r="S72" s="154">
        <f t="shared" si="36"/>
        <v>1.1077366589438413</v>
      </c>
      <c r="T72" s="154">
        <f t="shared" si="36"/>
        <v>0.57313347116934998</v>
      </c>
      <c r="U72" s="154">
        <f t="shared" si="36"/>
        <v>2.1656084511840157</v>
      </c>
      <c r="V72" s="154">
        <f t="shared" si="36"/>
        <v>1.5655576886826348</v>
      </c>
      <c r="W72" s="154">
        <f t="shared" si="36"/>
        <v>1.0590794842502642</v>
      </c>
      <c r="X72" s="154">
        <f t="shared" si="36"/>
        <v>0.62443832171843561</v>
      </c>
      <c r="Y72" s="154">
        <f t="shared" si="36"/>
        <v>1.4956408429389902</v>
      </c>
      <c r="Z72" s="154">
        <f t="shared" si="36"/>
        <v>0.7810002071551797</v>
      </c>
      <c r="AA72" s="154">
        <f t="shared" si="36"/>
        <v>0.57456442916800632</v>
      </c>
      <c r="AB72" s="154">
        <f t="shared" si="36"/>
        <v>0.39344100042918384</v>
      </c>
      <c r="AC72" s="154">
        <f t="shared" si="36"/>
        <v>2.4328612244113614</v>
      </c>
      <c r="AD72" s="154">
        <f t="shared" si="36"/>
        <v>1.6464566511179173</v>
      </c>
      <c r="AE72" s="154">
        <f t="shared" si="36"/>
        <v>1.3180312454299496</v>
      </c>
      <c r="AF72" s="154">
        <f t="shared" si="36"/>
        <v>1.1037245445264559</v>
      </c>
      <c r="AG72" s="154">
        <f t="shared" si="36"/>
        <v>3.8395512797639881</v>
      </c>
      <c r="AH72" s="154">
        <f t="shared" si="36"/>
        <v>1.9732708008962241</v>
      </c>
      <c r="AI72" s="154">
        <f t="shared" si="36"/>
        <v>1.6107838992134857</v>
      </c>
      <c r="AJ72" s="154">
        <f t="shared" si="36"/>
        <v>1.0560863964453533</v>
      </c>
      <c r="AK72" s="154">
        <f t="shared" si="36"/>
        <v>2.6832864555761455</v>
      </c>
      <c r="AL72" s="154">
        <f t="shared" si="36"/>
        <v>2.0288899645099461</v>
      </c>
      <c r="AM72" s="154">
        <f t="shared" si="36"/>
        <v>1.4027898228501043</v>
      </c>
      <c r="AN72" s="154">
        <f t="shared" si="36"/>
        <v>0.69366763553477939</v>
      </c>
      <c r="AO72" s="154">
        <f t="shared" si="36"/>
        <v>2.8286784311481994</v>
      </c>
      <c r="AP72" s="154">
        <f t="shared" si="36"/>
        <v>2.1231270187668234</v>
      </c>
      <c r="AQ72" s="154">
        <f t="shared" si="36"/>
        <v>1.4438591099417173</v>
      </c>
      <c r="AR72" s="154">
        <f t="shared" si="36"/>
        <v>0.63179815460783861</v>
      </c>
      <c r="AS72" s="154">
        <f t="shared" si="36"/>
        <v>2.986359549449439</v>
      </c>
      <c r="AT72" s="154">
        <f t="shared" si="36"/>
        <v>2.4866966319993948</v>
      </c>
      <c r="AU72" s="154">
        <f t="shared" si="36"/>
        <v>1.9206358159725812</v>
      </c>
      <c r="AV72" s="154">
        <f t="shared" si="36"/>
        <v>0.97010769903922855</v>
      </c>
      <c r="AW72" s="154">
        <f t="shared" si="36"/>
        <v>3.0957080134432777</v>
      </c>
      <c r="AX72" s="154">
        <f t="shared" si="36"/>
        <v>3.0912000178610937</v>
      </c>
      <c r="AY72" s="154">
        <f t="shared" si="36"/>
        <v>2.3982729428119369</v>
      </c>
      <c r="AZ72" s="154">
        <f t="shared" si="36"/>
        <v>0.91291257214723365</v>
      </c>
      <c r="BA72" s="154">
        <f t="shared" si="36"/>
        <v>2.9560163225768683</v>
      </c>
      <c r="BB72" s="154">
        <f t="shared" si="36"/>
        <v>3.1321743086491387</v>
      </c>
      <c r="BC72" s="154">
        <f t="shared" si="36"/>
        <v>1.7103683993404568</v>
      </c>
      <c r="BD72" s="154">
        <f t="shared" si="36"/>
        <v>0.75551174986551828</v>
      </c>
      <c r="BE72" s="154">
        <f t="shared" si="36"/>
        <v>2.5386310764507467</v>
      </c>
      <c r="BF72" s="154">
        <f t="shared" si="36"/>
        <v>1.868402336400091</v>
      </c>
      <c r="BG72" s="154">
        <f t="shared" si="36"/>
        <v>1.1251077155416864</v>
      </c>
      <c r="BH72" s="154">
        <f t="shared" si="36"/>
        <v>1.2618189859839302</v>
      </c>
      <c r="BI72" s="154">
        <f t="shared" si="36"/>
        <v>3.2718611351900115</v>
      </c>
      <c r="BJ72" s="154">
        <f t="shared" si="36"/>
        <v>2.4871540117847153</v>
      </c>
      <c r="BK72" s="154">
        <f t="shared" si="36"/>
        <v>1.7308077985354464</v>
      </c>
      <c r="BL72" s="154">
        <f t="shared" si="36"/>
        <v>3.5300072500730661</v>
      </c>
      <c r="BM72" s="154">
        <f t="shared" si="36"/>
        <v>4.804983467723356</v>
      </c>
      <c r="BN72" s="154">
        <f t="shared" si="36"/>
        <v>5.0663115452866299</v>
      </c>
      <c r="BO72" s="154">
        <f t="shared" si="36"/>
        <v>2.7436051997022135</v>
      </c>
      <c r="BP72" s="154">
        <f t="shared" si="36"/>
        <v>1.707981892514318</v>
      </c>
      <c r="BQ72" s="154">
        <f t="shared" si="36"/>
        <v>5.5882532893711376</v>
      </c>
      <c r="BR72" s="154">
        <f t="shared" ref="BR72:CJ72" si="37">BR67/(BR71+BV71)*2</f>
        <v>3.9966574076167598</v>
      </c>
      <c r="BS72" s="154">
        <f t="shared" si="37"/>
        <v>8.3260096755237836</v>
      </c>
      <c r="BT72" s="154">
        <f t="shared" si="37"/>
        <v>4.9829485703007377</v>
      </c>
      <c r="BU72" s="154">
        <f t="shared" si="37"/>
        <v>8.5044794914183015</v>
      </c>
      <c r="BV72" s="154">
        <f t="shared" si="37"/>
        <v>10.843325851535164</v>
      </c>
      <c r="BW72" s="154">
        <f t="shared" si="37"/>
        <v>10.651963899607658</v>
      </c>
      <c r="BX72" s="154">
        <f t="shared" si="37"/>
        <v>5.8310627078813271</v>
      </c>
      <c r="BY72" s="154">
        <f t="shared" si="37"/>
        <v>14.363702321151829</v>
      </c>
      <c r="BZ72" s="154" t="e">
        <f t="shared" si="37"/>
        <v>#DIV/0!</v>
      </c>
      <c r="CA72" s="154">
        <f t="shared" si="37"/>
        <v>36.604892175513051</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482</v>
      </c>
      <c r="E73" s="83">
        <f>E62/E72</f>
        <v>141.27611856981972</v>
      </c>
      <c r="F73" s="83">
        <f t="shared" ref="F73:BQ73" si="38">F62/F72</f>
        <v>181.38918433841698</v>
      </c>
      <c r="G73" s="83">
        <f t="shared" si="38"/>
        <v>273.3795313584792</v>
      </c>
      <c r="H73" s="83">
        <f t="shared" si="38"/>
        <v>468.18855891581666</v>
      </c>
      <c r="I73" s="83">
        <f t="shared" si="38"/>
        <v>152.1841728602981</v>
      </c>
      <c r="J73" s="83">
        <f t="shared" si="38"/>
        <v>196.13889491617579</v>
      </c>
      <c r="K73" s="83">
        <f t="shared" si="38"/>
        <v>317.51882762539691</v>
      </c>
      <c r="L73" s="83">
        <f t="shared" si="38"/>
        <v>584.96620927377376</v>
      </c>
      <c r="M73" s="83">
        <f t="shared" si="38"/>
        <v>168.76111495014069</v>
      </c>
      <c r="N73" s="83">
        <f t="shared" si="38"/>
        <v>211.5661363781617</v>
      </c>
      <c r="O73" s="83">
        <f t="shared" si="38"/>
        <v>349.61896121076103</v>
      </c>
      <c r="P73" s="83">
        <f t="shared" si="38"/>
        <v>630.3194418044103</v>
      </c>
      <c r="Q73" s="83">
        <f t="shared" si="38"/>
        <v>174.53076439007589</v>
      </c>
      <c r="R73" s="83">
        <f t="shared" si="38"/>
        <v>227.23404448144021</v>
      </c>
      <c r="S73" s="83">
        <f t="shared" si="38"/>
        <v>329.50069590366815</v>
      </c>
      <c r="T73" s="83">
        <f t="shared" si="38"/>
        <v>636.84991081623548</v>
      </c>
      <c r="U73" s="83">
        <f t="shared" si="38"/>
        <v>168.5438564854332</v>
      </c>
      <c r="V73" s="83">
        <f t="shared" si="38"/>
        <v>233.14375614426285</v>
      </c>
      <c r="W73" s="83">
        <f t="shared" si="38"/>
        <v>344.63891089193191</v>
      </c>
      <c r="X73" s="83">
        <f t="shared" si="38"/>
        <v>584.52530426949284</v>
      </c>
      <c r="Y73" s="83">
        <f t="shared" si="38"/>
        <v>244.04254652658545</v>
      </c>
      <c r="Z73" s="83">
        <f t="shared" si="38"/>
        <v>467.34942789519243</v>
      </c>
      <c r="AA73" s="83">
        <f t="shared" si="38"/>
        <v>635.26383025231041</v>
      </c>
      <c r="AB73" s="83">
        <f t="shared" si="38"/>
        <v>927.71215913400215</v>
      </c>
      <c r="AC73" s="83">
        <f t="shared" si="38"/>
        <v>150.02910825228551</v>
      </c>
      <c r="AD73" s="83">
        <f t="shared" si="38"/>
        <v>221.68819309768705</v>
      </c>
      <c r="AE73" s="83">
        <f t="shared" si="38"/>
        <v>276.92818456738087</v>
      </c>
      <c r="AF73" s="83">
        <f t="shared" si="38"/>
        <v>330.69845353180972</v>
      </c>
      <c r="AG73" s="83">
        <f t="shared" si="38"/>
        <v>95.063191869242601</v>
      </c>
      <c r="AH73" s="83">
        <f t="shared" si="38"/>
        <v>184.97207774737436</v>
      </c>
      <c r="AI73" s="83">
        <f t="shared" si="38"/>
        <v>226.59774546928509</v>
      </c>
      <c r="AJ73" s="83">
        <f t="shared" si="38"/>
        <v>345.61566291218367</v>
      </c>
      <c r="AK73" s="83">
        <f t="shared" si="38"/>
        <v>136.02722111218964</v>
      </c>
      <c r="AL73" s="83">
        <f t="shared" si="38"/>
        <v>179.9013285021405</v>
      </c>
      <c r="AM73" s="83">
        <f t="shared" si="38"/>
        <v>260.19578560843479</v>
      </c>
      <c r="AN73" s="83">
        <f t="shared" si="38"/>
        <v>526.18859710617062</v>
      </c>
      <c r="AO73" s="83">
        <f t="shared" si="38"/>
        <v>129.03552273060657</v>
      </c>
      <c r="AP73" s="83">
        <f t="shared" si="38"/>
        <v>171.91623335470672</v>
      </c>
      <c r="AQ73" s="83">
        <f t="shared" si="38"/>
        <v>252.79474810719833</v>
      </c>
      <c r="AR73" s="83">
        <f t="shared" si="38"/>
        <v>577.71615402478972</v>
      </c>
      <c r="AS73" s="83">
        <f t="shared" si="38"/>
        <v>122.22238948665471</v>
      </c>
      <c r="AT73" s="83">
        <f t="shared" si="38"/>
        <v>146.7810730521345</v>
      </c>
      <c r="AU73" s="83">
        <f t="shared" si="38"/>
        <v>190.04123372299475</v>
      </c>
      <c r="AV73" s="83">
        <f t="shared" si="38"/>
        <v>376.24688512573118</v>
      </c>
      <c r="AW73" s="83">
        <f t="shared" si="38"/>
        <v>117.9051765912573</v>
      </c>
      <c r="AX73" s="83">
        <f t="shared" si="38"/>
        <v>118.07712147095415</v>
      </c>
      <c r="AY73" s="83">
        <f t="shared" si="38"/>
        <v>152.19285239987877</v>
      </c>
      <c r="AZ73" s="83">
        <f t="shared" si="38"/>
        <v>399.81922818906384</v>
      </c>
      <c r="BA73" s="83">
        <f t="shared" si="38"/>
        <v>123.47699070951545</v>
      </c>
      <c r="BB73" s="83">
        <f t="shared" si="38"/>
        <v>116.53246723596912</v>
      </c>
      <c r="BC73" s="83">
        <f t="shared" si="38"/>
        <v>213.40431695344077</v>
      </c>
      <c r="BD73" s="83">
        <f t="shared" si="38"/>
        <v>483.11624546536876</v>
      </c>
      <c r="BE73" s="83">
        <f t="shared" si="38"/>
        <v>143.77827616855046</v>
      </c>
      <c r="BF73" s="83">
        <f t="shared" si="38"/>
        <v>195.35406956472602</v>
      </c>
      <c r="BG73" s="83">
        <f t="shared" si="38"/>
        <v>324.4133827882157</v>
      </c>
      <c r="BH73" s="83">
        <f t="shared" si="38"/>
        <v>289.2649453323794</v>
      </c>
      <c r="BI73" s="83">
        <f t="shared" si="38"/>
        <v>111.55730176757726</v>
      </c>
      <c r="BJ73" s="83">
        <f t="shared" si="38"/>
        <v>146.75408047533242</v>
      </c>
      <c r="BK73" s="83">
        <f t="shared" si="38"/>
        <v>210.88418963032822</v>
      </c>
      <c r="BL73" s="83">
        <f t="shared" si="38"/>
        <v>103.39922106178253</v>
      </c>
      <c r="BM73" s="83">
        <f t="shared" si="38"/>
        <v>75.962800382524577</v>
      </c>
      <c r="BN73" s="83">
        <f t="shared" si="38"/>
        <v>72.04452326655128</v>
      </c>
      <c r="BO73" s="83">
        <f t="shared" si="38"/>
        <v>133.03663371086208</v>
      </c>
      <c r="BP73" s="83">
        <f t="shared" si="38"/>
        <v>213.70249977456373</v>
      </c>
      <c r="BQ73" s="83">
        <f t="shared" si="38"/>
        <v>65.315579144243571</v>
      </c>
      <c r="BR73" s="83">
        <f t="shared" ref="BR73:CJ73" si="39">BR62/BR72</f>
        <v>91.326316662616463</v>
      </c>
      <c r="BS73" s="83">
        <f t="shared" si="39"/>
        <v>43.838527004478664</v>
      </c>
      <c r="BT73" s="83">
        <f t="shared" si="39"/>
        <v>73.249802772491989</v>
      </c>
      <c r="BU73" s="83">
        <f t="shared" si="39"/>
        <v>42.918558433624789</v>
      </c>
      <c r="BV73" s="83">
        <f t="shared" si="39"/>
        <v>33.661259008307347</v>
      </c>
      <c r="BW73" s="83">
        <f t="shared" si="39"/>
        <v>34.26598169502283</v>
      </c>
      <c r="BX73" s="83">
        <f t="shared" si="39"/>
        <v>62.595793989089174</v>
      </c>
      <c r="BY73" s="83">
        <f t="shared" si="39"/>
        <v>25.411275717020747</v>
      </c>
      <c r="BZ73" s="83" t="e">
        <f t="shared" si="39"/>
        <v>#DIV/0!</v>
      </c>
      <c r="CA73" s="83">
        <f t="shared" si="39"/>
        <v>9.9713447658826269</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483</v>
      </c>
      <c r="E74" s="255">
        <f>E66+E70</f>
        <v>39.777793675220572</v>
      </c>
      <c r="F74" s="255">
        <f t="shared" ref="F74:BQ74" si="40">F66+F70</f>
        <v>73.031244043573878</v>
      </c>
      <c r="G74" s="255">
        <f t="shared" si="40"/>
        <v>103.73201756657382</v>
      </c>
      <c r="H74" s="255">
        <f t="shared" si="40"/>
        <v>189.88626913447979</v>
      </c>
      <c r="I74" s="255">
        <f t="shared" si="40"/>
        <v>50.599808290316659</v>
      </c>
      <c r="J74" s="255">
        <f t="shared" si="40"/>
        <v>95.253420151458698</v>
      </c>
      <c r="K74" s="255">
        <f t="shared" si="40"/>
        <v>131.53053884064576</v>
      </c>
      <c r="L74" s="255">
        <f t="shared" si="40"/>
        <v>311.1452833497035</v>
      </c>
      <c r="M74" s="255">
        <f t="shared" si="40"/>
        <v>89.493366001004063</v>
      </c>
      <c r="N74" s="255">
        <f t="shared" si="40"/>
        <v>133.56616791792919</v>
      </c>
      <c r="O74" s="255">
        <f t="shared" si="40"/>
        <v>196.55193244832492</v>
      </c>
      <c r="P74" s="255">
        <f t="shared" si="40"/>
        <v>425.08832761973713</v>
      </c>
      <c r="Q74" s="255">
        <f t="shared" si="40"/>
        <v>121.881101254925</v>
      </c>
      <c r="R74" s="255">
        <f t="shared" si="40"/>
        <v>162.14149110404298</v>
      </c>
      <c r="S74" s="255">
        <f t="shared" si="40"/>
        <v>220.59871199989476</v>
      </c>
      <c r="T74" s="255">
        <f t="shared" si="40"/>
        <v>505.46447784241775</v>
      </c>
      <c r="U74" s="255">
        <f t="shared" si="40"/>
        <v>139.74766006946356</v>
      </c>
      <c r="V74" s="255">
        <f t="shared" si="40"/>
        <v>178.49014915578846</v>
      </c>
      <c r="W74" s="255">
        <f t="shared" si="40"/>
        <v>223.96282368281425</v>
      </c>
      <c r="X74" s="255">
        <f t="shared" si="40"/>
        <v>509.07912993558557</v>
      </c>
      <c r="Y74" s="255">
        <f t="shared" si="40"/>
        <v>202.58047027427614</v>
      </c>
      <c r="Z74" s="255">
        <f t="shared" si="40"/>
        <v>349.59555562229031</v>
      </c>
      <c r="AA74" s="255">
        <f t="shared" si="40"/>
        <v>508.89449165433166</v>
      </c>
      <c r="AB74" s="255">
        <f t="shared" si="40"/>
        <v>873.80191150850828</v>
      </c>
      <c r="AC74" s="255">
        <f t="shared" si="40"/>
        <v>123.59750619770799</v>
      </c>
      <c r="AD74" s="255">
        <f t="shared" si="40"/>
        <v>166.98108484035748</v>
      </c>
      <c r="AE74" s="255">
        <f t="shared" si="40"/>
        <v>246.97848414065143</v>
      </c>
      <c r="AF74" s="255">
        <f t="shared" si="40"/>
        <v>363.91576112100722</v>
      </c>
      <c r="AG74" s="255">
        <f t="shared" si="40"/>
        <v>83.308783645284919</v>
      </c>
      <c r="AH74" s="255">
        <f t="shared" si="40"/>
        <v>145.69499103961374</v>
      </c>
      <c r="AI74" s="255">
        <f t="shared" si="40"/>
        <v>210.03752862359715</v>
      </c>
      <c r="AJ74" s="255">
        <f t="shared" si="40"/>
        <v>456.51463318288148</v>
      </c>
      <c r="AK74" s="255">
        <f t="shared" si="40"/>
        <v>141.98920590539393</v>
      </c>
      <c r="AL74" s="255">
        <f t="shared" si="40"/>
        <v>199.18424872367075</v>
      </c>
      <c r="AM74" s="255">
        <f t="shared" si="40"/>
        <v>294.51634178855591</v>
      </c>
      <c r="AN74" s="255">
        <f t="shared" si="40"/>
        <v>573.08133969621372</v>
      </c>
      <c r="AO74" s="255">
        <f t="shared" si="40"/>
        <v>127.36631875390742</v>
      </c>
      <c r="AP74" s="255">
        <f t="shared" si="40"/>
        <v>187.04418910458025</v>
      </c>
      <c r="AQ74" s="255">
        <f t="shared" si="40"/>
        <v>266.17094490764782</v>
      </c>
      <c r="AR74" s="255">
        <f t="shared" si="40"/>
        <v>580.82802054721492</v>
      </c>
      <c r="AS74" s="255">
        <f t="shared" si="40"/>
        <v>116.15264708164992</v>
      </c>
      <c r="AT74" s="255">
        <f t="shared" si="40"/>
        <v>154.02965787850292</v>
      </c>
      <c r="AU74" s="255">
        <f t="shared" si="40"/>
        <v>205.68778398835292</v>
      </c>
      <c r="AV74" s="255">
        <f t="shared" si="40"/>
        <v>422.59091785457741</v>
      </c>
      <c r="AW74" s="255">
        <f t="shared" si="40"/>
        <v>131.53555218556778</v>
      </c>
      <c r="AX74" s="255">
        <f t="shared" si="40"/>
        <v>175.2235915954908</v>
      </c>
      <c r="AY74" s="255">
        <f t="shared" si="40"/>
        <v>224.33606666069929</v>
      </c>
      <c r="AZ74" s="255">
        <f t="shared" si="40"/>
        <v>506.19277935112831</v>
      </c>
      <c r="BA74" s="255">
        <f t="shared" si="40"/>
        <v>143.33632426347125</v>
      </c>
      <c r="BB74" s="255">
        <f t="shared" si="40"/>
        <v>184.74121795473377</v>
      </c>
      <c r="BC74" s="255">
        <f t="shared" si="40"/>
        <v>273.90593195271373</v>
      </c>
      <c r="BD74" s="255">
        <f t="shared" si="40"/>
        <v>519.57257541191063</v>
      </c>
      <c r="BE74" s="255">
        <f t="shared" si="40"/>
        <v>144.88312897927392</v>
      </c>
      <c r="BF74" s="255">
        <f t="shared" si="40"/>
        <v>214.1561758993326</v>
      </c>
      <c r="BG74" s="255">
        <f t="shared" si="40"/>
        <v>300.15672728946083</v>
      </c>
      <c r="BH74" s="255">
        <f t="shared" si="40"/>
        <v>260.47872206716363</v>
      </c>
      <c r="BI74" s="255">
        <f t="shared" si="40"/>
        <v>116.98023811193801</v>
      </c>
      <c r="BJ74" s="255">
        <f t="shared" si="40"/>
        <v>237.11346765962031</v>
      </c>
      <c r="BK74" s="255">
        <f t="shared" si="40"/>
        <v>323.65748451955449</v>
      </c>
      <c r="BL74" s="255">
        <f t="shared" si="40"/>
        <v>355.01677264935392</v>
      </c>
      <c r="BM74" s="255">
        <f t="shared" si="40"/>
        <v>145.13800392315306</v>
      </c>
      <c r="BN74" s="255">
        <f t="shared" si="40"/>
        <v>234.88842237440184</v>
      </c>
      <c r="BO74" s="255">
        <f t="shared" si="40"/>
        <v>374.3268523985239</v>
      </c>
      <c r="BP74" s="255">
        <f t="shared" si="40"/>
        <v>777.51406858591963</v>
      </c>
      <c r="BQ74" s="255">
        <f t="shared" si="40"/>
        <v>250.2952064384105</v>
      </c>
      <c r="BR74" s="255">
        <f t="shared" ref="BR74:CK74" si="41">BR66+BR70</f>
        <v>430.37524776818583</v>
      </c>
      <c r="BS74" s="255">
        <f t="shared" si="41"/>
        <v>173.88874081644462</v>
      </c>
      <c r="BT74" s="255">
        <f t="shared" si="41"/>
        <v>262.65863881917915</v>
      </c>
      <c r="BU74" s="255">
        <f t="shared" si="41"/>
        <v>142.27486914871656</v>
      </c>
      <c r="BV74" s="255">
        <f t="shared" si="41"/>
        <v>155.37010127086927</v>
      </c>
      <c r="BW74" s="255">
        <f t="shared" si="41"/>
        <v>124.85783884618419</v>
      </c>
      <c r="BX74" s="255">
        <f t="shared" si="41"/>
        <v>161.7010779867712</v>
      </c>
      <c r="BY74" s="255">
        <f t="shared" si="41"/>
        <v>65.584772852518981</v>
      </c>
      <c r="BZ74" s="255" t="e">
        <f t="shared" si="41"/>
        <v>#DIV/0!</v>
      </c>
      <c r="CA74" s="255">
        <f t="shared" si="41"/>
        <v>48.911473221096628</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-101.49832489459914</v>
      </c>
      <c r="F75" s="255">
        <f t="shared" ref="F75:BQ75" si="42">F74-F73</f>
        <v>-108.3579402948431</v>
      </c>
      <c r="G75" s="255">
        <f t="shared" si="42"/>
        <v>-169.6475137919054</v>
      </c>
      <c r="H75" s="255">
        <f t="shared" si="42"/>
        <v>-278.30228978133687</v>
      </c>
      <c r="I75" s="255">
        <f t="shared" si="42"/>
        <v>-101.58436456998145</v>
      </c>
      <c r="J75" s="255">
        <f t="shared" si="42"/>
        <v>-100.88547476471709</v>
      </c>
      <c r="K75" s="255">
        <f t="shared" si="42"/>
        <v>-185.98828878475115</v>
      </c>
      <c r="L75" s="255">
        <f t="shared" si="42"/>
        <v>-273.82092592407025</v>
      </c>
      <c r="M75" s="255">
        <f t="shared" si="42"/>
        <v>-79.267748949136632</v>
      </c>
      <c r="N75" s="255">
        <f t="shared" si="42"/>
        <v>-77.999968460232509</v>
      </c>
      <c r="O75" s="255">
        <f t="shared" si="42"/>
        <v>-153.06702876243611</v>
      </c>
      <c r="P75" s="255">
        <f t="shared" si="42"/>
        <v>-205.23111418467317</v>
      </c>
      <c r="Q75" s="255">
        <f t="shared" si="42"/>
        <v>-52.649663135150888</v>
      </c>
      <c r="R75" s="255">
        <f t="shared" si="42"/>
        <v>-65.092553377397223</v>
      </c>
      <c r="S75" s="255">
        <f t="shared" si="42"/>
        <v>-108.90198390377338</v>
      </c>
      <c r="T75" s="255">
        <f t="shared" si="42"/>
        <v>-131.38543297381773</v>
      </c>
      <c r="U75" s="255">
        <f t="shared" si="42"/>
        <v>-28.796196415969632</v>
      </c>
      <c r="V75" s="255">
        <f t="shared" si="42"/>
        <v>-54.653606988474394</v>
      </c>
      <c r="W75" s="255">
        <f t="shared" si="42"/>
        <v>-120.67608720911767</v>
      </c>
      <c r="X75" s="255">
        <f t="shared" si="42"/>
        <v>-75.446174333907265</v>
      </c>
      <c r="Y75" s="255">
        <f t="shared" si="42"/>
        <v>-41.462076252309316</v>
      </c>
      <c r="Z75" s="255">
        <f t="shared" si="42"/>
        <v>-117.75387227290213</v>
      </c>
      <c r="AA75" s="255">
        <f t="shared" si="42"/>
        <v>-126.36933859797875</v>
      </c>
      <c r="AB75" s="255">
        <f t="shared" si="42"/>
        <v>-53.910247625493867</v>
      </c>
      <c r="AC75" s="255">
        <f t="shared" si="42"/>
        <v>-26.431602054577525</v>
      </c>
      <c r="AD75" s="255">
        <f t="shared" si="42"/>
        <v>-54.707108257329566</v>
      </c>
      <c r="AE75" s="255">
        <f t="shared" si="42"/>
        <v>-29.949700426729436</v>
      </c>
      <c r="AF75" s="255">
        <f t="shared" si="42"/>
        <v>33.217307589197503</v>
      </c>
      <c r="AG75" s="255">
        <f t="shared" si="42"/>
        <v>-11.754408223957682</v>
      </c>
      <c r="AH75" s="255">
        <f t="shared" si="42"/>
        <v>-39.277086707760617</v>
      </c>
      <c r="AI75" s="255">
        <f t="shared" si="42"/>
        <v>-16.560216845687933</v>
      </c>
      <c r="AJ75" s="255">
        <f t="shared" si="42"/>
        <v>110.89897027069782</v>
      </c>
      <c r="AK75" s="255">
        <f t="shared" si="42"/>
        <v>5.9619847932042944</v>
      </c>
      <c r="AL75" s="255">
        <f t="shared" si="42"/>
        <v>19.282920221530247</v>
      </c>
      <c r="AM75" s="255">
        <f t="shared" si="42"/>
        <v>34.320556180121116</v>
      </c>
      <c r="AN75" s="255">
        <f t="shared" si="42"/>
        <v>46.892742590043099</v>
      </c>
      <c r="AO75" s="255">
        <f t="shared" si="42"/>
        <v>-1.6692039766991513</v>
      </c>
      <c r="AP75" s="255">
        <f t="shared" si="42"/>
        <v>15.127955749873536</v>
      </c>
      <c r="AQ75" s="255">
        <f t="shared" si="42"/>
        <v>13.376196800449492</v>
      </c>
      <c r="AR75" s="255">
        <f t="shared" si="42"/>
        <v>3.1118665224252027</v>
      </c>
      <c r="AS75" s="255">
        <f t="shared" si="42"/>
        <v>-6.0697424050047886</v>
      </c>
      <c r="AT75" s="255">
        <f t="shared" si="42"/>
        <v>7.2485848263684147</v>
      </c>
      <c r="AU75" s="255">
        <f t="shared" si="42"/>
        <v>15.646550265358172</v>
      </c>
      <c r="AV75" s="255">
        <f t="shared" si="42"/>
        <v>46.34403272884623</v>
      </c>
      <c r="AW75" s="255">
        <f t="shared" si="42"/>
        <v>13.630375594310479</v>
      </c>
      <c r="AX75" s="255">
        <f t="shared" si="42"/>
        <v>57.146470124536648</v>
      </c>
      <c r="AY75" s="255">
        <f t="shared" si="42"/>
        <v>72.143214260820514</v>
      </c>
      <c r="AZ75" s="255">
        <f t="shared" si="42"/>
        <v>106.37355116206447</v>
      </c>
      <c r="BA75" s="255">
        <f t="shared" si="42"/>
        <v>19.859333553955807</v>
      </c>
      <c r="BB75" s="255">
        <f t="shared" si="42"/>
        <v>68.208750718764648</v>
      </c>
      <c r="BC75" s="255">
        <f t="shared" si="42"/>
        <v>60.501614999272959</v>
      </c>
      <c r="BD75" s="255">
        <f t="shared" si="42"/>
        <v>36.456329946541871</v>
      </c>
      <c r="BE75" s="255">
        <f t="shared" si="42"/>
        <v>1.1048528107234574</v>
      </c>
      <c r="BF75" s="255">
        <f t="shared" si="42"/>
        <v>18.802106334606577</v>
      </c>
      <c r="BG75" s="255">
        <f t="shared" si="42"/>
        <v>-24.256655498754867</v>
      </c>
      <c r="BH75" s="255">
        <f t="shared" si="42"/>
        <v>-28.786223265215767</v>
      </c>
      <c r="BI75" s="255">
        <f t="shared" si="42"/>
        <v>5.4229363443607497</v>
      </c>
      <c r="BJ75" s="255">
        <f t="shared" si="42"/>
        <v>90.359387184287897</v>
      </c>
      <c r="BK75" s="255">
        <f t="shared" si="42"/>
        <v>112.77329488922626</v>
      </c>
      <c r="BL75" s="255">
        <f t="shared" si="42"/>
        <v>251.6175515875714</v>
      </c>
      <c r="BM75" s="255">
        <f t="shared" si="42"/>
        <v>69.175203540628488</v>
      </c>
      <c r="BN75" s="255">
        <f t="shared" si="42"/>
        <v>162.84389910785058</v>
      </c>
      <c r="BO75" s="255">
        <f t="shared" si="42"/>
        <v>241.29021868766182</v>
      </c>
      <c r="BP75" s="255">
        <f t="shared" si="42"/>
        <v>563.81156881135587</v>
      </c>
      <c r="BQ75" s="255">
        <f t="shared" si="42"/>
        <v>184.97962729416693</v>
      </c>
      <c r="BR75" s="255">
        <f t="shared" ref="BR75:CJ75" si="43">BR74-BR73</f>
        <v>339.04893110556935</v>
      </c>
      <c r="BS75" s="255">
        <f t="shared" si="43"/>
        <v>130.05021381196596</v>
      </c>
      <c r="BT75" s="255">
        <f t="shared" si="43"/>
        <v>189.40883604668716</v>
      </c>
      <c r="BU75" s="255">
        <f t="shared" si="43"/>
        <v>99.35631071509178</v>
      </c>
      <c r="BV75" s="255">
        <f t="shared" si="43"/>
        <v>121.70884226256192</v>
      </c>
      <c r="BW75" s="255">
        <f t="shared" si="43"/>
        <v>90.591857151161364</v>
      </c>
      <c r="BX75" s="255">
        <f t="shared" si="43"/>
        <v>99.105283997682022</v>
      </c>
      <c r="BY75" s="255">
        <f t="shared" si="43"/>
        <v>40.173497135498238</v>
      </c>
      <c r="BZ75" s="255" t="e">
        <f t="shared" si="43"/>
        <v>#DIV/0!</v>
      </c>
      <c r="CA75" s="255">
        <f t="shared" si="43"/>
        <v>38.940128455214001</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485</v>
      </c>
      <c r="E76" s="120">
        <f>E71-E64-E68</f>
        <v>4613615933.54</v>
      </c>
      <c r="F76" s="120">
        <f t="shared" ref="F76:BQ76" si="44">F71-F64-F68</f>
        <v>3592671665.5899992</v>
      </c>
      <c r="G76" s="120">
        <f t="shared" si="44"/>
        <v>3428214737.2600002</v>
      </c>
      <c r="H76" s="120">
        <f t="shared" si="44"/>
        <v>3494044137.23</v>
      </c>
      <c r="I76" s="120">
        <f t="shared" si="44"/>
        <v>4350371812.7099991</v>
      </c>
      <c r="J76" s="120">
        <f t="shared" si="44"/>
        <v>2594085945.2399998</v>
      </c>
      <c r="K76" s="120">
        <f t="shared" si="44"/>
        <v>2919962874.8799996</v>
      </c>
      <c r="L76" s="120">
        <f t="shared" si="44"/>
        <v>2052123065.4799995</v>
      </c>
      <c r="M76" s="120">
        <f t="shared" si="44"/>
        <v>2081474997.0300002</v>
      </c>
      <c r="N76" s="120">
        <f t="shared" si="44"/>
        <v>1120730954.7099996</v>
      </c>
      <c r="O76" s="120">
        <f t="shared" si="44"/>
        <v>1832520131.3599997</v>
      </c>
      <c r="P76" s="120">
        <f t="shared" si="44"/>
        <v>877104301.42999959</v>
      </c>
      <c r="Q76" s="120">
        <f t="shared" si="44"/>
        <v>887430485.86999989</v>
      </c>
      <c r="R76" s="120">
        <f t="shared" si="44"/>
        <v>460021011.75999963</v>
      </c>
      <c r="S76" s="120">
        <f t="shared" si="44"/>
        <v>518616485.41000021</v>
      </c>
      <c r="T76" s="120">
        <f t="shared" si="44"/>
        <v>26798073.610000849</v>
      </c>
      <c r="U76" s="120">
        <f t="shared" si="44"/>
        <v>45173682.950000167</v>
      </c>
      <c r="V76" s="120">
        <f t="shared" si="44"/>
        <v>298542884.07000017</v>
      </c>
      <c r="W76" s="120">
        <f t="shared" si="44"/>
        <v>514963199.0400002</v>
      </c>
      <c r="X76" s="120">
        <f t="shared" si="44"/>
        <v>-212788077.96999991</v>
      </c>
      <c r="Y76" s="120">
        <f t="shared" si="44"/>
        <v>-97437723.329999566</v>
      </c>
      <c r="Z76" s="120">
        <f t="shared" si="44"/>
        <v>238204033.91999984</v>
      </c>
      <c r="AA76" s="120">
        <f t="shared" si="44"/>
        <v>676968759.93000042</v>
      </c>
      <c r="AB76" s="120">
        <f t="shared" si="44"/>
        <v>-234969811.8100003</v>
      </c>
      <c r="AC76" s="120">
        <f t="shared" si="44"/>
        <v>93795974.999999523</v>
      </c>
      <c r="AD76" s="120">
        <f t="shared" si="44"/>
        <v>673853324.77000034</v>
      </c>
      <c r="AE76" s="120">
        <f t="shared" si="44"/>
        <v>-375153870.31999981</v>
      </c>
      <c r="AF76" s="120">
        <f t="shared" si="44"/>
        <v>-594160210.27999973</v>
      </c>
      <c r="AG76" s="120">
        <f t="shared" si="44"/>
        <v>367945879.20000017</v>
      </c>
      <c r="AH76" s="120">
        <f t="shared" si="44"/>
        <v>489043465.73999989</v>
      </c>
      <c r="AI76" s="120">
        <f t="shared" si="44"/>
        <v>14554222.569999933</v>
      </c>
      <c r="AJ76" s="120">
        <f t="shared" si="44"/>
        <v>-1009689404.2500001</v>
      </c>
      <c r="AK76" s="120">
        <f t="shared" si="44"/>
        <v>-284275735.52999967</v>
      </c>
      <c r="AL76" s="120">
        <f t="shared" si="44"/>
        <v>-16367448.810000062</v>
      </c>
      <c r="AM76" s="120">
        <f t="shared" si="44"/>
        <v>-258716540.08999991</v>
      </c>
      <c r="AN76" s="120">
        <f t="shared" si="44"/>
        <v>-335200202.11000001</v>
      </c>
      <c r="AO76" s="120">
        <f t="shared" si="44"/>
        <v>-274590463.82999992</v>
      </c>
      <c r="AP76" s="120">
        <f t="shared" si="44"/>
        <v>-579437315.52000022</v>
      </c>
      <c r="AQ76" s="120">
        <f t="shared" si="44"/>
        <v>-365510815.86000001</v>
      </c>
      <c r="AR76" s="120">
        <f t="shared" si="44"/>
        <v>-177326185.13999999</v>
      </c>
      <c r="AS76" s="120">
        <f t="shared" si="44"/>
        <v>56916097.000000119</v>
      </c>
      <c r="AT76" s="120">
        <f t="shared" si="44"/>
        <v>75334668.01000011</v>
      </c>
      <c r="AU76" s="120">
        <f t="shared" si="44"/>
        <v>-78965210.909999609</v>
      </c>
      <c r="AV76" s="120">
        <f t="shared" si="44"/>
        <v>-192503369.19000006</v>
      </c>
      <c r="AW76" s="120">
        <f t="shared" si="44"/>
        <v>-202552600.5200001</v>
      </c>
      <c r="AX76" s="120">
        <f t="shared" si="44"/>
        <v>-484787909.13999987</v>
      </c>
      <c r="AY76" s="120">
        <f t="shared" si="44"/>
        <v>-367978112.63</v>
      </c>
      <c r="AZ76" s="120">
        <f t="shared" si="44"/>
        <v>-394490934.96000004</v>
      </c>
      <c r="BA76" s="120">
        <f t="shared" si="44"/>
        <v>-320128317.91999984</v>
      </c>
      <c r="BB76" s="120">
        <f t="shared" si="44"/>
        <v>-594866588.36000001</v>
      </c>
      <c r="BC76" s="120">
        <f t="shared" si="44"/>
        <v>-541081554.44000006</v>
      </c>
      <c r="BD76" s="120">
        <f t="shared" si="44"/>
        <v>-302089634.16000003</v>
      </c>
      <c r="BE76" s="120">
        <f t="shared" si="44"/>
        <v>-191400970.51000011</v>
      </c>
      <c r="BF76" s="120">
        <f t="shared" si="44"/>
        <v>-246723298.58999997</v>
      </c>
      <c r="BG76" s="120">
        <f t="shared" si="44"/>
        <v>-2320740.3199999332</v>
      </c>
      <c r="BH76" s="120">
        <f t="shared" si="44"/>
        <v>12045538.529999971</v>
      </c>
      <c r="BI76" s="120">
        <f t="shared" si="44"/>
        <v>28118202.080000043</v>
      </c>
      <c r="BJ76" s="120">
        <f t="shared" si="44"/>
        <v>-31508476.990000129</v>
      </c>
      <c r="BK76" s="120">
        <f t="shared" si="44"/>
        <v>4867896.4800000191</v>
      </c>
      <c r="BL76" s="120">
        <f t="shared" si="44"/>
        <v>0</v>
      </c>
      <c r="BM76" s="120">
        <f t="shared" si="44"/>
        <v>-202604494.49000001</v>
      </c>
      <c r="BN76" s="120">
        <f t="shared" si="44"/>
        <v>-987146540.66999984</v>
      </c>
      <c r="BO76" s="120">
        <f t="shared" si="44"/>
        <v>-868368203.29000008</v>
      </c>
      <c r="BP76" s="120">
        <f t="shared" si="44"/>
        <v>-1124209286.71</v>
      </c>
      <c r="BQ76" s="120">
        <f t="shared" si="44"/>
        <v>-890437554.77999985</v>
      </c>
      <c r="BR76" s="120">
        <f t="shared" ref="BR76:CJ76" si="45">BR71-BR64-BR68</f>
        <v>-1107291862.05</v>
      </c>
      <c r="BS76" s="120">
        <f t="shared" si="45"/>
        <v>-1131325746.29</v>
      </c>
      <c r="BT76" s="120">
        <f t="shared" si="45"/>
        <v>-966333414.47000003</v>
      </c>
      <c r="BU76" s="120">
        <f t="shared" si="45"/>
        <v>-1032200095.2700001</v>
      </c>
      <c r="BV76" s="120">
        <f t="shared" si="45"/>
        <v>-908132099.50000024</v>
      </c>
      <c r="BW76" s="120">
        <f t="shared" si="45"/>
        <v>-795847203.6400001</v>
      </c>
      <c r="BX76" s="120">
        <f t="shared" si="45"/>
        <v>-574655043.66000009</v>
      </c>
      <c r="BY76" s="120">
        <f t="shared" si="45"/>
        <v>-420066366.52000004</v>
      </c>
      <c r="BZ76" s="120">
        <f t="shared" si="45"/>
        <v>0</v>
      </c>
      <c r="CA76" s="120">
        <f t="shared" si="45"/>
        <v>-272515756.52999997</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6" t="s">
        <v>692</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34699</v>
      </c>
      <c r="CE80" s="1">
        <v>34334</v>
      </c>
      <c r="CF80" s="1">
        <v>25569</v>
      </c>
      <c r="CG80" s="1"/>
      <c r="CH80" s="1"/>
      <c r="CI80" s="1"/>
      <c r="CJ80" s="1"/>
      <c r="CK80" s="1"/>
    </row>
    <row r="81" spans="1:89" s="76" customFormat="1" x14ac:dyDescent="0.25">
      <c r="A81" s="70" t="s">
        <v>581</v>
      </c>
      <c r="E81" s="76">
        <f>股权价值增加表!E4</f>
        <v>21384699076.650002</v>
      </c>
      <c r="F81" s="76">
        <f>股权价值增加表!F4</f>
        <v>15977114535.049999</v>
      </c>
      <c r="G81" s="76">
        <f>股权价值增加表!G4</f>
        <v>10568060854.209999</v>
      </c>
      <c r="H81" s="76">
        <f>股权价值增加表!H4</f>
        <v>5690391543.4200001</v>
      </c>
      <c r="I81" s="76">
        <f>股权价值增加表!I4</f>
        <v>16334914501.690001</v>
      </c>
      <c r="J81" s="76">
        <f>股权价值增加表!J4</f>
        <v>12055635914.24</v>
      </c>
      <c r="K81" s="76">
        <f>股权价值增加表!K4</f>
        <v>7984787194.9200001</v>
      </c>
      <c r="L81" s="76">
        <f>股权价值增加表!L4</f>
        <v>4239779074.6999998</v>
      </c>
      <c r="M81" s="76">
        <f>股权价值增加表!M4</f>
        <v>13131626932.440001</v>
      </c>
      <c r="N81" s="76">
        <f>股权价值增加表!N4</f>
        <v>9611975965.1399994</v>
      </c>
      <c r="O81" s="76">
        <f>股权价值增加表!O4</f>
        <v>6101903864.6000004</v>
      </c>
      <c r="P81" s="76">
        <f>股权价值增加表!P4</f>
        <v>3293972545.0799999</v>
      </c>
      <c r="Q81" s="76">
        <f>股权价值增加表!Q4</f>
        <v>10804217288.6</v>
      </c>
      <c r="R81" s="76">
        <f>股权价值增加表!R4</f>
        <v>7778315404.7200003</v>
      </c>
      <c r="S81" s="76">
        <f>股权价值增加表!S4</f>
        <v>4974057020.5600004</v>
      </c>
      <c r="T81" s="76">
        <f>股权价值增加表!T4</f>
        <v>2576160088.4299998</v>
      </c>
      <c r="U81" s="76">
        <f>股权价值增加表!U4</f>
        <v>8727956044.3700008</v>
      </c>
      <c r="V81" s="76">
        <f>股权价值增加表!V4</f>
        <v>6350114706</v>
      </c>
      <c r="W81" s="76">
        <f>股权价值增加表!W4</f>
        <v>3998224336.3099999</v>
      </c>
      <c r="X81" s="76">
        <f>股权价值增加表!X4</f>
        <v>2359241990.6399999</v>
      </c>
      <c r="Y81" s="76">
        <f>股权价值增加表!Y4</f>
        <v>6899863926.8100004</v>
      </c>
      <c r="Z81" s="76">
        <f>股权价值增加表!Z4</f>
        <v>4575118340.7200003</v>
      </c>
      <c r="AA81" s="76">
        <f>股权价值增加表!AA4</f>
        <v>3101328731.1399999</v>
      </c>
      <c r="AB81" s="76">
        <f>股权价值增加表!AB4</f>
        <v>1629565324.8699999</v>
      </c>
      <c r="AC81" s="76">
        <f>股权价值增加表!AC4</f>
        <v>10975621704.52</v>
      </c>
      <c r="AD81" s="76">
        <f>股权价值增加表!AD4</f>
        <v>9365771616.3799992</v>
      </c>
      <c r="AE81" s="76">
        <f>股权价值增加表!AE4</f>
        <v>6747514122.5299997</v>
      </c>
      <c r="AF81" s="76">
        <f>股权价值增加表!AF4</f>
        <v>3831419221.9899998</v>
      </c>
      <c r="AG81" s="76">
        <f>股权价值增加表!AG4</f>
        <v>11202366806.139999</v>
      </c>
      <c r="AH81" s="76">
        <f>股权价值增加表!AH4</f>
        <v>5578524408.5699997</v>
      </c>
      <c r="AI81" s="76">
        <f>股权价值增加表!AI4</f>
        <v>3634134845.0599999</v>
      </c>
      <c r="AJ81" s="76">
        <f>股权价值增加表!AJ4</f>
        <v>1662106246.1400001</v>
      </c>
      <c r="AK81" s="76">
        <f>股权价值增加表!AK4</f>
        <v>4375244455.6700001</v>
      </c>
      <c r="AL81" s="76">
        <f>股权价值增加表!AL4</f>
        <v>2917972991.5300002</v>
      </c>
      <c r="AM81" s="76">
        <f>股权价值增加表!AM4</f>
        <v>1902488624.24</v>
      </c>
      <c r="AN81" s="76">
        <f>股权价值增加表!AN4</f>
        <v>974105929.14999998</v>
      </c>
      <c r="AO81" s="76">
        <f>股权价值增加表!AO4</f>
        <v>4292987464.9099998</v>
      </c>
      <c r="AP81" s="76">
        <f>股权价值增加表!AP4</f>
        <v>3424461057.8000002</v>
      </c>
      <c r="AQ81" s="76">
        <f>股权价值增加表!AQ4</f>
        <v>2424428981.79</v>
      </c>
      <c r="AR81" s="76">
        <f>股权价值增加表!AR4</f>
        <v>1137955453.8800001</v>
      </c>
      <c r="AS81" s="76">
        <f>股权价值增加表!AS4</f>
        <v>5000691662.6000004</v>
      </c>
      <c r="AT81" s="76">
        <f>股权价值增加表!AT4</f>
        <v>4087399844.5799999</v>
      </c>
      <c r="AU81" s="76">
        <f>股权价值增加表!AU4</f>
        <v>2838239098.3600001</v>
      </c>
      <c r="AV81" s="76">
        <f>股权价值增加表!AV4</f>
        <v>1448227231.03</v>
      </c>
      <c r="AW81" s="76">
        <f>股权价值增加表!AW4</f>
        <v>4256337912.5599999</v>
      </c>
      <c r="AX81" s="76">
        <f>股权价值增加表!AX4</f>
        <v>3225715910.6500001</v>
      </c>
      <c r="AY81" s="76">
        <f>股权价值增加表!AY4</f>
        <v>2156714477.5300002</v>
      </c>
      <c r="AZ81" s="76">
        <f>股权价值增加表!AZ4</f>
        <v>976143221.25</v>
      </c>
      <c r="BA81" s="76">
        <f>股权价值增加表!BA4</f>
        <v>3260169539.9899998</v>
      </c>
      <c r="BB81" s="76">
        <f>股权价值增加表!BB4</f>
        <v>2185347410.0599999</v>
      </c>
      <c r="BC81" s="76">
        <f>股权价值增加表!BC4</f>
        <v>1396405790.98</v>
      </c>
      <c r="BD81" s="76">
        <f>股权价值增加表!BD4</f>
        <v>722525366.98000002</v>
      </c>
      <c r="BE81" s="76">
        <f>股权价值增加表!BE4</f>
        <v>2422932739.4299998</v>
      </c>
      <c r="BF81" s="76">
        <f>股权价值增加表!BF4</f>
        <v>1631067598.8699999</v>
      </c>
      <c r="BG81" s="76">
        <f>股权价值增加表!BG4</f>
        <v>1096815366.1900001</v>
      </c>
      <c r="BH81" s="76">
        <f>股权价值增加表!BH4</f>
        <v>593622323.5</v>
      </c>
      <c r="BI81" s="76">
        <f>股权价值增加表!BI4</f>
        <v>2901320283.3400002</v>
      </c>
      <c r="BJ81" s="76">
        <f>股权价值增加表!BJ4</f>
        <v>1974796702.98</v>
      </c>
      <c r="BK81" s="76">
        <f>股权价值增加表!BK4</f>
        <v>1379648578.77</v>
      </c>
      <c r="BL81" s="76">
        <f>股权价值增加表!BL4</f>
        <v>844004675.41999996</v>
      </c>
      <c r="BM81" s="76">
        <f>股权价值增加表!BM4</f>
        <v>2941801551.71</v>
      </c>
      <c r="BN81" s="76">
        <f>股权价值增加表!BN4</f>
        <v>2413369231.4699998</v>
      </c>
      <c r="BO81" s="76">
        <f>股权价值增加表!BO4</f>
        <v>1553250340.3699999</v>
      </c>
      <c r="BP81" s="76">
        <f>股权价值增加表!BP4</f>
        <v>704977794.35000002</v>
      </c>
      <c r="BQ81" s="76">
        <f>股权价值增加表!BQ4</f>
        <v>1953492571.3699999</v>
      </c>
      <c r="BR81" s="76">
        <f>股权价值增加表!BR4</f>
        <v>1129633647.3499999</v>
      </c>
      <c r="BS81" s="76">
        <f>股权价值增加表!BS4</f>
        <v>2724863451</v>
      </c>
      <c r="BT81" s="76">
        <f>股权价值增加表!BT4</f>
        <v>1473517142.3199999</v>
      </c>
      <c r="BU81" s="76">
        <f>股权价值增加表!BU4</f>
        <v>2659634845.5700002</v>
      </c>
      <c r="BV81" s="76">
        <f>股权价值增加表!BV4</f>
        <v>1411090743.24</v>
      </c>
      <c r="BW81" s="76">
        <f>股权价值增加表!BW4</f>
        <v>2167165833</v>
      </c>
      <c r="BX81" s="76">
        <f>股权价值增加表!BX4</f>
        <v>1004452329.15</v>
      </c>
      <c r="BY81" s="76">
        <f>股权价值增加表!BY4</f>
        <v>1839356280.23</v>
      </c>
      <c r="BZ81" s="76">
        <f>股权价值增加表!BZ4</f>
        <v>882693130</v>
      </c>
      <c r="CA81" s="76">
        <f>股权价值增加表!CA4</f>
        <v>1353158315.8900001</v>
      </c>
      <c r="CB81" s="76">
        <f>股权价值增加表!CB4</f>
        <v>661118000</v>
      </c>
      <c r="CC81" s="76">
        <f>股权价值增加表!CC4</f>
        <v>1005257323.24</v>
      </c>
      <c r="CD81" s="76">
        <f>股权价值增加表!CD4</f>
        <v>764095148.28999996</v>
      </c>
      <c r="CE81" s="76">
        <f>股权价值增加表!CE4</f>
        <v>484685682.33999997</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1773247213.4000001</v>
      </c>
      <c r="F82" s="76">
        <f>投资和筹资活动现金流表!F34</f>
        <v>1686081497.9100001</v>
      </c>
      <c r="G82" s="76">
        <f>投资和筹资活动现金流表!G34</f>
        <v>1649828568.1099999</v>
      </c>
      <c r="H82" s="76">
        <f>投资和筹资活动现金流表!H34</f>
        <v>1643743768.2</v>
      </c>
      <c r="I82" s="76">
        <f>投资和筹资活动现金流表!I34</f>
        <v>1557920213.7</v>
      </c>
      <c r="J82" s="76">
        <f>投资和筹资活动现金流表!J34</f>
        <v>1574265096.8299999</v>
      </c>
      <c r="K82" s="76">
        <f>投资和筹资活动现金流表!K34</f>
        <v>1575099880.21</v>
      </c>
      <c r="L82" s="76">
        <f>投资和筹资活动现金流表!L34</f>
        <v>1592738527.1300001</v>
      </c>
      <c r="M82" s="76">
        <f>投资和筹资活动现金流表!M34</f>
        <v>1574975654.3199999</v>
      </c>
      <c r="N82" s="76">
        <f>投资和筹资活动现金流表!N34</f>
        <v>1549326111.99</v>
      </c>
      <c r="O82" s="76">
        <f>投资和筹资活动现金流表!O34</f>
        <v>1547280231.3199999</v>
      </c>
      <c r="P82" s="76">
        <f>投资和筹资活动现金流表!P34</f>
        <v>1582797070.1900001</v>
      </c>
      <c r="Q82" s="76">
        <f>投资和筹资活动现金流表!Q34</f>
        <v>1581754599.97</v>
      </c>
      <c r="R82" s="76">
        <f>投资和筹资活动现金流表!R34</f>
        <v>1611648797.77</v>
      </c>
      <c r="S82" s="76">
        <f>投资和筹资活动现金流表!S34</f>
        <v>1587641776.73</v>
      </c>
      <c r="T82" s="76">
        <f>投资和筹资活动现金流表!T34</f>
        <v>1611269167.27</v>
      </c>
      <c r="U82" s="76">
        <f>投资和筹资活动现金流表!U34</f>
        <v>1605874552.1199999</v>
      </c>
      <c r="V82" s="76">
        <f>投资和筹资活动现金流表!V34</f>
        <v>1611279806.4100001</v>
      </c>
      <c r="W82" s="76">
        <f>投资和筹资活动现金流表!W34</f>
        <v>1600898347.98</v>
      </c>
      <c r="X82" s="76">
        <f>投资和筹资活动现金流表!X34</f>
        <v>1644449852.6300001</v>
      </c>
      <c r="Y82" s="76">
        <f>投资和筹资活动现金流表!AZ34</f>
        <v>945454823.67999995</v>
      </c>
      <c r="Z82" s="76">
        <f>投资和筹资活动现金流表!BA34</f>
        <v>953782480.66999996</v>
      </c>
      <c r="AA82" s="76">
        <f>投资和筹资活动现金流表!BB34</f>
        <v>1017626309.47</v>
      </c>
      <c r="AB82" s="76">
        <f>投资和筹资活动现金流表!BC34</f>
        <v>1024816659.09</v>
      </c>
      <c r="AC82" s="76">
        <f>投资和筹资活动现金流表!BD34</f>
        <v>1027024215.91</v>
      </c>
      <c r="AD82" s="76">
        <f>投资和筹资活动现金流表!BE34</f>
        <v>992241526.47000003</v>
      </c>
      <c r="AE82" s="76">
        <f>投资和筹资活动现金流表!BF34</f>
        <v>962494452.22000003</v>
      </c>
      <c r="AF82" s="76">
        <f>投资和筹资活动现金流表!BG34</f>
        <v>986941801.27999997</v>
      </c>
      <c r="AG82" s="76">
        <f>投资和筹资活动现金流表!BH34</f>
        <v>1005897524.88</v>
      </c>
      <c r="AH82" s="76">
        <f>投资和筹资活动现金流表!BI34</f>
        <v>993972856.73000002</v>
      </c>
      <c r="AI82" s="76">
        <f>投资和筹资活动现金流表!BJ34</f>
        <v>825865641.13</v>
      </c>
      <c r="AJ82" s="76">
        <f>投资和筹资活动现金流表!BK34</f>
        <v>816270896.63999999</v>
      </c>
      <c r="AK82" s="76">
        <f>投资和筹资活动现金流表!BL34</f>
        <v>0</v>
      </c>
      <c r="AL82" s="76">
        <f>投资和筹资活动现金流表!BM34</f>
        <v>1013148133.48</v>
      </c>
      <c r="AM82" s="76">
        <f>投资和筹资活动现金流表!BN34</f>
        <v>1057000381.14</v>
      </c>
      <c r="AN82" s="76">
        <f>投资和筹资活动现金流表!BO34</f>
        <v>1030127290.25</v>
      </c>
      <c r="AO82" s="76">
        <f>投资和筹资活动现金流表!BP34</f>
        <v>1048339198.6</v>
      </c>
      <c r="AP82" s="76">
        <f>投资和筹资活动现金流表!BQ34</f>
        <v>1100540967.9400001</v>
      </c>
      <c r="AQ82" s="76">
        <f>投资和筹资活动现金流表!BR34</f>
        <v>1127169277.47</v>
      </c>
      <c r="AR82" s="76">
        <f>投资和筹资活动现金流表!BS34</f>
        <v>1129349547.9400001</v>
      </c>
      <c r="AS82" s="76">
        <f>投资和筹资活动现金流表!AS34</f>
        <v>1122447457.1099999</v>
      </c>
      <c r="AT82" s="76">
        <f>投资和筹资活动现金流表!AT34</f>
        <v>1176648617.8199999</v>
      </c>
      <c r="AU82" s="76">
        <f>投资和筹资活动现金流表!AU34</f>
        <v>1100515768.74</v>
      </c>
      <c r="AV82" s="76">
        <f>投资和筹资活动现金流表!AV34</f>
        <v>1182521439.48</v>
      </c>
      <c r="AW82" s="76">
        <f>投资和筹资活动现金流表!AW34</f>
        <v>1158292663.9300001</v>
      </c>
      <c r="AX82" s="76">
        <f>投资和筹资活动现金流表!AX34</f>
        <v>1225582391.05</v>
      </c>
      <c r="AY82" s="76">
        <f>投资和筹资活动现金流表!AY34</f>
        <v>1059988120.22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583</v>
      </c>
      <c r="E83" s="154">
        <f>E81/E82</f>
        <v>12.059626494857008</v>
      </c>
      <c r="F83" s="154">
        <f t="shared" ref="F83:BQ83" si="46">F81/F82</f>
        <v>9.4758850950292732</v>
      </c>
      <c r="G83" s="154">
        <f t="shared" si="46"/>
        <v>6.405550890851945</v>
      </c>
      <c r="H83" s="154">
        <f t="shared" si="46"/>
        <v>3.4618482840858626</v>
      </c>
      <c r="I83" s="154">
        <f t="shared" si="46"/>
        <v>10.48507770683276</v>
      </c>
      <c r="J83" s="154">
        <f t="shared" si="46"/>
        <v>7.6579452460171336</v>
      </c>
      <c r="K83" s="154">
        <f t="shared" si="46"/>
        <v>5.0693846753740015</v>
      </c>
      <c r="L83" s="154">
        <f t="shared" si="46"/>
        <v>2.6619429382045374</v>
      </c>
      <c r="M83" s="154">
        <f t="shared" si="46"/>
        <v>8.3376697896385057</v>
      </c>
      <c r="N83" s="154">
        <f t="shared" si="46"/>
        <v>6.2039720951931123</v>
      </c>
      <c r="O83" s="154">
        <f t="shared" si="46"/>
        <v>3.9436320202930575</v>
      </c>
      <c r="P83" s="154">
        <f t="shared" si="46"/>
        <v>2.0811085685700625</v>
      </c>
      <c r="Q83" s="154">
        <f t="shared" si="46"/>
        <v>6.8305268647898458</v>
      </c>
      <c r="R83" s="154">
        <f t="shared" si="46"/>
        <v>4.8263091906144009</v>
      </c>
      <c r="S83" s="154">
        <f t="shared" si="46"/>
        <v>3.1329844637906037</v>
      </c>
      <c r="T83" s="154">
        <f t="shared" si="46"/>
        <v>1.5988390647323256</v>
      </c>
      <c r="U83" s="154">
        <f t="shared" si="46"/>
        <v>5.4350173448154866</v>
      </c>
      <c r="V83" s="154">
        <f t="shared" si="46"/>
        <v>3.9410378512397082</v>
      </c>
      <c r="W83" s="154">
        <f t="shared" si="46"/>
        <v>2.4974879519083304</v>
      </c>
      <c r="X83" s="154">
        <f t="shared" si="46"/>
        <v>1.4346694652116141</v>
      </c>
      <c r="Y83" s="154">
        <f t="shared" si="46"/>
        <v>7.2979308518979416</v>
      </c>
      <c r="Z83" s="154">
        <f t="shared" si="46"/>
        <v>4.7968152418842234</v>
      </c>
      <c r="AA83" s="154">
        <f t="shared" si="46"/>
        <v>3.0476106034986787</v>
      </c>
      <c r="AB83" s="154">
        <f t="shared" si="46"/>
        <v>1.5901042497855125</v>
      </c>
      <c r="AC83" s="154">
        <f t="shared" si="46"/>
        <v>10.686818805723092</v>
      </c>
      <c r="AD83" s="154">
        <f t="shared" si="46"/>
        <v>9.4390038781179442</v>
      </c>
      <c r="AE83" s="154">
        <f t="shared" si="46"/>
        <v>7.0104446908413989</v>
      </c>
      <c r="AF83" s="154">
        <f t="shared" si="46"/>
        <v>3.8821126200358478</v>
      </c>
      <c r="AG83" s="154">
        <f t="shared" si="46"/>
        <v>11.136687912097608</v>
      </c>
      <c r="AH83" s="154">
        <f t="shared" si="46"/>
        <v>5.6123508512318807</v>
      </c>
      <c r="AI83" s="154">
        <f t="shared" si="46"/>
        <v>4.4003947664992502</v>
      </c>
      <c r="AJ83" s="154">
        <f t="shared" si="46"/>
        <v>2.0362189231316412</v>
      </c>
      <c r="AK83" s="154" t="e">
        <f t="shared" si="46"/>
        <v>#DIV/0!</v>
      </c>
      <c r="AL83" s="154">
        <f t="shared" si="46"/>
        <v>2.8801049867280857</v>
      </c>
      <c r="AM83" s="154">
        <f t="shared" si="46"/>
        <v>1.7998939812946149</v>
      </c>
      <c r="AN83" s="154">
        <f t="shared" si="46"/>
        <v>0.94561704982458594</v>
      </c>
      <c r="AO83" s="154">
        <f t="shared" si="46"/>
        <v>4.0950366738580897</v>
      </c>
      <c r="AP83" s="154">
        <f t="shared" si="46"/>
        <v>3.1116161574702024</v>
      </c>
      <c r="AQ83" s="154">
        <f t="shared" si="46"/>
        <v>2.1509005171182256</v>
      </c>
      <c r="AR83" s="154">
        <f t="shared" si="46"/>
        <v>1.0076202323325827</v>
      </c>
      <c r="AS83" s="154">
        <f t="shared" si="46"/>
        <v>4.4551677060015225</v>
      </c>
      <c r="AT83" s="154">
        <f t="shared" si="46"/>
        <v>3.4737642000147897</v>
      </c>
      <c r="AU83" s="154">
        <f t="shared" si="46"/>
        <v>2.5790081150854842</v>
      </c>
      <c r="AV83" s="154">
        <f t="shared" si="46"/>
        <v>1.2246942699549201</v>
      </c>
      <c r="AW83" s="154">
        <f t="shared" si="46"/>
        <v>3.6746653459053817</v>
      </c>
      <c r="AX83" s="154">
        <f t="shared" si="46"/>
        <v>2.6319861758836258</v>
      </c>
      <c r="AY83" s="154">
        <f t="shared" si="46"/>
        <v>2.0346591026721841</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584</v>
      </c>
      <c r="E84" s="76">
        <f>资产资本表!E52</f>
        <v>1029668355.84</v>
      </c>
      <c r="F84" s="76">
        <f>资产资本表!F52</f>
        <v>1006798867.34</v>
      </c>
      <c r="G84" s="76">
        <f>资产资本表!G52</f>
        <v>978083778.86000001</v>
      </c>
      <c r="H84" s="76">
        <f>资产资本表!H52</f>
        <v>979174930.67999995</v>
      </c>
      <c r="I84" s="76">
        <f>资产资本表!I52</f>
        <v>970859291.02999997</v>
      </c>
      <c r="J84" s="76">
        <f>资产资本表!J52</f>
        <v>976470361.90999997</v>
      </c>
      <c r="K84" s="76">
        <f>资产资本表!K52</f>
        <v>992560338.03999996</v>
      </c>
      <c r="L84" s="76">
        <f>资产资本表!L52</f>
        <v>1011578889.1</v>
      </c>
      <c r="M84" s="76">
        <f>资产资本表!M52</f>
        <v>1019528291.6</v>
      </c>
      <c r="N84" s="76">
        <f>资产资本表!N52</f>
        <v>1006135467.04</v>
      </c>
      <c r="O84" s="76">
        <f>资产资本表!O52</f>
        <v>1026039242.28</v>
      </c>
      <c r="P84" s="76">
        <f>资产资本表!P52</f>
        <v>1038145055.66</v>
      </c>
      <c r="Q84" s="76">
        <f>资产资本表!Q52</f>
        <v>1065820898.65</v>
      </c>
      <c r="R84" s="76">
        <f>资产资本表!R52</f>
        <v>1121031153.22</v>
      </c>
      <c r="S84" s="76">
        <f>资产资本表!S52</f>
        <v>1131351176.29</v>
      </c>
      <c r="T84" s="76">
        <f>资产资本表!T52</f>
        <v>1165403863.8599999</v>
      </c>
      <c r="U84" s="76">
        <f>资产资本表!U52</f>
        <v>1194244286.8599999</v>
      </c>
      <c r="V84" s="76">
        <f>资产资本表!V52</f>
        <v>1218231681.21</v>
      </c>
      <c r="W84" s="76">
        <f>资产资本表!W52</f>
        <v>1242514876.24</v>
      </c>
      <c r="X84" s="76">
        <f>资产资本表!X52</f>
        <v>1272773028.55</v>
      </c>
      <c r="Y84" s="76">
        <f>资产资本表!Y52</f>
        <v>1297298526.3099999</v>
      </c>
      <c r="Z84" s="76">
        <f>资产资本表!Z52</f>
        <v>1320444706.3599999</v>
      </c>
      <c r="AA84" s="76">
        <f>资产资本表!AA52</f>
        <v>1328967037.77</v>
      </c>
      <c r="AB84" s="76">
        <f>资产资本表!AB52</f>
        <v>1341505281.9300001</v>
      </c>
      <c r="AC84" s="76">
        <f>资产资本表!AC52</f>
        <v>1365332660.3299999</v>
      </c>
      <c r="AD84" s="76">
        <f>资产资本表!AD52</f>
        <v>1233686814.27</v>
      </c>
      <c r="AE84" s="76">
        <f>资产资本表!AE52</f>
        <v>1231089205.72</v>
      </c>
      <c r="AF84" s="76">
        <f>资产资本表!AF52</f>
        <v>1225192549.8299999</v>
      </c>
      <c r="AG84" s="76">
        <f>资产资本表!AG52</f>
        <v>1196176706.6500001</v>
      </c>
      <c r="AH84" s="76">
        <f>资产资本表!AH52</f>
        <v>635145776.71000004</v>
      </c>
      <c r="AI84" s="76">
        <f>资产资本表!AI52</f>
        <v>608502384.62</v>
      </c>
      <c r="AJ84" s="76">
        <f>资产资本表!AJ52</f>
        <v>600346984.88</v>
      </c>
      <c r="AK84" s="76">
        <f>资产资本表!AK52</f>
        <v>591877098.11000001</v>
      </c>
      <c r="AL84" s="76">
        <f>资产资本表!AL52</f>
        <v>338435433.11000001</v>
      </c>
      <c r="AM84" s="76">
        <f>资产资本表!AM52</f>
        <v>341176354.83999997</v>
      </c>
      <c r="AN84" s="76">
        <f>资产资本表!AN52</f>
        <v>444080120.67000002</v>
      </c>
      <c r="AO84" s="76">
        <f>资产资本表!AO52</f>
        <v>502382574.00999999</v>
      </c>
      <c r="AP84" s="76">
        <f>资产资本表!AP52</f>
        <v>549487303.70000005</v>
      </c>
      <c r="AQ84" s="76">
        <f>资产资本表!AQ52</f>
        <v>560278161.63999999</v>
      </c>
      <c r="AR84" s="76">
        <f>资产资本表!AR52</f>
        <v>537945446.71000004</v>
      </c>
      <c r="AS84" s="76">
        <f>资产资本表!AS52</f>
        <v>542475231.64999998</v>
      </c>
      <c r="AT84" s="76">
        <f>资产资本表!AT52</f>
        <v>611432506.63999999</v>
      </c>
      <c r="AU84" s="76">
        <f>资产资本表!AU52</f>
        <v>594704285.50999999</v>
      </c>
      <c r="AV84" s="76">
        <f>资产资本表!AV52</f>
        <v>603951041.86000001</v>
      </c>
      <c r="AW84" s="76">
        <f>资产资本表!AW52</f>
        <v>609313811.38999999</v>
      </c>
      <c r="AX84" s="76">
        <f>资产资本表!AX52</f>
        <v>626363146.78999996</v>
      </c>
      <c r="AY84" s="76">
        <f>资产资本表!AY52</f>
        <v>499149483.16000003</v>
      </c>
      <c r="AZ84" s="76">
        <f>资产资本表!AZ52</f>
        <v>511887141.30000001</v>
      </c>
      <c r="BA84" s="76">
        <f>资产资本表!BA52</f>
        <v>521844995.51999998</v>
      </c>
      <c r="BB84" s="76">
        <f>资产资本表!BB52</f>
        <v>523723978.04000002</v>
      </c>
      <c r="BC84" s="76">
        <f>资产资本表!BC52</f>
        <v>522435026.06999999</v>
      </c>
      <c r="BD84" s="76">
        <f>资产资本表!BD52</f>
        <v>531178411.02999997</v>
      </c>
      <c r="BE84" s="76">
        <f>资产资本表!BE52</f>
        <v>541899685.54999995</v>
      </c>
      <c r="BF84" s="76">
        <f>资产资本表!BF52</f>
        <v>541899233.34000003</v>
      </c>
      <c r="BG84" s="76">
        <f>资产资本表!BG52</f>
        <v>553129104.62</v>
      </c>
      <c r="BH84" s="76">
        <f>资产资本表!BH52</f>
        <v>630413054.82000005</v>
      </c>
      <c r="BI84" s="76">
        <f>资产资本表!BI52</f>
        <v>631657940.36000001</v>
      </c>
      <c r="BJ84" s="76">
        <f>资产资本表!BJ52</f>
        <v>472448954.86000001</v>
      </c>
      <c r="BK84" s="76">
        <f>资产资本表!BK52</f>
        <v>478096995.31999999</v>
      </c>
      <c r="BL84" s="76">
        <f>资产资本表!BL52</f>
        <v>0</v>
      </c>
      <c r="BM84" s="76">
        <f>资产资本表!BM52</f>
        <v>649032231.92999995</v>
      </c>
      <c r="BN84" s="76">
        <f>资产资本表!BN52</f>
        <v>713060504.58000004</v>
      </c>
      <c r="BO84" s="76">
        <f>资产资本表!BO52</f>
        <v>732184962.82000005</v>
      </c>
      <c r="BP84" s="76">
        <f>资产资本表!BP52</f>
        <v>740884519.58000004</v>
      </c>
      <c r="BQ84" s="76">
        <f>资产资本表!BQ52</f>
        <v>700619723.42999995</v>
      </c>
      <c r="BR84" s="76">
        <f>资产资本表!BR52</f>
        <v>669192791.72000003</v>
      </c>
      <c r="BS84" s="76">
        <f>资产资本表!BS52</f>
        <v>669221106.20000005</v>
      </c>
      <c r="BT84" s="76">
        <f>资产资本表!BT52</f>
        <v>625628210.89999998</v>
      </c>
      <c r="BU84" s="76">
        <f>资产资本表!BU52</f>
        <v>606043990.94000006</v>
      </c>
      <c r="BV84" s="76">
        <f>资产资本表!BV52</f>
        <v>672225726.96000004</v>
      </c>
      <c r="BW84" s="76">
        <f>资产资本表!BW52</f>
        <v>501027728.80000001</v>
      </c>
      <c r="BX84" s="76">
        <f>资产资本表!BX52</f>
        <v>312334258.22000003</v>
      </c>
      <c r="BY84" s="76">
        <f>资产资本表!BY52</f>
        <v>129503552.06</v>
      </c>
      <c r="BZ84" s="76">
        <f>资产资本表!BZ52</f>
        <v>123879010</v>
      </c>
      <c r="CA84" s="76">
        <f>资产资本表!CA52</f>
        <v>127278013.04000001</v>
      </c>
      <c r="CB84" s="76">
        <f>资产资本表!CB52</f>
        <v>105225000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585</v>
      </c>
      <c r="E85" s="154">
        <f>E81/E84</f>
        <v>20.768530911299528</v>
      </c>
      <c r="F85" s="154">
        <f t="shared" ref="F85:BQ85" si="48">F81/F84</f>
        <v>15.869221801234371</v>
      </c>
      <c r="G85" s="154">
        <f t="shared" si="48"/>
        <v>10.804862612615397</v>
      </c>
      <c r="H85" s="154">
        <f t="shared" si="48"/>
        <v>5.8114146564886404</v>
      </c>
      <c r="I85" s="154">
        <f t="shared" si="48"/>
        <v>16.825213141195807</v>
      </c>
      <c r="J85" s="154">
        <f t="shared" si="48"/>
        <v>12.346136026759563</v>
      </c>
      <c r="K85" s="154">
        <f t="shared" si="48"/>
        <v>8.0446365716037853</v>
      </c>
      <c r="L85" s="154">
        <f t="shared" si="48"/>
        <v>4.1912490665677335</v>
      </c>
      <c r="M85" s="154">
        <f t="shared" si="48"/>
        <v>12.88010057262054</v>
      </c>
      <c r="N85" s="154">
        <f t="shared" si="48"/>
        <v>9.5533616297395323</v>
      </c>
      <c r="O85" s="154">
        <f t="shared" si="48"/>
        <v>5.947047260142539</v>
      </c>
      <c r="P85" s="154">
        <f t="shared" si="48"/>
        <v>3.1729405511504933</v>
      </c>
      <c r="Q85" s="154">
        <f t="shared" si="48"/>
        <v>10.13699140473314</v>
      </c>
      <c r="R85" s="154">
        <f t="shared" si="48"/>
        <v>6.9385363487695351</v>
      </c>
      <c r="S85" s="154">
        <f t="shared" si="48"/>
        <v>4.3965632641769554</v>
      </c>
      <c r="T85" s="154">
        <f t="shared" si="48"/>
        <v>2.2105299015376136</v>
      </c>
      <c r="U85" s="154">
        <f t="shared" si="48"/>
        <v>7.3083506786691208</v>
      </c>
      <c r="V85" s="154">
        <f t="shared" si="48"/>
        <v>5.2125673662441558</v>
      </c>
      <c r="W85" s="154">
        <f t="shared" si="48"/>
        <v>3.2178482630398033</v>
      </c>
      <c r="X85" s="154">
        <f t="shared" si="48"/>
        <v>1.8536234958779367</v>
      </c>
      <c r="Y85" s="154">
        <f t="shared" si="48"/>
        <v>5.3186400715614646</v>
      </c>
      <c r="Z85" s="154">
        <f t="shared" si="48"/>
        <v>3.4648314455604785</v>
      </c>
      <c r="AA85" s="154">
        <f t="shared" si="48"/>
        <v>2.333638565140046</v>
      </c>
      <c r="AB85" s="154">
        <f t="shared" si="48"/>
        <v>1.2147289666467604</v>
      </c>
      <c r="AC85" s="154">
        <f t="shared" si="48"/>
        <v>8.0387893906142995</v>
      </c>
      <c r="AD85" s="154">
        <f t="shared" si="48"/>
        <v>7.5916930521154473</v>
      </c>
      <c r="AE85" s="154">
        <f t="shared" si="48"/>
        <v>5.4809302942297586</v>
      </c>
      <c r="AF85" s="154">
        <f t="shared" si="48"/>
        <v>3.1271976168330631</v>
      </c>
      <c r="AG85" s="154">
        <f t="shared" si="48"/>
        <v>9.3651437482955426</v>
      </c>
      <c r="AH85" s="154">
        <f t="shared" si="48"/>
        <v>8.7830614846662005</v>
      </c>
      <c r="AI85" s="154">
        <f t="shared" si="48"/>
        <v>5.9722606466521224</v>
      </c>
      <c r="AJ85" s="154">
        <f t="shared" si="48"/>
        <v>2.7685759868890307</v>
      </c>
      <c r="AK85" s="154">
        <f t="shared" si="48"/>
        <v>7.3921502785648645</v>
      </c>
      <c r="AL85" s="154">
        <f t="shared" si="48"/>
        <v>8.6219488447640931</v>
      </c>
      <c r="AM85" s="154">
        <f t="shared" si="48"/>
        <v>5.5762616525175144</v>
      </c>
      <c r="AN85" s="154">
        <f t="shared" si="48"/>
        <v>2.1935364449107304</v>
      </c>
      <c r="AO85" s="154">
        <f t="shared" si="48"/>
        <v>8.5452555223871034</v>
      </c>
      <c r="AP85" s="154">
        <f t="shared" si="48"/>
        <v>6.2321022428384092</v>
      </c>
      <c r="AQ85" s="154">
        <f t="shared" si="48"/>
        <v>4.3271880786740136</v>
      </c>
      <c r="AR85" s="154">
        <f t="shared" si="48"/>
        <v>2.1153733354182629</v>
      </c>
      <c r="AS85" s="154">
        <f t="shared" si="48"/>
        <v>9.2182856853940205</v>
      </c>
      <c r="AT85" s="154">
        <f t="shared" si="48"/>
        <v>6.6849567208021936</v>
      </c>
      <c r="AU85" s="154">
        <f t="shared" si="48"/>
        <v>4.7725216843292362</v>
      </c>
      <c r="AV85" s="154">
        <f t="shared" si="48"/>
        <v>2.3979215708774437</v>
      </c>
      <c r="AW85" s="154">
        <f t="shared" si="48"/>
        <v>6.9854610760425881</v>
      </c>
      <c r="AX85" s="154">
        <f t="shared" si="48"/>
        <v>5.1499133165500268</v>
      </c>
      <c r="AY85" s="154">
        <f t="shared" si="48"/>
        <v>4.3207787452294637</v>
      </c>
      <c r="AZ85" s="154">
        <f t="shared" si="48"/>
        <v>1.9069500725706157</v>
      </c>
      <c r="BA85" s="154">
        <f t="shared" si="48"/>
        <v>6.2473906389412752</v>
      </c>
      <c r="BB85" s="154">
        <f t="shared" si="48"/>
        <v>4.1727083381565002</v>
      </c>
      <c r="BC85" s="154">
        <f t="shared" si="48"/>
        <v>2.6728793463264053</v>
      </c>
      <c r="BD85" s="154">
        <f t="shared" si="48"/>
        <v>1.3602310485077171</v>
      </c>
      <c r="BE85" s="154">
        <f t="shared" si="48"/>
        <v>4.4711831433724667</v>
      </c>
      <c r="BF85" s="154">
        <f t="shared" si="48"/>
        <v>3.0099094047742092</v>
      </c>
      <c r="BG85" s="154">
        <f t="shared" si="48"/>
        <v>1.9829283200411463</v>
      </c>
      <c r="BH85" s="154">
        <f t="shared" si="48"/>
        <v>0.94164027689670105</v>
      </c>
      <c r="BI85" s="154">
        <f t="shared" si="48"/>
        <v>4.5931826356626724</v>
      </c>
      <c r="BJ85" s="154">
        <f t="shared" si="48"/>
        <v>4.1799154864575545</v>
      </c>
      <c r="BK85" s="154">
        <f t="shared" si="48"/>
        <v>2.8857085325260687</v>
      </c>
      <c r="BL85" s="154" t="e">
        <f t="shared" si="48"/>
        <v>#DIV/0!</v>
      </c>
      <c r="BM85" s="154">
        <f t="shared" si="48"/>
        <v>4.532597006718893</v>
      </c>
      <c r="BN85" s="154">
        <f t="shared" si="48"/>
        <v>3.3845223735838506</v>
      </c>
      <c r="BO85" s="154">
        <f t="shared" si="48"/>
        <v>2.1213906584310038</v>
      </c>
      <c r="BP85" s="154">
        <f t="shared" si="48"/>
        <v>0.95153532800178475</v>
      </c>
      <c r="BQ85" s="154">
        <f t="shared" si="48"/>
        <v>2.7882351952730553</v>
      </c>
      <c r="BR85" s="154">
        <f t="shared" ref="BR85:CK85" si="49">BR81/BR84</f>
        <v>1.688054117329248</v>
      </c>
      <c r="BS85" s="154">
        <f t="shared" si="49"/>
        <v>4.0716938329581929</v>
      </c>
      <c r="BT85" s="154">
        <f t="shared" si="49"/>
        <v>2.3552600676370812</v>
      </c>
      <c r="BU85" s="154">
        <f t="shared" si="49"/>
        <v>4.3885178061823416</v>
      </c>
      <c r="BV85" s="154">
        <f t="shared" si="49"/>
        <v>2.0991323102454915</v>
      </c>
      <c r="BW85" s="154">
        <f t="shared" si="49"/>
        <v>4.3254409056171985</v>
      </c>
      <c r="BX85" s="154">
        <f t="shared" si="49"/>
        <v>3.2159531102172281</v>
      </c>
      <c r="BY85" s="154">
        <f t="shared" si="49"/>
        <v>14.203133821208333</v>
      </c>
      <c r="BZ85" s="154">
        <f t="shared" si="49"/>
        <v>7.1254454648935281</v>
      </c>
      <c r="CA85" s="154">
        <f t="shared" si="49"/>
        <v>10.631516658456471</v>
      </c>
      <c r="CB85" s="154">
        <f t="shared" si="49"/>
        <v>6.2828985507246378</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586</v>
      </c>
      <c r="E86" s="76">
        <f>资产资本表!E53</f>
        <v>37972252.600000001</v>
      </c>
      <c r="F86" s="76">
        <f>资产资本表!F53</f>
        <v>14733569.060000001</v>
      </c>
      <c r="G86" s="76">
        <f>资产资本表!G53</f>
        <v>176579.99</v>
      </c>
      <c r="H86" s="76">
        <f>资产资本表!H53</f>
        <v>0</v>
      </c>
      <c r="I86" s="76">
        <f>资产资本表!I53</f>
        <v>0</v>
      </c>
      <c r="J86" s="76">
        <f>资产资本表!J53</f>
        <v>0</v>
      </c>
      <c r="K86" s="76">
        <f>资产资本表!K53</f>
        <v>0</v>
      </c>
      <c r="L86" s="76">
        <f>资产资本表!L53</f>
        <v>0</v>
      </c>
      <c r="M86" s="76">
        <f>资产资本表!M53</f>
        <v>0</v>
      </c>
      <c r="N86" s="76">
        <f>资产资本表!N53</f>
        <v>323748</v>
      </c>
      <c r="O86" s="76">
        <f>资产资本表!O53</f>
        <v>0</v>
      </c>
      <c r="P86" s="76">
        <f>资产资本表!P53</f>
        <v>0</v>
      </c>
      <c r="Q86" s="76">
        <f>资产资本表!Q53</f>
        <v>0</v>
      </c>
      <c r="R86" s="76">
        <f>资产资本表!R53</f>
        <v>2184273.62</v>
      </c>
      <c r="S86" s="76">
        <f>资产资本表!S53</f>
        <v>2957911.82</v>
      </c>
      <c r="T86" s="76">
        <f>资产资本表!T53</f>
        <v>2184273.62</v>
      </c>
      <c r="U86" s="76">
        <f>资产资本表!U53</f>
        <v>0</v>
      </c>
      <c r="V86" s="76">
        <f>资产资本表!V53</f>
        <v>11271.7</v>
      </c>
      <c r="W86" s="76">
        <f>资产资本表!W53</f>
        <v>0</v>
      </c>
      <c r="X86" s="76">
        <f>资产资本表!X53</f>
        <v>0</v>
      </c>
      <c r="Y86" s="76">
        <f>资产资本表!Y53</f>
        <v>0</v>
      </c>
      <c r="Z86" s="76">
        <f>资产资本表!Z53</f>
        <v>4271268.42</v>
      </c>
      <c r="AA86" s="76">
        <f>资产资本表!AA53</f>
        <v>4954600</v>
      </c>
      <c r="AB86" s="76">
        <f>资产资本表!AB53</f>
        <v>1231600</v>
      </c>
      <c r="AC86" s="76">
        <f>资产资本表!AC53</f>
        <v>0</v>
      </c>
      <c r="AD86" s="76">
        <f>资产资本表!AD53</f>
        <v>138966368.16999999</v>
      </c>
      <c r="AE86" s="76">
        <f>资产资本表!AE53</f>
        <v>128321081.51000001</v>
      </c>
      <c r="AF86" s="76">
        <f>资产资本表!AF53</f>
        <v>54515344.68</v>
      </c>
      <c r="AG86" s="76">
        <f>资产资本表!AG53</f>
        <v>26005677.68</v>
      </c>
      <c r="AH86" s="76">
        <f>资产资本表!AH53</f>
        <v>29009230.719999999</v>
      </c>
      <c r="AI86" s="76">
        <f>资产资本表!AI53</f>
        <v>26697578.91</v>
      </c>
      <c r="AJ86" s="76">
        <f>资产资本表!AJ53</f>
        <v>13750456.02</v>
      </c>
      <c r="AK86" s="76">
        <f>资产资本表!AK53</f>
        <v>23101817.68</v>
      </c>
      <c r="AL86" s="76">
        <f>资产资本表!AL53</f>
        <v>263019691.78</v>
      </c>
      <c r="AM86" s="76">
        <f>资产资本表!AM53</f>
        <v>143555141.96000001</v>
      </c>
      <c r="AN86" s="76">
        <f>资产资本表!AN53</f>
        <v>18171591.760000002</v>
      </c>
      <c r="AO86" s="76">
        <f>资产资本表!AO53</f>
        <v>14371339.58</v>
      </c>
      <c r="AP86" s="76">
        <f>资产资本表!AP53</f>
        <v>25880356.350000001</v>
      </c>
      <c r="AQ86" s="76">
        <f>资产资本表!AQ53</f>
        <v>25208391.68</v>
      </c>
      <c r="AR86" s="76">
        <f>资产资本表!AR53</f>
        <v>28974621.399999999</v>
      </c>
      <c r="AS86" s="76">
        <f>资产资本表!AS53</f>
        <v>33992492.18</v>
      </c>
      <c r="AT86" s="76">
        <f>资产资本表!AT53</f>
        <v>32725225.649999999</v>
      </c>
      <c r="AU86" s="76">
        <f>资产资本表!AU53</f>
        <v>39615587.289999999</v>
      </c>
      <c r="AV86" s="76">
        <f>资产资本表!AV53</f>
        <v>34457070.009999998</v>
      </c>
      <c r="AW86" s="76">
        <f>资产资本表!AW53</f>
        <v>24942916.050000001</v>
      </c>
      <c r="AX86" s="76">
        <f>资产资本表!AX53</f>
        <v>39816505.07</v>
      </c>
      <c r="AY86" s="76">
        <f>资产资本表!AY53</f>
        <v>25016263.539999999</v>
      </c>
      <c r="AZ86" s="76">
        <f>资产资本表!AZ53</f>
        <v>24259246.710000001</v>
      </c>
      <c r="BA86" s="76">
        <f>资产资本表!BA53</f>
        <v>26240995.010000002</v>
      </c>
      <c r="BB86" s="76">
        <f>资产资本表!BB53</f>
        <v>48893980.25</v>
      </c>
      <c r="BC86" s="76">
        <f>资产资本表!BC53</f>
        <v>54397732.039999999</v>
      </c>
      <c r="BD86" s="76">
        <f>资产资本表!BD53</f>
        <v>54682931.960000001</v>
      </c>
      <c r="BE86" s="76">
        <f>资产资本表!BE53</f>
        <v>52942158.859999999</v>
      </c>
      <c r="BF86" s="76">
        <f>资产资本表!BF53</f>
        <v>33818304.140000001</v>
      </c>
      <c r="BG86" s="76">
        <f>资产资本表!BG53</f>
        <v>33609338.43</v>
      </c>
      <c r="BH86" s="76">
        <f>资产资本表!BH53</f>
        <v>34299243.170000002</v>
      </c>
      <c r="BI86" s="76">
        <f>资产资本表!BI53</f>
        <v>30586551.109999999</v>
      </c>
      <c r="BJ86" s="76">
        <f>资产资本表!BJ53</f>
        <v>27974877.739999998</v>
      </c>
      <c r="BK86" s="76">
        <f>资产资本表!BK53</f>
        <v>28536334.079999998</v>
      </c>
      <c r="BL86" s="76">
        <f>资产资本表!BL53</f>
        <v>0</v>
      </c>
      <c r="BM86" s="76">
        <f>资产资本表!BM53</f>
        <v>26110979.120000001</v>
      </c>
      <c r="BN86" s="76">
        <f>资产资本表!BN53</f>
        <v>70103857.379999995</v>
      </c>
      <c r="BO86" s="76">
        <f>资产资本表!BO53</f>
        <v>35219441.380000003</v>
      </c>
      <c r="BP86" s="76">
        <f>资产资本表!BP53</f>
        <v>23037010.559999999</v>
      </c>
      <c r="BQ86" s="76">
        <f>资产资本表!BQ53</f>
        <v>13418706.720000001</v>
      </c>
      <c r="BR86" s="76">
        <f>资产资本表!BR53</f>
        <v>78828454.629999995</v>
      </c>
      <c r="BS86" s="76">
        <f>资产资本表!BS53</f>
        <v>63600182.210000001</v>
      </c>
      <c r="BT86" s="76">
        <f>资产资本表!BT53</f>
        <v>73226327.180000007</v>
      </c>
      <c r="BU86" s="76">
        <f>资产资本表!BU53</f>
        <v>84151492.670000002</v>
      </c>
      <c r="BV86" s="76">
        <f>资产资本表!BV53</f>
        <v>135919685.52000001</v>
      </c>
      <c r="BW86" s="76">
        <f>资产资本表!BW53</f>
        <v>142365960.19999999</v>
      </c>
      <c r="BX86" s="76">
        <f>资产资本表!BX53</f>
        <v>197480706.78</v>
      </c>
      <c r="BY86" s="76">
        <f>资产资本表!BY53</f>
        <v>312647903.72000003</v>
      </c>
      <c r="BZ86" s="76">
        <f>资产资本表!BZ53</f>
        <v>83129400</v>
      </c>
      <c r="CA86" s="76">
        <f>资产资本表!CA53</f>
        <v>58919166.469999999</v>
      </c>
      <c r="CB86" s="76">
        <f>资产资本表!CB53</f>
        <v>33571000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587</v>
      </c>
      <c r="E87" s="54">
        <f>E81/E86</f>
        <v>563.16646004430095</v>
      </c>
      <c r="F87" s="54">
        <f t="shared" ref="F87:BQ87" si="50">F81/F86</f>
        <v>1084.4021886337157</v>
      </c>
      <c r="G87" s="54">
        <f t="shared" si="50"/>
        <v>59848.575448497868</v>
      </c>
      <c r="H87" s="54" t="e">
        <f t="shared" si="50"/>
        <v>#DIV/0!</v>
      </c>
      <c r="I87" s="54" t="e">
        <f t="shared" si="50"/>
        <v>#DIV/0!</v>
      </c>
      <c r="J87" s="54" t="e">
        <f t="shared" si="50"/>
        <v>#DIV/0!</v>
      </c>
      <c r="K87" s="54" t="e">
        <f t="shared" si="50"/>
        <v>#DIV/0!</v>
      </c>
      <c r="L87" s="54" t="e">
        <f t="shared" si="50"/>
        <v>#DIV/0!</v>
      </c>
      <c r="M87" s="54" t="e">
        <f t="shared" si="50"/>
        <v>#DIV/0!</v>
      </c>
      <c r="N87" s="54">
        <f t="shared" si="50"/>
        <v>29689.684461803623</v>
      </c>
      <c r="O87" s="54" t="e">
        <f t="shared" si="50"/>
        <v>#DIV/0!</v>
      </c>
      <c r="P87" s="54" t="e">
        <f t="shared" si="50"/>
        <v>#DIV/0!</v>
      </c>
      <c r="Q87" s="54" t="e">
        <f t="shared" si="50"/>
        <v>#DIV/0!</v>
      </c>
      <c r="R87" s="54">
        <f t="shared" si="50"/>
        <v>3561.0535848159902</v>
      </c>
      <c r="S87" s="54">
        <f t="shared" si="50"/>
        <v>1681.6109888495596</v>
      </c>
      <c r="T87" s="54">
        <f t="shared" si="50"/>
        <v>1179.4127186455696</v>
      </c>
      <c r="U87" s="54" t="e">
        <f t="shared" si="50"/>
        <v>#DIV/0!</v>
      </c>
      <c r="V87" s="54">
        <f t="shared" si="50"/>
        <v>563367.9663227374</v>
      </c>
      <c r="W87" s="54" t="e">
        <f t="shared" si="50"/>
        <v>#DIV/0!</v>
      </c>
      <c r="X87" s="54" t="e">
        <f t="shared" si="50"/>
        <v>#DIV/0!</v>
      </c>
      <c r="Y87" s="54" t="e">
        <f t="shared" si="50"/>
        <v>#DIV/0!</v>
      </c>
      <c r="Z87" s="54">
        <f t="shared" si="50"/>
        <v>1071.13810017119</v>
      </c>
      <c r="AA87" s="54">
        <f t="shared" si="50"/>
        <v>625.94936647559837</v>
      </c>
      <c r="AB87" s="54">
        <f t="shared" si="50"/>
        <v>1323.1287145745371</v>
      </c>
      <c r="AC87" s="54" t="e">
        <f t="shared" si="50"/>
        <v>#DIV/0!</v>
      </c>
      <c r="AD87" s="54">
        <f t="shared" si="50"/>
        <v>67.395958746814813</v>
      </c>
      <c r="AE87" s="54">
        <f t="shared" si="50"/>
        <v>52.583052162042208</v>
      </c>
      <c r="AF87" s="54">
        <f t="shared" si="50"/>
        <v>70.28148211260654</v>
      </c>
      <c r="AG87" s="54">
        <f t="shared" si="50"/>
        <v>430.76619436667568</v>
      </c>
      <c r="AH87" s="54">
        <f t="shared" si="50"/>
        <v>192.30170087633402</v>
      </c>
      <c r="AI87" s="54">
        <f t="shared" si="50"/>
        <v>136.12226252092009</v>
      </c>
      <c r="AJ87" s="54">
        <f t="shared" si="50"/>
        <v>120.87644538642728</v>
      </c>
      <c r="AK87" s="54">
        <f t="shared" si="50"/>
        <v>189.38961930505548</v>
      </c>
      <c r="AL87" s="54">
        <f t="shared" si="50"/>
        <v>11.094123682460655</v>
      </c>
      <c r="AM87" s="54">
        <f t="shared" si="50"/>
        <v>13.252667917462034</v>
      </c>
      <c r="AN87" s="54">
        <f t="shared" si="50"/>
        <v>53.605976956528316</v>
      </c>
      <c r="AO87" s="54">
        <f t="shared" si="50"/>
        <v>298.71867135366932</v>
      </c>
      <c r="AP87" s="54">
        <f t="shared" si="50"/>
        <v>132.31892990530633</v>
      </c>
      <c r="AQ87" s="54">
        <f t="shared" si="50"/>
        <v>96.175472539706263</v>
      </c>
      <c r="AR87" s="54">
        <f t="shared" si="50"/>
        <v>39.274213049078881</v>
      </c>
      <c r="AS87" s="54">
        <f t="shared" si="50"/>
        <v>147.11165148233036</v>
      </c>
      <c r="AT87" s="54">
        <f t="shared" si="50"/>
        <v>124.90058550841498</v>
      </c>
      <c r="AU87" s="54">
        <f t="shared" si="50"/>
        <v>71.644503906583381</v>
      </c>
      <c r="AV87" s="54">
        <f t="shared" si="50"/>
        <v>42.0299007028079</v>
      </c>
      <c r="AW87" s="54">
        <f t="shared" si="50"/>
        <v>170.6431559176097</v>
      </c>
      <c r="AX87" s="54">
        <f t="shared" si="50"/>
        <v>81.014541707741103</v>
      </c>
      <c r="AY87" s="54">
        <f t="shared" si="50"/>
        <v>86.212494287226406</v>
      </c>
      <c r="AZ87" s="54">
        <f t="shared" si="50"/>
        <v>40.23798566043768</v>
      </c>
      <c r="BA87" s="54">
        <f t="shared" si="50"/>
        <v>124.23955489293009</v>
      </c>
      <c r="BB87" s="54">
        <f t="shared" si="50"/>
        <v>44.695633263769722</v>
      </c>
      <c r="BC87" s="54">
        <f t="shared" si="50"/>
        <v>25.670294304791756</v>
      </c>
      <c r="BD87" s="54">
        <f t="shared" si="50"/>
        <v>13.212996104680705</v>
      </c>
      <c r="BE87" s="54">
        <f t="shared" si="50"/>
        <v>45.765658061606288</v>
      </c>
      <c r="BF87" s="54">
        <f t="shared" si="50"/>
        <v>48.230319063834635</v>
      </c>
      <c r="BG87" s="54">
        <f t="shared" si="50"/>
        <v>32.6342444518626</v>
      </c>
      <c r="BH87" s="54">
        <f t="shared" si="50"/>
        <v>17.307155162514334</v>
      </c>
      <c r="BI87" s="54">
        <f t="shared" si="50"/>
        <v>94.856078179780113</v>
      </c>
      <c r="BJ87" s="54">
        <f t="shared" si="50"/>
        <v>70.591790296060111</v>
      </c>
      <c r="BK87" s="54">
        <f t="shared" si="50"/>
        <v>48.347085329959803</v>
      </c>
      <c r="BL87" s="54" t="e">
        <f t="shared" si="50"/>
        <v>#DIV/0!</v>
      </c>
      <c r="BM87" s="54">
        <f t="shared" si="50"/>
        <v>112.66530979899922</v>
      </c>
      <c r="BN87" s="54">
        <f t="shared" si="50"/>
        <v>34.425626800937096</v>
      </c>
      <c r="BO87" s="54">
        <f t="shared" si="50"/>
        <v>44.102072023551209</v>
      </c>
      <c r="BP87" s="54">
        <f t="shared" si="50"/>
        <v>30.601965151419371</v>
      </c>
      <c r="BQ87" s="54">
        <f t="shared" si="50"/>
        <v>145.57979484404439</v>
      </c>
      <c r="BR87" s="54">
        <f t="shared" ref="BR87:CK87" si="51">BR81/BR86</f>
        <v>14.330277723344986</v>
      </c>
      <c r="BS87" s="54">
        <f t="shared" si="51"/>
        <v>42.843642208489833</v>
      </c>
      <c r="BT87" s="54">
        <f t="shared" si="51"/>
        <v>20.122778228353578</v>
      </c>
      <c r="BU87" s="54">
        <f t="shared" si="51"/>
        <v>31.605319896103989</v>
      </c>
      <c r="BV87" s="54">
        <f t="shared" si="51"/>
        <v>10.38179817619107</v>
      </c>
      <c r="BW87" s="54">
        <f t="shared" si="51"/>
        <v>15.222500027081615</v>
      </c>
      <c r="BX87" s="54">
        <f t="shared" si="51"/>
        <v>5.0863314474005445</v>
      </c>
      <c r="BY87" s="54">
        <f t="shared" si="51"/>
        <v>5.8831556467983983</v>
      </c>
      <c r="BZ87" s="54">
        <f t="shared" si="51"/>
        <v>10.618302670294746</v>
      </c>
      <c r="CA87" s="54">
        <f t="shared" si="51"/>
        <v>22.966351986309764</v>
      </c>
      <c r="CB87" s="54">
        <f t="shared" si="51"/>
        <v>19.693127997378689</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107983.76</v>
      </c>
      <c r="AS89" s="76">
        <f>资产资本表!AS55</f>
        <v>0</v>
      </c>
      <c r="AT89" s="76">
        <f>资产资本表!AT55</f>
        <v>18589472.82</v>
      </c>
      <c r="AU89" s="76">
        <f>资产资本表!AU55</f>
        <v>23773849.350000001</v>
      </c>
      <c r="AV89" s="76">
        <f>资产资本表!AV55</f>
        <v>23774219.98</v>
      </c>
      <c r="AW89" s="76">
        <f>资产资本表!AW55</f>
        <v>23769472.82</v>
      </c>
      <c r="AX89" s="76">
        <f>资产资本表!AX55</f>
        <v>0</v>
      </c>
      <c r="AY89" s="76">
        <f>资产资本表!AY55</f>
        <v>0</v>
      </c>
      <c r="AZ89" s="76">
        <f>资产资本表!AZ55</f>
        <v>271426.12</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-5213976.13</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167923.35</v>
      </c>
      <c r="BS89" s="76">
        <f>资产资本表!BS55</f>
        <v>0</v>
      </c>
      <c r="BT89" s="76">
        <f>资产资本表!BT55</f>
        <v>-2472</v>
      </c>
      <c r="BU89" s="76">
        <f>资产资本表!BU55</f>
        <v>0</v>
      </c>
      <c r="BV89" s="76">
        <f>资产资本表!BV55</f>
        <v>390413.52</v>
      </c>
      <c r="BW89" s="76">
        <f>资产资本表!BW55</f>
        <v>0</v>
      </c>
      <c r="BX89" s="76">
        <f>资产资本表!BX55</f>
        <v>0</v>
      </c>
      <c r="BY89" s="76">
        <f>资产资本表!BY55</f>
        <v>0</v>
      </c>
      <c r="BZ89" s="76">
        <f>资产资本表!BZ55</f>
        <v>0</v>
      </c>
      <c r="CA89" s="76">
        <f>资产资本表!CA55</f>
        <v>-105000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187045347.27000001</v>
      </c>
      <c r="F92" s="76">
        <f>资产资本表!F58</f>
        <v>188354882.02000001</v>
      </c>
      <c r="G92" s="76">
        <f>资产资本表!G58</f>
        <v>189664416.72999999</v>
      </c>
      <c r="H92" s="76">
        <f>资产资本表!H58</f>
        <v>190973951.44</v>
      </c>
      <c r="I92" s="76">
        <f>资产资本表!I58</f>
        <v>192283486.15000001</v>
      </c>
      <c r="J92" s="76">
        <f>资产资本表!J58</f>
        <v>193593020.90000001</v>
      </c>
      <c r="K92" s="76">
        <f>资产资本表!K58</f>
        <v>194902555.61000001</v>
      </c>
      <c r="L92" s="76">
        <f>资产资本表!L58</f>
        <v>196212090.31999999</v>
      </c>
      <c r="M92" s="76">
        <f>资产资本表!M58</f>
        <v>197521625.03</v>
      </c>
      <c r="N92" s="76">
        <f>资产资本表!N58</f>
        <v>198831363.18000001</v>
      </c>
      <c r="O92" s="76">
        <f>资产资本表!O58</f>
        <v>200141101.34999999</v>
      </c>
      <c r="P92" s="76">
        <f>资产资本表!P58</f>
        <v>201450839.52000001</v>
      </c>
      <c r="Q92" s="76">
        <f>资产资本表!Q58</f>
        <v>202760577.69999999</v>
      </c>
      <c r="R92" s="76">
        <f>资产资本表!R58</f>
        <v>219832882.91999999</v>
      </c>
      <c r="S92" s="76">
        <f>资产资本表!S58</f>
        <v>216719963.63</v>
      </c>
      <c r="T92" s="76">
        <f>资产资本表!T58</f>
        <v>218000617.69</v>
      </c>
      <c r="U92" s="76">
        <f>资产资本表!U58</f>
        <v>219445532.87</v>
      </c>
      <c r="V92" s="76">
        <f>资产资本表!V58</f>
        <v>223995542.93000001</v>
      </c>
      <c r="W92" s="76">
        <f>资产资本表!W58</f>
        <v>225177591.13</v>
      </c>
      <c r="X92" s="76">
        <f>资产资本表!X58</f>
        <v>226620169.22</v>
      </c>
      <c r="Y92" s="76">
        <f>资产资本表!Y58</f>
        <v>308714119.44</v>
      </c>
      <c r="Z92" s="76">
        <f>资产资本表!Z58</f>
        <v>311042262.54000002</v>
      </c>
      <c r="AA92" s="76">
        <f>资产资本表!AA58</f>
        <v>312965665.75999999</v>
      </c>
      <c r="AB92" s="76">
        <f>资产资本表!AB58</f>
        <v>315330607.92000002</v>
      </c>
      <c r="AC92" s="76">
        <f>资产资本表!AC58</f>
        <v>316860016.07999998</v>
      </c>
      <c r="AD92" s="76">
        <f>资产资本表!AD58</f>
        <v>235605597.11000001</v>
      </c>
      <c r="AE92" s="76">
        <f>资产资本表!AE58</f>
        <v>237146005.28</v>
      </c>
      <c r="AF92" s="76">
        <f>资产资本表!AF58</f>
        <v>238686413.44999999</v>
      </c>
      <c r="AG92" s="76">
        <f>资产资本表!AG58</f>
        <v>240226821.62</v>
      </c>
      <c r="AH92" s="76">
        <f>资产资本表!AH58</f>
        <v>138646231.36000001</v>
      </c>
      <c r="AI92" s="76">
        <f>资产资本表!AI58</f>
        <v>139472385.86000001</v>
      </c>
      <c r="AJ92" s="76">
        <f>资产资本表!AJ58</f>
        <v>140682254.34999999</v>
      </c>
      <c r="AK92" s="76">
        <f>资产资本表!AK58</f>
        <v>141527568.63</v>
      </c>
      <c r="AL92" s="76">
        <f>资产资本表!AL58</f>
        <v>125305688.94</v>
      </c>
      <c r="AM92" s="76">
        <f>资产资本表!AM58</f>
        <v>126453013.45999999</v>
      </c>
      <c r="AN92" s="76">
        <f>资产资本表!AN58</f>
        <v>136632298.56</v>
      </c>
      <c r="AO92" s="76">
        <f>资产资本表!AO58</f>
        <v>152351167.31999999</v>
      </c>
      <c r="AP92" s="76">
        <f>资产资本表!AP58</f>
        <v>177193370.65000001</v>
      </c>
      <c r="AQ92" s="76">
        <f>资产资本表!AQ58</f>
        <v>204410221.65000001</v>
      </c>
      <c r="AR92" s="76">
        <f>资产资本表!AR58</f>
        <v>192792650.75</v>
      </c>
      <c r="AS92" s="76">
        <f>资产资本表!AS58</f>
        <v>193627535.50999999</v>
      </c>
      <c r="AT92" s="76">
        <f>资产资本表!AT58</f>
        <v>219369807.25999999</v>
      </c>
      <c r="AU92" s="76">
        <f>资产资本表!AU58</f>
        <v>192797906.27000001</v>
      </c>
      <c r="AV92" s="76">
        <f>资产资本表!AV58</f>
        <v>193806036.75</v>
      </c>
      <c r="AW92" s="76">
        <f>资产资本表!AW58</f>
        <v>194280109.22999999</v>
      </c>
      <c r="AX92" s="76">
        <f>资产资本表!AX58</f>
        <v>193864411.69</v>
      </c>
      <c r="AY92" s="76">
        <f>资产资本表!AY58</f>
        <v>69299783.290000007</v>
      </c>
      <c r="AZ92" s="76">
        <f>资产资本表!AZ58</f>
        <v>70769813.439999998</v>
      </c>
      <c r="BA92" s="76">
        <f>资产资本表!BA58</f>
        <v>71576591.659999996</v>
      </c>
      <c r="BB92" s="76">
        <f>资产资本表!BB58</f>
        <v>72778458.879999995</v>
      </c>
      <c r="BC92" s="76">
        <f>资产资本表!BC58</f>
        <v>74077435.909999996</v>
      </c>
      <c r="BD92" s="76">
        <f>资产资本表!BD58</f>
        <v>74706664.090000004</v>
      </c>
      <c r="BE92" s="76">
        <f>资产资本表!BE58</f>
        <v>75760719.189999998</v>
      </c>
      <c r="BF92" s="76">
        <f>资产资本表!BF58</f>
        <v>77113930.879999995</v>
      </c>
      <c r="BG92" s="76">
        <f>资产资本表!BG58</f>
        <v>78251315.989999995</v>
      </c>
      <c r="BH92" s="76">
        <f>资产资本表!BH58</f>
        <v>80906952.900000006</v>
      </c>
      <c r="BI92" s="76">
        <f>资产资本表!BI58</f>
        <v>80036126.980000004</v>
      </c>
      <c r="BJ92" s="76">
        <f>资产资本表!BJ58</f>
        <v>56449571.43</v>
      </c>
      <c r="BK92" s="76">
        <f>资产资本表!BK58</f>
        <v>54212726.509999998</v>
      </c>
      <c r="BL92" s="76">
        <f>资产资本表!BL58</f>
        <v>0</v>
      </c>
      <c r="BM92" s="76">
        <f>资产资本表!BM58</f>
        <v>81029141.540000007</v>
      </c>
      <c r="BN92" s="76">
        <f>资产资本表!BN58</f>
        <v>62469250.799999997</v>
      </c>
      <c r="BO92" s="76">
        <f>资产资本表!BO58</f>
        <v>62096415.049999997</v>
      </c>
      <c r="BP92" s="76">
        <f>资产资本表!BP58</f>
        <v>66023108.710000001</v>
      </c>
      <c r="BQ92" s="76">
        <f>资产资本表!BQ58</f>
        <v>68917394.900000006</v>
      </c>
      <c r="BR92" s="76">
        <f>资产资本表!BR58</f>
        <v>61090975.899999999</v>
      </c>
      <c r="BS92" s="76">
        <f>资产资本表!BS58</f>
        <v>62301682.840000004</v>
      </c>
      <c r="BT92" s="76">
        <f>资产资本表!BT58</f>
        <v>56418306.109999999</v>
      </c>
      <c r="BU92" s="76">
        <f>资产资本表!BU58</f>
        <v>57365070.359999999</v>
      </c>
      <c r="BV92" s="76">
        <f>资产资本表!BV58</f>
        <v>40520371.590000004</v>
      </c>
      <c r="BW92" s="76">
        <f>资产资本表!BW58</f>
        <v>20820283.829999998</v>
      </c>
      <c r="BX92" s="76">
        <f>资产资本表!BX58</f>
        <v>10965122.130000001</v>
      </c>
      <c r="BY92" s="76">
        <f>资产资本表!BY58</f>
        <v>10348591.18</v>
      </c>
      <c r="BZ92" s="76">
        <f>资产资本表!BZ58</f>
        <v>9732310</v>
      </c>
      <c r="CA92" s="76">
        <f>资产资本表!CA58</f>
        <v>9836062.3100000005</v>
      </c>
      <c r="CB92" s="76">
        <f>资产资本表!CB58</f>
        <v>12477000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691</v>
      </c>
      <c r="E93" s="154">
        <f>E81/E92</f>
        <v>114.32895492332767</v>
      </c>
      <c r="F93" s="154">
        <f t="shared" ref="F93:BQ93" si="52">F81/F92</f>
        <v>84.824531032614843</v>
      </c>
      <c r="G93" s="154">
        <f t="shared" si="52"/>
        <v>55.719786749743058</v>
      </c>
      <c r="H93" s="154">
        <f t="shared" si="52"/>
        <v>29.796689551181025</v>
      </c>
      <c r="I93" s="154">
        <f t="shared" si="52"/>
        <v>84.952248519912743</v>
      </c>
      <c r="J93" s="154">
        <f t="shared" si="52"/>
        <v>62.273091551514703</v>
      </c>
      <c r="K93" s="154">
        <f t="shared" si="52"/>
        <v>40.968099006857344</v>
      </c>
      <c r="L93" s="154">
        <f t="shared" si="52"/>
        <v>21.608143859970067</v>
      </c>
      <c r="M93" s="154">
        <f t="shared" si="52"/>
        <v>66.481970925692522</v>
      </c>
      <c r="N93" s="154">
        <f t="shared" si="52"/>
        <v>48.342353094659295</v>
      </c>
      <c r="O93" s="154">
        <f t="shared" si="52"/>
        <v>30.488009826273501</v>
      </c>
      <c r="P93" s="154">
        <f t="shared" si="52"/>
        <v>16.351247544704201</v>
      </c>
      <c r="Q93" s="154">
        <f t="shared" si="52"/>
        <v>53.285591366708765</v>
      </c>
      <c r="R93" s="154">
        <f t="shared" si="52"/>
        <v>35.382856747371271</v>
      </c>
      <c r="S93" s="154">
        <f t="shared" si="52"/>
        <v>22.951540491452235</v>
      </c>
      <c r="T93" s="154">
        <f t="shared" si="52"/>
        <v>11.817214628691266</v>
      </c>
      <c r="U93" s="154">
        <f t="shared" si="52"/>
        <v>39.772766983324559</v>
      </c>
      <c r="V93" s="154">
        <f t="shared" si="52"/>
        <v>28.349290449874935</v>
      </c>
      <c r="W93" s="154">
        <f t="shared" si="52"/>
        <v>17.755871338021983</v>
      </c>
      <c r="X93" s="154">
        <f t="shared" si="52"/>
        <v>10.41055612463901</v>
      </c>
      <c r="Y93" s="154">
        <f t="shared" si="52"/>
        <v>22.350334799477874</v>
      </c>
      <c r="Z93" s="154">
        <f t="shared" si="52"/>
        <v>14.708992608782996</v>
      </c>
      <c r="AA93" s="154">
        <f t="shared" si="52"/>
        <v>9.9094855137185451</v>
      </c>
      <c r="AB93" s="154">
        <f t="shared" si="52"/>
        <v>5.1677993951142982</v>
      </c>
      <c r="AC93" s="154">
        <f t="shared" si="52"/>
        <v>34.638708412325855</v>
      </c>
      <c r="AD93" s="154">
        <f t="shared" si="52"/>
        <v>39.751906284328591</v>
      </c>
      <c r="AE93" s="154">
        <f t="shared" si="52"/>
        <v>28.452995084455086</v>
      </c>
      <c r="AF93" s="154">
        <f t="shared" si="52"/>
        <v>16.052104376659901</v>
      </c>
      <c r="AG93" s="154">
        <f t="shared" si="52"/>
        <v>46.632456486729581</v>
      </c>
      <c r="AH93" s="154">
        <f t="shared" si="52"/>
        <v>40.235672862143339</v>
      </c>
      <c r="AI93" s="154">
        <f t="shared" si="52"/>
        <v>26.056303709523419</v>
      </c>
      <c r="AJ93" s="154">
        <f t="shared" si="52"/>
        <v>11.814611969501755</v>
      </c>
      <c r="AK93" s="154">
        <f t="shared" si="52"/>
        <v>30.91443241781635</v>
      </c>
      <c r="AL93" s="154">
        <f t="shared" si="52"/>
        <v>23.286835707253566</v>
      </c>
      <c r="AM93" s="154">
        <f t="shared" si="52"/>
        <v>15.045024014724655</v>
      </c>
      <c r="AN93" s="154">
        <f t="shared" si="52"/>
        <v>7.1293972173221993</v>
      </c>
      <c r="AO93" s="154">
        <f t="shared" si="52"/>
        <v>28.178238082632895</v>
      </c>
      <c r="AP93" s="154">
        <f t="shared" si="52"/>
        <v>19.326124026186868</v>
      </c>
      <c r="AQ93" s="154">
        <f t="shared" si="52"/>
        <v>11.86060541503258</v>
      </c>
      <c r="AR93" s="154">
        <f t="shared" si="52"/>
        <v>5.9024835721337787</v>
      </c>
      <c r="AS93" s="154">
        <f t="shared" si="52"/>
        <v>25.826345666325629</v>
      </c>
      <c r="AT93" s="154">
        <f t="shared" si="52"/>
        <v>18.632463125317695</v>
      </c>
      <c r="AU93" s="154">
        <f t="shared" si="52"/>
        <v>14.721317016717206</v>
      </c>
      <c r="AV93" s="154">
        <f t="shared" si="52"/>
        <v>7.4725599641570506</v>
      </c>
      <c r="AW93" s="154">
        <f t="shared" si="52"/>
        <v>21.908253652056072</v>
      </c>
      <c r="AX93" s="154">
        <f t="shared" si="52"/>
        <v>16.639030766555027</v>
      </c>
      <c r="AY93" s="154">
        <f t="shared" si="52"/>
        <v>31.121518353163669</v>
      </c>
      <c r="AZ93" s="154">
        <f t="shared" si="52"/>
        <v>13.793214561425867</v>
      </c>
      <c r="BA93" s="154">
        <f t="shared" si="52"/>
        <v>45.547985233444962</v>
      </c>
      <c r="BB93" s="154">
        <f t="shared" si="52"/>
        <v>30.027393320642958</v>
      </c>
      <c r="BC93" s="154">
        <f t="shared" si="52"/>
        <v>18.85062264677406</v>
      </c>
      <c r="BD93" s="154">
        <f t="shared" si="52"/>
        <v>9.6714981960587227</v>
      </c>
      <c r="BE93" s="154">
        <f t="shared" si="52"/>
        <v>31.981385147011828</v>
      </c>
      <c r="BF93" s="154">
        <f t="shared" si="52"/>
        <v>21.151400016271612</v>
      </c>
      <c r="BG93" s="154">
        <f t="shared" si="52"/>
        <v>14.016574064136709</v>
      </c>
      <c r="BH93" s="154">
        <f t="shared" si="52"/>
        <v>7.3370990035146901</v>
      </c>
      <c r="BI93" s="154">
        <f t="shared" si="52"/>
        <v>36.250133443676035</v>
      </c>
      <c r="BJ93" s="154">
        <f t="shared" si="52"/>
        <v>34.983378136516706</v>
      </c>
      <c r="BK93" s="154">
        <f t="shared" si="52"/>
        <v>25.448795284544712</v>
      </c>
      <c r="BL93" s="154" t="e">
        <f t="shared" si="52"/>
        <v>#DIV/0!</v>
      </c>
      <c r="BM93" s="154">
        <f t="shared" si="52"/>
        <v>36.305475978142759</v>
      </c>
      <c r="BN93" s="154">
        <f t="shared" si="52"/>
        <v>38.632914603003371</v>
      </c>
      <c r="BO93" s="154">
        <f t="shared" si="52"/>
        <v>25.013526773153064</v>
      </c>
      <c r="BP93" s="154">
        <f t="shared" si="52"/>
        <v>10.677743113347564</v>
      </c>
      <c r="BQ93" s="154">
        <f t="shared" si="52"/>
        <v>28.34542098122748</v>
      </c>
      <c r="BR93" s="154">
        <f t="shared" ref="BR93:CK93" si="53">BR81/BR92</f>
        <v>18.491006743763606</v>
      </c>
      <c r="BS93" s="154">
        <f t="shared" si="53"/>
        <v>43.736594691958082</v>
      </c>
      <c r="BT93" s="154">
        <f t="shared" si="53"/>
        <v>26.117713272834735</v>
      </c>
      <c r="BU93" s="154">
        <f t="shared" si="53"/>
        <v>46.363315322010529</v>
      </c>
      <c r="BV93" s="154">
        <f t="shared" si="53"/>
        <v>34.824230081548464</v>
      </c>
      <c r="BW93" s="154">
        <f t="shared" si="53"/>
        <v>104.0891589516818</v>
      </c>
      <c r="BX93" s="154">
        <f t="shared" si="53"/>
        <v>91.604299271949827</v>
      </c>
      <c r="BY93" s="154">
        <f t="shared" si="53"/>
        <v>177.7397761914487</v>
      </c>
      <c r="BZ93" s="154">
        <f t="shared" si="53"/>
        <v>90.697185971264787</v>
      </c>
      <c r="CA93" s="154">
        <f t="shared" si="53"/>
        <v>137.57114109721414</v>
      </c>
      <c r="CB93" s="154">
        <f t="shared" si="53"/>
        <v>52.986935962170392</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22382020.52</v>
      </c>
      <c r="F96" s="76">
        <f>资产资本表!F61</f>
        <v>10409765.85</v>
      </c>
      <c r="G96" s="76">
        <f>资产资本表!G61</f>
        <v>5100503.1500000004</v>
      </c>
      <c r="H96" s="76">
        <f>资产资本表!H61</f>
        <v>4477822.34</v>
      </c>
      <c r="I96" s="76">
        <f>资产资本表!I61</f>
        <v>4387728.1399999997</v>
      </c>
      <c r="J96" s="76">
        <f>资产资本表!J61</f>
        <v>2466998.75</v>
      </c>
      <c r="K96" s="76">
        <f>资产资本表!K61</f>
        <v>3009579.2</v>
      </c>
      <c r="L96" s="76">
        <f>资产资本表!L61</f>
        <v>3604078.32</v>
      </c>
      <c r="M96" s="76">
        <f>资产资本表!M61</f>
        <v>4238244.38</v>
      </c>
      <c r="N96" s="76">
        <f>资产资本表!N61</f>
        <v>4895619.38</v>
      </c>
      <c r="O96" s="76">
        <f>资产资本表!O61</f>
        <v>5492490.3899999997</v>
      </c>
      <c r="P96" s="76">
        <f>资产资本表!P61</f>
        <v>6264755.5</v>
      </c>
      <c r="Q96" s="76">
        <f>资产资本表!Q61</f>
        <v>1851978.15</v>
      </c>
      <c r="R96" s="76">
        <f>资产资本表!R61</f>
        <v>2578135.48</v>
      </c>
      <c r="S96" s="76">
        <f>资产资本表!S61</f>
        <v>3466516.25</v>
      </c>
      <c r="T96" s="76">
        <f>资产资本表!T61</f>
        <v>5185794.33</v>
      </c>
      <c r="U96" s="76">
        <f>资产资本表!U61</f>
        <v>7147835.7400000002</v>
      </c>
      <c r="V96" s="76">
        <f>资产资本表!V61</f>
        <v>11151330.720000001</v>
      </c>
      <c r="W96" s="76">
        <f>资产资本表!W61</f>
        <v>15766638.57</v>
      </c>
      <c r="X96" s="76">
        <f>资产资本表!X61</f>
        <v>21368837.239999998</v>
      </c>
      <c r="Y96" s="76">
        <f>资产资本表!Y61</f>
        <v>27729917.870000001</v>
      </c>
      <c r="Z96" s="76">
        <f>资产资本表!Z61</f>
        <v>34748502.109999999</v>
      </c>
      <c r="AA96" s="76">
        <f>资产资本表!AA61</f>
        <v>43120404.200000003</v>
      </c>
      <c r="AB96" s="76">
        <f>资产资本表!AB61</f>
        <v>48098172.579999998</v>
      </c>
      <c r="AC96" s="76">
        <f>资产资本表!AC61</f>
        <v>52754858.43</v>
      </c>
      <c r="AD96" s="76">
        <f>资产资本表!AD61</f>
        <v>55005355.549999997</v>
      </c>
      <c r="AE96" s="76">
        <f>资产资本表!AE61</f>
        <v>61812067.109999999</v>
      </c>
      <c r="AF96" s="76">
        <f>资产资本表!AF61</f>
        <v>64066270.32</v>
      </c>
      <c r="AG96" s="76">
        <f>资产资本表!AG61</f>
        <v>63595950.350000001</v>
      </c>
      <c r="AH96" s="76">
        <f>资产资本表!AH61</f>
        <v>37619606.43</v>
      </c>
      <c r="AI96" s="76">
        <f>资产资本表!AI61</f>
        <v>27867467.640000001</v>
      </c>
      <c r="AJ96" s="76">
        <f>资产资本表!AJ61</f>
        <v>23830162.030000001</v>
      </c>
      <c r="AK96" s="76">
        <f>资产资本表!AK61</f>
        <v>16773746.67</v>
      </c>
      <c r="AL96" s="76">
        <f>资产资本表!AL61</f>
        <v>15528139.880000001</v>
      </c>
      <c r="AM96" s="76">
        <f>资产资本表!AM61</f>
        <v>13131718.52</v>
      </c>
      <c r="AN96" s="76">
        <f>资产资本表!AN61</f>
        <v>47743781.579999998</v>
      </c>
      <c r="AO96" s="76">
        <f>资产资本表!AO61</f>
        <v>16339825.279999999</v>
      </c>
      <c r="AP96" s="76">
        <f>资产资本表!AP61</f>
        <v>23080750.82</v>
      </c>
      <c r="AQ96" s="76">
        <f>资产资本表!AQ61</f>
        <v>19714453.57</v>
      </c>
      <c r="AR96" s="76">
        <f>资产资本表!AR61</f>
        <v>19706926.510000002</v>
      </c>
      <c r="AS96" s="76">
        <f>资产资本表!AS61</f>
        <v>17315277.280000001</v>
      </c>
      <c r="AT96" s="76">
        <f>资产资本表!AT61</f>
        <v>5486766.5</v>
      </c>
      <c r="AU96" s="76">
        <f>资产资本表!AU61</f>
        <v>4817919.6399999997</v>
      </c>
      <c r="AV96" s="76">
        <f>资产资本表!AV61</f>
        <v>5008119.3499999996</v>
      </c>
      <c r="AW96" s="76">
        <f>资产资本表!AW61</f>
        <v>4233286.45</v>
      </c>
      <c r="AX96" s="76">
        <f>资产资本表!AX61</f>
        <v>4589931.2699999996</v>
      </c>
      <c r="AY96" s="76">
        <f>资产资本表!AY61</f>
        <v>4618884.8099999996</v>
      </c>
      <c r="AZ96" s="76">
        <f>资产资本表!AZ61</f>
        <v>4473835.7300000004</v>
      </c>
      <c r="BA96" s="76">
        <f>资产资本表!BA61</f>
        <v>5096799.8600000003</v>
      </c>
      <c r="BB96" s="76">
        <f>资产资本表!BB61</f>
        <v>12774601.34</v>
      </c>
      <c r="BC96" s="76">
        <f>资产资本表!BC61</f>
        <v>22137508.510000002</v>
      </c>
      <c r="BD96" s="76">
        <f>资产资本表!BD61</f>
        <v>18151662.59</v>
      </c>
      <c r="BE96" s="76">
        <f>资产资本表!BE61</f>
        <v>13075040.18</v>
      </c>
      <c r="BF96" s="76">
        <f>资产资本表!BF61</f>
        <v>7663191.7400000002</v>
      </c>
      <c r="BG96" s="76">
        <f>资产资本表!BG61</f>
        <v>6921687.2800000003</v>
      </c>
      <c r="BH96" s="76">
        <f>资产资本表!BH61</f>
        <v>7176935.3300000001</v>
      </c>
      <c r="BI96" s="76">
        <f>资产资本表!BI61</f>
        <v>6908536.3899999997</v>
      </c>
      <c r="BJ96" s="76">
        <f>资产资本表!BJ61</f>
        <v>5783075.9100000001</v>
      </c>
      <c r="BK96" s="76">
        <f>资产资本表!BK61</f>
        <v>5428274.8099999996</v>
      </c>
      <c r="BL96" s="76">
        <f>资产资本表!BL61</f>
        <v>0</v>
      </c>
      <c r="BM96" s="76">
        <f>资产资本表!BM61</f>
        <v>5769635.2199999997</v>
      </c>
      <c r="BN96" s="76">
        <f>资产资本表!BN61</f>
        <v>12749880.43</v>
      </c>
      <c r="BO96" s="76">
        <f>资产资本表!BO61</f>
        <v>14519046.380000001</v>
      </c>
      <c r="BP96" s="76">
        <f>资产资本表!BP61</f>
        <v>15873903.35</v>
      </c>
      <c r="BQ96" s="76">
        <f>资产资本表!BQ61</f>
        <v>16333051.18</v>
      </c>
      <c r="BR96" s="76">
        <f>资产资本表!BR61</f>
        <v>18234195.800000001</v>
      </c>
      <c r="BS96" s="76">
        <f>资产资本表!BS61</f>
        <v>30430783.710000001</v>
      </c>
      <c r="BT96" s="76">
        <f>资产资本表!BT61</f>
        <v>8821940.5600000005</v>
      </c>
      <c r="BU96" s="76">
        <f>资产资本表!BU61</f>
        <v>8550024.2699999996</v>
      </c>
      <c r="BV96" s="76">
        <f>资产资本表!BV61</f>
        <v>7765254.3499999996</v>
      </c>
      <c r="BW96" s="76">
        <f>资产资本表!BW61</f>
        <v>0</v>
      </c>
      <c r="BX96" s="76">
        <f>资产资本表!BX61</f>
        <v>2399437.86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407151474.63999999</v>
      </c>
      <c r="F97" s="76">
        <f>资产资本表!F62</f>
        <v>363760831.94</v>
      </c>
      <c r="G97" s="76">
        <f>资产资本表!G62</f>
        <v>349220299.11000001</v>
      </c>
      <c r="H97" s="76">
        <f>资产资本表!H62</f>
        <v>351507376.69</v>
      </c>
      <c r="I97" s="76">
        <f>资产资本表!I62</f>
        <v>299879029.23000002</v>
      </c>
      <c r="J97" s="76">
        <f>资产资本表!J62</f>
        <v>306719068.56999999</v>
      </c>
      <c r="K97" s="76">
        <f>资产资本表!K62</f>
        <v>288709031.33999997</v>
      </c>
      <c r="L97" s="76">
        <f>资产资本表!L62</f>
        <v>290303246.88999999</v>
      </c>
      <c r="M97" s="76">
        <f>资产资本表!M62</f>
        <v>251881220.88999999</v>
      </c>
      <c r="N97" s="76">
        <f>资产资本表!N62</f>
        <v>266557659.56</v>
      </c>
      <c r="O97" s="76">
        <f>资产资本表!O62</f>
        <v>241771197.84</v>
      </c>
      <c r="P97" s="76">
        <f>资产资本表!P62</f>
        <v>261908169.21000001</v>
      </c>
      <c r="Q97" s="76">
        <f>资产资本表!Q62</f>
        <v>235241927.5</v>
      </c>
      <c r="R97" s="76">
        <f>资产资本表!R62</f>
        <v>254143830.40000001</v>
      </c>
      <c r="S97" s="76">
        <f>资产资本表!S62</f>
        <v>219585580.84999999</v>
      </c>
      <c r="T97" s="76">
        <f>资产资本表!T62</f>
        <v>206720120.59</v>
      </c>
      <c r="U97" s="76">
        <f>资产资本表!U62</f>
        <v>170990970.66999999</v>
      </c>
      <c r="V97" s="76">
        <f>资产资本表!V62</f>
        <v>148300161</v>
      </c>
      <c r="W97" s="76">
        <f>资产资本表!W62</f>
        <v>107737533.48</v>
      </c>
      <c r="X97" s="76">
        <f>资产资本表!X62</f>
        <v>113960277.77</v>
      </c>
      <c r="Y97" s="76">
        <f>资产资本表!Y62</f>
        <v>100308918.86</v>
      </c>
      <c r="Z97" s="76">
        <f>资产资本表!Z62</f>
        <v>102814786.84999999</v>
      </c>
      <c r="AA97" s="76">
        <f>资产资本表!AA62</f>
        <v>86597767.269999996</v>
      </c>
      <c r="AB97" s="76">
        <f>资产资本表!AB62</f>
        <v>94767666.099999994</v>
      </c>
      <c r="AC97" s="76">
        <f>资产资本表!AC62</f>
        <v>104762053.25</v>
      </c>
      <c r="AD97" s="76">
        <f>资产资本表!AD62</f>
        <v>141524947.63999999</v>
      </c>
      <c r="AE97" s="76">
        <f>资产资本表!AE62</f>
        <v>141547160.43000001</v>
      </c>
      <c r="AF97" s="76">
        <f>资产资本表!AF62</f>
        <v>165443502.31999999</v>
      </c>
      <c r="AG97" s="76">
        <f>资产资本表!AG62</f>
        <v>123064955.62</v>
      </c>
      <c r="AH97" s="76">
        <f>资产资本表!AH62</f>
        <v>99465612.909999996</v>
      </c>
      <c r="AI97" s="76">
        <f>资产资本表!AI62</f>
        <v>95401093.120000005</v>
      </c>
      <c r="AJ97" s="76">
        <f>资产资本表!AJ62</f>
        <v>97518838.549999997</v>
      </c>
      <c r="AK97" s="76">
        <f>资产资本表!AK62</f>
        <v>80045127.370000005</v>
      </c>
      <c r="AL97" s="76">
        <f>资产资本表!AL62</f>
        <v>84920966.140000001</v>
      </c>
      <c r="AM97" s="76">
        <f>资产资本表!AM62</f>
        <v>73913437.840000004</v>
      </c>
      <c r="AN97" s="76">
        <f>资产资本表!AN62</f>
        <v>78911685.900000006</v>
      </c>
      <c r="AO97" s="76">
        <f>资产资本表!AO62</f>
        <v>73949611.439999998</v>
      </c>
      <c r="AP97" s="76">
        <f>资产资本表!AP62</f>
        <v>46271836.68</v>
      </c>
      <c r="AQ97" s="76">
        <f>资产资本表!AQ62</f>
        <v>43975216.390000001</v>
      </c>
      <c r="AR97" s="76">
        <f>资产资本表!AR62</f>
        <v>48350207.75</v>
      </c>
      <c r="AS97" s="76">
        <f>资产资本表!AS62</f>
        <v>48371473.659999996</v>
      </c>
      <c r="AT97" s="76">
        <f>资产资本表!AT62</f>
        <v>36411150.060000002</v>
      </c>
      <c r="AU97" s="76">
        <f>资产资本表!AU62</f>
        <v>36411150.060000002</v>
      </c>
      <c r="AV97" s="76">
        <f>资产资本表!AV62</f>
        <v>52164746.210000001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33086.730000000003</v>
      </c>
      <c r="Q98" s="76">
        <f>资产资本表!Q63</f>
        <v>37336.160000000003</v>
      </c>
      <c r="R98" s="76">
        <f>资产资本表!R63</f>
        <v>273998.40000000002</v>
      </c>
      <c r="S98" s="76">
        <f>资产资本表!S63</f>
        <v>245747.1</v>
      </c>
      <c r="T98" s="76">
        <f>资产资本表!T63</f>
        <v>1648222.52</v>
      </c>
      <c r="U98" s="76">
        <f>资产资本表!U63</f>
        <v>2284388.4</v>
      </c>
      <c r="V98" s="76">
        <f>资产资本表!V63</f>
        <v>2306550.9</v>
      </c>
      <c r="W98" s="76">
        <f>资产资本表!W63</f>
        <v>1792680.9</v>
      </c>
      <c r="X98" s="76">
        <f>资产资本表!X63</f>
        <v>808784.39</v>
      </c>
      <c r="Y98" s="76">
        <f>资产资本表!Y63</f>
        <v>211685.1</v>
      </c>
      <c r="Z98" s="76">
        <f>资产资本表!Z63</f>
        <v>53595</v>
      </c>
      <c r="AA98" s="76">
        <f>资产资本表!AA63</f>
        <v>19176.599999999999</v>
      </c>
      <c r="AB98" s="76">
        <f>资产资本表!AB63</f>
        <v>237326.1</v>
      </c>
      <c r="AC98" s="76">
        <f>资产资本表!AC63</f>
        <v>671488.8</v>
      </c>
      <c r="AD98" s="76">
        <f>资产资本表!AD63</f>
        <v>1626956.55</v>
      </c>
      <c r="AE98" s="76">
        <f>资产资本表!AE63</f>
        <v>2275158.25</v>
      </c>
      <c r="AF98" s="76">
        <f>资产资本表!AF63</f>
        <v>2674020.77</v>
      </c>
      <c r="AG98" s="76">
        <f>资产资本表!AG63</f>
        <v>1198672.3999999999</v>
      </c>
      <c r="AH98" s="76">
        <f>资产资本表!AH63</f>
        <v>33641.4</v>
      </c>
      <c r="AI98" s="76">
        <f>资产资本表!AI63</f>
        <v>32230.2</v>
      </c>
      <c r="AJ98" s="76">
        <f>资产资本表!AJ63</f>
        <v>48811.8</v>
      </c>
      <c r="AK98" s="76">
        <f>资产资本表!AK63</f>
        <v>31877.4</v>
      </c>
      <c r="AL98" s="76">
        <f>资产资本表!AL63</f>
        <v>26938.2</v>
      </c>
      <c r="AM98" s="76">
        <f>资产资本表!AM63</f>
        <v>1571202.29</v>
      </c>
      <c r="AN98" s="76">
        <f>资产资本表!AN63</f>
        <v>1197117.8999999999</v>
      </c>
      <c r="AO98" s="76">
        <f>资产资本表!AO63</f>
        <v>801108.9</v>
      </c>
      <c r="AP98" s="76">
        <f>资产资本表!AP63</f>
        <v>4651342.18</v>
      </c>
      <c r="AQ98" s="76">
        <f>资产资本表!AQ63</f>
        <v>5210469.43</v>
      </c>
      <c r="AR98" s="76">
        <f>资产资本表!AR63</f>
        <v>4828207.6100000003</v>
      </c>
      <c r="AS98" s="76">
        <f>资产资本表!AS63</f>
        <v>4828207.6100000003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27331937.530000001</v>
      </c>
      <c r="F99" s="93">
        <f>资产资本表!F64</f>
        <v>40057759.450000003</v>
      </c>
      <c r="G99" s="93">
        <f>资产资本表!G64</f>
        <v>64654141.020000003</v>
      </c>
      <c r="H99" s="93">
        <f>资产资本表!H64</f>
        <v>53717810.799999997</v>
      </c>
      <c r="I99" s="93">
        <f>资产资本表!I64</f>
        <v>25655775.899999999</v>
      </c>
      <c r="J99" s="93">
        <f>资产资本表!J64</f>
        <v>29587265.329999998</v>
      </c>
      <c r="K99" s="93">
        <f>资产资本表!K64</f>
        <v>29351772.600000001</v>
      </c>
      <c r="L99" s="93">
        <f>资产资本表!L64</f>
        <v>23335397.030000001</v>
      </c>
      <c r="M99" s="93">
        <f>资产资本表!M64</f>
        <v>32963224.899999999</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9754930.2599999998</v>
      </c>
      <c r="BX99" s="93">
        <f>资产资本表!BX64</f>
        <v>0</v>
      </c>
      <c r="BY99" s="93">
        <f>资产资本表!BY64</f>
        <v>1771716.14</v>
      </c>
      <c r="BZ99" s="93">
        <f>资产资本表!BZ64</f>
        <v>2088180</v>
      </c>
      <c r="CA99" s="93">
        <f>资产资本表!CA64</f>
        <v>2164689.54</v>
      </c>
      <c r="CB99" s="93">
        <f>资产资本表!CB64</f>
        <v>636000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688</v>
      </c>
      <c r="E100" s="196">
        <f>(E84+I84)/2</f>
        <v>1000263823.4349999</v>
      </c>
      <c r="F100" s="196">
        <f t="shared" ref="F100:BQ100" si="54">(F84+J84)/2</f>
        <v>991634614.625</v>
      </c>
      <c r="G100" s="196">
        <f t="shared" si="54"/>
        <v>985322058.45000005</v>
      </c>
      <c r="H100" s="196">
        <f t="shared" si="54"/>
        <v>995376909.88999999</v>
      </c>
      <c r="I100" s="196">
        <f t="shared" si="54"/>
        <v>995193791.31500006</v>
      </c>
      <c r="J100" s="196">
        <f t="shared" si="54"/>
        <v>991302914.4749999</v>
      </c>
      <c r="K100" s="196">
        <f t="shared" si="54"/>
        <v>1009299790.16</v>
      </c>
      <c r="L100" s="196">
        <f t="shared" si="54"/>
        <v>1024861972.38</v>
      </c>
      <c r="M100" s="196">
        <f t="shared" si="54"/>
        <v>1042674595.125</v>
      </c>
      <c r="N100" s="196">
        <f t="shared" si="54"/>
        <v>1063583310.13</v>
      </c>
      <c r="O100" s="196">
        <f t="shared" si="54"/>
        <v>1078695209.2849998</v>
      </c>
      <c r="P100" s="196">
        <f t="shared" si="54"/>
        <v>1101774459.76</v>
      </c>
      <c r="Q100" s="196">
        <f t="shared" si="54"/>
        <v>1130032592.7549999</v>
      </c>
      <c r="R100" s="196">
        <f t="shared" si="54"/>
        <v>1169631417.2150002</v>
      </c>
      <c r="S100" s="196">
        <f t="shared" si="54"/>
        <v>1186933026.2649999</v>
      </c>
      <c r="T100" s="196">
        <f t="shared" si="54"/>
        <v>1219088446.2049999</v>
      </c>
      <c r="U100" s="196">
        <f t="shared" si="54"/>
        <v>1245771406.585</v>
      </c>
      <c r="V100" s="196">
        <f t="shared" si="54"/>
        <v>1269338193.7849998</v>
      </c>
      <c r="W100" s="196">
        <f t="shared" si="54"/>
        <v>1285740957.0050001</v>
      </c>
      <c r="X100" s="196">
        <f t="shared" si="54"/>
        <v>1307139155.24</v>
      </c>
      <c r="Y100" s="196">
        <f t="shared" si="54"/>
        <v>1331315593.3199999</v>
      </c>
      <c r="Z100" s="196">
        <f t="shared" si="54"/>
        <v>1277065760.3150001</v>
      </c>
      <c r="AA100" s="196">
        <f t="shared" si="54"/>
        <v>1280028121.7449999</v>
      </c>
      <c r="AB100" s="196">
        <f t="shared" si="54"/>
        <v>1283348915.8800001</v>
      </c>
      <c r="AC100" s="196">
        <f t="shared" si="54"/>
        <v>1280754683.49</v>
      </c>
      <c r="AD100" s="196">
        <f t="shared" si="54"/>
        <v>934416295.49000001</v>
      </c>
      <c r="AE100" s="196">
        <f t="shared" si="54"/>
        <v>919795795.17000008</v>
      </c>
      <c r="AF100" s="196">
        <f t="shared" si="54"/>
        <v>912769767.35500002</v>
      </c>
      <c r="AG100" s="196">
        <f t="shared" si="54"/>
        <v>894026902.38000011</v>
      </c>
      <c r="AH100" s="196">
        <f t="shared" si="54"/>
        <v>486790604.91000003</v>
      </c>
      <c r="AI100" s="196">
        <f t="shared" si="54"/>
        <v>474839369.73000002</v>
      </c>
      <c r="AJ100" s="196">
        <f t="shared" si="54"/>
        <v>522213552.77499998</v>
      </c>
      <c r="AK100" s="196">
        <f t="shared" si="54"/>
        <v>547129836.05999994</v>
      </c>
      <c r="AL100" s="196">
        <f t="shared" si="54"/>
        <v>443961368.40500003</v>
      </c>
      <c r="AM100" s="196">
        <f t="shared" si="54"/>
        <v>450727258.24000001</v>
      </c>
      <c r="AN100" s="196">
        <f t="shared" si="54"/>
        <v>491012783.69000006</v>
      </c>
      <c r="AO100" s="196">
        <f t="shared" si="54"/>
        <v>522428902.82999998</v>
      </c>
      <c r="AP100" s="196">
        <f t="shared" si="54"/>
        <v>580459905.17000008</v>
      </c>
      <c r="AQ100" s="196">
        <f t="shared" si="54"/>
        <v>577491223.57500005</v>
      </c>
      <c r="AR100" s="196">
        <f t="shared" si="54"/>
        <v>570948244.28500009</v>
      </c>
      <c r="AS100" s="196">
        <f t="shared" si="54"/>
        <v>575894521.51999998</v>
      </c>
      <c r="AT100" s="196">
        <f t="shared" si="54"/>
        <v>618897826.71499991</v>
      </c>
      <c r="AU100" s="196">
        <f t="shared" si="54"/>
        <v>546926884.33500004</v>
      </c>
      <c r="AV100" s="196">
        <f t="shared" si="54"/>
        <v>557919091.58000004</v>
      </c>
      <c r="AW100" s="196">
        <f t="shared" si="54"/>
        <v>565579403.45499992</v>
      </c>
      <c r="AX100" s="196">
        <f t="shared" si="54"/>
        <v>575043562.41499996</v>
      </c>
      <c r="AY100" s="196">
        <f t="shared" si="54"/>
        <v>510792254.61500001</v>
      </c>
      <c r="AZ100" s="196">
        <f t="shared" si="54"/>
        <v>521532776.16499996</v>
      </c>
      <c r="BA100" s="196">
        <f t="shared" si="54"/>
        <v>531872340.53499997</v>
      </c>
      <c r="BB100" s="196">
        <f t="shared" si="54"/>
        <v>532811605.69000006</v>
      </c>
      <c r="BC100" s="196">
        <f t="shared" si="54"/>
        <v>537782065.34500003</v>
      </c>
      <c r="BD100" s="196">
        <f t="shared" si="54"/>
        <v>580795732.92499995</v>
      </c>
      <c r="BE100" s="196">
        <f t="shared" si="54"/>
        <v>586778812.95499992</v>
      </c>
      <c r="BF100" s="196">
        <f t="shared" si="54"/>
        <v>507174094.10000002</v>
      </c>
      <c r="BG100" s="196">
        <f t="shared" si="54"/>
        <v>515613049.97000003</v>
      </c>
      <c r="BH100" s="196">
        <f t="shared" si="54"/>
        <v>315206527.41000003</v>
      </c>
      <c r="BI100" s="196">
        <f t="shared" si="54"/>
        <v>640345086.14499998</v>
      </c>
      <c r="BJ100" s="196">
        <f t="shared" si="54"/>
        <v>592754729.72000003</v>
      </c>
      <c r="BK100" s="196">
        <f t="shared" si="54"/>
        <v>605140979.07000005</v>
      </c>
      <c r="BL100" s="196">
        <f t="shared" si="54"/>
        <v>370442259.79000002</v>
      </c>
      <c r="BM100" s="196">
        <f t="shared" si="54"/>
        <v>674825977.67999995</v>
      </c>
      <c r="BN100" s="196">
        <f t="shared" si="54"/>
        <v>691126648.1500001</v>
      </c>
      <c r="BO100" s="196">
        <f t="shared" si="54"/>
        <v>700703034.50999999</v>
      </c>
      <c r="BP100" s="196">
        <f t="shared" si="54"/>
        <v>683256365.24000001</v>
      </c>
      <c r="BQ100" s="196">
        <f t="shared" si="54"/>
        <v>653331857.18499994</v>
      </c>
      <c r="BR100" s="196">
        <f t="shared" ref="BR100:CK100" si="55">(BR84+BV84)/2</f>
        <v>670709259.34000003</v>
      </c>
      <c r="BS100" s="196">
        <f t="shared" si="55"/>
        <v>585124417.5</v>
      </c>
      <c r="BT100" s="196">
        <f t="shared" si="55"/>
        <v>468981234.56</v>
      </c>
      <c r="BU100" s="196">
        <f t="shared" si="55"/>
        <v>367773771.5</v>
      </c>
      <c r="BV100" s="196">
        <f t="shared" si="55"/>
        <v>398052368.48000002</v>
      </c>
      <c r="BW100" s="196">
        <f t="shared" si="55"/>
        <v>314152870.92000002</v>
      </c>
      <c r="BX100" s="196">
        <f t="shared" si="55"/>
        <v>208779629.11000001</v>
      </c>
      <c r="BY100" s="196">
        <f t="shared" si="55"/>
        <v>64751776.030000001</v>
      </c>
      <c r="BZ100" s="196">
        <f t="shared" si="55"/>
        <v>61939505</v>
      </c>
      <c r="CA100" s="196">
        <f t="shared" si="55"/>
        <v>63639006.520000003</v>
      </c>
      <c r="CB100" s="196">
        <f t="shared" si="55"/>
        <v>52612500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0.9714427152799</v>
      </c>
      <c r="F101" s="251">
        <f t="shared" ref="F101:BQ101" si="56">F100/F84</f>
        <v>0.98493815079960856</v>
      </c>
      <c r="G101" s="251">
        <f t="shared" si="56"/>
        <v>1.0074004699254255</v>
      </c>
      <c r="H101" s="251">
        <f t="shared" si="56"/>
        <v>1.0165465625215184</v>
      </c>
      <c r="I101" s="251">
        <f t="shared" si="56"/>
        <v>1.0250649095186422</v>
      </c>
      <c r="J101" s="251">
        <f t="shared" si="56"/>
        <v>1.0151899669908948</v>
      </c>
      <c r="K101" s="251">
        <f t="shared" si="56"/>
        <v>1.0168649214344543</v>
      </c>
      <c r="L101" s="251">
        <f t="shared" si="56"/>
        <v>1.0131310404192182</v>
      </c>
      <c r="M101" s="251">
        <f t="shared" si="56"/>
        <v>1.0227029536264023</v>
      </c>
      <c r="N101" s="251">
        <f t="shared" si="56"/>
        <v>1.0570975231188389</v>
      </c>
      <c r="O101" s="251">
        <f t="shared" si="56"/>
        <v>1.0513196424027518</v>
      </c>
      <c r="P101" s="251">
        <f t="shared" si="56"/>
        <v>1.0612914387571279</v>
      </c>
      <c r="Q101" s="251">
        <f t="shared" si="56"/>
        <v>1.0602462329143032</v>
      </c>
      <c r="R101" s="251">
        <f t="shared" si="56"/>
        <v>1.0433531787724211</v>
      </c>
      <c r="S101" s="251">
        <f t="shared" si="56"/>
        <v>1.0491287330935275</v>
      </c>
      <c r="T101" s="251">
        <f t="shared" si="56"/>
        <v>1.0460652173978455</v>
      </c>
      <c r="U101" s="251">
        <f t="shared" si="56"/>
        <v>1.0431462141305103</v>
      </c>
      <c r="V101" s="251">
        <f t="shared" si="56"/>
        <v>1.0419513901692645</v>
      </c>
      <c r="W101" s="251">
        <f t="shared" si="56"/>
        <v>1.0347891857003817</v>
      </c>
      <c r="X101" s="251">
        <f t="shared" si="56"/>
        <v>1.0270009859724569</v>
      </c>
      <c r="Y101" s="251">
        <f t="shared" si="56"/>
        <v>1.0262214643122713</v>
      </c>
      <c r="Z101" s="251">
        <f t="shared" si="56"/>
        <v>0.96714822980768334</v>
      </c>
      <c r="AA101" s="251">
        <f t="shared" si="56"/>
        <v>0.96317522208291984</v>
      </c>
      <c r="AB101" s="251">
        <f t="shared" si="56"/>
        <v>0.95664842559074281</v>
      </c>
      <c r="AC101" s="251">
        <f t="shared" si="56"/>
        <v>0.9380532090841821</v>
      </c>
      <c r="AD101" s="251">
        <f t="shared" si="56"/>
        <v>0.75741775358352592</v>
      </c>
      <c r="AE101" s="251">
        <f t="shared" si="56"/>
        <v>0.74713984242275877</v>
      </c>
      <c r="AF101" s="251">
        <f t="shared" si="56"/>
        <v>0.74500107553025052</v>
      </c>
      <c r="AG101" s="251">
        <f t="shared" si="56"/>
        <v>0.74740370499589681</v>
      </c>
      <c r="AH101" s="251">
        <f t="shared" si="56"/>
        <v>0.76642343027380755</v>
      </c>
      <c r="AI101" s="251">
        <f t="shared" si="56"/>
        <v>0.78034101711290682</v>
      </c>
      <c r="AJ101" s="251">
        <f t="shared" si="56"/>
        <v>0.86985287829734392</v>
      </c>
      <c r="AK101" s="251">
        <f t="shared" si="56"/>
        <v>0.92439771332107901</v>
      </c>
      <c r="AL101" s="251">
        <f t="shared" si="56"/>
        <v>1.3118052218270579</v>
      </c>
      <c r="AM101" s="251">
        <f t="shared" si="56"/>
        <v>1.3210975844189896</v>
      </c>
      <c r="AN101" s="251">
        <f t="shared" si="56"/>
        <v>1.1056851249031165</v>
      </c>
      <c r="AO101" s="251">
        <f t="shared" si="56"/>
        <v>1.0399025162437281</v>
      </c>
      <c r="AP101" s="251">
        <f t="shared" si="56"/>
        <v>1.0563663641751948</v>
      </c>
      <c r="AQ101" s="251">
        <f t="shared" si="56"/>
        <v>1.0307223502779681</v>
      </c>
      <c r="AR101" s="251">
        <f t="shared" si="56"/>
        <v>1.0613497107872938</v>
      </c>
      <c r="AS101" s="251">
        <f t="shared" si="56"/>
        <v>1.0616051902837138</v>
      </c>
      <c r="AT101" s="251">
        <f t="shared" si="56"/>
        <v>1.0122095570548317</v>
      </c>
      <c r="AU101" s="251">
        <f t="shared" si="56"/>
        <v>0.91966191880721437</v>
      </c>
      <c r="AV101" s="251">
        <f t="shared" si="56"/>
        <v>0.92378198382068444</v>
      </c>
      <c r="AW101" s="251">
        <f t="shared" si="56"/>
        <v>0.92822350795687569</v>
      </c>
      <c r="AX101" s="251">
        <f t="shared" si="56"/>
        <v>0.91806736293793179</v>
      </c>
      <c r="AY101" s="251">
        <f t="shared" si="56"/>
        <v>1.0233252198946341</v>
      </c>
      <c r="AZ101" s="251">
        <f t="shared" si="56"/>
        <v>1.0188432841670991</v>
      </c>
      <c r="BA101" s="251">
        <f t="shared" si="56"/>
        <v>1.0192151790303328</v>
      </c>
      <c r="BB101" s="251">
        <f t="shared" si="56"/>
        <v>1.017351941158031</v>
      </c>
      <c r="BC101" s="251">
        <f t="shared" si="56"/>
        <v>1.0293759769333377</v>
      </c>
      <c r="BD101" s="251">
        <f t="shared" si="56"/>
        <v>1.0934098993194918</v>
      </c>
      <c r="BE101" s="251">
        <f t="shared" si="56"/>
        <v>1.082818146239465</v>
      </c>
      <c r="BF101" s="251">
        <f t="shared" si="56"/>
        <v>0.93591956381637342</v>
      </c>
      <c r="BG101" s="251">
        <f t="shared" si="56"/>
        <v>0.93217486779009118</v>
      </c>
      <c r="BH101" s="251">
        <f t="shared" si="56"/>
        <v>0.5</v>
      </c>
      <c r="BI101" s="251">
        <f t="shared" si="56"/>
        <v>1.013752927383528</v>
      </c>
      <c r="BJ101" s="251">
        <f t="shared" si="56"/>
        <v>1.2546429061223132</v>
      </c>
      <c r="BK101" s="251">
        <f t="shared" si="56"/>
        <v>1.265728471405613</v>
      </c>
      <c r="BL101" s="251" t="e">
        <f t="shared" si="56"/>
        <v>#DIV/0!</v>
      </c>
      <c r="BM101" s="251">
        <f t="shared" si="56"/>
        <v>1.0397418563840786</v>
      </c>
      <c r="BN101" s="251">
        <f t="shared" si="56"/>
        <v>0.96923983828985283</v>
      </c>
      <c r="BO101" s="251">
        <f t="shared" si="56"/>
        <v>0.95700276581924348</v>
      </c>
      <c r="BP101" s="251">
        <f t="shared" si="56"/>
        <v>0.92221708941540737</v>
      </c>
      <c r="BQ101" s="251">
        <f t="shared" si="56"/>
        <v>0.93250565939894692</v>
      </c>
      <c r="BR101" s="251">
        <f t="shared" ref="BR101:CK101" si="57">BR100/BR84</f>
        <v>1.0022661146963379</v>
      </c>
      <c r="BS101" s="251">
        <f t="shared" si="57"/>
        <v>0.87433646679567312</v>
      </c>
      <c r="BT101" s="251">
        <f t="shared" si="57"/>
        <v>0.74961650767849031</v>
      </c>
      <c r="BU101" s="251">
        <f t="shared" si="57"/>
        <v>0.6068433595547531</v>
      </c>
      <c r="BV101" s="251">
        <f t="shared" si="57"/>
        <v>0.59214093200524831</v>
      </c>
      <c r="BW101" s="251">
        <f t="shared" si="57"/>
        <v>0.62701693511538836</v>
      </c>
      <c r="BX101" s="251">
        <f t="shared" si="57"/>
        <v>0.66844934109962773</v>
      </c>
      <c r="BY101" s="251">
        <f t="shared" si="57"/>
        <v>0.5</v>
      </c>
      <c r="BZ101" s="251">
        <f t="shared" si="57"/>
        <v>0.5</v>
      </c>
      <c r="CA101" s="251">
        <f t="shared" si="57"/>
        <v>0.5</v>
      </c>
      <c r="CB101" s="251">
        <f t="shared" si="57"/>
        <v>0.5</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5" t="s">
        <v>690</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6" workbookViewId="0">
      <selection activeCell="E31" sqref="E31"/>
    </sheetView>
  </sheetViews>
  <sheetFormatPr defaultRowHeight="14.4" x14ac:dyDescent="0.25"/>
  <cols>
    <col min="1" max="1" width="63.21875" style="17" bestFit="1" customWidth="1"/>
    <col min="2" max="4" width="9.5546875" hidden="1" customWidth="1"/>
    <col min="5" max="5" width="21.44140625" bestFit="1" customWidth="1"/>
    <col min="6" max="7" width="20.44140625" hidden="1" customWidth="1"/>
    <col min="8" max="8" width="20.21875" hidden="1" customWidth="1"/>
    <col min="9" max="9" width="21.44140625" bestFit="1" customWidth="1"/>
    <col min="10" max="11" width="21.44140625" hidden="1" customWidth="1"/>
    <col min="12" max="12" width="19.33203125" hidden="1" customWidth="1"/>
    <col min="13" max="13" width="21.44140625" bestFit="1" customWidth="1"/>
    <col min="14" max="15" width="21.44140625" hidden="1" customWidth="1"/>
    <col min="16" max="16" width="19.33203125" hidden="1" customWidth="1"/>
    <col min="17" max="17" width="21.441406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0" width="19.33203125" hidden="1" customWidth="1"/>
    <col min="31" max="32" width="20.21875" hidden="1" customWidth="1"/>
    <col min="33" max="33" width="20.44140625" bestFit="1" customWidth="1"/>
    <col min="34" max="35" width="19.33203125" hidden="1" customWidth="1"/>
    <col min="36" max="36" width="20.21875" hidden="1" customWidth="1"/>
    <col min="37" max="37" width="19.33203125" bestFit="1" customWidth="1"/>
    <col min="38" max="39" width="19.33203125" hidden="1" customWidth="1"/>
    <col min="40" max="40" width="17.77734375" hidden="1" customWidth="1"/>
    <col min="41" max="41" width="20.21875" bestFit="1" customWidth="1"/>
    <col min="42" max="42" width="20.21875" hidden="1" customWidth="1"/>
    <col min="43" max="43" width="19.33203125" hidden="1" customWidth="1"/>
    <col min="44" max="44" width="20.2187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20.21875" hidden="1" customWidth="1"/>
    <col min="56" max="56" width="19.33203125" hidden="1" customWidth="1"/>
    <col min="57" max="57" width="20.21875" bestFit="1" customWidth="1"/>
    <col min="58" max="58" width="20.21875" hidden="1" customWidth="1"/>
    <col min="59" max="59" width="19.33203125" hidden="1" customWidth="1"/>
    <col min="60" max="60" width="19" hidden="1" customWidth="1"/>
    <col min="61" max="61" width="19.33203125" bestFit="1" customWidth="1"/>
    <col min="62" max="63" width="19.33203125" hidden="1" customWidth="1"/>
    <col min="64" max="64" width="17.77734375" hidden="1" customWidth="1"/>
    <col min="65" max="65" width="20.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4" width="19.33203125" hidden="1" customWidth="1"/>
    <col min="75" max="77" width="19.33203125" bestFit="1" customWidth="1"/>
    <col min="78" max="78" width="17.21875" bestFit="1" customWidth="1"/>
    <col min="79" max="79" width="19.33203125" bestFit="1" customWidth="1"/>
    <col min="80" max="80" width="17.21875" bestFit="1" customWidth="1"/>
    <col min="81" max="81" width="19.33203125" bestFit="1" customWidth="1"/>
    <col min="82"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17558217913.330002</v>
      </c>
      <c r="F2" s="26">
        <f>现金流量表!F4</f>
        <v>11502461367.120001</v>
      </c>
      <c r="G2" s="26">
        <f>现金流量表!G4</f>
        <v>6722546282.7700005</v>
      </c>
      <c r="H2" s="26">
        <f>现金流量表!H4</f>
        <v>3956810503.02</v>
      </c>
      <c r="I2" s="26">
        <f>现金流量表!I4</f>
        <v>16223050621.370001</v>
      </c>
      <c r="J2" s="26">
        <f>现金流量表!J4</f>
        <v>10031334899.280001</v>
      </c>
      <c r="K2" s="26">
        <f>现金流量表!K4</f>
        <v>7270388782.8299999</v>
      </c>
      <c r="L2" s="26">
        <f>现金流量表!L4</f>
        <v>3078123735.5799999</v>
      </c>
      <c r="M2" s="26">
        <f>现金流量表!M4</f>
        <v>12740160550.07</v>
      </c>
      <c r="N2" s="26">
        <f>现金流量表!N4</f>
        <v>8539671109.04</v>
      </c>
      <c r="O2" s="26">
        <f>现金流量表!O4</f>
        <v>5396428114.25</v>
      </c>
      <c r="P2" s="26">
        <f>现金流量表!P4</f>
        <v>2311468394.0799999</v>
      </c>
      <c r="Q2" s="26">
        <f>现金流量表!Q4</f>
        <v>8798376928.1399994</v>
      </c>
      <c r="R2" s="26">
        <f>现金流量表!R4</f>
        <v>5854769921.8599997</v>
      </c>
      <c r="S2" s="26">
        <f>现金流量表!S4</f>
        <v>3811640189.96</v>
      </c>
      <c r="T2" s="26">
        <f>现金流量表!T4</f>
        <v>1646521888.52</v>
      </c>
      <c r="U2" s="26">
        <f>现金流量表!U4</f>
        <v>7152993865.1700001</v>
      </c>
      <c r="V2" s="26">
        <f>现金流量表!V4</f>
        <v>5442525374.2399998</v>
      </c>
      <c r="W2" s="26">
        <f>现金流量表!W4</f>
        <v>3863185024.8600001</v>
      </c>
      <c r="X2" s="26">
        <f>现金流量表!X4</f>
        <v>1900494571.74</v>
      </c>
      <c r="Y2" s="26">
        <f>现金流量表!Y4</f>
        <v>6857898811.46</v>
      </c>
      <c r="Z2" s="26">
        <f>现金流量表!Z4</f>
        <v>4726491546.6300001</v>
      </c>
      <c r="AA2" s="26">
        <f>现金流量表!AA4</f>
        <v>3674745722.6399999</v>
      </c>
      <c r="AB2" s="26">
        <f>现金流量表!AB4</f>
        <v>2005323736.1300001</v>
      </c>
      <c r="AC2" s="26">
        <f>现金流量表!AC4</f>
        <v>10215551444.35</v>
      </c>
      <c r="AD2" s="26">
        <f>现金流量表!AD4</f>
        <v>7072822081.6499996</v>
      </c>
      <c r="AE2" s="26">
        <f>现金流量表!AE4</f>
        <v>3434839906.6500001</v>
      </c>
      <c r="AF2" s="26">
        <f>现金流量表!AF4</f>
        <v>1627486981.6600001</v>
      </c>
      <c r="AG2" s="26">
        <f>现金流量表!AG4</f>
        <v>6475128321.2200003</v>
      </c>
      <c r="AH2" s="26">
        <f>现金流量表!AH4</f>
        <v>3927579873.0300002</v>
      </c>
      <c r="AI2" s="26">
        <f>现金流量表!AI4</f>
        <v>2073590067.8099999</v>
      </c>
      <c r="AJ2" s="26">
        <f>现金流量表!AJ4</f>
        <v>411402277.52999997</v>
      </c>
      <c r="AK2" s="26">
        <f>现金流量表!AK4</f>
        <v>2556622295.6599998</v>
      </c>
      <c r="AL2" s="26">
        <f>现金流量表!AL4</f>
        <v>2099368450.6700001</v>
      </c>
      <c r="AM2" s="26">
        <f>现金流量表!AM4</f>
        <v>1208263335.79</v>
      </c>
      <c r="AN2" s="26">
        <f>现金流量表!AN4</f>
        <v>414241264.39999998</v>
      </c>
      <c r="AO2" s="26">
        <f>现金流量表!AO4</f>
        <v>3126431039.6799998</v>
      </c>
      <c r="AP2" s="26">
        <f>现金流量表!AP4</f>
        <v>2090667090.25</v>
      </c>
      <c r="AQ2" s="26">
        <f>现金流量表!AQ4</f>
        <v>1490052847.9400001</v>
      </c>
      <c r="AR2" s="26">
        <f>现金流量表!AR4</f>
        <v>1538014040.1199999</v>
      </c>
      <c r="AS2" s="26">
        <f>现金流量表!AS4</f>
        <v>6591772026.1099997</v>
      </c>
      <c r="AT2" s="26">
        <f>现金流量表!AT4</f>
        <v>4908117699.8900003</v>
      </c>
      <c r="AU2" s="26">
        <f>现金流量表!AU4</f>
        <v>3161250446.6300001</v>
      </c>
      <c r="AV2" s="26">
        <f>现金流量表!AV4</f>
        <v>1547379968.55</v>
      </c>
      <c r="AW2" s="26">
        <f>现金流量表!AW4</f>
        <v>5141107103.2200003</v>
      </c>
      <c r="AX2" s="26">
        <f>现金流量表!AX4</f>
        <v>3523303807.6300001</v>
      </c>
      <c r="AY2" s="26">
        <f>现金流量表!AY4</f>
        <v>2322267608.6900001</v>
      </c>
      <c r="AZ2" s="26">
        <f>现金流量表!AZ4</f>
        <v>1139002393.3699999</v>
      </c>
      <c r="BA2" s="26">
        <f>现金流量表!BA4</f>
        <v>5709985647.7299995</v>
      </c>
      <c r="BB2" s="26">
        <f>现金流量表!BB4</f>
        <v>2290424601.3299999</v>
      </c>
      <c r="BC2" s="26">
        <f>现金流量表!BC4</f>
        <v>1398909530</v>
      </c>
      <c r="BD2" s="26">
        <f>现金流量表!BD4</f>
        <v>1072883493.28</v>
      </c>
      <c r="BE2" s="26">
        <f>现金流量表!BE4</f>
        <v>2803775590.6300001</v>
      </c>
      <c r="BF2" s="26">
        <f>现金流量表!BF4</f>
        <v>1853892783.0799999</v>
      </c>
      <c r="BG2" s="26">
        <f>现金流量表!BG4</f>
        <v>1072373432.01</v>
      </c>
      <c r="BH2" s="26">
        <f>现金流量表!BH4</f>
        <v>636218535.67999995</v>
      </c>
      <c r="BI2" s="26">
        <f>现金流量表!BI4</f>
        <v>3506939650.9699998</v>
      </c>
      <c r="BJ2" s="26">
        <f>现金流量表!BJ4</f>
        <v>2229764798.2199998</v>
      </c>
      <c r="BK2" s="26">
        <f>现金流量表!BK4</f>
        <v>1786947780.0999999</v>
      </c>
      <c r="BL2" s="26">
        <f>现金流量表!BL4</f>
        <v>0</v>
      </c>
      <c r="BM2" s="26">
        <f>现金流量表!BM4</f>
        <v>3738380922.5500002</v>
      </c>
      <c r="BN2" s="26">
        <f>现金流量表!BN4</f>
        <v>2011244867.3399999</v>
      </c>
      <c r="BO2" s="26">
        <f>现金流量表!BO4</f>
        <v>2746198816.8099999</v>
      </c>
      <c r="BP2" s="26">
        <f>现金流量表!BP4</f>
        <v>1263906873.4000001</v>
      </c>
      <c r="BQ2" s="26">
        <f>现金流量表!BQ4</f>
        <v>3086127560.6700001</v>
      </c>
      <c r="BR2" s="26">
        <f>现金流量表!BR4</f>
        <v>1593280486.8900001</v>
      </c>
      <c r="BS2" s="26">
        <f>现金流量表!BS4</f>
        <v>2969185683.1300001</v>
      </c>
      <c r="BT2" s="26">
        <f>现金流量表!BT4</f>
        <v>2232371834</v>
      </c>
      <c r="BU2" s="26">
        <f>现金流量表!BU4</f>
        <v>853629787.11000001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21384699076.650002</v>
      </c>
      <c r="F3" s="26">
        <f>利润表!F3</f>
        <v>15977114535.049999</v>
      </c>
      <c r="G3" s="26">
        <f>利润表!G3</f>
        <v>10568060854.209999</v>
      </c>
      <c r="H3" s="26">
        <f>利润表!H3</f>
        <v>5690391543.4200001</v>
      </c>
      <c r="I3" s="26">
        <f>利润表!I3</f>
        <v>16334914501.690001</v>
      </c>
      <c r="J3" s="26">
        <f>利润表!J3</f>
        <v>12055635914.24</v>
      </c>
      <c r="K3" s="26">
        <f>利润表!K3</f>
        <v>7984787194.9200001</v>
      </c>
      <c r="L3" s="26">
        <f>利润表!L3</f>
        <v>4239779074.6999998</v>
      </c>
      <c r="M3" s="26">
        <f>利润表!M3</f>
        <v>13131626932.440001</v>
      </c>
      <c r="N3" s="26">
        <f>利润表!N3</f>
        <v>9611975965.1399994</v>
      </c>
      <c r="O3" s="26">
        <f>利润表!O3</f>
        <v>6101903864.6000004</v>
      </c>
      <c r="P3" s="26">
        <f>利润表!P3</f>
        <v>3293972545.0799999</v>
      </c>
      <c r="Q3" s="26">
        <f>利润表!Q3</f>
        <v>10804217288.6</v>
      </c>
      <c r="R3" s="26">
        <f>利润表!R3</f>
        <v>7778315404.7200003</v>
      </c>
      <c r="S3" s="26">
        <f>利润表!S3</f>
        <v>4974057020.5600004</v>
      </c>
      <c r="T3" s="26">
        <f>利润表!T3</f>
        <v>2576160088.4299998</v>
      </c>
      <c r="U3" s="26">
        <f>利润表!U3</f>
        <v>8727956044.3700008</v>
      </c>
      <c r="V3" s="26">
        <f>利润表!V3</f>
        <v>6350114706</v>
      </c>
      <c r="W3" s="26">
        <f>利润表!W3</f>
        <v>3998224336.3099999</v>
      </c>
      <c r="X3" s="26">
        <f>利润表!X3</f>
        <v>2359241990.6399999</v>
      </c>
      <c r="Y3" s="26">
        <f>利润表!Y3</f>
        <v>6899863926.8100004</v>
      </c>
      <c r="Z3" s="26">
        <f>利润表!Z3</f>
        <v>4575118340.7200003</v>
      </c>
      <c r="AA3" s="26">
        <f>利润表!AA3</f>
        <v>3101328731.1399999</v>
      </c>
      <c r="AB3" s="26">
        <f>利润表!AB3</f>
        <v>1629565324.8699999</v>
      </c>
      <c r="AC3" s="26">
        <f>利润表!AC3</f>
        <v>10975621704.52</v>
      </c>
      <c r="AD3" s="26">
        <f>利润表!AD3</f>
        <v>9365771616.3799992</v>
      </c>
      <c r="AE3" s="26">
        <f>利润表!AE3</f>
        <v>6747514122.5299997</v>
      </c>
      <c r="AF3" s="26">
        <f>利润表!AF3</f>
        <v>3831419221.9899998</v>
      </c>
      <c r="AG3" s="26">
        <f>利润表!AG3</f>
        <v>11202366806.139999</v>
      </c>
      <c r="AH3" s="26">
        <f>利润表!AH3</f>
        <v>5578524408.5699997</v>
      </c>
      <c r="AI3" s="26">
        <f>利润表!AI3</f>
        <v>3634134845.0599999</v>
      </c>
      <c r="AJ3" s="26">
        <f>利润表!AJ3</f>
        <v>1662106246.1400001</v>
      </c>
      <c r="AK3" s="26">
        <f>利润表!AK3</f>
        <v>4375244455.6700001</v>
      </c>
      <c r="AL3" s="26">
        <f>利润表!AL3</f>
        <v>2917972991.5300002</v>
      </c>
      <c r="AM3" s="26">
        <f>利润表!AM3</f>
        <v>1902488624.24</v>
      </c>
      <c r="AN3" s="26">
        <f>利润表!AN3</f>
        <v>974105929.14999998</v>
      </c>
      <c r="AO3" s="26">
        <f>利润表!AO3</f>
        <v>4292987464.9099998</v>
      </c>
      <c r="AP3" s="26">
        <f>利润表!AP3</f>
        <v>3424461057.8000002</v>
      </c>
      <c r="AQ3" s="26">
        <f>利润表!AQ3</f>
        <v>2424428981.79</v>
      </c>
      <c r="AR3" s="26">
        <f>利润表!AR3</f>
        <v>1137955453.8800001</v>
      </c>
      <c r="AS3" s="26">
        <f>利润表!AS3</f>
        <v>5000691662.6000004</v>
      </c>
      <c r="AT3" s="26">
        <f>利润表!AT3</f>
        <v>4087399844.5799999</v>
      </c>
      <c r="AU3" s="26">
        <f>利润表!AU3</f>
        <v>2838239098.3600001</v>
      </c>
      <c r="AV3" s="26">
        <f>利润表!AV3</f>
        <v>1448227231.03</v>
      </c>
      <c r="AW3" s="26">
        <f>利润表!AW3</f>
        <v>4286501320.2600002</v>
      </c>
      <c r="AX3" s="26">
        <f>利润表!AX3</f>
        <v>3266266421.5799999</v>
      </c>
      <c r="AY3" s="26">
        <f>利润表!AY3</f>
        <v>2177618157.0100002</v>
      </c>
      <c r="AZ3" s="26">
        <f>利润表!AZ3</f>
        <v>976300540.57000005</v>
      </c>
      <c r="BA3" s="26">
        <f>利润表!BA3</f>
        <v>3294334024.7399998</v>
      </c>
      <c r="BB3" s="26">
        <f>利润表!BB3</f>
        <v>2217131151.3499999</v>
      </c>
      <c r="BC3" s="26">
        <f>利润表!BC3</f>
        <v>1418876361.9300001</v>
      </c>
      <c r="BD3" s="26">
        <f>利润表!BD3</f>
        <v>731227808.75</v>
      </c>
      <c r="BE3" s="26">
        <f>利润表!BE3</f>
        <v>2458003752.1399999</v>
      </c>
      <c r="BF3" s="26">
        <f>利润表!BF3</f>
        <v>1644227851.45</v>
      </c>
      <c r="BG3" s="26">
        <f>利润表!BG3</f>
        <v>1110876862.9100001</v>
      </c>
      <c r="BH3" s="26">
        <f>利润表!BH3</f>
        <v>594583448.23000002</v>
      </c>
      <c r="BI3" s="26">
        <f>利润表!BI3</f>
        <v>2907067257.0799999</v>
      </c>
      <c r="BJ3" s="26">
        <f>利润表!BJ3</f>
        <v>1981403442.9200001</v>
      </c>
      <c r="BK3" s="26">
        <f>利润表!BK3</f>
        <v>1383490298.1300001</v>
      </c>
      <c r="BL3" s="26">
        <f>利润表!BL3</f>
        <v>847306567.13</v>
      </c>
      <c r="BM3" s="26">
        <f>利润表!BM3</f>
        <v>2947843268.52</v>
      </c>
      <c r="BN3" s="26">
        <f>利润表!BN3</f>
        <v>2415184702.8699999</v>
      </c>
      <c r="BO3" s="26">
        <f>利润表!BO3</f>
        <v>1549269200.05</v>
      </c>
      <c r="BP3" s="26">
        <f>利润表!BP3</f>
        <v>699588247.76999998</v>
      </c>
      <c r="BQ3" s="26">
        <f>利润表!BQ3</f>
        <v>1976017965.6600001</v>
      </c>
      <c r="BR3" s="26">
        <f>利润表!BR3</f>
        <v>1134993453.4200001</v>
      </c>
      <c r="BS3" s="26">
        <f>利润表!BS3</f>
        <v>2738267084.0900002</v>
      </c>
      <c r="BT3" s="26">
        <f>利润表!BT3</f>
        <v>1477881796.5899999</v>
      </c>
      <c r="BU3" s="26">
        <f>利润表!BU3</f>
        <v>2669379521.8099999</v>
      </c>
      <c r="BV3" s="26">
        <f>利润表!BV3</f>
        <v>1414759926.04</v>
      </c>
      <c r="BW3" s="26">
        <f>利润表!BW3</f>
        <v>2173716543.3899999</v>
      </c>
      <c r="BX3" s="26">
        <f>利润表!BX3</f>
        <v>1005424911.88</v>
      </c>
      <c r="BY3" s="26">
        <f>利润表!BY3</f>
        <v>1846772121.01</v>
      </c>
      <c r="BZ3" s="26">
        <f>利润表!BZ3</f>
        <v>884021880</v>
      </c>
      <c r="CA3" s="26">
        <f>利润表!CA3</f>
        <v>1358735369.1900001</v>
      </c>
      <c r="CB3" s="26">
        <f>利润表!CB3</f>
        <v>661598000</v>
      </c>
      <c r="CC3" s="26">
        <f>利润表!CC3</f>
        <v>1005332560.2</v>
      </c>
      <c r="CD3" s="26">
        <f>利润表!CD3</f>
        <v>764095148.28999996</v>
      </c>
      <c r="CE3" s="26">
        <f>利润表!CE3</f>
        <v>484685682.33999997</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0.70176455622577416</v>
      </c>
      <c r="F5" s="28">
        <f t="shared" ref="F5:BQ5" si="2">(F2/(1+F4))/F3</f>
        <v>0.61532785160135062</v>
      </c>
      <c r="G5" s="28">
        <f t="shared" si="2"/>
        <v>0.54369161314590952</v>
      </c>
      <c r="H5" s="28">
        <f t="shared" si="2"/>
        <v>0.59431575015802041</v>
      </c>
      <c r="I5" s="28">
        <f t="shared" si="2"/>
        <v>0.84884773841366723</v>
      </c>
      <c r="J5" s="28">
        <f t="shared" si="2"/>
        <v>0.71118525585845305</v>
      </c>
      <c r="K5" s="28">
        <f t="shared" si="2"/>
        <v>0.77823082256290077</v>
      </c>
      <c r="L5" s="28">
        <f t="shared" si="2"/>
        <v>0.62052171618432039</v>
      </c>
      <c r="M5" s="28">
        <f t="shared" si="2"/>
        <v>0.82922140319650706</v>
      </c>
      <c r="N5" s="28">
        <f t="shared" si="2"/>
        <v>0.75935106602759539</v>
      </c>
      <c r="O5" s="28">
        <f t="shared" si="2"/>
        <v>0.75588403618409838</v>
      </c>
      <c r="P5" s="28">
        <f t="shared" si="2"/>
        <v>0.59976638693757134</v>
      </c>
      <c r="Q5" s="28">
        <f t="shared" si="2"/>
        <v>0.69602268073562312</v>
      </c>
      <c r="R5" s="28">
        <f t="shared" si="2"/>
        <v>0.64333684042357653</v>
      </c>
      <c r="S5" s="28">
        <f t="shared" si="2"/>
        <v>0.65496075230037509</v>
      </c>
      <c r="T5" s="28">
        <f t="shared" si="2"/>
        <v>0.54627182205099545</v>
      </c>
      <c r="U5" s="28">
        <f t="shared" si="2"/>
        <v>0.70046983957651976</v>
      </c>
      <c r="V5" s="28">
        <f t="shared" si="2"/>
        <v>0.73254284441488282</v>
      </c>
      <c r="W5" s="28">
        <f t="shared" si="2"/>
        <v>0.82583348628774311</v>
      </c>
      <c r="X5" s="28">
        <f t="shared" si="2"/>
        <v>0.68850687689729895</v>
      </c>
      <c r="Y5" s="28">
        <f t="shared" si="2"/>
        <v>0.84950254639539691</v>
      </c>
      <c r="Z5" s="28">
        <f t="shared" si="2"/>
        <v>0.88297964419545061</v>
      </c>
      <c r="AA5" s="28">
        <f t="shared" si="2"/>
        <v>1.0127298916791081</v>
      </c>
      <c r="AB5" s="28">
        <f t="shared" si="2"/>
        <v>1.0517847214004474</v>
      </c>
      <c r="AC5" s="28">
        <f t="shared" si="2"/>
        <v>0.79551216193345842</v>
      </c>
      <c r="AD5" s="28">
        <f t="shared" si="2"/>
        <v>0.6454510451398201</v>
      </c>
      <c r="AE5" s="28">
        <f t="shared" si="2"/>
        <v>0.43508773018671165</v>
      </c>
      <c r="AF5" s="28">
        <f t="shared" si="2"/>
        <v>0.36305463684468281</v>
      </c>
      <c r="AG5" s="28">
        <f t="shared" si="2"/>
        <v>0.49402932489329887</v>
      </c>
      <c r="AH5" s="28">
        <f t="shared" si="2"/>
        <v>0.6017551647219781</v>
      </c>
      <c r="AI5" s="28">
        <f t="shared" si="2"/>
        <v>0.48768118928375909</v>
      </c>
      <c r="AJ5" s="28">
        <f t="shared" si="2"/>
        <v>0.21155439313664162</v>
      </c>
      <c r="AK5" s="28">
        <f t="shared" si="2"/>
        <v>0.49943432495893358</v>
      </c>
      <c r="AL5" s="28">
        <f t="shared" si="2"/>
        <v>0.61492413203551421</v>
      </c>
      <c r="AM5" s="28">
        <f t="shared" si="2"/>
        <v>0.54281728292381248</v>
      </c>
      <c r="AN5" s="28">
        <f t="shared" si="2"/>
        <v>0.36346392331682764</v>
      </c>
      <c r="AO5" s="28">
        <f t="shared" si="2"/>
        <v>0.62244842399832123</v>
      </c>
      <c r="AP5" s="28">
        <f t="shared" si="2"/>
        <v>0.52180326152681988</v>
      </c>
      <c r="AQ5" s="28">
        <f t="shared" si="2"/>
        <v>0.52529872075010264</v>
      </c>
      <c r="AR5" s="28">
        <f t="shared" si="2"/>
        <v>1.1551787112143848</v>
      </c>
      <c r="AS5" s="28">
        <f t="shared" si="2"/>
        <v>1.1266427856062076</v>
      </c>
      <c r="AT5" s="28">
        <f t="shared" si="2"/>
        <v>1.0263180879235538</v>
      </c>
      <c r="AU5" s="28">
        <f t="shared" si="2"/>
        <v>0.95197175608614293</v>
      </c>
      <c r="AV5" s="28">
        <f t="shared" si="2"/>
        <v>0.91321786618116019</v>
      </c>
      <c r="AW5" s="28">
        <f t="shared" si="2"/>
        <v>1.0251037634030737</v>
      </c>
      <c r="AX5" s="28">
        <f t="shared" si="2"/>
        <v>0.92196115903351161</v>
      </c>
      <c r="AY5" s="28">
        <f t="shared" si="2"/>
        <v>0.91147481646495943</v>
      </c>
      <c r="AZ5" s="28">
        <f t="shared" si="2"/>
        <v>0.99713794949994539</v>
      </c>
      <c r="BA5" s="28">
        <f t="shared" si="2"/>
        <v>1.4814313232337202</v>
      </c>
      <c r="BB5" s="28">
        <f t="shared" si="2"/>
        <v>0.88295537374621513</v>
      </c>
      <c r="BC5" s="28">
        <f t="shared" si="2"/>
        <v>0.84267326105412843</v>
      </c>
      <c r="BD5" s="28">
        <f t="shared" si="2"/>
        <v>1.2540475454132607</v>
      </c>
      <c r="BE5" s="28">
        <f t="shared" si="2"/>
        <v>0.97493317152770731</v>
      </c>
      <c r="BF5" s="28">
        <f t="shared" si="2"/>
        <v>0.96368866688693644</v>
      </c>
      <c r="BG5" s="28">
        <f t="shared" si="2"/>
        <v>0.82507658544301932</v>
      </c>
      <c r="BH5" s="28">
        <f t="shared" si="2"/>
        <v>0.91455039295321183</v>
      </c>
      <c r="BI5" s="28">
        <f t="shared" si="2"/>
        <v>1.031068101286069</v>
      </c>
      <c r="BJ5" s="28">
        <f t="shared" si="2"/>
        <v>0.96183434304119131</v>
      </c>
      <c r="BK5" s="28">
        <f t="shared" si="2"/>
        <v>1.103951214563379</v>
      </c>
      <c r="BL5" s="28">
        <f t="shared" si="2"/>
        <v>0</v>
      </c>
      <c r="BM5" s="28">
        <f t="shared" si="2"/>
        <v>1.0839101942163438</v>
      </c>
      <c r="BN5" s="28">
        <f t="shared" si="2"/>
        <v>0.71175206810703828</v>
      </c>
      <c r="BO5" s="28">
        <f t="shared" si="2"/>
        <v>1.5150230029940774</v>
      </c>
      <c r="BP5" s="28">
        <f t="shared" si="2"/>
        <v>1.5441401258535969</v>
      </c>
      <c r="BQ5" s="28">
        <f t="shared" si="2"/>
        <v>1.3348643128047182</v>
      </c>
      <c r="BR5" s="28">
        <f t="shared" ref="BR5:CL5" si="3">(BR2/(1+BR4))/BR3</f>
        <v>1.1998114965506821</v>
      </c>
      <c r="BS5" s="28">
        <f t="shared" si="3"/>
        <v>0.92677794503019428</v>
      </c>
      <c r="BT5" s="28">
        <f t="shared" si="3"/>
        <v>1.2910437891124811</v>
      </c>
      <c r="BU5" s="28">
        <f t="shared" si="3"/>
        <v>0.2733212353956751</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13209347707.129999</v>
      </c>
      <c r="F6" s="26">
        <f>现金流量表!F8</f>
        <v>7437740147.0600004</v>
      </c>
      <c r="G6" s="26">
        <f>现金流量表!G8</f>
        <v>4509538095.0699997</v>
      </c>
      <c r="H6" s="26">
        <f>现金流量表!H8</f>
        <v>2973752966.0900002</v>
      </c>
      <c r="I6" s="26">
        <f>现金流量表!I8</f>
        <v>10455208887.42</v>
      </c>
      <c r="J6" s="26">
        <f>现金流量表!J8</f>
        <v>5404416316.25</v>
      </c>
      <c r="K6" s="26">
        <f>现金流量表!K8</f>
        <v>3658677508.75</v>
      </c>
      <c r="L6" s="26">
        <f>现金流量表!L8</f>
        <v>1460899639.1700001</v>
      </c>
      <c r="M6" s="26">
        <f>现金流量表!M8</f>
        <v>6084201536.5699997</v>
      </c>
      <c r="N6" s="26">
        <f>现金流量表!N8</f>
        <v>3685447682.8800001</v>
      </c>
      <c r="O6" s="26">
        <f>现金流量表!O8</f>
        <v>2425834978.8299999</v>
      </c>
      <c r="P6" s="26">
        <f>现金流量表!P8</f>
        <v>1128751660.6800001</v>
      </c>
      <c r="Q6" s="26">
        <f>现金流量表!Q8</f>
        <v>4594554278.1400003</v>
      </c>
      <c r="R6" s="26">
        <f>现金流量表!R8</f>
        <v>2946834967.1300001</v>
      </c>
      <c r="S6" s="26">
        <f>现金流量表!S8</f>
        <v>1682161655.0899999</v>
      </c>
      <c r="T6" s="26">
        <f>现金流量表!T8</f>
        <v>723257042.69000006</v>
      </c>
      <c r="U6" s="26">
        <f>现金流量表!U8</f>
        <v>4150047174.8000002</v>
      </c>
      <c r="V6" s="26">
        <f>现金流量表!V8</f>
        <v>2786581207.5</v>
      </c>
      <c r="W6" s="26">
        <f>现金流量表!W8</f>
        <v>1835326159.78</v>
      </c>
      <c r="X6" s="26">
        <f>现金流量表!X8</f>
        <v>1112603553.8599999</v>
      </c>
      <c r="Y6" s="26">
        <f>现金流量表!Y8</f>
        <v>4827830777.79</v>
      </c>
      <c r="Z6" s="26">
        <f>现金流量表!Z8</f>
        <v>3078017111.6599998</v>
      </c>
      <c r="AA6" s="26">
        <f>现金流量表!AA8</f>
        <v>2160266283.4499998</v>
      </c>
      <c r="AB6" s="26">
        <f>现金流量表!AB8</f>
        <v>1720211801.04</v>
      </c>
      <c r="AC6" s="26">
        <f>现金流量表!AC8</f>
        <v>8409341382.3299999</v>
      </c>
      <c r="AD6" s="26">
        <f>现金流量表!AD8</f>
        <v>5148321416.3699999</v>
      </c>
      <c r="AE6" s="26">
        <f>现金流量表!AE8</f>
        <v>2993839332.9699998</v>
      </c>
      <c r="AF6" s="26">
        <f>现金流量表!AF8</f>
        <v>1915993050.3</v>
      </c>
      <c r="AG6" s="26">
        <f>现金流量表!AG8</f>
        <v>4177323007.29</v>
      </c>
      <c r="AH6" s="26">
        <f>现金流量表!AH8</f>
        <v>2120092784.47</v>
      </c>
      <c r="AI6" s="26">
        <f>现金流量表!AI8</f>
        <v>1090436431.55</v>
      </c>
      <c r="AJ6" s="26">
        <f>现金流量表!AJ8</f>
        <v>519856868.25999999</v>
      </c>
      <c r="AK6" s="26">
        <f>现金流量表!AK8</f>
        <v>1567851845.9400001</v>
      </c>
      <c r="AL6" s="26">
        <f>现金流量表!AL8</f>
        <v>1202759934.9400001</v>
      </c>
      <c r="AM6" s="26">
        <f>现金流量表!AM8</f>
        <v>744274270.55999994</v>
      </c>
      <c r="AN6" s="26">
        <f>现金流量表!AN8</f>
        <v>190471891.91999999</v>
      </c>
      <c r="AO6" s="26">
        <f>现金流量表!AO8</f>
        <v>2355883982.8800001</v>
      </c>
      <c r="AP6" s="26">
        <f>现金流量表!AP8</f>
        <v>1726509374.2</v>
      </c>
      <c r="AQ6" s="26">
        <f>现金流量表!AQ8</f>
        <v>1158165951.6600001</v>
      </c>
      <c r="AR6" s="26">
        <f>现金流量表!AR8</f>
        <v>1285113076.27</v>
      </c>
      <c r="AS6" s="26">
        <f>现金流量表!AS8</f>
        <v>5257400835.6700001</v>
      </c>
      <c r="AT6" s="26">
        <f>现金流量表!AT8</f>
        <v>3976279288.8499999</v>
      </c>
      <c r="AU6" s="26">
        <f>现金流量表!AU8</f>
        <v>2431328500.2199998</v>
      </c>
      <c r="AV6" s="26">
        <f>现金流量表!AV8</f>
        <v>1075962006.02</v>
      </c>
      <c r="AW6" s="26">
        <f>现金流量表!AW8</f>
        <v>4037626947.46</v>
      </c>
      <c r="AX6" s="26">
        <f>现金流量表!AX8</f>
        <v>2843517157.79</v>
      </c>
      <c r="AY6" s="26">
        <f>现金流量表!AY8</f>
        <v>1866937201.9300001</v>
      </c>
      <c r="AZ6" s="26">
        <f>现金流量表!AZ8</f>
        <v>912493945.75</v>
      </c>
      <c r="BA6" s="26">
        <f>现金流量表!BA8</f>
        <v>5081608453.8299999</v>
      </c>
      <c r="BB6" s="26">
        <f>现金流量表!BB8</f>
        <v>2107338436.9200001</v>
      </c>
      <c r="BC6" s="26">
        <f>现金流量表!BC8</f>
        <v>1374015337.3499999</v>
      </c>
      <c r="BD6" s="26">
        <f>现金流量表!BD8</f>
        <v>949562570.61000001</v>
      </c>
      <c r="BE6" s="26">
        <f>现金流量表!BE8</f>
        <v>2524747037.21</v>
      </c>
      <c r="BF6" s="26">
        <f>现金流量表!BF8</f>
        <v>1669824870</v>
      </c>
      <c r="BG6" s="26">
        <f>现金流量表!BG8</f>
        <v>799727817.09000003</v>
      </c>
      <c r="BH6" s="26">
        <f>现金流量表!BH8</f>
        <v>490281469.69999999</v>
      </c>
      <c r="BI6" s="26">
        <f>现金流量表!BI8</f>
        <v>2823933634.4499998</v>
      </c>
      <c r="BJ6" s="26">
        <f>现金流量表!BJ8</f>
        <v>1862976105.9000001</v>
      </c>
      <c r="BK6" s="26">
        <f>现金流量表!BK8</f>
        <v>1456543062</v>
      </c>
      <c r="BL6" s="26">
        <f>现金流量表!BL8</f>
        <v>0</v>
      </c>
      <c r="BM6" s="26">
        <f>现金流量表!BM8</f>
        <v>2927365163.3499999</v>
      </c>
      <c r="BN6" s="26">
        <f>现金流量表!BN8</f>
        <v>1433136585.53</v>
      </c>
      <c r="BO6" s="26">
        <f>现金流量表!BO8</f>
        <v>2052992818.6099999</v>
      </c>
      <c r="BP6" s="26">
        <f>现金流量表!BP8</f>
        <v>994843787.44000006</v>
      </c>
      <c r="BQ6" s="26">
        <f>现金流量表!BQ8</f>
        <v>2435254390.1399999</v>
      </c>
      <c r="BR6" s="26">
        <f>现金流量表!BR8</f>
        <v>1143181730.73</v>
      </c>
      <c r="BS6" s="26">
        <f>现金流量表!BS8</f>
        <v>2289670972.5300002</v>
      </c>
      <c r="BT6" s="26">
        <f>现金流量表!BT8</f>
        <v>1923496387</v>
      </c>
      <c r="BU6" s="26">
        <f>现金流量表!BU8</f>
        <v>633637948.79999995</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1267020460.78</v>
      </c>
      <c r="F7" s="26">
        <f>现金流量表!F9</f>
        <v>918519618.20000005</v>
      </c>
      <c r="G7" s="26">
        <f>现金流量表!G9</f>
        <v>620865515.47000003</v>
      </c>
      <c r="H7" s="26">
        <f>现金流量表!H9</f>
        <v>368240959.81999999</v>
      </c>
      <c r="I7" s="26">
        <f>现金流量表!I9</f>
        <v>977297801.65999997</v>
      </c>
      <c r="J7" s="26">
        <f>现金流量表!J9</f>
        <v>679507180.35000002</v>
      </c>
      <c r="K7" s="26">
        <f>现金流量表!K9</f>
        <v>524746031.23000002</v>
      </c>
      <c r="L7" s="26">
        <f>现金流量表!L9</f>
        <v>298371022.35000002</v>
      </c>
      <c r="M7" s="26">
        <f>现金流量表!M9</f>
        <v>893989108.52999997</v>
      </c>
      <c r="N7" s="26">
        <f>现金流量表!N9</f>
        <v>658321640.98000002</v>
      </c>
      <c r="O7" s="26">
        <f>现金流量表!O9</f>
        <v>476015698.91000003</v>
      </c>
      <c r="P7" s="26">
        <f>现金流量表!P9</f>
        <v>283468238.33999997</v>
      </c>
      <c r="Q7" s="26">
        <f>现金流量表!Q9</f>
        <v>708166899.30999994</v>
      </c>
      <c r="R7" s="26">
        <f>现金流量表!R9</f>
        <v>533741998.27999997</v>
      </c>
      <c r="S7" s="26">
        <f>现金流量表!S9</f>
        <v>378843499.76999998</v>
      </c>
      <c r="T7" s="26">
        <f>现金流量表!T9</f>
        <v>211254229.31999999</v>
      </c>
      <c r="U7" s="26">
        <f>现金流量表!U9</f>
        <v>626533856.58000004</v>
      </c>
      <c r="V7" s="26">
        <f>现金流量表!V9</f>
        <v>448347381.56999999</v>
      </c>
      <c r="W7" s="26">
        <f>现金流量表!W9</f>
        <v>309287589.08999997</v>
      </c>
      <c r="X7" s="26">
        <f>现金流量表!X9</f>
        <v>145551958.80000001</v>
      </c>
      <c r="Y7" s="26">
        <f>现金流量表!Y9</f>
        <v>515778563.33999997</v>
      </c>
      <c r="Z7" s="26">
        <f>现金流量表!Z9</f>
        <v>336128353.42000002</v>
      </c>
      <c r="AA7" s="26">
        <f>现金流量表!AA9</f>
        <v>248006127.34999999</v>
      </c>
      <c r="AB7" s="26">
        <f>现金流量表!AB9</f>
        <v>107912199.5</v>
      </c>
      <c r="AC7" s="26">
        <f>现金流量表!AC9</f>
        <v>550374769.21000004</v>
      </c>
      <c r="AD7" s="26">
        <f>现金流量表!AD9</f>
        <v>402277932.01999998</v>
      </c>
      <c r="AE7" s="26">
        <f>现金流量表!AE9</f>
        <v>292624388.63</v>
      </c>
      <c r="AF7" s="26">
        <f>现金流量表!AF9</f>
        <v>165423198.86000001</v>
      </c>
      <c r="AG7" s="26">
        <f>现金流量表!AG9</f>
        <v>446294485.30000001</v>
      </c>
      <c r="AH7" s="26">
        <f>现金流量表!AH9</f>
        <v>228484739.62</v>
      </c>
      <c r="AI7" s="26">
        <f>现金流量表!AI9</f>
        <v>153173392.03</v>
      </c>
      <c r="AJ7" s="26">
        <f>现金流量表!AJ9</f>
        <v>89060780.799999997</v>
      </c>
      <c r="AK7" s="26">
        <f>现金流量表!AK9</f>
        <v>213108158.96000001</v>
      </c>
      <c r="AL7" s="26">
        <f>现金流量表!AL9</f>
        <v>138645659.34</v>
      </c>
      <c r="AM7" s="26">
        <f>现金流量表!AM9</f>
        <v>100359470.65000001</v>
      </c>
      <c r="AN7" s="26">
        <f>现金流量表!AN9</f>
        <v>60764481.969999999</v>
      </c>
      <c r="AO7" s="26">
        <f>现金流量表!AO9</f>
        <v>298614361.79000002</v>
      </c>
      <c r="AP7" s="26">
        <f>现金流量表!AP9</f>
        <v>192565031.63999999</v>
      </c>
      <c r="AQ7" s="26">
        <f>现金流量表!AQ9</f>
        <v>134603446.71000001</v>
      </c>
      <c r="AR7" s="26">
        <f>现金流量表!AR9</f>
        <v>91378078.030000001</v>
      </c>
      <c r="AS7" s="26">
        <f>现金流量表!AS9</f>
        <v>201633440.53</v>
      </c>
      <c r="AT7" s="26">
        <f>现金流量表!AT9</f>
        <v>145511612.40000001</v>
      </c>
      <c r="AU7" s="26">
        <f>现金流量表!AU9</f>
        <v>104388193.02</v>
      </c>
      <c r="AV7" s="26">
        <f>现金流量表!AV9</f>
        <v>62968972.649999999</v>
      </c>
      <c r="AW7" s="26">
        <f>现金流量表!AW9</f>
        <v>130256337.62</v>
      </c>
      <c r="AX7" s="26">
        <f>现金流量表!AX9</f>
        <v>119800530.94</v>
      </c>
      <c r="AY7" s="26">
        <f>现金流量表!AY9</f>
        <v>85515887.689999998</v>
      </c>
      <c r="AZ7" s="26">
        <f>现金流量表!AZ9</f>
        <v>58837774.18</v>
      </c>
      <c r="BA7" s="26">
        <f>现金流量表!BA9</f>
        <v>117936571.33</v>
      </c>
      <c r="BB7" s="26">
        <f>现金流量表!BB9</f>
        <v>103605873.08</v>
      </c>
      <c r="BC7" s="26">
        <f>现金流量表!BC9</f>
        <v>72625033.599999994</v>
      </c>
      <c r="BD7" s="26">
        <f>现金流量表!BD9</f>
        <v>46777163.520000003</v>
      </c>
      <c r="BE7" s="26">
        <f>现金流量表!BE9</f>
        <v>105103721.97</v>
      </c>
      <c r="BF7" s="26">
        <f>现金流量表!BF9</f>
        <v>81999694</v>
      </c>
      <c r="BG7" s="26">
        <f>现金流量表!BG9</f>
        <v>60075318.719999999</v>
      </c>
      <c r="BH7" s="26">
        <f>现金流量表!BH9</f>
        <v>37782867.359999999</v>
      </c>
      <c r="BI7" s="26">
        <f>现金流量表!BI9</f>
        <v>101461266.08</v>
      </c>
      <c r="BJ7" s="26">
        <f>现金流量表!BJ9</f>
        <v>81576705.329999998</v>
      </c>
      <c r="BK7" s="26">
        <f>现金流量表!BK9</f>
        <v>54478424.060000002</v>
      </c>
      <c r="BL7" s="26">
        <f>现金流量表!BL9</f>
        <v>0</v>
      </c>
      <c r="BM7" s="26">
        <f>现金流量表!BM9</f>
        <v>108756595.38</v>
      </c>
      <c r="BN7" s="26">
        <f>现金流量表!BN9</f>
        <v>53101203.710000001</v>
      </c>
      <c r="BO7" s="26">
        <f>现金流量表!BO9</f>
        <v>87470351.319999993</v>
      </c>
      <c r="BP7" s="26">
        <f>现金流量表!BP9</f>
        <v>36008206.840000004</v>
      </c>
      <c r="BQ7" s="26">
        <f>现金流量表!BQ9</f>
        <v>75017095.510000005</v>
      </c>
      <c r="BR7" s="26">
        <f>现金流量表!BR9</f>
        <v>38467305.060000002</v>
      </c>
      <c r="BS7" s="26">
        <f>现金流量表!BS9</f>
        <v>72722354.769999996</v>
      </c>
      <c r="BT7" s="26">
        <f>现金流量表!BT9</f>
        <v>61996727.299999997</v>
      </c>
      <c r="BU7" s="26">
        <f>现金流量表!BU9</f>
        <v>46653821.390000001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15982893658.84</v>
      </c>
      <c r="F8" s="58">
        <f>利润表!F6</f>
        <v>11887084837.76</v>
      </c>
      <c r="G8" s="58">
        <f>利润表!G6</f>
        <v>7861371811.7799997</v>
      </c>
      <c r="H8" s="58">
        <f>利润表!H6</f>
        <v>4228707468.8400002</v>
      </c>
      <c r="I8" s="58">
        <f>利润表!I6</f>
        <v>12111213286.280001</v>
      </c>
      <c r="J8" s="58">
        <f>利润表!J6</f>
        <v>8829467976.4799995</v>
      </c>
      <c r="K8" s="58">
        <f>利润表!K6</f>
        <v>5812591773.6700001</v>
      </c>
      <c r="L8" s="58">
        <f>利润表!L6</f>
        <v>3047294578.2800002</v>
      </c>
      <c r="M8" s="58">
        <f>利润表!M6</f>
        <v>9646390824.3600006</v>
      </c>
      <c r="N8" s="58">
        <f>利润表!N6</f>
        <v>7041009821.1199999</v>
      </c>
      <c r="O8" s="58">
        <f>利润表!O6</f>
        <v>4457541472.6599998</v>
      </c>
      <c r="P8" s="58">
        <f>利润表!P6</f>
        <v>2379120341.8200002</v>
      </c>
      <c r="Q8" s="58">
        <f>利润表!Q6</f>
        <v>8007492218.6899996</v>
      </c>
      <c r="R8" s="58">
        <f>利润表!R6</f>
        <v>5747116600.3699999</v>
      </c>
      <c r="S8" s="58">
        <f>利润表!S6</f>
        <v>3655315076.5900002</v>
      </c>
      <c r="T8" s="58">
        <f>利润表!T6</f>
        <v>1863580470.1199999</v>
      </c>
      <c r="U8" s="58">
        <f>利润表!U6</f>
        <v>6549621939.8999996</v>
      </c>
      <c r="V8" s="58">
        <f>利润表!V6</f>
        <v>4779232584.0600004</v>
      </c>
      <c r="W8" s="58">
        <f>利润表!W6</f>
        <v>3005810911.1399999</v>
      </c>
      <c r="X8" s="58">
        <f>利润表!X6</f>
        <v>1782597479.96</v>
      </c>
      <c r="Y8" s="58">
        <f>利润表!Y6</f>
        <v>5339914557.9799995</v>
      </c>
      <c r="Z8" s="58">
        <f>利润表!Z6</f>
        <v>3566854991.7399998</v>
      </c>
      <c r="AA8" s="58">
        <f>利润表!AA6</f>
        <v>2453880581.1900001</v>
      </c>
      <c r="AB8" s="58">
        <f>利润表!AB6</f>
        <v>1312055379.3699999</v>
      </c>
      <c r="AC8" s="58">
        <f>利润表!AC6</f>
        <v>9153133555.9699993</v>
      </c>
      <c r="AD8" s="58">
        <f>利润表!AD6</f>
        <v>7823252342.6199999</v>
      </c>
      <c r="AE8" s="58">
        <f>利润表!AE6</f>
        <v>5611799841.3000002</v>
      </c>
      <c r="AF8" s="58">
        <f>利润表!AF6</f>
        <v>3209055630.29</v>
      </c>
      <c r="AG8" s="58">
        <f>利润表!AG6</f>
        <v>9445348989.1800003</v>
      </c>
      <c r="AH8" s="58">
        <f>利润表!AH6</f>
        <v>4720109340.46</v>
      </c>
      <c r="AI8" s="58">
        <f>利润表!AI6</f>
        <v>3063518891.21</v>
      </c>
      <c r="AJ8" s="58">
        <f>利润表!AJ6</f>
        <v>1390576461.6199999</v>
      </c>
      <c r="AK8" s="58">
        <f>利润表!AK6</f>
        <v>3352503034.75</v>
      </c>
      <c r="AL8" s="58">
        <f>利润表!AL6</f>
        <v>2250684996.8600001</v>
      </c>
      <c r="AM8" s="58">
        <f>利润表!AM6</f>
        <v>1496548611.22</v>
      </c>
      <c r="AN8" s="58">
        <f>利润表!AN6</f>
        <v>788361309.11000001</v>
      </c>
      <c r="AO8" s="58">
        <f>利润表!AO6</f>
        <v>3495399864.1100001</v>
      </c>
      <c r="AP8" s="58">
        <f>利润表!AP6</f>
        <v>2789367413.21</v>
      </c>
      <c r="AQ8" s="58">
        <f>利润表!AQ6</f>
        <v>1937796658.1500001</v>
      </c>
      <c r="AR8" s="58">
        <f>利润表!AR6</f>
        <v>880605260.80999994</v>
      </c>
      <c r="AS8" s="58">
        <f>利润表!AS6</f>
        <v>4004806298.8600001</v>
      </c>
      <c r="AT8" s="58">
        <f>利润表!AT6</f>
        <v>3314480556.23</v>
      </c>
      <c r="AU8" s="58">
        <f>利润表!AU6</f>
        <v>2308549271.3600001</v>
      </c>
      <c r="AV8" s="58">
        <f>利润表!AV6</f>
        <v>1157412583.5599999</v>
      </c>
      <c r="AW8" s="58">
        <f>利润表!AW6</f>
        <v>3351425492.1199999</v>
      </c>
      <c r="AX8" s="58">
        <f>利润表!AX6</f>
        <v>2577079092.9699998</v>
      </c>
      <c r="AY8" s="58">
        <f>利润表!AY6</f>
        <v>1734629476.5599999</v>
      </c>
      <c r="AZ8" s="58">
        <f>利润表!AZ6</f>
        <v>758131304.13</v>
      </c>
      <c r="BA8" s="58">
        <f>利润表!BA6</f>
        <v>2610112328.77</v>
      </c>
      <c r="BB8" s="58">
        <f>利润表!BB6</f>
        <v>1756574969.74</v>
      </c>
      <c r="BC8" s="58">
        <f>利润表!BC6</f>
        <v>1111249484.8199999</v>
      </c>
      <c r="BD8" s="58">
        <f>利润表!BD6</f>
        <v>558788476.47000003</v>
      </c>
      <c r="BE8" s="58">
        <f>利润表!BE6</f>
        <v>1960846156.5799999</v>
      </c>
      <c r="BF8" s="58">
        <f>利润表!BF6</f>
        <v>1291093542.25</v>
      </c>
      <c r="BG8" s="58">
        <f>利润表!BG6</f>
        <v>867878445.94000006</v>
      </c>
      <c r="BH8" s="58">
        <f>利润表!BH6</f>
        <v>468799028.16000003</v>
      </c>
      <c r="BI8" s="58">
        <f>利润表!BI6</f>
        <v>2367701377.6599998</v>
      </c>
      <c r="BJ8" s="58">
        <f>利润表!BJ6</f>
        <v>1651739025.7</v>
      </c>
      <c r="BK8" s="58">
        <f>利润表!BK6</f>
        <v>1158683250.95</v>
      </c>
      <c r="BL8" s="58">
        <f>利润表!BL6</f>
        <v>683524653.25</v>
      </c>
      <c r="BM8" s="58">
        <f>利润表!BM6</f>
        <v>2341338051.73</v>
      </c>
      <c r="BN8" s="58">
        <f>利润表!BN6</f>
        <v>1876672125.77</v>
      </c>
      <c r="BO8" s="58">
        <f>利润表!BO6</f>
        <v>1165969607.3599999</v>
      </c>
      <c r="BP8" s="58">
        <f>利润表!BP6</f>
        <v>492769316.82999998</v>
      </c>
      <c r="BQ8" s="58">
        <f>利润表!BQ6</f>
        <v>1471398340.8599999</v>
      </c>
      <c r="BR8" s="58">
        <f>利润表!BR6</f>
        <v>826221293.63</v>
      </c>
      <c r="BS8" s="58">
        <f>利润表!BS6</f>
        <v>2007361302.1700001</v>
      </c>
      <c r="BT8" s="58">
        <f>利润表!BT6</f>
        <v>1066828910.61</v>
      </c>
      <c r="BU8" s="58">
        <f>利润表!BU6</f>
        <v>1889920384.8299999</v>
      </c>
      <c r="BV8" s="58">
        <f>利润表!BV6</f>
        <v>1012360881.78</v>
      </c>
      <c r="BW8" s="58">
        <f>利润表!BW6</f>
        <v>1573171315</v>
      </c>
      <c r="BX8" s="58">
        <f>利润表!BX6</f>
        <v>695172733.25999999</v>
      </c>
      <c r="BY8" s="58">
        <f>利润表!BY6</f>
        <v>1291744319.78</v>
      </c>
      <c r="BZ8" s="58">
        <f>利润表!BZ6</f>
        <v>0</v>
      </c>
      <c r="CA8" s="58">
        <f>利润表!CA6</f>
        <v>945200780.38999999</v>
      </c>
      <c r="CB8" s="58">
        <f>利润表!CB6</f>
        <v>0</v>
      </c>
      <c r="CC8" s="58">
        <f>利润表!CC6</f>
        <v>689326756.65999997</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131791477.12</v>
      </c>
      <c r="F9" s="58">
        <f>利润表!F7</f>
        <v>98446618.900000006</v>
      </c>
      <c r="G9" s="58">
        <f>利润表!G7</f>
        <v>64532273.740000002</v>
      </c>
      <c r="H9" s="58">
        <f>利润表!H7</f>
        <v>29239701.579999998</v>
      </c>
      <c r="I9" s="58">
        <f>利润表!I7</f>
        <v>99204438.579999998</v>
      </c>
      <c r="J9" s="58">
        <f>利润表!J7</f>
        <v>62360730.859999999</v>
      </c>
      <c r="K9" s="58">
        <f>利润表!K7</f>
        <v>44723877.460000001</v>
      </c>
      <c r="L9" s="58">
        <f>利润表!L7</f>
        <v>25562733.25</v>
      </c>
      <c r="M9" s="58">
        <f>利润表!M7</f>
        <v>66761675.479999997</v>
      </c>
      <c r="N9" s="58">
        <f>利润表!N7</f>
        <v>57452288.109999999</v>
      </c>
      <c r="O9" s="58">
        <f>利润表!O7</f>
        <v>37697582.259999998</v>
      </c>
      <c r="P9" s="58">
        <f>利润表!P7</f>
        <v>17128541.02</v>
      </c>
      <c r="Q9" s="58">
        <f>利润表!Q7</f>
        <v>67429778.790000007</v>
      </c>
      <c r="R9" s="58">
        <f>利润表!R7</f>
        <v>51122619.479999997</v>
      </c>
      <c r="S9" s="58">
        <f>利润表!S7</f>
        <v>31180668.93</v>
      </c>
      <c r="T9" s="58">
        <f>利润表!T7</f>
        <v>18158736.210000001</v>
      </c>
      <c r="U9" s="58">
        <f>利润表!U7</f>
        <v>53002629.990000002</v>
      </c>
      <c r="V9" s="58">
        <f>利润表!V7</f>
        <v>40669122.030000001</v>
      </c>
      <c r="W9" s="58">
        <f>利润表!W7</f>
        <v>25957616.210000001</v>
      </c>
      <c r="X9" s="58">
        <f>利润表!X7</f>
        <v>17327435.34</v>
      </c>
      <c r="Y9" s="58">
        <f>利润表!Y7</f>
        <v>30481840.170000002</v>
      </c>
      <c r="Z9" s="58">
        <f>利润表!Z7</f>
        <v>24274034.120000001</v>
      </c>
      <c r="AA9" s="58">
        <f>利润表!AA7</f>
        <v>15731754.99</v>
      </c>
      <c r="AB9" s="58">
        <f>利润表!AB7</f>
        <v>11841728.85</v>
      </c>
      <c r="AC9" s="58">
        <f>利润表!AC7</f>
        <v>22435896.129999999</v>
      </c>
      <c r="AD9" s="58">
        <f>利润表!AD7</f>
        <v>18817214.73</v>
      </c>
      <c r="AE9" s="58">
        <f>利润表!AE7</f>
        <v>15808434.08</v>
      </c>
      <c r="AF9" s="58">
        <f>利润表!AF7</f>
        <v>9475406.3699999992</v>
      </c>
      <c r="AG9" s="58">
        <f>利润表!AG7</f>
        <v>23799193.190000001</v>
      </c>
      <c r="AH9" s="58">
        <f>利润表!AH7</f>
        <v>13490511.699999999</v>
      </c>
      <c r="AI9" s="58">
        <f>利润表!AI7</f>
        <v>9954984.4000000004</v>
      </c>
      <c r="AJ9" s="58">
        <f>利润表!AJ7</f>
        <v>5091868.01</v>
      </c>
      <c r="AK9" s="58">
        <f>利润表!AK7</f>
        <v>19057858.100000001</v>
      </c>
      <c r="AL9" s="58">
        <f>利润表!AL7</f>
        <v>14468653.779999999</v>
      </c>
      <c r="AM9" s="58">
        <f>利润表!AM7</f>
        <v>10960213.77</v>
      </c>
      <c r="AN9" s="58">
        <f>利润表!AN7</f>
        <v>7247483.2300000004</v>
      </c>
      <c r="AO9" s="58">
        <f>利润表!AO7</f>
        <v>17500882.039999999</v>
      </c>
      <c r="AP9" s="58">
        <f>利润表!AP7</f>
        <v>11116954.939999999</v>
      </c>
      <c r="AQ9" s="58">
        <f>利润表!AQ7</f>
        <v>7499547.7000000002</v>
      </c>
      <c r="AR9" s="58">
        <f>利润表!AR7</f>
        <v>5119721.3</v>
      </c>
      <c r="AS9" s="58">
        <f>利润表!AS7</f>
        <v>22623370.5</v>
      </c>
      <c r="AT9" s="58">
        <f>利润表!AT7</f>
        <v>15200247.67</v>
      </c>
      <c r="AU9" s="58">
        <f>利润表!AU7</f>
        <v>9962138.1799999997</v>
      </c>
      <c r="AV9" s="58">
        <f>利润表!AV7</f>
        <v>6160000.3099999996</v>
      </c>
      <c r="AW9" s="58">
        <f>利润表!AW7</f>
        <v>14491471.82</v>
      </c>
      <c r="AX9" s="58">
        <f>利润表!AX7</f>
        <v>11154144.18</v>
      </c>
      <c r="AY9" s="58">
        <f>利润表!AY7</f>
        <v>8406724.8900000006</v>
      </c>
      <c r="AZ9" s="58">
        <f>利润表!AZ7</f>
        <v>4202084.05</v>
      </c>
      <c r="BA9" s="58">
        <f>利润表!BA7</f>
        <v>10799593.949999999</v>
      </c>
      <c r="BB9" s="58">
        <f>利润表!BB7</f>
        <v>8255445.0300000003</v>
      </c>
      <c r="BC9" s="58">
        <f>利润表!BC7</f>
        <v>5873605.7599999998</v>
      </c>
      <c r="BD9" s="58">
        <f>利润表!BD7</f>
        <v>2851388.8</v>
      </c>
      <c r="BE9" s="58">
        <f>利润表!BE7</f>
        <v>5642078.4100000001</v>
      </c>
      <c r="BF9" s="58">
        <f>利润表!BF7</f>
        <v>4663285.51</v>
      </c>
      <c r="BG9" s="58">
        <f>利润表!BG7</f>
        <v>2595207.86</v>
      </c>
      <c r="BH9" s="58">
        <f>利润表!BH7</f>
        <v>1935011.26</v>
      </c>
      <c r="BI9" s="58">
        <f>利润表!BI7</f>
        <v>11960428.98</v>
      </c>
      <c r="BJ9" s="58">
        <f>利润表!BJ7</f>
        <v>5938607.2199999997</v>
      </c>
      <c r="BK9" s="58">
        <f>利润表!BK7</f>
        <v>3220189.63</v>
      </c>
      <c r="BL9" s="58">
        <f>利润表!BL7</f>
        <v>2276290.83</v>
      </c>
      <c r="BM9" s="58">
        <f>利润表!BM7</f>
        <v>9193914.8300000001</v>
      </c>
      <c r="BN9" s="58">
        <f>利润表!BN7</f>
        <v>8252948.3700000001</v>
      </c>
      <c r="BO9" s="58">
        <f>利润表!BO7</f>
        <v>6212946.46</v>
      </c>
      <c r="BP9" s="58">
        <f>利润表!BP7</f>
        <v>4762321.46</v>
      </c>
      <c r="BQ9" s="58">
        <f>利润表!BQ7</f>
        <v>12702583.960000001</v>
      </c>
      <c r="BR9" s="58">
        <f>利润表!BR7</f>
        <v>7632378.6399999997</v>
      </c>
      <c r="BS9" s="58">
        <f>利润表!BS7</f>
        <v>14553861.73</v>
      </c>
      <c r="BT9" s="58">
        <f>利润表!BT7</f>
        <v>7009597.2999999998</v>
      </c>
      <c r="BU9" s="58">
        <f>利润表!BU7</f>
        <v>17589703.219999999</v>
      </c>
      <c r="BV9" s="58">
        <f>利润表!BV7</f>
        <v>8384055.7000000002</v>
      </c>
      <c r="BW9" s="58">
        <f>利润表!BW7</f>
        <v>12094071.689999999</v>
      </c>
      <c r="BX9" s="58">
        <f>利润表!BX7</f>
        <v>5731319.0700000003</v>
      </c>
      <c r="BY9" s="58">
        <f>利润表!BY7</f>
        <v>13887109.609999999</v>
      </c>
      <c r="BZ9" s="58">
        <f>利润表!BZ7</f>
        <v>0</v>
      </c>
      <c r="CA9" s="58">
        <f>利润表!CA7</f>
        <v>8984585.9100000001</v>
      </c>
      <c r="CB9" s="58">
        <f>利润表!CB7</f>
        <v>0</v>
      </c>
      <c r="CC9" s="58">
        <f>利润表!CC7</f>
        <v>5728193.0599999996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2872849586.1399999</v>
      </c>
      <c r="F10" s="58">
        <f>利润表!F8</f>
        <v>2235935416.9000001</v>
      </c>
      <c r="G10" s="58">
        <f>利润表!G8</f>
        <v>1533889871.4000001</v>
      </c>
      <c r="H10" s="58">
        <f>利润表!H8</f>
        <v>862300832.44000006</v>
      </c>
      <c r="I10" s="58">
        <f>利润表!I8</f>
        <v>2325645712.6500001</v>
      </c>
      <c r="J10" s="58">
        <f>利润表!J8</f>
        <v>1730895706.04</v>
      </c>
      <c r="K10" s="58">
        <f>利润表!K8</f>
        <v>1191332056.1199999</v>
      </c>
      <c r="L10" s="58">
        <f>利润表!L8</f>
        <v>631396475.17999995</v>
      </c>
      <c r="M10" s="58">
        <f>利润表!M8</f>
        <v>1957833768.25</v>
      </c>
      <c r="N10" s="58">
        <f>利润表!N8</f>
        <v>1345059132.8</v>
      </c>
      <c r="O10" s="58">
        <f>利润表!O8</f>
        <v>849993249.29999995</v>
      </c>
      <c r="P10" s="58">
        <f>利润表!P8</f>
        <v>472357387.27999997</v>
      </c>
      <c r="Q10" s="58">
        <f>利润表!Q8</f>
        <v>1519482348.76</v>
      </c>
      <c r="R10" s="58">
        <f>利润表!R8</f>
        <v>1080503620.01</v>
      </c>
      <c r="S10" s="58">
        <f>利润表!S8</f>
        <v>708872153.89999998</v>
      </c>
      <c r="T10" s="58">
        <f>利润表!T8</f>
        <v>384822055.79000002</v>
      </c>
      <c r="U10" s="58">
        <f>利润表!U8</f>
        <v>1267118417.2</v>
      </c>
      <c r="V10" s="58">
        <f>利润表!V8</f>
        <v>873771862.52999997</v>
      </c>
      <c r="W10" s="58">
        <f>利润表!W8</f>
        <v>539966097.75999999</v>
      </c>
      <c r="X10" s="58">
        <f>利润表!X8</f>
        <v>328751508.20999998</v>
      </c>
      <c r="Y10" s="58">
        <f>利润表!Y8</f>
        <v>840560482.52999997</v>
      </c>
      <c r="Z10" s="58">
        <f>利润表!Z8</f>
        <v>500220233.73000002</v>
      </c>
      <c r="AA10" s="58">
        <f>利润表!AA8</f>
        <v>283844635.95999998</v>
      </c>
      <c r="AB10" s="58">
        <f>利润表!AB8</f>
        <v>98782478.060000002</v>
      </c>
      <c r="AC10" s="58">
        <f>利润表!AC8</f>
        <v>894035414.82000005</v>
      </c>
      <c r="AD10" s="58">
        <f>利润表!AD8</f>
        <v>693133218.91999996</v>
      </c>
      <c r="AE10" s="58">
        <f>利润表!AE8</f>
        <v>524121604.12</v>
      </c>
      <c r="AF10" s="58">
        <f>利润表!AF8</f>
        <v>265417681.27000001</v>
      </c>
      <c r="AG10" s="58">
        <f>利润表!AG8</f>
        <v>738452660.85000002</v>
      </c>
      <c r="AH10" s="58">
        <f>利润表!AH8</f>
        <v>329656681.36000001</v>
      </c>
      <c r="AI10" s="58">
        <f>利润表!AI8</f>
        <v>211488684.03999999</v>
      </c>
      <c r="AJ10" s="58">
        <f>利润表!AJ8</f>
        <v>104366030.09999999</v>
      </c>
      <c r="AK10" s="58">
        <f>利润表!AK8</f>
        <v>504572636.19999999</v>
      </c>
      <c r="AL10" s="58">
        <f>利润表!AL8</f>
        <v>389212140.48000002</v>
      </c>
      <c r="AM10" s="58">
        <f>利润表!AM8</f>
        <v>238060212.18000001</v>
      </c>
      <c r="AN10" s="58">
        <f>利润表!AN8</f>
        <v>117938509.69</v>
      </c>
      <c r="AO10" s="58">
        <f>利润表!AO8</f>
        <v>512655618.88999999</v>
      </c>
      <c r="AP10" s="58">
        <f>利润表!AP8</f>
        <v>345204576.25</v>
      </c>
      <c r="AQ10" s="58">
        <f>利润表!AQ8</f>
        <v>299080889.25</v>
      </c>
      <c r="AR10" s="58">
        <f>利润表!AR8</f>
        <v>165154471.44999999</v>
      </c>
      <c r="AS10" s="58">
        <f>利润表!AS8</f>
        <v>593071799.97000003</v>
      </c>
      <c r="AT10" s="58">
        <f>利润表!AT8</f>
        <v>512001878.12</v>
      </c>
      <c r="AU10" s="58">
        <f>利润表!AU8</f>
        <v>345164901.97000003</v>
      </c>
      <c r="AV10" s="58">
        <f>利润表!AV8</f>
        <v>188612863.63</v>
      </c>
      <c r="AW10" s="58">
        <f>利润表!AW8</f>
        <v>593680233.63999999</v>
      </c>
      <c r="AX10" s="58">
        <f>利润表!AX8</f>
        <v>477243142.04000002</v>
      </c>
      <c r="AY10" s="58">
        <f>利润表!AY8</f>
        <v>306401918.17000002</v>
      </c>
      <c r="AZ10" s="58">
        <f>利润表!AZ8</f>
        <v>146434291.83000001</v>
      </c>
      <c r="BA10" s="58">
        <f>利润表!BA8</f>
        <v>465466485.70999998</v>
      </c>
      <c r="BB10" s="58">
        <f>利润表!BB8</f>
        <v>330399294.91000003</v>
      </c>
      <c r="BC10" s="58">
        <f>利润表!BC8</f>
        <v>211437126.87</v>
      </c>
      <c r="BD10" s="58">
        <f>利润表!BD8</f>
        <v>117518300.75</v>
      </c>
      <c r="BE10" s="58">
        <f>利润表!BE8</f>
        <v>347325662.87</v>
      </c>
      <c r="BF10" s="58">
        <f>利润表!BF8</f>
        <v>202772865.05000001</v>
      </c>
      <c r="BG10" s="58">
        <f>利润表!BG8</f>
        <v>135830436.28999999</v>
      </c>
      <c r="BH10" s="58">
        <f>利润表!BH8</f>
        <v>76471684.200000003</v>
      </c>
      <c r="BI10" s="58">
        <f>利润表!BI8</f>
        <v>386364358.01999998</v>
      </c>
      <c r="BJ10" s="58">
        <f>利润表!BJ8</f>
        <v>256786938.61000001</v>
      </c>
      <c r="BK10" s="58">
        <f>利润表!BK8</f>
        <v>189162277.25999999</v>
      </c>
      <c r="BL10" s="58">
        <f>利润表!BL8</f>
        <v>105268295.23999999</v>
      </c>
      <c r="BM10" s="58">
        <f>利润表!BM8</f>
        <v>543207784.61000001</v>
      </c>
      <c r="BN10" s="58">
        <f>利润表!BN8</f>
        <v>366568194.94</v>
      </c>
      <c r="BO10" s="58">
        <f>利润表!BO8</f>
        <v>247121582.28999999</v>
      </c>
      <c r="BP10" s="58">
        <f>利润表!BP8</f>
        <v>134183200.38</v>
      </c>
      <c r="BQ10" s="58">
        <f>利润表!BQ8</f>
        <v>377793992.50999999</v>
      </c>
      <c r="BR10" s="58">
        <f>利润表!BR8</f>
        <v>140010265.78</v>
      </c>
      <c r="BS10" s="58">
        <f>利润表!BS8</f>
        <v>350190690.19999999</v>
      </c>
      <c r="BT10" s="58">
        <f>利润表!BT8</f>
        <v>197586665.75999999</v>
      </c>
      <c r="BU10" s="58">
        <f>利润表!BU8</f>
        <v>335786443.16000003</v>
      </c>
      <c r="BV10" s="58">
        <f>利润表!BV8</f>
        <v>158738505.84</v>
      </c>
      <c r="BW10" s="58">
        <f>利润表!BW8</f>
        <v>187477852.09999999</v>
      </c>
      <c r="BX10" s="58">
        <f>利润表!BX8</f>
        <v>88394820.780000001</v>
      </c>
      <c r="BY10" s="58">
        <f>利润表!BY8</f>
        <v>144982990.06999999</v>
      </c>
      <c r="BZ10" s="58">
        <f>利润表!BZ8</f>
        <v>0</v>
      </c>
      <c r="CA10" s="58">
        <f>利润表!CA8</f>
        <v>125467914.55</v>
      </c>
      <c r="CB10" s="58">
        <f>利润表!CB8</f>
        <v>0</v>
      </c>
      <c r="CC10" s="58">
        <f>利润表!CC8</f>
        <v>86816874.099999994</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728323077.71000004</v>
      </c>
      <c r="F11" s="58">
        <f>利润表!F9</f>
        <v>480040555.31999999</v>
      </c>
      <c r="G11" s="58">
        <f>利润表!G9</f>
        <v>328163105.39999998</v>
      </c>
      <c r="H11" s="58">
        <f>利润表!H9</f>
        <v>189893301.81999999</v>
      </c>
      <c r="I11" s="58">
        <f>利润表!I9</f>
        <v>505321107.13999999</v>
      </c>
      <c r="J11" s="58">
        <f>利润表!J9</f>
        <v>367042544.04000002</v>
      </c>
      <c r="K11" s="58">
        <f>利润表!K9</f>
        <v>265946054.68000001</v>
      </c>
      <c r="L11" s="58">
        <f>利润表!L9</f>
        <v>153743559.27000001</v>
      </c>
      <c r="M11" s="58">
        <f>利润表!M9</f>
        <v>539747209.79999995</v>
      </c>
      <c r="N11" s="58">
        <f>利润表!N9</f>
        <v>434300798.20999998</v>
      </c>
      <c r="O11" s="58">
        <f>利润表!O9</f>
        <v>272955998.10000002</v>
      </c>
      <c r="P11" s="58">
        <f>利润表!P9</f>
        <v>136356668.53999999</v>
      </c>
      <c r="Q11" s="58">
        <f>利润表!Q9</f>
        <v>441240435.75999999</v>
      </c>
      <c r="R11" s="58">
        <f>利润表!R9</f>
        <v>325821024.69</v>
      </c>
      <c r="S11" s="58">
        <f>利润表!S9</f>
        <v>210082884.69</v>
      </c>
      <c r="T11" s="58">
        <f>利润表!T9</f>
        <v>99867200.75</v>
      </c>
      <c r="U11" s="58">
        <f>利润表!U9</f>
        <v>393481200.80000001</v>
      </c>
      <c r="V11" s="58">
        <f>利润表!V9</f>
        <v>283474894.04000002</v>
      </c>
      <c r="W11" s="58">
        <f>利润表!W9</f>
        <v>173092190.68000001</v>
      </c>
      <c r="X11" s="58">
        <f>利润表!X9</f>
        <v>94490588.189999998</v>
      </c>
      <c r="Y11" s="58">
        <f>利润表!Y9</f>
        <v>331386860.95999998</v>
      </c>
      <c r="Z11" s="58">
        <f>利润表!Z9</f>
        <v>188886422.93000001</v>
      </c>
      <c r="AA11" s="58">
        <f>利润表!AA9</f>
        <v>123624901.19</v>
      </c>
      <c r="AB11" s="58">
        <f>利润表!AB9</f>
        <v>65368571.920000002</v>
      </c>
      <c r="AC11" s="58">
        <f>利润表!AC9</f>
        <v>373315207.86000001</v>
      </c>
      <c r="AD11" s="58">
        <f>利润表!AD9</f>
        <v>312420908.49000001</v>
      </c>
      <c r="AE11" s="58">
        <f>利润表!AE9</f>
        <v>239982133.44999999</v>
      </c>
      <c r="AF11" s="58">
        <f>利润表!AF9</f>
        <v>195118432.47</v>
      </c>
      <c r="AG11" s="58">
        <f>利润表!AG9</f>
        <v>325689250.06</v>
      </c>
      <c r="AH11" s="58">
        <f>利润表!AH9</f>
        <v>175834095.5</v>
      </c>
      <c r="AI11" s="58">
        <f>利润表!AI9</f>
        <v>123563218.78</v>
      </c>
      <c r="AJ11" s="58">
        <f>利润表!AJ9</f>
        <v>77055101.379999995</v>
      </c>
      <c r="AK11" s="58">
        <f>利润表!AK9</f>
        <v>187592749.28</v>
      </c>
      <c r="AL11" s="58">
        <f>利润表!AL9</f>
        <v>94524104.239999995</v>
      </c>
      <c r="AM11" s="58">
        <f>利润表!AM9</f>
        <v>67681769.629999995</v>
      </c>
      <c r="AN11" s="58">
        <f>利润表!AN9</f>
        <v>40946880.740000002</v>
      </c>
      <c r="AO11" s="58">
        <f>利润表!AO9</f>
        <v>232941380.94999999</v>
      </c>
      <c r="AP11" s="58">
        <f>利润表!AP9</f>
        <v>124914099.52</v>
      </c>
      <c r="AQ11" s="58">
        <f>利润表!AQ9</f>
        <v>80164564.810000002</v>
      </c>
      <c r="AR11" s="58">
        <f>利润表!AR9</f>
        <v>44790178.950000003</v>
      </c>
      <c r="AS11" s="58">
        <f>利润表!AS9</f>
        <v>167378329.84999999</v>
      </c>
      <c r="AT11" s="58">
        <f>利润表!AT9</f>
        <v>175237013.13</v>
      </c>
      <c r="AU11" s="58">
        <f>利润表!AU9</f>
        <v>122401881.55</v>
      </c>
      <c r="AV11" s="58">
        <f>利润表!AV9</f>
        <v>77090490.739999995</v>
      </c>
      <c r="AW11" s="58">
        <f>利润表!AW9</f>
        <v>277025651.75</v>
      </c>
      <c r="AX11" s="58">
        <f>利润表!AX9</f>
        <v>148235370.16999999</v>
      </c>
      <c r="AY11" s="58">
        <f>利润表!AY9</f>
        <v>82853881.030000001</v>
      </c>
      <c r="AZ11" s="58">
        <f>利润表!AZ9</f>
        <v>46651078.590000004</v>
      </c>
      <c r="BA11" s="58">
        <f>利润表!BA9</f>
        <v>150264621.88</v>
      </c>
      <c r="BB11" s="58">
        <f>利润表!BB9</f>
        <v>86625936.519999996</v>
      </c>
      <c r="BC11" s="58">
        <f>利润表!BC9</f>
        <v>59088222.789999999</v>
      </c>
      <c r="BD11" s="58">
        <f>利润表!BD9</f>
        <v>33911907.210000001</v>
      </c>
      <c r="BE11" s="58">
        <f>利润表!BE9</f>
        <v>121147525.08</v>
      </c>
      <c r="BF11" s="58">
        <f>利润表!BF9</f>
        <v>100474792.8</v>
      </c>
      <c r="BG11" s="58">
        <f>利润表!BG9</f>
        <v>70417566.650000006</v>
      </c>
      <c r="BH11" s="58">
        <f>利润表!BH9</f>
        <v>35591619.689999998</v>
      </c>
      <c r="BI11" s="58">
        <f>利润表!BI9</f>
        <v>107490914.15000001</v>
      </c>
      <c r="BJ11" s="58">
        <f>利润表!BJ9</f>
        <v>65883317.350000001</v>
      </c>
      <c r="BK11" s="58">
        <f>利润表!BK9</f>
        <v>45393658.240000002</v>
      </c>
      <c r="BL11" s="58">
        <f>利润表!BL9</f>
        <v>39692052.329999998</v>
      </c>
      <c r="BM11" s="58">
        <f>利润表!BM9</f>
        <v>653016641.34000003</v>
      </c>
      <c r="BN11" s="58">
        <f>利润表!BN9</f>
        <v>109399415.09</v>
      </c>
      <c r="BO11" s="58">
        <f>利润表!BO9</f>
        <v>68484191.090000004</v>
      </c>
      <c r="BP11" s="58">
        <f>利润表!BP9</f>
        <v>37388236.140000001</v>
      </c>
      <c r="BQ11" s="58">
        <f>利润表!BQ9</f>
        <v>152645208.46000001</v>
      </c>
      <c r="BR11" s="58">
        <f>利润表!BR9</f>
        <v>59062721.140000001</v>
      </c>
      <c r="BS11" s="58">
        <f>利润表!BS9</f>
        <v>117288907.59999999</v>
      </c>
      <c r="BT11" s="58">
        <f>利润表!BT9</f>
        <v>52497327.719999999</v>
      </c>
      <c r="BU11" s="58">
        <f>利润表!BU9</f>
        <v>105127119.83</v>
      </c>
      <c r="BV11" s="58">
        <f>利润表!BV9</f>
        <v>47051162.049999997</v>
      </c>
      <c r="BW11" s="58">
        <f>利润表!BW9</f>
        <v>85231162.840000004</v>
      </c>
      <c r="BX11" s="58">
        <f>利润表!BX9</f>
        <v>38275896.950000003</v>
      </c>
      <c r="BY11" s="58">
        <f>利润表!BY9</f>
        <v>52603946.979999997</v>
      </c>
      <c r="BZ11" s="58">
        <f>利润表!BZ9</f>
        <v>0</v>
      </c>
      <c r="CA11" s="58">
        <f>利润表!CA9</f>
        <v>41027633.560000002</v>
      </c>
      <c r="CB11" s="58">
        <f>利润表!CB9</f>
        <v>0</v>
      </c>
      <c r="CC11" s="58">
        <f>利润表!CC9</f>
        <v>35453932.219999999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19715857799.810001</v>
      </c>
      <c r="F12" s="58">
        <f t="shared" ref="F12:BQ12" si="4">SUM(F8:F11)</f>
        <v>14701507428.879999</v>
      </c>
      <c r="G12" s="58">
        <f t="shared" si="4"/>
        <v>9787957062.3199997</v>
      </c>
      <c r="H12" s="58">
        <f t="shared" si="4"/>
        <v>5310141304.6800003</v>
      </c>
      <c r="I12" s="58">
        <f t="shared" si="4"/>
        <v>15041384544.65</v>
      </c>
      <c r="J12" s="58">
        <f t="shared" si="4"/>
        <v>10989766957.420002</v>
      </c>
      <c r="K12" s="58">
        <f t="shared" si="4"/>
        <v>7314593761.9300003</v>
      </c>
      <c r="L12" s="58">
        <f t="shared" si="4"/>
        <v>3857997345.98</v>
      </c>
      <c r="M12" s="58">
        <f t="shared" si="4"/>
        <v>12210733477.889999</v>
      </c>
      <c r="N12" s="58">
        <f t="shared" si="4"/>
        <v>8877822040.2399998</v>
      </c>
      <c r="O12" s="58">
        <f t="shared" si="4"/>
        <v>5618188302.3200006</v>
      </c>
      <c r="P12" s="58">
        <f t="shared" si="4"/>
        <v>3004962938.6599998</v>
      </c>
      <c r="Q12" s="58">
        <f t="shared" si="4"/>
        <v>10035644782</v>
      </c>
      <c r="R12" s="58">
        <f t="shared" si="4"/>
        <v>7204563864.5499992</v>
      </c>
      <c r="S12" s="58">
        <f t="shared" si="4"/>
        <v>4605450784.1099997</v>
      </c>
      <c r="T12" s="58">
        <f t="shared" si="4"/>
        <v>2366428462.8699999</v>
      </c>
      <c r="U12" s="58">
        <f t="shared" si="4"/>
        <v>8263224187.8899994</v>
      </c>
      <c r="V12" s="58">
        <f t="shared" si="4"/>
        <v>5977148462.6599998</v>
      </c>
      <c r="W12" s="58">
        <f t="shared" si="4"/>
        <v>3744826815.7899995</v>
      </c>
      <c r="X12" s="58">
        <f t="shared" si="4"/>
        <v>2223167011.6999998</v>
      </c>
      <c r="Y12" s="58">
        <f t="shared" si="4"/>
        <v>6542343741.6399994</v>
      </c>
      <c r="Z12" s="58">
        <f t="shared" si="4"/>
        <v>4280235682.5199995</v>
      </c>
      <c r="AA12" s="58">
        <f t="shared" si="4"/>
        <v>2877081873.3299999</v>
      </c>
      <c r="AB12" s="58">
        <f t="shared" si="4"/>
        <v>1488048158.1999998</v>
      </c>
      <c r="AC12" s="58">
        <f t="shared" si="4"/>
        <v>10442920074.779999</v>
      </c>
      <c r="AD12" s="58">
        <f t="shared" si="4"/>
        <v>8847623684.7600002</v>
      </c>
      <c r="AE12" s="58">
        <f t="shared" si="4"/>
        <v>6391712012.9499998</v>
      </c>
      <c r="AF12" s="58">
        <f t="shared" si="4"/>
        <v>3679067150.3999996</v>
      </c>
      <c r="AG12" s="58">
        <f t="shared" si="4"/>
        <v>10533290093.280001</v>
      </c>
      <c r="AH12" s="58">
        <f t="shared" si="4"/>
        <v>5239090629.0199995</v>
      </c>
      <c r="AI12" s="58">
        <f t="shared" si="4"/>
        <v>3408525778.4300003</v>
      </c>
      <c r="AJ12" s="58">
        <f t="shared" si="4"/>
        <v>1577089461.1099997</v>
      </c>
      <c r="AK12" s="58">
        <f t="shared" si="4"/>
        <v>4063726278.3299999</v>
      </c>
      <c r="AL12" s="58">
        <f t="shared" si="4"/>
        <v>2748889895.3600001</v>
      </c>
      <c r="AM12" s="58">
        <f t="shared" si="4"/>
        <v>1813250806.8000002</v>
      </c>
      <c r="AN12" s="58">
        <f t="shared" si="4"/>
        <v>954494182.76999998</v>
      </c>
      <c r="AO12" s="58">
        <f t="shared" si="4"/>
        <v>4258497745.9899998</v>
      </c>
      <c r="AP12" s="58">
        <f t="shared" si="4"/>
        <v>3270603043.9200001</v>
      </c>
      <c r="AQ12" s="58">
        <f t="shared" si="4"/>
        <v>2324541659.9100003</v>
      </c>
      <c r="AR12" s="58">
        <f t="shared" si="4"/>
        <v>1095669632.51</v>
      </c>
      <c r="AS12" s="58">
        <f t="shared" si="4"/>
        <v>4787879799.1800003</v>
      </c>
      <c r="AT12" s="58">
        <f t="shared" si="4"/>
        <v>4016919695.1500001</v>
      </c>
      <c r="AU12" s="58">
        <f t="shared" si="4"/>
        <v>2786078193.0600004</v>
      </c>
      <c r="AV12" s="58">
        <f t="shared" si="4"/>
        <v>1429275938.24</v>
      </c>
      <c r="AW12" s="58">
        <f t="shared" si="4"/>
        <v>4236622849.3299999</v>
      </c>
      <c r="AX12" s="58">
        <f t="shared" si="4"/>
        <v>3213711749.3599997</v>
      </c>
      <c r="AY12" s="58">
        <f t="shared" si="4"/>
        <v>2132292000.6500001</v>
      </c>
      <c r="AZ12" s="58">
        <f t="shared" si="4"/>
        <v>955418758.60000002</v>
      </c>
      <c r="BA12" s="58">
        <f t="shared" si="4"/>
        <v>3236643030.3099999</v>
      </c>
      <c r="BB12" s="58">
        <f t="shared" si="4"/>
        <v>2181855646.2000003</v>
      </c>
      <c r="BC12" s="58">
        <f t="shared" si="4"/>
        <v>1387648440.2399998</v>
      </c>
      <c r="BD12" s="58">
        <f t="shared" si="4"/>
        <v>713070073.23000002</v>
      </c>
      <c r="BE12" s="58">
        <f t="shared" si="4"/>
        <v>2434961422.9400001</v>
      </c>
      <c r="BF12" s="58">
        <f t="shared" si="4"/>
        <v>1599004485.6099999</v>
      </c>
      <c r="BG12" s="58">
        <f t="shared" si="4"/>
        <v>1076721656.74</v>
      </c>
      <c r="BH12" s="58">
        <f t="shared" si="4"/>
        <v>582797343.30999994</v>
      </c>
      <c r="BI12" s="58">
        <f t="shared" si="4"/>
        <v>2873517078.8099999</v>
      </c>
      <c r="BJ12" s="58">
        <f t="shared" si="4"/>
        <v>1980347888.8800001</v>
      </c>
      <c r="BK12" s="58">
        <f t="shared" si="4"/>
        <v>1396459376.0800002</v>
      </c>
      <c r="BL12" s="58">
        <f t="shared" si="4"/>
        <v>830761291.6500001</v>
      </c>
      <c r="BM12" s="58">
        <f t="shared" si="4"/>
        <v>3546756392.5100002</v>
      </c>
      <c r="BN12" s="58">
        <f t="shared" si="4"/>
        <v>2360892684.1700001</v>
      </c>
      <c r="BO12" s="58">
        <f t="shared" si="4"/>
        <v>1487788327.1999998</v>
      </c>
      <c r="BP12" s="58">
        <f t="shared" si="4"/>
        <v>669103074.80999994</v>
      </c>
      <c r="BQ12" s="58">
        <f t="shared" si="4"/>
        <v>2014540125.79</v>
      </c>
      <c r="BR12" s="58">
        <f t="shared" ref="BR12:CL12" si="5">SUM(BR8:BR11)</f>
        <v>1032926659.1899999</v>
      </c>
      <c r="BS12" s="58">
        <f t="shared" si="5"/>
        <v>2489394761.6999998</v>
      </c>
      <c r="BT12" s="58">
        <f t="shared" si="5"/>
        <v>1323922501.3900001</v>
      </c>
      <c r="BU12" s="58">
        <f t="shared" si="5"/>
        <v>2348423651.04</v>
      </c>
      <c r="BV12" s="58">
        <f t="shared" si="5"/>
        <v>1226534605.3699999</v>
      </c>
      <c r="BW12" s="58">
        <f t="shared" si="5"/>
        <v>1857974401.6299999</v>
      </c>
      <c r="BX12" s="58">
        <f t="shared" si="5"/>
        <v>827574770.06000006</v>
      </c>
      <c r="BY12" s="58">
        <f t="shared" si="5"/>
        <v>1503218366.4399998</v>
      </c>
      <c r="BZ12" s="58">
        <f t="shared" si="5"/>
        <v>0</v>
      </c>
      <c r="CA12" s="58">
        <f t="shared" si="5"/>
        <v>1120680914.4099998</v>
      </c>
      <c r="CB12" s="58">
        <f t="shared" si="5"/>
        <v>0</v>
      </c>
      <c r="CC12" s="58">
        <f t="shared" si="5"/>
        <v>817325756.03999996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0.63690159279936576</v>
      </c>
      <c r="F13" s="28">
        <f t="shared" ref="F13:BQ13" si="6">(F6/(1+F4)+F7)/F12</f>
        <v>0.49488547444071967</v>
      </c>
      <c r="G13" s="28">
        <f t="shared" si="6"/>
        <v>0.45721201586183308</v>
      </c>
      <c r="H13" s="28">
        <f t="shared" si="6"/>
        <v>0.54799109753288988</v>
      </c>
      <c r="I13" s="28">
        <f t="shared" si="6"/>
        <v>0.65907322190894246</v>
      </c>
      <c r="J13" s="28">
        <f t="shared" si="6"/>
        <v>0.48214547638160793</v>
      </c>
      <c r="K13" s="28">
        <f t="shared" si="6"/>
        <v>0.4992513520080798</v>
      </c>
      <c r="L13" s="28">
        <f t="shared" si="6"/>
        <v>0.40098606967491401</v>
      </c>
      <c r="M13" s="28">
        <f t="shared" si="6"/>
        <v>0.49908233383713957</v>
      </c>
      <c r="N13" s="28">
        <f t="shared" si="6"/>
        <v>0.42896522460478032</v>
      </c>
      <c r="O13" s="28">
        <f t="shared" si="6"/>
        <v>0.45377242475594459</v>
      </c>
      <c r="P13" s="28">
        <f t="shared" si="6"/>
        <v>0.41538390753824728</v>
      </c>
      <c r="Q13" s="28">
        <f t="shared" si="6"/>
        <v>0.4618673207843445</v>
      </c>
      <c r="R13" s="28">
        <f t="shared" si="6"/>
        <v>0.42367649461304774</v>
      </c>
      <c r="S13" s="28">
        <f t="shared" si="6"/>
        <v>0.39444314775616085</v>
      </c>
      <c r="T13" s="28">
        <f t="shared" si="6"/>
        <v>0.35049554841376174</v>
      </c>
      <c r="U13" s="28">
        <f t="shared" si="6"/>
        <v>0.50507920746564483</v>
      </c>
      <c r="V13" s="28">
        <f t="shared" si="6"/>
        <v>0.47347673208942548</v>
      </c>
      <c r="W13" s="28">
        <f t="shared" si="6"/>
        <v>0.50147644173837103</v>
      </c>
      <c r="X13" s="28">
        <f t="shared" si="6"/>
        <v>0.49321313309200654</v>
      </c>
      <c r="Y13" s="28">
        <f t="shared" si="6"/>
        <v>0.70955147555492726</v>
      </c>
      <c r="Z13" s="28">
        <f t="shared" si="6"/>
        <v>0.6931656174112546</v>
      </c>
      <c r="AA13" s="28">
        <f t="shared" si="6"/>
        <v>0.72795549741240484</v>
      </c>
      <c r="AB13" s="28">
        <f t="shared" si="6"/>
        <v>1.0605696377625373</v>
      </c>
      <c r="AC13" s="28">
        <f t="shared" si="6"/>
        <v>0.74096574336960364</v>
      </c>
      <c r="AD13" s="28">
        <f t="shared" si="6"/>
        <v>0.54280706526188871</v>
      </c>
      <c r="AE13" s="28">
        <f t="shared" si="6"/>
        <v>0.44611857035787289</v>
      </c>
      <c r="AF13" s="28">
        <f t="shared" si="6"/>
        <v>0.49007643047675203</v>
      </c>
      <c r="AG13" s="28">
        <f t="shared" si="6"/>
        <v>0.38132966949755265</v>
      </c>
      <c r="AH13" s="28">
        <f t="shared" si="6"/>
        <v>0.38948168662112198</v>
      </c>
      <c r="AI13" s="28">
        <f t="shared" si="6"/>
        <v>0.31836941030047744</v>
      </c>
      <c r="AJ13" s="28">
        <f t="shared" si="6"/>
        <v>0.33820712367738598</v>
      </c>
      <c r="AK13" s="28">
        <f t="shared" si="6"/>
        <v>0.38219908658993229</v>
      </c>
      <c r="AL13" s="28">
        <f t="shared" si="6"/>
        <v>0.42440608687252501</v>
      </c>
      <c r="AM13" s="28">
        <f t="shared" si="6"/>
        <v>0.40617178995179209</v>
      </c>
      <c r="AN13" s="28">
        <f t="shared" si="6"/>
        <v>0.23421931199384091</v>
      </c>
      <c r="AO13" s="28">
        <f t="shared" si="6"/>
        <v>0.54295917326969501</v>
      </c>
      <c r="AP13" s="28">
        <f t="shared" si="6"/>
        <v>0.5100631434068289</v>
      </c>
      <c r="AQ13" s="28">
        <f t="shared" si="6"/>
        <v>0.48374649285604454</v>
      </c>
      <c r="AR13" s="28">
        <f t="shared" si="6"/>
        <v>1.0858796186398412</v>
      </c>
      <c r="AS13" s="28">
        <f t="shared" si="6"/>
        <v>0.98062997092914761</v>
      </c>
      <c r="AT13" s="28">
        <f t="shared" si="6"/>
        <v>0.88227825997827425</v>
      </c>
      <c r="AU13" s="28">
        <f t="shared" si="6"/>
        <v>0.78334008918089992</v>
      </c>
      <c r="AV13" s="28">
        <f t="shared" si="6"/>
        <v>0.68747719914105598</v>
      </c>
      <c r="AW13" s="28">
        <f t="shared" si="6"/>
        <v>0.84530053014835072</v>
      </c>
      <c r="AX13" s="28">
        <f t="shared" si="6"/>
        <v>0.7935238985162606</v>
      </c>
      <c r="AY13" s="28">
        <f t="shared" si="6"/>
        <v>0.78844206578644294</v>
      </c>
      <c r="AZ13" s="28">
        <f t="shared" si="6"/>
        <v>0.8778843014877773</v>
      </c>
      <c r="BA13" s="28">
        <f t="shared" si="6"/>
        <v>1.3783391057636361</v>
      </c>
      <c r="BB13" s="28">
        <f t="shared" si="6"/>
        <v>0.87299535126298089</v>
      </c>
      <c r="BC13" s="28">
        <f t="shared" si="6"/>
        <v>0.89864052064185262</v>
      </c>
      <c r="BD13" s="28">
        <f t="shared" si="6"/>
        <v>1.2037654312487767</v>
      </c>
      <c r="BE13" s="28">
        <f t="shared" si="6"/>
        <v>0.92938111924765399</v>
      </c>
      <c r="BF13" s="28">
        <f t="shared" si="6"/>
        <v>0.94383752589287007</v>
      </c>
      <c r="BG13" s="28">
        <f t="shared" si="6"/>
        <v>0.69061800964075204</v>
      </c>
      <c r="BH13" s="28">
        <f t="shared" si="6"/>
        <v>0.7838519921213627</v>
      </c>
      <c r="BI13" s="28">
        <f t="shared" si="6"/>
        <v>0.87526180916400453</v>
      </c>
      <c r="BJ13" s="28">
        <f t="shared" si="6"/>
        <v>0.84523733669676893</v>
      </c>
      <c r="BK13" s="28">
        <f t="shared" si="6"/>
        <v>0.93048680564379038</v>
      </c>
      <c r="BL13" s="28">
        <f t="shared" si="6"/>
        <v>0</v>
      </c>
      <c r="BM13" s="28">
        <f t="shared" si="6"/>
        <v>0.73610302304104214</v>
      </c>
      <c r="BN13" s="28">
        <f t="shared" si="6"/>
        <v>0.5413224738399548</v>
      </c>
      <c r="BO13" s="28">
        <f t="shared" si="6"/>
        <v>1.238190295220031</v>
      </c>
      <c r="BP13" s="28">
        <f t="shared" si="6"/>
        <v>1.324612119755211</v>
      </c>
      <c r="BQ13" s="28">
        <f t="shared" si="6"/>
        <v>1.0704334337004204</v>
      </c>
      <c r="BR13" s="28">
        <f t="shared" ref="BR13:CK13" si="7">(BR6/(1+BR4)+BR7)/BR12</f>
        <v>0.9831731017473242</v>
      </c>
      <c r="BS13" s="28">
        <f t="shared" si="7"/>
        <v>0.81534119184417686</v>
      </c>
      <c r="BT13" s="28">
        <f t="shared" si="7"/>
        <v>1.2886031708742374</v>
      </c>
      <c r="BU13" s="28">
        <f t="shared" si="7"/>
        <v>0.25047640681857419</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2015753818.3</v>
      </c>
      <c r="F14" s="26">
        <f>现金流量表!F13</f>
        <v>689222217.41999996</v>
      </c>
      <c r="G14" s="26">
        <f>现金流量表!G13</f>
        <v>-142410692.24000001</v>
      </c>
      <c r="H14" s="26">
        <f>现金流量表!H13</f>
        <v>-168999611.81999999</v>
      </c>
      <c r="I14" s="26">
        <f>现金流量表!I13</f>
        <v>3896072787.3800001</v>
      </c>
      <c r="J14" s="26">
        <f>现金流量表!J13</f>
        <v>1927294085.23</v>
      </c>
      <c r="K14" s="26">
        <f>现金流量表!K13</f>
        <v>1607097392.8800001</v>
      </c>
      <c r="L14" s="26">
        <f>现金流量表!L13</f>
        <v>573548265.89999998</v>
      </c>
      <c r="M14" s="26">
        <f>现金流量表!M13</f>
        <v>3598695468.8000002</v>
      </c>
      <c r="N14" s="26">
        <f>现金流量表!N13</f>
        <v>2573223119.8099999</v>
      </c>
      <c r="O14" s="26">
        <f>现金流量表!O13</f>
        <v>1365269483.46</v>
      </c>
      <c r="P14" s="26">
        <f>现金流量表!P13</f>
        <v>394282134.54000002</v>
      </c>
      <c r="Q14" s="26">
        <f>现金流量表!Q13</f>
        <v>1657114317.3299999</v>
      </c>
      <c r="R14" s="26">
        <f>现金流量表!R13</f>
        <v>1013018933.4400001</v>
      </c>
      <c r="S14" s="26">
        <f>现金流量表!S13</f>
        <v>825104435.83000004</v>
      </c>
      <c r="T14" s="26">
        <f>现金流量表!T13</f>
        <v>271964312.52999997</v>
      </c>
      <c r="U14" s="26">
        <f>现金流量表!U13</f>
        <v>904882101.00999999</v>
      </c>
      <c r="V14" s="26">
        <f>现金流量表!V13</f>
        <v>924148130.88999999</v>
      </c>
      <c r="W14" s="26">
        <f>现金流量表!W13</f>
        <v>931122295.82000005</v>
      </c>
      <c r="X14" s="26">
        <f>现金流量表!X13</f>
        <v>277826039.48000002</v>
      </c>
      <c r="Y14" s="26">
        <f>现金流量表!Y13</f>
        <v>344757698.14999998</v>
      </c>
      <c r="Z14" s="26">
        <f>现金流量表!Z13</f>
        <v>646968839.80999994</v>
      </c>
      <c r="AA14" s="26">
        <f>现金流量表!AA13</f>
        <v>909437610.73000002</v>
      </c>
      <c r="AB14" s="26">
        <f>现金流量表!AB13</f>
        <v>-1660902.67</v>
      </c>
      <c r="AC14" s="26">
        <f>现金流量表!AC13</f>
        <v>242531309.06999999</v>
      </c>
      <c r="AD14" s="26">
        <f>现金流量表!AD13</f>
        <v>759702240.78999996</v>
      </c>
      <c r="AE14" s="26">
        <f>现金流量表!AE13</f>
        <v>-509000827.63</v>
      </c>
      <c r="AF14" s="26">
        <f>现金流量表!AF13</f>
        <v>-735923388.15999997</v>
      </c>
      <c r="AG14" s="26">
        <f>现金流量表!AG13</f>
        <v>724134271.23000002</v>
      </c>
      <c r="AH14" s="26">
        <f>现金流量表!AH13</f>
        <v>981007550.61000001</v>
      </c>
      <c r="AI14" s="26">
        <f>现金流量表!AI13</f>
        <v>502850482.81999999</v>
      </c>
      <c r="AJ14" s="26">
        <f>现金流量表!AJ13</f>
        <v>-386451128.54000002</v>
      </c>
      <c r="AK14" s="26">
        <f>现金流量表!AK13</f>
        <v>139034407.22999999</v>
      </c>
      <c r="AL14" s="26">
        <f>现金流量表!AL13</f>
        <v>364408055.56</v>
      </c>
      <c r="AM14" s="26">
        <f>现金流量表!AM13</f>
        <v>103869295.3</v>
      </c>
      <c r="AN14" s="26">
        <f>现金流量表!AN13</f>
        <v>24940968.359999999</v>
      </c>
      <c r="AO14" s="26">
        <f>现金流量表!AO13</f>
        <v>-134715670.16</v>
      </c>
      <c r="AP14" s="26">
        <f>现金流量表!AP13</f>
        <v>-352369786</v>
      </c>
      <c r="AQ14" s="26">
        <f>现金流量表!AQ13</f>
        <v>-34998529.030000001</v>
      </c>
      <c r="AR14" s="26">
        <f>现金流量表!AR13</f>
        <v>-168450941.12</v>
      </c>
      <c r="AS14" s="26">
        <f>现金流量表!AS13</f>
        <v>372922270.44999999</v>
      </c>
      <c r="AT14" s="26">
        <f>现金流量表!AT13</f>
        <v>200004712.86000001</v>
      </c>
      <c r="AU14" s="26">
        <f>现金流量表!AU13</f>
        <v>95451032.409999996</v>
      </c>
      <c r="AV14" s="26">
        <f>现金流量表!AV13</f>
        <v>5201950.2699999996</v>
      </c>
      <c r="AW14" s="26">
        <f>现金流量表!AW13</f>
        <v>267346663.90000001</v>
      </c>
      <c r="AX14" s="26">
        <f>现金流量表!AX13</f>
        <v>1346400.95</v>
      </c>
      <c r="AY14" s="26">
        <f>现金流量表!AY13</f>
        <v>65978433.439999998</v>
      </c>
      <c r="AZ14" s="26">
        <f>现金流量表!AZ13</f>
        <v>8023632.8499999996</v>
      </c>
      <c r="BA14" s="26">
        <f>现金流量表!BA13</f>
        <v>65829110.939999998</v>
      </c>
      <c r="BB14" s="26">
        <f>现金流量表!BB13</f>
        <v>-241294227.90000001</v>
      </c>
      <c r="BC14" s="26">
        <f>现金流量表!BC13</f>
        <v>-238852387.12</v>
      </c>
      <c r="BD14" s="26">
        <f>现金流量表!BD13</f>
        <v>-48360044.420000002</v>
      </c>
      <c r="BE14" s="26">
        <f>现金流量表!BE13</f>
        <v>-179327253.78999999</v>
      </c>
      <c r="BF14" s="26">
        <f>现金流量表!BF13</f>
        <v>-235585130.47</v>
      </c>
      <c r="BG14" s="26">
        <f>现金流量表!BG13</f>
        <v>-33015230.77</v>
      </c>
      <c r="BH14" s="26">
        <f>现金流量表!BH13</f>
        <v>5720800.9199999999</v>
      </c>
      <c r="BI14" s="26">
        <f>现金流量表!BI13</f>
        <v>191451894.81999999</v>
      </c>
      <c r="BJ14" s="26">
        <f>现金流量表!BJ13</f>
        <v>10012713.58</v>
      </c>
      <c r="BK14" s="26">
        <f>现金流量表!BK13</f>
        <v>103885212.09999999</v>
      </c>
      <c r="BL14" s="26">
        <f>现金流量表!BL13</f>
        <v>53739026.68</v>
      </c>
      <c r="BM14" s="26">
        <f>现金流量表!BM13</f>
        <v>86553355.260000005</v>
      </c>
      <c r="BN14" s="26">
        <f>现金流量表!BN13</f>
        <v>54847398.829999998</v>
      </c>
      <c r="BO14" s="26">
        <f>现金流量表!BO13</f>
        <v>96441569.840000004</v>
      </c>
      <c r="BP14" s="26">
        <f>现金流量表!BP13</f>
        <v>41720009.359999999</v>
      </c>
      <c r="BQ14" s="26">
        <f>现金流量表!BQ13</f>
        <v>195693176.84999999</v>
      </c>
      <c r="BR14" s="26">
        <f>现金流量表!BR13</f>
        <v>144842011.44</v>
      </c>
      <c r="BS14" s="26">
        <f>现金流量表!BS13</f>
        <v>215586300.55000001</v>
      </c>
      <c r="BT14" s="26">
        <f>现金流量表!BT13</f>
        <v>-50870453.439999998</v>
      </c>
      <c r="BU14" s="26">
        <f>现金流量表!BU13</f>
        <v>-64035949.789999999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1302531208.6354809</v>
      </c>
      <c r="F15" s="26">
        <f>股权价值增加表!F17</f>
        <v>1056813953.5720314</v>
      </c>
      <c r="G15" s="26">
        <f>股权价值增加表!G17</f>
        <v>635086038.55176151</v>
      </c>
      <c r="H15" s="26">
        <f>股权价值增加表!H17</f>
        <v>331377293.16396087</v>
      </c>
      <c r="I15" s="26">
        <f>股权价值增加表!I17</f>
        <v>1041252159.35712</v>
      </c>
      <c r="J15" s="26">
        <f>股权价值增加表!J17</f>
        <v>880397832.8664633</v>
      </c>
      <c r="K15" s="26">
        <f>股权价值增加表!K17</f>
        <v>559865740.51663828</v>
      </c>
      <c r="L15" s="26">
        <f>股权价值增加表!L17</f>
        <v>313668345.88022155</v>
      </c>
      <c r="M15" s="26">
        <f>股权价值增加表!M17</f>
        <v>789445300.55888867</v>
      </c>
      <c r="N15" s="26">
        <f>股权价值增加表!N17</f>
        <v>645253911.80819631</v>
      </c>
      <c r="O15" s="26">
        <f>股权价值增加表!O17</f>
        <v>427042064.23666298</v>
      </c>
      <c r="P15" s="26">
        <f>股权价值增加表!P17</f>
        <v>240797933.54212812</v>
      </c>
      <c r="Q15" s="26">
        <f>股权价值增加表!Q17</f>
        <v>637452067.39949429</v>
      </c>
      <c r="R15" s="26">
        <f>股权价值增加表!R17</f>
        <v>480663178.56836748</v>
      </c>
      <c r="S15" s="26">
        <f>股权价值增加表!S17</f>
        <v>306054931.99903661</v>
      </c>
      <c r="T15" s="26">
        <f>股权价值增加表!T17</f>
        <v>175941886.45021182</v>
      </c>
      <c r="U15" s="26">
        <f>股权价值增加表!U17</f>
        <v>376387165.26690811</v>
      </c>
      <c r="V15" s="26">
        <f>股权价值增加表!V17</f>
        <v>308756759.50404739</v>
      </c>
      <c r="W15" s="26">
        <f>股权价值增加表!W17</f>
        <v>211292102.29745761</v>
      </c>
      <c r="X15" s="26">
        <f>股权价值增加表!X17</f>
        <v>110471609.84479782</v>
      </c>
      <c r="Y15" s="26">
        <f>股权价值增加表!Y17</f>
        <v>327309426.02442932</v>
      </c>
      <c r="Z15" s="26">
        <f>股权价值增加表!Z17</f>
        <v>278447343.98639536</v>
      </c>
      <c r="AA15" s="26">
        <f>股权价值增加表!AA17</f>
        <v>206812827.95766866</v>
      </c>
      <c r="AB15" s="26">
        <f>股权价值增加表!AB17</f>
        <v>115312581.058676</v>
      </c>
      <c r="AC15" s="26">
        <f>股权价值增加表!AC17</f>
        <v>468513049.89189756</v>
      </c>
      <c r="AD15" s="26">
        <f>股权价值增加表!AD17</f>
        <v>440423167.74670368</v>
      </c>
      <c r="AE15" s="26">
        <f>股权价值增加表!AE17</f>
        <v>301102212.40706444</v>
      </c>
      <c r="AF15" s="26">
        <f>股权价值增加表!AF17</f>
        <v>138983942.01790982</v>
      </c>
      <c r="AG15" s="26">
        <f>股权价值增加表!AG17</f>
        <v>617219098.10002398</v>
      </c>
      <c r="AH15" s="26">
        <f>股权价值增加表!AH17</f>
        <v>302246320.96897817</v>
      </c>
      <c r="AI15" s="26">
        <f>股权价值增加表!AI17</f>
        <v>190516176.66389871</v>
      </c>
      <c r="AJ15" s="26">
        <f>股权价值增加表!AJ17</f>
        <v>82643794.066017762</v>
      </c>
      <c r="AK15" s="26">
        <f>股权价值增加表!AK17</f>
        <v>225565344.09931755</v>
      </c>
      <c r="AL15" s="26">
        <f>股权价值增加表!AL17</f>
        <v>141789589.60022348</v>
      </c>
      <c r="AM15" s="26">
        <f>股权价值增加表!AM17</f>
        <v>84658324.326442957</v>
      </c>
      <c r="AN15" s="26">
        <f>股权价值增加表!AN17</f>
        <v>27459567.381842747</v>
      </c>
      <c r="AO15" s="26">
        <f>股权价值增加表!AO17</f>
        <v>-1986191.2695630686</v>
      </c>
      <c r="AP15" s="26">
        <f>股权价值增加表!AP17</f>
        <v>106112326.04243441</v>
      </c>
      <c r="AQ15" s="26">
        <f>股权价值增加表!AQ17</f>
        <v>62891705.595235638</v>
      </c>
      <c r="AR15" s="26">
        <f>股权价值增加表!AR17</f>
        <v>32011879.947871387</v>
      </c>
      <c r="AS15" s="26">
        <f>股权价值增加表!AS17</f>
        <v>149959184.57498276</v>
      </c>
      <c r="AT15" s="26">
        <f>股权价值增加表!AT17</f>
        <v>59082492.515295416</v>
      </c>
      <c r="AU15" s="26">
        <f>股权价值增加表!AU17</f>
        <v>40648828.425589532</v>
      </c>
      <c r="AV15" s="26">
        <f>股权价值增加表!AV17</f>
        <v>11245052.458980961</v>
      </c>
      <c r="AW15" s="26">
        <f>股权价值增加表!AW17</f>
        <v>812337.06888923247</v>
      </c>
      <c r="AX15" s="26">
        <f>股权价值增加表!AX17</f>
        <v>637937.33573748195</v>
      </c>
      <c r="AY15" s="26">
        <f>股权价值增加表!AY17</f>
        <v>5291789.3740812968</v>
      </c>
      <c r="AZ15" s="26">
        <f>股权价值增加表!AZ17</f>
        <v>14713408.255443759</v>
      </c>
      <c r="BA15" s="26">
        <f>股权价值增加表!BA17</f>
        <v>46458699.224279404</v>
      </c>
      <c r="BB15" s="26">
        <f>股权价值增加表!BB17</f>
        <v>-5965834.3042910155</v>
      </c>
      <c r="BC15" s="26">
        <f>股权价值增加表!BC17</f>
        <v>5711967.0163463019</v>
      </c>
      <c r="BD15" s="26">
        <f>股权价值增加表!BD17</f>
        <v>4534484.014134381</v>
      </c>
      <c r="BE15" s="26">
        <f>股权价值增加表!BE17</f>
        <v>-306360.43567630276</v>
      </c>
      <c r="BF15" s="26">
        <f>股权价值增加表!BF17</f>
        <v>17934137.16230575</v>
      </c>
      <c r="BG15" s="26">
        <f>股权价值增加表!BG17</f>
        <v>11455977.930863045</v>
      </c>
      <c r="BH15" s="26">
        <f>股权价值增加表!BH17</f>
        <v>1825327.2655705661</v>
      </c>
      <c r="BI15" s="26">
        <f>股权价值增加表!BI17</f>
        <v>8697202.7951195389</v>
      </c>
      <c r="BJ15" s="26">
        <f>股权价值增加表!BJ17</f>
        <v>66206161.089564152</v>
      </c>
      <c r="BK15" s="26">
        <f>股权价值增加表!BK17</f>
        <v>-45675600.052529618</v>
      </c>
      <c r="BL15" s="26">
        <f>股权价值增加表!BL17</f>
        <v>3453463.9398967121</v>
      </c>
      <c r="BM15" s="26">
        <f>股权价值增加表!BM17</f>
        <v>-650003702.00675809</v>
      </c>
      <c r="BN15" s="26">
        <f>股权价值增加表!BN17</f>
        <v>16640989.529040091</v>
      </c>
      <c r="BO15" s="26">
        <f>股权价值增加表!BO17</f>
        <v>42313311.442353249</v>
      </c>
      <c r="BP15" s="26">
        <f>股权价值增加表!BP17</f>
        <v>21377152.532724969</v>
      </c>
      <c r="BQ15" s="26">
        <f>股权价值增加表!BQ17</f>
        <v>-135786470.02910578</v>
      </c>
      <c r="BR15" s="26">
        <f>股权价值增加表!BR17</f>
        <v>77325546.763734683</v>
      </c>
      <c r="BS15" s="26">
        <f>股权价值增加表!BS17</f>
        <v>181774588.64392418</v>
      </c>
      <c r="BT15" s="26">
        <f>股权价值增加表!BT17</f>
        <v>119115185.12351024</v>
      </c>
      <c r="BU15" s="26">
        <f>股权价值增加表!BU17</f>
        <v>220362010.89007691</v>
      </c>
      <c r="BV15" s="26">
        <f>股权价值增加表!BV17</f>
        <v>141694291.5830873</v>
      </c>
      <c r="BW15" s="26">
        <f>股权价值增加表!BW17</f>
        <v>234026267.00094372</v>
      </c>
      <c r="BX15" s="26">
        <f>股权价值增加表!BX17</f>
        <v>140921020.07682401</v>
      </c>
      <c r="BY15" s="26">
        <f>股权价值增加表!BY17</f>
        <v>270993479.54029512</v>
      </c>
      <c r="BZ15" s="26">
        <f>股权价值增加表!BZ17</f>
        <v>862751340.02852178</v>
      </c>
      <c r="CA15" s="26">
        <f>股权价值增加表!CA17</f>
        <v>189629446.55077547</v>
      </c>
      <c r="CB15" s="26">
        <f>股权价值增加表!CB17</f>
        <v>644173552.43296981</v>
      </c>
      <c r="CC15" s="26">
        <f>股权价值增加表!CC17</f>
        <v>156290373.727988</v>
      </c>
      <c r="CD15" s="26">
        <f>股权价值增加表!CD17</f>
        <v>764095148.28999996</v>
      </c>
      <c r="CE15" s="26">
        <f>股权价值增加表!CE17</f>
        <v>484685682.33999997</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1.547566618700587</v>
      </c>
      <c r="F16" s="28">
        <f t="shared" ref="F16:BQ16" si="8">F14/F15</f>
        <v>0.65216986877437488</v>
      </c>
      <c r="G16" s="28">
        <f t="shared" si="8"/>
        <v>-0.22423842376499212</v>
      </c>
      <c r="H16" s="28">
        <f t="shared" si="8"/>
        <v>-0.50999152719972685</v>
      </c>
      <c r="I16" s="28">
        <f t="shared" si="8"/>
        <v>3.7417188068886946</v>
      </c>
      <c r="J16" s="28">
        <f t="shared" si="8"/>
        <v>2.189117252770802</v>
      </c>
      <c r="K16" s="28">
        <f t="shared" si="8"/>
        <v>2.8705049739192603</v>
      </c>
      <c r="L16" s="28">
        <f t="shared" si="8"/>
        <v>1.8285181575797804</v>
      </c>
      <c r="M16" s="28">
        <f t="shared" si="8"/>
        <v>4.5585114842691441</v>
      </c>
      <c r="N16" s="28">
        <f t="shared" si="8"/>
        <v>3.9879233162632857</v>
      </c>
      <c r="O16" s="28">
        <f t="shared" si="8"/>
        <v>3.1970374766252059</v>
      </c>
      <c r="P16" s="28">
        <f t="shared" si="8"/>
        <v>1.6373983312071052</v>
      </c>
      <c r="Q16" s="28">
        <f t="shared" si="8"/>
        <v>2.5995904666059833</v>
      </c>
      <c r="R16" s="28">
        <f t="shared" si="8"/>
        <v>2.1075442817509531</v>
      </c>
      <c r="S16" s="28">
        <f t="shared" si="8"/>
        <v>2.6959357604228944</v>
      </c>
      <c r="T16" s="28">
        <f t="shared" si="8"/>
        <v>1.5457621719144217</v>
      </c>
      <c r="U16" s="28">
        <f t="shared" si="8"/>
        <v>2.4041258164802706</v>
      </c>
      <c r="V16" s="28">
        <f t="shared" si="8"/>
        <v>2.9931267978535887</v>
      </c>
      <c r="W16" s="28">
        <f t="shared" si="8"/>
        <v>4.4068012277579758</v>
      </c>
      <c r="X16" s="28">
        <f t="shared" si="8"/>
        <v>2.5149089423999467</v>
      </c>
      <c r="Y16" s="28">
        <f t="shared" si="8"/>
        <v>1.0533081871105918</v>
      </c>
      <c r="Z16" s="28">
        <f t="shared" si="8"/>
        <v>2.3234872006594185</v>
      </c>
      <c r="AA16" s="28">
        <f t="shared" si="8"/>
        <v>4.3973945896438664</v>
      </c>
      <c r="AB16" s="28">
        <f t="shared" si="8"/>
        <v>-1.4403481864263025E-2</v>
      </c>
      <c r="AC16" s="28">
        <f t="shared" si="8"/>
        <v>0.51766180072457002</v>
      </c>
      <c r="AD16" s="28">
        <f t="shared" si="8"/>
        <v>1.724937052418914</v>
      </c>
      <c r="AE16" s="28">
        <f t="shared" si="8"/>
        <v>-1.6904586105859443</v>
      </c>
      <c r="AF16" s="28">
        <f t="shared" si="8"/>
        <v>-5.2950245724442544</v>
      </c>
      <c r="AG16" s="28">
        <f t="shared" si="8"/>
        <v>1.1732207792323526</v>
      </c>
      <c r="AH16" s="28">
        <f t="shared" si="8"/>
        <v>3.2457220569797713</v>
      </c>
      <c r="AI16" s="28">
        <f t="shared" si="8"/>
        <v>2.63941094990117</v>
      </c>
      <c r="AJ16" s="28">
        <f t="shared" si="8"/>
        <v>-4.676105845664515</v>
      </c>
      <c r="AK16" s="28">
        <f t="shared" si="8"/>
        <v>0.61638195257859485</v>
      </c>
      <c r="AL16" s="28">
        <f t="shared" si="8"/>
        <v>2.5700621363490117</v>
      </c>
      <c r="AM16" s="28">
        <f t="shared" si="8"/>
        <v>1.2269235911105378</v>
      </c>
      <c r="AN16" s="28">
        <f t="shared" si="8"/>
        <v>0.90827972681360825</v>
      </c>
      <c r="AO16" s="28">
        <f t="shared" si="8"/>
        <v>67.826131462976051</v>
      </c>
      <c r="AP16" s="28">
        <f t="shared" si="8"/>
        <v>-3.3207243601378318</v>
      </c>
      <c r="AQ16" s="28">
        <f t="shared" si="8"/>
        <v>-0.55648878812806934</v>
      </c>
      <c r="AR16" s="28">
        <f t="shared" si="8"/>
        <v>-5.2621383497097947</v>
      </c>
      <c r="AS16" s="28">
        <f t="shared" si="8"/>
        <v>2.4868251418340499</v>
      </c>
      <c r="AT16" s="28">
        <f t="shared" si="8"/>
        <v>3.3851773062590804</v>
      </c>
      <c r="AU16" s="28">
        <f t="shared" si="8"/>
        <v>2.3481865556034327</v>
      </c>
      <c r="AV16" s="28">
        <f t="shared" si="8"/>
        <v>0.46259902201215752</v>
      </c>
      <c r="AW16" s="28">
        <f t="shared" si="8"/>
        <v>329.10804410977147</v>
      </c>
      <c r="AX16" s="28">
        <f t="shared" si="8"/>
        <v>2.1105536148679946</v>
      </c>
      <c r="AY16" s="28">
        <f t="shared" si="8"/>
        <v>12.468076254727062</v>
      </c>
      <c r="AZ16" s="28">
        <f t="shared" si="8"/>
        <v>0.54532795601803308</v>
      </c>
      <c r="BA16" s="28">
        <f t="shared" si="8"/>
        <v>1.4169383137958709</v>
      </c>
      <c r="BB16" s="28">
        <f t="shared" si="8"/>
        <v>40.446015694141138</v>
      </c>
      <c r="BC16" s="28">
        <f t="shared" si="8"/>
        <v>-41.816135568791069</v>
      </c>
      <c r="BD16" s="28">
        <f t="shared" si="8"/>
        <v>-10.664949808899433</v>
      </c>
      <c r="BE16" s="28">
        <f t="shared" si="8"/>
        <v>585.3472998043236</v>
      </c>
      <c r="BF16" s="28">
        <f t="shared" si="8"/>
        <v>-13.136128509441564</v>
      </c>
      <c r="BG16" s="28">
        <f t="shared" si="8"/>
        <v>-2.8819216455589638</v>
      </c>
      <c r="BH16" s="28">
        <f t="shared" si="8"/>
        <v>3.1341234133221452</v>
      </c>
      <c r="BI16" s="28">
        <f t="shared" si="8"/>
        <v>22.013042506888972</v>
      </c>
      <c r="BJ16" s="28">
        <f t="shared" si="8"/>
        <v>0.15123537470258594</v>
      </c>
      <c r="BK16" s="28">
        <f t="shared" si="8"/>
        <v>-2.2744137346969917</v>
      </c>
      <c r="BL16" s="28">
        <f t="shared" si="8"/>
        <v>15.56090569215767</v>
      </c>
      <c r="BM16" s="28">
        <f t="shared" si="8"/>
        <v>-0.13315824970347648</v>
      </c>
      <c r="BN16" s="28">
        <f t="shared" si="8"/>
        <v>3.2959217199365538</v>
      </c>
      <c r="BO16" s="28">
        <f t="shared" si="8"/>
        <v>2.2792252970176996</v>
      </c>
      <c r="BP16" s="28">
        <f t="shared" si="8"/>
        <v>1.9516167691713571</v>
      </c>
      <c r="BQ16" s="28">
        <f t="shared" si="8"/>
        <v>-1.4411831812702196</v>
      </c>
      <c r="BR16" s="28">
        <f t="shared" ref="BR16:CL16" si="9">BR14/BR15</f>
        <v>1.8731456485210425</v>
      </c>
      <c r="BS16" s="28">
        <f t="shared" si="9"/>
        <v>1.1860090134617725</v>
      </c>
      <c r="BT16" s="28">
        <f t="shared" si="9"/>
        <v>-0.42706942349334009</v>
      </c>
      <c r="BU16" s="28">
        <f t="shared" si="9"/>
        <v>-0.29059432490813047</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1536002793.6400013</v>
      </c>
      <c r="F17" s="26">
        <f>股权价值增加表!F42</f>
        <v>1262025861.6699986</v>
      </c>
      <c r="G17" s="26">
        <f>股权价值增加表!G42</f>
        <v>784536927.51999927</v>
      </c>
      <c r="H17" s="26">
        <f>股权价值增加表!H42</f>
        <v>405517131.07999963</v>
      </c>
      <c r="I17" s="26">
        <f>股权价值增加表!I42</f>
        <v>1429488213.9299998</v>
      </c>
      <c r="J17" s="26">
        <f>股权价值增加表!J42</f>
        <v>1105004953.8899999</v>
      </c>
      <c r="K17" s="26">
        <f>股权价值增加表!K42</f>
        <v>701188051.05999994</v>
      </c>
      <c r="L17" s="26">
        <f>股权价值增加表!L42</f>
        <v>373598258.13999975</v>
      </c>
      <c r="M17" s="26">
        <f>股权价值增加表!M42</f>
        <v>1137346681.4300001</v>
      </c>
      <c r="N17" s="26">
        <f>股权价值增加表!N42</f>
        <v>799916471.76999962</v>
      </c>
      <c r="O17" s="26">
        <f>股权价值增加表!O42</f>
        <v>498482276.37000078</v>
      </c>
      <c r="P17" s="26">
        <f>股权价值增加表!P42</f>
        <v>277278666.85999984</v>
      </c>
      <c r="Q17" s="26">
        <f>股权价值增加表!Q42</f>
        <v>789151782.74000096</v>
      </c>
      <c r="R17" s="26">
        <f>股权价值增加表!R42</f>
        <v>582580040.78000045</v>
      </c>
      <c r="S17" s="26">
        <f>股权价值增加表!S42</f>
        <v>350589725.77000034</v>
      </c>
      <c r="T17" s="26">
        <f>股权价值增加表!T42</f>
        <v>187931618.20999998</v>
      </c>
      <c r="U17" s="26">
        <f>股权价值增加表!U42</f>
        <v>436758672.18000114</v>
      </c>
      <c r="V17" s="26">
        <f>股权价值增加表!V42</f>
        <v>363819076.27999967</v>
      </c>
      <c r="W17" s="26">
        <f>股权价值增加表!W42</f>
        <v>235350772.56999993</v>
      </c>
      <c r="X17" s="26">
        <f>股权价值增加表!X42</f>
        <v>120173262.97999987</v>
      </c>
      <c r="Y17" s="26">
        <f>股权价值增加表!Y42</f>
        <v>366425752.86000091</v>
      </c>
      <c r="Z17" s="26">
        <f>股权价值增加表!Z42</f>
        <v>324632415.45000052</v>
      </c>
      <c r="AA17" s="26">
        <f>股权价值增加表!AA42</f>
        <v>234213879.88999981</v>
      </c>
      <c r="AB17" s="26">
        <f>股权价值增加表!AB42</f>
        <v>129498369.41</v>
      </c>
      <c r="AC17" s="26">
        <f>股权价值增加表!AC42</f>
        <v>501856480.89000112</v>
      </c>
      <c r="AD17" s="26">
        <f>股权价值增加表!AD42</f>
        <v>497576094.1099993</v>
      </c>
      <c r="AE17" s="26">
        <f>股权价值增加表!AE42</f>
        <v>332558404.14999938</v>
      </c>
      <c r="AF17" s="26">
        <f>股权价值增加表!AF42</f>
        <v>163832235.62999976</v>
      </c>
      <c r="AG17" s="26">
        <f>股权价值增加表!AG42</f>
        <v>580565574.52999926</v>
      </c>
      <c r="AH17" s="26">
        <f>股权价值增加表!AH42</f>
        <v>284242889.6299997</v>
      </c>
      <c r="AI17" s="26">
        <f>股权价值增加表!AI42</f>
        <v>181542670.94999987</v>
      </c>
      <c r="AJ17" s="26">
        <f>股权价值增加表!AJ42</f>
        <v>84811911.730000198</v>
      </c>
      <c r="AK17" s="26">
        <f>股权价值增加表!AK42</f>
        <v>213919381.26000005</v>
      </c>
      <c r="AL17" s="26">
        <f>股权价值增加表!AL42</f>
        <v>135496792.03000009</v>
      </c>
      <c r="AM17" s="26">
        <f>股权价值增加表!AM42</f>
        <v>62708321.41999995</v>
      </c>
      <c r="AN17" s="26">
        <f>股权价值增加表!AN42</f>
        <v>35868639.73999998</v>
      </c>
      <c r="AO17" s="26">
        <f>股权价值增加表!AO42</f>
        <v>4948371.059999628</v>
      </c>
      <c r="AP17" s="26">
        <f>股权价值增加表!AP42</f>
        <v>116987471.49000017</v>
      </c>
      <c r="AQ17" s="26">
        <f>股权价值增加表!AQ42</f>
        <v>70799486.939999864</v>
      </c>
      <c r="AR17" s="26">
        <f>股权价值增加表!AR42</f>
        <v>35701046.730000176</v>
      </c>
      <c r="AS17" s="26">
        <f>股权价值增加表!AS42</f>
        <v>317957750.26000029</v>
      </c>
      <c r="AT17" s="26">
        <f>股权价值增加表!AT42</f>
        <v>211412314.52999985</v>
      </c>
      <c r="AU17" s="26">
        <f>股权价值增加表!AU42</f>
        <v>55021774.379999965</v>
      </c>
      <c r="AV17" s="26">
        <f>股权价值增加表!AV42</f>
        <v>17390337.170000017</v>
      </c>
      <c r="AW17" s="26">
        <f>股权价值增加表!AW42</f>
        <v>-39937709.92999994</v>
      </c>
      <c r="AX17" s="26">
        <f>股权价值增加表!AX42</f>
        <v>-8549108.2099996805</v>
      </c>
      <c r="AY17" s="26">
        <f>股权价值增加表!AY42</f>
        <v>2636498.2900002366</v>
      </c>
      <c r="AZ17" s="26">
        <f>股权价值增加表!AZ42</f>
        <v>10256904.759999977</v>
      </c>
      <c r="BA17" s="26">
        <f>股权价值增加表!BA42</f>
        <v>-11289766.590000223</v>
      </c>
      <c r="BB17" s="26">
        <f>股权价值增加表!BB42</f>
        <v>-12688352.310000043</v>
      </c>
      <c r="BC17" s="26">
        <f>股权价值增加表!BC42</f>
        <v>-3560098.8099999307</v>
      </c>
      <c r="BD17" s="26">
        <f>股权价值增加表!BD42</f>
        <v>3721892.3699999973</v>
      </c>
      <c r="BE17" s="26">
        <f>股权价值增加表!BE42</f>
        <v>194964.24999988824</v>
      </c>
      <c r="BF17" s="26">
        <f>股权价值增加表!BF42</f>
        <v>22684215.199999869</v>
      </c>
      <c r="BG17" s="26">
        <f>股权价值增加表!BG42</f>
        <v>16064889.079999987</v>
      </c>
      <c r="BH17" s="26">
        <f>股权价值增加表!BH42</f>
        <v>1394391.479999969</v>
      </c>
      <c r="BI17" s="26">
        <f>股权价值增加表!BI42</f>
        <v>40900357.730000332</v>
      </c>
      <c r="BJ17" s="26">
        <f>股权价值增加表!BJ42</f>
        <v>-5705981.7900000364</v>
      </c>
      <c r="BK17" s="26">
        <f>股权价值增加表!BK42</f>
        <v>-22127994.760000061</v>
      </c>
      <c r="BL17" s="26">
        <f>股权价值增加表!BL42</f>
        <v>1364391.6699999808</v>
      </c>
      <c r="BM17" s="26">
        <f>股权价值增加表!BM42</f>
        <v>-655369546.64000034</v>
      </c>
      <c r="BN17" s="26">
        <f>股权价值增加表!BN42</f>
        <v>9880780.6399998292</v>
      </c>
      <c r="BO17" s="26">
        <f>股权价值增加表!BO42</f>
        <v>28391684.149999954</v>
      </c>
      <c r="BP17" s="26">
        <f>股权价值增加表!BP42</f>
        <v>19419636.20000001</v>
      </c>
      <c r="BQ17" s="26">
        <f>股权价值增加表!BQ42</f>
        <v>-97967691.629999951</v>
      </c>
      <c r="BR17" s="26">
        <f>股权价值增加表!BR42</f>
        <v>86226366.339999899</v>
      </c>
      <c r="BS17" s="26">
        <f>股权价值增加表!BS42</f>
        <v>178261455.56999993</v>
      </c>
      <c r="BT17" s="26">
        <f>股权价值增加表!BT42</f>
        <v>114569836.69999991</v>
      </c>
      <c r="BU17" s="26">
        <f>股权价值增加表!BU42</f>
        <v>186415523.40000027</v>
      </c>
      <c r="BV17" s="26">
        <f>股权价值增加表!BV42</f>
        <v>129925186.36000006</v>
      </c>
      <c r="BW17" s="26">
        <f>股权价值增加表!BW42</f>
        <v>210994504.46000004</v>
      </c>
      <c r="BX17" s="26">
        <f>股权价值增加表!BX42</f>
        <v>133493035.69999997</v>
      </c>
      <c r="BY17" s="26">
        <f>股权价值增加表!BY42</f>
        <v>257919560.7100001</v>
      </c>
      <c r="BZ17" s="26">
        <f>股权价值增加表!BZ42</f>
        <v>859386740</v>
      </c>
      <c r="CA17" s="26">
        <f>股权价值增加表!CA42</f>
        <v>175283224.02000013</v>
      </c>
      <c r="CB17" s="26">
        <f>股权价值增加表!CB42</f>
        <v>642940000</v>
      </c>
      <c r="CC17" s="26">
        <f>股权价值增加表!CC42</f>
        <v>149114227.40000004</v>
      </c>
      <c r="CD17" s="26">
        <f>股权价值增加表!CD42</f>
        <v>764095148.28999996</v>
      </c>
      <c r="CE17" s="26">
        <f>股权价值增加表!CE42</f>
        <v>484685682.33999997</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1.3123373386080179</v>
      </c>
      <c r="F18" s="28">
        <f t="shared" ref="F18:BQ18" si="10">F14/F17</f>
        <v>0.54612368759858387</v>
      </c>
      <c r="G18" s="28">
        <f t="shared" si="10"/>
        <v>-0.18152197461268604</v>
      </c>
      <c r="H18" s="28">
        <f t="shared" si="10"/>
        <v>-0.41675085678848939</v>
      </c>
      <c r="I18" s="28">
        <f t="shared" si="10"/>
        <v>2.7255018610253372</v>
      </c>
      <c r="J18" s="28">
        <f t="shared" si="10"/>
        <v>1.7441497238951353</v>
      </c>
      <c r="K18" s="28">
        <f t="shared" si="10"/>
        <v>2.2919634617996114</v>
      </c>
      <c r="L18" s="28">
        <f t="shared" si="10"/>
        <v>1.5352005888771363</v>
      </c>
      <c r="M18" s="28">
        <f t="shared" si="10"/>
        <v>3.1641148011926457</v>
      </c>
      <c r="N18" s="28">
        <f t="shared" si="10"/>
        <v>3.2168647735383553</v>
      </c>
      <c r="O18" s="28">
        <f t="shared" si="10"/>
        <v>2.7388526095692565</v>
      </c>
      <c r="P18" s="28">
        <f t="shared" si="10"/>
        <v>1.4219706802726231</v>
      </c>
      <c r="Q18" s="28">
        <f t="shared" si="10"/>
        <v>2.0998676725741663</v>
      </c>
      <c r="R18" s="28">
        <f t="shared" si="10"/>
        <v>1.7388493640868588</v>
      </c>
      <c r="S18" s="28">
        <f t="shared" si="10"/>
        <v>2.3534758014309256</v>
      </c>
      <c r="T18" s="28">
        <f t="shared" si="10"/>
        <v>1.4471450579758194</v>
      </c>
      <c r="U18" s="28">
        <f t="shared" si="10"/>
        <v>2.0718125561043728</v>
      </c>
      <c r="V18" s="28">
        <f t="shared" si="10"/>
        <v>2.5401310462862154</v>
      </c>
      <c r="W18" s="28">
        <f t="shared" si="10"/>
        <v>3.9563171416531389</v>
      </c>
      <c r="X18" s="28">
        <f t="shared" si="10"/>
        <v>2.3118789703350062</v>
      </c>
      <c r="Y18" s="28">
        <f t="shared" si="10"/>
        <v>0.94086645236892075</v>
      </c>
      <c r="Z18" s="28">
        <f t="shared" si="10"/>
        <v>1.9929274127267345</v>
      </c>
      <c r="AA18" s="28">
        <f t="shared" si="10"/>
        <v>3.8829364474775097</v>
      </c>
      <c r="AB18" s="28">
        <f t="shared" si="10"/>
        <v>-1.2825664736684656E-2</v>
      </c>
      <c r="AC18" s="28">
        <f t="shared" si="10"/>
        <v>0.48326826155535685</v>
      </c>
      <c r="AD18" s="28">
        <f t="shared" si="10"/>
        <v>1.5268061504217934</v>
      </c>
      <c r="AE18" s="28">
        <f t="shared" si="10"/>
        <v>-1.5305607113763298</v>
      </c>
      <c r="AF18" s="28">
        <f t="shared" si="10"/>
        <v>-4.4919327709231549</v>
      </c>
      <c r="AG18" s="28">
        <f t="shared" si="10"/>
        <v>1.2472910950950333</v>
      </c>
      <c r="AH18" s="28">
        <f t="shared" si="10"/>
        <v>3.4513002308940153</v>
      </c>
      <c r="AI18" s="28">
        <f t="shared" si="10"/>
        <v>2.769874873982074</v>
      </c>
      <c r="AJ18" s="28">
        <f t="shared" si="10"/>
        <v>-4.5565666503341191</v>
      </c>
      <c r="AK18" s="28">
        <f t="shared" si="10"/>
        <v>0.6499383385043358</v>
      </c>
      <c r="AL18" s="28">
        <f t="shared" si="10"/>
        <v>2.6894220158313202</v>
      </c>
      <c r="AM18" s="28">
        <f t="shared" si="10"/>
        <v>1.6563877480361375</v>
      </c>
      <c r="AN18" s="28">
        <f t="shared" si="10"/>
        <v>0.69534190704718413</v>
      </c>
      <c r="AO18" s="28">
        <f t="shared" si="10"/>
        <v>-27.224245822828436</v>
      </c>
      <c r="AP18" s="28">
        <f t="shared" si="10"/>
        <v>-3.0120301046947557</v>
      </c>
      <c r="AQ18" s="28">
        <f t="shared" si="10"/>
        <v>-0.49433308831263217</v>
      </c>
      <c r="AR18" s="28">
        <f t="shared" si="10"/>
        <v>-4.7183754133026001</v>
      </c>
      <c r="AS18" s="28">
        <f t="shared" si="10"/>
        <v>1.1728673704133776</v>
      </c>
      <c r="AT18" s="28">
        <f t="shared" si="10"/>
        <v>0.94604097828756761</v>
      </c>
      <c r="AU18" s="28">
        <f t="shared" si="10"/>
        <v>1.7347865183478304</v>
      </c>
      <c r="AV18" s="28">
        <f t="shared" si="10"/>
        <v>0.29912877589135289</v>
      </c>
      <c r="AW18" s="28">
        <f t="shared" si="10"/>
        <v>-6.6940909823970074</v>
      </c>
      <c r="AX18" s="28">
        <f t="shared" si="10"/>
        <v>-0.15749022201229693</v>
      </c>
      <c r="AY18" s="28">
        <f t="shared" si="10"/>
        <v>25.025024173254472</v>
      </c>
      <c r="AZ18" s="28">
        <f t="shared" si="10"/>
        <v>0.78226648660039011</v>
      </c>
      <c r="BA18" s="28">
        <f t="shared" si="10"/>
        <v>-5.8308655378497685</v>
      </c>
      <c r="BB18" s="28">
        <f t="shared" si="10"/>
        <v>19.016986761143865</v>
      </c>
      <c r="BC18" s="28">
        <f t="shared" si="10"/>
        <v>67.091505002358247</v>
      </c>
      <c r="BD18" s="28">
        <f t="shared" si="10"/>
        <v>-12.993402176216083</v>
      </c>
      <c r="BE18" s="28">
        <f t="shared" si="10"/>
        <v>-919.79557170149292</v>
      </c>
      <c r="BF18" s="28">
        <f t="shared" si="10"/>
        <v>-10.385421245254337</v>
      </c>
      <c r="BG18" s="28">
        <f t="shared" si="10"/>
        <v>-2.0551172563713727</v>
      </c>
      <c r="BH18" s="28">
        <f t="shared" si="10"/>
        <v>4.1027222283372868</v>
      </c>
      <c r="BI18" s="28">
        <f t="shared" si="10"/>
        <v>4.6809344818901275</v>
      </c>
      <c r="BJ18" s="28">
        <f t="shared" si="10"/>
        <v>-1.754774892122454</v>
      </c>
      <c r="BK18" s="28">
        <f t="shared" si="10"/>
        <v>-4.6947413548646244</v>
      </c>
      <c r="BL18" s="28">
        <f t="shared" si="10"/>
        <v>39.386803556196405</v>
      </c>
      <c r="BM18" s="28">
        <f t="shared" si="10"/>
        <v>-0.13206801521942618</v>
      </c>
      <c r="BN18" s="28">
        <f t="shared" si="10"/>
        <v>5.5509175669748441</v>
      </c>
      <c r="BO18" s="28">
        <f t="shared" si="10"/>
        <v>3.396824553643119</v>
      </c>
      <c r="BP18" s="28">
        <f t="shared" si="10"/>
        <v>2.1483414483325891</v>
      </c>
      <c r="BQ18" s="28">
        <f t="shared" si="10"/>
        <v>-1.9975276909563751</v>
      </c>
      <c r="BR18" s="28">
        <f t="shared" ref="BR18:CK18" si="11">BR14/BR17</f>
        <v>1.6797879533607187</v>
      </c>
      <c r="BS18" s="28">
        <f t="shared" si="11"/>
        <v>1.2093825884044984</v>
      </c>
      <c r="BT18" s="28">
        <f t="shared" si="11"/>
        <v>-0.44401262064468</v>
      </c>
      <c r="BU18" s="28">
        <f t="shared" si="11"/>
        <v>-0.34351189547983696</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70595875.650000006</v>
      </c>
      <c r="F19" s="26">
        <f>现金流量表!F48</f>
        <v>0</v>
      </c>
      <c r="G19" s="26">
        <f>现金流量表!G48</f>
        <v>37555448.390000001</v>
      </c>
      <c r="H19" s="26">
        <f>现金流量表!H48</f>
        <v>0</v>
      </c>
      <c r="I19" s="26">
        <f>现金流量表!I48</f>
        <v>94569651.269999996</v>
      </c>
      <c r="J19" s="26">
        <f>现金流量表!J48</f>
        <v>0</v>
      </c>
      <c r="K19" s="26">
        <f>现金流量表!K48</f>
        <v>27933789.440000001</v>
      </c>
      <c r="L19" s="26">
        <f>现金流量表!L48</f>
        <v>0</v>
      </c>
      <c r="M19" s="26">
        <f>现金流量表!M48</f>
        <v>22451935.850000001</v>
      </c>
      <c r="N19" s="26">
        <f>现金流量表!N48</f>
        <v>0</v>
      </c>
      <c r="O19" s="26">
        <f>现金流量表!O48</f>
        <v>-1325118.42</v>
      </c>
      <c r="P19" s="26">
        <f>现金流量表!P48</f>
        <v>0</v>
      </c>
      <c r="Q19" s="26">
        <f>现金流量表!Q48</f>
        <v>38221081.619999997</v>
      </c>
      <c r="R19" s="26">
        <f>现金流量表!R48</f>
        <v>0</v>
      </c>
      <c r="S19" s="26">
        <f>现金流量表!S48</f>
        <v>11419997.310000001</v>
      </c>
      <c r="T19" s="26">
        <f>现金流量表!T48</f>
        <v>0</v>
      </c>
      <c r="U19" s="26">
        <f>现金流量表!U48</f>
        <v>49333919.329999998</v>
      </c>
      <c r="V19" s="26">
        <f>现金流量表!V48</f>
        <v>0</v>
      </c>
      <c r="W19" s="26">
        <f>现金流量表!W48</f>
        <v>13726351.33</v>
      </c>
      <c r="X19" s="26">
        <f>现金流量表!X48</f>
        <v>0</v>
      </c>
      <c r="Y19" s="26">
        <f>现金流量表!Y48</f>
        <v>8671358.1699999999</v>
      </c>
      <c r="Z19" s="26">
        <f>现金流量表!Z48</f>
        <v>0</v>
      </c>
      <c r="AA19" s="26">
        <f>现金流量表!AA48</f>
        <v>2759322.21</v>
      </c>
      <c r="AB19" s="26">
        <f>现金流量表!AB48</f>
        <v>0</v>
      </c>
      <c r="AC19" s="26">
        <f>现金流量表!AC48</f>
        <v>14335871.52</v>
      </c>
      <c r="AD19" s="26">
        <f>现金流量表!AD48</f>
        <v>0</v>
      </c>
      <c r="AE19" s="26">
        <f>现金流量表!AE48</f>
        <v>5531967.3300000001</v>
      </c>
      <c r="AF19" s="26">
        <f>现金流量表!AF48</f>
        <v>0</v>
      </c>
      <c r="AG19" s="26">
        <f>现金流量表!AG48</f>
        <v>-21221918.57</v>
      </c>
      <c r="AH19" s="26">
        <f>现金流量表!AH48</f>
        <v>0</v>
      </c>
      <c r="AI19" s="26">
        <f>现金流量表!AI48</f>
        <v>-4029773.78</v>
      </c>
      <c r="AJ19" s="26">
        <f>现金流量表!AJ48</f>
        <v>0</v>
      </c>
      <c r="AK19" s="26">
        <f>现金流量表!AK48</f>
        <v>102939009.94</v>
      </c>
      <c r="AL19" s="26">
        <f>现金流量表!AL48</f>
        <v>0</v>
      </c>
      <c r="AM19" s="26">
        <f>现金流量表!AM48</f>
        <v>0</v>
      </c>
      <c r="AN19" s="26">
        <f>现金流量表!AN48</f>
        <v>0</v>
      </c>
      <c r="AO19" s="26">
        <f>现金流量表!AO48</f>
        <v>0</v>
      </c>
      <c r="AP19" s="26">
        <f>现金流量表!AP48</f>
        <v>0</v>
      </c>
      <c r="AQ19" s="26">
        <f>现金流量表!AQ48</f>
        <v>8345509.9900000002</v>
      </c>
      <c r="AR19" s="26">
        <f>现金流量表!AR48</f>
        <v>0</v>
      </c>
      <c r="AS19" s="26">
        <f>现金流量表!AS48</f>
        <v>19643738.760000002</v>
      </c>
      <c r="AT19" s="26">
        <f>现金流量表!AT48</f>
        <v>0</v>
      </c>
      <c r="AU19" s="26">
        <f>现金流量表!AU48</f>
        <v>0</v>
      </c>
      <c r="AV19" s="26">
        <f>现金流量表!AV48</f>
        <v>0</v>
      </c>
      <c r="AW19" s="26">
        <f>现金流量表!AW48</f>
        <v>127243800.62</v>
      </c>
      <c r="AX19" s="26">
        <f>现金流量表!AX48</f>
        <v>6585486.2800000003</v>
      </c>
      <c r="AY19" s="26">
        <f>现金流量表!AY48</f>
        <v>-4690453.72</v>
      </c>
      <c r="AZ19" s="26">
        <f>现金流量表!AZ48</f>
        <v>900000</v>
      </c>
      <c r="BA19" s="26">
        <f>现金流量表!BA48</f>
        <v>27010520.940000001</v>
      </c>
      <c r="BB19" s="26">
        <f>现金流量表!BB48</f>
        <v>-15964074.560000001</v>
      </c>
      <c r="BC19" s="26">
        <f>现金流量表!BC48</f>
        <v>-7192299.8799999999</v>
      </c>
      <c r="BD19" s="26">
        <f>现金流量表!BD48</f>
        <v>900000</v>
      </c>
      <c r="BE19" s="26">
        <f>现金流量表!BE48</f>
        <v>26768333.780000001</v>
      </c>
      <c r="BF19" s="26">
        <f>现金流量表!BF48</f>
        <v>3150000</v>
      </c>
      <c r="BG19" s="26">
        <f>现金流量表!BG48</f>
        <v>3808717.1</v>
      </c>
      <c r="BH19" s="26">
        <f>现金流量表!BH48</f>
        <v>1171742.69</v>
      </c>
      <c r="BI19" s="26">
        <f>现金流量表!BI48</f>
        <v>8488419.4199999999</v>
      </c>
      <c r="BJ19" s="26">
        <f>现金流量表!BJ48</f>
        <v>-16419155.640000001</v>
      </c>
      <c r="BK19" s="26">
        <f>现金流量表!BK48</f>
        <v>-14520298.59</v>
      </c>
      <c r="BL19" s="26">
        <f>现金流量表!BL48</f>
        <v>0</v>
      </c>
      <c r="BM19" s="26">
        <f>现金流量表!BM48</f>
        <v>465351299.66000003</v>
      </c>
      <c r="BN19" s="26">
        <f>现金流量表!BN48</f>
        <v>8000000</v>
      </c>
      <c r="BO19" s="26">
        <f>现金流量表!BO48</f>
        <v>72121813.730000004</v>
      </c>
      <c r="BP19" s="26">
        <f>现金流量表!BP48</f>
        <v>0</v>
      </c>
      <c r="BQ19" s="26">
        <f>现金流量表!BQ48</f>
        <v>11710370.789999999</v>
      </c>
      <c r="BR19" s="26">
        <f>现金流量表!BR48</f>
        <v>0</v>
      </c>
      <c r="BS19" s="26">
        <f>现金流量表!BS48</f>
        <v>19191949.5</v>
      </c>
      <c r="BT19" s="26">
        <f>现金流量表!BT48</f>
        <v>23209619.449999999</v>
      </c>
      <c r="BU19" s="26">
        <f>现金流量表!BU48</f>
        <v>11231816.949999999</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132722857.51000001</v>
      </c>
      <c r="F20" s="26">
        <f>现金流量表!F49</f>
        <v>0</v>
      </c>
      <c r="G20" s="26">
        <f>现金流量表!G49</f>
        <v>64952458.100000001</v>
      </c>
      <c r="H20" s="26">
        <f>现金流量表!H49</f>
        <v>0</v>
      </c>
      <c r="I20" s="26">
        <f>现金流量表!I49</f>
        <v>122429528.37</v>
      </c>
      <c r="J20" s="26">
        <f>现金流量表!J49</f>
        <v>0</v>
      </c>
      <c r="K20" s="26">
        <f>现金流量表!K49</f>
        <v>63102659.920000002</v>
      </c>
      <c r="L20" s="26">
        <f>现金流量表!L49</f>
        <v>0</v>
      </c>
      <c r="M20" s="26">
        <f>现金流量表!M49</f>
        <v>119394344.09999999</v>
      </c>
      <c r="N20" s="26">
        <f>现金流量表!N49</f>
        <v>0</v>
      </c>
      <c r="O20" s="26">
        <f>现金流量表!O49</f>
        <v>57610111.520000003</v>
      </c>
      <c r="P20" s="26">
        <f>现金流量表!P49</f>
        <v>0</v>
      </c>
      <c r="Q20" s="26">
        <f>现金流量表!Q49</f>
        <v>127729309.76000001</v>
      </c>
      <c r="R20" s="26">
        <f>现金流量表!R49</f>
        <v>0</v>
      </c>
      <c r="S20" s="26">
        <f>现金流量表!S49</f>
        <v>67451231.079999998</v>
      </c>
      <c r="T20" s="26">
        <f>现金流量表!T49</f>
        <v>0</v>
      </c>
      <c r="U20" s="26">
        <f>现金流量表!U49</f>
        <v>118173198.75</v>
      </c>
      <c r="V20" s="26">
        <f>现金流量表!V49</f>
        <v>0</v>
      </c>
      <c r="W20" s="26">
        <f>现金流量表!W49</f>
        <v>61997041.149999999</v>
      </c>
      <c r="X20" s="26">
        <f>现金流量表!X49</f>
        <v>0</v>
      </c>
      <c r="Y20" s="26">
        <f>现金流量表!Y49</f>
        <v>118416902.29000001</v>
      </c>
      <c r="Z20" s="26">
        <f>现金流量表!Z49</f>
        <v>0</v>
      </c>
      <c r="AA20" s="26">
        <f>现金流量表!AA49</f>
        <v>62992296.640000001</v>
      </c>
      <c r="AB20" s="26">
        <f>现金流量表!AB49</f>
        <v>0</v>
      </c>
      <c r="AC20" s="26">
        <f>现金流量表!AC49</f>
        <v>101674248.09</v>
      </c>
      <c r="AD20" s="26">
        <f>现金流量表!AD49</f>
        <v>0</v>
      </c>
      <c r="AE20" s="26">
        <f>现金流量表!AE49</f>
        <v>49139540.409999996</v>
      </c>
      <c r="AF20" s="26">
        <f>现金流量表!AF49</f>
        <v>0</v>
      </c>
      <c r="AG20" s="26">
        <f>现金流量表!AG49</f>
        <v>73985120.560000002</v>
      </c>
      <c r="AH20" s="26">
        <f>现金流量表!AH49</f>
        <v>0</v>
      </c>
      <c r="AI20" s="26">
        <f>现金流量表!AI49</f>
        <v>21235648.120000001</v>
      </c>
      <c r="AJ20" s="26">
        <f>现金流量表!AJ49</f>
        <v>0</v>
      </c>
      <c r="AK20" s="26">
        <f>现金流量表!AK49</f>
        <v>45747983.530000001</v>
      </c>
      <c r="AL20" s="26">
        <f>现金流量表!AL49</f>
        <v>0</v>
      </c>
      <c r="AM20" s="26">
        <f>现金流量表!AM49</f>
        <v>0</v>
      </c>
      <c r="AN20" s="26">
        <f>现金流量表!AN49</f>
        <v>0</v>
      </c>
      <c r="AO20" s="26">
        <f>现金流量表!AO49</f>
        <v>0</v>
      </c>
      <c r="AP20" s="26">
        <f>现金流量表!AP49</f>
        <v>0</v>
      </c>
      <c r="AQ20" s="26">
        <f>现金流量表!AQ49</f>
        <v>43173858.549999997</v>
      </c>
      <c r="AR20" s="26">
        <f>现金流量表!AR49</f>
        <v>0</v>
      </c>
      <c r="AS20" s="26">
        <f>现金流量表!AS49</f>
        <v>74019433.780000001</v>
      </c>
      <c r="AT20" s="26">
        <f>现金流量表!AT49</f>
        <v>0</v>
      </c>
      <c r="AU20" s="26">
        <f>现金流量表!AU49</f>
        <v>0</v>
      </c>
      <c r="AV20" s="26">
        <f>现金流量表!AV49</f>
        <v>0</v>
      </c>
      <c r="AW20" s="26">
        <f>现金流量表!AW49</f>
        <v>64496796.390000001</v>
      </c>
      <c r="AX20" s="26">
        <f>现金流量表!AX49</f>
        <v>44196353.619999997</v>
      </c>
      <c r="AY20" s="26">
        <f>现金流量表!AY49</f>
        <v>29971319.100000001</v>
      </c>
      <c r="AZ20" s="26">
        <f>现金流量表!AZ49</f>
        <v>15481299</v>
      </c>
      <c r="BA20" s="26">
        <f>现金流量表!BA49</f>
        <v>64612079.659999996</v>
      </c>
      <c r="BB20" s="26">
        <f>现金流量表!BB49</f>
        <v>46736269.789999999</v>
      </c>
      <c r="BC20" s="26">
        <f>现金流量表!BC49</f>
        <v>31660422.449999999</v>
      </c>
      <c r="BD20" s="26">
        <f>现金流量表!BD49</f>
        <v>15323595.890000001</v>
      </c>
      <c r="BE20" s="26">
        <f>现金流量表!BE49</f>
        <v>66524300.740000002</v>
      </c>
      <c r="BF20" s="26">
        <f>现金流量表!BF49</f>
        <v>82845511.590000004</v>
      </c>
      <c r="BG20" s="26">
        <f>现金流量表!BG49</f>
        <v>36528281.979999997</v>
      </c>
      <c r="BH20" s="26">
        <f>现金流量表!BH49</f>
        <v>16199518.619999999</v>
      </c>
      <c r="BI20" s="26">
        <f>现金流量表!BI49</f>
        <v>74107577.340000004</v>
      </c>
      <c r="BJ20" s="26">
        <f>现金流量表!BJ49</f>
        <v>52973848.18</v>
      </c>
      <c r="BK20" s="26">
        <f>现金流量表!BK49</f>
        <v>35566960.799999997</v>
      </c>
      <c r="BL20" s="26">
        <f>现金流量表!BL49</f>
        <v>0</v>
      </c>
      <c r="BM20" s="26">
        <f>现金流量表!BM49</f>
        <v>104647982.18000001</v>
      </c>
      <c r="BN20" s="26">
        <f>现金流量表!BN49</f>
        <v>39118076.439999998</v>
      </c>
      <c r="BO20" s="26">
        <f>现金流量表!BO49</f>
        <v>59567407.759999998</v>
      </c>
      <c r="BP20" s="26">
        <f>现金流量表!BP49</f>
        <v>27956523.690000001</v>
      </c>
      <c r="BQ20" s="26">
        <f>现金流量表!BQ49</f>
        <v>57663184.75</v>
      </c>
      <c r="BR20" s="26">
        <f>现金流量表!BR49</f>
        <v>27962043.77</v>
      </c>
      <c r="BS20" s="26">
        <f>现金流量表!BS49</f>
        <v>47644861.729999997</v>
      </c>
      <c r="BT20" s="26">
        <f>现金流量表!BT49</f>
        <v>24048938.690000001</v>
      </c>
      <c r="BU20" s="26">
        <f>现金流量表!BU49</f>
        <v>11181467.130000001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5238138.8799999999</v>
      </c>
      <c r="F21" s="26">
        <f>现金流量表!F50</f>
        <v>0</v>
      </c>
      <c r="G21" s="26">
        <f>现金流量表!G50</f>
        <v>2619069.42</v>
      </c>
      <c r="H21" s="26">
        <f>现金流量表!H50</f>
        <v>0</v>
      </c>
      <c r="I21" s="26">
        <f>现金流量表!I50</f>
        <v>5238138.8799999999</v>
      </c>
      <c r="J21" s="26">
        <f>现金流量表!J50</f>
        <v>0</v>
      </c>
      <c r="K21" s="26">
        <f>现金流量表!K50</f>
        <v>2619069.42</v>
      </c>
      <c r="L21" s="26">
        <f>现金流量表!L50</f>
        <v>0</v>
      </c>
      <c r="M21" s="26">
        <f>现金流量表!M50</f>
        <v>5238952.67</v>
      </c>
      <c r="N21" s="26">
        <f>现金流量表!N50</f>
        <v>0</v>
      </c>
      <c r="O21" s="26">
        <f>现金流量表!O50</f>
        <v>2619476.35</v>
      </c>
      <c r="P21" s="26">
        <f>现金流量表!P50</f>
        <v>0</v>
      </c>
      <c r="Q21" s="26">
        <f>现金流量表!Q50</f>
        <v>5553777.0599999996</v>
      </c>
      <c r="R21" s="26">
        <f>现金流量表!R50</f>
        <v>0</v>
      </c>
      <c r="S21" s="26">
        <f>现金流量表!S50</f>
        <v>2893989.24</v>
      </c>
      <c r="T21" s="26">
        <f>现金流量表!T50</f>
        <v>0</v>
      </c>
      <c r="U21" s="26">
        <f>现金流量表!U50</f>
        <v>5680896.8600000003</v>
      </c>
      <c r="V21" s="26">
        <f>现金流量表!V50</f>
        <v>0</v>
      </c>
      <c r="W21" s="26">
        <f>现金流量表!W50</f>
        <v>2886528.31</v>
      </c>
      <c r="X21" s="26">
        <f>现金流量表!X50</f>
        <v>0</v>
      </c>
      <c r="Y21" s="26">
        <f>现金流量表!Y50</f>
        <v>7679470.8399999999</v>
      </c>
      <c r="Z21" s="26">
        <f>现金流量表!Z50</f>
        <v>0</v>
      </c>
      <c r="AA21" s="26">
        <f>现金流量表!AA50</f>
        <v>3894350.32</v>
      </c>
      <c r="AB21" s="26">
        <f>现金流量表!AB50</f>
        <v>0</v>
      </c>
      <c r="AC21" s="26">
        <f>现金流量表!AC50</f>
        <v>6920205.54</v>
      </c>
      <c r="AD21" s="26">
        <f>现金流量表!AD50</f>
        <v>0</v>
      </c>
      <c r="AE21" s="26">
        <f>现金流量表!AE50</f>
        <v>3080816.34</v>
      </c>
      <c r="AF21" s="26">
        <f>现金流量表!AF50</f>
        <v>0</v>
      </c>
      <c r="AG21" s="26">
        <f>现金流量表!AG50</f>
        <v>6220449.5899999999</v>
      </c>
      <c r="AH21" s="26">
        <f>现金流量表!AH50</f>
        <v>0</v>
      </c>
      <c r="AI21" s="26">
        <f>现金流量表!AI50</f>
        <v>2283869.59</v>
      </c>
      <c r="AJ21" s="26">
        <f>现金流量表!AJ50</f>
        <v>0</v>
      </c>
      <c r="AK21" s="26">
        <f>现金流量表!AK50</f>
        <v>3658819.23</v>
      </c>
      <c r="AL21" s="26">
        <f>现金流量表!AL50</f>
        <v>0</v>
      </c>
      <c r="AM21" s="26">
        <f>现金流量表!AM50</f>
        <v>0</v>
      </c>
      <c r="AN21" s="26">
        <f>现金流量表!AN50</f>
        <v>0</v>
      </c>
      <c r="AO21" s="26">
        <f>现金流量表!AO50</f>
        <v>0</v>
      </c>
      <c r="AP21" s="26">
        <f>现金流量表!AP50</f>
        <v>0</v>
      </c>
      <c r="AQ21" s="26">
        <f>现金流量表!AQ50</f>
        <v>2362081.62</v>
      </c>
      <c r="AR21" s="26">
        <f>现金流量表!AR50</f>
        <v>0</v>
      </c>
      <c r="AS21" s="26">
        <f>现金流量表!AS50</f>
        <v>8104568.5199999996</v>
      </c>
      <c r="AT21" s="26">
        <f>现金流量表!AT50</f>
        <v>0</v>
      </c>
      <c r="AU21" s="26">
        <f>现金流量表!AU50</f>
        <v>0</v>
      </c>
      <c r="AV21" s="26">
        <f>现金流量表!AV50</f>
        <v>0</v>
      </c>
      <c r="AW21" s="26">
        <f>现金流量表!AW50</f>
        <v>5111825.95</v>
      </c>
      <c r="AX21" s="26">
        <f>现金流量表!AX50</f>
        <v>5240215.6100000003</v>
      </c>
      <c r="AY21" s="26">
        <f>现金流量表!AY50</f>
        <v>2284633.37</v>
      </c>
      <c r="AZ21" s="26">
        <f>现金流量表!AZ50</f>
        <v>1169157.1499999999</v>
      </c>
      <c r="BA21" s="26">
        <f>现金流量表!BA50</f>
        <v>4641177.53</v>
      </c>
      <c r="BB21" s="26">
        <f>现金流量表!BB50</f>
        <v>0</v>
      </c>
      <c r="BC21" s="26">
        <f>现金流量表!BC50</f>
        <v>3434701.46</v>
      </c>
      <c r="BD21" s="26">
        <f>现金流量表!BD50</f>
        <v>0</v>
      </c>
      <c r="BE21" s="26">
        <f>现金流量表!BE50</f>
        <v>5807866.8799999999</v>
      </c>
      <c r="BF21" s="26">
        <f>现金流量表!BF50</f>
        <v>0</v>
      </c>
      <c r="BG21" s="26">
        <f>现金流量表!BG50</f>
        <v>0</v>
      </c>
      <c r="BH21" s="26">
        <f>现金流量表!BH50</f>
        <v>0</v>
      </c>
      <c r="BI21" s="26">
        <f>现金流量表!BI50</f>
        <v>0</v>
      </c>
      <c r="BJ21" s="26">
        <f>现金流量表!BJ50</f>
        <v>0</v>
      </c>
      <c r="BK21" s="26">
        <f>现金流量表!BK50</f>
        <v>1847233.03</v>
      </c>
      <c r="BL21" s="26">
        <f>现金流量表!BL50</f>
        <v>0</v>
      </c>
      <c r="BM21" s="26">
        <f>现金流量表!BM50</f>
        <v>0</v>
      </c>
      <c r="BN21" s="26">
        <f>现金流量表!BN50</f>
        <v>0</v>
      </c>
      <c r="BO21" s="26">
        <f>现金流量表!BO50</f>
        <v>19538614.559999999</v>
      </c>
      <c r="BP21" s="26">
        <f>现金流量表!BP50</f>
        <v>1848489.94</v>
      </c>
      <c r="BQ21" s="26">
        <f>现金流量表!BQ50</f>
        <v>8639473.6600000001</v>
      </c>
      <c r="BR21" s="26">
        <f>现金流量表!BR50</f>
        <v>196667.67</v>
      </c>
      <c r="BS21" s="26">
        <f>现金流量表!BS50</f>
        <v>5201971.04</v>
      </c>
      <c r="BT21" s="26">
        <f>现金流量表!BT50</f>
        <v>1563614.61</v>
      </c>
      <c r="BU21" s="26">
        <f>现金流量表!BU50</f>
        <v>205697.33</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5127040.9800000004</v>
      </c>
      <c r="F22" s="26">
        <f>现金流量表!F51</f>
        <v>0</v>
      </c>
      <c r="G22" s="26">
        <f>现金流量表!G51</f>
        <v>1681848.52</v>
      </c>
      <c r="H22" s="26">
        <f>现金流量表!H51</f>
        <v>0</v>
      </c>
      <c r="I22" s="26">
        <f>现金流量表!I51</f>
        <v>2384206.2000000002</v>
      </c>
      <c r="J22" s="26">
        <f>现金流量表!J51</f>
        <v>0</v>
      </c>
      <c r="K22" s="26">
        <f>现金流量表!K51</f>
        <v>1469902.32</v>
      </c>
      <c r="L22" s="26">
        <f>现金流量表!L51</f>
        <v>0</v>
      </c>
      <c r="M22" s="26">
        <f>现金流量表!M51</f>
        <v>3143625.56</v>
      </c>
      <c r="N22" s="26">
        <f>现金流量表!N51</f>
        <v>0</v>
      </c>
      <c r="O22" s="26">
        <f>现金流量表!O51</f>
        <v>3014839</v>
      </c>
      <c r="P22" s="26">
        <f>现金流量表!P51</f>
        <v>0</v>
      </c>
      <c r="Q22" s="26">
        <f>现金流量表!Q51</f>
        <v>3239931.94</v>
      </c>
      <c r="R22" s="26">
        <f>现金流量表!R51</f>
        <v>0</v>
      </c>
      <c r="S22" s="26">
        <f>现金流量表!S51</f>
        <v>6551177.0499999998</v>
      </c>
      <c r="T22" s="26">
        <f>现金流量表!T51</f>
        <v>0</v>
      </c>
      <c r="U22" s="26">
        <f>现金流量表!U51</f>
        <v>22648837.350000001</v>
      </c>
      <c r="V22" s="26">
        <f>现金流量表!V51</f>
        <v>0</v>
      </c>
      <c r="W22" s="26">
        <f>现金流量表!W51</f>
        <v>13664749.380000001</v>
      </c>
      <c r="X22" s="26">
        <f>现金流量表!X51</f>
        <v>0</v>
      </c>
      <c r="Y22" s="26">
        <f>现金流量表!Y51</f>
        <v>32813580.280000001</v>
      </c>
      <c r="Z22" s="26">
        <f>现金流量表!Z51</f>
        <v>0</v>
      </c>
      <c r="AA22" s="26">
        <f>现金流量表!AA51</f>
        <v>17686233.600000001</v>
      </c>
      <c r="AB22" s="26">
        <f>现金流量表!AB51</f>
        <v>0</v>
      </c>
      <c r="AC22" s="26">
        <f>现金流量表!AC51</f>
        <v>34041049.280000001</v>
      </c>
      <c r="AD22" s="26">
        <f>现金流量表!AD51</f>
        <v>0</v>
      </c>
      <c r="AE22" s="26">
        <f>现金流量表!AE51</f>
        <v>22566793.190000001</v>
      </c>
      <c r="AF22" s="26">
        <f>现金流量表!AF51</f>
        <v>0</v>
      </c>
      <c r="AG22" s="26">
        <f>现金流量表!AG51</f>
        <v>26805170.649999999</v>
      </c>
      <c r="AH22" s="26">
        <f>现金流量表!AH51</f>
        <v>0</v>
      </c>
      <c r="AI22" s="26">
        <f>现金流量表!AI51</f>
        <v>8471187.8100000005</v>
      </c>
      <c r="AJ22" s="26">
        <f>现金流量表!AJ51</f>
        <v>0</v>
      </c>
      <c r="AK22" s="26">
        <f>现金流量表!AK51</f>
        <v>12005805.09</v>
      </c>
      <c r="AL22" s="26">
        <f>现金流量表!AL51</f>
        <v>0</v>
      </c>
      <c r="AM22" s="26">
        <f>现金流量表!AM51</f>
        <v>0</v>
      </c>
      <c r="AN22" s="26">
        <f>现金流量表!AN51</f>
        <v>0</v>
      </c>
      <c r="AO22" s="26">
        <f>现金流量表!AO51</f>
        <v>0</v>
      </c>
      <c r="AP22" s="26">
        <f>现金流量表!AP51</f>
        <v>0</v>
      </c>
      <c r="AQ22" s="26">
        <f>现金流量表!AQ51</f>
        <v>5556391.4900000002</v>
      </c>
      <c r="AR22" s="26">
        <f>现金流量表!AR51</f>
        <v>0</v>
      </c>
      <c r="AS22" s="26">
        <f>现金流量表!AS51</f>
        <v>21812791.32</v>
      </c>
      <c r="AT22" s="26">
        <f>现金流量表!AT51</f>
        <v>0</v>
      </c>
      <c r="AU22" s="26">
        <f>现金流量表!AU51</f>
        <v>0</v>
      </c>
      <c r="AV22" s="26">
        <f>现金流量表!AV51</f>
        <v>0</v>
      </c>
      <c r="AW22" s="26">
        <f>现金流量表!AW51</f>
        <v>1627604.79</v>
      </c>
      <c r="AX22" s="26">
        <f>现金流量表!AX51</f>
        <v>0</v>
      </c>
      <c r="AY22" s="26">
        <f>现金流量表!AY51</f>
        <v>789055.76</v>
      </c>
      <c r="AZ22" s="26">
        <f>现金流量表!AZ51</f>
        <v>507003.5</v>
      </c>
      <c r="BA22" s="26">
        <f>现金流量表!BA51</f>
        <v>5443536.4900000002</v>
      </c>
      <c r="BB22" s="26">
        <f>现金流量表!BB51</f>
        <v>5408523.9900000002</v>
      </c>
      <c r="BC22" s="26">
        <f>现金流量表!BC51</f>
        <v>-12378298.32</v>
      </c>
      <c r="BD22" s="26">
        <f>现金流量表!BD51</f>
        <v>1613067.35</v>
      </c>
      <c r="BE22" s="26">
        <f>现金流量表!BE51</f>
        <v>2055301.43</v>
      </c>
      <c r="BF22" s="26">
        <f>现金流量表!BF51</f>
        <v>3649154.66</v>
      </c>
      <c r="BG22" s="26">
        <f>现金流量表!BG51</f>
        <v>3006414.67</v>
      </c>
      <c r="BH22" s="26">
        <f>现金流量表!BH51</f>
        <v>1641796.74</v>
      </c>
      <c r="BI22" s="26">
        <f>现金流量表!BI51</f>
        <v>5800793.9500000002</v>
      </c>
      <c r="BJ22" s="26">
        <f>现金流量表!BJ51</f>
        <v>5035270.6399999997</v>
      </c>
      <c r="BK22" s="26">
        <f>现金流量表!BK51</f>
        <v>0</v>
      </c>
      <c r="BL22" s="26">
        <f>现金流量表!BL51</f>
        <v>0</v>
      </c>
      <c r="BM22" s="26">
        <f>现金流量表!BM51</f>
        <v>16564494.83</v>
      </c>
      <c r="BN22" s="26">
        <f>现金流量表!BN51</f>
        <v>10135362.720000001</v>
      </c>
      <c r="BO22" s="26">
        <f>现金流量表!BO51</f>
        <v>0</v>
      </c>
      <c r="BP22" s="26">
        <f>现金流量表!BP51</f>
        <v>12196587.91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975423</v>
      </c>
      <c r="F23" s="26">
        <f>现金流量表!F54</f>
        <v>0</v>
      </c>
      <c r="G23" s="26">
        <f>现金流量表!G54</f>
        <v>-2324085.5299999998</v>
      </c>
      <c r="H23" s="26">
        <f>现金流量表!H54</f>
        <v>0</v>
      </c>
      <c r="I23" s="26">
        <f>现金流量表!I54</f>
        <v>1833734.45</v>
      </c>
      <c r="J23" s="26">
        <f>现金流量表!J54</f>
        <v>0</v>
      </c>
      <c r="K23" s="26">
        <f>现金流量表!K54</f>
        <v>121746.3</v>
      </c>
      <c r="L23" s="26">
        <f>现金流量表!L54</f>
        <v>0</v>
      </c>
      <c r="M23" s="26">
        <f>现金流量表!M54</f>
        <v>280195.57</v>
      </c>
      <c r="N23" s="26">
        <f>现金流量表!N54</f>
        <v>0</v>
      </c>
      <c r="O23" s="26">
        <f>现金流量表!O54</f>
        <v>16780.87</v>
      </c>
      <c r="P23" s="26">
        <f>现金流量表!P54</f>
        <v>0</v>
      </c>
      <c r="Q23" s="26">
        <f>现金流量表!Q54</f>
        <v>3482781.03</v>
      </c>
      <c r="R23" s="26">
        <f>现金流量表!R54</f>
        <v>0</v>
      </c>
      <c r="S23" s="26">
        <f>现金流量表!S54</f>
        <v>-591204.6</v>
      </c>
      <c r="T23" s="26">
        <f>现金流量表!T54</f>
        <v>0</v>
      </c>
      <c r="U23" s="26">
        <f>现金流量表!U54</f>
        <v>940175.27</v>
      </c>
      <c r="V23" s="26">
        <f>现金流量表!V54</f>
        <v>0</v>
      </c>
      <c r="W23" s="26">
        <f>现金流量表!W54</f>
        <v>-1068313.6000000001</v>
      </c>
      <c r="X23" s="26">
        <f>现金流量表!X54</f>
        <v>0</v>
      </c>
      <c r="Y23" s="26">
        <f>现金流量表!Y54</f>
        <v>-7145341.5700000003</v>
      </c>
      <c r="Z23" s="26">
        <f>现金流量表!Z54</f>
        <v>0</v>
      </c>
      <c r="AA23" s="26">
        <f>现金流量表!AA54</f>
        <v>-7549807.5499999998</v>
      </c>
      <c r="AB23" s="26">
        <f>现金流量表!AB54</f>
        <v>0</v>
      </c>
      <c r="AC23" s="26">
        <f>现金流量表!AC54</f>
        <v>-8294522.4199999999</v>
      </c>
      <c r="AD23" s="26">
        <f>现金流量表!AD54</f>
        <v>0</v>
      </c>
      <c r="AE23" s="26">
        <f>现金流量表!AE54</f>
        <v>-13723704.630000001</v>
      </c>
      <c r="AF23" s="26">
        <f>现金流量表!AF54</f>
        <v>0</v>
      </c>
      <c r="AG23" s="26">
        <f>现金流量表!AG54</f>
        <v>-16586270.699999999</v>
      </c>
      <c r="AH23" s="26">
        <f>现金流量表!AH54</f>
        <v>0</v>
      </c>
      <c r="AI23" s="26">
        <f>现金流量表!AI54</f>
        <v>2131225.1</v>
      </c>
      <c r="AJ23" s="26">
        <f>现金流量表!AJ54</f>
        <v>0</v>
      </c>
      <c r="AK23" s="26">
        <f>现金流量表!AK54</f>
        <v>-78320039.719999999</v>
      </c>
      <c r="AL23" s="26">
        <f>现金流量表!AL54</f>
        <v>0</v>
      </c>
      <c r="AM23" s="26">
        <f>现金流量表!AM54</f>
        <v>0</v>
      </c>
      <c r="AN23" s="26">
        <f>现金流量表!AN54</f>
        <v>0</v>
      </c>
      <c r="AO23" s="26">
        <f>现金流量表!AO54</f>
        <v>0</v>
      </c>
      <c r="AP23" s="26">
        <f>现金流量表!AP54</f>
        <v>0</v>
      </c>
      <c r="AQ23" s="26">
        <f>现金流量表!AQ54</f>
        <v>-1051530.49</v>
      </c>
      <c r="AR23" s="26">
        <f>现金流量表!AR54</f>
        <v>0</v>
      </c>
      <c r="AS23" s="26">
        <f>现金流量表!AS54</f>
        <v>4534752.26</v>
      </c>
      <c r="AT23" s="26">
        <f>现金流量表!AT54</f>
        <v>0</v>
      </c>
      <c r="AU23" s="26">
        <f>现金流量表!AU54</f>
        <v>0</v>
      </c>
      <c r="AV23" s="26">
        <f>现金流量表!AV54</f>
        <v>0</v>
      </c>
      <c r="AW23" s="26">
        <f>现金流量表!AW54</f>
        <v>-1988125.26</v>
      </c>
      <c r="AX23" s="26">
        <f>现金流量表!AX54</f>
        <v>-59804.4</v>
      </c>
      <c r="AY23" s="26">
        <f>现金流量表!AY54</f>
        <v>-59804.4</v>
      </c>
      <c r="AZ23" s="26">
        <f>现金流量表!AZ54</f>
        <v>0</v>
      </c>
      <c r="BA23" s="26">
        <f>现金流量表!BA54</f>
        <v>-3777191.07</v>
      </c>
      <c r="BB23" s="26">
        <f>现金流量表!BB54</f>
        <v>137897.32</v>
      </c>
      <c r="BC23" s="26">
        <f>现金流量表!BC54</f>
        <v>0</v>
      </c>
      <c r="BD23" s="26">
        <f>现金流量表!BD54</f>
        <v>84043.98</v>
      </c>
      <c r="BE23" s="26">
        <f>现金流量表!BE54</f>
        <v>-6288512.25</v>
      </c>
      <c r="BF23" s="26">
        <f>现金流量表!BF54</f>
        <v>-4494386.25</v>
      </c>
      <c r="BG23" s="26">
        <f>现金流量表!BG54</f>
        <v>-4550821.99</v>
      </c>
      <c r="BH23" s="26">
        <f>现金流量表!BH54</f>
        <v>-650430.30000000005</v>
      </c>
      <c r="BI23" s="26">
        <f>现金流量表!BI54</f>
        <v>561673.96</v>
      </c>
      <c r="BJ23" s="26">
        <f>现金流量表!BJ54</f>
        <v>6459910.2199999997</v>
      </c>
      <c r="BK23" s="26">
        <f>现金流量表!BK54</f>
        <v>6396483.1900000004</v>
      </c>
      <c r="BL23" s="26">
        <f>现金流量表!BL54</f>
        <v>0</v>
      </c>
      <c r="BM23" s="26">
        <f>现金流量表!BM54</f>
        <v>2621677.35</v>
      </c>
      <c r="BN23" s="26">
        <f>现金流量表!BN54</f>
        <v>-12507.54</v>
      </c>
      <c r="BO23" s="26">
        <f>现金流量表!BO54</f>
        <v>169020.35</v>
      </c>
      <c r="BP23" s="26">
        <f>现金流量表!BP54</f>
        <v>-900</v>
      </c>
      <c r="BQ23" s="26">
        <f>现金流量表!BQ54</f>
        <v>1402071.71</v>
      </c>
      <c r="BR23" s="26">
        <f>现金流量表!BR54</f>
        <v>0</v>
      </c>
      <c r="BS23" s="26">
        <f>现金流量表!BS54</f>
        <v>1148009.55</v>
      </c>
      <c r="BT23" s="26">
        <f>现金流量表!BT54</f>
        <v>285147</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138614.56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7290907.3399999999</v>
      </c>
      <c r="AH24" s="26">
        <f>现金流量表!AH55</f>
        <v>0</v>
      </c>
      <c r="AI24" s="26">
        <f>现金流量表!AI55</f>
        <v>0</v>
      </c>
      <c r="AJ24" s="26">
        <f>现金流量表!AJ55</f>
        <v>0</v>
      </c>
      <c r="AK24" s="26">
        <f>现金流量表!AK55</f>
        <v>1883727.57</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320974.98</v>
      </c>
      <c r="AT24" s="26">
        <f>现金流量表!AT55</f>
        <v>0</v>
      </c>
      <c r="AU24" s="26">
        <f>现金流量表!AU55</f>
        <v>0</v>
      </c>
      <c r="AV24" s="26">
        <f>现金流量表!AV55</f>
        <v>0</v>
      </c>
      <c r="AW24" s="26">
        <f>现金流量表!AW55</f>
        <v>0</v>
      </c>
      <c r="AX24" s="26">
        <f>现金流量表!AX55</f>
        <v>42424.54</v>
      </c>
      <c r="AY24" s="26">
        <f>现金流量表!AY55</f>
        <v>42424.54</v>
      </c>
      <c r="AZ24" s="26">
        <f>现金流量表!AZ55</f>
        <v>0</v>
      </c>
      <c r="BA24" s="26">
        <f>现金流量表!BA55</f>
        <v>0</v>
      </c>
      <c r="BB24" s="26">
        <f>现金流量表!BB55</f>
        <v>517067.89</v>
      </c>
      <c r="BC24" s="26">
        <f>现金流量表!BC55</f>
        <v>0</v>
      </c>
      <c r="BD24" s="26">
        <f>现金流量表!BD55</f>
        <v>0</v>
      </c>
      <c r="BE24" s="26">
        <f>现金流量表!BE55</f>
        <v>0</v>
      </c>
      <c r="BF24" s="26">
        <f>现金流量表!BF55</f>
        <v>0</v>
      </c>
      <c r="BG24" s="26">
        <f>现金流量表!BG55</f>
        <v>23000</v>
      </c>
      <c r="BH24" s="26">
        <f>现金流量表!BH55</f>
        <v>0</v>
      </c>
      <c r="BI24" s="26">
        <f>现金流量表!BI55</f>
        <v>914696.03</v>
      </c>
      <c r="BJ24" s="26">
        <f>现金流量表!BJ55</f>
        <v>630110.76</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214659336.02000001</v>
      </c>
      <c r="F25" s="28">
        <f t="shared" ref="F25:BQ25" si="12">SUM(F19:F24)</f>
        <v>0</v>
      </c>
      <c r="G25" s="28">
        <f t="shared" si="12"/>
        <v>104484738.90000001</v>
      </c>
      <c r="H25" s="28">
        <f t="shared" si="12"/>
        <v>0</v>
      </c>
      <c r="I25" s="28">
        <f t="shared" si="12"/>
        <v>226455259.16999996</v>
      </c>
      <c r="J25" s="28">
        <f t="shared" si="12"/>
        <v>0</v>
      </c>
      <c r="K25" s="28">
        <f t="shared" si="12"/>
        <v>95247167.399999991</v>
      </c>
      <c r="L25" s="28">
        <f t="shared" si="12"/>
        <v>0</v>
      </c>
      <c r="M25" s="28">
        <f t="shared" si="12"/>
        <v>150509053.74999997</v>
      </c>
      <c r="N25" s="28">
        <f t="shared" si="12"/>
        <v>0</v>
      </c>
      <c r="O25" s="28">
        <f t="shared" si="12"/>
        <v>61936089.32</v>
      </c>
      <c r="P25" s="28">
        <f t="shared" si="12"/>
        <v>0</v>
      </c>
      <c r="Q25" s="28">
        <f t="shared" si="12"/>
        <v>178226881.41</v>
      </c>
      <c r="R25" s="28">
        <f t="shared" si="12"/>
        <v>0</v>
      </c>
      <c r="S25" s="28">
        <f t="shared" si="12"/>
        <v>87725190.079999998</v>
      </c>
      <c r="T25" s="28">
        <f t="shared" si="12"/>
        <v>0</v>
      </c>
      <c r="U25" s="28">
        <f t="shared" si="12"/>
        <v>196915642.12</v>
      </c>
      <c r="V25" s="28">
        <f t="shared" si="12"/>
        <v>0</v>
      </c>
      <c r="W25" s="28">
        <f t="shared" si="12"/>
        <v>91206356.570000008</v>
      </c>
      <c r="X25" s="28">
        <f t="shared" si="12"/>
        <v>0</v>
      </c>
      <c r="Y25" s="28">
        <f t="shared" si="12"/>
        <v>160435970.01000002</v>
      </c>
      <c r="Z25" s="28">
        <f t="shared" si="12"/>
        <v>0</v>
      </c>
      <c r="AA25" s="28">
        <f t="shared" si="12"/>
        <v>79782395.220000014</v>
      </c>
      <c r="AB25" s="28">
        <f t="shared" si="12"/>
        <v>0</v>
      </c>
      <c r="AC25" s="28">
        <f t="shared" si="12"/>
        <v>148676852.01000002</v>
      </c>
      <c r="AD25" s="28">
        <f t="shared" si="12"/>
        <v>0</v>
      </c>
      <c r="AE25" s="28">
        <f t="shared" si="12"/>
        <v>66595412.639999993</v>
      </c>
      <c r="AF25" s="28">
        <f t="shared" si="12"/>
        <v>0</v>
      </c>
      <c r="AG25" s="28">
        <f t="shared" si="12"/>
        <v>76493458.86999999</v>
      </c>
      <c r="AH25" s="28">
        <f t="shared" si="12"/>
        <v>0</v>
      </c>
      <c r="AI25" s="28">
        <f t="shared" si="12"/>
        <v>30092156.840000004</v>
      </c>
      <c r="AJ25" s="28">
        <f t="shared" si="12"/>
        <v>0</v>
      </c>
      <c r="AK25" s="28">
        <f t="shared" si="12"/>
        <v>87915305.639999986</v>
      </c>
      <c r="AL25" s="28">
        <f t="shared" si="12"/>
        <v>0</v>
      </c>
      <c r="AM25" s="28">
        <f t="shared" si="12"/>
        <v>0</v>
      </c>
      <c r="AN25" s="28">
        <f t="shared" si="12"/>
        <v>0</v>
      </c>
      <c r="AO25" s="28">
        <f t="shared" si="12"/>
        <v>0</v>
      </c>
      <c r="AP25" s="28">
        <f t="shared" si="12"/>
        <v>0</v>
      </c>
      <c r="AQ25" s="28">
        <f t="shared" si="12"/>
        <v>58386311.159999996</v>
      </c>
      <c r="AR25" s="28">
        <f t="shared" si="12"/>
        <v>0</v>
      </c>
      <c r="AS25" s="28">
        <f t="shared" si="12"/>
        <v>128436259.62</v>
      </c>
      <c r="AT25" s="28">
        <f t="shared" si="12"/>
        <v>0</v>
      </c>
      <c r="AU25" s="28">
        <f t="shared" si="12"/>
        <v>0</v>
      </c>
      <c r="AV25" s="28">
        <f t="shared" si="12"/>
        <v>0</v>
      </c>
      <c r="AW25" s="28">
        <f t="shared" si="12"/>
        <v>196491902.48999998</v>
      </c>
      <c r="AX25" s="28">
        <f t="shared" si="12"/>
        <v>56004675.649999999</v>
      </c>
      <c r="AY25" s="28">
        <f t="shared" si="12"/>
        <v>28337174.650000006</v>
      </c>
      <c r="AZ25" s="28">
        <f t="shared" si="12"/>
        <v>18057459.649999999</v>
      </c>
      <c r="BA25" s="28">
        <f t="shared" si="12"/>
        <v>97930123.549999997</v>
      </c>
      <c r="BB25" s="28">
        <f t="shared" si="12"/>
        <v>36835684.43</v>
      </c>
      <c r="BC25" s="28">
        <f t="shared" si="12"/>
        <v>15524525.710000001</v>
      </c>
      <c r="BD25" s="28">
        <f t="shared" si="12"/>
        <v>17920707.220000003</v>
      </c>
      <c r="BE25" s="28">
        <f t="shared" si="12"/>
        <v>94867290.580000013</v>
      </c>
      <c r="BF25" s="28">
        <f t="shared" si="12"/>
        <v>85150280</v>
      </c>
      <c r="BG25" s="28">
        <f t="shared" si="12"/>
        <v>38815591.759999998</v>
      </c>
      <c r="BH25" s="28">
        <f t="shared" si="12"/>
        <v>18362627.749999996</v>
      </c>
      <c r="BI25" s="28">
        <f t="shared" si="12"/>
        <v>89873160.700000003</v>
      </c>
      <c r="BJ25" s="28">
        <f t="shared" si="12"/>
        <v>48679984.159999996</v>
      </c>
      <c r="BK25" s="28">
        <f t="shared" si="12"/>
        <v>29290378.43</v>
      </c>
      <c r="BL25" s="28">
        <f t="shared" si="12"/>
        <v>0</v>
      </c>
      <c r="BM25" s="28">
        <f t="shared" si="12"/>
        <v>589185454.0200001</v>
      </c>
      <c r="BN25" s="28">
        <f t="shared" si="12"/>
        <v>57240931.619999997</v>
      </c>
      <c r="BO25" s="28">
        <f t="shared" si="12"/>
        <v>151396856.40000001</v>
      </c>
      <c r="BP25" s="28">
        <f t="shared" si="12"/>
        <v>42000701.540000007</v>
      </c>
      <c r="BQ25" s="28">
        <f t="shared" si="12"/>
        <v>79415100.909999982</v>
      </c>
      <c r="BR25" s="28">
        <f t="shared" ref="BR25:CK25" si="13">SUM(BR19:BR24)</f>
        <v>28158711.440000001</v>
      </c>
      <c r="BS25" s="28">
        <f t="shared" si="13"/>
        <v>73186791.819999993</v>
      </c>
      <c r="BT25" s="28">
        <f t="shared" si="13"/>
        <v>49107319.75</v>
      </c>
      <c r="BU25" s="28">
        <f t="shared" si="13"/>
        <v>22618981.409999996</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1801094482.28</v>
      </c>
      <c r="F26" s="28">
        <f t="shared" ref="F26:BQ26" si="14">F14-F25</f>
        <v>689222217.41999996</v>
      </c>
      <c r="G26" s="28">
        <f t="shared" si="14"/>
        <v>-246895431.14000002</v>
      </c>
      <c r="H26" s="28">
        <f t="shared" si="14"/>
        <v>-168999611.81999999</v>
      </c>
      <c r="I26" s="28">
        <f t="shared" si="14"/>
        <v>3669617528.21</v>
      </c>
      <c r="J26" s="28">
        <f t="shared" si="14"/>
        <v>1927294085.23</v>
      </c>
      <c r="K26" s="28">
        <f t="shared" si="14"/>
        <v>1511850225.48</v>
      </c>
      <c r="L26" s="28">
        <f t="shared" si="14"/>
        <v>573548265.89999998</v>
      </c>
      <c r="M26" s="28">
        <f t="shared" si="14"/>
        <v>3448186415.0500002</v>
      </c>
      <c r="N26" s="28">
        <f t="shared" si="14"/>
        <v>2573223119.8099999</v>
      </c>
      <c r="O26" s="28">
        <f t="shared" si="14"/>
        <v>1303333394.1400001</v>
      </c>
      <c r="P26" s="28">
        <f t="shared" si="14"/>
        <v>394282134.54000002</v>
      </c>
      <c r="Q26" s="28">
        <f t="shared" si="14"/>
        <v>1478887435.9199998</v>
      </c>
      <c r="R26" s="28">
        <f t="shared" si="14"/>
        <v>1013018933.4400001</v>
      </c>
      <c r="S26" s="28">
        <f t="shared" si="14"/>
        <v>737379245.75</v>
      </c>
      <c r="T26" s="28">
        <f t="shared" si="14"/>
        <v>271964312.52999997</v>
      </c>
      <c r="U26" s="28">
        <f t="shared" si="14"/>
        <v>707966458.88999999</v>
      </c>
      <c r="V26" s="28">
        <f t="shared" si="14"/>
        <v>924148130.88999999</v>
      </c>
      <c r="W26" s="28">
        <f t="shared" si="14"/>
        <v>839915939.25</v>
      </c>
      <c r="X26" s="28">
        <f t="shared" si="14"/>
        <v>277826039.48000002</v>
      </c>
      <c r="Y26" s="28">
        <f t="shared" si="14"/>
        <v>184321728.13999996</v>
      </c>
      <c r="Z26" s="28">
        <f t="shared" si="14"/>
        <v>646968839.80999994</v>
      </c>
      <c r="AA26" s="28">
        <f t="shared" si="14"/>
        <v>829655215.50999999</v>
      </c>
      <c r="AB26" s="28">
        <f t="shared" si="14"/>
        <v>-1660902.67</v>
      </c>
      <c r="AC26" s="28">
        <f t="shared" si="14"/>
        <v>93854457.059999973</v>
      </c>
      <c r="AD26" s="28">
        <f t="shared" si="14"/>
        <v>759702240.78999996</v>
      </c>
      <c r="AE26" s="28">
        <f t="shared" si="14"/>
        <v>-575596240.26999998</v>
      </c>
      <c r="AF26" s="28">
        <f t="shared" si="14"/>
        <v>-735923388.15999997</v>
      </c>
      <c r="AG26" s="28">
        <f t="shared" si="14"/>
        <v>647640812.36000001</v>
      </c>
      <c r="AH26" s="28">
        <f t="shared" si="14"/>
        <v>981007550.61000001</v>
      </c>
      <c r="AI26" s="28">
        <f t="shared" si="14"/>
        <v>472758325.98000002</v>
      </c>
      <c r="AJ26" s="28">
        <f t="shared" si="14"/>
        <v>-386451128.54000002</v>
      </c>
      <c r="AK26" s="28">
        <f t="shared" si="14"/>
        <v>51119101.590000004</v>
      </c>
      <c r="AL26" s="28">
        <f t="shared" si="14"/>
        <v>364408055.56</v>
      </c>
      <c r="AM26" s="28">
        <f t="shared" si="14"/>
        <v>103869295.3</v>
      </c>
      <c r="AN26" s="28">
        <f t="shared" si="14"/>
        <v>24940968.359999999</v>
      </c>
      <c r="AO26" s="28">
        <f t="shared" si="14"/>
        <v>-134715670.16</v>
      </c>
      <c r="AP26" s="28">
        <f t="shared" si="14"/>
        <v>-352369786</v>
      </c>
      <c r="AQ26" s="28">
        <f t="shared" si="14"/>
        <v>-93384840.189999998</v>
      </c>
      <c r="AR26" s="28">
        <f t="shared" si="14"/>
        <v>-168450941.12</v>
      </c>
      <c r="AS26" s="28">
        <f t="shared" si="14"/>
        <v>244486010.82999998</v>
      </c>
      <c r="AT26" s="28">
        <f t="shared" si="14"/>
        <v>200004712.86000001</v>
      </c>
      <c r="AU26" s="28">
        <f t="shared" si="14"/>
        <v>95451032.409999996</v>
      </c>
      <c r="AV26" s="28">
        <f t="shared" si="14"/>
        <v>5201950.2699999996</v>
      </c>
      <c r="AW26" s="28">
        <f t="shared" si="14"/>
        <v>70854761.410000026</v>
      </c>
      <c r="AX26" s="28">
        <f t="shared" si="14"/>
        <v>-54658274.699999996</v>
      </c>
      <c r="AY26" s="28">
        <f t="shared" si="14"/>
        <v>37641258.789999992</v>
      </c>
      <c r="AZ26" s="28">
        <f t="shared" si="14"/>
        <v>-10033826.799999999</v>
      </c>
      <c r="BA26" s="28">
        <f t="shared" si="14"/>
        <v>-32101012.609999999</v>
      </c>
      <c r="BB26" s="28">
        <f t="shared" si="14"/>
        <v>-278129912.32999998</v>
      </c>
      <c r="BC26" s="28">
        <f t="shared" si="14"/>
        <v>-254376912.83000001</v>
      </c>
      <c r="BD26" s="28">
        <f t="shared" si="14"/>
        <v>-66280751.640000001</v>
      </c>
      <c r="BE26" s="28">
        <f t="shared" si="14"/>
        <v>-274194544.37</v>
      </c>
      <c r="BF26" s="28">
        <f t="shared" si="14"/>
        <v>-320735410.47000003</v>
      </c>
      <c r="BG26" s="28">
        <f t="shared" si="14"/>
        <v>-71830822.530000001</v>
      </c>
      <c r="BH26" s="28">
        <f t="shared" si="14"/>
        <v>-12641826.829999996</v>
      </c>
      <c r="BI26" s="28">
        <f t="shared" si="14"/>
        <v>101578734.11999999</v>
      </c>
      <c r="BJ26" s="28">
        <f t="shared" si="14"/>
        <v>-38667270.579999998</v>
      </c>
      <c r="BK26" s="28">
        <f t="shared" si="14"/>
        <v>74594833.669999987</v>
      </c>
      <c r="BL26" s="28">
        <f t="shared" si="14"/>
        <v>53739026.68</v>
      </c>
      <c r="BM26" s="28">
        <f t="shared" si="14"/>
        <v>-502632098.76000011</v>
      </c>
      <c r="BN26" s="28">
        <f t="shared" si="14"/>
        <v>-2393532.7899999991</v>
      </c>
      <c r="BO26" s="28">
        <f t="shared" si="14"/>
        <v>-54955286.560000002</v>
      </c>
      <c r="BP26" s="28">
        <f t="shared" si="14"/>
        <v>-280692.18000000715</v>
      </c>
      <c r="BQ26" s="28">
        <f t="shared" si="14"/>
        <v>116278075.94000001</v>
      </c>
      <c r="BR26" s="28">
        <f t="shared" ref="BR26:CK26" si="15">BR14-BR25</f>
        <v>116683300</v>
      </c>
      <c r="BS26" s="28">
        <f t="shared" si="15"/>
        <v>142399508.73000002</v>
      </c>
      <c r="BT26" s="28">
        <f t="shared" si="15"/>
        <v>-99977773.189999998</v>
      </c>
      <c r="BU26" s="28">
        <f t="shared" si="15"/>
        <v>-86654931.199999988</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1801094482.28</v>
      </c>
      <c r="F27" s="26">
        <f t="shared" ref="F27:BQ27" si="16">F26-F24</f>
        <v>689222217.41999996</v>
      </c>
      <c r="G27" s="26">
        <f t="shared" si="16"/>
        <v>-246895431.14000002</v>
      </c>
      <c r="H27" s="26">
        <f t="shared" si="16"/>
        <v>-168999611.81999999</v>
      </c>
      <c r="I27" s="26">
        <f t="shared" si="16"/>
        <v>3669617528.21</v>
      </c>
      <c r="J27" s="26">
        <f t="shared" si="16"/>
        <v>1927294085.23</v>
      </c>
      <c r="K27" s="26">
        <f t="shared" si="16"/>
        <v>1511850225.48</v>
      </c>
      <c r="L27" s="26">
        <f t="shared" si="16"/>
        <v>573548265.89999998</v>
      </c>
      <c r="M27" s="26">
        <f t="shared" si="16"/>
        <v>3448186415.0500002</v>
      </c>
      <c r="N27" s="26">
        <f t="shared" si="16"/>
        <v>2573223119.8099999</v>
      </c>
      <c r="O27" s="26">
        <f t="shared" si="16"/>
        <v>1303333394.1400001</v>
      </c>
      <c r="P27" s="26">
        <f t="shared" si="16"/>
        <v>394282134.54000002</v>
      </c>
      <c r="Q27" s="26">
        <f t="shared" si="16"/>
        <v>1478887435.9199998</v>
      </c>
      <c r="R27" s="26">
        <f t="shared" si="16"/>
        <v>1013018933.4400001</v>
      </c>
      <c r="S27" s="26">
        <f t="shared" si="16"/>
        <v>737379245.75</v>
      </c>
      <c r="T27" s="26">
        <f t="shared" si="16"/>
        <v>271964312.52999997</v>
      </c>
      <c r="U27" s="26">
        <f t="shared" si="16"/>
        <v>707827844.33000004</v>
      </c>
      <c r="V27" s="26">
        <f t="shared" si="16"/>
        <v>924148130.88999999</v>
      </c>
      <c r="W27" s="26">
        <f t="shared" si="16"/>
        <v>839915939.25</v>
      </c>
      <c r="X27" s="26">
        <f t="shared" si="16"/>
        <v>277826039.48000002</v>
      </c>
      <c r="Y27" s="26">
        <f t="shared" si="16"/>
        <v>184321728.13999996</v>
      </c>
      <c r="Z27" s="26">
        <f t="shared" si="16"/>
        <v>646968839.80999994</v>
      </c>
      <c r="AA27" s="26">
        <f t="shared" si="16"/>
        <v>829655215.50999999</v>
      </c>
      <c r="AB27" s="26">
        <f t="shared" si="16"/>
        <v>-1660902.67</v>
      </c>
      <c r="AC27" s="26">
        <f t="shared" si="16"/>
        <v>93854457.059999973</v>
      </c>
      <c r="AD27" s="26">
        <f t="shared" si="16"/>
        <v>759702240.78999996</v>
      </c>
      <c r="AE27" s="26">
        <f t="shared" si="16"/>
        <v>-575596240.26999998</v>
      </c>
      <c r="AF27" s="26">
        <f t="shared" si="16"/>
        <v>-735923388.15999997</v>
      </c>
      <c r="AG27" s="26">
        <f t="shared" si="16"/>
        <v>640349905.01999998</v>
      </c>
      <c r="AH27" s="26">
        <f t="shared" si="16"/>
        <v>981007550.61000001</v>
      </c>
      <c r="AI27" s="26">
        <f t="shared" si="16"/>
        <v>472758325.98000002</v>
      </c>
      <c r="AJ27" s="26">
        <f t="shared" si="16"/>
        <v>-386451128.54000002</v>
      </c>
      <c r="AK27" s="26">
        <f t="shared" si="16"/>
        <v>49235374.020000003</v>
      </c>
      <c r="AL27" s="26">
        <f t="shared" si="16"/>
        <v>364408055.56</v>
      </c>
      <c r="AM27" s="26">
        <f t="shared" si="16"/>
        <v>103869295.3</v>
      </c>
      <c r="AN27" s="26">
        <f t="shared" si="16"/>
        <v>24940968.359999999</v>
      </c>
      <c r="AO27" s="26">
        <f t="shared" si="16"/>
        <v>-134715670.16</v>
      </c>
      <c r="AP27" s="26">
        <f t="shared" si="16"/>
        <v>-352369786</v>
      </c>
      <c r="AQ27" s="26">
        <f t="shared" si="16"/>
        <v>-93384840.189999998</v>
      </c>
      <c r="AR27" s="26">
        <f t="shared" si="16"/>
        <v>-168450941.12</v>
      </c>
      <c r="AS27" s="26">
        <f t="shared" si="16"/>
        <v>244165035.84999999</v>
      </c>
      <c r="AT27" s="26">
        <f t="shared" si="16"/>
        <v>200004712.86000001</v>
      </c>
      <c r="AU27" s="26">
        <f t="shared" si="16"/>
        <v>95451032.409999996</v>
      </c>
      <c r="AV27" s="26">
        <f t="shared" si="16"/>
        <v>5201950.2699999996</v>
      </c>
      <c r="AW27" s="26">
        <f t="shared" si="16"/>
        <v>70854761.410000026</v>
      </c>
      <c r="AX27" s="26">
        <f t="shared" si="16"/>
        <v>-54700699.239999995</v>
      </c>
      <c r="AY27" s="26">
        <f t="shared" si="16"/>
        <v>37598834.249999993</v>
      </c>
      <c r="AZ27" s="26">
        <f t="shared" si="16"/>
        <v>-10033826.799999999</v>
      </c>
      <c r="BA27" s="26">
        <f t="shared" si="16"/>
        <v>-32101012.609999999</v>
      </c>
      <c r="BB27" s="26">
        <f t="shared" si="16"/>
        <v>-278646980.21999997</v>
      </c>
      <c r="BC27" s="26">
        <f t="shared" si="16"/>
        <v>-254376912.83000001</v>
      </c>
      <c r="BD27" s="26">
        <f t="shared" si="16"/>
        <v>-66280751.640000001</v>
      </c>
      <c r="BE27" s="26">
        <f t="shared" si="16"/>
        <v>-274194544.37</v>
      </c>
      <c r="BF27" s="26">
        <f t="shared" si="16"/>
        <v>-320735410.47000003</v>
      </c>
      <c r="BG27" s="26">
        <f t="shared" si="16"/>
        <v>-71853822.530000001</v>
      </c>
      <c r="BH27" s="26">
        <f t="shared" si="16"/>
        <v>-12641826.829999996</v>
      </c>
      <c r="BI27" s="26">
        <f t="shared" si="16"/>
        <v>100664038.08999999</v>
      </c>
      <c r="BJ27" s="26">
        <f t="shared" si="16"/>
        <v>-39297381.339999996</v>
      </c>
      <c r="BK27" s="26">
        <f t="shared" si="16"/>
        <v>74594833.669999987</v>
      </c>
      <c r="BL27" s="26">
        <f t="shared" si="16"/>
        <v>53739026.68</v>
      </c>
      <c r="BM27" s="26">
        <f t="shared" si="16"/>
        <v>-502632098.76000011</v>
      </c>
      <c r="BN27" s="26">
        <f t="shared" si="16"/>
        <v>-2393532.7899999991</v>
      </c>
      <c r="BO27" s="26">
        <f t="shared" si="16"/>
        <v>-54955286.560000002</v>
      </c>
      <c r="BP27" s="26">
        <f t="shared" si="16"/>
        <v>-280692.18000000715</v>
      </c>
      <c r="BQ27" s="26">
        <f t="shared" si="16"/>
        <v>116278075.94000001</v>
      </c>
      <c r="BR27" s="26">
        <f t="shared" ref="BR27:CL27" si="17">BR26-BR24</f>
        <v>116683300</v>
      </c>
      <c r="BS27" s="26">
        <f t="shared" si="17"/>
        <v>142399508.73000002</v>
      </c>
      <c r="BT27" s="26">
        <f t="shared" si="17"/>
        <v>-99977773.189999998</v>
      </c>
      <c r="BU27" s="26">
        <f t="shared" si="17"/>
        <v>-86654931.199999988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-0.50918741028617376</v>
      </c>
      <c r="F28" s="63">
        <f t="shared" ref="F28:BQ28" si="18">(F27-J27)/J27</f>
        <v>-0.64238866154266772</v>
      </c>
      <c r="G28" s="63">
        <f t="shared" si="18"/>
        <v>-1.1633068057793972</v>
      </c>
      <c r="H28" s="63">
        <f t="shared" si="18"/>
        <v>-1.2946563033449494</v>
      </c>
      <c r="I28" s="63">
        <f t="shared" si="18"/>
        <v>6.4216688573894579E-2</v>
      </c>
      <c r="J28" s="63">
        <f t="shared" si="18"/>
        <v>-0.25101944312846591</v>
      </c>
      <c r="K28" s="63">
        <f t="shared" si="18"/>
        <v>0.15998733115987487</v>
      </c>
      <c r="L28" s="63">
        <f t="shared" si="18"/>
        <v>0.45466460601656644</v>
      </c>
      <c r="M28" s="63">
        <f t="shared" si="18"/>
        <v>1.3316084316484309</v>
      </c>
      <c r="N28" s="63">
        <f t="shared" si="18"/>
        <v>1.5401530365003873</v>
      </c>
      <c r="O28" s="63">
        <f t="shared" si="18"/>
        <v>0.76752112519028015</v>
      </c>
      <c r="P28" s="63">
        <f t="shared" si="18"/>
        <v>0.44975688490932925</v>
      </c>
      <c r="Q28" s="63">
        <f t="shared" si="18"/>
        <v>1.0893320992759932</v>
      </c>
      <c r="R28" s="63">
        <f t="shared" si="18"/>
        <v>9.616510554905644E-2</v>
      </c>
      <c r="S28" s="63">
        <f t="shared" si="18"/>
        <v>-0.1220797090617899</v>
      </c>
      <c r="T28" s="63">
        <f t="shared" si="18"/>
        <v>-2.1098551312797368E-2</v>
      </c>
      <c r="U28" s="63">
        <f t="shared" si="18"/>
        <v>2.8401758244821553</v>
      </c>
      <c r="V28" s="63">
        <f t="shared" si="18"/>
        <v>0.42842757490670075</v>
      </c>
      <c r="W28" s="63">
        <f t="shared" si="18"/>
        <v>1.236745523704399E-2</v>
      </c>
      <c r="X28" s="63">
        <f t="shared" si="18"/>
        <v>-168.27412418453156</v>
      </c>
      <c r="Y28" s="63">
        <f t="shared" si="18"/>
        <v>0.96391022774939072</v>
      </c>
      <c r="Z28" s="63">
        <f t="shared" si="18"/>
        <v>-0.14839156043921983</v>
      </c>
      <c r="AA28" s="63">
        <f t="shared" si="18"/>
        <v>-2.4413840075133679</v>
      </c>
      <c r="AB28" s="63">
        <f t="shared" si="18"/>
        <v>-0.99774310383835929</v>
      </c>
      <c r="AC28" s="63">
        <f t="shared" si="18"/>
        <v>-0.85343254317017725</v>
      </c>
      <c r="AD28" s="63">
        <f t="shared" si="18"/>
        <v>-0.22558981292487532</v>
      </c>
      <c r="AE28" s="63">
        <f t="shared" si="18"/>
        <v>-2.2175274524818214</v>
      </c>
      <c r="AF28" s="63">
        <f t="shared" si="18"/>
        <v>0.90431165498285626</v>
      </c>
      <c r="AG28" s="63">
        <f t="shared" si="18"/>
        <v>12.005890942554476</v>
      </c>
      <c r="AH28" s="63">
        <f t="shared" si="18"/>
        <v>1.6920578061932456</v>
      </c>
      <c r="AI28" s="63">
        <f t="shared" si="18"/>
        <v>3.5514733166770607</v>
      </c>
      <c r="AJ28" s="63">
        <f t="shared" si="18"/>
        <v>-16.494632083323008</v>
      </c>
      <c r="AK28" s="63">
        <f t="shared" si="18"/>
        <v>-1.3654762208548108</v>
      </c>
      <c r="AL28" s="63">
        <f t="shared" si="18"/>
        <v>-2.0341637394529619</v>
      </c>
      <c r="AM28" s="63">
        <f t="shared" si="18"/>
        <v>-2.1122714895551402</v>
      </c>
      <c r="AN28" s="63">
        <f t="shared" si="18"/>
        <v>-1.1480607243519805</v>
      </c>
      <c r="AO28" s="63">
        <f t="shared" si="18"/>
        <v>-1.5517402182135571</v>
      </c>
      <c r="AP28" s="63">
        <f t="shared" si="18"/>
        <v>-2.7618074142415483</v>
      </c>
      <c r="AQ28" s="63">
        <f t="shared" si="18"/>
        <v>-1.9783533800752946</v>
      </c>
      <c r="AR28" s="63">
        <f t="shared" si="18"/>
        <v>-33.382266722438317</v>
      </c>
      <c r="AS28" s="63">
        <f t="shared" si="18"/>
        <v>2.445993338925279</v>
      </c>
      <c r="AT28" s="63">
        <f t="shared" si="18"/>
        <v>-4.6563465483773232</v>
      </c>
      <c r="AU28" s="63">
        <f t="shared" si="18"/>
        <v>1.5386699963975616</v>
      </c>
      <c r="AV28" s="63">
        <f t="shared" si="18"/>
        <v>-1.5184413059631445</v>
      </c>
      <c r="AW28" s="63">
        <f t="shared" si="18"/>
        <v>-3.2072438109920429</v>
      </c>
      <c r="AX28" s="63">
        <f t="shared" si="18"/>
        <v>-0.80369175651280267</v>
      </c>
      <c r="AY28" s="63">
        <f t="shared" si="18"/>
        <v>-1.1478075735400062</v>
      </c>
      <c r="AZ28" s="63">
        <f t="shared" si="18"/>
        <v>-0.84861627921031835</v>
      </c>
      <c r="BA28" s="63">
        <f t="shared" si="18"/>
        <v>-0.88292614397650926</v>
      </c>
      <c r="BB28" s="63">
        <f t="shared" si="18"/>
        <v>-0.13122476931475827</v>
      </c>
      <c r="BC28" s="63">
        <f t="shared" si="18"/>
        <v>2.5402001434759298</v>
      </c>
      <c r="BD28" s="63">
        <f t="shared" si="18"/>
        <v>4.2429725965483751</v>
      </c>
      <c r="BE28" s="63">
        <f t="shared" si="18"/>
        <v>-3.7238579891346379</v>
      </c>
      <c r="BF28" s="63">
        <f t="shared" si="18"/>
        <v>7.1617502116745388</v>
      </c>
      <c r="BG28" s="63">
        <f t="shared" si="18"/>
        <v>-1.9632546785729701</v>
      </c>
      <c r="BH28" s="63">
        <f t="shared" si="18"/>
        <v>-1.2352448045864011</v>
      </c>
      <c r="BI28" s="63">
        <f t="shared" si="18"/>
        <v>-1.2002737953631284</v>
      </c>
      <c r="BJ28" s="63">
        <f t="shared" si="18"/>
        <v>15.41815040269409</v>
      </c>
      <c r="BK28" s="63">
        <f t="shared" si="18"/>
        <v>-2.3573732090097939</v>
      </c>
      <c r="BL28" s="63">
        <f t="shared" si="18"/>
        <v>-192.45181272951257</v>
      </c>
      <c r="BM28" s="63">
        <f t="shared" si="18"/>
        <v>-5.3226729948589835</v>
      </c>
      <c r="BN28" s="63">
        <f t="shared" si="18"/>
        <v>-1.0205130707650538</v>
      </c>
      <c r="BO28" s="63">
        <f t="shared" si="18"/>
        <v>-1.3859232875880161</v>
      </c>
      <c r="BP28" s="63">
        <f t="shared" si="18"/>
        <v>-0.9971924541721231</v>
      </c>
      <c r="BQ28" s="63">
        <f t="shared" si="18"/>
        <v>-2.3418518061208733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738</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0.20537386433678773</v>
      </c>
      <c r="F31" s="112"/>
      <c r="G31" s="112"/>
      <c r="H31" s="112"/>
      <c r="I31" s="112">
        <f>POWER(E27/Y27,1/6)-1</f>
        <v>0.46215470816084858</v>
      </c>
      <c r="M31" s="112">
        <f>POWER(E27/AC27,1/7)-1</f>
        <v>0.52509666217626272</v>
      </c>
      <c r="Q31" s="115" t="s">
        <v>604</v>
      </c>
      <c r="R31" s="115"/>
      <c r="S31" s="115"/>
      <c r="T31" s="115"/>
      <c r="U31" s="115">
        <f>POWER(E14/U14,1/5)-1</f>
        <v>0.17373241501116898</v>
      </c>
      <c r="V31" s="115"/>
      <c r="W31" s="115"/>
      <c r="X31" s="115"/>
      <c r="Y31" s="115">
        <f>POWER(E14/Y14,1/6)-1</f>
        <v>0.34221035942165501</v>
      </c>
      <c r="Z31" s="115"/>
      <c r="AA31" s="115"/>
      <c r="AB31" s="115"/>
      <c r="AC31" s="115">
        <f>POWER(E14/AC14,1/7)-1</f>
        <v>0.35326042959999215</v>
      </c>
    </row>
    <row r="32" spans="1:90" s="66" customFormat="1" x14ac:dyDescent="0.25">
      <c r="A32" s="46" t="s">
        <v>513</v>
      </c>
      <c r="E32" s="66">
        <v>0.17</v>
      </c>
    </row>
    <row r="39" spans="1:13" ht="43.2" x14ac:dyDescent="0.25">
      <c r="A39" s="67" t="s">
        <v>514</v>
      </c>
    </row>
    <row r="41" spans="1:13" ht="111" customHeight="1" x14ac:dyDescent="0.25">
      <c r="A41" s="276" t="s">
        <v>737</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4" sqref="B4"/>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8" width="19.33203125" bestFit="1" customWidth="1"/>
    <col min="9" max="9" width="20.44140625" bestFit="1" customWidth="1"/>
    <col min="10" max="11" width="19.33203125" bestFit="1" customWidth="1"/>
    <col min="12" max="12" width="40.21875" bestFit="1" customWidth="1"/>
    <col min="13" max="13" width="19.33203125" bestFit="1" customWidth="1"/>
    <col min="14" max="19" width="20.44140625" bestFit="1" customWidth="1"/>
    <col min="20" max="74" width="9.44140625" bestFit="1" customWidth="1"/>
  </cols>
  <sheetData>
    <row r="1" spans="1:10" ht="16.2" customHeight="1" x14ac:dyDescent="0.25">
      <c r="A1" s="68" t="s">
        <v>515</v>
      </c>
      <c r="B1" s="69">
        <f>自由现金流分析表!E1</f>
        <v>43100</v>
      </c>
      <c r="D1" s="261"/>
      <c r="E1" s="262"/>
    </row>
    <row r="2" spans="1:10" x14ac:dyDescent="0.25">
      <c r="A2" s="70" t="s">
        <v>516</v>
      </c>
      <c r="B2" s="71">
        <f>(自由现金流分析表!E27+自由现金流分析表!I27+自由现金流分析表!M27)/3</f>
        <v>2972966141.8466668</v>
      </c>
      <c r="C2" t="s">
        <v>549</v>
      </c>
      <c r="D2" s="63"/>
      <c r="E2" s="63"/>
      <c r="F2" s="56"/>
    </row>
    <row r="3" spans="1:10" s="63" customFormat="1" x14ac:dyDescent="0.25">
      <c r="A3" s="72" t="s">
        <v>517</v>
      </c>
      <c r="B3" s="98">
        <v>0.05</v>
      </c>
      <c r="D3" s="189"/>
      <c r="E3" s="189"/>
      <c r="F3" s="259"/>
    </row>
    <row r="4" spans="1:10" s="63" customFormat="1" x14ac:dyDescent="0.25">
      <c r="A4" s="72" t="s">
        <v>518</v>
      </c>
      <c r="B4" s="98">
        <f>(平均资本成本表!E13)/1</f>
        <v>0.18746822405323726</v>
      </c>
      <c r="D4" s="189"/>
      <c r="E4" s="189"/>
      <c r="F4" s="260"/>
    </row>
    <row r="5" spans="1:10" x14ac:dyDescent="0.25">
      <c r="A5" s="70" t="s">
        <v>519</v>
      </c>
      <c r="B5" s="71">
        <f>B2*(1+B3)/(B4-B3)</f>
        <v>22707898282.952236</v>
      </c>
      <c r="D5" s="63"/>
      <c r="E5" s="63"/>
    </row>
    <row r="6" spans="1:10" x14ac:dyDescent="0.25">
      <c r="A6" s="70" t="s">
        <v>520</v>
      </c>
      <c r="B6" s="71">
        <f>资产资本表!E17</f>
        <v>1716374487.0599999</v>
      </c>
      <c r="D6" s="189"/>
      <c r="E6" s="189"/>
      <c r="F6" s="189"/>
      <c r="G6" s="189"/>
    </row>
    <row r="7" spans="1:10" x14ac:dyDescent="0.25">
      <c r="A7" s="70" t="s">
        <v>521</v>
      </c>
      <c r="B7" s="71">
        <f>资产资本表!E19</f>
        <v>0</v>
      </c>
      <c r="D7" s="189"/>
      <c r="E7" s="189"/>
      <c r="F7" s="189"/>
      <c r="G7" s="189"/>
    </row>
    <row r="8" spans="1:10" x14ac:dyDescent="0.25">
      <c r="A8" s="70" t="s">
        <v>522</v>
      </c>
      <c r="B8" s="71">
        <f>资产资本表!E89</f>
        <v>81393672.340000004</v>
      </c>
      <c r="D8" s="63"/>
      <c r="E8" s="63"/>
      <c r="F8" s="189"/>
      <c r="G8" s="189"/>
    </row>
    <row r="9" spans="1:10" x14ac:dyDescent="0.25">
      <c r="A9" s="70" t="s">
        <v>523</v>
      </c>
      <c r="B9" s="71">
        <f>B5+B6+B7-B8</f>
        <v>24342879097.672237</v>
      </c>
      <c r="D9" s="189"/>
      <c r="E9" s="189"/>
      <c r="F9" s="189"/>
      <c r="G9" s="189"/>
    </row>
    <row r="10" spans="1:10" x14ac:dyDescent="0.25">
      <c r="A10" s="70" t="s">
        <v>524</v>
      </c>
      <c r="B10" s="73">
        <f>资产资本表!E103/资产资本表!E107</f>
        <v>0.14251213696700238</v>
      </c>
      <c r="D10" s="189"/>
      <c r="E10" s="189"/>
      <c r="F10" s="189"/>
      <c r="G10" s="189"/>
    </row>
    <row r="11" spans="1:10" x14ac:dyDescent="0.25">
      <c r="A11" s="70" t="s">
        <v>550</v>
      </c>
      <c r="B11" s="196">
        <f>B9*(1-B10)</f>
        <v>20873723377.533592</v>
      </c>
      <c r="C11" s="269" t="s">
        <v>746</v>
      </c>
      <c r="D11" s="270">
        <f>资产资本结构分析表!E2</f>
        <v>1716374487.0599999</v>
      </c>
      <c r="E11" s="63"/>
      <c r="F11" s="189"/>
      <c r="G11" s="189"/>
    </row>
    <row r="12" spans="1:10" x14ac:dyDescent="0.25">
      <c r="A12" s="70" t="s">
        <v>525</v>
      </c>
      <c r="B12" s="268">
        <f>B55</f>
        <v>632487764</v>
      </c>
      <c r="C12" s="269" t="s">
        <v>747</v>
      </c>
      <c r="D12" s="271">
        <f>D11/B55</f>
        <v>2.7136880501928569</v>
      </c>
      <c r="E12" s="189"/>
      <c r="F12" s="189"/>
      <c r="G12" s="189"/>
    </row>
    <row r="13" spans="1:10" ht="15" thickBot="1" x14ac:dyDescent="0.3">
      <c r="A13" s="74" t="s">
        <v>526</v>
      </c>
      <c r="B13" s="75">
        <f>B11/B12</f>
        <v>33.002572643497956</v>
      </c>
      <c r="D13" s="189"/>
      <c r="E13" s="189"/>
    </row>
    <row r="14" spans="1:10" s="16" customFormat="1" ht="53.25" customHeight="1" x14ac:dyDescent="0.25">
      <c r="A14" s="276" t="s">
        <v>739</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0.04</v>
      </c>
      <c r="J17" s="78"/>
    </row>
    <row r="18" spans="1:10" s="2" customFormat="1" x14ac:dyDescent="0.25">
      <c r="A18" s="297" t="s">
        <v>527</v>
      </c>
      <c r="B18" s="297"/>
      <c r="C18" s="65" t="s">
        <v>541</v>
      </c>
      <c r="D18" s="97">
        <v>1</v>
      </c>
      <c r="E18" s="97">
        <v>2</v>
      </c>
      <c r="F18" s="97">
        <v>3</v>
      </c>
      <c r="G18" s="97">
        <v>4</v>
      </c>
      <c r="H18" s="97">
        <v>5</v>
      </c>
      <c r="I18" s="96">
        <v>6</v>
      </c>
      <c r="J18" s="80"/>
    </row>
    <row r="19" spans="1:10" s="26" customFormat="1" x14ac:dyDescent="0.25">
      <c r="A19" s="99" t="s">
        <v>528</v>
      </c>
      <c r="B19" s="94"/>
      <c r="C19" s="89">
        <f>B2</f>
        <v>2972966141.8466668</v>
      </c>
      <c r="D19" s="89">
        <f>C19*(1+$D$17)</f>
        <v>3418911063.1236668</v>
      </c>
      <c r="E19" s="89">
        <f>D19*(1+$D$17)</f>
        <v>3931747722.5922165</v>
      </c>
      <c r="F19" s="89">
        <f>E19*(1+$D$17)</f>
        <v>4521509880.9810486</v>
      </c>
      <c r="G19" s="89">
        <f>F19*(1+$D$17)</f>
        <v>5199736363.1282053</v>
      </c>
      <c r="H19" s="89">
        <f>G19*(1+$D$17)</f>
        <v>5979696817.597436</v>
      </c>
      <c r="I19" s="89">
        <f>H19*(1+I17)</f>
        <v>6218884690.3013334</v>
      </c>
      <c r="J19" s="76"/>
    </row>
    <row r="20" spans="1:10" s="26" customFormat="1" x14ac:dyDescent="0.25">
      <c r="A20" s="99" t="s">
        <v>529</v>
      </c>
      <c r="B20" s="95">
        <f>B4</f>
        <v>0.18746822405323726</v>
      </c>
      <c r="C20" s="89"/>
      <c r="D20" s="89">
        <f t="shared" ref="D20:I20" si="0">(1+$B$20)^D18</f>
        <v>1.1874682240532373</v>
      </c>
      <c r="E20" s="89">
        <f t="shared" si="0"/>
        <v>1.4100807831361493</v>
      </c>
      <c r="F20" s="89">
        <f t="shared" si="0"/>
        <v>1.6744261233222812</v>
      </c>
      <c r="G20" s="89">
        <f t="shared" si="0"/>
        <v>1.988327814969856</v>
      </c>
      <c r="H20" s="89">
        <f t="shared" si="0"/>
        <v>2.3610760992779087</v>
      </c>
      <c r="I20" s="89">
        <f t="shared" si="0"/>
        <v>2.8037028424640829</v>
      </c>
      <c r="J20" s="76"/>
    </row>
    <row r="21" spans="1:10" s="26" customFormat="1" x14ac:dyDescent="0.25">
      <c r="A21" s="298" t="s">
        <v>530</v>
      </c>
      <c r="B21" s="298"/>
      <c r="C21" s="89"/>
      <c r="D21" s="89">
        <f>D19/D20</f>
        <v>2879160043.0820355</v>
      </c>
      <c r="E21" s="89">
        <f>E19/E20</f>
        <v>2788313811.2467914</v>
      </c>
      <c r="F21" s="89">
        <f>F19/F20</f>
        <v>2700334053.5620522</v>
      </c>
      <c r="G21" s="89">
        <f>G19/G20</f>
        <v>2615130324.0743709</v>
      </c>
      <c r="H21" s="89">
        <f>H19/H20</f>
        <v>2532615030.6744518</v>
      </c>
      <c r="I21" s="89">
        <f>I19/((B20-I17)*I20)</f>
        <v>15041185668.11495</v>
      </c>
      <c r="J21" s="76"/>
    </row>
    <row r="22" spans="1:10" s="26" customFormat="1" x14ac:dyDescent="0.25">
      <c r="A22" s="298" t="s">
        <v>548</v>
      </c>
      <c r="B22" s="298"/>
      <c r="C22" s="89"/>
      <c r="D22" s="294">
        <f>SUM(D21:H21)</f>
        <v>13515553262.639702</v>
      </c>
      <c r="E22" s="295"/>
      <c r="F22" s="295"/>
      <c r="G22" s="295"/>
      <c r="H22" s="296"/>
      <c r="I22" s="89">
        <f>I21</f>
        <v>15041185668.11495</v>
      </c>
      <c r="J22" s="76"/>
    </row>
    <row r="23" spans="1:10" x14ac:dyDescent="0.25">
      <c r="A23" s="92" t="s">
        <v>531</v>
      </c>
      <c r="B23" s="76">
        <f>D22+I22</f>
        <v>28556738930.754654</v>
      </c>
      <c r="C23" s="77"/>
      <c r="D23" s="77"/>
      <c r="E23" s="77"/>
      <c r="F23" s="77"/>
      <c r="G23" s="77"/>
      <c r="H23" s="77"/>
      <c r="I23" s="79"/>
      <c r="J23" s="77"/>
    </row>
    <row r="24" spans="1:10" x14ac:dyDescent="0.25">
      <c r="A24" s="92" t="s">
        <v>532</v>
      </c>
      <c r="B24" s="76">
        <f>B23</f>
        <v>28556738930.754654</v>
      </c>
      <c r="C24" s="77"/>
      <c r="D24" s="77"/>
      <c r="E24" s="77"/>
      <c r="F24" s="77"/>
      <c r="G24" s="77"/>
      <c r="H24" s="77"/>
      <c r="I24" s="79"/>
      <c r="J24" s="77"/>
    </row>
    <row r="25" spans="1:10" x14ac:dyDescent="0.25">
      <c r="A25" s="70" t="s">
        <v>533</v>
      </c>
      <c r="B25" s="71">
        <f>资产资本表!E17</f>
        <v>1716374487.0599999</v>
      </c>
      <c r="C25" s="77"/>
      <c r="D25" s="77"/>
      <c r="E25" s="77"/>
      <c r="F25" s="77"/>
      <c r="G25" s="77"/>
      <c r="H25" s="77"/>
      <c r="I25" s="79"/>
      <c r="J25" s="77"/>
    </row>
    <row r="26" spans="1:10" x14ac:dyDescent="0.25">
      <c r="A26" s="70" t="s">
        <v>534</v>
      </c>
      <c r="B26" s="71">
        <f>资产资本表!E19</f>
        <v>0</v>
      </c>
      <c r="C26" s="77"/>
      <c r="D26" s="77"/>
      <c r="E26" s="77"/>
      <c r="F26" s="77"/>
      <c r="G26" s="77"/>
      <c r="H26" s="77"/>
      <c r="I26" s="79"/>
      <c r="J26" s="77"/>
    </row>
    <row r="27" spans="1:10" x14ac:dyDescent="0.25">
      <c r="A27" s="70" t="s">
        <v>535</v>
      </c>
      <c r="B27" s="71">
        <f>资产资本表!E89</f>
        <v>81393672.340000004</v>
      </c>
      <c r="C27" s="77"/>
      <c r="D27" s="77"/>
      <c r="E27" s="77"/>
      <c r="F27" s="77"/>
      <c r="G27" s="77"/>
      <c r="H27" s="77"/>
      <c r="I27" s="79"/>
      <c r="J27" s="77"/>
    </row>
    <row r="28" spans="1:10" s="2" customFormat="1" x14ac:dyDescent="0.25">
      <c r="A28" s="82" t="s">
        <v>536</v>
      </c>
      <c r="B28" s="83">
        <f>B24+B25+B26-B27</f>
        <v>30191719745.474655</v>
      </c>
      <c r="C28" s="80"/>
      <c r="D28" s="80"/>
      <c r="E28" s="80"/>
      <c r="F28" s="80"/>
      <c r="G28" s="80"/>
      <c r="H28" s="80"/>
      <c r="I28" s="81"/>
      <c r="J28" s="80"/>
    </row>
    <row r="29" spans="1:10" x14ac:dyDescent="0.25">
      <c r="A29" s="70" t="s">
        <v>537</v>
      </c>
      <c r="B29" s="78">
        <f>资产资本表!E103/资产资本表!E107</f>
        <v>0.14251213696700238</v>
      </c>
      <c r="C29" s="299" t="s">
        <v>544</v>
      </c>
      <c r="D29" s="299"/>
      <c r="E29" s="299"/>
      <c r="F29" s="77"/>
      <c r="G29" s="77"/>
      <c r="H29" s="77"/>
      <c r="I29" s="79"/>
      <c r="J29" s="77"/>
    </row>
    <row r="30" spans="1:10" s="2" customFormat="1" x14ac:dyDescent="0.25">
      <c r="A30" s="82" t="s">
        <v>538</v>
      </c>
      <c r="B30" s="83">
        <f>B28*(1-B29)</f>
        <v>25889033245.838223</v>
      </c>
      <c r="C30" s="91">
        <v>0.4</v>
      </c>
      <c r="D30" s="91">
        <v>0.3</v>
      </c>
      <c r="E30" s="91">
        <v>0.2</v>
      </c>
      <c r="F30" s="80"/>
      <c r="G30" s="80"/>
      <c r="H30" s="80"/>
      <c r="I30" s="81"/>
      <c r="J30" s="80"/>
    </row>
    <row r="31" spans="1:10" x14ac:dyDescent="0.25">
      <c r="A31" s="70" t="s">
        <v>748</v>
      </c>
      <c r="B31" s="101">
        <f>B55</f>
        <v>632487764</v>
      </c>
      <c r="C31" s="214">
        <f>$B$32*(1-C30)</f>
        <v>24.559241825116057</v>
      </c>
      <c r="D31" s="214">
        <f>$B$32*(1-D30)</f>
        <v>28.652448795968731</v>
      </c>
      <c r="E31" s="214">
        <f>$B$32*(1-E30)</f>
        <v>32.745655766821407</v>
      </c>
      <c r="F31" s="77"/>
      <c r="G31" s="77"/>
      <c r="H31" s="77"/>
      <c r="I31" s="79"/>
      <c r="J31" s="77"/>
    </row>
    <row r="32" spans="1:10" s="2" customFormat="1" ht="15" thickBot="1" x14ac:dyDescent="0.3">
      <c r="A32" s="84" t="s">
        <v>539</v>
      </c>
      <c r="B32" s="85">
        <f>B30/B31</f>
        <v>40.932069708526761</v>
      </c>
      <c r="C32" s="86"/>
      <c r="D32" s="86"/>
      <c r="E32" s="86"/>
      <c r="F32" s="86"/>
      <c r="G32" s="86"/>
      <c r="H32" s="86"/>
      <c r="I32" s="87"/>
      <c r="J32" s="80"/>
    </row>
    <row r="33" spans="1:19" ht="63" customHeight="1" x14ac:dyDescent="0.25">
      <c r="A33" s="300" t="s">
        <v>740</v>
      </c>
      <c r="B33" s="301"/>
      <c r="C33" s="301"/>
      <c r="D33" s="301"/>
      <c r="E33" s="301"/>
      <c r="F33" s="301"/>
      <c r="G33" s="301"/>
      <c r="H33" s="301"/>
      <c r="I33" s="301"/>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08" t="s">
        <v>545</v>
      </c>
      <c r="B38" s="309"/>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528</v>
      </c>
      <c r="B39" s="94"/>
      <c r="C39" s="89">
        <f>B2</f>
        <v>2972966141.8466668</v>
      </c>
      <c r="D39" s="89">
        <f>$C$39*(1+$D$37)^D38</f>
        <v>3418911063.1236668</v>
      </c>
      <c r="E39" s="89">
        <f>$C$39*(1+$D$37)^E38</f>
        <v>3931747722.592216</v>
      </c>
      <c r="F39" s="89">
        <f>$C$39*(1+$D$37)^F38</f>
        <v>4521509880.9810476</v>
      </c>
      <c r="G39" s="89">
        <f>$C$39*(1+$D$37)^G38</f>
        <v>5199736363.1282053</v>
      </c>
      <c r="H39" s="89">
        <f>$C$39*(1+$D$37)^H38</f>
        <v>5979696817.597436</v>
      </c>
      <c r="I39" s="89">
        <f>H39*(1+$I$37)</f>
        <v>6517869531.1812057</v>
      </c>
      <c r="J39" s="89">
        <f t="shared" ref="J39:N39" si="1">I39*(1+$I$37)</f>
        <v>7104477788.9875145</v>
      </c>
      <c r="K39" s="89">
        <f t="shared" si="1"/>
        <v>7743880789.9963913</v>
      </c>
      <c r="L39" s="89">
        <f t="shared" si="1"/>
        <v>8440830061.0960674</v>
      </c>
      <c r="M39" s="89">
        <f t="shared" si="1"/>
        <v>9200504766.5947151</v>
      </c>
      <c r="N39" s="89">
        <f t="shared" si="1"/>
        <v>10028550195.58824</v>
      </c>
      <c r="O39" s="89">
        <f t="shared" ref="O39" si="2">N39*(1+$I$37)</f>
        <v>10931119713.191181</v>
      </c>
      <c r="P39" s="89">
        <f t="shared" ref="P39" si="3">O39*(1+$I$37)</f>
        <v>11914920487.378387</v>
      </c>
      <c r="Q39" s="89">
        <f t="shared" ref="Q39" si="4">P39*(1+$I$37)</f>
        <v>12987263331.242443</v>
      </c>
      <c r="R39" s="89">
        <f t="shared" ref="R39" si="5">Q39*(1+$I$37)</f>
        <v>14156117031.054264</v>
      </c>
      <c r="S39" s="89">
        <f>R39*(1+S37)</f>
        <v>14439239371.67535</v>
      </c>
    </row>
    <row r="40" spans="1:19" s="23" customFormat="1" x14ac:dyDescent="0.25">
      <c r="A40" s="209" t="s">
        <v>529</v>
      </c>
      <c r="B40" s="208">
        <f>B4</f>
        <v>0.18746822405323726</v>
      </c>
      <c r="C40" s="214"/>
      <c r="D40" s="214">
        <f>(1+$B$40)^D38</f>
        <v>1.1874682240532373</v>
      </c>
      <c r="E40" s="214">
        <f t="shared" ref="E40:R40" si="6">(1+$B$40)^E38</f>
        <v>1.4100807831361493</v>
      </c>
      <c r="F40" s="214">
        <f t="shared" si="6"/>
        <v>1.6744261233222812</v>
      </c>
      <c r="G40" s="214">
        <f t="shared" si="6"/>
        <v>1.988327814969856</v>
      </c>
      <c r="H40" s="214">
        <f t="shared" si="6"/>
        <v>2.3610760992779087</v>
      </c>
      <c r="I40" s="214">
        <f t="shared" si="6"/>
        <v>2.8037028424640829</v>
      </c>
      <c r="J40" s="214">
        <f t="shared" si="6"/>
        <v>3.3293080351138382</v>
      </c>
      <c r="K40" s="214">
        <f t="shared" si="6"/>
        <v>3.953447499782802</v>
      </c>
      <c r="L40" s="214">
        <f t="shared" si="6"/>
        <v>4.6945932814547948</v>
      </c>
      <c r="M40" s="214">
        <f t="shared" si="6"/>
        <v>5.5746803465813848</v>
      </c>
      <c r="N40" s="214">
        <f t="shared" si="6"/>
        <v>6.6197557708194825</v>
      </c>
      <c r="O40" s="214">
        <f t="shared" si="6"/>
        <v>7.8607496288411784</v>
      </c>
      <c r="P40" s="214">
        <f t="shared" si="6"/>
        <v>9.3343904014871786</v>
      </c>
      <c r="Q40" s="214">
        <f t="shared" si="6"/>
        <v>11.084291992673563</v>
      </c>
      <c r="R40" s="214">
        <f t="shared" si="6"/>
        <v>13.162244527427596</v>
      </c>
      <c r="S40" s="182">
        <f>(1+$B$40)^S38</f>
        <v>15.629747133538888</v>
      </c>
    </row>
    <row r="41" spans="1:19" s="192" customFormat="1" x14ac:dyDescent="0.25">
      <c r="A41" s="310" t="s">
        <v>530</v>
      </c>
      <c r="B41" s="311"/>
      <c r="C41" s="89"/>
      <c r="D41" s="89">
        <f t="shared" ref="D41:R41" si="7">D39/D40</f>
        <v>2879160043.0820355</v>
      </c>
      <c r="E41" s="89">
        <f t="shared" si="7"/>
        <v>2788313811.2467909</v>
      </c>
      <c r="F41" s="89">
        <f t="shared" si="7"/>
        <v>2700334053.5620518</v>
      </c>
      <c r="G41" s="89">
        <f t="shared" si="7"/>
        <v>2615130324.0743709</v>
      </c>
      <c r="H41" s="89">
        <f t="shared" si="7"/>
        <v>2532615030.6744518</v>
      </c>
      <c r="I41" s="89">
        <f t="shared" si="7"/>
        <v>2324736214.0036435</v>
      </c>
      <c r="J41" s="89">
        <f t="shared" si="7"/>
        <v>2133920236.2945647</v>
      </c>
      <c r="K41" s="89">
        <f t="shared" si="7"/>
        <v>1958766567.7669506</v>
      </c>
      <c r="L41" s="89">
        <f t="shared" si="7"/>
        <v>1797989635.1064434</v>
      </c>
      <c r="M41" s="89">
        <f t="shared" si="7"/>
        <v>1650409385.7573071</v>
      </c>
      <c r="N41" s="89">
        <f t="shared" si="7"/>
        <v>1514942626.7046058</v>
      </c>
      <c r="O41" s="89">
        <f t="shared" si="7"/>
        <v>1390595074.1752136</v>
      </c>
      <c r="P41" s="89">
        <f t="shared" si="7"/>
        <v>1276454055.9049332</v>
      </c>
      <c r="Q41" s="89">
        <f t="shared" si="7"/>
        <v>1171681812.4086497</v>
      </c>
      <c r="R41" s="89">
        <f t="shared" si="7"/>
        <v>1075509348.0869184</v>
      </c>
      <c r="S41" s="89">
        <f>S39/((B40-S37)*S40)</f>
        <v>5516453344.9492636</v>
      </c>
    </row>
    <row r="42" spans="1:19" s="23" customFormat="1" x14ac:dyDescent="0.25">
      <c r="A42" s="312" t="s">
        <v>548</v>
      </c>
      <c r="B42" s="313"/>
      <c r="C42" s="214"/>
      <c r="D42" s="305">
        <f>SUM(D41:H41)</f>
        <v>13515553262.639702</v>
      </c>
      <c r="E42" s="306"/>
      <c r="F42" s="306"/>
      <c r="G42" s="306"/>
      <c r="H42" s="307"/>
      <c r="I42" s="305">
        <f>SUM(I41:R41)</f>
        <v>16295004956.209229</v>
      </c>
      <c r="J42" s="306"/>
      <c r="K42" s="306"/>
      <c r="L42" s="306"/>
      <c r="M42" s="306"/>
      <c r="N42" s="306"/>
      <c r="O42" s="306"/>
      <c r="P42" s="306"/>
      <c r="Q42" s="306"/>
      <c r="R42" s="307"/>
      <c r="S42" s="214">
        <f>S41</f>
        <v>5516453344.9492636</v>
      </c>
    </row>
    <row r="43" spans="1:19" x14ac:dyDescent="0.25">
      <c r="A43" s="205" t="s">
        <v>546</v>
      </c>
      <c r="B43" s="196">
        <f>D42+I42+S42</f>
        <v>35327011563.798195</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35327011563.798195</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1716374487.0599999</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0</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81393672.340000004</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36961992378.518196</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0.14251213696700238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31694459858.097511</v>
      </c>
      <c r="C50" s="302" t="s">
        <v>544</v>
      </c>
      <c r="D50" s="303"/>
      <c r="E50" s="304"/>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50.110787373425794</v>
      </c>
      <c r="C52" s="207">
        <f>$B$52*(1-C51)</f>
        <v>30.066472424055476</v>
      </c>
      <c r="D52" s="207">
        <f>$B$52*(1-D51)</f>
        <v>35.077551161398056</v>
      </c>
      <c r="E52" s="207">
        <f>$B$52*(1-E51)</f>
        <v>40.088629898740635</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418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551</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2" t="s">
        <v>741</v>
      </c>
      <c r="B57" s="293"/>
      <c r="C57" s="293"/>
      <c r="D57" s="293"/>
      <c r="E57" s="293"/>
      <c r="F57" s="293"/>
      <c r="G57" s="293"/>
      <c r="H57" s="293"/>
      <c r="I57" s="293"/>
    </row>
    <row r="60" spans="1:74" s="155" customFormat="1" ht="51" customHeight="1" x14ac:dyDescent="0.25">
      <c r="A60" s="290" t="s">
        <v>609</v>
      </c>
      <c r="B60" s="291"/>
      <c r="C60" s="291"/>
      <c r="D60" s="291"/>
      <c r="E60" s="291"/>
      <c r="F60" s="291"/>
      <c r="G60" s="291"/>
      <c r="H60" s="291"/>
      <c r="I60" s="291"/>
    </row>
    <row r="63" spans="1:74" s="4" customFormat="1" x14ac:dyDescent="0.25">
      <c r="A63" s="177" t="s">
        <v>611</v>
      </c>
      <c r="B63" s="176"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8">
        <f>股权价值增加表!M1</f>
        <v>42369</v>
      </c>
      <c r="B64" s="166">
        <v>42366</v>
      </c>
      <c r="C64" s="165">
        <v>17.39</v>
      </c>
      <c r="D64" s="165">
        <v>3.4</v>
      </c>
      <c r="E64" s="167">
        <f>股权价值增加表!M42/100000000</f>
        <v>11.3734668143</v>
      </c>
      <c r="F64" s="167">
        <v>0</v>
      </c>
      <c r="G64" s="165">
        <v>16.47</v>
      </c>
      <c r="H64" s="167">
        <f>G64*D64</f>
        <v>55.997999999999998</v>
      </c>
      <c r="I64" s="167">
        <f>C64*D64</f>
        <v>59.125999999999998</v>
      </c>
      <c r="J64" s="167">
        <f>H64/E64</f>
        <v>4.9235647243101832</v>
      </c>
      <c r="K64" s="167">
        <f>I64/E64</f>
        <v>5.198590804842385</v>
      </c>
      <c r="L64" s="263">
        <v>0</v>
      </c>
    </row>
    <row r="65" spans="1:12" s="26" customFormat="1" x14ac:dyDescent="0.25">
      <c r="A65" s="178">
        <f>股权价值增加表!I1</f>
        <v>42735</v>
      </c>
      <c r="B65" s="166">
        <v>42543</v>
      </c>
      <c r="C65" s="165">
        <v>23.13</v>
      </c>
      <c r="D65" s="165">
        <v>3.64</v>
      </c>
      <c r="E65" s="167">
        <f>股权价值增加表!I42/100000000</f>
        <v>14.294882139299999</v>
      </c>
      <c r="F65" s="167">
        <f>(E65-E64)/E64*100</f>
        <v>25.686234221274262</v>
      </c>
      <c r="G65" s="165">
        <v>23.11</v>
      </c>
      <c r="H65" s="167">
        <f t="shared" ref="H65:H66" si="8">G65*D65</f>
        <v>84.120400000000004</v>
      </c>
      <c r="I65" s="167">
        <f t="shared" ref="I65:I66" si="9">C65*D65</f>
        <v>84.193200000000004</v>
      </c>
      <c r="J65" s="167">
        <f t="shared" ref="J65:J66" si="10">H65/E65</f>
        <v>5.8846515263482448</v>
      </c>
      <c r="K65" s="167">
        <f t="shared" ref="K65:K66" si="11">I65/E65</f>
        <v>5.8897442580889185</v>
      </c>
      <c r="L65" s="263">
        <f>K65/F65</f>
        <v>0.22929574679385353</v>
      </c>
    </row>
    <row r="66" spans="1:12" s="26" customFormat="1" x14ac:dyDescent="0.25">
      <c r="A66" s="178">
        <f>股权价值增加表!E1</f>
        <v>43100</v>
      </c>
      <c r="B66" s="166">
        <v>42872</v>
      </c>
      <c r="C66" s="165">
        <v>16.399999999999999</v>
      </c>
      <c r="D66" s="165">
        <v>9.09</v>
      </c>
      <c r="E66" s="167">
        <f>股权价值增加表!E42/100000000</f>
        <v>15.360027936400012</v>
      </c>
      <c r="F66" s="167">
        <f t="shared" ref="F66" si="12">(E66-E65)/E65*100</f>
        <v>7.4512387490882279</v>
      </c>
      <c r="G66" s="165">
        <v>15.76</v>
      </c>
      <c r="H66" s="167">
        <f t="shared" si="8"/>
        <v>143.25839999999999</v>
      </c>
      <c r="I66" s="167">
        <f t="shared" si="9"/>
        <v>149.07599999999999</v>
      </c>
      <c r="J66" s="167">
        <f t="shared" si="10"/>
        <v>9.3267017868182354</v>
      </c>
      <c r="K66" s="167">
        <f t="shared" si="11"/>
        <v>9.7054510979580613</v>
      </c>
      <c r="L66" s="263">
        <f t="shared" ref="L66" si="13">K66/F66</f>
        <v>1.3025285358284446</v>
      </c>
    </row>
    <row r="67" spans="1:12" s="26" customFormat="1" x14ac:dyDescent="0.25">
      <c r="A67" s="161"/>
      <c r="B67" s="162"/>
      <c r="C67" s="83"/>
      <c r="D67" s="83"/>
      <c r="E67" s="83"/>
      <c r="F67" s="164"/>
      <c r="G67" s="83"/>
      <c r="H67" s="164"/>
      <c r="I67" s="164"/>
      <c r="J67" s="164"/>
      <c r="K67" s="164"/>
      <c r="L67" s="264"/>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8" t="s">
        <v>628</v>
      </c>
      <c r="B69" s="169">
        <v>43305</v>
      </c>
      <c r="C69" s="170">
        <v>11.65</v>
      </c>
      <c r="D69" s="170">
        <v>9.09</v>
      </c>
      <c r="E69" s="170">
        <v>4.33</v>
      </c>
      <c r="F69" s="171">
        <f>(E69-E66)/E66*100</f>
        <v>-71.809947104726177</v>
      </c>
      <c r="G69" s="170">
        <v>10.119999999999999</v>
      </c>
      <c r="H69" s="171">
        <f>G69*D69</f>
        <v>91.990799999999993</v>
      </c>
      <c r="I69" s="171">
        <f>C69*D69</f>
        <v>105.8985</v>
      </c>
      <c r="J69" s="171">
        <f>H69/E69</f>
        <v>21.244988452655885</v>
      </c>
      <c r="K69" s="171">
        <f>I69/E69</f>
        <v>24.456928406466513</v>
      </c>
      <c r="L69" s="266">
        <f>K69/F69</f>
        <v>-0.34057856038800616</v>
      </c>
    </row>
    <row r="70" spans="1:12" s="26" customFormat="1" ht="15" thickBot="1" x14ac:dyDescent="0.3">
      <c r="A70" s="172" t="s">
        <v>627</v>
      </c>
      <c r="B70" s="173">
        <v>43305</v>
      </c>
      <c r="C70" s="174">
        <v>11.65</v>
      </c>
      <c r="D70" s="174">
        <v>9.09</v>
      </c>
      <c r="E70" s="174">
        <v>3.86</v>
      </c>
      <c r="F70" s="175">
        <f>(E70-E66)/E66*100</f>
        <v>-74.869837372804398</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7">
        <f t="shared" ref="L70" si="18">K70/F70</f>
        <v>-0.36643387407104056</v>
      </c>
    </row>
    <row r="71" spans="1:12" s="88" customFormat="1" ht="138" customHeight="1" x14ac:dyDescent="0.25">
      <c r="A71" s="288" t="s">
        <v>630</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2019-02-07T07:29:27Z</dcterms:modified>
</cp:coreProperties>
</file>