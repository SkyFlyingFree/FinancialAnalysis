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ACA260E0-DBEC-4D5E-8F7E-A325E8B4BAEA}"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10"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CK18" i="12"/>
  <c r="AE13" i="12"/>
  <c r="X13" i="12"/>
  <c r="BL13" i="12"/>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13" i="8"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<sst xmlns="http://schemas.openxmlformats.org/spreadsheetml/2006/main" count="918" uniqueCount="752">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</sst>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0.13226325854447257</c:v>
                </c:pt>
                <c:pt idx="1">
                  <c:v>0.13788131345016597</c:v>
                </c:pt>
                <c:pt idx="2">
                  <c:v>0.11463421195817983</c:v>
                </c:pt>
                <c:pt idx="3">
                  <c:v>0.1871826751835915</c:v>
                </c:pt>
                <c:pt idx="4">
                  <c:v>0.21838163278126288</c:v>
                </c:pt>
                <c:pt idx="5">
                  <c:v>0.23904238092250715</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8.2928632735556715E-2</c:v>
                </c:pt>
                <c:pt idx="1">
                  <c:v>0.12462271268019513</c:v>
                </c:pt>
                <c:pt idx="2">
                  <c:v>6.819959427321462E-2</c:v>
                </c:pt>
                <c:pt idx="3">
                  <c:v>0.16378895051297715</c:v>
                </c:pt>
                <c:pt idx="4">
                  <c:v>0.18545970362991915</c:v>
                </c:pt>
                <c:pt idx="5">
                  <c:v>0.2059518313114016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8.1429394214812295E-2</c:v>
                </c:pt>
                <c:pt idx="1">
                  <c:v>9.9017546918969468E-2</c:v>
                </c:pt>
                <c:pt idx="2">
                  <c:v>4.8509710881292689E-2</c:v>
                </c:pt>
                <c:pt idx="3">
                  <c:v>0.15301500579100402</c:v>
                </c:pt>
                <c:pt idx="4">
                  <c:v>0.18536175135529073</c:v>
                </c:pt>
                <c:pt idx="5">
                  <c:v>0.21442174128423255</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5.2553569356191925E-2</c:v>
                </c:pt>
                <c:pt idx="1">
                  <c:v>8.8265511149188458E-2</c:v>
                </c:pt>
                <c:pt idx="2">
                  <c:v>3.0614396838352969E-2</c:v>
                </c:pt>
                <c:pt idx="3">
                  <c:v>0.13257158307993716</c:v>
                </c:pt>
                <c:pt idx="4">
                  <c:v>0.1574006369508113</c:v>
                </c:pt>
                <c:pt idx="5">
                  <c:v>0.18470856704387018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1141276227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716426136</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680816793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1148708361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1282509302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1268523305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-357648791.39999998</c:v>
                </c:pt>
                <c:pt idx="1">
                  <c:v>-161230544.08000004</c:v>
                </c:pt>
                <c:pt idx="2">
                  <c:v>-655438824.75999999</c:v>
                </c:pt>
                <c:pt idx="3">
                  <c:v>186048018.96000004</c:v>
                </c:pt>
                <c:pt idx="4">
                  <c:v>273335115.48000002</c:v>
                </c:pt>
                <c:pt idx="5">
                  <c:v>361935158.96000004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11982452105</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11466348976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11163859947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10970370538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10023912744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9064077763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13,548,090,050.00 </c:v>
                </c:pt>
                <c:pt idx="5">
                  <c:v>13,498,356,112.00 </c:v>
                </c:pt>
                <c:pt idx="6">
                  <c:v>13,414,405,048.00 </c:v>
                </c:pt>
                <c:pt idx="7">
                  <c:v>13,276,747,053.00 </c:v>
                </c:pt>
                <c:pt idx="8">
                  <c:v>12,979,892,276.00 </c:v>
                </c:pt>
                <c:pt idx="9">
                  <c:v>12,910,547,669.00 </c:v>
                </c:pt>
                <c:pt idx="10">
                  <c:v>12,647,688,447.00 </c:v>
                </c:pt>
                <c:pt idx="11">
                  <c:v>12,341,378,439.00 </c:v>
                </c:pt>
                <c:pt idx="12">
                  <c:v>11,933,548,035.00 </c:v>
                </c:pt>
                <c:pt idx="13">
                  <c:v>11,411,654,276.00 </c:v>
                </c:pt>
                <c:pt idx="14">
                  <c:v>10,387,417,854.00 </c:v>
                </c:pt>
                <c:pt idx="15">
                  <c:v>9,809,715,469.00 </c:v>
                </c:pt>
                <c:pt idx="16">
                  <c:v>9,603,048,891.00 </c:v>
                </c:pt>
                <c:pt idx="17">
                  <c:v>9,161,974,936.00 </c:v>
                </c:pt>
                <c:pt idx="18">
                  <c:v>8,577,347,926.00 </c:v>
                </c:pt>
                <c:pt idx="19">
                  <c:v>7,908,293,897.00 </c:v>
                </c:pt>
                <c:pt idx="20">
                  <c:v>7,333,091,298.00 </c:v>
                </c:pt>
              </c:strCache>
            </c:strRef>
          </c:tx>
          <c:invertIfNegative val="0"/>
          <c:cat>
            <c:numRef>
              <c:f>投资和筹资活动现金流表!$E$12</c:f>
              <c:numCache>
                <c:formatCode>#,##0.00_ </c:formatCode>
                <c:ptCount val="1"/>
                <c:pt idx="0">
                  <c:v>13548090050</c:v>
                </c:pt>
              </c:numCache>
            </c:numRef>
          </c:cat>
          <c:val>
            <c:numRef>
              <c:f>投资和筹资活动现金流表!$E$12:$U$12</c:f>
              <c:numCache>
                <c:formatCode>#,##0.00_ </c:formatCode>
                <c:ptCount val="5"/>
                <c:pt idx="0">
                  <c:v>13548090050</c:v>
                </c:pt>
                <c:pt idx="1">
                  <c:v>12979892276</c:v>
                </c:pt>
                <c:pt idx="2">
                  <c:v>11933548035</c:v>
                </c:pt>
                <c:pt idx="3">
                  <c:v>9603048891</c:v>
                </c:pt>
                <c:pt idx="4">
                  <c:v>7333091298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4.5948021950149347E-2</c:v>
                </c:pt>
                <c:pt idx="1">
                  <c:v>5.3844095708887992E-2</c:v>
                </c:pt>
                <c:pt idx="2">
                  <c:v>0.10531311034354922</c:v>
                </c:pt>
                <c:pt idx="3">
                  <c:v>0.23134673656427185</c:v>
                </c:pt>
                <c:pt idx="4">
                  <c:v>0.2608248187939034</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0.75048706336949755</c:v>
                </c:pt>
                <c:pt idx="1">
                  <c:v>1.233580336274585</c:v>
                </c:pt>
                <c:pt idx="2">
                  <c:v>0.67505073896957279</c:v>
                </c:pt>
                <c:pt idx="3">
                  <c:v>0.4441817789049774</c:v>
                </c:pt>
                <c:pt idx="4">
                  <c:v>0.47727158597726205</c:v>
                </c:pt>
                <c:pt idx="5">
                  <c:v>0.14592732485991583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1449507825</c:v>
                </c:pt>
                <c:pt idx="1">
                  <c:v>1368758300</c:v>
                </c:pt>
                <c:pt idx="2">
                  <c:v>1836053743</c:v>
                </c:pt>
                <c:pt idx="3">
                  <c:v>2743777426</c:v>
                </c:pt>
                <c:pt idx="4">
                  <c:v>2200788557</c:v>
                </c:pt>
                <c:pt idx="5">
                  <c:v>2760082578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19565903</c:v>
                </c:pt>
                <c:pt idx="1">
                  <c:v>29940564</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1102520828</c:v>
                </c:pt>
                <c:pt idx="1">
                  <c:v>1725407415</c:v>
                </c:pt>
                <c:pt idx="2">
                  <c:v>1239429436</c:v>
                </c:pt>
                <c:pt idx="3">
                  <c:v>1218735938</c:v>
                </c:pt>
                <c:pt idx="4">
                  <c:v>1050373845</c:v>
                </c:pt>
                <c:pt idx="5">
                  <c:v>402771467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1211484798</c:v>
                </c:pt>
                <c:pt idx="1">
                  <c:v>-609613862</c:v>
                </c:pt>
                <c:pt idx="2">
                  <c:v>1093397315</c:v>
                </c:pt>
                <c:pt idx="3">
                  <c:v>1133991361</c:v>
                </c:pt>
                <c:pt idx="4">
                  <c:v>946996745</c:v>
                </c:pt>
                <c:pt idx="5">
                  <c:v>2639645723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-197671250</c:v>
                </c:pt>
                <c:pt idx="1">
                  <c:v>-199120131.69</c:v>
                </c:pt>
                <c:pt idx="2">
                  <c:v>-179700000</c:v>
                </c:pt>
                <c:pt idx="3">
                  <c:v>-120000000</c:v>
                </c:pt>
                <c:pt idx="4">
                  <c:v>-113575194</c:v>
                </c:pt>
                <c:pt idx="5">
                  <c:v>-115233690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1120348744</c:v>
                </c:pt>
                <c:pt idx="1">
                  <c:v>-299520451</c:v>
                </c:pt>
                <c:pt idx="2">
                  <c:v>1221737766</c:v>
                </c:pt>
                <c:pt idx="3">
                  <c:v>936017800</c:v>
                </c:pt>
                <c:pt idx="4">
                  <c:v>947020478</c:v>
                </c:pt>
                <c:pt idx="5">
                  <c:v>2596839775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2778000000</c:v>
                </c:pt>
                <c:pt idx="1">
                  <c:v>3363000000</c:v>
                </c:pt>
                <c:pt idx="2">
                  <c:v>3398000000</c:v>
                </c:pt>
                <c:pt idx="3">
                  <c:v>2948908063</c:v>
                </c:pt>
                <c:pt idx="4">
                  <c:v>2133537400</c:v>
                </c:pt>
                <c:pt idx="5">
                  <c:v>1047800000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7779863680</c:v>
                </c:pt>
                <c:pt idx="1">
                  <c:v>2495088400</c:v>
                </c:pt>
                <c:pt idx="2">
                  <c:v>1493665849</c:v>
                </c:pt>
                <c:pt idx="3">
                  <c:v>0</c:v>
                </c:pt>
                <c:pt idx="4">
                  <c:v>1383400000</c:v>
                </c:pt>
                <c:pt idx="5">
                  <c:v>3771040000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485671218</c:v>
                </c:pt>
                <c:pt idx="1">
                  <c:v>608744705</c:v>
                </c:pt>
                <c:pt idx="2">
                  <c:v>50328901</c:v>
                </c:pt>
                <c:pt idx="3">
                  <c:v>328891129</c:v>
                </c:pt>
                <c:pt idx="4">
                  <c:v>0</c:v>
                </c:pt>
                <c:pt idx="5">
                  <c:v>13000000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542391777</c:v>
                </c:pt>
                <c:pt idx="1">
                  <c:v>493412141</c:v>
                </c:pt>
                <c:pt idx="2">
                  <c:v>493272400</c:v>
                </c:pt>
                <c:pt idx="3">
                  <c:v>389205571</c:v>
                </c:pt>
                <c:pt idx="4">
                  <c:v>312986975</c:v>
                </c:pt>
                <c:pt idx="5">
                  <c:v>181919862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7626617139</c:v>
                </c:pt>
                <c:pt idx="1">
                  <c:v>7621901355</c:v>
                </c:pt>
                <c:pt idx="2">
                  <c:v>6705182318</c:v>
                </c:pt>
                <c:pt idx="3">
                  <c:v>6488281190</c:v>
                </c:pt>
                <c:pt idx="4">
                  <c:v>5758699091</c:v>
                </c:pt>
                <c:pt idx="5">
                  <c:v>3905144554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6.6742467860594235E-2</c:v>
                </c:pt>
                <c:pt idx="1">
                  <c:v>7.2492881458378899E-2</c:v>
                </c:pt>
                <c:pt idx="2">
                  <c:v>6.7688575591218089E-2</c:v>
                </c:pt>
                <c:pt idx="3">
                  <c:v>7.0734211236846173E-2</c:v>
                </c:pt>
                <c:pt idx="4">
                  <c:v>7.0879483581858915E-2</c:v>
                </c:pt>
                <c:pt idx="5">
                  <c:v>7.4068020913481358E-2</c:v>
                </c:pt>
                <c:pt idx="6">
                  <c:v>7.6777439224804164E-2</c:v>
                </c:pt>
                <c:pt idx="7">
                  <c:v>7.4898202720470791E-2</c:v>
                </c:pt>
                <c:pt idx="8">
                  <c:v>4.5818485673902273E-2</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-0.43741905085368477</c:v>
                </c:pt>
                <c:pt idx="1">
                  <c:v>-6.2773813485264987E-3</c:v>
                </c:pt>
                <c:pt idx="2">
                  <c:v>-0.1168937966734173</c:v>
                </c:pt>
                <c:pt idx="3">
                  <c:v>8.4740175096718245E-2</c:v>
                </c:pt>
                <c:pt idx="4">
                  <c:v>-2.6860891014634677E-2</c:v>
                </c:pt>
                <c:pt idx="5">
                  <c:v>0.13711556644234019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66.100147947883073</c:v>
                </c:pt>
                <c:pt idx="1">
                  <c:v>-0.35613937576239701</c:v>
                </c:pt>
                <c:pt idx="2">
                  <c:v>4.765681042667274E-2</c:v>
                </c:pt>
                <c:pt idx="3">
                  <c:v>0.54989244524224024</c:v>
                </c:pt>
                <c:pt idx="4">
                  <c:v>6.8448537977023174E-2</c:v>
                </c:pt>
                <c:pt idx="5">
                  <c:v>1.9413020511915093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-0.31423816023463119</c:v>
                </c:pt>
                <c:pt idx="1">
                  <c:v>0.26407094290460698</c:v>
                </c:pt>
                <c:pt idx="2">
                  <c:v>-0.1198078606260926</c:v>
                </c:pt>
                <c:pt idx="3">
                  <c:v>-0.23213499978366969</c:v>
                </c:pt>
                <c:pt idx="4">
                  <c:v>0.23650409084940824</c:v>
                </c:pt>
                <c:pt idx="5">
                  <c:v>0.26278584328972526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0.38448967562045289</c:v>
                </c:pt>
                <c:pt idx="1">
                  <c:v>3.7505312159639578E-2</c:v>
                </c:pt>
                <c:pt idx="2">
                  <c:v>9.5281498803872225E-2</c:v>
                </c:pt>
                <c:pt idx="3">
                  <c:v>0.12424386095157715</c:v>
                </c:pt>
                <c:pt idx="4">
                  <c:v>0.19206231608337831</c:v>
                </c:pt>
                <c:pt idx="5">
                  <c:v>0.38007735681091687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0.92413044339292516</c:v>
                </c:pt>
                <c:pt idx="1">
                  <c:v>-8.864973030086544E-2</c:v>
                </c:pt>
                <c:pt idx="2">
                  <c:v>0.2677848712554789</c:v>
                </c:pt>
                <c:pt idx="3">
                  <c:v>0.79083931207565117</c:v>
                </c:pt>
                <c:pt idx="4">
                  <c:v>0.11697125458051107</c:v>
                </c:pt>
                <c:pt idx="5">
                  <c:v>0.636985989666356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2.8407881499338695E-2</c:v>
                </c:pt>
                <c:pt idx="1">
                  <c:v>4.5302782564163688E-2</c:v>
                </c:pt>
                <c:pt idx="2">
                  <c:v>8.8136627940030271E-2</c:v>
                </c:pt>
                <c:pt idx="3">
                  <c:v>0.24456171295143911</c:v>
                </c:pt>
                <c:pt idx="4">
                  <c:v>0.28726193845106396</c:v>
                </c:pt>
                <c:pt idx="5">
                  <c:v>0.59886633440956794</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-0.33763656349412036</c:v>
                </c:pt>
                <c:pt idx="1">
                  <c:v>0.89916288082786244</c:v>
                </c:pt>
                <c:pt idx="2">
                  <c:v>0.52444182009948193</c:v>
                </c:pt>
                <c:pt idx="3">
                  <c:v>0.69308426818414492</c:v>
                </c:pt>
                <c:pt idx="4">
                  <c:v>1.1976255602477188</c:v>
                </c:pt>
                <c:pt idx="5">
                  <c:v>-0.45029120518349086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1.5219428687327099</c:v>
                </c:pt>
                <c:pt idx="1">
                  <c:v>-0.59484073840543905</c:v>
                </c:pt>
                <c:pt idx="2">
                  <c:v>-0.21054703795872051</c:v>
                </c:pt>
                <c:pt idx="3">
                  <c:v>-3.389760869568241E-2</c:v>
                </c:pt>
                <c:pt idx="4">
                  <c:v>0.34882964350132478</c:v>
                </c:pt>
                <c:pt idx="5">
                  <c:v>12.883659064347752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6.3372219636596644E-2</c:v>
                </c:pt>
                <c:pt idx="1">
                  <c:v>0.11559185351278027</c:v>
                </c:pt>
                <c:pt idx="2">
                  <c:v>0.12439543015429765</c:v>
                </c:pt>
                <c:pt idx="3">
                  <c:v>0.14417237912840505</c:v>
                </c:pt>
                <c:pt idx="4">
                  <c:v>0.14702397697282021</c:v>
                </c:pt>
                <c:pt idx="5">
                  <c:v>0.18385615781097725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0.10901645103089729</c:v>
                </c:pt>
                <c:pt idx="1">
                  <c:v>1.6671776991856919E-3</c:v>
                </c:pt>
                <c:pt idx="2">
                  <c:v>2.7690602140953637E-3</c:v>
                </c:pt>
                <c:pt idx="3">
                  <c:v>2.7052283724895896E-3</c:v>
                </c:pt>
                <c:pt idx="4">
                  <c:v>1.9307862550621995E-3</c:v>
                </c:pt>
                <c:pt idx="5">
                  <c:v>2.1991027914306975E-3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0.71339925607536903</c:v>
                </c:pt>
                <c:pt idx="1">
                  <c:v>0.71183704605790066</c:v>
                </c:pt>
                <c:pt idx="2">
                  <c:v>0.72825060381041073</c:v>
                </c:pt>
                <c:pt idx="3">
                  <c:v>0.6849959416293363</c:v>
                </c:pt>
                <c:pt idx="4">
                  <c:v>0.60884029566580289</c:v>
                </c:pt>
                <c:pt idx="5">
                  <c:v>0.57557430843137269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0.54154525613718496</c:v>
                </c:pt>
                <c:pt idx="1">
                  <c:v>0.81810119399006576</c:v>
                </c:pt>
                <c:pt idx="2">
                  <c:v>0.48966328942108867</c:v>
                </c:pt>
                <c:pt idx="3">
                  <c:v>0.33194613734057354</c:v>
                </c:pt>
                <c:pt idx="4">
                  <c:v>0.22089929112429119</c:v>
                </c:pt>
                <c:pt idx="5">
                  <c:v>0.14822719696946715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0.45845474386281498</c:v>
                </c:pt>
                <c:pt idx="1">
                  <c:v>0.18189880600993424</c:v>
                </c:pt>
                <c:pt idx="2">
                  <c:v>0.51033671057891139</c:v>
                </c:pt>
                <c:pt idx="3">
                  <c:v>0.66805386265942646</c:v>
                </c:pt>
                <c:pt idx="4">
                  <c:v>0.77910070887570881</c:v>
                </c:pt>
                <c:pt idx="5">
                  <c:v>0.85177280303053282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-0.28929175713738664</c:v>
                </c:pt>
                <c:pt idx="1">
                  <c:v>-0.2329464184182396</c:v>
                </c:pt>
                <c:pt idx="2">
                  <c:v>0.58954289413715122</c:v>
                </c:pt>
                <c:pt idx="3">
                  <c:v>1.1237693882033157</c:v>
                </c:pt>
                <c:pt idx="4">
                  <c:v>1.2742433227004959</c:v>
                </c:pt>
                <c:pt idx="5">
                  <c:v>1.5840643549578464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1242670243</c:v>
                </c:pt>
                <c:pt idx="1">
                  <c:v>2208873665</c:v>
                </c:pt>
                <c:pt idx="2">
                  <c:v>2222827199</c:v>
                </c:pt>
                <c:pt idx="3">
                  <c:v>2517055356</c:v>
                </c:pt>
                <c:pt idx="4">
                  <c:v>2320422359</c:v>
                </c:pt>
                <c:pt idx="5">
                  <c:v>2384471385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13989095411</c:v>
                </c:pt>
                <c:pt idx="1">
                  <c:v>13602672308</c:v>
                </c:pt>
                <c:pt idx="2">
                  <c:v>13013140819</c:v>
                </c:pt>
                <c:pt idx="3">
                  <c:v>11959105580</c:v>
                </c:pt>
                <c:pt idx="4">
                  <c:v>9609090056</c:v>
                </c:pt>
                <c:pt idx="5">
                  <c:v>7464751166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4130158332</c:v>
                </c:pt>
                <c:pt idx="1">
                  <c:v>6235486599</c:v>
                </c:pt>
                <c:pt idx="2">
                  <c:v>3283281630</c:v>
                </c:pt>
                <c:pt idx="3">
                  <c:v>2153759879</c:v>
                </c:pt>
                <c:pt idx="4">
                  <c:v>1272092547</c:v>
                </c:pt>
                <c:pt idx="5">
                  <c:v>578848631</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3496458807</c:v>
                </c:pt>
                <c:pt idx="1">
                  <c:v>1386414756</c:v>
                </c:pt>
                <c:pt idx="2">
                  <c:v>3421900688</c:v>
                </c:pt>
                <c:pt idx="3">
                  <c:v>4334521311</c:v>
                </c:pt>
                <c:pt idx="4">
                  <c:v>4486606544</c:v>
                </c:pt>
                <c:pt idx="5">
                  <c:v>3326295923</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0.48690772188125436</c:v>
                </c:pt>
                <c:pt idx="1">
                  <c:v>0.56674034812077967</c:v>
                </c:pt>
                <c:pt idx="2">
                  <c:v>0.5803605325087513</c:v>
                </c:pt>
                <c:pt idx="3">
                  <c:v>0.5742944778828003</c:v>
                </c:pt>
                <c:pt idx="4">
                  <c:v>0.54339075744851761</c:v>
                </c:pt>
                <c:pt idx="5">
                  <c:v>0.57333373194147963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1.614450808368072E-2</c:v>
                </c:pt>
                <c:pt idx="1">
                  <c:v>1.387756995824143E-2</c:v>
                </c:pt>
                <c:pt idx="2">
                  <c:v>9.7382054856914296E-3</c:v>
                </c:pt>
                <c:pt idx="3">
                  <c:v>8.9107419920748977E-3</c:v>
                </c:pt>
                <c:pt idx="4">
                  <c:v>9.7548902512504844E-3</c:v>
                </c:pt>
                <c:pt idx="5">
                  <c:v>1.0047312259643186E-2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0.26881227845801081</c:v>
                </c:pt>
                <c:pt idx="1">
                  <c:v>0.14645004236232162</c:v>
                </c:pt>
                <c:pt idx="2">
                  <c:v>0.13240910102911424</c:v>
                </c:pt>
                <c:pt idx="3">
                  <c:v>0.13072632437212159</c:v>
                </c:pt>
                <c:pt idx="4">
                  <c:v>0.12984954075488925</c:v>
                </c:pt>
                <c:pt idx="5">
                  <c:v>0.11838780648165191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0.12681240031443705</c:v>
                </c:pt>
                <c:pt idx="1">
                  <c:v>0.14615814806897134</c:v>
                </c:pt>
                <c:pt idx="2">
                  <c:v>0.13667010570966387</c:v>
                </c:pt>
                <c:pt idx="3">
                  <c:v>0.10660611953315567</c:v>
                </c:pt>
                <c:pt idx="4">
                  <c:v>0.10176544430950786</c:v>
                </c:pt>
                <c:pt idx="5">
                  <c:v>8.8163848607135539E-2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2.6792531323052905E-2</c:v>
                </c:pt>
                <c:pt idx="1">
                  <c:v>1.6450581818371723E-2</c:v>
                </c:pt>
                <c:pt idx="2">
                  <c:v>1.1225721043012799E-2</c:v>
                </c:pt>
                <c:pt idx="3">
                  <c:v>1.9089447940367276E-2</c:v>
                </c:pt>
                <c:pt idx="4">
                  <c:v>2.3437746596512512E-2</c:v>
                </c:pt>
                <c:pt idx="5">
                  <c:v>1.8582291020870457E-3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1.775635753366813E-3</c:v>
                </c:pt>
                <c:pt idx="1">
                  <c:v>2.6024059370931534E-3</c:v>
                </c:pt>
                <c:pt idx="2">
                  <c:v>2.0926208355768489E-3</c:v>
                </c:pt>
                <c:pt idx="3">
                  <c:v>1.6586557679883036E-3</c:v>
                </c:pt>
                <c:pt idx="4">
                  <c:v>2.2244742703148562E-3</c:v>
                </c:pt>
                <c:pt idx="5">
                  <c:v>1.146759642016792E-3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-1.3604289110785012E-3</c:v>
                </c:pt>
                <c:pt idx="1">
                  <c:v>5.6466073445338065E-3</c:v>
                </c:pt>
                <c:pt idx="2">
                  <c:v>1.3823069097684148E-2</c:v>
                </c:pt>
                <c:pt idx="3">
                  <c:v>7.4726734195298215E-3</c:v>
                </c:pt>
                <c:pt idx="4">
                  <c:v>1.9611348261221778E-2</c:v>
                </c:pt>
                <c:pt idx="5">
                  <c:v>2.2718274477913303E-2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0.43897692502146984</c:v>
                </c:pt>
                <c:pt idx="1">
                  <c:v>0.3311853554895331</c:v>
                </c:pt>
                <c:pt idx="2">
                  <c:v>0.30595882320074336</c:v>
                </c:pt>
                <c:pt idx="3">
                  <c:v>0.27446396302523757</c:v>
                </c:pt>
                <c:pt idx="4">
                  <c:v>0.28664344444369672</c:v>
                </c:pt>
                <c:pt idx="5">
                  <c:v>0.2423222305704478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5.2553569356191925E-2</c:v>
                </c:pt>
                <c:pt idx="1">
                  <c:v>8.8265511149188458E-2</c:v>
                </c:pt>
                <c:pt idx="2">
                  <c:v>3.0614396838352969E-2</c:v>
                </c:pt>
                <c:pt idx="3">
                  <c:v>0.13257158307993716</c:v>
                </c:pt>
                <c:pt idx="4">
                  <c:v>0.1574006369508113</c:v>
                </c:pt>
                <c:pt idx="5">
                  <c:v>0.18470856704387018</c:v>
                </c:pt>
                <c:pt idx="6">
                  <c:v>0.18617628645569467</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0.38433851463418889</c:v>
                </c:pt>
                <c:pt idx="1">
                  <c:v>0.28186391294599111</c:v>
                </c:pt>
                <c:pt idx="2">
                  <c:v>0.5768304238965789</c:v>
                </c:pt>
                <c:pt idx="3">
                  <c:v>0.18253649467866251</c:v>
                </c:pt>
                <c:pt idx="4">
                  <c:v>0.15120264925872118</c:v>
                </c:pt>
                <c:pt idx="5">
                  <c:v>0.10299696456862228</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5567764890</c:v>
                </c:pt>
                <c:pt idx="1">
                  <c:v>4854665753</c:v>
                </c:pt>
                <c:pt idx="2">
                  <c:v>4505536126</c:v>
                </c:pt>
                <c:pt idx="3">
                  <c:v>4607806540</c:v>
                </c:pt>
                <c:pt idx="4">
                  <c:v>3712055490</c:v>
                </c:pt>
                <c:pt idx="5">
                  <c:v>3374228753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5867183951</c:v>
                </c:pt>
                <c:pt idx="1">
                  <c:v>3711277662</c:v>
                </c:pt>
                <c:pt idx="2">
                  <c:v>3257803856</c:v>
                </c:pt>
                <c:pt idx="3">
                  <c:v>3415614749</c:v>
                </c:pt>
                <c:pt idx="4">
                  <c:v>3119226491</c:v>
                </c:pt>
                <c:pt idx="5">
                  <c:v>2511049864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7.6089485237125377E-3</c:v>
                </c:pt>
                <c:pt idx="1">
                  <c:v>0.24137222838628139</c:v>
                </c:pt>
                <c:pt idx="2">
                  <c:v>0.11155580747096622</c:v>
                </c:pt>
                <c:pt idx="3">
                  <c:v>0.17062446379011145</c:v>
                </c:pt>
                <c:pt idx="4">
                  <c:v>6.4063486021163102E-2</c:v>
                </c:pt>
                <c:pt idx="5">
                  <c:v>5.6136652972146185E-2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0.32601482730021503</c:v>
                </c:pt>
                <c:pt idx="1">
                  <c:v>8.7904815149199025E-2</c:v>
                </c:pt>
                <c:pt idx="2">
                  <c:v>-7.5797157940594356E-2</c:v>
                </c:pt>
                <c:pt idx="3">
                  <c:v>5.9930197298909312E-2</c:v>
                </c:pt>
                <c:pt idx="4">
                  <c:v>2.2199756037776575E-2</c:v>
                </c:pt>
                <c:pt idx="5">
                  <c:v>1.9105367450306769E-2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5.1058168309517873</c:v>
                </c:pt>
                <c:pt idx="1">
                  <c:v>2.6228866362394578</c:v>
                </c:pt>
                <c:pt idx="2">
                  <c:v>3.0048609046182206</c:v>
                </c:pt>
                <c:pt idx="3">
                  <c:v>2.7334607973580405</c:v>
                </c:pt>
                <c:pt idx="4">
                  <c:v>1.7870649554450202</c:v>
                </c:pt>
                <c:pt idx="5">
                  <c:v>1.9037096489676333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0.81741874689112448</c:v>
                </c:pt>
                <c:pt idx="1">
                  <c:v>0.62972504380350325</c:v>
                </c:pt>
                <c:pt idx="2">
                  <c:v>0.59657695939669209</c:v>
                </c:pt>
                <c:pt idx="3">
                  <c:v>0.67090479595882957</c:v>
                </c:pt>
                <c:pt idx="4">
                  <c:v>0.71091871771297299</c:v>
                </c:pt>
                <c:pt idx="5">
                  <c:v>0.7884092163454709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9.2019173271537014</c:v>
                </c:pt>
                <c:pt idx="1">
                  <c:v>3.8779689172490541</c:v>
                </c:pt>
                <c:pt idx="2">
                  <c:v>3.4925521810658751</c:v>
                </c:pt>
                <c:pt idx="3">
                  <c:v>3.1876221036912309</c:v>
                </c:pt>
                <c:pt idx="4">
                  <c:v>2.9439821395032508</c:v>
                </c:pt>
                <c:pt idx="5">
                  <c:v>2.4681691103623793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5.3491552918826377</c:v>
                </c:pt>
                <c:pt idx="1">
                  <c:v>268.87452682981217</c:v>
                </c:pt>
                <c:pt idx="2">
                  <c:v>156.8971049053026</c:v>
                </c:pt>
                <c:pt idx="3">
                  <c:v>169.88105962696307</c:v>
                </c:pt>
                <c:pt idx="4">
                  <c:v>224.17601179410525</c:v>
                </c:pt>
                <c:pt idx="5">
                  <c:v>206.35146807473166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0.70538081152179444</c:v>
                </c:pt>
                <c:pt idx="1">
                  <c:v>0.63226206671101959</c:v>
                </c:pt>
                <c:pt idx="2">
                  <c:v>0.59810511650813336</c:v>
                </c:pt>
                <c:pt idx="3">
                  <c:v>0.67234164269235286</c:v>
                </c:pt>
                <c:pt idx="4">
                  <c:v>0.71136594830859323</c:v>
                </c:pt>
                <c:pt idx="5">
                  <c:v>1.0909609116373715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1.0334184017103316</c:v>
                </c:pt>
                <c:pt idx="1">
                  <c:v>0.89361172986348647</c:v>
                </c:pt>
                <c:pt idx="2">
                  <c:v>1.2855029400337232</c:v>
                </c:pt>
                <c:pt idx="3">
                  <c:v>1.3460587890520492</c:v>
                </c:pt>
                <c:pt idx="4">
                  <c:v>1.3390078066638691</c:v>
                </c:pt>
                <c:pt idx="5">
                  <c:v>2.8222134497711808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10.50048502586349</c:v>
                </c:pt>
                <c:pt idx="1">
                  <c:v>4.0669749872197816</c:v>
                </c:pt>
                <c:pt idx="2">
                  <c:v>1.4598301022173517</c:v>
                </c:pt>
                <c:pt idx="3">
                  <c:v>1.84815180984676</c:v>
                </c:pt>
                <c:pt idx="4">
                  <c:v>2.3950238109163706</c:v>
                </c:pt>
                <c:pt idx="5">
                  <c:v>1.5898668793490336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10.921252286148997</c:v>
                </c:pt>
                <c:pt idx="1">
                  <c:v>8.3914072626943863</c:v>
                </c:pt>
                <c:pt idx="2">
                  <c:v>7.5249274643493411</c:v>
                </c:pt>
                <c:pt idx="3">
                  <c:v>8.1899320505799444</c:v>
                </c:pt>
                <c:pt idx="4">
                  <c:v>6.5173737434939101</c:v>
                </c:pt>
                <c:pt idx="5">
                  <c:v>5.9596667723957024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2.225411525482901</c:v>
                </c:pt>
                <c:pt idx="1">
                  <c:v>2.16308459083064</c:v>
                </c:pt>
                <c:pt idx="2">
                  <c:v>2.1173069146493857</c:v>
                </c:pt>
                <c:pt idx="3">
                  <c:v>2.3710771273888027</c:v>
                </c:pt>
                <c:pt idx="4">
                  <c:v>2.3462413899101278</c:v>
                </c:pt>
                <c:pt idx="5">
                  <c:v>2.4104445137262553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2.4031909933348037</c:v>
                </c:pt>
                <c:pt idx="1">
                  <c:v>2.2369219445142701</c:v>
                </c:pt>
                <c:pt idx="2">
                  <c:v>2.1049915516020374</c:v>
                </c:pt>
                <c:pt idx="3">
                  <c:v>2.3989966895485821</c:v>
                </c:pt>
                <c:pt idx="4">
                  <c:v>2.3951794863361373</c:v>
                </c:pt>
                <c:pt idx="5">
                  <c:v>2.7872840095249476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5.4602550320094707</c:v>
                </c:pt>
                <c:pt idx="1">
                  <c:v>4.1566199636305727</c:v>
                </c:pt>
                <c:pt idx="2">
                  <c:v>3.4131866002076019</c:v>
                </c:pt>
                <c:pt idx="3">
                  <c:v>3.7187149791297749</c:v>
                </c:pt>
                <c:pt idx="4">
                  <c:v>5.6771170654050236</c:v>
                </c:pt>
                <c:pt idx="5">
                  <c:v>9.7600238726610797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5.0305508852074139E-2</c:v>
                </c:pt>
                <c:pt idx="1">
                  <c:v>5.7568760715356611E-2</c:v>
                </c:pt>
                <c:pt idx="2">
                  <c:v>7.0345997947278513E-2</c:v>
                </c:pt>
                <c:pt idx="3">
                  <c:v>8.95229440091109E-2</c:v>
                </c:pt>
                <c:pt idx="4">
                  <c:v>0.10639188078415912</c:v>
                </c:pt>
                <c:pt idx="5">
                  <c:v>0.12810660020274839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7.1394495275118833E-2</c:v>
                </c:pt>
                <c:pt idx="1">
                  <c:v>0.1133675110787549</c:v>
                </c:pt>
                <c:pt idx="2">
                  <c:v>0.1413267824858736</c:v>
                </c:pt>
                <c:pt idx="3">
                  <c:v>0.16618690593102173</c:v>
                </c:pt>
                <c:pt idx="4">
                  <c:v>0.2091884946302292</c:v>
                </c:pt>
                <c:pt idx="5">
                  <c:v>0.2297805864438992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600947377</c:v>
                </c:pt>
                <c:pt idx="1">
                  <c:v>756077374</c:v>
                </c:pt>
                <c:pt idx="2">
                  <c:v>237669971</c:v>
                </c:pt>
                <c:pt idx="3">
                  <c:v>1063677662</c:v>
                </c:pt>
                <c:pt idx="4">
                  <c:v>1075248135</c:v>
                </c:pt>
                <c:pt idx="5">
                  <c:v>1087061380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816392401</c:v>
                </c:pt>
                <c:pt idx="1">
                  <c:v>971099685</c:v>
                </c:pt>
                <c:pt idx="2">
                  <c:v>1097167861</c:v>
                </c:pt>
                <c:pt idx="3">
                  <c:v>1333387559</c:v>
                </c:pt>
                <c:pt idx="4">
                  <c:v>1429025594</c:v>
                </c:pt>
                <c:pt idx="5">
                  <c:v>1352322772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16265734</c:v>
                </c:pt>
                <c:pt idx="1">
                  <c:v>7689761</c:v>
                </c:pt>
                <c:pt idx="2">
                  <c:v>5519832</c:v>
                </c:pt>
                <c:pt idx="3">
                  <c:v>8058532</c:v>
                </c:pt>
                <c:pt idx="4">
                  <c:v>1952197</c:v>
                </c:pt>
                <c:pt idx="5">
                  <c:v>1601054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0.90264327317486348</c:v>
                </c:pt>
                <c:pt idx="1">
                  <c:v>0.94776919071203769</c:v>
                </c:pt>
                <c:pt idx="2">
                  <c:v>0.97024446912689388</c:v>
                </c:pt>
                <c:pt idx="3">
                  <c:v>0.9435788469597598</c:v>
                </c:pt>
                <c:pt idx="4">
                  <c:v>0.93014362328725442</c:v>
                </c:pt>
                <c:pt idx="5">
                  <c:v>0.94383708838232461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0.78442682920327145</c:v>
                </c:pt>
                <c:pt idx="1">
                  <c:v>0.75768808826224077</c:v>
                </c:pt>
                <c:pt idx="2">
                  <c:v>0.83298785552055721</c:v>
                </c:pt>
                <c:pt idx="3">
                  <c:v>0.87345530990505071</c:v>
                </c:pt>
                <c:pt idx="4">
                  <c:v>0.94186631045296521</c:v>
                </c:pt>
                <c:pt idx="5">
                  <c:v>0.96579643977992402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2.092506592360396</c:v>
                </c:pt>
                <c:pt idx="1">
                  <c:v>1.9931912368605289</c:v>
                </c:pt>
                <c:pt idx="2">
                  <c:v>1.789994545562567</c:v>
                </c:pt>
                <c:pt idx="3">
                  <c:v>1.0549619593417519</c:v>
                </c:pt>
                <c:pt idx="4">
                  <c:v>0.86560056362371851</c:v>
                </c:pt>
                <c:pt idx="5">
                  <c:v>0.34574834902718166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1.8346378904321268</c:v>
                </c:pt>
                <c:pt idx="1">
                  <c:v>2.282051380365735</c:v>
                </c:pt>
                <c:pt idx="2">
                  <c:v>5.2149181101217028</c:v>
                </c:pt>
                <c:pt idx="3">
                  <c:v>1.1457756250220097</c:v>
                </c:pt>
                <c:pt idx="4">
                  <c:v>0.9768664653391842</c:v>
                </c:pt>
                <c:pt idx="5">
                  <c:v>0.37051400630201764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-1.0337299828492319</c:v>
                </c:pt>
                <c:pt idx="1">
                  <c:v>0.59624398980382864</c:v>
                </c:pt>
                <c:pt idx="2">
                  <c:v>5.4387542284643473E-2</c:v>
                </c:pt>
                <c:pt idx="3">
                  <c:v>-9.7483965198003592E-2</c:v>
                </c:pt>
                <c:pt idx="4">
                  <c:v>2.9991495771420564</c:v>
                </c:pt>
                <c:pt idx="5">
                  <c:v>1.4652648884740051E-2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1102520828</c:v>
                </c:pt>
                <c:pt idx="1">
                  <c:v>1725407415</c:v>
                </c:pt>
                <c:pt idx="2">
                  <c:v>1239429436</c:v>
                </c:pt>
                <c:pt idx="3">
                  <c:v>1218735938</c:v>
                </c:pt>
                <c:pt idx="4">
                  <c:v>1050373845</c:v>
                </c:pt>
                <c:pt idx="5">
                  <c:v>402771467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526890014.12240762</c:v>
                </c:pt>
                <c:pt idx="1">
                  <c:v>865650712.83259571</c:v>
                </c:pt>
                <c:pt idx="2">
                  <c:v>692420789.2546773</c:v>
                </c:pt>
                <c:pt idx="3">
                  <c:v>1155241596.3514321</c:v>
                </c:pt>
                <c:pt idx="4">
                  <c:v>1213462524.334265</c:v>
                </c:pt>
                <c:pt idx="5">
                  <c:v>1164926652.9638162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600947377</c:v>
                </c:pt>
                <c:pt idx="1">
                  <c:v>756077374</c:v>
                </c:pt>
                <c:pt idx="2">
                  <c:v>237669971</c:v>
                </c:pt>
                <c:pt idx="3">
                  <c:v>1063677662</c:v>
                </c:pt>
                <c:pt idx="4">
                  <c:v>1075248135</c:v>
                </c:pt>
                <c:pt idx="5">
                  <c:v>1087061380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2" width="11.6640625" style="190" hidden="1" customWidth="1"/>
    <col min="33" max="33" width="11.6640625" style="190" bestFit="1" customWidth="1"/>
    <col min="34" max="36" width="11.6640625" style="190" hidden="1" customWidth="1"/>
    <col min="37" max="39" width="11.6640625" style="190" bestFit="1" customWidth="1"/>
    <col min="40" max="40" width="9.5546875" style="190" hidden="1" customWidth="1"/>
    <col min="41" max="16384" width="8.88671875" style="190"/>
  </cols>
  <sheetData>
    <row r="1" spans="1:40"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row>
    <row r="5" spans="1:4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961507027</v>
      </c>
      <c r="C7" s="190">
        <v>1330968957</v>
      </c>
      <c r="D7" s="190">
        <v>942917877</v>
      </c>
      <c r="E7" s="190">
        <v>1459967398</v>
      </c>
      <c r="F7" s="190">
        <v>1158763984</v>
      </c>
      <c r="G7" s="190">
        <v>1063269695</v>
      </c>
      <c r="H7" s="190">
        <v>804090063</v>
      </c>
      <c r="I7" s="190">
        <v>664903962</v>
      </c>
      <c r="J7" s="190">
        <v>861814178</v>
      </c>
      <c r="K7" s="190">
        <v>945158182</v>
      </c>
      <c r="L7" s="190">
        <v>916084123</v>
      </c>
      <c r="M7" s="190">
        <v>1114331622</v>
      </c>
      <c r="N7" s="190">
        <v>994554387</v>
      </c>
      <c r="O7" s="190">
        <v>1186789720</v>
      </c>
      <c r="P7" s="190">
        <v>1216718671</v>
      </c>
      <c r="Q7" s="190">
        <v>979589672</v>
      </c>
      <c r="R7" s="190">
        <v>986708464</v>
      </c>
      <c r="S7" s="190">
        <v>1215020469</v>
      </c>
      <c r="T7" s="190">
        <v>1247220491</v>
      </c>
      <c r="U7" s="190">
        <v>1039219642</v>
      </c>
      <c r="V7" s="190">
        <v>1129671746</v>
      </c>
      <c r="W7" s="190">
        <v>1198483438</v>
      </c>
      <c r="X7" s="190">
        <v>1060438014</v>
      </c>
      <c r="Y7" s="190">
        <v>1024793376</v>
      </c>
      <c r="Z7" s="190">
        <v>797288206</v>
      </c>
      <c r="AA7" s="190">
        <v>849410167</v>
      </c>
      <c r="AB7" s="190">
        <v>808413759</v>
      </c>
      <c r="AC7" s="190">
        <v>936458381</v>
      </c>
      <c r="AD7" s="190">
        <v>624634341</v>
      </c>
      <c r="AE7" s="190">
        <v>553299777</v>
      </c>
      <c r="AF7" s="190">
        <v>485693928</v>
      </c>
      <c r="AG7" s="190">
        <v>628137115</v>
      </c>
      <c r="AH7" s="190">
        <v>590102710</v>
      </c>
      <c r="AI7" s="190">
        <v>446477823</v>
      </c>
      <c r="AJ7" s="190">
        <v>274735872</v>
      </c>
      <c r="AK7" s="190">
        <v>493044395</v>
      </c>
      <c r="AL7" s="190">
        <v>365001766</v>
      </c>
      <c r="AM7" s="190">
        <v>103347302</v>
      </c>
      <c r="AN7" s="190">
        <v>0</v>
      </c>
    </row>
    <row r="8" spans="1:40" x14ac:dyDescent="0.25">
      <c r="A8" s="190" t="s">
        <v>112</v>
      </c>
      <c r="B8" s="190">
        <v>6069676132</v>
      </c>
      <c r="C8" s="190">
        <v>5823948357</v>
      </c>
      <c r="D8" s="190">
        <v>5956861305</v>
      </c>
      <c r="E8" s="190">
        <v>4862076913</v>
      </c>
      <c r="F8" s="190">
        <v>4672799009</v>
      </c>
      <c r="G8" s="190">
        <v>4141109424</v>
      </c>
      <c r="H8" s="190">
        <v>4004700152</v>
      </c>
      <c r="I8" s="190">
        <v>3558700031</v>
      </c>
      <c r="J8" s="190">
        <v>3479177100</v>
      </c>
      <c r="K8" s="190">
        <v>3298830553</v>
      </c>
      <c r="L8" s="190">
        <v>3081439131</v>
      </c>
      <c r="M8" s="190">
        <v>2671497736</v>
      </c>
      <c r="N8" s="190">
        <v>2746557625</v>
      </c>
      <c r="O8" s="190">
        <v>2763297243</v>
      </c>
      <c r="P8" s="190">
        <v>2743745016</v>
      </c>
      <c r="Q8" s="190">
        <v>2623137339</v>
      </c>
      <c r="R8" s="190">
        <v>2620691993</v>
      </c>
      <c r="S8" s="190">
        <v>2488762372</v>
      </c>
      <c r="T8" s="190">
        <v>2461419824</v>
      </c>
      <c r="U8" s="190">
        <v>2170850809</v>
      </c>
      <c r="V8" s="190">
        <v>2067387429</v>
      </c>
      <c r="W8" s="190">
        <v>1872640600</v>
      </c>
      <c r="X8" s="190">
        <v>1877331973</v>
      </c>
      <c r="Y8" s="190">
        <v>1621275186</v>
      </c>
      <c r="Z8" s="190">
        <v>1747812844</v>
      </c>
      <c r="AA8" s="190">
        <v>1496721042</v>
      </c>
      <c r="AB8" s="190">
        <v>1446852311</v>
      </c>
      <c r="AC8" s="190">
        <v>1315314522</v>
      </c>
      <c r="AD8" s="190">
        <v>1161344502</v>
      </c>
      <c r="AE8" s="190">
        <v>1022007085</v>
      </c>
      <c r="AF8" s="190">
        <v>1060496062</v>
      </c>
      <c r="AG8" s="190">
        <v>923992954</v>
      </c>
      <c r="AH8" s="190">
        <v>796652302</v>
      </c>
      <c r="AI8" s="190">
        <v>767832060</v>
      </c>
      <c r="AJ8" s="190">
        <v>797587958</v>
      </c>
      <c r="AK8" s="190">
        <v>615204803</v>
      </c>
      <c r="AL8" s="190">
        <v>475575770</v>
      </c>
      <c r="AM8" s="190">
        <v>379489249</v>
      </c>
      <c r="AN8" s="190">
        <v>0</v>
      </c>
    </row>
    <row r="9" spans="1:40" x14ac:dyDescent="0.25">
      <c r="A9" s="190" t="s">
        <v>113</v>
      </c>
      <c r="B9" s="190">
        <v>757094706</v>
      </c>
      <c r="C9" s="190">
        <v>442377860</v>
      </c>
      <c r="D9" s="190">
        <v>461158220</v>
      </c>
      <c r="E9" s="190">
        <v>428638159</v>
      </c>
      <c r="F9" s="190">
        <v>577346225</v>
      </c>
      <c r="G9" s="190">
        <v>307432449</v>
      </c>
      <c r="H9" s="190">
        <v>302017639</v>
      </c>
      <c r="I9" s="190">
        <v>276801761</v>
      </c>
      <c r="J9" s="190">
        <v>129144545</v>
      </c>
      <c r="K9" s="190">
        <v>161047205</v>
      </c>
      <c r="L9" s="190">
        <v>179523721</v>
      </c>
      <c r="M9" s="190">
        <v>212477375</v>
      </c>
      <c r="N9" s="190">
        <v>279496823</v>
      </c>
      <c r="O9" s="190">
        <v>258521903</v>
      </c>
      <c r="P9" s="190">
        <v>294949495</v>
      </c>
      <c r="Q9" s="190">
        <v>260775144</v>
      </c>
      <c r="R9" s="190">
        <v>315210938</v>
      </c>
      <c r="S9" s="190">
        <v>208824632</v>
      </c>
      <c r="T9" s="190">
        <v>226216862</v>
      </c>
      <c r="U9" s="190">
        <v>252053483</v>
      </c>
      <c r="V9" s="190">
        <v>400249222</v>
      </c>
      <c r="W9" s="190">
        <v>618676906</v>
      </c>
      <c r="X9" s="190">
        <v>652260604</v>
      </c>
      <c r="Y9" s="190">
        <v>609822394</v>
      </c>
      <c r="Z9" s="190">
        <v>460022995</v>
      </c>
      <c r="AA9" s="190">
        <v>145851693</v>
      </c>
      <c r="AB9" s="190">
        <v>136108462</v>
      </c>
      <c r="AC9" s="190">
        <v>101693648</v>
      </c>
      <c r="AD9" s="190">
        <v>128516157</v>
      </c>
      <c r="AE9" s="190">
        <v>122825784</v>
      </c>
      <c r="AF9" s="190">
        <v>161081961</v>
      </c>
      <c r="AG9" s="190">
        <v>100745209</v>
      </c>
      <c r="AH9" s="190">
        <v>132651999</v>
      </c>
      <c r="AI9" s="190">
        <v>92752188</v>
      </c>
      <c r="AJ9" s="190">
        <v>71495925</v>
      </c>
      <c r="AK9" s="190">
        <v>47980945</v>
      </c>
      <c r="AL9" s="190">
        <v>34542999</v>
      </c>
      <c r="AM9" s="190">
        <v>25960770</v>
      </c>
      <c r="AN9" s="190">
        <v>0</v>
      </c>
    </row>
    <row r="10" spans="1:40" x14ac:dyDescent="0.25">
      <c r="A10" s="190" t="s">
        <v>114</v>
      </c>
      <c r="B10" s="190">
        <v>0</v>
      </c>
      <c r="C10" s="190">
        <v>11623467</v>
      </c>
      <c r="D10" s="190">
        <v>11252142</v>
      </c>
      <c r="E10" s="190">
        <v>11242977</v>
      </c>
      <c r="F10" s="190">
        <v>11490490</v>
      </c>
      <c r="G10" s="190">
        <v>10691486</v>
      </c>
      <c r="H10" s="190">
        <v>9672194</v>
      </c>
      <c r="I10" s="190">
        <v>9769097</v>
      </c>
      <c r="J10" s="190">
        <v>50826511</v>
      </c>
      <c r="K10" s="190">
        <v>47871877</v>
      </c>
      <c r="L10" s="190">
        <v>85729285</v>
      </c>
      <c r="M10" s="190">
        <v>79177680</v>
      </c>
      <c r="N10" s="190">
        <v>71782433</v>
      </c>
      <c r="O10" s="190">
        <v>94050836</v>
      </c>
      <c r="P10" s="190">
        <v>88203952</v>
      </c>
      <c r="Q10" s="190">
        <v>79222199</v>
      </c>
      <c r="R10" s="190">
        <v>67695669</v>
      </c>
      <c r="S10" s="190">
        <v>56032021</v>
      </c>
      <c r="T10" s="190">
        <v>47373678</v>
      </c>
      <c r="U10" s="190">
        <v>40333690</v>
      </c>
      <c r="V10" s="190">
        <v>38542623</v>
      </c>
      <c r="W10" s="190">
        <v>33188326</v>
      </c>
      <c r="X10" s="190">
        <v>22107366</v>
      </c>
      <c r="Y10" s="190">
        <v>25793007</v>
      </c>
      <c r="Z10" s="190">
        <v>18928842</v>
      </c>
      <c r="AA10" s="190">
        <v>14522743</v>
      </c>
      <c r="AB10" s="190">
        <v>8521087</v>
      </c>
      <c r="AC10" s="190">
        <v>6205565</v>
      </c>
      <c r="AD10" s="190">
        <v>13508494</v>
      </c>
      <c r="AE10" s="190">
        <v>2832544</v>
      </c>
      <c r="AF10" s="190">
        <v>35348750</v>
      </c>
      <c r="AG10" s="190">
        <v>23541000</v>
      </c>
      <c r="AH10" s="190">
        <v>19473113</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122820618</v>
      </c>
      <c r="C12" s="190">
        <v>169565002</v>
      </c>
      <c r="D12" s="190">
        <v>164580081</v>
      </c>
      <c r="E12" s="190">
        <v>73013175</v>
      </c>
      <c r="F12" s="190">
        <v>100068426</v>
      </c>
      <c r="G12" s="190">
        <v>100498614</v>
      </c>
      <c r="H12" s="190">
        <v>104532540</v>
      </c>
      <c r="I12" s="190">
        <v>94357714</v>
      </c>
      <c r="J12" s="190">
        <v>108417315</v>
      </c>
      <c r="K12" s="190">
        <v>109804519</v>
      </c>
      <c r="L12" s="190">
        <v>109663162</v>
      </c>
      <c r="M12" s="190">
        <v>105410356</v>
      </c>
      <c r="N12" s="190">
        <v>126739992</v>
      </c>
      <c r="O12" s="190">
        <v>123238258</v>
      </c>
      <c r="P12" s="190">
        <v>159666975</v>
      </c>
      <c r="Q12" s="190">
        <v>183080038</v>
      </c>
      <c r="R12" s="190">
        <v>182321889</v>
      </c>
      <c r="S12" s="190">
        <v>184321629</v>
      </c>
      <c r="T12" s="190">
        <v>209875219</v>
      </c>
      <c r="U12" s="190">
        <v>204326652</v>
      </c>
      <c r="V12" s="190">
        <v>69092465</v>
      </c>
      <c r="W12" s="190">
        <v>76795809</v>
      </c>
      <c r="X12" s="190">
        <v>99414727</v>
      </c>
      <c r="Y12" s="190">
        <v>83557482</v>
      </c>
      <c r="Z12" s="190">
        <v>130085535</v>
      </c>
      <c r="AA12" s="190">
        <v>113541528</v>
      </c>
      <c r="AB12" s="190">
        <v>43427330</v>
      </c>
      <c r="AC12" s="190">
        <v>44928023</v>
      </c>
      <c r="AD12" s="190">
        <v>104273714</v>
      </c>
      <c r="AE12" s="190">
        <v>113918430</v>
      </c>
      <c r="AF12" s="190">
        <v>303606698</v>
      </c>
      <c r="AG12" s="190">
        <v>24494576</v>
      </c>
      <c r="AH12" s="190">
        <v>97751885</v>
      </c>
      <c r="AI12" s="190">
        <v>28609884</v>
      </c>
      <c r="AJ12" s="190">
        <v>39543624</v>
      </c>
      <c r="AK12" s="190">
        <v>27092356</v>
      </c>
      <c r="AL12" s="190">
        <v>16795039</v>
      </c>
      <c r="AM12" s="190">
        <v>14304798</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2255701063</v>
      </c>
      <c r="C14" s="190">
        <v>2497410759</v>
      </c>
      <c r="D14" s="190">
        <v>2418364980</v>
      </c>
      <c r="E14" s="190">
        <v>2500483830</v>
      </c>
      <c r="F14" s="190">
        <v>1987051682</v>
      </c>
      <c r="G14" s="190">
        <v>2058294263</v>
      </c>
      <c r="H14" s="190">
        <v>2096792772</v>
      </c>
      <c r="I14" s="190">
        <v>2133159443</v>
      </c>
      <c r="J14" s="190">
        <v>1885910259</v>
      </c>
      <c r="K14" s="190">
        <v>1965474140</v>
      </c>
      <c r="L14" s="190">
        <v>2118694944</v>
      </c>
      <c r="M14" s="190">
        <v>2207327953</v>
      </c>
      <c r="N14" s="190">
        <v>2011699929</v>
      </c>
      <c r="O14" s="190">
        <v>1977530135</v>
      </c>
      <c r="P14" s="190">
        <v>2089868350</v>
      </c>
      <c r="Q14" s="190">
        <v>2073483647</v>
      </c>
      <c r="R14" s="190">
        <v>1784499578</v>
      </c>
      <c r="S14" s="190">
        <v>1717465345</v>
      </c>
      <c r="T14" s="190">
        <v>1693092856</v>
      </c>
      <c r="U14" s="190">
        <v>1767961037</v>
      </c>
      <c r="V14" s="190">
        <v>1552379936</v>
      </c>
      <c r="W14" s="190">
        <v>1395386034</v>
      </c>
      <c r="X14" s="190">
        <v>1387791329</v>
      </c>
      <c r="Y14" s="190">
        <v>1331644242</v>
      </c>
      <c r="Z14" s="190">
        <v>1248511438</v>
      </c>
      <c r="AA14" s="190">
        <v>1190352497</v>
      </c>
      <c r="AB14" s="190">
        <v>1140664580</v>
      </c>
      <c r="AC14" s="190">
        <v>1089514665</v>
      </c>
      <c r="AD14" s="190">
        <v>1184426131</v>
      </c>
      <c r="AE14" s="190">
        <v>1156303177</v>
      </c>
      <c r="AF14" s="190">
        <v>905424273</v>
      </c>
      <c r="AG14" s="190">
        <v>826849320</v>
      </c>
      <c r="AH14" s="190">
        <v>756587980</v>
      </c>
      <c r="AI14" s="190">
        <v>729638603</v>
      </c>
      <c r="AJ14" s="190">
        <v>700983560</v>
      </c>
      <c r="AK14" s="190">
        <v>595205126</v>
      </c>
      <c r="AL14" s="190">
        <v>576729937</v>
      </c>
      <c r="AM14" s="190">
        <v>478666162</v>
      </c>
      <c r="AN14" s="190">
        <v>0</v>
      </c>
    </row>
    <row r="15" spans="1:40" x14ac:dyDescent="0.25">
      <c r="A15" s="190" t="s">
        <v>119</v>
      </c>
      <c r="B15" s="190">
        <v>0</v>
      </c>
      <c r="C15" s="190">
        <v>0</v>
      </c>
      <c r="D15" s="190">
        <v>0</v>
      </c>
      <c r="E15" s="190">
        <v>0</v>
      </c>
      <c r="F15" s="190">
        <v>0</v>
      </c>
      <c r="G15" s="190">
        <v>0</v>
      </c>
      <c r="H15" s="190">
        <v>15281593</v>
      </c>
      <c r="I15" s="190">
        <v>15281593</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366502498</v>
      </c>
      <c r="C19" s="190">
        <v>548229229</v>
      </c>
      <c r="D19" s="190">
        <v>605271971</v>
      </c>
      <c r="E19" s="190">
        <v>1051835351</v>
      </c>
      <c r="F19" s="190">
        <v>1045505348</v>
      </c>
      <c r="G19" s="190">
        <v>703670981</v>
      </c>
      <c r="H19" s="190">
        <v>581624354</v>
      </c>
      <c r="I19" s="190">
        <v>766545996</v>
      </c>
      <c r="J19" s="190">
        <v>905773096</v>
      </c>
      <c r="K19" s="190">
        <v>967379134</v>
      </c>
      <c r="L19" s="190">
        <v>1002316892</v>
      </c>
      <c r="M19" s="190">
        <v>912502461</v>
      </c>
      <c r="N19" s="190">
        <v>617839458</v>
      </c>
      <c r="O19" s="190">
        <v>573738118</v>
      </c>
      <c r="P19" s="190">
        <v>483316926</v>
      </c>
      <c r="Q19" s="190">
        <v>475085736</v>
      </c>
      <c r="R19" s="190">
        <v>417937284</v>
      </c>
      <c r="S19" s="190">
        <v>413566144</v>
      </c>
      <c r="T19" s="190">
        <v>408350175</v>
      </c>
      <c r="U19" s="190">
        <v>431888212</v>
      </c>
      <c r="V19" s="190">
        <v>335894352</v>
      </c>
      <c r="W19" s="190">
        <v>304913990</v>
      </c>
      <c r="X19" s="190">
        <v>256931991</v>
      </c>
      <c r="Y19" s="190">
        <v>250042529</v>
      </c>
      <c r="Z19" s="190">
        <v>148505985</v>
      </c>
      <c r="AA19" s="190">
        <v>111091381</v>
      </c>
      <c r="AB19" s="190">
        <v>74607091</v>
      </c>
      <c r="AC19" s="190">
        <v>77930882</v>
      </c>
      <c r="AD19" s="190">
        <v>0</v>
      </c>
      <c r="AE19" s="190">
        <v>0</v>
      </c>
      <c r="AF19" s="190">
        <v>0</v>
      </c>
      <c r="AG19" s="190">
        <v>0</v>
      </c>
      <c r="AH19" s="190">
        <v>0</v>
      </c>
      <c r="AI19" s="190">
        <v>0</v>
      </c>
      <c r="AJ19" s="190">
        <v>0</v>
      </c>
      <c r="AK19" s="190">
        <v>0</v>
      </c>
      <c r="AL19" s="190">
        <v>0</v>
      </c>
      <c r="AM19" s="190">
        <v>0</v>
      </c>
      <c r="AN19" s="190">
        <v>0</v>
      </c>
    </row>
    <row r="20" spans="1:40" x14ac:dyDescent="0.25">
      <c r="A20" s="190" t="s">
        <v>124</v>
      </c>
      <c r="B20" s="190">
        <v>12644163016</v>
      </c>
      <c r="C20" s="190">
        <v>11916010741</v>
      </c>
      <c r="D20" s="190">
        <v>12369862716</v>
      </c>
      <c r="E20" s="190">
        <v>11618685069</v>
      </c>
      <c r="F20" s="190">
        <v>11010013501</v>
      </c>
      <c r="G20" s="190">
        <v>9294687765</v>
      </c>
      <c r="H20" s="190">
        <v>10249381343</v>
      </c>
      <c r="I20" s="190">
        <v>8747565471</v>
      </c>
      <c r="J20" s="190">
        <v>9262501176</v>
      </c>
      <c r="K20" s="190">
        <v>9586007504</v>
      </c>
      <c r="L20" s="190">
        <v>9570390586</v>
      </c>
      <c r="M20" s="190">
        <v>9153453303</v>
      </c>
      <c r="N20" s="190">
        <v>8955680923</v>
      </c>
      <c r="O20" s="190">
        <v>8442790684</v>
      </c>
      <c r="P20" s="190">
        <v>8652518510</v>
      </c>
      <c r="Q20" s="190">
        <v>8704149725</v>
      </c>
      <c r="R20" s="190">
        <v>8425924682</v>
      </c>
      <c r="S20" s="190">
        <v>8251693824</v>
      </c>
      <c r="T20" s="190">
        <v>8317779711</v>
      </c>
      <c r="U20" s="190">
        <v>8186722194</v>
      </c>
      <c r="V20" s="190">
        <v>8756479288</v>
      </c>
      <c r="W20" s="190">
        <v>7643540820</v>
      </c>
      <c r="X20" s="190">
        <v>8446249214</v>
      </c>
      <c r="Y20" s="190">
        <v>7305606594</v>
      </c>
      <c r="Z20" s="190">
        <v>6688977469</v>
      </c>
      <c r="AA20" s="190">
        <v>7583528371</v>
      </c>
      <c r="AB20" s="190">
        <v>5291901406</v>
      </c>
      <c r="AC20" s="190">
        <v>5662787393</v>
      </c>
      <c r="AD20" s="190">
        <v>5967680593</v>
      </c>
      <c r="AE20" s="190">
        <v>5879377145</v>
      </c>
      <c r="AF20" s="190">
        <v>6505192878</v>
      </c>
      <c r="AG20" s="190">
        <v>6735231098</v>
      </c>
      <c r="AH20" s="190">
        <v>6866555721</v>
      </c>
      <c r="AI20" s="190">
        <v>7004580813</v>
      </c>
      <c r="AJ20" s="190">
        <v>2286211639</v>
      </c>
      <c r="AK20" s="190">
        <v>2295134388</v>
      </c>
      <c r="AL20" s="190">
        <v>1809856579</v>
      </c>
      <c r="AM20" s="190">
        <v>1104892429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0</v>
      </c>
      <c r="C23" s="190">
        <v>0</v>
      </c>
      <c r="D23" s="190">
        <v>0</v>
      </c>
      <c r="E23" s="190">
        <v>0</v>
      </c>
      <c r="F23" s="190">
        <v>1677425468</v>
      </c>
      <c r="G23" s="190">
        <v>1384221653</v>
      </c>
      <c r="H23" s="190">
        <v>1304267095</v>
      </c>
      <c r="I23" s="190">
        <v>955777101</v>
      </c>
      <c r="J23" s="190">
        <v>879914715</v>
      </c>
      <c r="K23" s="190">
        <v>697919249</v>
      </c>
      <c r="L23" s="190">
        <v>634632930</v>
      </c>
      <c r="M23" s="190">
        <v>292921399</v>
      </c>
      <c r="N23" s="190">
        <v>218252558</v>
      </c>
      <c r="O23" s="190">
        <v>323129793</v>
      </c>
      <c r="P23" s="190">
        <v>390157395</v>
      </c>
      <c r="Q23" s="190">
        <v>408057207</v>
      </c>
      <c r="R23" s="190">
        <v>445640198</v>
      </c>
      <c r="S23" s="190">
        <v>344665848</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row>
    <row r="26" spans="1:40" x14ac:dyDescent="0.25">
      <c r="A26" s="190" t="s">
        <v>130</v>
      </c>
      <c r="B26" s="190">
        <v>2249829856</v>
      </c>
      <c r="C26" s="190">
        <v>2198462061</v>
      </c>
      <c r="D26" s="190">
        <v>2111120489</v>
      </c>
      <c r="E26" s="190">
        <v>2137711137</v>
      </c>
      <c r="F26" s="190">
        <v>107552356</v>
      </c>
      <c r="G26" s="190">
        <v>84406124</v>
      </c>
      <c r="H26" s="190">
        <v>133530499</v>
      </c>
      <c r="I26" s="190">
        <v>31858516</v>
      </c>
      <c r="J26" s="190">
        <v>48464682</v>
      </c>
      <c r="K26" s="190">
        <v>53327271</v>
      </c>
      <c r="L26" s="190">
        <v>50197923</v>
      </c>
      <c r="M26" s="190">
        <v>49480454</v>
      </c>
      <c r="N26" s="190">
        <v>48900473</v>
      </c>
      <c r="O26" s="190">
        <v>48164967</v>
      </c>
      <c r="P26" s="190">
        <v>47840278</v>
      </c>
      <c r="Q26" s="190">
        <v>47229640</v>
      </c>
      <c r="R26" s="190">
        <v>34122714</v>
      </c>
      <c r="S26" s="190">
        <v>31691005</v>
      </c>
      <c r="T26" s="190">
        <v>30523074</v>
      </c>
      <c r="U26" s="190">
        <v>30472850</v>
      </c>
      <c r="V26" s="190">
        <v>29053620</v>
      </c>
      <c r="W26" s="190">
        <v>28728878</v>
      </c>
      <c r="X26" s="190">
        <v>28739943</v>
      </c>
      <c r="Y26" s="190">
        <v>28520653</v>
      </c>
      <c r="Z26" s="190">
        <v>28224838</v>
      </c>
      <c r="AA26" s="190">
        <v>27029317</v>
      </c>
      <c r="AB26" s="190">
        <v>26918902</v>
      </c>
      <c r="AC26" s="190">
        <v>9696608</v>
      </c>
      <c r="AD26" s="190">
        <v>10000000</v>
      </c>
      <c r="AE26" s="190">
        <v>0</v>
      </c>
      <c r="AF26" s="190">
        <v>0</v>
      </c>
      <c r="AG26" s="190">
        <v>0</v>
      </c>
      <c r="AH26" s="190">
        <v>0</v>
      </c>
      <c r="AI26" s="190">
        <v>0</v>
      </c>
      <c r="AJ26" s="190">
        <v>0</v>
      </c>
      <c r="AK26" s="190">
        <v>0</v>
      </c>
      <c r="AL26" s="190">
        <v>0</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10737176339</v>
      </c>
      <c r="C28" s="190">
        <v>10882963531</v>
      </c>
      <c r="D28" s="190">
        <v>10843392053</v>
      </c>
      <c r="E28" s="190">
        <v>11065168592</v>
      </c>
      <c r="F28" s="190">
        <v>9200960260</v>
      </c>
      <c r="G28" s="190">
        <v>9313654914</v>
      </c>
      <c r="H28" s="190">
        <v>9456339473</v>
      </c>
      <c r="I28" s="190">
        <v>9585755344</v>
      </c>
      <c r="J28" s="190">
        <v>9080085844</v>
      </c>
      <c r="K28" s="190">
        <v>6778494527</v>
      </c>
      <c r="L28" s="190">
        <v>5950061583</v>
      </c>
      <c r="M28" s="190">
        <v>6039146034</v>
      </c>
      <c r="N28" s="190">
        <v>5922117108</v>
      </c>
      <c r="O28" s="190">
        <v>5985751031</v>
      </c>
      <c r="P28" s="190">
        <v>6039351072</v>
      </c>
      <c r="Q28" s="190">
        <v>5960676721</v>
      </c>
      <c r="R28" s="190">
        <v>5647760322</v>
      </c>
      <c r="S28" s="190">
        <v>5747509870</v>
      </c>
      <c r="T28" s="190">
        <v>5129743300</v>
      </c>
      <c r="U28" s="190">
        <v>5101749181</v>
      </c>
      <c r="V28" s="190">
        <v>4743066811</v>
      </c>
      <c r="W28" s="190">
        <v>2223412019</v>
      </c>
      <c r="X28" s="190">
        <v>2213459410</v>
      </c>
      <c r="Y28" s="190">
        <v>2085341425</v>
      </c>
      <c r="Z28" s="190">
        <v>1730854657</v>
      </c>
      <c r="AA28" s="190">
        <v>1722671203</v>
      </c>
      <c r="AB28" s="190">
        <v>1721301843</v>
      </c>
      <c r="AC28" s="190">
        <v>1511918837</v>
      </c>
      <c r="AD28" s="190">
        <v>1385711008</v>
      </c>
      <c r="AE28" s="190">
        <v>1383298110</v>
      </c>
      <c r="AF28" s="190">
        <v>1215969770</v>
      </c>
      <c r="AG28" s="190">
        <v>1008002267</v>
      </c>
      <c r="AH28" s="190">
        <v>833034861</v>
      </c>
      <c r="AI28" s="190">
        <v>774499539</v>
      </c>
      <c r="AJ28" s="190">
        <v>766260798</v>
      </c>
      <c r="AK28" s="190">
        <v>745881028</v>
      </c>
      <c r="AL28" s="190">
        <v>646026284</v>
      </c>
      <c r="AM28" s="190">
        <v>471346049</v>
      </c>
      <c r="AN28" s="190">
        <v>0</v>
      </c>
    </row>
    <row r="29" spans="1:40" x14ac:dyDescent="0.25">
      <c r="A29" s="190" t="s">
        <v>133</v>
      </c>
      <c r="B29" s="190">
        <v>1143060791</v>
      </c>
      <c r="C29" s="190">
        <v>1097402902</v>
      </c>
      <c r="D29" s="190">
        <v>1188215864</v>
      </c>
      <c r="E29" s="190">
        <v>1088992443</v>
      </c>
      <c r="F29" s="190">
        <v>2835706010</v>
      </c>
      <c r="G29" s="190">
        <v>2622654777</v>
      </c>
      <c r="H29" s="190">
        <v>2348261884</v>
      </c>
      <c r="I29" s="190">
        <v>2106219842</v>
      </c>
      <c r="J29" s="190">
        <v>2566345922</v>
      </c>
      <c r="K29" s="190">
        <v>4896951830</v>
      </c>
      <c r="L29" s="190">
        <v>5641849566</v>
      </c>
      <c r="M29" s="190">
        <v>5317974996</v>
      </c>
      <c r="N29" s="190">
        <v>5196889718</v>
      </c>
      <c r="O29" s="190">
        <v>5005354297</v>
      </c>
      <c r="P29" s="190">
        <v>4603773459</v>
      </c>
      <c r="Q29" s="190">
        <v>4341321555</v>
      </c>
      <c r="R29" s="190">
        <v>4039644614</v>
      </c>
      <c r="S29" s="190">
        <v>2898227210</v>
      </c>
      <c r="T29" s="190">
        <v>3015302501</v>
      </c>
      <c r="U29" s="190">
        <v>2852281447</v>
      </c>
      <c r="V29" s="190">
        <v>2801961021</v>
      </c>
      <c r="W29" s="190">
        <v>4723569573</v>
      </c>
      <c r="X29" s="190">
        <v>4113866404</v>
      </c>
      <c r="Y29" s="190">
        <v>3701743016</v>
      </c>
      <c r="Z29" s="190">
        <v>3582866892</v>
      </c>
      <c r="AA29" s="190">
        <v>2102743128</v>
      </c>
      <c r="AB29" s="190">
        <v>1804769139</v>
      </c>
      <c r="AC29" s="190">
        <v>1577006612</v>
      </c>
      <c r="AD29" s="190">
        <v>840487523</v>
      </c>
      <c r="AE29" s="190">
        <v>523681827</v>
      </c>
      <c r="AF29" s="190">
        <v>359092142</v>
      </c>
      <c r="AG29" s="190">
        <v>417342403</v>
      </c>
      <c r="AH29" s="190">
        <v>385812627</v>
      </c>
      <c r="AI29" s="190">
        <v>229805130</v>
      </c>
      <c r="AJ29" s="190">
        <v>154853335</v>
      </c>
      <c r="AK29" s="190">
        <v>136969809</v>
      </c>
      <c r="AL29" s="190">
        <v>48310782</v>
      </c>
      <c r="AM29" s="190">
        <v>77930791</v>
      </c>
      <c r="AN29" s="190">
        <v>0</v>
      </c>
    </row>
    <row r="30" spans="1:40" x14ac:dyDescent="0.25">
      <c r="A30" s="190" t="s">
        <v>134</v>
      </c>
      <c r="B30" s="190">
        <v>0</v>
      </c>
      <c r="C30" s="190">
        <v>2207859</v>
      </c>
      <c r="D30" s="190">
        <v>2116588</v>
      </c>
      <c r="E30" s="190">
        <v>2729874</v>
      </c>
      <c r="F30" s="190">
        <v>3753428</v>
      </c>
      <c r="G30" s="190">
        <v>2411784</v>
      </c>
      <c r="H30" s="190">
        <v>16000</v>
      </c>
      <c r="I30" s="190">
        <v>16000</v>
      </c>
      <c r="J30" s="190">
        <v>3770803</v>
      </c>
      <c r="K30" s="190">
        <v>7136077</v>
      </c>
      <c r="L30" s="190">
        <v>8454129</v>
      </c>
      <c r="M30" s="190">
        <v>9305532</v>
      </c>
      <c r="N30" s="190">
        <v>6952196</v>
      </c>
      <c r="O30" s="190">
        <v>4912450</v>
      </c>
      <c r="P30" s="190">
        <v>21732051</v>
      </c>
      <c r="Q30" s="190">
        <v>22109493</v>
      </c>
      <c r="R30" s="190">
        <v>30982759</v>
      </c>
      <c r="S30" s="190">
        <v>24651170</v>
      </c>
      <c r="T30" s="190">
        <v>33376063</v>
      </c>
      <c r="U30" s="190">
        <v>48587647</v>
      </c>
      <c r="V30" s="190">
        <v>44278495</v>
      </c>
      <c r="W30" s="190">
        <v>53293980</v>
      </c>
      <c r="X30" s="190">
        <v>50886718</v>
      </c>
      <c r="Y30" s="190">
        <v>69617047</v>
      </c>
      <c r="Z30" s="190">
        <v>57162168</v>
      </c>
      <c r="AA30" s="190">
        <v>117610792</v>
      </c>
      <c r="AB30" s="190">
        <v>36616162</v>
      </c>
      <c r="AC30" s="190">
        <v>4797571</v>
      </c>
      <c r="AD30" s="190">
        <v>734891749</v>
      </c>
      <c r="AE30" s="190">
        <v>623753675</v>
      </c>
      <c r="AF30" s="190">
        <v>360646284</v>
      </c>
      <c r="AG30" s="190">
        <v>173579459</v>
      </c>
      <c r="AH30" s="190">
        <v>60954208</v>
      </c>
      <c r="AI30" s="190">
        <v>51607646</v>
      </c>
      <c r="AJ30" s="190">
        <v>97194622</v>
      </c>
      <c r="AK30" s="190">
        <v>65789676</v>
      </c>
      <c r="AL30" s="190">
        <v>56143444</v>
      </c>
      <c r="AM30" s="190">
        <v>32683060</v>
      </c>
      <c r="AN30" s="190">
        <v>0</v>
      </c>
    </row>
    <row r="31" spans="1:40" x14ac:dyDescent="0.25">
      <c r="A31" s="190" t="s">
        <v>135</v>
      </c>
      <c r="B31" s="190">
        <v>0</v>
      </c>
      <c r="C31" s="190">
        <v>201978</v>
      </c>
      <c r="D31" s="190">
        <v>82955</v>
      </c>
      <c r="E31" s="190">
        <v>0</v>
      </c>
      <c r="F31" s="190">
        <v>365616</v>
      </c>
      <c r="G31" s="190">
        <v>158201</v>
      </c>
      <c r="H31" s="190">
        <v>107446</v>
      </c>
      <c r="I31" s="190">
        <v>0</v>
      </c>
      <c r="J31" s="190">
        <v>37890</v>
      </c>
      <c r="K31" s="190">
        <v>329708</v>
      </c>
      <c r="L31" s="190">
        <v>308103</v>
      </c>
      <c r="M31" s="190">
        <v>0</v>
      </c>
      <c r="N31" s="190">
        <v>0</v>
      </c>
      <c r="O31" s="190">
        <v>0</v>
      </c>
      <c r="P31" s="190">
        <v>209162</v>
      </c>
      <c r="Q31" s="190">
        <v>0</v>
      </c>
      <c r="R31" s="190">
        <v>37775553</v>
      </c>
      <c r="S31" s="190">
        <v>37729340</v>
      </c>
      <c r="T31" s="190">
        <v>36376423</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931805507</v>
      </c>
      <c r="C35" s="190">
        <v>940601835</v>
      </c>
      <c r="D35" s="190">
        <v>1007110912</v>
      </c>
      <c r="E35" s="190">
        <v>1047036415</v>
      </c>
      <c r="F35" s="190">
        <v>986390530</v>
      </c>
      <c r="G35" s="190">
        <v>1021153869</v>
      </c>
      <c r="H35" s="190">
        <v>1004012988</v>
      </c>
      <c r="I35" s="190">
        <v>1020799390</v>
      </c>
      <c r="J35" s="190">
        <v>997663750</v>
      </c>
      <c r="K35" s="190">
        <v>1008996623</v>
      </c>
      <c r="L35" s="190">
        <v>1016895802</v>
      </c>
      <c r="M35" s="190">
        <v>1031683032</v>
      </c>
      <c r="N35" s="190">
        <v>969066663</v>
      </c>
      <c r="O35" s="190">
        <v>982955257</v>
      </c>
      <c r="P35" s="190">
        <v>986309783</v>
      </c>
      <c r="Q35" s="190">
        <v>979668847</v>
      </c>
      <c r="R35" s="190">
        <v>1073230654</v>
      </c>
      <c r="S35" s="190">
        <v>1078650289</v>
      </c>
      <c r="T35" s="190">
        <v>1034481564</v>
      </c>
      <c r="U35" s="190">
        <v>1048164836</v>
      </c>
      <c r="V35" s="190">
        <v>1035969931</v>
      </c>
      <c r="W35" s="190">
        <v>1034877948</v>
      </c>
      <c r="X35" s="190">
        <v>972382118</v>
      </c>
      <c r="Y35" s="190">
        <v>987518068</v>
      </c>
      <c r="Z35" s="190">
        <v>949478917</v>
      </c>
      <c r="AA35" s="190">
        <v>963030792</v>
      </c>
      <c r="AB35" s="190">
        <v>909108560</v>
      </c>
      <c r="AC35" s="190">
        <v>893256680</v>
      </c>
      <c r="AD35" s="190">
        <v>778959730</v>
      </c>
      <c r="AE35" s="190">
        <v>769851579</v>
      </c>
      <c r="AF35" s="190">
        <v>481730831</v>
      </c>
      <c r="AG35" s="190">
        <v>339817381</v>
      </c>
      <c r="AH35" s="190">
        <v>127406506</v>
      </c>
      <c r="AI35" s="190">
        <v>84322457</v>
      </c>
      <c r="AJ35" s="190">
        <v>79733020</v>
      </c>
      <c r="AK35" s="190">
        <v>80215139</v>
      </c>
      <c r="AL35" s="190">
        <v>79876959</v>
      </c>
      <c r="AM35" s="190">
        <v>78194930</v>
      </c>
      <c r="AN35" s="190">
        <v>0</v>
      </c>
    </row>
    <row r="36" spans="1:40" x14ac:dyDescent="0.25">
      <c r="A36" s="190" t="s">
        <v>140</v>
      </c>
      <c r="B36" s="190">
        <v>496661078</v>
      </c>
      <c r="C36" s="190">
        <v>447988473</v>
      </c>
      <c r="D36" s="190">
        <v>392474312</v>
      </c>
      <c r="E36" s="190">
        <v>335606104</v>
      </c>
      <c r="F36" s="190">
        <v>386890525</v>
      </c>
      <c r="G36" s="190">
        <v>357184322</v>
      </c>
      <c r="H36" s="190">
        <v>306290741</v>
      </c>
      <c r="I36" s="190">
        <v>261456667</v>
      </c>
      <c r="J36" s="190">
        <v>291363507</v>
      </c>
      <c r="K36" s="190">
        <v>268472729</v>
      </c>
      <c r="L36" s="190">
        <v>233934092</v>
      </c>
      <c r="M36" s="190">
        <v>196597406</v>
      </c>
      <c r="N36" s="190">
        <v>223401514</v>
      </c>
      <c r="O36" s="190">
        <v>219071292</v>
      </c>
      <c r="P36" s="190">
        <v>177994929</v>
      </c>
      <c r="Q36" s="190">
        <v>132527870</v>
      </c>
      <c r="R36" s="190">
        <v>117401931</v>
      </c>
      <c r="S36" s="190">
        <v>105494631</v>
      </c>
      <c r="T36" s="190">
        <v>145796740</v>
      </c>
      <c r="U36" s="190">
        <v>140338648</v>
      </c>
      <c r="V36" s="190">
        <v>130374482</v>
      </c>
      <c r="W36" s="190">
        <v>95703770</v>
      </c>
      <c r="X36" s="190">
        <v>65433791</v>
      </c>
      <c r="Y36" s="190">
        <v>46963192</v>
      </c>
      <c r="Z36" s="190">
        <v>39163678</v>
      </c>
      <c r="AA36" s="190">
        <v>36998035</v>
      </c>
      <c r="AB36" s="190">
        <v>34751321</v>
      </c>
      <c r="AC36" s="190">
        <v>33216281</v>
      </c>
      <c r="AD36" s="190">
        <v>661524</v>
      </c>
      <c r="AE36" s="190">
        <v>238092</v>
      </c>
      <c r="AF36" s="190">
        <v>0</v>
      </c>
      <c r="AG36" s="190">
        <v>0</v>
      </c>
      <c r="AH36" s="190">
        <v>0</v>
      </c>
      <c r="AI36" s="190">
        <v>0</v>
      </c>
      <c r="AJ36" s="190">
        <v>0</v>
      </c>
      <c r="AK36" s="190">
        <v>0</v>
      </c>
      <c r="AL36" s="190">
        <v>0</v>
      </c>
      <c r="AM36" s="190">
        <v>0</v>
      </c>
      <c r="AN36" s="190">
        <v>0</v>
      </c>
    </row>
    <row r="37" spans="1:40" x14ac:dyDescent="0.25">
      <c r="A37" s="190" t="s">
        <v>141</v>
      </c>
      <c r="B37" s="190">
        <v>158446323</v>
      </c>
      <c r="C37" s="190">
        <v>158446323</v>
      </c>
      <c r="D37" s="190">
        <v>158446323</v>
      </c>
      <c r="E37" s="190">
        <v>158446323</v>
      </c>
      <c r="F37" s="190">
        <v>158472600</v>
      </c>
      <c r="G37" s="190">
        <v>158472600</v>
      </c>
      <c r="H37" s="190">
        <v>158446323</v>
      </c>
      <c r="I37" s="190">
        <v>158446323</v>
      </c>
      <c r="J37" s="190">
        <v>157080349</v>
      </c>
      <c r="K37" s="190">
        <v>157080349</v>
      </c>
      <c r="L37" s="190">
        <v>157080349</v>
      </c>
      <c r="M37" s="190">
        <v>157080349</v>
      </c>
      <c r="N37" s="190">
        <v>157080349</v>
      </c>
      <c r="O37" s="190">
        <v>157080349</v>
      </c>
      <c r="P37" s="190">
        <v>157080349</v>
      </c>
      <c r="Q37" s="190">
        <v>157080349</v>
      </c>
      <c r="R37" s="190">
        <v>157080349</v>
      </c>
      <c r="S37" s="190">
        <v>157080349</v>
      </c>
      <c r="T37" s="190">
        <v>157080349</v>
      </c>
      <c r="U37" s="190">
        <v>157080349</v>
      </c>
      <c r="V37" s="190">
        <v>292080349</v>
      </c>
      <c r="W37" s="190">
        <v>292080349</v>
      </c>
      <c r="X37" s="190">
        <v>292080349</v>
      </c>
      <c r="Y37" s="190">
        <v>292080349</v>
      </c>
      <c r="Z37" s="190">
        <v>296992819</v>
      </c>
      <c r="AA37" s="190">
        <v>296992819</v>
      </c>
      <c r="AB37" s="190">
        <v>278831345</v>
      </c>
      <c r="AC37" s="190">
        <v>278831345</v>
      </c>
      <c r="AD37" s="190">
        <v>278811292</v>
      </c>
      <c r="AE37" s="190">
        <v>278811292</v>
      </c>
      <c r="AF37" s="190">
        <v>208631237</v>
      </c>
      <c r="AG37" s="190">
        <v>100664982</v>
      </c>
      <c r="AH37" s="190">
        <v>13863856</v>
      </c>
      <c r="AI37" s="190">
        <v>3813133</v>
      </c>
      <c r="AJ37" s="190">
        <v>3813133</v>
      </c>
      <c r="AK37" s="190">
        <v>3813133</v>
      </c>
      <c r="AL37" s="190">
        <v>3813133</v>
      </c>
      <c r="AM37" s="190">
        <v>3813133</v>
      </c>
      <c r="AN37" s="190">
        <v>0</v>
      </c>
    </row>
    <row r="38" spans="1:40" x14ac:dyDescent="0.25">
      <c r="A38" s="190" t="s">
        <v>142</v>
      </c>
      <c r="B38" s="190">
        <v>15424325</v>
      </c>
      <c r="C38" s="190">
        <v>16379067</v>
      </c>
      <c r="D38" s="190">
        <v>13657001</v>
      </c>
      <c r="E38" s="190">
        <v>13451638</v>
      </c>
      <c r="F38" s="190">
        <v>13737110</v>
      </c>
      <c r="G38" s="190">
        <v>13349566</v>
      </c>
      <c r="H38" s="190">
        <v>11119156</v>
      </c>
      <c r="I38" s="190">
        <v>11391618</v>
      </c>
      <c r="J38" s="190">
        <v>8072827</v>
      </c>
      <c r="K38" s="190">
        <v>8952309</v>
      </c>
      <c r="L38" s="190">
        <v>17678848</v>
      </c>
      <c r="M38" s="190">
        <v>10438299</v>
      </c>
      <c r="N38" s="190">
        <v>11907905</v>
      </c>
      <c r="O38" s="190">
        <v>13406689</v>
      </c>
      <c r="P38" s="190">
        <v>14968481</v>
      </c>
      <c r="Q38" s="190">
        <v>14934689</v>
      </c>
      <c r="R38" s="190">
        <v>20478683</v>
      </c>
      <c r="S38" s="190">
        <v>22096522</v>
      </c>
      <c r="T38" s="190">
        <v>23792894</v>
      </c>
      <c r="U38" s="190">
        <v>23875418</v>
      </c>
      <c r="V38" s="190">
        <v>22489143</v>
      </c>
      <c r="W38" s="190">
        <v>20697629</v>
      </c>
      <c r="X38" s="190">
        <v>21070933</v>
      </c>
      <c r="Y38" s="190">
        <v>22586421</v>
      </c>
      <c r="Z38" s="190">
        <v>21163609</v>
      </c>
      <c r="AA38" s="190">
        <v>22543952</v>
      </c>
      <c r="AB38" s="190">
        <v>16850840</v>
      </c>
      <c r="AC38" s="190">
        <v>18019304</v>
      </c>
      <c r="AD38" s="190">
        <v>14548559</v>
      </c>
      <c r="AE38" s="190">
        <v>10825601</v>
      </c>
      <c r="AF38" s="190">
        <v>7558194</v>
      </c>
      <c r="AG38" s="190">
        <v>5109657</v>
      </c>
      <c r="AH38" s="190">
        <v>916652</v>
      </c>
      <c r="AI38" s="190">
        <v>787137</v>
      </c>
      <c r="AJ38" s="190">
        <v>959472</v>
      </c>
      <c r="AK38" s="190">
        <v>1088723</v>
      </c>
      <c r="AL38" s="190">
        <v>1444918</v>
      </c>
      <c r="AM38" s="190">
        <v>2076005</v>
      </c>
      <c r="AN38" s="190">
        <v>0</v>
      </c>
    </row>
    <row r="39" spans="1:40" x14ac:dyDescent="0.25">
      <c r="A39" s="190" t="s">
        <v>143</v>
      </c>
      <c r="B39" s="190">
        <v>300912702</v>
      </c>
      <c r="C39" s="190">
        <v>285191555</v>
      </c>
      <c r="D39" s="190">
        <v>248312081</v>
      </c>
      <c r="E39" s="190">
        <v>225329833</v>
      </c>
      <c r="F39" s="190">
        <v>247947965</v>
      </c>
      <c r="G39" s="190">
        <v>234960662</v>
      </c>
      <c r="H39" s="190">
        <v>220721057</v>
      </c>
      <c r="I39" s="190">
        <v>195942454</v>
      </c>
      <c r="J39" s="190">
        <v>172245156</v>
      </c>
      <c r="K39" s="190">
        <v>152357442</v>
      </c>
      <c r="L39" s="190">
        <v>136140202</v>
      </c>
      <c r="M39" s="190">
        <v>121072828</v>
      </c>
      <c r="N39" s="190">
        <v>110254421</v>
      </c>
      <c r="O39" s="190">
        <v>102550518</v>
      </c>
      <c r="P39" s="190">
        <v>90730193</v>
      </c>
      <c r="Q39" s="190">
        <v>87552940</v>
      </c>
      <c r="R39" s="190">
        <v>80689647</v>
      </c>
      <c r="S39" s="190">
        <v>74345490</v>
      </c>
      <c r="T39" s="190">
        <v>70845855</v>
      </c>
      <c r="U39" s="190">
        <v>57173701</v>
      </c>
      <c r="V39" s="190">
        <v>47869919</v>
      </c>
      <c r="W39" s="190">
        <v>44190344</v>
      </c>
      <c r="X39" s="190">
        <v>40963267</v>
      </c>
      <c r="Y39" s="190">
        <v>38448830</v>
      </c>
      <c r="Z39" s="190">
        <v>35649066</v>
      </c>
      <c r="AA39" s="190">
        <v>33945308</v>
      </c>
      <c r="AB39" s="190">
        <v>30707635</v>
      </c>
      <c r="AC39" s="190">
        <v>26705470</v>
      </c>
      <c r="AD39" s="190">
        <v>25635903</v>
      </c>
      <c r="AE39" s="190">
        <v>23745982</v>
      </c>
      <c r="AF39" s="190">
        <v>23290354</v>
      </c>
      <c r="AG39" s="190">
        <v>10152980</v>
      </c>
      <c r="AH39" s="190">
        <v>4178870</v>
      </c>
      <c r="AI39" s="190">
        <v>3119368</v>
      </c>
      <c r="AJ39" s="190">
        <v>3965802</v>
      </c>
      <c r="AK39" s="190">
        <v>4505724</v>
      </c>
      <c r="AL39" s="190">
        <v>10682475</v>
      </c>
      <c r="AM39" s="190">
        <v>16313449</v>
      </c>
      <c r="AN39" s="190">
        <v>0</v>
      </c>
    </row>
    <row r="40" spans="1:40" x14ac:dyDescent="0.25">
      <c r="A40" s="190" t="s">
        <v>144</v>
      </c>
      <c r="B40" s="190">
        <v>387738101</v>
      </c>
      <c r="C40" s="190">
        <v>307585719</v>
      </c>
      <c r="D40" s="190">
        <v>300506673</v>
      </c>
      <c r="E40" s="190">
        <v>295003034</v>
      </c>
      <c r="F40" s="190">
        <v>390307877</v>
      </c>
      <c r="G40" s="190">
        <v>367723718</v>
      </c>
      <c r="H40" s="190">
        <v>393039793</v>
      </c>
      <c r="I40" s="190">
        <v>334650219</v>
      </c>
      <c r="J40" s="190">
        <v>330305731</v>
      </c>
      <c r="K40" s="190">
        <v>239386532</v>
      </c>
      <c r="L40" s="190">
        <v>221226805</v>
      </c>
      <c r="M40" s="190">
        <v>204193695</v>
      </c>
      <c r="N40" s="190">
        <v>421057671</v>
      </c>
      <c r="O40" s="190">
        <v>285521946</v>
      </c>
      <c r="P40" s="190">
        <v>358469031</v>
      </c>
      <c r="Q40" s="190">
        <v>347526280</v>
      </c>
      <c r="R40" s="190">
        <v>329567399</v>
      </c>
      <c r="S40" s="190">
        <v>367022327</v>
      </c>
      <c r="T40" s="190">
        <v>289477055</v>
      </c>
      <c r="U40" s="190">
        <v>300405163</v>
      </c>
      <c r="V40" s="190">
        <v>306911514</v>
      </c>
      <c r="W40" s="190">
        <v>352873785</v>
      </c>
      <c r="X40" s="190">
        <v>401491313</v>
      </c>
      <c r="Y40" s="190">
        <v>352352646</v>
      </c>
      <c r="Z40" s="190">
        <v>196673579</v>
      </c>
      <c r="AA40" s="190">
        <v>836075522</v>
      </c>
      <c r="AB40" s="190">
        <v>631507397</v>
      </c>
      <c r="AC40" s="190">
        <v>449136311</v>
      </c>
      <c r="AD40" s="190">
        <v>0</v>
      </c>
      <c r="AE40" s="190">
        <v>113186</v>
      </c>
      <c r="AF40" s="190">
        <v>1199</v>
      </c>
      <c r="AG40" s="190">
        <v>0</v>
      </c>
      <c r="AH40" s="190">
        <v>0</v>
      </c>
      <c r="AI40" s="190">
        <v>0</v>
      </c>
      <c r="AJ40" s="190">
        <v>0</v>
      </c>
      <c r="AK40" s="190">
        <v>0</v>
      </c>
      <c r="AL40" s="190">
        <v>0</v>
      </c>
      <c r="AM40" s="190">
        <v>0</v>
      </c>
      <c r="AN40" s="190">
        <v>0</v>
      </c>
    </row>
    <row r="41" spans="1:40" x14ac:dyDescent="0.25">
      <c r="A41" s="190" t="s">
        <v>145</v>
      </c>
      <c r="B41" s="190">
        <v>16421055022</v>
      </c>
      <c r="C41" s="190">
        <v>16337431303</v>
      </c>
      <c r="D41" s="190">
        <v>16265435251</v>
      </c>
      <c r="E41" s="190">
        <v>16369475393</v>
      </c>
      <c r="F41" s="190">
        <v>16009509745</v>
      </c>
      <c r="G41" s="190">
        <v>15560352190</v>
      </c>
      <c r="H41" s="190">
        <v>15336152455</v>
      </c>
      <c r="I41" s="190">
        <v>14662313474</v>
      </c>
      <c r="J41" s="190">
        <v>14535351176</v>
      </c>
      <c r="K41" s="190">
        <v>14269404646</v>
      </c>
      <c r="L41" s="190">
        <v>14068460332</v>
      </c>
      <c r="M41" s="190">
        <v>13429894024</v>
      </c>
      <c r="N41" s="190">
        <v>13285880576</v>
      </c>
      <c r="O41" s="190">
        <v>13127898589</v>
      </c>
      <c r="P41" s="190">
        <v>12888616183</v>
      </c>
      <c r="Q41" s="190">
        <v>12498685591</v>
      </c>
      <c r="R41" s="190">
        <v>12014374823</v>
      </c>
      <c r="S41" s="190">
        <v>10889164051</v>
      </c>
      <c r="T41" s="190">
        <v>9966795818</v>
      </c>
      <c r="U41" s="190">
        <v>9760129240</v>
      </c>
      <c r="V41" s="190">
        <v>9454055285</v>
      </c>
      <c r="W41" s="190">
        <v>8869428275</v>
      </c>
      <c r="X41" s="190">
        <v>8200374246</v>
      </c>
      <c r="Y41" s="190">
        <v>7625171647</v>
      </c>
      <c r="Z41" s="190">
        <v>6938230223</v>
      </c>
      <c r="AA41" s="190">
        <v>6159640868</v>
      </c>
      <c r="AB41" s="190">
        <v>5491363144</v>
      </c>
      <c r="AC41" s="190">
        <v>4802585019</v>
      </c>
      <c r="AD41" s="190">
        <v>4069707288</v>
      </c>
      <c r="AE41" s="190">
        <v>3614319344</v>
      </c>
      <c r="AF41" s="190">
        <v>2656920011</v>
      </c>
      <c r="AG41" s="190">
        <v>2054669129</v>
      </c>
      <c r="AH41" s="190">
        <v>1426167580</v>
      </c>
      <c r="AI41" s="190">
        <v>1147954410</v>
      </c>
      <c r="AJ41" s="190">
        <v>1106780182</v>
      </c>
      <c r="AK41" s="190">
        <v>1038263232</v>
      </c>
      <c r="AL41" s="190">
        <v>846297995</v>
      </c>
      <c r="AM41" s="190">
        <v>682357417</v>
      </c>
      <c r="AN41" s="190">
        <v>0</v>
      </c>
    </row>
    <row r="42" spans="1:40" x14ac:dyDescent="0.25">
      <c r="A42" s="190" t="s">
        <v>146</v>
      </c>
      <c r="B42" s="190">
        <v>29065218038</v>
      </c>
      <c r="C42" s="190">
        <v>28253442044</v>
      </c>
      <c r="D42" s="190">
        <v>28635297967</v>
      </c>
      <c r="E42" s="190">
        <v>27988160462</v>
      </c>
      <c r="F42" s="190">
        <v>27019523246</v>
      </c>
      <c r="G42" s="190">
        <v>24855039955</v>
      </c>
      <c r="H42" s="190">
        <v>25585533798</v>
      </c>
      <c r="I42" s="190">
        <v>23409878945</v>
      </c>
      <c r="J42" s="190">
        <v>23797852352</v>
      </c>
      <c r="K42" s="190">
        <v>23855412150</v>
      </c>
      <c r="L42" s="190">
        <v>23638850918</v>
      </c>
      <c r="M42" s="190">
        <v>22583347327</v>
      </c>
      <c r="N42" s="190">
        <v>22241561499</v>
      </c>
      <c r="O42" s="190">
        <v>21570689273</v>
      </c>
      <c r="P42" s="190">
        <v>21541134693</v>
      </c>
      <c r="Q42" s="190">
        <v>21202835316</v>
      </c>
      <c r="R42" s="190">
        <v>20440299505</v>
      </c>
      <c r="S42" s="190">
        <v>19140857875</v>
      </c>
      <c r="T42" s="190">
        <v>18284575529</v>
      </c>
      <c r="U42" s="190">
        <v>17946851434</v>
      </c>
      <c r="V42" s="190">
        <v>18210534573</v>
      </c>
      <c r="W42" s="190">
        <v>16512969095</v>
      </c>
      <c r="X42" s="190">
        <v>16646623460</v>
      </c>
      <c r="Y42" s="190">
        <v>14930778241</v>
      </c>
      <c r="Z42" s="190">
        <v>13627207692</v>
      </c>
      <c r="AA42" s="190">
        <v>13743169239</v>
      </c>
      <c r="AB42" s="190">
        <v>10783264550</v>
      </c>
      <c r="AC42" s="190">
        <v>10465372412</v>
      </c>
      <c r="AD42" s="190">
        <v>10037387881</v>
      </c>
      <c r="AE42" s="190">
        <v>9493696489</v>
      </c>
      <c r="AF42" s="190">
        <v>9162112889</v>
      </c>
      <c r="AG42" s="190">
        <v>8789900227</v>
      </c>
      <c r="AH42" s="190">
        <v>8292723301</v>
      </c>
      <c r="AI42" s="190">
        <v>8152535223</v>
      </c>
      <c r="AJ42" s="190">
        <v>3392991821</v>
      </c>
      <c r="AK42" s="190">
        <v>3333397620</v>
      </c>
      <c r="AL42" s="190">
        <v>2656154574</v>
      </c>
      <c r="AM42" s="190">
        <v>1787249846</v>
      </c>
      <c r="AN42" s="190">
        <v>0</v>
      </c>
    </row>
    <row r="43" spans="1:40" x14ac:dyDescent="0.25">
      <c r="A43" s="190" t="s">
        <v>147</v>
      </c>
    </row>
    <row r="44" spans="1:40" x14ac:dyDescent="0.25">
      <c r="A44" s="190" t="s">
        <v>148</v>
      </c>
      <c r="B44" s="190">
        <v>3020000000</v>
      </c>
      <c r="C44" s="190">
        <v>3320000000</v>
      </c>
      <c r="D44" s="190">
        <v>3020000000</v>
      </c>
      <c r="E44" s="190">
        <v>2720000000</v>
      </c>
      <c r="F44" s="190">
        <v>2218000000</v>
      </c>
      <c r="G44" s="190">
        <v>2770000000</v>
      </c>
      <c r="H44" s="190">
        <v>3020000000</v>
      </c>
      <c r="I44" s="190">
        <v>2820000000</v>
      </c>
      <c r="J44" s="190">
        <v>2195000000</v>
      </c>
      <c r="K44" s="190">
        <v>2695000000</v>
      </c>
      <c r="L44" s="190">
        <v>2495000000</v>
      </c>
      <c r="M44" s="190">
        <v>2220000000</v>
      </c>
      <c r="N44" s="190">
        <v>2169000000</v>
      </c>
      <c r="O44" s="190">
        <v>2044000000</v>
      </c>
      <c r="P44" s="190">
        <v>2043188834</v>
      </c>
      <c r="Q44" s="190">
        <v>1987793705</v>
      </c>
      <c r="R44" s="190">
        <v>2205819473</v>
      </c>
      <c r="S44" s="190">
        <v>2130378392</v>
      </c>
      <c r="T44" s="190">
        <v>1640000000</v>
      </c>
      <c r="U44" s="190">
        <v>1150000000</v>
      </c>
      <c r="V44" s="190">
        <v>800000000</v>
      </c>
      <c r="W44" s="190">
        <v>630000000</v>
      </c>
      <c r="X44" s="190">
        <v>363000000</v>
      </c>
      <c r="Y44" s="190">
        <v>503000000</v>
      </c>
      <c r="Z44" s="190">
        <v>1111400000</v>
      </c>
      <c r="AA44" s="190">
        <v>1261400000</v>
      </c>
      <c r="AB44" s="190">
        <v>1060900000</v>
      </c>
      <c r="AC44" s="190">
        <v>939600000</v>
      </c>
      <c r="AD44" s="190">
        <v>1080696911</v>
      </c>
      <c r="AE44" s="190">
        <v>1125044951</v>
      </c>
      <c r="AF44" s="190">
        <v>1010851518</v>
      </c>
      <c r="AG44" s="190">
        <v>943574276</v>
      </c>
      <c r="AH44" s="190">
        <v>818676103</v>
      </c>
      <c r="AI44" s="190">
        <v>1005064431</v>
      </c>
      <c r="AJ44" s="190">
        <v>1102634163</v>
      </c>
      <c r="AK44" s="190">
        <v>1077493875</v>
      </c>
      <c r="AL44" s="190">
        <v>813599364</v>
      </c>
      <c r="AM44" s="190">
        <v>416398060</v>
      </c>
      <c r="AN44" s="190">
        <v>0</v>
      </c>
    </row>
    <row r="45" spans="1:4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300000000</v>
      </c>
      <c r="AC45" s="190">
        <v>0</v>
      </c>
      <c r="AD45" s="190">
        <v>300000000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16760279</v>
      </c>
      <c r="D46" s="190">
        <v>14985836</v>
      </c>
      <c r="E46" s="190">
        <v>0</v>
      </c>
      <c r="F46" s="190">
        <v>61800000</v>
      </c>
      <c r="G46" s="190">
        <v>111800000</v>
      </c>
      <c r="H46" s="190">
        <v>50000000</v>
      </c>
      <c r="I46" s="190">
        <v>0</v>
      </c>
      <c r="J46" s="190">
        <v>45158</v>
      </c>
      <c r="K46" s="190">
        <v>4221561</v>
      </c>
      <c r="L46" s="190">
        <v>4377766</v>
      </c>
      <c r="M46" s="190">
        <v>550421</v>
      </c>
      <c r="N46" s="190">
        <v>0</v>
      </c>
      <c r="O46" s="190">
        <v>2967250</v>
      </c>
      <c r="P46" s="190">
        <v>1350142</v>
      </c>
      <c r="Q46" s="190">
        <v>4404641</v>
      </c>
      <c r="R46" s="190">
        <v>40466845</v>
      </c>
      <c r="S46" s="190">
        <v>56315444</v>
      </c>
      <c r="T46" s="190">
        <v>22730549</v>
      </c>
      <c r="U46" s="190">
        <v>5010729</v>
      </c>
      <c r="V46" s="190">
        <v>8645316</v>
      </c>
      <c r="W46" s="190">
        <v>2635239</v>
      </c>
      <c r="X46" s="190">
        <v>11707502</v>
      </c>
      <c r="Y46" s="190">
        <v>1726947</v>
      </c>
      <c r="Z46" s="190">
        <v>800398</v>
      </c>
      <c r="AA46" s="190">
        <v>3499346</v>
      </c>
      <c r="AB46" s="190">
        <v>2501670</v>
      </c>
      <c r="AC46" s="190">
        <v>0</v>
      </c>
      <c r="AD46" s="190">
        <v>0</v>
      </c>
      <c r="AE46" s="190">
        <v>2106591</v>
      </c>
      <c r="AF46" s="190">
        <v>10639140</v>
      </c>
      <c r="AG46" s="190">
        <v>23184628</v>
      </c>
      <c r="AH46" s="190">
        <v>37343080</v>
      </c>
      <c r="AI46" s="190">
        <v>30000000</v>
      </c>
      <c r="AJ46" s="190">
        <v>68456000</v>
      </c>
      <c r="AK46" s="190">
        <v>172417600</v>
      </c>
      <c r="AL46" s="190">
        <v>154216019</v>
      </c>
      <c r="AM46" s="190">
        <v>51750000</v>
      </c>
      <c r="AN46" s="190">
        <v>0</v>
      </c>
    </row>
    <row r="47" spans="1:40" x14ac:dyDescent="0.25">
      <c r="A47" s="190" t="s">
        <v>151</v>
      </c>
      <c r="B47" s="190">
        <v>0</v>
      </c>
      <c r="C47" s="190">
        <v>1365135158</v>
      </c>
      <c r="D47" s="190">
        <v>1339537136</v>
      </c>
      <c r="E47" s="190">
        <v>1387067294</v>
      </c>
      <c r="F47" s="190">
        <v>1248330147</v>
      </c>
      <c r="G47" s="190">
        <v>1407558232</v>
      </c>
      <c r="H47" s="190">
        <v>1338471074</v>
      </c>
      <c r="I47" s="190">
        <v>1357751687</v>
      </c>
      <c r="J47" s="190">
        <v>1479541990</v>
      </c>
      <c r="K47" s="190">
        <v>1544141674</v>
      </c>
      <c r="L47" s="190">
        <v>1541415399</v>
      </c>
      <c r="M47" s="190">
        <v>1466848864</v>
      </c>
      <c r="N47" s="190">
        <v>1620332388</v>
      </c>
      <c r="O47" s="190">
        <v>1558796994</v>
      </c>
      <c r="P47" s="190">
        <v>1580937272</v>
      </c>
      <c r="Q47" s="190">
        <v>1641524659</v>
      </c>
      <c r="R47" s="190">
        <v>1543854534</v>
      </c>
      <c r="S47" s="190">
        <v>1302445318</v>
      </c>
      <c r="T47" s="190">
        <v>1211124011</v>
      </c>
      <c r="U47" s="190">
        <v>1340059991</v>
      </c>
      <c r="V47" s="190">
        <v>1405937667</v>
      </c>
      <c r="W47" s="190">
        <v>1163522214</v>
      </c>
      <c r="X47" s="190">
        <v>1012732708</v>
      </c>
      <c r="Y47" s="190">
        <v>822803750</v>
      </c>
      <c r="Z47" s="190">
        <v>690069769</v>
      </c>
      <c r="AA47" s="190">
        <v>670490511</v>
      </c>
      <c r="AB47" s="190">
        <v>639388415</v>
      </c>
      <c r="AC47" s="190">
        <v>578423972</v>
      </c>
      <c r="AD47" s="190">
        <v>388553186</v>
      </c>
      <c r="AE47" s="190">
        <v>508897899</v>
      </c>
      <c r="AF47" s="190">
        <v>461318789</v>
      </c>
      <c r="AG47" s="190">
        <v>420954724</v>
      </c>
      <c r="AH47" s="190">
        <v>342689135</v>
      </c>
      <c r="AI47" s="190">
        <v>311350250</v>
      </c>
      <c r="AJ47" s="190">
        <v>351595548</v>
      </c>
      <c r="AK47" s="190">
        <v>323252232</v>
      </c>
      <c r="AL47" s="190">
        <v>369499632</v>
      </c>
      <c r="AM47" s="190">
        <v>383296529</v>
      </c>
      <c r="AN47" s="190">
        <v>0</v>
      </c>
    </row>
    <row r="48" spans="1:40" x14ac:dyDescent="0.25">
      <c r="A48" s="190" t="s">
        <v>152</v>
      </c>
      <c r="B48" s="190">
        <v>182584829</v>
      </c>
      <c r="C48" s="190">
        <v>160336499</v>
      </c>
      <c r="D48" s="190">
        <v>187740073</v>
      </c>
      <c r="E48" s="190">
        <v>210144226</v>
      </c>
      <c r="F48" s="190">
        <v>201823138</v>
      </c>
      <c r="G48" s="190">
        <v>138854924</v>
      </c>
      <c r="H48" s="190">
        <v>126904369</v>
      </c>
      <c r="I48" s="190">
        <v>58799109</v>
      </c>
      <c r="J48" s="190">
        <v>67300946</v>
      </c>
      <c r="K48" s="190">
        <v>45700178</v>
      </c>
      <c r="L48" s="190">
        <v>28846426</v>
      </c>
      <c r="M48" s="190">
        <v>30515490</v>
      </c>
      <c r="N48" s="190">
        <v>38751221</v>
      </c>
      <c r="O48" s="190">
        <v>42226640</v>
      </c>
      <c r="P48" s="190">
        <v>26870179</v>
      </c>
      <c r="Q48" s="190">
        <v>24819674</v>
      </c>
      <c r="R48" s="190">
        <v>31326083</v>
      </c>
      <c r="S48" s="190">
        <v>14780503</v>
      </c>
      <c r="T48" s="190">
        <v>17565368</v>
      </c>
      <c r="U48" s="190">
        <v>20233967</v>
      </c>
      <c r="V48" s="190">
        <v>27724205</v>
      </c>
      <c r="W48" s="190">
        <v>21369167</v>
      </c>
      <c r="X48" s="190">
        <v>18565222</v>
      </c>
      <c r="Y48" s="190">
        <v>12734412</v>
      </c>
      <c r="Z48" s="190">
        <v>10635595</v>
      </c>
      <c r="AA48" s="190">
        <v>6082984</v>
      </c>
      <c r="AB48" s="190">
        <v>2124492</v>
      </c>
      <c r="AC48" s="190">
        <v>1959083</v>
      </c>
      <c r="AD48" s="190">
        <v>2630983</v>
      </c>
      <c r="AE48" s="190">
        <v>1641873</v>
      </c>
      <c r="AF48" s="190">
        <v>2965761</v>
      </c>
      <c r="AG48" s="190">
        <v>109527</v>
      </c>
      <c r="AH48" s="190">
        <v>2286069</v>
      </c>
      <c r="AI48" s="190">
        <v>2379593</v>
      </c>
      <c r="AJ48" s="190">
        <v>1715984</v>
      </c>
      <c r="AK48" s="190">
        <v>2553255</v>
      </c>
      <c r="AL48" s="190">
        <v>2242284</v>
      </c>
      <c r="AM48" s="190">
        <v>604391</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48380172</v>
      </c>
      <c r="C50" s="190">
        <v>50353750</v>
      </c>
      <c r="D50" s="190">
        <v>47986014</v>
      </c>
      <c r="E50" s="190">
        <v>51424485</v>
      </c>
      <c r="F50" s="190">
        <v>32247274</v>
      </c>
      <c r="G50" s="190">
        <v>33148725</v>
      </c>
      <c r="H50" s="190">
        <v>38224619</v>
      </c>
      <c r="I50" s="190">
        <v>37342843</v>
      </c>
      <c r="J50" s="190">
        <v>39665852</v>
      </c>
      <c r="K50" s="190">
        <v>33802918</v>
      </c>
      <c r="L50" s="190">
        <v>32719350</v>
      </c>
      <c r="M50" s="190">
        <v>31411958</v>
      </c>
      <c r="N50" s="190">
        <v>30563789</v>
      </c>
      <c r="O50" s="190">
        <v>30856247</v>
      </c>
      <c r="P50" s="190">
        <v>25512369</v>
      </c>
      <c r="Q50" s="190">
        <v>23776460</v>
      </c>
      <c r="R50" s="190">
        <v>30250323</v>
      </c>
      <c r="S50" s="190">
        <v>26680682</v>
      </c>
      <c r="T50" s="190">
        <v>27663877</v>
      </c>
      <c r="U50" s="190">
        <v>25774278</v>
      </c>
      <c r="V50" s="190">
        <v>26799706</v>
      </c>
      <c r="W50" s="190">
        <v>30791741</v>
      </c>
      <c r="X50" s="190">
        <v>25227199</v>
      </c>
      <c r="Y50" s="190">
        <v>21734891</v>
      </c>
      <c r="Z50" s="190">
        <v>30192168</v>
      </c>
      <c r="AA50" s="190">
        <v>28234669</v>
      </c>
      <c r="AB50" s="190">
        <v>13367259</v>
      </c>
      <c r="AC50" s="190">
        <v>13635995</v>
      </c>
      <c r="AD50" s="190">
        <v>18661186</v>
      </c>
      <c r="AE50" s="190">
        <v>15337410</v>
      </c>
      <c r="AF50" s="190">
        <v>13110193</v>
      </c>
      <c r="AG50" s="190">
        <v>14554948</v>
      </c>
      <c r="AH50" s="190">
        <v>13137279</v>
      </c>
      <c r="AI50" s="190">
        <v>11356781</v>
      </c>
      <c r="AJ50" s="190">
        <v>10064655</v>
      </c>
      <c r="AK50" s="190">
        <v>8620829</v>
      </c>
      <c r="AL50" s="190">
        <v>9647935</v>
      </c>
      <c r="AM50" s="190">
        <v>8679113</v>
      </c>
      <c r="AN50" s="190">
        <v>0</v>
      </c>
    </row>
    <row r="51" spans="1:40" x14ac:dyDescent="0.25">
      <c r="A51" s="190" t="s">
        <v>155</v>
      </c>
      <c r="B51" s="190">
        <v>254456810</v>
      </c>
      <c r="C51" s="190">
        <v>172194942</v>
      </c>
      <c r="D51" s="190">
        <v>183854819</v>
      </c>
      <c r="E51" s="190">
        <v>163644822</v>
      </c>
      <c r="F51" s="190">
        <v>201428830</v>
      </c>
      <c r="G51" s="190">
        <v>141864108</v>
      </c>
      <c r="H51" s="190">
        <v>147459806</v>
      </c>
      <c r="I51" s="190">
        <v>118488174</v>
      </c>
      <c r="J51" s="190">
        <v>147396776</v>
      </c>
      <c r="K51" s="190">
        <v>111660753</v>
      </c>
      <c r="L51" s="190">
        <v>143700626</v>
      </c>
      <c r="M51" s="190">
        <v>107850847</v>
      </c>
      <c r="N51" s="190">
        <v>148733451</v>
      </c>
      <c r="O51" s="190">
        <v>117184647</v>
      </c>
      <c r="P51" s="190">
        <v>150338706</v>
      </c>
      <c r="Q51" s="190">
        <v>172957905</v>
      </c>
      <c r="R51" s="190">
        <v>186173413</v>
      </c>
      <c r="S51" s="190">
        <v>147304900</v>
      </c>
      <c r="T51" s="190">
        <v>174515082</v>
      </c>
      <c r="U51" s="190">
        <v>197639924</v>
      </c>
      <c r="V51" s="190">
        <v>181921476</v>
      </c>
      <c r="W51" s="190">
        <v>132283734</v>
      </c>
      <c r="X51" s="190">
        <v>154119694</v>
      </c>
      <c r="Y51" s="190">
        <v>176893989</v>
      </c>
      <c r="Z51" s="190">
        <v>167274556</v>
      </c>
      <c r="AA51" s="190">
        <v>123650362</v>
      </c>
      <c r="AB51" s="190">
        <v>116534193</v>
      </c>
      <c r="AC51" s="190">
        <v>170635754</v>
      </c>
      <c r="AD51" s="190">
        <v>85400700</v>
      </c>
      <c r="AE51" s="190">
        <v>77673854</v>
      </c>
      <c r="AF51" s="190">
        <v>63554888</v>
      </c>
      <c r="AG51" s="190">
        <v>86390120</v>
      </c>
      <c r="AH51" s="190">
        <v>76812100</v>
      </c>
      <c r="AI51" s="190">
        <v>37532948</v>
      </c>
      <c r="AJ51" s="190">
        <v>42322791</v>
      </c>
      <c r="AK51" s="190">
        <v>45436371</v>
      </c>
      <c r="AL51" s="190">
        <v>23561791</v>
      </c>
      <c r="AM51" s="190">
        <v>40115959</v>
      </c>
      <c r="AN51" s="190">
        <v>0</v>
      </c>
    </row>
    <row r="52" spans="1:40" x14ac:dyDescent="0.25">
      <c r="A52" s="190" t="s">
        <v>156</v>
      </c>
      <c r="B52" s="190">
        <v>0</v>
      </c>
      <c r="C52" s="190">
        <v>217447676</v>
      </c>
      <c r="D52" s="190">
        <v>145096267</v>
      </c>
      <c r="E52" s="190">
        <v>228305476</v>
      </c>
      <c r="F52" s="190">
        <v>214336669</v>
      </c>
      <c r="G52" s="190">
        <v>125208476</v>
      </c>
      <c r="H52" s="190">
        <v>143633315</v>
      </c>
      <c r="I52" s="190">
        <v>137207338</v>
      </c>
      <c r="J52" s="190">
        <v>169056682</v>
      </c>
      <c r="K52" s="190">
        <v>143536791</v>
      </c>
      <c r="L52" s="190">
        <v>161185510</v>
      </c>
      <c r="M52" s="190">
        <v>141406056</v>
      </c>
      <c r="N52" s="190">
        <v>187399160</v>
      </c>
      <c r="O52" s="190">
        <v>123759487</v>
      </c>
      <c r="P52" s="190">
        <v>134030161</v>
      </c>
      <c r="Q52" s="190">
        <v>115966174</v>
      </c>
      <c r="R52" s="190">
        <v>134767454</v>
      </c>
      <c r="S52" s="190">
        <v>87070420</v>
      </c>
      <c r="T52" s="190">
        <v>112648417</v>
      </c>
      <c r="U52" s="190">
        <v>120392547</v>
      </c>
      <c r="V52" s="190">
        <v>139914274</v>
      </c>
      <c r="W52" s="190">
        <v>89810875</v>
      </c>
      <c r="X52" s="190">
        <v>135724772</v>
      </c>
      <c r="Y52" s="190">
        <v>75848631</v>
      </c>
      <c r="Z52" s="190">
        <v>33264999</v>
      </c>
      <c r="AA52" s="190">
        <v>30590800</v>
      </c>
      <c r="AB52" s="190">
        <v>21139300</v>
      </c>
      <c r="AC52" s="190">
        <v>9675000</v>
      </c>
      <c r="AD52" s="190">
        <v>0</v>
      </c>
      <c r="AE52" s="190">
        <v>0</v>
      </c>
      <c r="AF52" s="190">
        <v>0</v>
      </c>
      <c r="AG52" s="190">
        <v>0</v>
      </c>
      <c r="AH52" s="190">
        <v>0</v>
      </c>
      <c r="AI52" s="190">
        <v>0</v>
      </c>
      <c r="AJ52" s="190">
        <v>0</v>
      </c>
      <c r="AK52" s="190">
        <v>0</v>
      </c>
      <c r="AL52" s="190">
        <v>0</v>
      </c>
      <c r="AM52" s="190">
        <v>0</v>
      </c>
      <c r="AN52" s="190">
        <v>0</v>
      </c>
    </row>
    <row r="53" spans="1:40" x14ac:dyDescent="0.25">
      <c r="A53" s="190" t="s">
        <v>157</v>
      </c>
      <c r="B53" s="190">
        <v>0</v>
      </c>
      <c r="C53" s="190">
        <v>0</v>
      </c>
      <c r="D53" s="190">
        <v>30360000</v>
      </c>
      <c r="E53" s="190">
        <v>0</v>
      </c>
      <c r="F53" s="190">
        <v>0</v>
      </c>
      <c r="G53" s="190">
        <v>0</v>
      </c>
      <c r="H53" s="190">
        <v>20240000</v>
      </c>
      <c r="I53" s="190">
        <v>0</v>
      </c>
      <c r="J53" s="190">
        <v>0</v>
      </c>
      <c r="K53" s="190">
        <v>0</v>
      </c>
      <c r="L53" s="190">
        <v>0</v>
      </c>
      <c r="M53" s="190">
        <v>0</v>
      </c>
      <c r="N53" s="190">
        <v>0</v>
      </c>
      <c r="O53" s="190">
        <v>0</v>
      </c>
      <c r="P53" s="190">
        <v>0</v>
      </c>
      <c r="Q53" s="190">
        <v>0</v>
      </c>
      <c r="R53" s="190">
        <v>0</v>
      </c>
      <c r="S53" s="190">
        <v>71496782</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row>
    <row r="54" spans="1:40" x14ac:dyDescent="0.25">
      <c r="A54" s="190" t="s">
        <v>158</v>
      </c>
      <c r="B54" s="190">
        <v>2560393790</v>
      </c>
      <c r="C54" s="190">
        <v>2131756822</v>
      </c>
      <c r="D54" s="190">
        <v>2379537030</v>
      </c>
      <c r="E54" s="190">
        <v>1951475473</v>
      </c>
      <c r="F54" s="190">
        <v>1167644879</v>
      </c>
      <c r="G54" s="190">
        <v>707686597</v>
      </c>
      <c r="H54" s="190">
        <v>500628992</v>
      </c>
      <c r="I54" s="190">
        <v>392122334</v>
      </c>
      <c r="J54" s="190">
        <v>188866379</v>
      </c>
      <c r="K54" s="190">
        <v>153787848</v>
      </c>
      <c r="L54" s="190">
        <v>179426866</v>
      </c>
      <c r="M54" s="190">
        <v>192175629</v>
      </c>
      <c r="N54" s="190">
        <v>101866634</v>
      </c>
      <c r="O54" s="190">
        <v>154144038</v>
      </c>
      <c r="P54" s="190">
        <v>152700147</v>
      </c>
      <c r="Q54" s="190">
        <v>143950443</v>
      </c>
      <c r="R54" s="190">
        <v>133945192</v>
      </c>
      <c r="S54" s="190">
        <v>134180328</v>
      </c>
      <c r="T54" s="190">
        <v>127299006</v>
      </c>
      <c r="U54" s="190">
        <v>114818088</v>
      </c>
      <c r="V54" s="190">
        <v>95361764</v>
      </c>
      <c r="W54" s="190">
        <v>88571778</v>
      </c>
      <c r="X54" s="190">
        <v>69162873</v>
      </c>
      <c r="Y54" s="190">
        <v>74855084</v>
      </c>
      <c r="Z54" s="190">
        <v>79584757</v>
      </c>
      <c r="AA54" s="190">
        <v>81323501</v>
      </c>
      <c r="AB54" s="190">
        <v>60044146</v>
      </c>
      <c r="AC54" s="190">
        <v>53043275</v>
      </c>
      <c r="AD54" s="190">
        <v>74421674</v>
      </c>
      <c r="AE54" s="190">
        <v>148865279</v>
      </c>
      <c r="AF54" s="190">
        <v>116217793</v>
      </c>
      <c r="AG54" s="190">
        <v>47812807</v>
      </c>
      <c r="AH54" s="190">
        <v>105810617</v>
      </c>
      <c r="AI54" s="190">
        <v>41715652</v>
      </c>
      <c r="AJ54" s="190">
        <v>42772244</v>
      </c>
      <c r="AK54" s="190">
        <v>23435321</v>
      </c>
      <c r="AL54" s="190">
        <v>31348307</v>
      </c>
      <c r="AM54" s="190">
        <v>110808934</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175695781</v>
      </c>
      <c r="C58" s="190">
        <v>80000000</v>
      </c>
      <c r="D58" s="190">
        <v>70000000</v>
      </c>
      <c r="E58" s="190">
        <v>1181852856</v>
      </c>
      <c r="F58" s="190">
        <v>2706325731</v>
      </c>
      <c r="G58" s="190">
        <v>2734220124</v>
      </c>
      <c r="H58" s="190">
        <v>4360900958</v>
      </c>
      <c r="I58" s="190">
        <v>3278279261</v>
      </c>
      <c r="J58" s="190">
        <v>1756775228</v>
      </c>
      <c r="K58" s="190">
        <v>2151203445</v>
      </c>
      <c r="L58" s="190">
        <v>1122148487</v>
      </c>
      <c r="M58" s="190">
        <v>921875574</v>
      </c>
      <c r="N58" s="190">
        <v>100000000</v>
      </c>
      <c r="O58" s="190">
        <v>100000000</v>
      </c>
      <c r="P58" s="190">
        <v>100000000</v>
      </c>
      <c r="Q58" s="190">
        <v>50000000</v>
      </c>
      <c r="R58" s="190">
        <v>1700000</v>
      </c>
      <c r="S58" s="190">
        <v>1700000</v>
      </c>
      <c r="T58" s="190">
        <v>1700000</v>
      </c>
      <c r="U58" s="190">
        <v>1700000</v>
      </c>
      <c r="V58" s="190">
        <v>0</v>
      </c>
      <c r="W58" s="190">
        <v>0</v>
      </c>
      <c r="X58" s="190">
        <v>0</v>
      </c>
      <c r="Y58" s="190">
        <v>0</v>
      </c>
      <c r="Z58" s="190">
        <v>1712035</v>
      </c>
      <c r="AA58" s="190">
        <v>32949298</v>
      </c>
      <c r="AB58" s="190">
        <v>57896561</v>
      </c>
      <c r="AC58" s="190">
        <v>103734587</v>
      </c>
      <c r="AD58" s="190">
        <v>102980186</v>
      </c>
      <c r="AE58" s="190">
        <v>74180825</v>
      </c>
      <c r="AF58" s="190">
        <v>9381465</v>
      </c>
      <c r="AG58" s="190">
        <v>8582103</v>
      </c>
      <c r="AH58" s="190">
        <v>5535903</v>
      </c>
      <c r="AI58" s="190">
        <v>5489703</v>
      </c>
      <c r="AJ58" s="190">
        <v>5545600</v>
      </c>
      <c r="AK58" s="190">
        <v>5397302</v>
      </c>
      <c r="AL58" s="190">
        <v>42994163</v>
      </c>
      <c r="AM58" s="190">
        <v>36832266</v>
      </c>
      <c r="AN58" s="190">
        <v>0</v>
      </c>
    </row>
    <row r="59" spans="1:40" x14ac:dyDescent="0.25">
      <c r="A59" s="190" t="s">
        <v>163</v>
      </c>
      <c r="B59" s="190">
        <v>3497914831</v>
      </c>
      <c r="C59" s="190">
        <v>2998988565</v>
      </c>
      <c r="D59" s="190">
        <v>3997962948</v>
      </c>
      <c r="E59" s="190">
        <v>3997902343</v>
      </c>
      <c r="F59" s="190">
        <v>3497228830</v>
      </c>
      <c r="G59" s="190">
        <v>3496110367</v>
      </c>
      <c r="H59" s="190">
        <v>2497745975</v>
      </c>
      <c r="I59" s="190">
        <v>1998478587</v>
      </c>
      <c r="J59" s="190">
        <v>2996587017</v>
      </c>
      <c r="K59" s="190">
        <v>2496921762</v>
      </c>
      <c r="L59" s="190">
        <v>1995620258</v>
      </c>
      <c r="M59" s="190">
        <v>2588003033</v>
      </c>
      <c r="N59" s="190">
        <v>3778956050</v>
      </c>
      <c r="O59" s="190">
        <v>2581664239</v>
      </c>
      <c r="P59" s="190">
        <v>2579951590</v>
      </c>
      <c r="Q59" s="190">
        <v>1488682001</v>
      </c>
      <c r="R59" s="190">
        <v>0</v>
      </c>
      <c r="S59" s="190">
        <v>473385</v>
      </c>
      <c r="T59" s="190">
        <v>400000</v>
      </c>
      <c r="U59" s="190">
        <v>300136288</v>
      </c>
      <c r="V59" s="190">
        <v>299795672</v>
      </c>
      <c r="W59" s="190">
        <v>299455040</v>
      </c>
      <c r="X59" s="190">
        <v>998367921</v>
      </c>
      <c r="Y59" s="190">
        <v>698907023</v>
      </c>
      <c r="Z59" s="190">
        <v>698117391</v>
      </c>
      <c r="AA59" s="190">
        <v>997356522</v>
      </c>
      <c r="AB59" s="190">
        <v>0</v>
      </c>
      <c r="AC59" s="190">
        <v>300000000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11095993843</v>
      </c>
      <c r="C60" s="190">
        <v>10512973691</v>
      </c>
      <c r="D60" s="190">
        <v>11417060123</v>
      </c>
      <c r="E60" s="190">
        <v>11891816975</v>
      </c>
      <c r="F60" s="190">
        <v>11549165498</v>
      </c>
      <c r="G60" s="190">
        <v>11666451553</v>
      </c>
      <c r="H60" s="190">
        <v>12244209108</v>
      </c>
      <c r="I60" s="190">
        <v>10198469333</v>
      </c>
      <c r="J60" s="190">
        <v>9040236028</v>
      </c>
      <c r="K60" s="190">
        <v>9379976930</v>
      </c>
      <c r="L60" s="190">
        <v>7704440688</v>
      </c>
      <c r="M60" s="190">
        <v>7700637872</v>
      </c>
      <c r="N60" s="190">
        <v>8175602693</v>
      </c>
      <c r="O60" s="190">
        <v>6755599542</v>
      </c>
      <c r="P60" s="190">
        <v>6794879400</v>
      </c>
      <c r="Q60" s="190">
        <v>5653875662</v>
      </c>
      <c r="R60" s="190">
        <v>4308303317</v>
      </c>
      <c r="S60" s="190">
        <v>3972826154</v>
      </c>
      <c r="T60" s="190">
        <v>3335646310</v>
      </c>
      <c r="U60" s="190">
        <v>3275765812</v>
      </c>
      <c r="V60" s="190">
        <v>2986100080</v>
      </c>
      <c r="W60" s="190">
        <v>2458439788</v>
      </c>
      <c r="X60" s="190">
        <v>2788607891</v>
      </c>
      <c r="Y60" s="190">
        <v>2388504727</v>
      </c>
      <c r="Z60" s="190">
        <v>2823051668</v>
      </c>
      <c r="AA60" s="190">
        <v>3235577993</v>
      </c>
      <c r="AB60" s="190">
        <v>2273896036</v>
      </c>
      <c r="AC60" s="190">
        <v>2170707666</v>
      </c>
      <c r="AD60" s="190">
        <v>2053344826</v>
      </c>
      <c r="AE60" s="190">
        <v>1953748682</v>
      </c>
      <c r="AF60" s="190">
        <v>1688039547</v>
      </c>
      <c r="AG60" s="190">
        <v>1545163133</v>
      </c>
      <c r="AH60" s="190">
        <v>1402290286</v>
      </c>
      <c r="AI60" s="190">
        <v>1444889358</v>
      </c>
      <c r="AJ60" s="190">
        <v>1625106985</v>
      </c>
      <c r="AK60" s="190">
        <v>1658606785</v>
      </c>
      <c r="AL60" s="190">
        <v>1447109495</v>
      </c>
      <c r="AM60" s="190">
        <v>1048485252</v>
      </c>
      <c r="AN60" s="190">
        <v>0</v>
      </c>
    </row>
    <row r="61" spans="1:40" x14ac:dyDescent="0.25">
      <c r="A61" s="190" t="s">
        <v>165</v>
      </c>
    </row>
    <row r="62" spans="1:40" x14ac:dyDescent="0.25">
      <c r="A62" s="190" t="s">
        <v>166</v>
      </c>
      <c r="B62" s="190">
        <v>375090886</v>
      </c>
      <c r="C62" s="190">
        <v>168000000</v>
      </c>
      <c r="D62" s="190">
        <v>208000000</v>
      </c>
      <c r="E62" s="190">
        <v>208000000</v>
      </c>
      <c r="F62" s="190">
        <v>248000000</v>
      </c>
      <c r="G62" s="190">
        <v>248000000</v>
      </c>
      <c r="H62" s="190">
        <v>278000000</v>
      </c>
      <c r="I62" s="190">
        <v>290486918</v>
      </c>
      <c r="J62" s="190">
        <v>311680739</v>
      </c>
      <c r="K62" s="190">
        <v>193056462</v>
      </c>
      <c r="L62" s="190">
        <v>100526904</v>
      </c>
      <c r="M62" s="190">
        <v>327113550</v>
      </c>
      <c r="N62" s="190">
        <v>1069745157</v>
      </c>
      <c r="O62" s="190">
        <v>1096215143</v>
      </c>
      <c r="P62" s="190">
        <v>1067304596</v>
      </c>
      <c r="Q62" s="190">
        <v>850000000</v>
      </c>
      <c r="R62" s="190">
        <v>100000000</v>
      </c>
      <c r="S62" s="190">
        <v>100000000</v>
      </c>
      <c r="T62" s="190">
        <v>100000000</v>
      </c>
      <c r="U62" s="190">
        <v>50000000</v>
      </c>
      <c r="V62" s="190">
        <v>842142200</v>
      </c>
      <c r="W62" s="190">
        <v>1700000</v>
      </c>
      <c r="X62" s="190">
        <v>1700000</v>
      </c>
      <c r="Y62" s="190">
        <v>1700000</v>
      </c>
      <c r="Z62" s="190">
        <v>71700000</v>
      </c>
      <c r="AA62" s="190">
        <v>103700000</v>
      </c>
      <c r="AB62" s="190">
        <v>78700000</v>
      </c>
      <c r="AC62" s="190">
        <v>33700000</v>
      </c>
      <c r="AD62" s="190">
        <v>42000000</v>
      </c>
      <c r="AE62" s="190">
        <v>70000000</v>
      </c>
      <c r="AF62" s="190">
        <v>190000000</v>
      </c>
      <c r="AG62" s="190">
        <v>140000000</v>
      </c>
      <c r="AH62" s="190">
        <v>90000000</v>
      </c>
      <c r="AI62" s="190">
        <v>90000000</v>
      </c>
      <c r="AJ62" s="190">
        <v>90000000</v>
      </c>
      <c r="AK62" s="190">
        <v>90000000</v>
      </c>
      <c r="AL62" s="190">
        <v>10000000</v>
      </c>
      <c r="AM62" s="190">
        <v>36000000</v>
      </c>
      <c r="AN62" s="190">
        <v>0</v>
      </c>
    </row>
    <row r="63" spans="1:40" x14ac:dyDescent="0.25">
      <c r="A63" s="190" t="s">
        <v>167</v>
      </c>
      <c r="B63" s="190">
        <v>4186187466</v>
      </c>
      <c r="C63" s="190">
        <v>4188070805</v>
      </c>
      <c r="D63" s="190">
        <v>4186913535</v>
      </c>
      <c r="E63" s="190">
        <v>3288458807</v>
      </c>
      <c r="F63" s="190">
        <v>2788694777</v>
      </c>
      <c r="G63" s="190">
        <v>794011481</v>
      </c>
      <c r="H63" s="190">
        <v>793340561</v>
      </c>
      <c r="I63" s="190">
        <v>1095927838</v>
      </c>
      <c r="J63" s="190">
        <v>2590528182</v>
      </c>
      <c r="K63" s="190">
        <v>2588715811</v>
      </c>
      <c r="L63" s="190">
        <v>4184460051</v>
      </c>
      <c r="M63" s="190">
        <v>3088787138</v>
      </c>
      <c r="N63" s="190">
        <v>1595015298</v>
      </c>
      <c r="O63" s="190">
        <v>1797544882</v>
      </c>
      <c r="P63" s="190">
        <v>1796239426</v>
      </c>
      <c r="Q63" s="190">
        <v>2884521311</v>
      </c>
      <c r="R63" s="190">
        <v>4374175280</v>
      </c>
      <c r="S63" s="190">
        <v>4371262670</v>
      </c>
      <c r="T63" s="190">
        <v>4368681937</v>
      </c>
      <c r="U63" s="190">
        <v>4365749880</v>
      </c>
      <c r="V63" s="190">
        <v>4363384520</v>
      </c>
      <c r="W63" s="190">
        <v>4360507242</v>
      </c>
      <c r="X63" s="190">
        <v>4361696984</v>
      </c>
      <c r="Y63" s="190">
        <v>3274852062</v>
      </c>
      <c r="Z63" s="190">
        <v>1792127604</v>
      </c>
      <c r="AA63" s="190">
        <v>1790394086</v>
      </c>
      <c r="AB63" s="190">
        <v>199067072</v>
      </c>
      <c r="AC63" s="190">
        <v>199023536</v>
      </c>
      <c r="AD63" s="190">
        <v>198980000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0</v>
      </c>
      <c r="F64" s="190">
        <v>0</v>
      </c>
      <c r="G64" s="190">
        <v>0</v>
      </c>
      <c r="H64" s="190">
        <v>0</v>
      </c>
      <c r="I64" s="190">
        <v>0</v>
      </c>
      <c r="J64" s="190">
        <v>0</v>
      </c>
      <c r="K64" s="190">
        <v>6000000</v>
      </c>
      <c r="L64" s="190">
        <v>6000000</v>
      </c>
      <c r="M64" s="190">
        <v>6000000</v>
      </c>
      <c r="N64" s="190">
        <v>106000000</v>
      </c>
      <c r="O64" s="190">
        <v>440000000</v>
      </c>
      <c r="P64" s="190">
        <v>480000000</v>
      </c>
      <c r="Q64" s="190">
        <v>600000000</v>
      </c>
      <c r="R64" s="190">
        <v>0</v>
      </c>
      <c r="S64" s="190">
        <v>0</v>
      </c>
      <c r="T64" s="190">
        <v>0</v>
      </c>
      <c r="U64" s="190">
        <v>0</v>
      </c>
      <c r="V64" s="190">
        <v>0</v>
      </c>
      <c r="W64" s="190">
        <v>0</v>
      </c>
      <c r="X64" s="190">
        <v>0</v>
      </c>
      <c r="Y64" s="190">
        <v>0</v>
      </c>
      <c r="Z64" s="190">
        <v>49700070</v>
      </c>
      <c r="AA64" s="190">
        <v>49592624</v>
      </c>
      <c r="AB64" s="190">
        <v>0</v>
      </c>
      <c r="AC64" s="190">
        <v>0</v>
      </c>
      <c r="AD64" s="190">
        <v>697264</v>
      </c>
      <c r="AE64" s="190">
        <v>1394527</v>
      </c>
      <c r="AF64" s="190">
        <v>2091790</v>
      </c>
      <c r="AG64" s="190">
        <v>2789054</v>
      </c>
      <c r="AH64" s="190">
        <v>5686955</v>
      </c>
      <c r="AI64" s="190">
        <v>5584857</v>
      </c>
      <c r="AJ64" s="190">
        <v>5380663</v>
      </c>
      <c r="AK64" s="190">
        <v>5380663</v>
      </c>
      <c r="AL64" s="190">
        <v>7787472</v>
      </c>
      <c r="AM64" s="190">
        <v>10021310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31268470</v>
      </c>
      <c r="E66" s="190">
        <v>118856641</v>
      </c>
      <c r="F66" s="190">
        <v>95988936</v>
      </c>
      <c r="G66" s="190">
        <v>95988936</v>
      </c>
      <c r="H66" s="190">
        <v>90188470</v>
      </c>
      <c r="I66" s="190">
        <v>90188470</v>
      </c>
      <c r="J66" s="190">
        <v>90188470</v>
      </c>
      <c r="K66" s="190">
        <v>128426100</v>
      </c>
      <c r="L66" s="190">
        <v>98426100</v>
      </c>
      <c r="M66" s="190">
        <v>98426100</v>
      </c>
      <c r="N66" s="190">
        <v>65000000</v>
      </c>
      <c r="O66" s="190">
        <v>65000000</v>
      </c>
      <c r="P66" s="190">
        <v>65000000</v>
      </c>
      <c r="Q66" s="190">
        <v>65000000</v>
      </c>
      <c r="R66" s="190">
        <v>40000000</v>
      </c>
      <c r="S66" s="190">
        <v>40000000</v>
      </c>
      <c r="T66" s="190">
        <v>40000000</v>
      </c>
      <c r="U66" s="190">
        <v>40000000</v>
      </c>
      <c r="V66" s="190">
        <v>40000000</v>
      </c>
      <c r="W66" s="190">
        <v>40000000</v>
      </c>
      <c r="X66" s="190">
        <v>40000000</v>
      </c>
      <c r="Y66" s="190">
        <v>20000000</v>
      </c>
      <c r="Z66" s="190">
        <v>20000000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0</v>
      </c>
      <c r="C67" s="190">
        <v>0</v>
      </c>
      <c r="D67" s="190">
        <v>0</v>
      </c>
      <c r="E67" s="190">
        <v>0</v>
      </c>
      <c r="F67" s="190">
        <v>14903090</v>
      </c>
      <c r="G67" s="190">
        <v>21000000</v>
      </c>
      <c r="H67" s="190">
        <v>21000000</v>
      </c>
      <c r="I67" s="190">
        <v>21000000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row>
    <row r="68" spans="1:40" x14ac:dyDescent="0.25">
      <c r="A68" s="190" t="s">
        <v>172</v>
      </c>
      <c r="B68" s="190">
        <v>231500741</v>
      </c>
      <c r="C68" s="190">
        <v>233174561</v>
      </c>
      <c r="D68" s="190">
        <v>241037468</v>
      </c>
      <c r="E68" s="190">
        <v>242668845</v>
      </c>
      <c r="F68" s="190">
        <v>65768350</v>
      </c>
      <c r="G68" s="190">
        <v>67840298</v>
      </c>
      <c r="H68" s="190">
        <v>69920789</v>
      </c>
      <c r="I68" s="190">
        <v>72005549</v>
      </c>
      <c r="J68" s="190">
        <v>66970830</v>
      </c>
      <c r="K68" s="190">
        <v>69397289</v>
      </c>
      <c r="L68" s="190">
        <v>72262081</v>
      </c>
      <c r="M68" s="190">
        <v>74351352</v>
      </c>
      <c r="N68" s="190">
        <v>76878205</v>
      </c>
      <c r="O68" s="190">
        <v>79426569</v>
      </c>
      <c r="P68" s="190">
        <v>81976528</v>
      </c>
      <c r="Q68" s="190">
        <v>84293164</v>
      </c>
      <c r="R68" s="190">
        <v>131277864</v>
      </c>
      <c r="S68" s="190">
        <v>119877747</v>
      </c>
      <c r="T68" s="190">
        <v>117693402</v>
      </c>
      <c r="U68" s="190">
        <v>120566334</v>
      </c>
      <c r="V68" s="190">
        <v>123560515</v>
      </c>
      <c r="W68" s="190">
        <v>126364701</v>
      </c>
      <c r="X68" s="190">
        <v>129007582</v>
      </c>
      <c r="Y68" s="190">
        <v>131899828</v>
      </c>
      <c r="Z68" s="190">
        <v>129505991</v>
      </c>
      <c r="AA68" s="190">
        <v>132202469</v>
      </c>
      <c r="AB68" s="190">
        <v>122534453</v>
      </c>
      <c r="AC68" s="190">
        <v>124110912</v>
      </c>
      <c r="AD68" s="190">
        <v>115786533</v>
      </c>
      <c r="AE68" s="190">
        <v>118344948</v>
      </c>
      <c r="AF68" s="190">
        <v>74644415</v>
      </c>
      <c r="AG68" s="190">
        <v>50310326</v>
      </c>
      <c r="AH68" s="190">
        <v>0</v>
      </c>
      <c r="AI68" s="190">
        <v>0</v>
      </c>
      <c r="AJ68" s="190">
        <v>0</v>
      </c>
      <c r="AK68" s="190">
        <v>0</v>
      </c>
      <c r="AL68" s="190">
        <v>1018669</v>
      </c>
      <c r="AM68" s="190">
        <v>1526959</v>
      </c>
      <c r="AN68" s="190">
        <v>0</v>
      </c>
    </row>
    <row r="69" spans="1:40" x14ac:dyDescent="0.25">
      <c r="A69" s="190" t="s">
        <v>173</v>
      </c>
      <c r="B69" s="190">
        <v>350007206</v>
      </c>
      <c r="C69" s="190">
        <v>340802932</v>
      </c>
      <c r="D69" s="190">
        <v>269328824</v>
      </c>
      <c r="E69" s="190">
        <v>255907089</v>
      </c>
      <c r="F69" s="190">
        <v>168494819</v>
      </c>
      <c r="G69" s="190">
        <v>171719565</v>
      </c>
      <c r="H69" s="190">
        <v>174625339</v>
      </c>
      <c r="I69" s="190">
        <v>175451861</v>
      </c>
      <c r="J69" s="190">
        <v>176803575</v>
      </c>
      <c r="K69" s="190">
        <v>120989476</v>
      </c>
      <c r="L69" s="190">
        <v>121982315</v>
      </c>
      <c r="M69" s="190">
        <v>124171368</v>
      </c>
      <c r="N69" s="190">
        <v>102150132</v>
      </c>
      <c r="O69" s="190">
        <v>94334438</v>
      </c>
      <c r="P69" s="190">
        <v>90899088</v>
      </c>
      <c r="Q69" s="190">
        <v>94774641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669580923</v>
      </c>
      <c r="S70" s="190">
        <v>70861394</v>
      </c>
      <c r="T70" s="190">
        <v>71860134</v>
      </c>
      <c r="U70" s="190">
        <v>70856664</v>
      </c>
      <c r="V70" s="190">
        <v>65775400</v>
      </c>
      <c r="W70" s="190">
        <v>54782373</v>
      </c>
      <c r="X70" s="190">
        <v>51815961</v>
      </c>
      <c r="Y70" s="190">
        <v>49743861</v>
      </c>
      <c r="Z70" s="190">
        <v>11812195</v>
      </c>
      <c r="AA70" s="190">
        <v>12551065</v>
      </c>
      <c r="AB70" s="190">
        <v>10601065</v>
      </c>
      <c r="AC70" s="190">
        <v>6859985</v>
      </c>
      <c r="AD70" s="190">
        <v>0</v>
      </c>
      <c r="AE70" s="190">
        <v>0</v>
      </c>
      <c r="AF70" s="190">
        <v>0</v>
      </c>
      <c r="AG70" s="190">
        <v>0</v>
      </c>
      <c r="AH70" s="190">
        <v>0</v>
      </c>
      <c r="AI70" s="190">
        <v>0</v>
      </c>
      <c r="AJ70" s="190">
        <v>0</v>
      </c>
      <c r="AK70" s="190">
        <v>0</v>
      </c>
      <c r="AL70" s="190">
        <v>0</v>
      </c>
      <c r="AM70" s="190">
        <v>0</v>
      </c>
      <c r="AN70" s="190">
        <v>0</v>
      </c>
    </row>
    <row r="71" spans="1:40" x14ac:dyDescent="0.25">
      <c r="A71" s="190" t="s">
        <v>175</v>
      </c>
      <c r="B71" s="190">
        <v>5142786299</v>
      </c>
      <c r="C71" s="190">
        <v>4930048298</v>
      </c>
      <c r="D71" s="190">
        <v>4936548297</v>
      </c>
      <c r="E71" s="190">
        <v>4113891382</v>
      </c>
      <c r="F71" s="190">
        <v>3381849972</v>
      </c>
      <c r="G71" s="190">
        <v>1398560280</v>
      </c>
      <c r="H71" s="190">
        <v>1427075159</v>
      </c>
      <c r="I71" s="190">
        <v>1745060636</v>
      </c>
      <c r="J71" s="190">
        <v>3236171796</v>
      </c>
      <c r="K71" s="190">
        <v>3106585138</v>
      </c>
      <c r="L71" s="190">
        <v>4583657451</v>
      </c>
      <c r="M71" s="190">
        <v>3718849508</v>
      </c>
      <c r="N71" s="190">
        <v>3014788792</v>
      </c>
      <c r="O71" s="190">
        <v>3572521032</v>
      </c>
      <c r="P71" s="190">
        <v>3581419638</v>
      </c>
      <c r="Q71" s="190">
        <v>4578589116</v>
      </c>
      <c r="R71" s="190">
        <v>5315034067</v>
      </c>
      <c r="S71" s="190">
        <v>4702001811</v>
      </c>
      <c r="T71" s="190">
        <v>4698235473</v>
      </c>
      <c r="U71" s="190">
        <v>4647172878</v>
      </c>
      <c r="V71" s="190">
        <v>5434862635</v>
      </c>
      <c r="W71" s="190">
        <v>4583354316</v>
      </c>
      <c r="X71" s="190">
        <v>4584220527</v>
      </c>
      <c r="Y71" s="190">
        <v>3478195751</v>
      </c>
      <c r="Z71" s="190">
        <v>2074845860</v>
      </c>
      <c r="AA71" s="190">
        <v>2088440244</v>
      </c>
      <c r="AB71" s="190">
        <v>410902590</v>
      </c>
      <c r="AC71" s="190">
        <v>363694433</v>
      </c>
      <c r="AD71" s="190">
        <v>357463797</v>
      </c>
      <c r="AE71" s="190">
        <v>189739475</v>
      </c>
      <c r="AF71" s="190">
        <v>266736205</v>
      </c>
      <c r="AG71" s="190">
        <v>193099380</v>
      </c>
      <c r="AH71" s="190">
        <v>95686955</v>
      </c>
      <c r="AI71" s="190">
        <v>95584857</v>
      </c>
      <c r="AJ71" s="190">
        <v>95380663</v>
      </c>
      <c r="AK71" s="190">
        <v>95380663</v>
      </c>
      <c r="AL71" s="190">
        <v>18806141</v>
      </c>
      <c r="AM71" s="190">
        <v>47548269</v>
      </c>
      <c r="AN71" s="190">
        <v>0</v>
      </c>
    </row>
    <row r="72" spans="1:40" x14ac:dyDescent="0.25">
      <c r="A72" s="190" t="s">
        <v>176</v>
      </c>
      <c r="B72" s="190">
        <v>16238780142</v>
      </c>
      <c r="C72" s="190">
        <v>15443021989</v>
      </c>
      <c r="D72" s="190">
        <v>16353608420</v>
      </c>
      <c r="E72" s="190">
        <v>16005708357</v>
      </c>
      <c r="F72" s="190">
        <v>14931015470</v>
      </c>
      <c r="G72" s="190">
        <v>13065011833</v>
      </c>
      <c r="H72" s="190">
        <v>13671284267</v>
      </c>
      <c r="I72" s="190">
        <v>11943529969</v>
      </c>
      <c r="J72" s="190">
        <v>12276407824</v>
      </c>
      <c r="K72" s="190">
        <v>12486562068</v>
      </c>
      <c r="L72" s="190">
        <v>12288098139</v>
      </c>
      <c r="M72" s="190">
        <v>11419487380</v>
      </c>
      <c r="N72" s="190">
        <v>11190391485</v>
      </c>
      <c r="O72" s="190">
        <v>10328120574</v>
      </c>
      <c r="P72" s="190">
        <v>10376299038</v>
      </c>
      <c r="Q72" s="190">
        <v>10232464778</v>
      </c>
      <c r="R72" s="190">
        <v>9623337384</v>
      </c>
      <c r="S72" s="190">
        <v>8674827965</v>
      </c>
      <c r="T72" s="190">
        <v>8033881783</v>
      </c>
      <c r="U72" s="190">
        <v>7922938690</v>
      </c>
      <c r="V72" s="190">
        <v>8420962715</v>
      </c>
      <c r="W72" s="190">
        <v>7041794104</v>
      </c>
      <c r="X72" s="190">
        <v>7372828418</v>
      </c>
      <c r="Y72" s="190">
        <v>5866700478</v>
      </c>
      <c r="Z72" s="190">
        <v>4897897528</v>
      </c>
      <c r="AA72" s="190">
        <v>5324018237</v>
      </c>
      <c r="AB72" s="190">
        <v>2684798626</v>
      </c>
      <c r="AC72" s="190">
        <v>2534402099</v>
      </c>
      <c r="AD72" s="190">
        <v>2410808623</v>
      </c>
      <c r="AE72" s="190">
        <v>2143488157</v>
      </c>
      <c r="AF72" s="190">
        <v>1954775752</v>
      </c>
      <c r="AG72" s="190">
        <v>1738262513</v>
      </c>
      <c r="AH72" s="190">
        <v>1497977241</v>
      </c>
      <c r="AI72" s="190">
        <v>1540474215</v>
      </c>
      <c r="AJ72" s="190">
        <v>1720487648</v>
      </c>
      <c r="AK72" s="190">
        <v>1753987448</v>
      </c>
      <c r="AL72" s="190">
        <v>1465915636</v>
      </c>
      <c r="AM72" s="190">
        <v>1096033521</v>
      </c>
      <c r="AN72" s="190">
        <v>0</v>
      </c>
    </row>
    <row r="73" spans="1:40" x14ac:dyDescent="0.25">
      <c r="A73" s="190" t="s">
        <v>177</v>
      </c>
    </row>
    <row r="74" spans="1:40" x14ac:dyDescent="0.25">
      <c r="A74" s="190" t="s">
        <v>178</v>
      </c>
      <c r="B74" s="190">
        <v>1439845500</v>
      </c>
      <c r="C74" s="190">
        <v>1440000000</v>
      </c>
      <c r="D74" s="190">
        <v>1440000000</v>
      </c>
      <c r="E74" s="190">
        <v>1440000000</v>
      </c>
      <c r="F74" s="190">
        <v>1440000000</v>
      </c>
      <c r="G74" s="190">
        <v>1440000000</v>
      </c>
      <c r="H74" s="190">
        <v>1440000000</v>
      </c>
      <c r="I74" s="190">
        <v>1440000000</v>
      </c>
      <c r="J74" s="190">
        <v>1440000000</v>
      </c>
      <c r="K74" s="190">
        <v>1440000000</v>
      </c>
      <c r="L74" s="190">
        <v>1440000000</v>
      </c>
      <c r="M74" s="190">
        <v>1440000000</v>
      </c>
      <c r="N74" s="190">
        <v>1440000000</v>
      </c>
      <c r="O74" s="190">
        <v>720000000</v>
      </c>
      <c r="P74" s="190">
        <v>720000000</v>
      </c>
      <c r="Q74" s="190">
        <v>720000000</v>
      </c>
      <c r="R74" s="190">
        <v>720000000</v>
      </c>
      <c r="S74" s="190">
        <v>480000000</v>
      </c>
      <c r="T74" s="190">
        <v>480000000</v>
      </c>
      <c r="U74" s="190">
        <v>480000000</v>
      </c>
      <c r="V74" s="190">
        <v>480000000</v>
      </c>
      <c r="W74" s="190">
        <v>480000000</v>
      </c>
      <c r="X74" s="190">
        <v>480000000</v>
      </c>
      <c r="Y74" s="190">
        <v>480000000</v>
      </c>
      <c r="Z74" s="190">
        <v>480000000</v>
      </c>
      <c r="AA74" s="190">
        <v>480000000</v>
      </c>
      <c r="AB74" s="190">
        <v>480000000</v>
      </c>
      <c r="AC74" s="190">
        <v>480000000</v>
      </c>
      <c r="AD74" s="190">
        <v>480000000</v>
      </c>
      <c r="AE74" s="190">
        <v>480000000</v>
      </c>
      <c r="AF74" s="190">
        <v>240000000</v>
      </c>
      <c r="AG74" s="190">
        <v>240000000</v>
      </c>
      <c r="AH74" s="190">
        <v>240000000</v>
      </c>
      <c r="AI74" s="190">
        <v>240000000</v>
      </c>
      <c r="AJ74" s="190">
        <v>180000000</v>
      </c>
      <c r="AK74" s="190">
        <v>180000000</v>
      </c>
      <c r="AL74" s="190">
        <v>180000000</v>
      </c>
      <c r="AM74" s="190">
        <v>75000000</v>
      </c>
      <c r="AN74" s="190">
        <v>0</v>
      </c>
    </row>
    <row r="75" spans="1:40" x14ac:dyDescent="0.25">
      <c r="A75" s="190" t="s">
        <v>179</v>
      </c>
      <c r="B75" s="190">
        <v>3536852915</v>
      </c>
      <c r="C75" s="190">
        <v>3524215693</v>
      </c>
      <c r="D75" s="190">
        <v>3536178325</v>
      </c>
      <c r="E75" s="190">
        <v>3532100125</v>
      </c>
      <c r="F75" s="190">
        <v>3514952933</v>
      </c>
      <c r="G75" s="190">
        <v>3501335354</v>
      </c>
      <c r="H75" s="190">
        <v>3486212497</v>
      </c>
      <c r="I75" s="190">
        <v>3477300197</v>
      </c>
      <c r="J75" s="190">
        <v>3633968644</v>
      </c>
      <c r="K75" s="190">
        <v>3675543607</v>
      </c>
      <c r="L75" s="190">
        <v>3675582012</v>
      </c>
      <c r="M75" s="190">
        <v>3674937839</v>
      </c>
      <c r="N75" s="190">
        <v>3673724136</v>
      </c>
      <c r="O75" s="190">
        <v>4429904922</v>
      </c>
      <c r="P75" s="190">
        <v>4423553621</v>
      </c>
      <c r="Q75" s="190">
        <v>4415117459</v>
      </c>
      <c r="R75" s="190">
        <v>4405915267</v>
      </c>
      <c r="S75" s="190">
        <v>4668929290</v>
      </c>
      <c r="T75" s="190">
        <v>4644853761</v>
      </c>
      <c r="U75" s="190">
        <v>4644853761</v>
      </c>
      <c r="V75" s="190">
        <v>4644951077</v>
      </c>
      <c r="W75" s="190">
        <v>4644951077</v>
      </c>
      <c r="X75" s="190">
        <v>4644951077</v>
      </c>
      <c r="Y75" s="190">
        <v>4644951077</v>
      </c>
      <c r="Z75" s="190">
        <v>4647984745</v>
      </c>
      <c r="AA75" s="190">
        <v>4647984745</v>
      </c>
      <c r="AB75" s="190">
        <v>4652786842</v>
      </c>
      <c r="AC75" s="190">
        <v>4653690794</v>
      </c>
      <c r="AD75" s="190">
        <v>4653565869</v>
      </c>
      <c r="AE75" s="190">
        <v>4653565869</v>
      </c>
      <c r="AF75" s="190">
        <v>4893565869</v>
      </c>
      <c r="AG75" s="190">
        <v>4893565869</v>
      </c>
      <c r="AH75" s="190">
        <v>4897726923</v>
      </c>
      <c r="AI75" s="190">
        <v>4904165354</v>
      </c>
      <c r="AJ75" s="190">
        <v>192168133</v>
      </c>
      <c r="AK75" s="190">
        <v>192168133</v>
      </c>
      <c r="AL75" s="190">
        <v>225324157</v>
      </c>
      <c r="AM75" s="190">
        <v>141924157</v>
      </c>
      <c r="AN75" s="190">
        <v>0</v>
      </c>
    </row>
    <row r="76" spans="1:40" x14ac:dyDescent="0.25">
      <c r="A76" s="190" t="s">
        <v>180</v>
      </c>
      <c r="B76" s="190">
        <v>40656089</v>
      </c>
      <c r="C76" s="190">
        <v>26682810</v>
      </c>
      <c r="D76" s="190">
        <v>83895379</v>
      </c>
      <c r="E76" s="190">
        <v>83895380</v>
      </c>
      <c r="F76" s="190">
        <v>83895379</v>
      </c>
      <c r="G76" s="190">
        <v>83892378</v>
      </c>
      <c r="H76" s="190">
        <v>51619362</v>
      </c>
      <c r="I76" s="190">
        <v>51619362</v>
      </c>
      <c r="J76" s="190">
        <v>103189732</v>
      </c>
      <c r="K76" s="190">
        <v>103192346</v>
      </c>
      <c r="L76" s="190">
        <v>103172911</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73566730</v>
      </c>
      <c r="C77" s="190">
        <v>15850312</v>
      </c>
      <c r="D77" s="190">
        <v>-70323158</v>
      </c>
      <c r="E77" s="190">
        <v>371322</v>
      </c>
      <c r="F77" s="190">
        <v>492676212</v>
      </c>
      <c r="G77" s="190">
        <v>353546004</v>
      </c>
      <c r="H77" s="190">
        <v>342641095</v>
      </c>
      <c r="I77" s="190">
        <v>98451096</v>
      </c>
      <c r="J77" s="190">
        <v>137277976</v>
      </c>
      <c r="K77" s="190">
        <v>82684728</v>
      </c>
      <c r="L77" s="190">
        <v>56037293</v>
      </c>
      <c r="M77" s="190">
        <v>-35452721</v>
      </c>
      <c r="N77" s="190">
        <v>-81232406</v>
      </c>
      <c r="O77" s="190">
        <v>4378779</v>
      </c>
      <c r="P77" s="190">
        <v>71553160</v>
      </c>
      <c r="Q77" s="190">
        <v>89077950</v>
      </c>
      <c r="R77" s="190">
        <v>92970571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631099973</v>
      </c>
      <c r="C79" s="190">
        <v>631099973</v>
      </c>
      <c r="D79" s="190">
        <v>631099973</v>
      </c>
      <c r="E79" s="190">
        <v>631099973</v>
      </c>
      <c r="F79" s="190">
        <v>589720557</v>
      </c>
      <c r="G79" s="190">
        <v>589720557</v>
      </c>
      <c r="H79" s="190">
        <v>589720557</v>
      </c>
      <c r="I79" s="190">
        <v>589720557</v>
      </c>
      <c r="J79" s="190">
        <v>494124833</v>
      </c>
      <c r="K79" s="190">
        <v>494124833</v>
      </c>
      <c r="L79" s="190">
        <v>494124833</v>
      </c>
      <c r="M79" s="190">
        <v>494124833</v>
      </c>
      <c r="N79" s="190">
        <v>441478615</v>
      </c>
      <c r="O79" s="190">
        <v>441478615</v>
      </c>
      <c r="P79" s="190">
        <v>441478615</v>
      </c>
      <c r="Q79" s="190">
        <v>441478615</v>
      </c>
      <c r="R79" s="190">
        <v>363873358</v>
      </c>
      <c r="S79" s="190">
        <v>363873358</v>
      </c>
      <c r="T79" s="190">
        <v>363873358</v>
      </c>
      <c r="U79" s="190">
        <v>363873358</v>
      </c>
      <c r="V79" s="190">
        <v>299822264</v>
      </c>
      <c r="W79" s="190">
        <v>299822264</v>
      </c>
      <c r="X79" s="190">
        <v>299822264</v>
      </c>
      <c r="Y79" s="190">
        <v>299822264</v>
      </c>
      <c r="Z79" s="190">
        <v>206407213</v>
      </c>
      <c r="AA79" s="190">
        <v>206407213</v>
      </c>
      <c r="AB79" s="190">
        <v>212231101</v>
      </c>
      <c r="AC79" s="190">
        <v>212231101</v>
      </c>
      <c r="AD79" s="190">
        <v>141714046</v>
      </c>
      <c r="AE79" s="190">
        <v>141714046</v>
      </c>
      <c r="AF79" s="190">
        <v>141714046</v>
      </c>
      <c r="AG79" s="190">
        <v>141714046</v>
      </c>
      <c r="AH79" s="190">
        <v>95627057</v>
      </c>
      <c r="AI79" s="190">
        <v>95627057</v>
      </c>
      <c r="AJ79" s="190">
        <v>95627057</v>
      </c>
      <c r="AK79" s="190">
        <v>95627057</v>
      </c>
      <c r="AL79" s="190">
        <v>68290027</v>
      </c>
      <c r="AM79" s="190">
        <v>46921101</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7005829840</v>
      </c>
      <c r="C81" s="190">
        <v>7057378719</v>
      </c>
      <c r="D81" s="190">
        <v>6666556021</v>
      </c>
      <c r="E81" s="190">
        <v>6283357368</v>
      </c>
      <c r="F81" s="190">
        <v>5962661922</v>
      </c>
      <c r="G81" s="190">
        <v>5832342784</v>
      </c>
      <c r="H81" s="190">
        <v>5969000753</v>
      </c>
      <c r="I81" s="190">
        <v>5776352402</v>
      </c>
      <c r="J81" s="190">
        <v>5824790606</v>
      </c>
      <c r="K81" s="190">
        <v>5673375840</v>
      </c>
      <c r="L81" s="190">
        <v>5694641237</v>
      </c>
      <c r="M81" s="190">
        <v>5486429429</v>
      </c>
      <c r="N81" s="190">
        <v>5444409458</v>
      </c>
      <c r="O81" s="190">
        <v>5483056498</v>
      </c>
      <c r="P81" s="190">
        <v>5279711053</v>
      </c>
      <c r="Q81" s="190">
        <v>5073804324</v>
      </c>
      <c r="R81" s="190">
        <v>4977602959</v>
      </c>
      <c r="S81" s="190">
        <v>4688732638</v>
      </c>
      <c r="T81" s="190">
        <v>4499781764</v>
      </c>
      <c r="U81" s="190">
        <v>4271855890</v>
      </c>
      <c r="V81" s="190">
        <v>4106544154</v>
      </c>
      <c r="W81" s="190">
        <v>3792514448</v>
      </c>
      <c r="X81" s="190">
        <v>3584777100</v>
      </c>
      <c r="Y81" s="190">
        <v>3378161281</v>
      </c>
      <c r="Z81" s="190">
        <v>3145150862</v>
      </c>
      <c r="AA81" s="190">
        <v>2840259156</v>
      </c>
      <c r="AB81" s="190">
        <v>2660653313</v>
      </c>
      <c r="AC81" s="190">
        <v>2491032647</v>
      </c>
      <c r="AD81" s="190">
        <v>2282875604</v>
      </c>
      <c r="AE81" s="190">
        <v>2005789857</v>
      </c>
      <c r="AF81" s="190">
        <v>1862798186</v>
      </c>
      <c r="AG81" s="190">
        <v>1715423607</v>
      </c>
      <c r="AH81" s="190">
        <v>1551324011</v>
      </c>
      <c r="AI81" s="190">
        <v>1360499997</v>
      </c>
      <c r="AJ81" s="190">
        <v>1193426804</v>
      </c>
      <c r="AK81" s="190">
        <v>1100281347</v>
      </c>
      <c r="AL81" s="190">
        <v>699766941</v>
      </c>
      <c r="AM81" s="190">
        <v>411248661</v>
      </c>
      <c r="AN81" s="190">
        <v>0</v>
      </c>
    </row>
    <row r="82" spans="1:40" x14ac:dyDescent="0.25">
      <c r="A82" s="190" t="s">
        <v>186</v>
      </c>
      <c r="B82" s="190">
        <v>12646538869</v>
      </c>
      <c r="C82" s="190">
        <v>12641861887</v>
      </c>
      <c r="D82" s="190">
        <v>12119615782</v>
      </c>
      <c r="E82" s="190">
        <v>11803033408</v>
      </c>
      <c r="F82" s="190">
        <v>11916116245</v>
      </c>
      <c r="G82" s="190">
        <v>11633052321</v>
      </c>
      <c r="H82" s="190">
        <v>11775955540</v>
      </c>
      <c r="I82" s="190">
        <v>11330204890</v>
      </c>
      <c r="J82" s="190">
        <v>11426972327</v>
      </c>
      <c r="K82" s="190">
        <v>11262536662</v>
      </c>
      <c r="L82" s="190">
        <v>11257212464</v>
      </c>
      <c r="M82" s="190">
        <v>11060039380</v>
      </c>
      <c r="N82" s="190">
        <v>10918379803</v>
      </c>
      <c r="O82" s="190">
        <v>11078818814</v>
      </c>
      <c r="P82" s="190">
        <v>10936296449</v>
      </c>
      <c r="Q82" s="190">
        <v>10739478348</v>
      </c>
      <c r="R82" s="190">
        <v>10560362155</v>
      </c>
      <c r="S82" s="190">
        <v>10198708976</v>
      </c>
      <c r="T82" s="190">
        <v>9986728205</v>
      </c>
      <c r="U82" s="190">
        <v>9759926168</v>
      </c>
      <c r="V82" s="190">
        <v>9530677344</v>
      </c>
      <c r="W82" s="190">
        <v>9216788253</v>
      </c>
      <c r="X82" s="190">
        <v>9009293141</v>
      </c>
      <c r="Y82" s="190">
        <v>8802834955</v>
      </c>
      <c r="Z82" s="190">
        <v>8479542820</v>
      </c>
      <c r="AA82" s="190">
        <v>8174651114</v>
      </c>
      <c r="AB82" s="190">
        <v>8005671256</v>
      </c>
      <c r="AC82" s="190">
        <v>7836954542</v>
      </c>
      <c r="AD82" s="190">
        <v>7558155519</v>
      </c>
      <c r="AE82" s="190">
        <v>7281069772</v>
      </c>
      <c r="AF82" s="190">
        <v>7138078101</v>
      </c>
      <c r="AG82" s="190">
        <v>6990703522</v>
      </c>
      <c r="AH82" s="190">
        <v>6784677991</v>
      </c>
      <c r="AI82" s="190">
        <v>6600292408</v>
      </c>
      <c r="AJ82" s="190">
        <v>1661221994</v>
      </c>
      <c r="AK82" s="190">
        <v>1568076537</v>
      </c>
      <c r="AL82" s="190">
        <v>1173381125</v>
      </c>
      <c r="AM82" s="190">
        <v>675093919</v>
      </c>
      <c r="AN82" s="190">
        <v>0</v>
      </c>
    </row>
    <row r="83" spans="1:40" x14ac:dyDescent="0.25">
      <c r="A83" s="190" t="s">
        <v>187</v>
      </c>
      <c r="B83" s="190">
        <v>179899027</v>
      </c>
      <c r="C83" s="190">
        <v>168558168</v>
      </c>
      <c r="D83" s="190">
        <v>162073765</v>
      </c>
      <c r="E83" s="190">
        <v>179418697</v>
      </c>
      <c r="F83" s="190">
        <v>172391531</v>
      </c>
      <c r="G83" s="190">
        <v>156975801</v>
      </c>
      <c r="H83" s="190">
        <v>138293991</v>
      </c>
      <c r="I83" s="190">
        <v>136144086</v>
      </c>
      <c r="J83" s="190">
        <v>94472201</v>
      </c>
      <c r="K83" s="190">
        <v>106313420</v>
      </c>
      <c r="L83" s="190">
        <v>93540315</v>
      </c>
      <c r="M83" s="190">
        <v>103820567</v>
      </c>
      <c r="N83" s="190">
        <v>132790211</v>
      </c>
      <c r="O83" s="190">
        <v>163749885</v>
      </c>
      <c r="P83" s="190">
        <v>228539206</v>
      </c>
      <c r="Q83" s="190">
        <v>230892190</v>
      </c>
      <c r="R83" s="190">
        <v>256599966</v>
      </c>
      <c r="S83" s="190">
        <v>267320934</v>
      </c>
      <c r="T83" s="190">
        <v>263965541</v>
      </c>
      <c r="U83" s="190">
        <v>263986576</v>
      </c>
      <c r="V83" s="190">
        <v>258894514</v>
      </c>
      <c r="W83" s="190">
        <v>254386738</v>
      </c>
      <c r="X83" s="190">
        <v>264501901</v>
      </c>
      <c r="Y83" s="190">
        <v>261242808</v>
      </c>
      <c r="Z83" s="190">
        <v>249767344</v>
      </c>
      <c r="AA83" s="190">
        <v>244499888</v>
      </c>
      <c r="AB83" s="190">
        <v>92794668</v>
      </c>
      <c r="AC83" s="190">
        <v>94015771</v>
      </c>
      <c r="AD83" s="190">
        <v>68423739</v>
      </c>
      <c r="AE83" s="190">
        <v>69138560</v>
      </c>
      <c r="AF83" s="190">
        <v>69259036</v>
      </c>
      <c r="AG83" s="190">
        <v>60934192</v>
      </c>
      <c r="AH83" s="190">
        <v>10068069</v>
      </c>
      <c r="AI83" s="190">
        <v>11768600</v>
      </c>
      <c r="AJ83" s="190">
        <v>11282179</v>
      </c>
      <c r="AK83" s="190">
        <v>11333635</v>
      </c>
      <c r="AL83" s="190">
        <v>16857813</v>
      </c>
      <c r="AM83" s="190">
        <v>16122406</v>
      </c>
      <c r="AN83" s="190">
        <v>0</v>
      </c>
    </row>
    <row r="84" spans="1:40" x14ac:dyDescent="0.25">
      <c r="A84" s="190" t="s">
        <v>188</v>
      </c>
      <c r="B84" s="190">
        <v>12826437896</v>
      </c>
      <c r="C84" s="190">
        <v>12810420055</v>
      </c>
      <c r="D84" s="190">
        <v>12281689547</v>
      </c>
      <c r="E84" s="190">
        <v>11982452105</v>
      </c>
      <c r="F84" s="190">
        <v>12088507776</v>
      </c>
      <c r="G84" s="190">
        <v>11790028122</v>
      </c>
      <c r="H84" s="190">
        <v>11914249531</v>
      </c>
      <c r="I84" s="190">
        <v>11466348976</v>
      </c>
      <c r="J84" s="190">
        <v>11521444528</v>
      </c>
      <c r="K84" s="190">
        <v>11368850082</v>
      </c>
      <c r="L84" s="190">
        <v>11350752779</v>
      </c>
      <c r="M84" s="190">
        <v>11163859947</v>
      </c>
      <c r="N84" s="190">
        <v>11051170014</v>
      </c>
      <c r="O84" s="190">
        <v>11242568699</v>
      </c>
      <c r="P84" s="190">
        <v>11164835655</v>
      </c>
      <c r="Q84" s="190">
        <v>10970370538</v>
      </c>
      <c r="R84" s="190">
        <v>10816962121</v>
      </c>
      <c r="S84" s="190">
        <v>10466029910</v>
      </c>
      <c r="T84" s="190">
        <v>10250693746</v>
      </c>
      <c r="U84" s="190">
        <v>10023912744</v>
      </c>
      <c r="V84" s="190">
        <v>9789571858</v>
      </c>
      <c r="W84" s="190">
        <v>9471174991</v>
      </c>
      <c r="X84" s="190">
        <v>9273795042</v>
      </c>
      <c r="Y84" s="190">
        <v>9064077763</v>
      </c>
      <c r="Z84" s="190">
        <v>8729310164</v>
      </c>
      <c r="AA84" s="190">
        <v>8419151002</v>
      </c>
      <c r="AB84" s="190">
        <v>8098465924</v>
      </c>
      <c r="AC84" s="190">
        <v>7930970313</v>
      </c>
      <c r="AD84" s="190">
        <v>7626579258</v>
      </c>
      <c r="AE84" s="190">
        <v>7350208332</v>
      </c>
      <c r="AF84" s="190">
        <v>7207337137</v>
      </c>
      <c r="AG84" s="190">
        <v>7051637714</v>
      </c>
      <c r="AH84" s="190">
        <v>6794746060</v>
      </c>
      <c r="AI84" s="190">
        <v>6612061008</v>
      </c>
      <c r="AJ84" s="190">
        <v>1672504173</v>
      </c>
      <c r="AK84" s="190">
        <v>1579410172</v>
      </c>
      <c r="AL84" s="190">
        <v>1190238938</v>
      </c>
      <c r="AM84" s="190">
        <v>691216325</v>
      </c>
      <c r="AN84" s="190">
        <v>0</v>
      </c>
    </row>
    <row r="85" spans="1:40" x14ac:dyDescent="0.25">
      <c r="A85" s="190" t="s">
        <v>189</v>
      </c>
      <c r="B85" s="190">
        <v>29065218038</v>
      </c>
      <c r="C85" s="190">
        <v>28253442044</v>
      </c>
      <c r="D85" s="190">
        <v>28635297967</v>
      </c>
      <c r="E85" s="190">
        <v>27988160462</v>
      </c>
      <c r="F85" s="190">
        <v>27019523246</v>
      </c>
      <c r="G85" s="190">
        <v>24855039955</v>
      </c>
      <c r="H85" s="190">
        <v>25585533798</v>
      </c>
      <c r="I85" s="190">
        <v>23409878945</v>
      </c>
      <c r="J85" s="190">
        <v>23797852352</v>
      </c>
      <c r="K85" s="190">
        <v>23855412150</v>
      </c>
      <c r="L85" s="190">
        <v>23638850918</v>
      </c>
      <c r="M85" s="190">
        <v>22583347327</v>
      </c>
      <c r="N85" s="190">
        <v>22241561499</v>
      </c>
      <c r="O85" s="190">
        <v>21570689273</v>
      </c>
      <c r="P85" s="190">
        <v>21541134693</v>
      </c>
      <c r="Q85" s="190">
        <v>21202835316</v>
      </c>
      <c r="R85" s="190">
        <v>20440299505</v>
      </c>
      <c r="S85" s="190">
        <v>19140857875</v>
      </c>
      <c r="T85" s="190">
        <v>18284575529</v>
      </c>
      <c r="U85" s="190">
        <v>17946851434</v>
      </c>
      <c r="V85" s="190">
        <v>18210534573</v>
      </c>
      <c r="W85" s="190">
        <v>16512969095</v>
      </c>
      <c r="X85" s="190">
        <v>16646623460</v>
      </c>
      <c r="Y85" s="190">
        <v>14930778241</v>
      </c>
      <c r="Z85" s="190">
        <v>13627207692</v>
      </c>
      <c r="AA85" s="190">
        <v>13743169239</v>
      </c>
      <c r="AB85" s="190">
        <v>10783264550</v>
      </c>
      <c r="AC85" s="190">
        <v>10465372412</v>
      </c>
      <c r="AD85" s="190">
        <v>10037387881</v>
      </c>
      <c r="AE85" s="190">
        <v>9493696489</v>
      </c>
      <c r="AF85" s="190">
        <v>9162112889</v>
      </c>
      <c r="AG85" s="190">
        <v>8789900227</v>
      </c>
      <c r="AH85" s="190">
        <v>8292723301</v>
      </c>
      <c r="AI85" s="190">
        <v>8152535223</v>
      </c>
      <c r="AJ85" s="190">
        <v>3392991821</v>
      </c>
      <c r="AK85" s="190">
        <v>3333397620</v>
      </c>
      <c r="AL85" s="190">
        <v>2656154574</v>
      </c>
      <c r="AM85" s="190">
        <v>1787249846</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2" width="12.77734375" style="190" hidden="1" customWidth="1"/>
    <col min="3" max="4" width="11.6640625" style="190" hidden="1" customWidth="1"/>
    <col min="5" max="5" width="12.77734375" style="190" bestFit="1" customWidth="1"/>
    <col min="6" max="8" width="11.6640625" style="190" hidden="1" customWidth="1"/>
    <col min="9" max="9" width="11.6640625" style="190" bestFit="1" customWidth="1"/>
    <col min="10" max="12" width="11.6640625" style="190" hidden="1" customWidth="1"/>
    <col min="13" max="13" width="11.6640625" style="190" bestFit="1" customWidth="1"/>
    <col min="14" max="16" width="11.6640625" style="190" hidden="1" customWidth="1"/>
    <col min="17" max="17" width="11.6640625" style="190" bestFit="1" customWidth="1"/>
    <col min="18" max="20" width="11.6640625" style="190" hidden="1" customWidth="1"/>
    <col min="21" max="21" width="11.6640625" style="190" bestFit="1" customWidth="1"/>
    <col min="22" max="24" width="11.6640625" style="190" hidden="1" customWidth="1"/>
    <col min="25" max="25" width="11.6640625" style="190" bestFit="1" customWidth="1"/>
    <col min="26" max="28" width="11.6640625" style="190" hidden="1" customWidth="1"/>
    <col min="29" max="29" width="11.6640625" style="190" bestFit="1" customWidth="1"/>
    <col min="30" max="32" width="11.6640625" style="190" hidden="1" customWidth="1"/>
    <col min="33" max="33" width="11.6640625" style="190" bestFit="1" customWidth="1"/>
    <col min="34" max="35" width="11.6640625" style="190" hidden="1" customWidth="1"/>
    <col min="36" max="36" width="10.554687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12231790625</v>
      </c>
      <c r="C3" s="190">
        <v>7792426337</v>
      </c>
      <c r="D3" s="190">
        <v>3932093811</v>
      </c>
      <c r="E3" s="190">
        <v>11434948841</v>
      </c>
      <c r="F3" s="190">
        <v>7910226267</v>
      </c>
      <c r="G3" s="190">
        <v>4941976922</v>
      </c>
      <c r="H3" s="190">
        <v>2434199647</v>
      </c>
      <c r="I3" s="190">
        <v>8565943415</v>
      </c>
      <c r="J3" s="190">
        <v>6252875047</v>
      </c>
      <c r="K3" s="190">
        <v>4096412765</v>
      </c>
      <c r="L3" s="190">
        <v>2004327919</v>
      </c>
      <c r="M3" s="190">
        <v>7763339982</v>
      </c>
      <c r="N3" s="190">
        <v>5818520501</v>
      </c>
      <c r="O3" s="190">
        <v>3835606919</v>
      </c>
      <c r="P3" s="190">
        <v>1892650277</v>
      </c>
      <c r="Q3" s="190">
        <v>8023421289</v>
      </c>
      <c r="R3" s="190">
        <v>5986277356</v>
      </c>
      <c r="S3" s="190">
        <v>3967165098</v>
      </c>
      <c r="T3" s="190">
        <v>1940287290</v>
      </c>
      <c r="U3" s="190">
        <v>6831281981</v>
      </c>
      <c r="V3" s="190">
        <v>4929174842</v>
      </c>
      <c r="W3" s="190">
        <v>3181354078</v>
      </c>
      <c r="X3" s="190">
        <v>1461330801</v>
      </c>
      <c r="Y3" s="190">
        <v>5885278617</v>
      </c>
      <c r="Z3" s="190">
        <v>4353708800</v>
      </c>
      <c r="AA3" s="190">
        <v>2775582920</v>
      </c>
      <c r="AB3" s="190">
        <v>1235735236</v>
      </c>
      <c r="AC3" s="190">
        <v>5147848758</v>
      </c>
      <c r="AD3" s="190">
        <v>3647054388</v>
      </c>
      <c r="AE3" s="190">
        <v>2311450599</v>
      </c>
      <c r="AF3" s="190">
        <v>1075326251</v>
      </c>
      <c r="AG3" s="190">
        <v>4026399958</v>
      </c>
      <c r="AH3" s="190">
        <v>2848000427</v>
      </c>
      <c r="AI3" s="190">
        <v>1785904167</v>
      </c>
      <c r="AJ3" s="190">
        <v>813017762</v>
      </c>
      <c r="AK3" s="190">
        <v>3245985345</v>
      </c>
      <c r="AL3" s="190">
        <v>2347475020</v>
      </c>
      <c r="AM3" s="190">
        <v>1471579835</v>
      </c>
      <c r="AN3" s="190">
        <v>658678544</v>
      </c>
      <c r="AO3" s="190">
        <v>2621391286</v>
      </c>
      <c r="AP3" s="190">
        <v>2029326550</v>
      </c>
      <c r="AQ3" s="190">
        <v>0</v>
      </c>
    </row>
    <row r="4" spans="1:43" x14ac:dyDescent="0.25">
      <c r="A4" s="190" t="s">
        <v>191</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row>
    <row r="5" spans="1:43" x14ac:dyDescent="0.25">
      <c r="A5" s="190" t="s">
        <v>192</v>
      </c>
      <c r="B5" s="190">
        <v>11261731998</v>
      </c>
      <c r="C5" s="190">
        <v>7056189107</v>
      </c>
      <c r="D5" s="190">
        <v>3590937845</v>
      </c>
      <c r="E5" s="190">
        <v>11136139878</v>
      </c>
      <c r="F5" s="190">
        <v>7443089842</v>
      </c>
      <c r="G5" s="190">
        <v>4616764420</v>
      </c>
      <c r="H5" s="190">
        <v>2197467549</v>
      </c>
      <c r="I5" s="190">
        <v>7913594330</v>
      </c>
      <c r="J5" s="190">
        <v>5684147487</v>
      </c>
      <c r="K5" s="190">
        <v>3672499784</v>
      </c>
      <c r="L5" s="190">
        <v>1775708691</v>
      </c>
      <c r="M5" s="190">
        <v>7218448816</v>
      </c>
      <c r="N5" s="190">
        <v>5320556652</v>
      </c>
      <c r="O5" s="190">
        <v>3412491585</v>
      </c>
      <c r="P5" s="190">
        <v>1657893279</v>
      </c>
      <c r="Q5" s="190">
        <v>6949593728</v>
      </c>
      <c r="R5" s="190">
        <v>5056974150</v>
      </c>
      <c r="S5" s="190">
        <v>3359357600</v>
      </c>
      <c r="T5" s="190">
        <v>1687376378</v>
      </c>
      <c r="U5" s="190">
        <v>5684695526</v>
      </c>
      <c r="V5" s="190">
        <v>3982970829</v>
      </c>
      <c r="W5" s="190">
        <v>2590827216</v>
      </c>
      <c r="X5" s="190">
        <v>1237063238</v>
      </c>
      <c r="Y5" s="190">
        <v>4752059741</v>
      </c>
      <c r="Z5" s="190">
        <v>3534566082</v>
      </c>
      <c r="AA5" s="190">
        <v>2281280435</v>
      </c>
      <c r="AB5" s="190">
        <v>1057582137</v>
      </c>
      <c r="AC5" s="190">
        <v>4080395019</v>
      </c>
      <c r="AD5" s="190">
        <v>2873409443</v>
      </c>
      <c r="AE5" s="190">
        <v>1852563002</v>
      </c>
      <c r="AF5" s="190">
        <v>907249175</v>
      </c>
      <c r="AG5" s="190">
        <v>3271991429</v>
      </c>
      <c r="AH5" s="190">
        <v>2340341045</v>
      </c>
      <c r="AI5" s="190">
        <v>1493292774</v>
      </c>
      <c r="AJ5" s="190">
        <v>704812217</v>
      </c>
      <c r="AK5" s="190">
        <v>2740429384</v>
      </c>
      <c r="AL5" s="190">
        <v>1993119144</v>
      </c>
      <c r="AM5" s="190">
        <v>1263435726</v>
      </c>
      <c r="AN5" s="190">
        <v>578416045</v>
      </c>
      <c r="AO5" s="190">
        <v>2268282374</v>
      </c>
      <c r="AP5" s="190">
        <v>1782868097</v>
      </c>
      <c r="AQ5" s="190">
        <v>0</v>
      </c>
    </row>
    <row r="6" spans="1:43" x14ac:dyDescent="0.25">
      <c r="A6" s="190" t="s">
        <v>193</v>
      </c>
      <c r="B6" s="190">
        <v>4997643318</v>
      </c>
      <c r="C6" s="190">
        <v>3235123671</v>
      </c>
      <c r="D6" s="190">
        <v>1654970370</v>
      </c>
      <c r="E6" s="190">
        <v>5567764890</v>
      </c>
      <c r="F6" s="190">
        <v>4147561099</v>
      </c>
      <c r="G6" s="190">
        <v>2735385730</v>
      </c>
      <c r="H6" s="190">
        <v>1367610341</v>
      </c>
      <c r="I6" s="190">
        <v>4854665753</v>
      </c>
      <c r="J6" s="190">
        <v>3655928230</v>
      </c>
      <c r="K6" s="190">
        <v>2395055109</v>
      </c>
      <c r="L6" s="190">
        <v>1162918698</v>
      </c>
      <c r="M6" s="190">
        <v>4505536126</v>
      </c>
      <c r="N6" s="190">
        <v>3421555615</v>
      </c>
      <c r="O6" s="190">
        <v>2260649526</v>
      </c>
      <c r="P6" s="190">
        <v>1109672221</v>
      </c>
      <c r="Q6" s="190">
        <v>4607806540</v>
      </c>
      <c r="R6" s="190">
        <v>3443390838</v>
      </c>
      <c r="S6" s="190">
        <v>2297385511</v>
      </c>
      <c r="T6" s="190">
        <v>1177544493</v>
      </c>
      <c r="U6" s="190">
        <v>3712055490</v>
      </c>
      <c r="V6" s="190">
        <v>2668974541</v>
      </c>
      <c r="W6" s="190">
        <v>1743325019</v>
      </c>
      <c r="X6" s="190">
        <v>835704897</v>
      </c>
      <c r="Y6" s="190">
        <v>3374228753</v>
      </c>
      <c r="Z6" s="190">
        <v>2538011252</v>
      </c>
      <c r="AA6" s="190">
        <v>1662668132</v>
      </c>
      <c r="AB6" s="190">
        <v>775720710</v>
      </c>
      <c r="AC6" s="190">
        <v>2944996642</v>
      </c>
      <c r="AD6" s="190">
        <v>2033397474</v>
      </c>
      <c r="AE6" s="190">
        <v>1291379496</v>
      </c>
      <c r="AF6" s="190">
        <v>637732213</v>
      </c>
      <c r="AG6" s="190">
        <v>2373501496</v>
      </c>
      <c r="AH6" s="190">
        <v>1709252716</v>
      </c>
      <c r="AI6" s="190">
        <v>1079157650</v>
      </c>
      <c r="AJ6" s="190">
        <v>510433114</v>
      </c>
      <c r="AK6" s="190">
        <v>1991066392</v>
      </c>
      <c r="AL6" s="190">
        <v>1448227523</v>
      </c>
      <c r="AM6" s="190">
        <v>929114167</v>
      </c>
      <c r="AN6" s="190">
        <v>430284199</v>
      </c>
      <c r="AO6" s="190">
        <v>1673006487</v>
      </c>
      <c r="AP6" s="190">
        <v>1297556695</v>
      </c>
      <c r="AQ6" s="190">
        <v>0</v>
      </c>
    </row>
    <row r="7" spans="1:43" x14ac:dyDescent="0.25">
      <c r="A7" s="190" t="s">
        <v>194</v>
      </c>
      <c r="B7" s="190">
        <v>169725309</v>
      </c>
      <c r="C7" s="190">
        <v>108967655</v>
      </c>
      <c r="D7" s="190">
        <v>57100157</v>
      </c>
      <c r="E7" s="190">
        <v>184611624</v>
      </c>
      <c r="F7" s="190">
        <v>127131509</v>
      </c>
      <c r="G7" s="190">
        <v>79873142</v>
      </c>
      <c r="H7" s="190">
        <v>34112184</v>
      </c>
      <c r="I7" s="190">
        <v>118874479</v>
      </c>
      <c r="J7" s="190">
        <v>55745659</v>
      </c>
      <c r="K7" s="190">
        <v>34917968</v>
      </c>
      <c r="L7" s="190">
        <v>16921985</v>
      </c>
      <c r="M7" s="190">
        <v>75601000</v>
      </c>
      <c r="N7" s="190">
        <v>53640386</v>
      </c>
      <c r="O7" s="190">
        <v>35888520</v>
      </c>
      <c r="P7" s="190">
        <v>17123039</v>
      </c>
      <c r="Q7" s="190">
        <v>71494637</v>
      </c>
      <c r="R7" s="190">
        <v>52845082</v>
      </c>
      <c r="S7" s="190">
        <v>36346655</v>
      </c>
      <c r="T7" s="190">
        <v>16650193</v>
      </c>
      <c r="U7" s="190">
        <v>66638406</v>
      </c>
      <c r="V7" s="190">
        <v>46405072</v>
      </c>
      <c r="W7" s="190">
        <v>30266978</v>
      </c>
      <c r="X7" s="190">
        <v>11969879</v>
      </c>
      <c r="Y7" s="190">
        <v>59131232</v>
      </c>
      <c r="Z7" s="190">
        <v>42564961</v>
      </c>
      <c r="AA7" s="190">
        <v>27679796</v>
      </c>
      <c r="AB7" s="190">
        <v>10785761</v>
      </c>
      <c r="AC7" s="190">
        <v>44037393</v>
      </c>
      <c r="AD7" s="190">
        <v>31059996</v>
      </c>
      <c r="AE7" s="190">
        <v>19931706</v>
      </c>
      <c r="AF7" s="190">
        <v>8494646</v>
      </c>
      <c r="AG7" s="190">
        <v>31382046</v>
      </c>
      <c r="AH7" s="190">
        <v>20823699</v>
      </c>
      <c r="AI7" s="190">
        <v>12953612</v>
      </c>
      <c r="AJ7" s="190">
        <v>5570544</v>
      </c>
      <c r="AK7" s="190">
        <v>25671908</v>
      </c>
      <c r="AL7" s="190">
        <v>18895354</v>
      </c>
      <c r="AM7" s="190">
        <v>11609707</v>
      </c>
      <c r="AN7" s="190">
        <v>5095496</v>
      </c>
      <c r="AO7" s="190">
        <v>19701337</v>
      </c>
      <c r="AP7" s="190">
        <v>13198119</v>
      </c>
      <c r="AQ7" s="190">
        <v>0</v>
      </c>
    </row>
    <row r="8" spans="1:43" x14ac:dyDescent="0.25">
      <c r="A8" s="190" t="s">
        <v>195</v>
      </c>
      <c r="B8" s="190">
        <v>4346707651</v>
      </c>
      <c r="C8" s="190">
        <v>2575766210</v>
      </c>
      <c r="D8" s="190">
        <v>1330167223</v>
      </c>
      <c r="E8" s="190">
        <v>3073854652</v>
      </c>
      <c r="F8" s="190">
        <v>1704336301</v>
      </c>
      <c r="G8" s="190">
        <v>862245688</v>
      </c>
      <c r="H8" s="190">
        <v>351912428</v>
      </c>
      <c r="I8" s="190">
        <v>1254482776</v>
      </c>
      <c r="J8" s="190">
        <v>848138326</v>
      </c>
      <c r="K8" s="190">
        <v>513674864</v>
      </c>
      <c r="L8" s="190">
        <v>240728870</v>
      </c>
      <c r="M8" s="190">
        <v>1027936868</v>
      </c>
      <c r="N8" s="190">
        <v>759799990</v>
      </c>
      <c r="O8" s="190">
        <v>475971194</v>
      </c>
      <c r="P8" s="190">
        <v>241650249</v>
      </c>
      <c r="Q8" s="190">
        <v>1048872374</v>
      </c>
      <c r="R8" s="190">
        <v>792993951</v>
      </c>
      <c r="S8" s="190">
        <v>516766863</v>
      </c>
      <c r="T8" s="190">
        <v>248540691</v>
      </c>
      <c r="U8" s="190">
        <v>887038828</v>
      </c>
      <c r="V8" s="190">
        <v>626987603</v>
      </c>
      <c r="W8" s="190">
        <v>406716430</v>
      </c>
      <c r="X8" s="190">
        <v>191492781</v>
      </c>
      <c r="Y8" s="190">
        <v>696745226</v>
      </c>
      <c r="Z8" s="190">
        <v>528388630</v>
      </c>
      <c r="AA8" s="190">
        <v>330655134</v>
      </c>
      <c r="AB8" s="190">
        <v>154531032</v>
      </c>
      <c r="AC8" s="190">
        <v>692364218</v>
      </c>
      <c r="AD8" s="190">
        <v>520039681</v>
      </c>
      <c r="AE8" s="190">
        <v>362503272</v>
      </c>
      <c r="AF8" s="190">
        <v>184708227</v>
      </c>
      <c r="AG8" s="190">
        <v>592443804</v>
      </c>
      <c r="AH8" s="190">
        <v>438005584</v>
      </c>
      <c r="AI8" s="190">
        <v>277373928</v>
      </c>
      <c r="AJ8" s="190">
        <v>133201394</v>
      </c>
      <c r="AK8" s="190">
        <v>500889281</v>
      </c>
      <c r="AL8" s="190">
        <v>377616264</v>
      </c>
      <c r="AM8" s="190">
        <v>227561911</v>
      </c>
      <c r="AN8" s="190">
        <v>100813043</v>
      </c>
      <c r="AO8" s="190">
        <v>394463783</v>
      </c>
      <c r="AP8" s="190">
        <v>311085363</v>
      </c>
      <c r="AQ8" s="190">
        <v>0</v>
      </c>
    </row>
    <row r="9" spans="1:43" x14ac:dyDescent="0.25">
      <c r="A9" s="190" t="s">
        <v>196</v>
      </c>
      <c r="B9" s="190">
        <v>602887837</v>
      </c>
      <c r="C9" s="190">
        <v>779938319</v>
      </c>
      <c r="D9" s="190">
        <v>382640562</v>
      </c>
      <c r="E9" s="190">
        <v>1450093310</v>
      </c>
      <c r="F9" s="190">
        <v>980169095</v>
      </c>
      <c r="G9" s="190">
        <v>643354788</v>
      </c>
      <c r="H9" s="190">
        <v>345089547</v>
      </c>
      <c r="I9" s="190">
        <v>1251982426</v>
      </c>
      <c r="J9" s="190">
        <v>864495345</v>
      </c>
      <c r="K9" s="190">
        <v>560890132</v>
      </c>
      <c r="L9" s="190">
        <v>279073543</v>
      </c>
      <c r="M9" s="190">
        <v>1061016496</v>
      </c>
      <c r="N9" s="190">
        <v>744383996</v>
      </c>
      <c r="O9" s="190">
        <v>475305428</v>
      </c>
      <c r="P9" s="190">
        <v>219814062</v>
      </c>
      <c r="Q9" s="190">
        <v>855345809</v>
      </c>
      <c r="R9" s="190">
        <v>615676147</v>
      </c>
      <c r="S9" s="190">
        <v>407805250</v>
      </c>
      <c r="T9" s="190">
        <v>196061666</v>
      </c>
      <c r="U9" s="190">
        <v>695188446</v>
      </c>
      <c r="V9" s="190">
        <v>526659832</v>
      </c>
      <c r="W9" s="190">
        <v>338093787</v>
      </c>
      <c r="X9" s="190">
        <v>163756845</v>
      </c>
      <c r="Y9" s="190">
        <v>518868813</v>
      </c>
      <c r="Z9" s="190">
        <v>366707315</v>
      </c>
      <c r="AA9" s="190">
        <v>228966029</v>
      </c>
      <c r="AB9" s="190">
        <v>102201560</v>
      </c>
      <c r="AC9" s="190">
        <v>392151251</v>
      </c>
      <c r="AD9" s="190">
        <v>282033365</v>
      </c>
      <c r="AE9" s="190">
        <v>173614225</v>
      </c>
      <c r="AF9" s="190">
        <v>75472141</v>
      </c>
      <c r="AG9" s="190">
        <v>262997850</v>
      </c>
      <c r="AH9" s="190">
        <v>157181660</v>
      </c>
      <c r="AI9" s="190">
        <v>97136759</v>
      </c>
      <c r="AJ9" s="190">
        <v>44684349</v>
      </c>
      <c r="AK9" s="190">
        <v>172115313</v>
      </c>
      <c r="AL9" s="190">
        <v>114706020</v>
      </c>
      <c r="AM9" s="190">
        <v>71987965</v>
      </c>
      <c r="AN9" s="190">
        <v>32633264</v>
      </c>
      <c r="AO9" s="190">
        <v>130631648</v>
      </c>
      <c r="AP9" s="190">
        <v>122377308</v>
      </c>
      <c r="AQ9" s="190">
        <v>0</v>
      </c>
    </row>
    <row r="10" spans="1:43" x14ac:dyDescent="0.25">
      <c r="A10" s="190" t="s">
        <v>197</v>
      </c>
      <c r="B10" s="190">
        <v>469323170</v>
      </c>
      <c r="C10" s="190">
        <v>306234651</v>
      </c>
      <c r="D10" s="190">
        <v>157232784</v>
      </c>
      <c r="E10" s="190">
        <v>553444177</v>
      </c>
      <c r="F10" s="190">
        <v>410009931</v>
      </c>
      <c r="G10" s="190">
        <v>244594980</v>
      </c>
      <c r="H10" s="190">
        <v>98179668</v>
      </c>
      <c r="I10" s="190">
        <v>292674143</v>
      </c>
      <c r="J10" s="190">
        <v>207315238</v>
      </c>
      <c r="K10" s="190">
        <v>132892187</v>
      </c>
      <c r="L10" s="190">
        <v>76326508</v>
      </c>
      <c r="M10" s="190">
        <v>461209237</v>
      </c>
      <c r="N10" s="190">
        <v>316630368</v>
      </c>
      <c r="O10" s="190">
        <v>140380002</v>
      </c>
      <c r="P10" s="190">
        <v>70489507</v>
      </c>
      <c r="Q10" s="190">
        <v>212911685</v>
      </c>
      <c r="R10" s="190">
        <v>149881463</v>
      </c>
      <c r="S10" s="190">
        <v>98728333</v>
      </c>
      <c r="T10" s="190">
        <v>48574025</v>
      </c>
      <c r="U10" s="190">
        <v>163664500</v>
      </c>
      <c r="V10" s="190">
        <v>111194770</v>
      </c>
      <c r="W10" s="190">
        <v>70484226</v>
      </c>
      <c r="X10" s="190">
        <v>34224063</v>
      </c>
      <c r="Y10" s="190">
        <v>92149521</v>
      </c>
      <c r="Z10" s="190">
        <v>57485610</v>
      </c>
      <c r="AA10" s="190">
        <v>29903030</v>
      </c>
      <c r="AB10" s="190">
        <v>14343074</v>
      </c>
      <c r="AC10" s="190">
        <v>3282309</v>
      </c>
      <c r="AD10" s="190">
        <v>4829206</v>
      </c>
      <c r="AE10" s="190">
        <v>3090775</v>
      </c>
      <c r="AF10" s="190">
        <v>841948</v>
      </c>
      <c r="AG10" s="190">
        <v>7790370</v>
      </c>
      <c r="AH10" s="190">
        <v>13188131</v>
      </c>
      <c r="AI10" s="190">
        <v>24294561</v>
      </c>
      <c r="AJ10" s="190">
        <v>10922816</v>
      </c>
      <c r="AK10" s="190">
        <v>46064240</v>
      </c>
      <c r="AL10" s="190">
        <v>30365717</v>
      </c>
      <c r="AM10" s="190">
        <v>19992679</v>
      </c>
      <c r="AN10" s="190">
        <v>9590043</v>
      </c>
      <c r="AO10" s="190">
        <v>46973764</v>
      </c>
      <c r="AP10" s="190">
        <v>30683835</v>
      </c>
      <c r="AQ10" s="190">
        <v>0</v>
      </c>
    </row>
    <row r="11" spans="1:43" x14ac:dyDescent="0.25">
      <c r="A11" s="190" t="s">
        <v>198</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row>
    <row r="12" spans="1:43"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-66725</v>
      </c>
      <c r="AQ12" s="190">
        <v>0</v>
      </c>
    </row>
    <row r="13" spans="1:43" x14ac:dyDescent="0.25">
      <c r="A13" s="190" t="s">
        <v>200</v>
      </c>
      <c r="B13" s="190">
        <v>97073811</v>
      </c>
      <c r="C13" s="190">
        <v>75188256</v>
      </c>
      <c r="D13" s="190">
        <v>37838976</v>
      </c>
      <c r="E13" s="190">
        <v>787811802</v>
      </c>
      <c r="F13" s="190">
        <v>32907018</v>
      </c>
      <c r="G13" s="190">
        <v>17276298</v>
      </c>
      <c r="H13" s="190">
        <v>1671983</v>
      </c>
      <c r="I13" s="190">
        <v>15708532</v>
      </c>
      <c r="J13" s="190">
        <v>13519776</v>
      </c>
      <c r="K13" s="190">
        <v>3846817</v>
      </c>
      <c r="L13" s="190">
        <v>717470</v>
      </c>
      <c r="M13" s="190">
        <v>28612442</v>
      </c>
      <c r="N13" s="190">
        <v>25570569</v>
      </c>
      <c r="O13" s="190">
        <v>20459116</v>
      </c>
      <c r="P13" s="190">
        <v>610638</v>
      </c>
      <c r="Q13" s="190">
        <v>14924393</v>
      </c>
      <c r="R13" s="190">
        <v>4699864</v>
      </c>
      <c r="S13" s="190">
        <v>2268156</v>
      </c>
      <c r="T13" s="190">
        <v>1100225</v>
      </c>
      <c r="U13" s="190">
        <v>1952197</v>
      </c>
      <c r="V13" s="190">
        <v>532967</v>
      </c>
      <c r="W13" s="190">
        <v>208225</v>
      </c>
      <c r="X13" s="190">
        <v>219290</v>
      </c>
      <c r="Y13" s="190">
        <v>1601054</v>
      </c>
      <c r="Z13" s="190">
        <v>1189037</v>
      </c>
      <c r="AA13" s="190">
        <v>-6483</v>
      </c>
      <c r="AB13" s="190">
        <v>-5935483</v>
      </c>
      <c r="AC13" s="190">
        <v>-7228098</v>
      </c>
      <c r="AD13" s="190">
        <v>-1200000</v>
      </c>
      <c r="AE13" s="190">
        <v>0</v>
      </c>
      <c r="AF13" s="190">
        <v>0</v>
      </c>
      <c r="AG13" s="190">
        <v>0</v>
      </c>
      <c r="AH13" s="190">
        <v>0</v>
      </c>
      <c r="AI13" s="190">
        <v>0</v>
      </c>
      <c r="AJ13" s="190">
        <v>0</v>
      </c>
      <c r="AK13" s="190">
        <v>0</v>
      </c>
      <c r="AL13" s="190">
        <v>0</v>
      </c>
      <c r="AM13" s="190">
        <v>0</v>
      </c>
      <c r="AN13" s="190">
        <v>0</v>
      </c>
      <c r="AO13" s="190">
        <v>0</v>
      </c>
      <c r="AP13" s="190">
        <v>82303</v>
      </c>
      <c r="AQ13" s="190">
        <v>0</v>
      </c>
    </row>
    <row r="14" spans="1:43" x14ac:dyDescent="0.25">
      <c r="A14" s="190" t="s">
        <v>201</v>
      </c>
      <c r="B14" s="190">
        <v>97073811</v>
      </c>
      <c r="C14" s="190">
        <v>75188256</v>
      </c>
      <c r="D14" s="190">
        <v>37838976</v>
      </c>
      <c r="E14" s="190">
        <v>16265734</v>
      </c>
      <c r="F14" s="190">
        <v>4631055</v>
      </c>
      <c r="G14" s="190">
        <v>3247608</v>
      </c>
      <c r="H14" s="190">
        <v>1671983</v>
      </c>
      <c r="I14" s="190">
        <v>7689761</v>
      </c>
      <c r="J14" s="190">
        <v>5656264</v>
      </c>
      <c r="K14" s="190">
        <v>3846817</v>
      </c>
      <c r="L14" s="190">
        <v>717470</v>
      </c>
      <c r="M14" s="190">
        <v>5519832</v>
      </c>
      <c r="N14" s="190">
        <v>2720834</v>
      </c>
      <c r="O14" s="190">
        <v>935327</v>
      </c>
      <c r="P14" s="190">
        <v>610638</v>
      </c>
      <c r="Q14" s="190">
        <v>8058532</v>
      </c>
      <c r="R14" s="190">
        <v>4699864</v>
      </c>
      <c r="S14" s="190">
        <v>2268156</v>
      </c>
      <c r="T14" s="190">
        <v>1100225</v>
      </c>
      <c r="U14" s="190">
        <v>1952197</v>
      </c>
      <c r="V14" s="190">
        <v>532967</v>
      </c>
      <c r="W14" s="190">
        <v>208225</v>
      </c>
      <c r="X14" s="190">
        <v>219290</v>
      </c>
      <c r="Y14" s="190">
        <v>1601054</v>
      </c>
      <c r="Z14" s="190">
        <v>1189037</v>
      </c>
      <c r="AA14" s="190">
        <v>-6483</v>
      </c>
      <c r="AB14" s="190">
        <v>-160483</v>
      </c>
      <c r="AC14" s="190">
        <v>-305235</v>
      </c>
      <c r="AD14" s="190">
        <v>0</v>
      </c>
      <c r="AE14" s="190">
        <v>0</v>
      </c>
      <c r="AF14" s="190">
        <v>0</v>
      </c>
      <c r="AG14" s="190">
        <v>0</v>
      </c>
      <c r="AH14" s="190">
        <v>0</v>
      </c>
      <c r="AI14" s="190">
        <v>0</v>
      </c>
      <c r="AJ14" s="190">
        <v>0</v>
      </c>
      <c r="AK14" s="190">
        <v>0</v>
      </c>
      <c r="AL14" s="190">
        <v>0</v>
      </c>
      <c r="AM14" s="190">
        <v>0</v>
      </c>
      <c r="AN14" s="190">
        <v>0</v>
      </c>
      <c r="AO14" s="190">
        <v>0</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1147066732</v>
      </c>
      <c r="C16" s="190">
        <v>853226459</v>
      </c>
      <c r="D16" s="190">
        <v>385024839</v>
      </c>
      <c r="E16" s="190">
        <v>1156832662</v>
      </c>
      <c r="F16" s="190">
        <v>570685428</v>
      </c>
      <c r="G16" s="190">
        <v>383408699</v>
      </c>
      <c r="H16" s="190">
        <v>238404081</v>
      </c>
      <c r="I16" s="190">
        <v>668057617</v>
      </c>
      <c r="J16" s="190">
        <v>582247336</v>
      </c>
      <c r="K16" s="190">
        <v>427759798</v>
      </c>
      <c r="L16" s="190">
        <v>229336698</v>
      </c>
      <c r="M16" s="190">
        <v>573503608</v>
      </c>
      <c r="N16" s="190">
        <v>523534418</v>
      </c>
      <c r="O16" s="190">
        <v>443574450</v>
      </c>
      <c r="P16" s="190">
        <v>235367636</v>
      </c>
      <c r="Q16" s="190">
        <v>1088751954</v>
      </c>
      <c r="R16" s="190">
        <v>934003070</v>
      </c>
      <c r="S16" s="190">
        <v>610075654</v>
      </c>
      <c r="T16" s="190">
        <v>254011137</v>
      </c>
      <c r="U16" s="190">
        <v>1148538652</v>
      </c>
      <c r="V16" s="190">
        <v>946736980</v>
      </c>
      <c r="W16" s="190">
        <v>590735087</v>
      </c>
      <c r="X16" s="190">
        <v>224486853</v>
      </c>
      <c r="Y16" s="190">
        <v>1134819930</v>
      </c>
      <c r="Z16" s="190">
        <v>820331755</v>
      </c>
      <c r="AA16" s="190">
        <v>494296002</v>
      </c>
      <c r="AB16" s="190">
        <v>172217616</v>
      </c>
      <c r="AC16" s="190">
        <v>1060225641</v>
      </c>
      <c r="AD16" s="190">
        <v>772444945</v>
      </c>
      <c r="AE16" s="190">
        <v>458887597</v>
      </c>
      <c r="AF16" s="190">
        <v>168077076</v>
      </c>
      <c r="AG16" s="190">
        <v>754408529</v>
      </c>
      <c r="AH16" s="190">
        <v>507659382</v>
      </c>
      <c r="AI16" s="190">
        <v>292611393</v>
      </c>
      <c r="AJ16" s="190">
        <v>108205545</v>
      </c>
      <c r="AK16" s="190">
        <v>505555961</v>
      </c>
      <c r="AL16" s="190">
        <v>354355876</v>
      </c>
      <c r="AM16" s="190">
        <v>208144109</v>
      </c>
      <c r="AN16" s="190">
        <v>80262499</v>
      </c>
      <c r="AO16" s="190">
        <v>353108912</v>
      </c>
      <c r="AP16" s="190">
        <v>246474031</v>
      </c>
      <c r="AQ16" s="190">
        <v>0</v>
      </c>
    </row>
    <row r="17" spans="1:43" x14ac:dyDescent="0.25">
      <c r="A17" s="190" t="s">
        <v>204</v>
      </c>
      <c r="B17" s="190">
        <v>160068876</v>
      </c>
      <c r="C17" s="190">
        <v>160393471</v>
      </c>
      <c r="D17" s="190">
        <v>158085283</v>
      </c>
      <c r="E17" s="190">
        <v>7109374</v>
      </c>
      <c r="F17" s="190">
        <v>3555536</v>
      </c>
      <c r="G17" s="190">
        <v>2839974</v>
      </c>
      <c r="H17" s="190">
        <v>17530508</v>
      </c>
      <c r="I17" s="190">
        <v>94929020</v>
      </c>
      <c r="J17" s="190">
        <v>78083526</v>
      </c>
      <c r="K17" s="190">
        <v>46031230</v>
      </c>
      <c r="L17" s="190">
        <v>20505935</v>
      </c>
      <c r="M17" s="190">
        <v>120016398</v>
      </c>
      <c r="N17" s="190">
        <v>89066946</v>
      </c>
      <c r="O17" s="190">
        <v>40428257</v>
      </c>
      <c r="P17" s="190">
        <v>10187228</v>
      </c>
      <c r="Q17" s="190">
        <v>89476395</v>
      </c>
      <c r="R17" s="190">
        <v>58807185</v>
      </c>
      <c r="S17" s="190">
        <v>31907815</v>
      </c>
      <c r="T17" s="190">
        <v>13858967</v>
      </c>
      <c r="U17" s="190">
        <v>162224790</v>
      </c>
      <c r="V17" s="190">
        <v>56708423</v>
      </c>
      <c r="W17" s="190">
        <v>37258285</v>
      </c>
      <c r="X17" s="190">
        <v>21381456</v>
      </c>
      <c r="Y17" s="190">
        <v>142107936</v>
      </c>
      <c r="Z17" s="190">
        <v>74486159</v>
      </c>
      <c r="AA17" s="190">
        <v>44640186</v>
      </c>
      <c r="AB17" s="190">
        <v>26297098</v>
      </c>
      <c r="AC17" s="190">
        <v>65971188</v>
      </c>
      <c r="AD17" s="190">
        <v>35671174</v>
      </c>
      <c r="AE17" s="190">
        <v>21263666</v>
      </c>
      <c r="AF17" s="190">
        <v>2640265</v>
      </c>
      <c r="AG17" s="190">
        <v>41907646</v>
      </c>
      <c r="AH17" s="190">
        <v>33382015</v>
      </c>
      <c r="AI17" s="190">
        <v>18659840</v>
      </c>
      <c r="AJ17" s="190">
        <v>4994041</v>
      </c>
      <c r="AK17" s="190">
        <v>30044937</v>
      </c>
      <c r="AL17" s="190">
        <v>9352110</v>
      </c>
      <c r="AM17" s="190">
        <v>5393483</v>
      </c>
      <c r="AN17" s="190">
        <v>1390543</v>
      </c>
      <c r="AO17" s="190">
        <v>16540644</v>
      </c>
      <c r="AP17" s="190">
        <v>11627983</v>
      </c>
      <c r="AQ17" s="190">
        <v>0</v>
      </c>
    </row>
    <row r="18" spans="1:43" x14ac:dyDescent="0.25">
      <c r="A18" s="190" t="s">
        <v>205</v>
      </c>
      <c r="B18" s="190">
        <v>148078327</v>
      </c>
      <c r="C18" s="190">
        <v>135612740</v>
      </c>
      <c r="D18" s="190">
        <v>93451311</v>
      </c>
      <c r="E18" s="190">
        <v>22665809</v>
      </c>
      <c r="F18" s="190">
        <v>21857988</v>
      </c>
      <c r="G18" s="190">
        <v>12854283</v>
      </c>
      <c r="H18" s="190">
        <v>4443398</v>
      </c>
      <c r="I18" s="190">
        <v>46560501</v>
      </c>
      <c r="J18" s="190">
        <v>18192755</v>
      </c>
      <c r="K18" s="190">
        <v>12453371</v>
      </c>
      <c r="L18" s="190">
        <v>1118989</v>
      </c>
      <c r="M18" s="190">
        <v>12703213</v>
      </c>
      <c r="N18" s="190">
        <v>8405473</v>
      </c>
      <c r="O18" s="190">
        <v>5361850</v>
      </c>
      <c r="P18" s="190">
        <v>559750</v>
      </c>
      <c r="Q18" s="190">
        <v>29519988</v>
      </c>
      <c r="R18" s="190">
        <v>14967130</v>
      </c>
      <c r="S18" s="190">
        <v>10605777</v>
      </c>
      <c r="T18" s="190">
        <v>3654753</v>
      </c>
      <c r="U18" s="190">
        <v>28254140</v>
      </c>
      <c r="V18" s="190">
        <v>9249135</v>
      </c>
      <c r="W18" s="190">
        <v>4974234</v>
      </c>
      <c r="X18" s="190">
        <v>1936630</v>
      </c>
      <c r="Y18" s="190">
        <v>8404561</v>
      </c>
      <c r="Z18" s="190">
        <v>5060724</v>
      </c>
      <c r="AA18" s="190">
        <v>3884445</v>
      </c>
      <c r="AB18" s="190">
        <v>1982403</v>
      </c>
      <c r="AC18" s="190">
        <v>8155129</v>
      </c>
      <c r="AD18" s="190">
        <v>7821337</v>
      </c>
      <c r="AE18" s="190">
        <v>4039322</v>
      </c>
      <c r="AF18" s="190">
        <v>1082525</v>
      </c>
      <c r="AG18" s="190">
        <v>21219242</v>
      </c>
      <c r="AH18" s="190">
        <v>10808324</v>
      </c>
      <c r="AI18" s="190">
        <v>6398738</v>
      </c>
      <c r="AJ18" s="190">
        <v>2625392</v>
      </c>
      <c r="AK18" s="190">
        <v>13684683</v>
      </c>
      <c r="AL18" s="190">
        <v>9312974</v>
      </c>
      <c r="AM18" s="190">
        <v>6622037</v>
      </c>
      <c r="AN18" s="190">
        <v>649614</v>
      </c>
      <c r="AO18" s="190">
        <v>18135685</v>
      </c>
      <c r="AP18" s="190">
        <v>1948799</v>
      </c>
      <c r="AQ18" s="190">
        <v>0</v>
      </c>
    </row>
    <row r="19" spans="1:43" x14ac:dyDescent="0.25">
      <c r="A19" s="190" t="s">
        <v>206</v>
      </c>
      <c r="B19" s="190">
        <v>0</v>
      </c>
      <c r="C19" s="190">
        <v>0</v>
      </c>
      <c r="D19" s="190">
        <v>0</v>
      </c>
      <c r="E19" s="190">
        <v>0</v>
      </c>
      <c r="F19" s="190">
        <v>6531026</v>
      </c>
      <c r="G19" s="190">
        <v>2966058</v>
      </c>
      <c r="H19" s="190">
        <v>950142</v>
      </c>
      <c r="I19" s="190">
        <v>15586502</v>
      </c>
      <c r="J19" s="190">
        <v>13546676</v>
      </c>
      <c r="K19" s="190">
        <v>10605862</v>
      </c>
      <c r="L19" s="190">
        <v>298433</v>
      </c>
      <c r="M19" s="190">
        <v>4782057</v>
      </c>
      <c r="N19" s="190">
        <v>3485912</v>
      </c>
      <c r="O19" s="190">
        <v>1411745</v>
      </c>
      <c r="P19" s="190">
        <v>365269</v>
      </c>
      <c r="Q19" s="190">
        <v>15851854</v>
      </c>
      <c r="R19" s="190">
        <v>5898534</v>
      </c>
      <c r="S19" s="190">
        <v>5399963</v>
      </c>
      <c r="T19" s="190">
        <v>3390016</v>
      </c>
      <c r="U19" s="190">
        <v>12675866</v>
      </c>
      <c r="V19" s="190">
        <v>6416399</v>
      </c>
      <c r="W19" s="190">
        <v>3332431</v>
      </c>
      <c r="X19" s="190">
        <v>1641777</v>
      </c>
      <c r="Y19" s="190">
        <v>4463949</v>
      </c>
      <c r="Z19" s="190">
        <v>1630934</v>
      </c>
      <c r="AA19" s="190">
        <v>1113540</v>
      </c>
      <c r="AB19" s="190">
        <v>64417</v>
      </c>
      <c r="AC19" s="190">
        <v>2301022</v>
      </c>
      <c r="AD19" s="190">
        <v>2163937</v>
      </c>
      <c r="AE19" s="190">
        <v>1549623</v>
      </c>
      <c r="AF19" s="190">
        <v>618962</v>
      </c>
      <c r="AG19" s="190">
        <v>10194285</v>
      </c>
      <c r="AH19" s="190">
        <v>2341684</v>
      </c>
      <c r="AI19" s="190">
        <v>1055932</v>
      </c>
      <c r="AJ19" s="190">
        <v>0</v>
      </c>
      <c r="AK19" s="190">
        <v>9653132</v>
      </c>
      <c r="AL19" s="190">
        <v>6435969</v>
      </c>
      <c r="AM19" s="190">
        <v>4258048</v>
      </c>
      <c r="AN19" s="190">
        <v>0</v>
      </c>
      <c r="AO19" s="190">
        <v>4186715</v>
      </c>
      <c r="AP19" s="190">
        <v>282268</v>
      </c>
      <c r="AQ19" s="190">
        <v>0</v>
      </c>
    </row>
    <row r="20" spans="1:43" x14ac:dyDescent="0.25">
      <c r="A20" s="190" t="s">
        <v>207</v>
      </c>
      <c r="B20" s="190">
        <v>1159057281</v>
      </c>
      <c r="C20" s="190">
        <v>878007190</v>
      </c>
      <c r="D20" s="190">
        <v>449658811</v>
      </c>
      <c r="E20" s="190">
        <v>1141276227</v>
      </c>
      <c r="F20" s="190">
        <v>552382976</v>
      </c>
      <c r="G20" s="190">
        <v>373394390</v>
      </c>
      <c r="H20" s="190">
        <v>251491191</v>
      </c>
      <c r="I20" s="190">
        <v>716426136</v>
      </c>
      <c r="J20" s="190">
        <v>642138107</v>
      </c>
      <c r="K20" s="190">
        <v>461337657</v>
      </c>
      <c r="L20" s="190">
        <v>248723644</v>
      </c>
      <c r="M20" s="190">
        <v>680816793</v>
      </c>
      <c r="N20" s="190">
        <v>604195891</v>
      </c>
      <c r="O20" s="190">
        <v>478640857</v>
      </c>
      <c r="P20" s="190">
        <v>244995114</v>
      </c>
      <c r="Q20" s="190">
        <v>1148708361</v>
      </c>
      <c r="R20" s="190">
        <v>977843125</v>
      </c>
      <c r="S20" s="190">
        <v>631377692</v>
      </c>
      <c r="T20" s="190">
        <v>264215351</v>
      </c>
      <c r="U20" s="190">
        <v>1282509302</v>
      </c>
      <c r="V20" s="190">
        <v>994196268</v>
      </c>
      <c r="W20" s="190">
        <v>623019138</v>
      </c>
      <c r="X20" s="190">
        <v>243931679</v>
      </c>
      <c r="Y20" s="190">
        <v>1268523305</v>
      </c>
      <c r="Z20" s="190">
        <v>889757190</v>
      </c>
      <c r="AA20" s="190">
        <v>535051743</v>
      </c>
      <c r="AB20" s="190">
        <v>196532311</v>
      </c>
      <c r="AC20" s="190">
        <v>1118041700</v>
      </c>
      <c r="AD20" s="190">
        <v>800294782</v>
      </c>
      <c r="AE20" s="190">
        <v>476111941</v>
      </c>
      <c r="AF20" s="190">
        <v>169634816</v>
      </c>
      <c r="AG20" s="190">
        <v>775096933</v>
      </c>
      <c r="AH20" s="190">
        <v>530233073</v>
      </c>
      <c r="AI20" s="190">
        <v>304872495</v>
      </c>
      <c r="AJ20" s="190">
        <v>110574194</v>
      </c>
      <c r="AK20" s="190">
        <v>521916215</v>
      </c>
      <c r="AL20" s="190">
        <v>354395012</v>
      </c>
      <c r="AM20" s="190">
        <v>206915555</v>
      </c>
      <c r="AN20" s="190">
        <v>81003428</v>
      </c>
      <c r="AO20" s="190">
        <v>351513871</v>
      </c>
      <c r="AP20" s="190">
        <v>256153215</v>
      </c>
      <c r="AQ20" s="190">
        <v>0</v>
      </c>
    </row>
    <row r="21" spans="1:43" x14ac:dyDescent="0.25">
      <c r="A21" s="190" t="s">
        <v>208</v>
      </c>
      <c r="B21" s="190">
        <v>86445534</v>
      </c>
      <c r="C21" s="190">
        <v>64520488</v>
      </c>
      <c r="D21" s="190">
        <v>34927434</v>
      </c>
      <c r="E21" s="190">
        <v>330193580</v>
      </c>
      <c r="F21" s="190">
        <v>111136221</v>
      </c>
      <c r="G21" s="190">
        <v>72728879</v>
      </c>
      <c r="H21" s="190">
        <v>27029869</v>
      </c>
      <c r="I21" s="190">
        <v>92101330</v>
      </c>
      <c r="J21" s="190">
        <v>67326573</v>
      </c>
      <c r="K21" s="190">
        <v>51025512</v>
      </c>
      <c r="L21" s="190">
        <v>31807580</v>
      </c>
      <c r="M21" s="190">
        <v>138927407</v>
      </c>
      <c r="N21" s="190">
        <v>109236800</v>
      </c>
      <c r="O21" s="190">
        <v>73442203</v>
      </c>
      <c r="P21" s="190">
        <v>41795817</v>
      </c>
      <c r="Q21" s="190">
        <v>164026193</v>
      </c>
      <c r="R21" s="190">
        <v>145138711</v>
      </c>
      <c r="S21" s="190">
        <v>89966705</v>
      </c>
      <c r="T21" s="190">
        <v>35223470</v>
      </c>
      <c r="U21" s="190">
        <v>191010257</v>
      </c>
      <c r="V21" s="190">
        <v>134248396</v>
      </c>
      <c r="W21" s="190">
        <v>81664323</v>
      </c>
      <c r="X21" s="190">
        <v>34003240</v>
      </c>
      <c r="Y21" s="190">
        <v>174870309</v>
      </c>
      <c r="Z21" s="190">
        <v>122432623</v>
      </c>
      <c r="AA21" s="190">
        <v>73130586</v>
      </c>
      <c r="AB21" s="190">
        <v>28036700</v>
      </c>
      <c r="AC21" s="190">
        <v>157049667</v>
      </c>
      <c r="AD21" s="190">
        <v>115874664</v>
      </c>
      <c r="AE21" s="190">
        <v>68062748</v>
      </c>
      <c r="AF21" s="190">
        <v>24456819</v>
      </c>
      <c r="AG21" s="190">
        <v>113409600</v>
      </c>
      <c r="AH21" s="190">
        <v>77862061</v>
      </c>
      <c r="AI21" s="190">
        <v>44218880</v>
      </c>
      <c r="AJ21" s="190">
        <v>17480195</v>
      </c>
      <c r="AK21" s="190">
        <v>87744981</v>
      </c>
      <c r="AL21" s="190">
        <v>61982802</v>
      </c>
      <c r="AM21" s="190">
        <v>35258504</v>
      </c>
      <c r="AN21" s="190">
        <v>14027531</v>
      </c>
      <c r="AO21" s="190">
        <v>40549302</v>
      </c>
      <c r="AP21" s="190">
        <v>40667304</v>
      </c>
      <c r="AQ21" s="190">
        <v>0</v>
      </c>
    </row>
    <row r="22" spans="1:43" x14ac:dyDescent="0.25">
      <c r="A22" s="190" t="s">
        <v>209</v>
      </c>
      <c r="B22" s="190">
        <v>1072611747</v>
      </c>
      <c r="C22" s="190">
        <v>813486702</v>
      </c>
      <c r="D22" s="190">
        <v>414731377</v>
      </c>
      <c r="E22" s="190">
        <v>811082647</v>
      </c>
      <c r="F22" s="190">
        <v>441246755</v>
      </c>
      <c r="G22" s="190">
        <v>300665511</v>
      </c>
      <c r="H22" s="190">
        <v>224461322</v>
      </c>
      <c r="I22" s="190">
        <v>624324806</v>
      </c>
      <c r="J22" s="190">
        <v>574811534</v>
      </c>
      <c r="K22" s="190">
        <v>410312145</v>
      </c>
      <c r="L22" s="190">
        <v>216916064</v>
      </c>
      <c r="M22" s="190">
        <v>541889386</v>
      </c>
      <c r="N22" s="190">
        <v>494959091</v>
      </c>
      <c r="O22" s="190">
        <v>405198654</v>
      </c>
      <c r="P22" s="190">
        <v>203199297</v>
      </c>
      <c r="Q22" s="190">
        <v>984682168</v>
      </c>
      <c r="R22" s="190">
        <v>832704414</v>
      </c>
      <c r="S22" s="190">
        <v>541410987</v>
      </c>
      <c r="T22" s="190">
        <v>228991881</v>
      </c>
      <c r="U22" s="190">
        <v>1091499045</v>
      </c>
      <c r="V22" s="190">
        <v>859947872</v>
      </c>
      <c r="W22" s="190">
        <v>541354815</v>
      </c>
      <c r="X22" s="190">
        <v>209928439</v>
      </c>
      <c r="Y22" s="190">
        <v>1093652996</v>
      </c>
      <c r="Z22" s="190">
        <v>767324567</v>
      </c>
      <c r="AA22" s="190">
        <v>461921157</v>
      </c>
      <c r="AB22" s="190">
        <v>168495611</v>
      </c>
      <c r="AC22" s="190">
        <v>960992033</v>
      </c>
      <c r="AD22" s="190">
        <v>684420118</v>
      </c>
      <c r="AE22" s="190">
        <v>408049193</v>
      </c>
      <c r="AF22" s="190">
        <v>145177997</v>
      </c>
      <c r="AG22" s="190">
        <v>661687333</v>
      </c>
      <c r="AH22" s="190">
        <v>452371012</v>
      </c>
      <c r="AI22" s="190">
        <v>260653615</v>
      </c>
      <c r="AJ22" s="190">
        <v>93093999</v>
      </c>
      <c r="AK22" s="190">
        <v>434171234</v>
      </c>
      <c r="AL22" s="190">
        <v>292412210</v>
      </c>
      <c r="AM22" s="190">
        <v>171657051</v>
      </c>
      <c r="AN22" s="190">
        <v>66975897</v>
      </c>
      <c r="AO22" s="190">
        <v>310964569</v>
      </c>
      <c r="AP22" s="190">
        <v>215485911</v>
      </c>
      <c r="AQ22" s="190">
        <v>0</v>
      </c>
    </row>
    <row r="23" spans="1:43" x14ac:dyDescent="0.25">
      <c r="A23" s="190" t="s">
        <v>210</v>
      </c>
      <c r="B23" s="190">
        <v>1023378525</v>
      </c>
      <c r="C23" s="190">
        <v>774021351</v>
      </c>
      <c r="D23" s="190">
        <v>383198653</v>
      </c>
      <c r="E23" s="190">
        <v>748544187</v>
      </c>
      <c r="F23" s="190">
        <v>386469325</v>
      </c>
      <c r="G23" s="190">
        <v>256150187</v>
      </c>
      <c r="H23" s="190">
        <v>192648351</v>
      </c>
      <c r="I23" s="190">
        <v>584638829</v>
      </c>
      <c r="J23" s="190">
        <v>537481309</v>
      </c>
      <c r="K23" s="190">
        <v>386066543</v>
      </c>
      <c r="L23" s="190">
        <v>208211808</v>
      </c>
      <c r="M23" s="190">
        <v>645271323</v>
      </c>
      <c r="N23" s="190">
        <v>550605134</v>
      </c>
      <c r="O23" s="190">
        <v>409252174</v>
      </c>
      <c r="P23" s="190">
        <v>205906729</v>
      </c>
      <c r="Q23" s="190">
        <v>1001902613</v>
      </c>
      <c r="R23" s="190">
        <v>825747070</v>
      </c>
      <c r="S23" s="190">
        <v>536876748</v>
      </c>
      <c r="T23" s="190">
        <v>227925878</v>
      </c>
      <c r="U23" s="190">
        <v>1079521586</v>
      </c>
      <c r="V23" s="190">
        <v>848762734</v>
      </c>
      <c r="W23" s="190">
        <v>534353167</v>
      </c>
      <c r="X23" s="190">
        <v>206615820</v>
      </c>
      <c r="Y23" s="190">
        <v>1087515748</v>
      </c>
      <c r="Z23" s="190">
        <v>766761086</v>
      </c>
      <c r="AA23" s="190">
        <v>461869380</v>
      </c>
      <c r="AB23" s="190">
        <v>169620666</v>
      </c>
      <c r="AC23" s="190">
        <v>966126095</v>
      </c>
      <c r="AD23" s="190">
        <v>687451997</v>
      </c>
      <c r="AE23" s="190">
        <v>410366250</v>
      </c>
      <c r="AF23" s="190">
        <v>147374579</v>
      </c>
      <c r="AG23" s="190">
        <v>661229249</v>
      </c>
      <c r="AH23" s="190">
        <v>451828263</v>
      </c>
      <c r="AI23" s="190">
        <v>260218650</v>
      </c>
      <c r="AJ23" s="190">
        <v>93145457</v>
      </c>
      <c r="AK23" s="190">
        <v>427851436</v>
      </c>
      <c r="AL23" s="190">
        <v>287234896</v>
      </c>
      <c r="AM23" s="190">
        <v>168443390</v>
      </c>
      <c r="AN23" s="190">
        <v>65521599</v>
      </c>
      <c r="AO23" s="190">
        <v>309887206</v>
      </c>
      <c r="AP23" s="190">
        <v>216288383</v>
      </c>
      <c r="AQ23" s="190">
        <v>0</v>
      </c>
    </row>
    <row r="24" spans="1:43" x14ac:dyDescent="0.25">
      <c r="A24" s="190" t="s">
        <v>211</v>
      </c>
      <c r="B24" s="190">
        <v>49233222</v>
      </c>
      <c r="C24" s="190">
        <v>39465351</v>
      </c>
      <c r="D24" s="190">
        <v>31532724</v>
      </c>
      <c r="E24" s="190">
        <v>62538460</v>
      </c>
      <c r="F24" s="190">
        <v>54777430</v>
      </c>
      <c r="G24" s="190">
        <v>44515324</v>
      </c>
      <c r="H24" s="190">
        <v>31812971</v>
      </c>
      <c r="I24" s="190">
        <v>39685977</v>
      </c>
      <c r="J24" s="190">
        <v>37330225</v>
      </c>
      <c r="K24" s="190">
        <v>24245602</v>
      </c>
      <c r="L24" s="190">
        <v>8704256</v>
      </c>
      <c r="M24" s="190">
        <v>-103381937</v>
      </c>
      <c r="N24" s="190">
        <v>-55646043</v>
      </c>
      <c r="O24" s="190">
        <v>-4053520</v>
      </c>
      <c r="P24" s="190">
        <v>-2707432</v>
      </c>
      <c r="Q24" s="190">
        <v>-17220445</v>
      </c>
      <c r="R24" s="190">
        <v>6957344</v>
      </c>
      <c r="S24" s="190">
        <v>4534239</v>
      </c>
      <c r="T24" s="190">
        <v>1066003</v>
      </c>
      <c r="U24" s="190">
        <v>11977459</v>
      </c>
      <c r="V24" s="190">
        <v>11185138</v>
      </c>
      <c r="W24" s="190">
        <v>7001648</v>
      </c>
      <c r="X24" s="190">
        <v>3312619</v>
      </c>
      <c r="Y24" s="190">
        <v>6137248</v>
      </c>
      <c r="Z24" s="190">
        <v>563481</v>
      </c>
      <c r="AA24" s="190">
        <v>51777</v>
      </c>
      <c r="AB24" s="190">
        <v>-1125055</v>
      </c>
      <c r="AC24" s="190">
        <v>-5134062</v>
      </c>
      <c r="AD24" s="190">
        <v>-3031879</v>
      </c>
      <c r="AE24" s="190">
        <v>-2317057</v>
      </c>
      <c r="AF24" s="190">
        <v>-2196582</v>
      </c>
      <c r="AG24" s="190">
        <v>458084</v>
      </c>
      <c r="AH24" s="190">
        <v>542749</v>
      </c>
      <c r="AI24" s="190">
        <v>434965</v>
      </c>
      <c r="AJ24" s="190">
        <v>-51458</v>
      </c>
      <c r="AK24" s="190">
        <v>6319798</v>
      </c>
      <c r="AL24" s="190">
        <v>5177314</v>
      </c>
      <c r="AM24" s="190">
        <v>3213661</v>
      </c>
      <c r="AN24" s="190">
        <v>1454298</v>
      </c>
      <c r="AO24" s="190">
        <v>1077363</v>
      </c>
      <c r="AP24" s="190">
        <v>-802472</v>
      </c>
      <c r="AQ24" s="190">
        <v>0</v>
      </c>
    </row>
    <row r="25" spans="1:43" x14ac:dyDescent="0.25">
      <c r="A25" s="190" t="s">
        <v>212</v>
      </c>
    </row>
    <row r="26" spans="1:43" x14ac:dyDescent="0.25">
      <c r="A26" s="190" t="s">
        <v>213</v>
      </c>
      <c r="B26" s="190">
        <v>0.71</v>
      </c>
      <c r="C26" s="190">
        <v>0.54</v>
      </c>
      <c r="D26" s="190">
        <v>0.27</v>
      </c>
      <c r="E26" s="190">
        <v>0.52</v>
      </c>
      <c r="F26" s="190">
        <v>0.27</v>
      </c>
      <c r="G26" s="190">
        <v>0.18</v>
      </c>
      <c r="H26" s="190">
        <v>0.13</v>
      </c>
      <c r="I26" s="190">
        <v>0.41</v>
      </c>
      <c r="J26" s="190">
        <v>0.37</v>
      </c>
      <c r="K26" s="190">
        <v>0.27</v>
      </c>
      <c r="L26" s="190">
        <v>0.14000000000000001</v>
      </c>
      <c r="M26" s="190">
        <v>0.45</v>
      </c>
      <c r="N26" s="190">
        <v>0.38</v>
      </c>
      <c r="O26" s="190">
        <v>0.56999999999999995</v>
      </c>
      <c r="P26" s="190">
        <v>0.28999999999999998</v>
      </c>
      <c r="Q26" s="190">
        <v>1.39</v>
      </c>
      <c r="R26" s="190">
        <v>1.1499999999999999</v>
      </c>
      <c r="S26" s="190">
        <v>1.1200000000000001</v>
      </c>
      <c r="T26" s="190">
        <v>0.47</v>
      </c>
      <c r="U26" s="190">
        <v>2.25</v>
      </c>
      <c r="V26" s="190">
        <v>1.77</v>
      </c>
      <c r="W26" s="190">
        <v>1.1100000000000001</v>
      </c>
      <c r="X26" s="190">
        <v>0.43</v>
      </c>
      <c r="Y26" s="190">
        <v>2.27</v>
      </c>
      <c r="Z26" s="190">
        <v>1.6</v>
      </c>
      <c r="AA26" s="190">
        <v>0.96</v>
      </c>
      <c r="AB26" s="190">
        <v>0.35</v>
      </c>
      <c r="AC26" s="190">
        <v>2.0099999999999998</v>
      </c>
      <c r="AD26" s="190">
        <v>1.43</v>
      </c>
      <c r="AE26" s="190">
        <v>0.85</v>
      </c>
      <c r="AF26" s="190">
        <v>0.61</v>
      </c>
      <c r="AG26" s="190">
        <v>3.08</v>
      </c>
      <c r="AH26" s="190">
        <v>2.19</v>
      </c>
      <c r="AI26" s="190">
        <v>1.37</v>
      </c>
      <c r="AJ26" s="190">
        <v>0.52</v>
      </c>
      <c r="AK26" s="190">
        <v>2.38</v>
      </c>
      <c r="AL26" s="190">
        <v>1.6</v>
      </c>
      <c r="AM26" s="190">
        <v>0.94</v>
      </c>
      <c r="AN26" s="190">
        <v>0.36</v>
      </c>
      <c r="AO26" s="190">
        <v>1.75</v>
      </c>
      <c r="AP26" s="190">
        <v>1.28</v>
      </c>
      <c r="AQ26" s="190">
        <v>0</v>
      </c>
    </row>
    <row r="27" spans="1:43" x14ac:dyDescent="0.25">
      <c r="A27" s="190" t="s">
        <v>214</v>
      </c>
      <c r="B27" s="190">
        <v>0.71</v>
      </c>
      <c r="C27" s="190">
        <v>0.54</v>
      </c>
      <c r="D27" s="190">
        <v>0.27</v>
      </c>
      <c r="E27" s="190">
        <v>0.52</v>
      </c>
      <c r="F27" s="190">
        <v>0.27</v>
      </c>
      <c r="G27" s="190">
        <v>0.18</v>
      </c>
      <c r="H27" s="190">
        <v>0.13</v>
      </c>
      <c r="I27" s="190">
        <v>0.41</v>
      </c>
      <c r="J27" s="190">
        <v>0.37</v>
      </c>
      <c r="K27" s="190">
        <v>0.27</v>
      </c>
      <c r="L27" s="190">
        <v>0.14000000000000001</v>
      </c>
      <c r="M27" s="190">
        <v>0.45</v>
      </c>
      <c r="N27" s="190">
        <v>0.38</v>
      </c>
      <c r="O27" s="190">
        <v>0.56999999999999995</v>
      </c>
      <c r="P27" s="190">
        <v>0.28999999999999998</v>
      </c>
      <c r="Q27" s="190">
        <v>1.39</v>
      </c>
      <c r="R27" s="190">
        <v>1.1499999999999999</v>
      </c>
      <c r="S27" s="190">
        <v>1.1200000000000001</v>
      </c>
      <c r="T27" s="190">
        <v>0.47</v>
      </c>
      <c r="U27" s="190">
        <v>2.25</v>
      </c>
      <c r="V27" s="190">
        <v>1.77</v>
      </c>
      <c r="W27" s="190">
        <v>1.1100000000000001</v>
      </c>
      <c r="X27" s="190">
        <v>0.43</v>
      </c>
      <c r="Y27" s="190">
        <v>2.27</v>
      </c>
      <c r="Z27" s="190">
        <v>1.6</v>
      </c>
      <c r="AA27" s="190">
        <v>0.96</v>
      </c>
      <c r="AB27" s="190">
        <v>0.35</v>
      </c>
      <c r="AC27" s="190">
        <v>2.0099999999999998</v>
      </c>
      <c r="AD27" s="190">
        <v>1.43</v>
      </c>
      <c r="AE27" s="190">
        <v>0.85</v>
      </c>
      <c r="AF27" s="190">
        <v>0.61</v>
      </c>
      <c r="AG27" s="190">
        <v>3.08</v>
      </c>
      <c r="AH27" s="190">
        <v>2.19</v>
      </c>
      <c r="AI27" s="190">
        <v>1.37</v>
      </c>
      <c r="AJ27" s="190">
        <v>0.52</v>
      </c>
      <c r="AK27" s="190">
        <v>0</v>
      </c>
      <c r="AL27" s="190">
        <v>1.6</v>
      </c>
      <c r="AM27" s="190">
        <v>0.94</v>
      </c>
      <c r="AN27" s="190">
        <v>0.36</v>
      </c>
      <c r="AO27" s="190">
        <v>0</v>
      </c>
      <c r="AP27" s="190">
        <v>0</v>
      </c>
      <c r="AQ27" s="190">
        <v>0</v>
      </c>
    </row>
    <row r="28" spans="1:43" x14ac:dyDescent="0.25">
      <c r="A28" s="190" t="s">
        <v>215</v>
      </c>
      <c r="B28" s="190">
        <v>75615133</v>
      </c>
      <c r="C28" s="190">
        <v>16416613</v>
      </c>
      <c r="D28" s="190">
        <v>-70663245</v>
      </c>
      <c r="E28" s="190">
        <v>-94705462</v>
      </c>
      <c r="F28" s="190">
        <v>398436760</v>
      </c>
      <c r="G28" s="190">
        <v>254337044</v>
      </c>
      <c r="H28" s="190">
        <v>240966931</v>
      </c>
      <c r="I28" s="190">
        <v>127483667</v>
      </c>
      <c r="J28" s="190">
        <v>169446876</v>
      </c>
      <c r="K28" s="190">
        <v>116312651</v>
      </c>
      <c r="L28" s="190">
        <v>92765506</v>
      </c>
      <c r="M28" s="190">
        <v>-92767334</v>
      </c>
      <c r="N28" s="190">
        <v>-157313269</v>
      </c>
      <c r="O28" s="190">
        <v>-85538339</v>
      </c>
      <c r="P28" s="190">
        <v>-17470341</v>
      </c>
      <c r="Q28" s="190">
        <v>88906427</v>
      </c>
      <c r="R28" s="190">
        <v>92483458</v>
      </c>
      <c r="S28" s="190">
        <v>20706179</v>
      </c>
      <c r="T28" s="190">
        <v>-2210873</v>
      </c>
      <c r="U28" s="190">
        <v>-1041549</v>
      </c>
      <c r="V28" s="190">
        <v>-751451</v>
      </c>
      <c r="W28" s="190">
        <v>-555265</v>
      </c>
      <c r="X28" s="190">
        <v>-351514</v>
      </c>
      <c r="Y28" s="190">
        <v>-140360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row>
    <row r="29" spans="1:43" x14ac:dyDescent="0.25">
      <c r="A29" s="190" t="s">
        <v>216</v>
      </c>
      <c r="B29" s="190">
        <v>1148226880</v>
      </c>
      <c r="C29" s="190">
        <v>829903315</v>
      </c>
      <c r="D29" s="190">
        <v>344068132</v>
      </c>
      <c r="E29" s="190">
        <v>716377185</v>
      </c>
      <c r="F29" s="190">
        <v>839683515</v>
      </c>
      <c r="G29" s="190">
        <v>555002555</v>
      </c>
      <c r="H29" s="190">
        <v>465428253</v>
      </c>
      <c r="I29" s="190">
        <v>751808473</v>
      </c>
      <c r="J29" s="190">
        <v>744258410</v>
      </c>
      <c r="K29" s="190">
        <v>526624796</v>
      </c>
      <c r="L29" s="190">
        <v>309681570</v>
      </c>
      <c r="M29" s="190">
        <v>449122052</v>
      </c>
      <c r="N29" s="190">
        <v>337645822</v>
      </c>
      <c r="O29" s="190">
        <v>319660315</v>
      </c>
      <c r="P29" s="190">
        <v>185728956</v>
      </c>
      <c r="Q29" s="190">
        <v>1073588595</v>
      </c>
      <c r="R29" s="190">
        <v>925187872</v>
      </c>
      <c r="S29" s="190">
        <v>562117166</v>
      </c>
      <c r="T29" s="190">
        <v>226781008</v>
      </c>
      <c r="U29" s="190">
        <v>1090457496</v>
      </c>
      <c r="V29" s="190">
        <v>859196421</v>
      </c>
      <c r="W29" s="190">
        <v>540799550</v>
      </c>
      <c r="X29" s="190">
        <v>209576925</v>
      </c>
      <c r="Y29" s="190">
        <v>1093512636</v>
      </c>
      <c r="Z29" s="190">
        <v>767324567</v>
      </c>
      <c r="AA29" s="190">
        <v>461921157</v>
      </c>
      <c r="AB29" s="190">
        <v>168495611</v>
      </c>
      <c r="AC29" s="190">
        <v>960992033</v>
      </c>
      <c r="AD29" s="190">
        <v>684420118</v>
      </c>
      <c r="AE29" s="190">
        <v>408049193</v>
      </c>
      <c r="AF29" s="190">
        <v>145177997</v>
      </c>
      <c r="AG29" s="190">
        <v>661687333</v>
      </c>
      <c r="AH29" s="190">
        <v>452371012</v>
      </c>
      <c r="AI29" s="190">
        <v>260653615</v>
      </c>
      <c r="AJ29" s="190">
        <v>93093999</v>
      </c>
      <c r="AK29" s="190">
        <v>434171234</v>
      </c>
      <c r="AL29" s="190">
        <v>292412210</v>
      </c>
      <c r="AM29" s="190">
        <v>171657051</v>
      </c>
      <c r="AN29" s="190">
        <v>66975897</v>
      </c>
      <c r="AO29" s="190">
        <v>310964569</v>
      </c>
      <c r="AP29" s="190">
        <v>215485911</v>
      </c>
      <c r="AQ29" s="190">
        <v>0</v>
      </c>
    </row>
    <row r="30" spans="1:43" x14ac:dyDescent="0.25">
      <c r="A30" s="190" t="s">
        <v>217</v>
      </c>
      <c r="B30" s="190">
        <v>1096573933</v>
      </c>
      <c r="C30" s="190">
        <v>789500341</v>
      </c>
      <c r="D30" s="190">
        <v>312504186</v>
      </c>
      <c r="E30" s="190">
        <v>650464413</v>
      </c>
      <c r="F30" s="190">
        <v>780694441</v>
      </c>
      <c r="G30" s="190">
        <v>511245095</v>
      </c>
      <c r="H30" s="190">
        <v>436838350</v>
      </c>
      <c r="I30" s="190">
        <v>718542646</v>
      </c>
      <c r="J30" s="190">
        <v>710212005</v>
      </c>
      <c r="K30" s="190">
        <v>504203992</v>
      </c>
      <c r="L30" s="190">
        <v>299701822</v>
      </c>
      <c r="M30" s="190">
        <v>520740652</v>
      </c>
      <c r="N30" s="190">
        <v>380294778</v>
      </c>
      <c r="O30" s="190">
        <v>324553003</v>
      </c>
      <c r="P30" s="190">
        <v>188381939</v>
      </c>
      <c r="Q30" s="190">
        <v>1091637404</v>
      </c>
      <c r="R30" s="190">
        <v>919374482</v>
      </c>
      <c r="S30" s="190">
        <v>558782808</v>
      </c>
      <c r="T30" s="190">
        <v>226802041</v>
      </c>
      <c r="U30" s="190">
        <v>1078964412</v>
      </c>
      <c r="V30" s="190">
        <v>848222250</v>
      </c>
      <c r="W30" s="190">
        <v>533953296</v>
      </c>
      <c r="X30" s="190">
        <v>206358520</v>
      </c>
      <c r="Y30" s="190">
        <v>1087416081</v>
      </c>
      <c r="Z30" s="190">
        <v>766761086</v>
      </c>
      <c r="AA30" s="190">
        <v>461869380</v>
      </c>
      <c r="AB30" s="190">
        <v>169620666</v>
      </c>
      <c r="AC30" s="190">
        <v>966126095</v>
      </c>
      <c r="AD30" s="190">
        <v>687451997</v>
      </c>
      <c r="AE30" s="190">
        <v>410366250</v>
      </c>
      <c r="AF30" s="190">
        <v>147374579</v>
      </c>
      <c r="AG30" s="190">
        <v>661229249</v>
      </c>
      <c r="AH30" s="190">
        <v>451828263</v>
      </c>
      <c r="AI30" s="190">
        <v>260218650</v>
      </c>
      <c r="AJ30" s="190">
        <v>93145457</v>
      </c>
      <c r="AK30" s="190">
        <v>427851436</v>
      </c>
      <c r="AL30" s="190">
        <v>287234896</v>
      </c>
      <c r="AM30" s="190">
        <v>168443390</v>
      </c>
      <c r="AN30" s="190">
        <v>65521599</v>
      </c>
      <c r="AO30" s="190">
        <v>309887206</v>
      </c>
      <c r="AP30" s="190">
        <v>216288383</v>
      </c>
      <c r="AQ30" s="190">
        <v>0</v>
      </c>
    </row>
    <row r="31" spans="1:43" x14ac:dyDescent="0.25">
      <c r="A31" s="190" t="s">
        <v>218</v>
      </c>
      <c r="B31" s="190">
        <v>51652947</v>
      </c>
      <c r="C31" s="190">
        <v>40402974</v>
      </c>
      <c r="D31" s="190">
        <v>31563946</v>
      </c>
      <c r="E31" s="190">
        <v>65912772</v>
      </c>
      <c r="F31" s="190">
        <v>58989074</v>
      </c>
      <c r="G31" s="190">
        <v>43757460</v>
      </c>
      <c r="H31" s="190">
        <v>28589903</v>
      </c>
      <c r="I31" s="190">
        <v>33265827</v>
      </c>
      <c r="J31" s="190">
        <v>34046405</v>
      </c>
      <c r="K31" s="190">
        <v>22420804</v>
      </c>
      <c r="L31" s="190">
        <v>9979748</v>
      </c>
      <c r="M31" s="190">
        <v>-71618600</v>
      </c>
      <c r="N31" s="190">
        <v>-42648956</v>
      </c>
      <c r="O31" s="190">
        <v>-4892688</v>
      </c>
      <c r="P31" s="190">
        <v>-2652983</v>
      </c>
      <c r="Q31" s="190">
        <v>-18048809</v>
      </c>
      <c r="R31" s="190">
        <v>5813390</v>
      </c>
      <c r="S31" s="190">
        <v>3334358</v>
      </c>
      <c r="T31" s="190">
        <v>-21033</v>
      </c>
      <c r="U31" s="190">
        <v>11493084</v>
      </c>
      <c r="V31" s="190">
        <v>10974171</v>
      </c>
      <c r="W31" s="190">
        <v>6846254</v>
      </c>
      <c r="X31" s="190">
        <v>3218405</v>
      </c>
      <c r="Y31" s="190">
        <v>6096555</v>
      </c>
      <c r="Z31" s="190">
        <v>563481</v>
      </c>
      <c r="AA31" s="190">
        <v>51777</v>
      </c>
      <c r="AB31" s="190">
        <v>-1125055</v>
      </c>
      <c r="AC31" s="190">
        <v>-5134062</v>
      </c>
      <c r="AD31" s="190">
        <v>-3031879</v>
      </c>
      <c r="AE31" s="190">
        <v>-2317057</v>
      </c>
      <c r="AF31" s="190">
        <v>-2196582</v>
      </c>
      <c r="AG31" s="190">
        <v>458084</v>
      </c>
      <c r="AH31" s="190">
        <v>542749</v>
      </c>
      <c r="AI31" s="190">
        <v>434965</v>
      </c>
      <c r="AJ31" s="190">
        <v>-51458</v>
      </c>
      <c r="AK31" s="190">
        <v>6319798</v>
      </c>
      <c r="AL31" s="190">
        <v>5177314</v>
      </c>
      <c r="AM31" s="190">
        <v>3213661</v>
      </c>
      <c r="AN31" s="190">
        <v>1454298</v>
      </c>
      <c r="AO31" s="190">
        <v>1077363</v>
      </c>
      <c r="AP31" s="190">
        <v>-802472</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1.6640625" style="190" hidden="1" customWidth="1"/>
    <col min="5" max="5" width="12.77734375" style="190" bestFit="1" customWidth="1"/>
    <col min="6" max="7" width="12.77734375" style="190" hidden="1" customWidth="1"/>
    <col min="8" max="8" width="11.6640625" style="190" hidden="1" customWidth="1"/>
    <col min="9" max="9" width="12.77734375" style="190" bestFit="1" customWidth="1"/>
    <col min="10" max="11" width="12.77734375" style="190" hidden="1" customWidth="1"/>
    <col min="12" max="12" width="11.6640625" style="190" hidden="1" customWidth="1"/>
    <col min="13" max="13" width="12.77734375" style="190" bestFit="1" customWidth="1"/>
    <col min="14" max="15" width="12.77734375" style="190" hidden="1" customWidth="1"/>
    <col min="16" max="16" width="11.6640625" style="190" hidden="1" customWidth="1"/>
    <col min="17" max="17" width="12.77734375" style="190" bestFit="1" customWidth="1"/>
    <col min="18" max="19" width="12.77734375" style="190" hidden="1" customWidth="1"/>
    <col min="20" max="20" width="11.6640625" style="190" hidden="1" customWidth="1"/>
    <col min="21" max="21" width="12.77734375" style="190" bestFit="1" customWidth="1"/>
    <col min="22" max="23" width="12.77734375" style="190" hidden="1" customWidth="1"/>
    <col min="24" max="24" width="11.6640625" style="190" hidden="1" customWidth="1"/>
    <col min="25" max="25" width="12.77734375" style="190" bestFit="1" customWidth="1"/>
    <col min="26" max="27" width="12.77734375" style="190" hidden="1" customWidth="1"/>
    <col min="28" max="28" width="11.6640625" style="190" hidden="1" customWidth="1"/>
    <col min="29" max="29" width="12.77734375" style="190" bestFit="1" customWidth="1"/>
    <col min="30" max="31" width="12.77734375" style="190" hidden="1" customWidth="1"/>
    <col min="32" max="32" width="11.6640625" style="190" hidden="1" customWidth="1"/>
    <col min="33" max="33" width="11.6640625" style="190" bestFit="1" customWidth="1"/>
    <col min="34" max="36" width="11.664062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13939102471</v>
      </c>
      <c r="C4" s="190">
        <v>8566598835</v>
      </c>
      <c r="D4" s="190">
        <v>4157110963</v>
      </c>
      <c r="E4" s="190">
        <v>12076365191</v>
      </c>
      <c r="F4" s="190">
        <v>8192771057</v>
      </c>
      <c r="G4" s="190">
        <v>5138316315</v>
      </c>
      <c r="H4" s="190">
        <v>2280047600</v>
      </c>
      <c r="I4" s="190">
        <v>9498688592</v>
      </c>
      <c r="J4" s="190">
        <v>6819736946</v>
      </c>
      <c r="K4" s="190">
        <v>4256726138</v>
      </c>
      <c r="L4" s="190">
        <v>2163839596</v>
      </c>
      <c r="M4" s="190">
        <v>8812835085</v>
      </c>
      <c r="N4" s="190">
        <v>6633711924</v>
      </c>
      <c r="O4" s="190">
        <v>4143601432</v>
      </c>
      <c r="P4" s="190">
        <v>1932180671</v>
      </c>
      <c r="Q4" s="190">
        <v>8857754812</v>
      </c>
      <c r="R4" s="190">
        <v>6590141128</v>
      </c>
      <c r="S4" s="190">
        <v>4114178253</v>
      </c>
      <c r="T4" s="190">
        <v>1767382837</v>
      </c>
      <c r="U4" s="190">
        <v>7434265847</v>
      </c>
      <c r="V4" s="190">
        <v>5267389775</v>
      </c>
      <c r="W4" s="190">
        <v>3321264935</v>
      </c>
      <c r="X4" s="190">
        <v>1420413218</v>
      </c>
      <c r="Y4" s="190">
        <v>6499050754</v>
      </c>
      <c r="Z4" s="190">
        <v>4818904579</v>
      </c>
      <c r="AA4" s="190">
        <v>3163957763</v>
      </c>
      <c r="AB4" s="190">
        <v>1428950317</v>
      </c>
      <c r="AC4" s="190">
        <v>5140776972</v>
      </c>
      <c r="AD4" s="190">
        <v>3931550482</v>
      </c>
      <c r="AE4" s="190">
        <v>2591540548</v>
      </c>
      <c r="AF4" s="190">
        <v>1253163749</v>
      </c>
      <c r="AG4" s="190">
        <v>4040072677</v>
      </c>
      <c r="AH4" s="190">
        <v>2783835684</v>
      </c>
      <c r="AI4" s="190">
        <v>1700074640</v>
      </c>
      <c r="AJ4" s="190">
        <v>754615333</v>
      </c>
      <c r="AK4" s="190">
        <v>3230517442</v>
      </c>
      <c r="AL4" s="190">
        <v>2220293380</v>
      </c>
      <c r="AM4" s="190">
        <v>1343440991</v>
      </c>
      <c r="AN4" s="190">
        <v>566972788</v>
      </c>
      <c r="AO4" s="190">
        <v>2726223461</v>
      </c>
      <c r="AP4" s="190">
        <v>2171484511</v>
      </c>
      <c r="AQ4" s="190">
        <v>0</v>
      </c>
    </row>
    <row r="5" spans="1:43" x14ac:dyDescent="0.25">
      <c r="A5" s="190" t="s">
        <v>221</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222</v>
      </c>
      <c r="B6" s="190">
        <v>166104581</v>
      </c>
      <c r="C6" s="190">
        <v>54291513</v>
      </c>
      <c r="D6" s="190">
        <v>21849067</v>
      </c>
      <c r="E6" s="190">
        <v>198950722</v>
      </c>
      <c r="F6" s="190">
        <v>145405479</v>
      </c>
      <c r="G6" s="190">
        <v>104057113</v>
      </c>
      <c r="H6" s="190">
        <v>26546623</v>
      </c>
      <c r="I6" s="190">
        <v>163643598</v>
      </c>
      <c r="J6" s="190">
        <v>188068861</v>
      </c>
      <c r="K6" s="190">
        <v>109499259</v>
      </c>
      <c r="L6" s="190">
        <v>30718142</v>
      </c>
      <c r="M6" s="190">
        <v>197775978</v>
      </c>
      <c r="N6" s="190">
        <v>152474888</v>
      </c>
      <c r="O6" s="190">
        <v>105771233</v>
      </c>
      <c r="P6" s="190">
        <v>28565136</v>
      </c>
      <c r="Q6" s="190">
        <v>166159388</v>
      </c>
      <c r="R6" s="190">
        <v>97406825</v>
      </c>
      <c r="S6" s="190">
        <v>45703444</v>
      </c>
      <c r="T6" s="190">
        <v>20858443</v>
      </c>
      <c r="U6" s="190">
        <v>466367873</v>
      </c>
      <c r="V6" s="190">
        <v>107357959</v>
      </c>
      <c r="W6" s="190">
        <v>81506148</v>
      </c>
      <c r="X6" s="190">
        <v>38394202</v>
      </c>
      <c r="Y6" s="190">
        <v>169903773</v>
      </c>
      <c r="Z6" s="190">
        <v>95544165</v>
      </c>
      <c r="AA6" s="190">
        <v>51229710</v>
      </c>
      <c r="AB6" s="190">
        <v>26338696</v>
      </c>
      <c r="AC6" s="190">
        <v>155630614</v>
      </c>
      <c r="AD6" s="190">
        <v>99409902</v>
      </c>
      <c r="AE6" s="190">
        <v>78989862</v>
      </c>
      <c r="AF6" s="190">
        <v>6950518</v>
      </c>
      <c r="AG6" s="190">
        <v>68091029</v>
      </c>
      <c r="AH6" s="190">
        <v>43410099</v>
      </c>
      <c r="AI6" s="190">
        <v>24969700</v>
      </c>
      <c r="AJ6" s="190">
        <v>6325640</v>
      </c>
      <c r="AK6" s="190">
        <v>35294868</v>
      </c>
      <c r="AL6" s="190">
        <v>12882264</v>
      </c>
      <c r="AM6" s="190">
        <v>7467460</v>
      </c>
      <c r="AN6" s="190">
        <v>2006409</v>
      </c>
      <c r="AO6" s="190">
        <v>18924810</v>
      </c>
      <c r="AP6" s="190">
        <v>12350255</v>
      </c>
      <c r="AQ6" s="190">
        <v>0</v>
      </c>
    </row>
    <row r="7" spans="1:43" x14ac:dyDescent="0.25">
      <c r="A7" s="190" t="s">
        <v>223</v>
      </c>
      <c r="B7" s="190">
        <v>14105207052</v>
      </c>
      <c r="C7" s="190">
        <v>8620890348</v>
      </c>
      <c r="D7" s="190">
        <v>4178960030</v>
      </c>
      <c r="E7" s="190">
        <v>12275315913</v>
      </c>
      <c r="F7" s="190">
        <v>8338176536</v>
      </c>
      <c r="G7" s="190">
        <v>5242373428</v>
      </c>
      <c r="H7" s="190">
        <v>2306594223</v>
      </c>
      <c r="I7" s="190">
        <v>9662332190</v>
      </c>
      <c r="J7" s="190">
        <v>7007805807</v>
      </c>
      <c r="K7" s="190">
        <v>4366225397</v>
      </c>
      <c r="L7" s="190">
        <v>2194557738</v>
      </c>
      <c r="M7" s="190">
        <v>9010611063</v>
      </c>
      <c r="N7" s="190">
        <v>6786186812</v>
      </c>
      <c r="O7" s="190">
        <v>4249372665</v>
      </c>
      <c r="P7" s="190">
        <v>1960745807</v>
      </c>
      <c r="Q7" s="190">
        <v>9023914200</v>
      </c>
      <c r="R7" s="190">
        <v>6687547953</v>
      </c>
      <c r="S7" s="190">
        <v>4159881697</v>
      </c>
      <c r="T7" s="190">
        <v>1788241280</v>
      </c>
      <c r="U7" s="190">
        <v>7900633720</v>
      </c>
      <c r="V7" s="190">
        <v>5374747734</v>
      </c>
      <c r="W7" s="190">
        <v>3402771083</v>
      </c>
      <c r="X7" s="190">
        <v>1458807420</v>
      </c>
      <c r="Y7" s="190">
        <v>6668954527</v>
      </c>
      <c r="Z7" s="190">
        <v>4914448744</v>
      </c>
      <c r="AA7" s="190">
        <v>3215187473</v>
      </c>
      <c r="AB7" s="190">
        <v>1455289013</v>
      </c>
      <c r="AC7" s="190">
        <v>5296407586</v>
      </c>
      <c r="AD7" s="190">
        <v>4030960384</v>
      </c>
      <c r="AE7" s="190">
        <v>2670530410</v>
      </c>
      <c r="AF7" s="190">
        <v>1260114267</v>
      </c>
      <c r="AG7" s="190">
        <v>4108163706</v>
      </c>
      <c r="AH7" s="190">
        <v>2827245783</v>
      </c>
      <c r="AI7" s="190">
        <v>1725044340</v>
      </c>
      <c r="AJ7" s="190">
        <v>760940973</v>
      </c>
      <c r="AK7" s="190">
        <v>3265812310</v>
      </c>
      <c r="AL7" s="190">
        <v>2233175644</v>
      </c>
      <c r="AM7" s="190">
        <v>1350908451</v>
      </c>
      <c r="AN7" s="190">
        <v>568979197</v>
      </c>
      <c r="AO7" s="190">
        <v>2745148271</v>
      </c>
      <c r="AP7" s="190">
        <v>2183834766</v>
      </c>
      <c r="AQ7" s="190">
        <v>0</v>
      </c>
    </row>
    <row r="8" spans="1:43" x14ac:dyDescent="0.25">
      <c r="A8" s="190" t="s">
        <v>224</v>
      </c>
      <c r="B8" s="190">
        <v>9102960894</v>
      </c>
      <c r="C8" s="190">
        <v>5499646408</v>
      </c>
      <c r="D8" s="190">
        <v>2382695800</v>
      </c>
      <c r="E8" s="190">
        <v>7875394429</v>
      </c>
      <c r="F8" s="190">
        <v>4931699436</v>
      </c>
      <c r="G8" s="190">
        <v>2901558859</v>
      </c>
      <c r="H8" s="190">
        <v>1328939479</v>
      </c>
      <c r="I8" s="190">
        <v>5128587866</v>
      </c>
      <c r="J8" s="190">
        <v>3366008552</v>
      </c>
      <c r="K8" s="190">
        <v>2085617211</v>
      </c>
      <c r="L8" s="190">
        <v>992467387</v>
      </c>
      <c r="M8" s="190">
        <v>5123611306</v>
      </c>
      <c r="N8" s="190">
        <v>3492799859</v>
      </c>
      <c r="O8" s="190">
        <v>2165618993</v>
      </c>
      <c r="P8" s="190">
        <v>1112022966</v>
      </c>
      <c r="Q8" s="190">
        <v>5348553679</v>
      </c>
      <c r="R8" s="190">
        <v>3616990486</v>
      </c>
      <c r="S8" s="190">
        <v>2138658259</v>
      </c>
      <c r="T8" s="190">
        <v>1018954583</v>
      </c>
      <c r="U8" s="190">
        <v>4762387649</v>
      </c>
      <c r="V8" s="190">
        <v>2928686922</v>
      </c>
      <c r="W8" s="190">
        <v>1847612063</v>
      </c>
      <c r="X8" s="190">
        <v>926135815</v>
      </c>
      <c r="Y8" s="190">
        <v>4370036284</v>
      </c>
      <c r="Z8" s="190">
        <v>3192590944</v>
      </c>
      <c r="AA8" s="190">
        <v>1864537487</v>
      </c>
      <c r="AB8" s="190">
        <v>934535637</v>
      </c>
      <c r="AC8" s="190">
        <v>3453938148</v>
      </c>
      <c r="AD8" s="190">
        <v>2810036595</v>
      </c>
      <c r="AE8" s="190">
        <v>1806620737</v>
      </c>
      <c r="AF8" s="190">
        <v>880681227</v>
      </c>
      <c r="AG8" s="190">
        <v>2934258891</v>
      </c>
      <c r="AH8" s="190">
        <v>2261970201</v>
      </c>
      <c r="AI8" s="190">
        <v>1493128893</v>
      </c>
      <c r="AJ8" s="190">
        <v>671147686</v>
      </c>
      <c r="AK8" s="190">
        <v>2210503504</v>
      </c>
      <c r="AL8" s="190">
        <v>1543692486</v>
      </c>
      <c r="AM8" s="190">
        <v>916915440</v>
      </c>
      <c r="AN8" s="190">
        <v>386607587</v>
      </c>
      <c r="AO8" s="190">
        <v>1844060904</v>
      </c>
      <c r="AP8" s="190">
        <v>1548125853</v>
      </c>
      <c r="AQ8" s="190">
        <v>0</v>
      </c>
    </row>
    <row r="9" spans="1:43" x14ac:dyDescent="0.25">
      <c r="A9" s="190" t="s">
        <v>225</v>
      </c>
      <c r="B9" s="190">
        <v>1195150036</v>
      </c>
      <c r="C9" s="190">
        <v>767290380</v>
      </c>
      <c r="D9" s="190">
        <v>439603997</v>
      </c>
      <c r="E9" s="190">
        <v>1329918275</v>
      </c>
      <c r="F9" s="190">
        <v>1136996133</v>
      </c>
      <c r="G9" s="190">
        <v>722801520</v>
      </c>
      <c r="H9" s="190">
        <v>380955210</v>
      </c>
      <c r="I9" s="190">
        <v>1284102585</v>
      </c>
      <c r="J9" s="190">
        <v>1075175363</v>
      </c>
      <c r="K9" s="190">
        <v>698022751</v>
      </c>
      <c r="L9" s="190">
        <v>395038375</v>
      </c>
      <c r="M9" s="190">
        <v>1176949411</v>
      </c>
      <c r="N9" s="190">
        <v>1009204608</v>
      </c>
      <c r="O9" s="190">
        <v>684818632</v>
      </c>
      <c r="P9" s="190">
        <v>365914989</v>
      </c>
      <c r="Q9" s="190">
        <v>1178996542</v>
      </c>
      <c r="R9" s="190">
        <v>886965565</v>
      </c>
      <c r="S9" s="190">
        <v>602651003</v>
      </c>
      <c r="T9" s="190">
        <v>306206463</v>
      </c>
      <c r="U9" s="190">
        <v>978854249</v>
      </c>
      <c r="V9" s="190">
        <v>688950559</v>
      </c>
      <c r="W9" s="190">
        <v>430520267</v>
      </c>
      <c r="X9" s="190">
        <v>224332274</v>
      </c>
      <c r="Y9" s="190">
        <v>754888814</v>
      </c>
      <c r="Z9" s="190">
        <v>529507513</v>
      </c>
      <c r="AA9" s="190">
        <v>327500693</v>
      </c>
      <c r="AB9" s="190">
        <v>170996864</v>
      </c>
      <c r="AC9" s="190">
        <v>556226888</v>
      </c>
      <c r="AD9" s="190">
        <v>387659818</v>
      </c>
      <c r="AE9" s="190">
        <v>237570789</v>
      </c>
      <c r="AF9" s="190">
        <v>126403305</v>
      </c>
      <c r="AG9" s="190">
        <v>412739237</v>
      </c>
      <c r="AH9" s="190">
        <v>298336325</v>
      </c>
      <c r="AI9" s="190">
        <v>193906917</v>
      </c>
      <c r="AJ9" s="190">
        <v>100745683</v>
      </c>
      <c r="AK9" s="190">
        <v>316121257</v>
      </c>
      <c r="AL9" s="190">
        <v>225893427</v>
      </c>
      <c r="AM9" s="190">
        <v>138924664</v>
      </c>
      <c r="AN9" s="190">
        <v>78208971</v>
      </c>
      <c r="AO9" s="190">
        <v>235618249</v>
      </c>
      <c r="AP9" s="190">
        <v>177953233</v>
      </c>
      <c r="AQ9" s="190">
        <v>0</v>
      </c>
    </row>
    <row r="10" spans="1:43" x14ac:dyDescent="0.25">
      <c r="A10" s="190" t="s">
        <v>226</v>
      </c>
      <c r="B10" s="190">
        <v>1279216794</v>
      </c>
      <c r="C10" s="190">
        <v>860817052</v>
      </c>
      <c r="D10" s="190">
        <v>452074689</v>
      </c>
      <c r="E10" s="190">
        <v>1294270252</v>
      </c>
      <c r="F10" s="190">
        <v>865042532</v>
      </c>
      <c r="G10" s="190">
        <v>548033959</v>
      </c>
      <c r="H10" s="190">
        <v>226422790</v>
      </c>
      <c r="I10" s="190">
        <v>1030424681</v>
      </c>
      <c r="J10" s="190">
        <v>696624855</v>
      </c>
      <c r="K10" s="190">
        <v>466029659</v>
      </c>
      <c r="L10" s="190">
        <v>198859529</v>
      </c>
      <c r="M10" s="190">
        <v>1008940199</v>
      </c>
      <c r="N10" s="190">
        <v>687324904</v>
      </c>
      <c r="O10" s="190">
        <v>502549642</v>
      </c>
      <c r="P10" s="190">
        <v>256174475</v>
      </c>
      <c r="Q10" s="190">
        <v>960909297</v>
      </c>
      <c r="R10" s="190">
        <v>723537883</v>
      </c>
      <c r="S10" s="190">
        <v>529719993</v>
      </c>
      <c r="T10" s="190">
        <v>228622532</v>
      </c>
      <c r="U10" s="190">
        <v>853882914</v>
      </c>
      <c r="V10" s="190">
        <v>610200510</v>
      </c>
      <c r="W10" s="190">
        <v>451642101</v>
      </c>
      <c r="X10" s="190">
        <v>185060958</v>
      </c>
      <c r="Y10" s="190">
        <v>787718970</v>
      </c>
      <c r="Z10" s="190">
        <v>556104320</v>
      </c>
      <c r="AA10" s="190">
        <v>390594000</v>
      </c>
      <c r="AB10" s="190">
        <v>171377760</v>
      </c>
      <c r="AC10" s="190">
        <v>560308250</v>
      </c>
      <c r="AD10" s="190">
        <v>380526572</v>
      </c>
      <c r="AE10" s="190">
        <v>293965188</v>
      </c>
      <c r="AF10" s="190">
        <v>147822455</v>
      </c>
      <c r="AG10" s="190">
        <v>379698100</v>
      </c>
      <c r="AH10" s="190">
        <v>283237128</v>
      </c>
      <c r="AI10" s="190">
        <v>198124873</v>
      </c>
      <c r="AJ10" s="190">
        <v>67064582</v>
      </c>
      <c r="AK10" s="190">
        <v>326644406</v>
      </c>
      <c r="AL10" s="190">
        <v>241007739</v>
      </c>
      <c r="AM10" s="190">
        <v>148750122</v>
      </c>
      <c r="AN10" s="190">
        <v>66755293</v>
      </c>
      <c r="AO10" s="190">
        <v>252996961</v>
      </c>
      <c r="AP10" s="190">
        <v>178923953</v>
      </c>
      <c r="AQ10" s="190">
        <v>0</v>
      </c>
    </row>
    <row r="11" spans="1:43" x14ac:dyDescent="0.25">
      <c r="A11" s="190" t="s">
        <v>227</v>
      </c>
      <c r="B11" s="190">
        <v>628934990</v>
      </c>
      <c r="C11" s="190">
        <v>383388336</v>
      </c>
      <c r="D11" s="190">
        <v>165047963</v>
      </c>
      <c r="E11" s="190">
        <v>673212129</v>
      </c>
      <c r="F11" s="190">
        <v>560725257</v>
      </c>
      <c r="G11" s="190">
        <v>365339960</v>
      </c>
      <c r="H11" s="190">
        <v>163231821</v>
      </c>
      <c r="I11" s="190">
        <v>493809643</v>
      </c>
      <c r="J11" s="190">
        <v>381954463</v>
      </c>
      <c r="K11" s="190">
        <v>179162569</v>
      </c>
      <c r="L11" s="190">
        <v>74059877</v>
      </c>
      <c r="M11" s="190">
        <v>461680711</v>
      </c>
      <c r="N11" s="190">
        <v>459377213</v>
      </c>
      <c r="O11" s="190">
        <v>244318288</v>
      </c>
      <c r="P11" s="190">
        <v>164910375</v>
      </c>
      <c r="Q11" s="190">
        <v>316718744</v>
      </c>
      <c r="R11" s="190">
        <v>448668137</v>
      </c>
      <c r="S11" s="190">
        <v>254903922</v>
      </c>
      <c r="T11" s="190">
        <v>159155265</v>
      </c>
      <c r="U11" s="190">
        <v>255135063</v>
      </c>
      <c r="V11" s="190">
        <v>327294203</v>
      </c>
      <c r="W11" s="190">
        <v>214775528</v>
      </c>
      <c r="X11" s="190">
        <v>77766805</v>
      </c>
      <c r="Y11" s="190">
        <v>353538992</v>
      </c>
      <c r="Z11" s="190">
        <v>328783107</v>
      </c>
      <c r="AA11" s="190">
        <v>201191331</v>
      </c>
      <c r="AB11" s="190">
        <v>56278374</v>
      </c>
      <c r="AC11" s="190">
        <v>383003242</v>
      </c>
      <c r="AD11" s="190">
        <v>237424530</v>
      </c>
      <c r="AE11" s="190">
        <v>139921835</v>
      </c>
      <c r="AF11" s="190">
        <v>51228095</v>
      </c>
      <c r="AG11" s="190">
        <v>232175439</v>
      </c>
      <c r="AH11" s="190">
        <v>165441750</v>
      </c>
      <c r="AI11" s="190">
        <v>88826686</v>
      </c>
      <c r="AJ11" s="190">
        <v>29402663</v>
      </c>
      <c r="AK11" s="190">
        <v>161854510</v>
      </c>
      <c r="AL11" s="190">
        <v>128508687</v>
      </c>
      <c r="AM11" s="190">
        <v>64178486</v>
      </c>
      <c r="AN11" s="190">
        <v>19939169</v>
      </c>
      <c r="AO11" s="190">
        <v>191396280</v>
      </c>
      <c r="AP11" s="190">
        <v>110408533</v>
      </c>
      <c r="AQ11" s="190">
        <v>0</v>
      </c>
    </row>
    <row r="12" spans="1:43" x14ac:dyDescent="0.25">
      <c r="A12" s="190" t="s">
        <v>228</v>
      </c>
      <c r="B12" s="190">
        <v>12206262714</v>
      </c>
      <c r="C12" s="190">
        <v>7511142176</v>
      </c>
      <c r="D12" s="190">
        <v>3439422449</v>
      </c>
      <c r="E12" s="190">
        <v>11172795085</v>
      </c>
      <c r="F12" s="190">
        <v>7494463358</v>
      </c>
      <c r="G12" s="190">
        <v>4537734298</v>
      </c>
      <c r="H12" s="190">
        <v>2099549300</v>
      </c>
      <c r="I12" s="190">
        <v>7936924775</v>
      </c>
      <c r="J12" s="190">
        <v>5519763233</v>
      </c>
      <c r="K12" s="190">
        <v>3428832190</v>
      </c>
      <c r="L12" s="190">
        <v>1660425168</v>
      </c>
      <c r="M12" s="190">
        <v>7771181627</v>
      </c>
      <c r="N12" s="190">
        <v>5648706584</v>
      </c>
      <c r="O12" s="190">
        <v>3597305555</v>
      </c>
      <c r="P12" s="190">
        <v>1899022805</v>
      </c>
      <c r="Q12" s="190">
        <v>7805178262</v>
      </c>
      <c r="R12" s="190">
        <v>5676162071</v>
      </c>
      <c r="S12" s="190">
        <v>3525933177</v>
      </c>
      <c r="T12" s="190">
        <v>1712938843</v>
      </c>
      <c r="U12" s="190">
        <v>6850259875</v>
      </c>
      <c r="V12" s="190">
        <v>4555132194</v>
      </c>
      <c r="W12" s="190">
        <v>2944549959</v>
      </c>
      <c r="X12" s="190">
        <v>1413295852</v>
      </c>
      <c r="Y12" s="190">
        <v>6266183060</v>
      </c>
      <c r="Z12" s="190">
        <v>4606985884</v>
      </c>
      <c r="AA12" s="190">
        <v>2783823511</v>
      </c>
      <c r="AB12" s="190">
        <v>1333188635</v>
      </c>
      <c r="AC12" s="190">
        <v>4953476528</v>
      </c>
      <c r="AD12" s="190">
        <v>3815647515</v>
      </c>
      <c r="AE12" s="190">
        <v>2478078549</v>
      </c>
      <c r="AF12" s="190">
        <v>1206135082</v>
      </c>
      <c r="AG12" s="190">
        <v>3958871667</v>
      </c>
      <c r="AH12" s="190">
        <v>3008985404</v>
      </c>
      <c r="AI12" s="190">
        <v>1973987369</v>
      </c>
      <c r="AJ12" s="190">
        <v>868360614</v>
      </c>
      <c r="AK12" s="190">
        <v>3015123677</v>
      </c>
      <c r="AL12" s="190">
        <v>2139102339</v>
      </c>
      <c r="AM12" s="190">
        <v>1268768712</v>
      </c>
      <c r="AN12" s="190">
        <v>551511020</v>
      </c>
      <c r="AO12" s="190">
        <v>2524072394</v>
      </c>
      <c r="AP12" s="190">
        <v>2015411572</v>
      </c>
      <c r="AQ12" s="190">
        <v>0</v>
      </c>
    </row>
    <row r="13" spans="1:43" x14ac:dyDescent="0.25">
      <c r="A13" s="190" t="s">
        <v>229</v>
      </c>
      <c r="B13" s="190">
        <v>1898944338</v>
      </c>
      <c r="C13" s="190">
        <v>1109748172</v>
      </c>
      <c r="D13" s="190">
        <v>739537581</v>
      </c>
      <c r="E13" s="190">
        <v>1102520828</v>
      </c>
      <c r="F13" s="190">
        <v>843713178</v>
      </c>
      <c r="G13" s="190">
        <v>704639130</v>
      </c>
      <c r="H13" s="190">
        <v>207044923</v>
      </c>
      <c r="I13" s="190">
        <v>1725407415</v>
      </c>
      <c r="J13" s="190">
        <v>1488042574</v>
      </c>
      <c r="K13" s="190">
        <v>937393207</v>
      </c>
      <c r="L13" s="190">
        <v>534132570</v>
      </c>
      <c r="M13" s="190">
        <v>1239429436</v>
      </c>
      <c r="N13" s="190">
        <v>1137480228</v>
      </c>
      <c r="O13" s="190">
        <v>652067110</v>
      </c>
      <c r="P13" s="190">
        <v>61723002</v>
      </c>
      <c r="Q13" s="190">
        <v>1218735938</v>
      </c>
      <c r="R13" s="190">
        <v>1011385882</v>
      </c>
      <c r="S13" s="190">
        <v>633948520</v>
      </c>
      <c r="T13" s="190">
        <v>75302437</v>
      </c>
      <c r="U13" s="190">
        <v>1050373845</v>
      </c>
      <c r="V13" s="190">
        <v>819615540</v>
      </c>
      <c r="W13" s="190">
        <v>458221124</v>
      </c>
      <c r="X13" s="190">
        <v>45511568</v>
      </c>
      <c r="Y13" s="190">
        <v>402771467</v>
      </c>
      <c r="Z13" s="190">
        <v>307462860</v>
      </c>
      <c r="AA13" s="190">
        <v>431363962</v>
      </c>
      <c r="AB13" s="190">
        <v>122100378</v>
      </c>
      <c r="AC13" s="190">
        <v>342931058</v>
      </c>
      <c r="AD13" s="190">
        <v>215312869</v>
      </c>
      <c r="AE13" s="190">
        <v>192451861</v>
      </c>
      <c r="AF13" s="190">
        <v>53979185</v>
      </c>
      <c r="AG13" s="190">
        <v>149292039</v>
      </c>
      <c r="AH13" s="190">
        <v>-181739621</v>
      </c>
      <c r="AI13" s="190">
        <v>-248943029</v>
      </c>
      <c r="AJ13" s="190">
        <v>-107419641</v>
      </c>
      <c r="AK13" s="190">
        <v>250688633</v>
      </c>
      <c r="AL13" s="190">
        <v>94073305</v>
      </c>
      <c r="AM13" s="190">
        <v>82139739</v>
      </c>
      <c r="AN13" s="190">
        <v>17468177</v>
      </c>
      <c r="AO13" s="190">
        <v>221075877</v>
      </c>
      <c r="AP13" s="190">
        <v>168423194</v>
      </c>
      <c r="AQ13" s="190">
        <v>0</v>
      </c>
    </row>
    <row r="14" spans="1:43" x14ac:dyDescent="0.25">
      <c r="A14" s="190" t="s">
        <v>230</v>
      </c>
    </row>
    <row r="15" spans="1:43" x14ac:dyDescent="0.25">
      <c r="A15" s="190" t="s">
        <v>231</v>
      </c>
      <c r="B15" s="190">
        <v>0</v>
      </c>
      <c r="C15" s="190">
        <v>0</v>
      </c>
      <c r="D15" s="190">
        <v>0</v>
      </c>
      <c r="E15" s="190">
        <v>11550000</v>
      </c>
      <c r="F15" s="190">
        <v>10331593</v>
      </c>
      <c r="G15" s="190">
        <v>9900000</v>
      </c>
      <c r="H15" s="190">
        <v>9900000</v>
      </c>
      <c r="I15" s="190">
        <v>4950000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200000</v>
      </c>
      <c r="AQ15" s="190">
        <v>0</v>
      </c>
    </row>
    <row r="16" spans="1:43" x14ac:dyDescent="0.25">
      <c r="A16" s="190" t="s">
        <v>232</v>
      </c>
      <c r="B16" s="190">
        <v>66821239</v>
      </c>
      <c r="C16" s="190">
        <v>27802854</v>
      </c>
      <c r="D16" s="190">
        <v>0</v>
      </c>
      <c r="E16" s="190">
        <v>30815324</v>
      </c>
      <c r="F16" s="190">
        <v>32213177</v>
      </c>
      <c r="G16" s="190">
        <v>13510282</v>
      </c>
      <c r="H16" s="190">
        <v>0</v>
      </c>
      <c r="I16" s="190">
        <v>18048877</v>
      </c>
      <c r="J16" s="190">
        <v>14535548</v>
      </c>
      <c r="K16" s="190">
        <v>0</v>
      </c>
      <c r="L16" s="190">
        <v>0</v>
      </c>
      <c r="M16" s="190">
        <v>26549714</v>
      </c>
      <c r="N16" s="190">
        <v>24087821</v>
      </c>
      <c r="O16" s="190">
        <v>19711875</v>
      </c>
      <c r="P16" s="190">
        <v>0</v>
      </c>
      <c r="Q16" s="190">
        <v>13167603</v>
      </c>
      <c r="R16" s="190">
        <v>1050000</v>
      </c>
      <c r="S16" s="190">
        <v>1050000</v>
      </c>
      <c r="T16" s="190">
        <v>1050000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82303</v>
      </c>
      <c r="AQ16" s="190">
        <v>0</v>
      </c>
    </row>
    <row r="17" spans="1:43" x14ac:dyDescent="0.25">
      <c r="A17" s="190" t="s">
        <v>233</v>
      </c>
      <c r="B17" s="190">
        <v>2002550</v>
      </c>
      <c r="C17" s="190">
        <v>1246962</v>
      </c>
      <c r="D17" s="190">
        <v>436471</v>
      </c>
      <c r="E17" s="190">
        <v>27660682</v>
      </c>
      <c r="F17" s="190">
        <v>26729598</v>
      </c>
      <c r="G17" s="190">
        <v>1278547</v>
      </c>
      <c r="H17" s="190">
        <v>195792</v>
      </c>
      <c r="I17" s="190">
        <v>702595</v>
      </c>
      <c r="J17" s="190">
        <v>1855376</v>
      </c>
      <c r="K17" s="190">
        <v>515564</v>
      </c>
      <c r="L17" s="190">
        <v>35967</v>
      </c>
      <c r="M17" s="190">
        <v>4027547</v>
      </c>
      <c r="N17" s="190">
        <v>2237225</v>
      </c>
      <c r="O17" s="190">
        <v>1563389</v>
      </c>
      <c r="P17" s="190">
        <v>107950</v>
      </c>
      <c r="Q17" s="190">
        <v>13907447</v>
      </c>
      <c r="R17" s="190">
        <v>5345081</v>
      </c>
      <c r="S17" s="190">
        <v>3720565</v>
      </c>
      <c r="T17" s="190">
        <v>2153987</v>
      </c>
      <c r="U17" s="190">
        <v>58065795</v>
      </c>
      <c r="V17" s="190">
        <v>9085281</v>
      </c>
      <c r="W17" s="190">
        <v>1512012</v>
      </c>
      <c r="X17" s="190">
        <v>675799</v>
      </c>
      <c r="Y17" s="190">
        <v>13442923</v>
      </c>
      <c r="Z17" s="190">
        <v>7512819</v>
      </c>
      <c r="AA17" s="190">
        <v>440977</v>
      </c>
      <c r="AB17" s="190">
        <v>51925</v>
      </c>
      <c r="AC17" s="190">
        <v>2458071</v>
      </c>
      <c r="AD17" s="190">
        <v>8606655</v>
      </c>
      <c r="AE17" s="190">
        <v>5412622</v>
      </c>
      <c r="AF17" s="190">
        <v>160290</v>
      </c>
      <c r="AG17" s="190">
        <v>2205814</v>
      </c>
      <c r="AH17" s="190">
        <v>6100146</v>
      </c>
      <c r="AI17" s="190">
        <v>2694561</v>
      </c>
      <c r="AJ17" s="190">
        <v>2959698</v>
      </c>
      <c r="AK17" s="190">
        <v>1215551</v>
      </c>
      <c r="AL17" s="190">
        <v>3318835</v>
      </c>
      <c r="AM17" s="190">
        <v>2475268</v>
      </c>
      <c r="AN17" s="190">
        <v>9960155</v>
      </c>
      <c r="AO17" s="190">
        <v>3698117</v>
      </c>
      <c r="AP17" s="190">
        <v>2202961</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235</v>
      </c>
      <c r="B19" s="190">
        <v>1702971570</v>
      </c>
      <c r="C19" s="190">
        <v>1460000000</v>
      </c>
      <c r="D19" s="190">
        <v>1027000000</v>
      </c>
      <c r="E19" s="190">
        <v>1151720745</v>
      </c>
      <c r="F19" s="190">
        <v>605580000</v>
      </c>
      <c r="G19" s="190">
        <v>353000000</v>
      </c>
      <c r="H19" s="190">
        <v>303000000</v>
      </c>
      <c r="I19" s="190">
        <v>930000000</v>
      </c>
      <c r="J19" s="190">
        <v>572000000</v>
      </c>
      <c r="K19" s="190">
        <v>340000000</v>
      </c>
      <c r="L19" s="190">
        <v>88619693</v>
      </c>
      <c r="M19" s="190">
        <v>540160100</v>
      </c>
      <c r="N19" s="190">
        <v>6068000</v>
      </c>
      <c r="O19" s="190">
        <v>6068000</v>
      </c>
      <c r="P19" s="190">
        <v>6068000</v>
      </c>
      <c r="Q19" s="190">
        <v>71000000</v>
      </c>
      <c r="R19" s="190">
        <v>1160000</v>
      </c>
      <c r="S19" s="190">
        <v>780000</v>
      </c>
      <c r="T19" s="190">
        <v>390000</v>
      </c>
      <c r="U19" s="190">
        <v>102950480</v>
      </c>
      <c r="V19" s="190">
        <v>21578700</v>
      </c>
      <c r="W19" s="190">
        <v>21188700</v>
      </c>
      <c r="X19" s="190">
        <v>20000000</v>
      </c>
      <c r="Y19" s="190">
        <v>30366350</v>
      </c>
      <c r="Z19" s="190">
        <v>30366352</v>
      </c>
      <c r="AA19" s="190">
        <v>19366352</v>
      </c>
      <c r="AB19" s="190">
        <v>0</v>
      </c>
      <c r="AC19" s="190">
        <v>0</v>
      </c>
      <c r="AD19" s="190">
        <v>0</v>
      </c>
      <c r="AE19" s="190">
        <v>0</v>
      </c>
      <c r="AF19" s="190">
        <v>0</v>
      </c>
      <c r="AG19" s="190">
        <v>0</v>
      </c>
      <c r="AH19" s="190">
        <v>14755</v>
      </c>
      <c r="AI19" s="190">
        <v>0</v>
      </c>
      <c r="AJ19" s="190">
        <v>0</v>
      </c>
      <c r="AK19" s="190">
        <v>0</v>
      </c>
      <c r="AL19" s="190">
        <v>0</v>
      </c>
      <c r="AM19" s="190">
        <v>0</v>
      </c>
      <c r="AN19" s="190">
        <v>0</v>
      </c>
      <c r="AO19" s="190">
        <v>0</v>
      </c>
      <c r="AP19" s="190">
        <v>0</v>
      </c>
      <c r="AQ19" s="190">
        <v>0</v>
      </c>
    </row>
    <row r="20" spans="1:43" x14ac:dyDescent="0.25">
      <c r="A20" s="190" t="s">
        <v>236</v>
      </c>
      <c r="B20" s="190">
        <v>1771795359</v>
      </c>
      <c r="C20" s="190">
        <v>1489049816</v>
      </c>
      <c r="D20" s="190">
        <v>1027436471</v>
      </c>
      <c r="E20" s="190">
        <v>1221746751</v>
      </c>
      <c r="F20" s="190">
        <v>674854368</v>
      </c>
      <c r="G20" s="190">
        <v>377688829</v>
      </c>
      <c r="H20" s="190">
        <v>313095792</v>
      </c>
      <c r="I20" s="190">
        <v>953701472</v>
      </c>
      <c r="J20" s="190">
        <v>588390924</v>
      </c>
      <c r="K20" s="190">
        <v>340515564</v>
      </c>
      <c r="L20" s="190">
        <v>88655660</v>
      </c>
      <c r="M20" s="190">
        <v>570737361</v>
      </c>
      <c r="N20" s="190">
        <v>32393046</v>
      </c>
      <c r="O20" s="190">
        <v>27343264</v>
      </c>
      <c r="P20" s="190">
        <v>6175950</v>
      </c>
      <c r="Q20" s="190">
        <v>98075050</v>
      </c>
      <c r="R20" s="190">
        <v>7555081</v>
      </c>
      <c r="S20" s="190">
        <v>5550565</v>
      </c>
      <c r="T20" s="190">
        <v>3593987</v>
      </c>
      <c r="U20" s="190">
        <v>161016275</v>
      </c>
      <c r="V20" s="190">
        <v>30663981</v>
      </c>
      <c r="W20" s="190">
        <v>22700712</v>
      </c>
      <c r="X20" s="190">
        <v>20675799</v>
      </c>
      <c r="Y20" s="190">
        <v>43809273</v>
      </c>
      <c r="Z20" s="190">
        <v>37879171</v>
      </c>
      <c r="AA20" s="190">
        <v>19807329</v>
      </c>
      <c r="AB20" s="190">
        <v>51925</v>
      </c>
      <c r="AC20" s="190">
        <v>2458071</v>
      </c>
      <c r="AD20" s="190">
        <v>8606655</v>
      </c>
      <c r="AE20" s="190">
        <v>5412622</v>
      </c>
      <c r="AF20" s="190">
        <v>160290</v>
      </c>
      <c r="AG20" s="190">
        <v>2205814</v>
      </c>
      <c r="AH20" s="190">
        <v>6114901</v>
      </c>
      <c r="AI20" s="190">
        <v>2694561</v>
      </c>
      <c r="AJ20" s="190">
        <v>2959698</v>
      </c>
      <c r="AK20" s="190">
        <v>1215551</v>
      </c>
      <c r="AL20" s="190">
        <v>3318835</v>
      </c>
      <c r="AM20" s="190">
        <v>2475268</v>
      </c>
      <c r="AN20" s="190">
        <v>9960155</v>
      </c>
      <c r="AO20" s="190">
        <v>3698117</v>
      </c>
      <c r="AP20" s="190">
        <v>2485264</v>
      </c>
      <c r="AQ20" s="190">
        <v>0</v>
      </c>
    </row>
    <row r="21" spans="1:43" x14ac:dyDescent="0.25">
      <c r="A21" s="190" t="s">
        <v>237</v>
      </c>
      <c r="B21" s="190">
        <v>721592347</v>
      </c>
      <c r="C21" s="190">
        <v>704553527</v>
      </c>
      <c r="D21" s="190">
        <v>349576258</v>
      </c>
      <c r="E21" s="190">
        <v>1477168507</v>
      </c>
      <c r="F21" s="190">
        <v>1263699240</v>
      </c>
      <c r="G21" s="190">
        <v>825986722</v>
      </c>
      <c r="H21" s="190">
        <v>419409764</v>
      </c>
      <c r="I21" s="190">
        <v>1369460895</v>
      </c>
      <c r="J21" s="190">
        <v>955386145</v>
      </c>
      <c r="K21" s="190">
        <v>688223065</v>
      </c>
      <c r="L21" s="190">
        <v>391690723</v>
      </c>
      <c r="M21" s="190">
        <v>1840081290</v>
      </c>
      <c r="N21" s="190">
        <v>1466926071</v>
      </c>
      <c r="O21" s="190">
        <v>1114369623</v>
      </c>
      <c r="P21" s="190">
        <v>627854220</v>
      </c>
      <c r="Q21" s="190">
        <v>2757684873</v>
      </c>
      <c r="R21" s="190">
        <v>1928044869</v>
      </c>
      <c r="S21" s="190">
        <v>1105181015</v>
      </c>
      <c r="T21" s="190">
        <v>484881041</v>
      </c>
      <c r="U21" s="190">
        <v>2258854352</v>
      </c>
      <c r="V21" s="190">
        <v>1563700616</v>
      </c>
      <c r="W21" s="190">
        <v>1232681487</v>
      </c>
      <c r="X21" s="190">
        <v>571310898</v>
      </c>
      <c r="Y21" s="190">
        <v>2773525501</v>
      </c>
      <c r="Z21" s="190">
        <v>2133554874</v>
      </c>
      <c r="AA21" s="190">
        <v>1312501231</v>
      </c>
      <c r="AB21" s="190">
        <v>701016269</v>
      </c>
      <c r="AC21" s="190">
        <v>2004657611</v>
      </c>
      <c r="AD21" s="190">
        <v>1546377831</v>
      </c>
      <c r="AE21" s="190">
        <v>938470181</v>
      </c>
      <c r="AF21" s="190">
        <v>397055490</v>
      </c>
      <c r="AG21" s="190">
        <v>647218454</v>
      </c>
      <c r="AH21" s="190">
        <v>379242190</v>
      </c>
      <c r="AI21" s="190">
        <v>206409446</v>
      </c>
      <c r="AJ21" s="190">
        <v>135232004</v>
      </c>
      <c r="AK21" s="190">
        <v>275287085</v>
      </c>
      <c r="AL21" s="190">
        <v>222425482</v>
      </c>
      <c r="AM21" s="190">
        <v>78123391</v>
      </c>
      <c r="AN21" s="190">
        <v>47842147</v>
      </c>
      <c r="AO21" s="190">
        <v>226580229</v>
      </c>
      <c r="AP21" s="190">
        <v>175048260</v>
      </c>
      <c r="AQ21" s="190">
        <v>0</v>
      </c>
    </row>
    <row r="22" spans="1:43" x14ac:dyDescent="0.25">
      <c r="A22" s="190" t="s">
        <v>238</v>
      </c>
      <c r="B22" s="190">
        <v>2184600</v>
      </c>
      <c r="C22" s="190">
        <v>2184600</v>
      </c>
      <c r="D22" s="190">
        <v>0</v>
      </c>
      <c r="E22" s="190">
        <v>497221218</v>
      </c>
      <c r="F22" s="190">
        <v>409618666</v>
      </c>
      <c r="G22" s="190">
        <v>230209509</v>
      </c>
      <c r="H22" s="190">
        <v>164038118</v>
      </c>
      <c r="I22" s="190">
        <v>613694705</v>
      </c>
      <c r="J22" s="190">
        <v>476417634</v>
      </c>
      <c r="K22" s="190">
        <v>283881667</v>
      </c>
      <c r="L22" s="190">
        <v>241398968</v>
      </c>
      <c r="M22" s="190">
        <v>50328901</v>
      </c>
      <c r="N22" s="190">
        <v>500000</v>
      </c>
      <c r="O22" s="190">
        <v>0</v>
      </c>
      <c r="P22" s="190">
        <v>0</v>
      </c>
      <c r="Q22" s="190">
        <v>328891129</v>
      </c>
      <c r="R22" s="190">
        <v>330319591</v>
      </c>
      <c r="S22" s="190">
        <v>315832880</v>
      </c>
      <c r="T22" s="190">
        <v>0</v>
      </c>
      <c r="U22" s="190">
        <v>0</v>
      </c>
      <c r="V22" s="190">
        <v>0</v>
      </c>
      <c r="W22" s="190">
        <v>0</v>
      </c>
      <c r="X22" s="190">
        <v>0</v>
      </c>
      <c r="Y22" s="190">
        <v>13000000</v>
      </c>
      <c r="Z22" s="190">
        <v>13000000</v>
      </c>
      <c r="AA22" s="190">
        <v>13000000</v>
      </c>
      <c r="AB22" s="190">
        <v>0</v>
      </c>
      <c r="AC22" s="190">
        <v>19000000</v>
      </c>
      <c r="AD22" s="190">
        <v>10000000</v>
      </c>
      <c r="AE22" s="190">
        <v>0</v>
      </c>
      <c r="AF22" s="190">
        <v>0</v>
      </c>
      <c r="AG22" s="190">
        <v>38947025</v>
      </c>
      <c r="AH22" s="190">
        <v>46171520</v>
      </c>
      <c r="AI22" s="190">
        <v>0</v>
      </c>
      <c r="AJ22" s="190">
        <v>0</v>
      </c>
      <c r="AK22" s="190">
        <v>45000000</v>
      </c>
      <c r="AL22" s="190">
        <v>20554907</v>
      </c>
      <c r="AM22" s="190">
        <v>0</v>
      </c>
      <c r="AN22" s="190">
        <v>0</v>
      </c>
      <c r="AO22" s="190">
        <v>11600000</v>
      </c>
      <c r="AP22" s="190">
        <v>960000</v>
      </c>
      <c r="AQ22" s="190">
        <v>0</v>
      </c>
    </row>
    <row r="23" spans="1:43" x14ac:dyDescent="0.25">
      <c r="A23" s="190" t="s">
        <v>239</v>
      </c>
      <c r="B23" s="190">
        <v>0</v>
      </c>
      <c r="C23" s="190">
        <v>0</v>
      </c>
      <c r="D23" s="190">
        <v>0</v>
      </c>
      <c r="E23" s="190">
        <v>19565903</v>
      </c>
      <c r="F23" s="190">
        <v>0</v>
      </c>
      <c r="G23" s="190">
        <v>0</v>
      </c>
      <c r="H23" s="190">
        <v>0</v>
      </c>
      <c r="I23" s="190">
        <v>29940564</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13000000</v>
      </c>
      <c r="AC23" s="190">
        <v>589517291</v>
      </c>
      <c r="AD23" s="190">
        <v>507317287</v>
      </c>
      <c r="AE23" s="190">
        <v>507317287</v>
      </c>
      <c r="AF23" s="190">
        <v>162460982</v>
      </c>
      <c r="AG23" s="190">
        <v>268867335</v>
      </c>
      <c r="AH23" s="190">
        <v>0</v>
      </c>
      <c r="AI23" s="190">
        <v>0</v>
      </c>
      <c r="AJ23" s="190">
        <v>0</v>
      </c>
      <c r="AK23" s="190">
        <v>0</v>
      </c>
      <c r="AL23" s="190">
        <v>0</v>
      </c>
      <c r="AM23" s="190">
        <v>0</v>
      </c>
      <c r="AN23" s="190">
        <v>0</v>
      </c>
      <c r="AO23" s="190">
        <v>0</v>
      </c>
      <c r="AP23" s="190">
        <v>-948639</v>
      </c>
      <c r="AQ23" s="190">
        <v>0</v>
      </c>
    </row>
    <row r="24" spans="1:43" x14ac:dyDescent="0.25">
      <c r="A24" s="190" t="s">
        <v>240</v>
      </c>
      <c r="B24" s="190">
        <v>1141000000</v>
      </c>
      <c r="C24" s="190">
        <v>1033000000</v>
      </c>
      <c r="D24" s="190">
        <v>658000000</v>
      </c>
      <c r="E24" s="190">
        <v>1506500000</v>
      </c>
      <c r="F24" s="190">
        <v>996500000</v>
      </c>
      <c r="G24" s="190">
        <v>369500000</v>
      </c>
      <c r="H24" s="190">
        <v>183000000</v>
      </c>
      <c r="I24" s="190">
        <v>730000000</v>
      </c>
      <c r="J24" s="190">
        <v>570000000</v>
      </c>
      <c r="K24" s="190">
        <v>410443400</v>
      </c>
      <c r="L24" s="190">
        <v>220000000</v>
      </c>
      <c r="M24" s="190">
        <v>780000000</v>
      </c>
      <c r="N24" s="190">
        <v>80000000</v>
      </c>
      <c r="O24" s="190">
        <v>40000000</v>
      </c>
      <c r="P24" s="190">
        <v>0</v>
      </c>
      <c r="Q24" s="190">
        <v>0</v>
      </c>
      <c r="R24" s="190">
        <v>0</v>
      </c>
      <c r="S24" s="190">
        <v>0</v>
      </c>
      <c r="T24" s="190">
        <v>0</v>
      </c>
      <c r="U24" s="190">
        <v>6424806</v>
      </c>
      <c r="V24" s="190">
        <v>0</v>
      </c>
      <c r="W24" s="190">
        <v>0</v>
      </c>
      <c r="X24" s="190">
        <v>0</v>
      </c>
      <c r="Y24" s="190">
        <v>12000000</v>
      </c>
      <c r="Z24" s="190">
        <v>0</v>
      </c>
      <c r="AA24" s="190">
        <v>0</v>
      </c>
      <c r="AB24" s="190">
        <v>0</v>
      </c>
      <c r="AC24" s="190">
        <v>0</v>
      </c>
      <c r="AD24" s="190">
        <v>0</v>
      </c>
      <c r="AE24" s="190">
        <v>0</v>
      </c>
      <c r="AF24" s="190">
        <v>200000000</v>
      </c>
      <c r="AG24" s="190">
        <v>5000000</v>
      </c>
      <c r="AH24" s="190">
        <v>62000000</v>
      </c>
      <c r="AI24" s="190">
        <v>0</v>
      </c>
      <c r="AJ24" s="190">
        <v>0</v>
      </c>
      <c r="AK24" s="190">
        <v>0</v>
      </c>
      <c r="AL24" s="190">
        <v>0</v>
      </c>
      <c r="AM24" s="190">
        <v>0</v>
      </c>
      <c r="AN24" s="190">
        <v>-341955</v>
      </c>
      <c r="AO24" s="190">
        <v>0</v>
      </c>
      <c r="AP24" s="190">
        <v>0</v>
      </c>
      <c r="AQ24" s="190">
        <v>0</v>
      </c>
    </row>
    <row r="25" spans="1:43" x14ac:dyDescent="0.25">
      <c r="A25" s="190" t="s">
        <v>241</v>
      </c>
      <c r="B25" s="190">
        <v>1864776947</v>
      </c>
      <c r="C25" s="190">
        <v>1739738127</v>
      </c>
      <c r="D25" s="190">
        <v>1007576258</v>
      </c>
      <c r="E25" s="190">
        <v>3500455628</v>
      </c>
      <c r="F25" s="190">
        <v>2669817906</v>
      </c>
      <c r="G25" s="190">
        <v>1425696231</v>
      </c>
      <c r="H25" s="190">
        <v>766447882</v>
      </c>
      <c r="I25" s="190">
        <v>2743096164</v>
      </c>
      <c r="J25" s="190">
        <v>2001803779</v>
      </c>
      <c r="K25" s="190">
        <v>1382548132</v>
      </c>
      <c r="L25" s="190">
        <v>853089691</v>
      </c>
      <c r="M25" s="190">
        <v>2670410191</v>
      </c>
      <c r="N25" s="190">
        <v>1547426071</v>
      </c>
      <c r="O25" s="190">
        <v>1154369623</v>
      </c>
      <c r="P25" s="190">
        <v>627854220</v>
      </c>
      <c r="Q25" s="190">
        <v>3086576002</v>
      </c>
      <c r="R25" s="190">
        <v>2258364460</v>
      </c>
      <c r="S25" s="190">
        <v>1421013895</v>
      </c>
      <c r="T25" s="190">
        <v>484881041</v>
      </c>
      <c r="U25" s="190">
        <v>2265279158</v>
      </c>
      <c r="V25" s="190">
        <v>1563700616</v>
      </c>
      <c r="W25" s="190">
        <v>1232681487</v>
      </c>
      <c r="X25" s="190">
        <v>571310898</v>
      </c>
      <c r="Y25" s="190">
        <v>2798525501</v>
      </c>
      <c r="Z25" s="190">
        <v>2146554874</v>
      </c>
      <c r="AA25" s="190">
        <v>1325501231</v>
      </c>
      <c r="AB25" s="190">
        <v>714016269</v>
      </c>
      <c r="AC25" s="190">
        <v>2613174902</v>
      </c>
      <c r="AD25" s="190">
        <v>2063695118</v>
      </c>
      <c r="AE25" s="190">
        <v>1445787468</v>
      </c>
      <c r="AF25" s="190">
        <v>759516472</v>
      </c>
      <c r="AG25" s="190">
        <v>960032814</v>
      </c>
      <c r="AH25" s="190">
        <v>487413710</v>
      </c>
      <c r="AI25" s="190">
        <v>206409446</v>
      </c>
      <c r="AJ25" s="190">
        <v>135232004</v>
      </c>
      <c r="AK25" s="190">
        <v>320287085</v>
      </c>
      <c r="AL25" s="190">
        <v>242980389</v>
      </c>
      <c r="AM25" s="190">
        <v>78123391</v>
      </c>
      <c r="AN25" s="190">
        <v>47500192</v>
      </c>
      <c r="AO25" s="190">
        <v>238180229</v>
      </c>
      <c r="AP25" s="190">
        <v>175059621</v>
      </c>
      <c r="AQ25" s="190">
        <v>0</v>
      </c>
    </row>
    <row r="26" spans="1:43" x14ac:dyDescent="0.25">
      <c r="A26" s="190" t="s">
        <v>242</v>
      </c>
      <c r="B26" s="190">
        <v>-92981588</v>
      </c>
      <c r="C26" s="190">
        <v>-250688311</v>
      </c>
      <c r="D26" s="190">
        <v>19860213</v>
      </c>
      <c r="E26" s="190">
        <v>-2278708877</v>
      </c>
      <c r="F26" s="190">
        <v>-1994963538</v>
      </c>
      <c r="G26" s="190">
        <v>-1048007402</v>
      </c>
      <c r="H26" s="190">
        <v>-453352090</v>
      </c>
      <c r="I26" s="190">
        <v>-1789394692</v>
      </c>
      <c r="J26" s="190">
        <v>-1413412855</v>
      </c>
      <c r="K26" s="190">
        <v>-1042032568</v>
      </c>
      <c r="L26" s="190">
        <v>-764434031</v>
      </c>
      <c r="M26" s="190">
        <v>-2099672830</v>
      </c>
      <c r="N26" s="190">
        <v>-1515033025</v>
      </c>
      <c r="O26" s="190">
        <v>-1127026359</v>
      </c>
      <c r="P26" s="190">
        <v>-621678270</v>
      </c>
      <c r="Q26" s="190">
        <v>-2988500952</v>
      </c>
      <c r="R26" s="190">
        <v>-2250809379</v>
      </c>
      <c r="S26" s="190">
        <v>-1415463330</v>
      </c>
      <c r="T26" s="190">
        <v>-481287054</v>
      </c>
      <c r="U26" s="190">
        <v>-2104262883</v>
      </c>
      <c r="V26" s="190">
        <v>-1533036635</v>
      </c>
      <c r="W26" s="190">
        <v>-1209980775</v>
      </c>
      <c r="X26" s="190">
        <v>-550635099</v>
      </c>
      <c r="Y26" s="190">
        <v>-2754716228</v>
      </c>
      <c r="Z26" s="190">
        <v>-2108675703</v>
      </c>
      <c r="AA26" s="190">
        <v>-1305693902</v>
      </c>
      <c r="AB26" s="190">
        <v>-713964344</v>
      </c>
      <c r="AC26" s="190">
        <v>-2610716831</v>
      </c>
      <c r="AD26" s="190">
        <v>-2055088463</v>
      </c>
      <c r="AE26" s="190">
        <v>-1440374846</v>
      </c>
      <c r="AF26" s="190">
        <v>-759356182</v>
      </c>
      <c r="AG26" s="190">
        <v>-957827000</v>
      </c>
      <c r="AH26" s="190">
        <v>-481298809</v>
      </c>
      <c r="AI26" s="190">
        <v>-203714885</v>
      </c>
      <c r="AJ26" s="190">
        <v>-132272306</v>
      </c>
      <c r="AK26" s="190">
        <v>-319071534</v>
      </c>
      <c r="AL26" s="190">
        <v>-239661554</v>
      </c>
      <c r="AM26" s="190">
        <v>-75648123</v>
      </c>
      <c r="AN26" s="190">
        <v>-37540037</v>
      </c>
      <c r="AO26" s="190">
        <v>-234482112</v>
      </c>
      <c r="AP26" s="190">
        <v>-172574357</v>
      </c>
      <c r="AQ26" s="190">
        <v>0</v>
      </c>
    </row>
    <row r="27" spans="1:43" x14ac:dyDescent="0.25">
      <c r="A27" s="190" t="s">
        <v>243</v>
      </c>
    </row>
    <row r="28" spans="1:43" x14ac:dyDescent="0.25">
      <c r="A28" s="190" t="s">
        <v>244</v>
      </c>
      <c r="B28" s="190">
        <v>0</v>
      </c>
      <c r="C28" s="190">
        <v>0</v>
      </c>
      <c r="D28" s="190">
        <v>0</v>
      </c>
      <c r="E28" s="190">
        <v>2488750</v>
      </c>
      <c r="F28" s="190">
        <v>0</v>
      </c>
      <c r="G28" s="190">
        <v>0</v>
      </c>
      <c r="H28" s="190">
        <v>0</v>
      </c>
      <c r="I28" s="190">
        <v>0</v>
      </c>
      <c r="J28" s="190">
        <v>0</v>
      </c>
      <c r="K28" s="190">
        <v>0</v>
      </c>
      <c r="L28" s="190">
        <v>0</v>
      </c>
      <c r="M28" s="190">
        <v>300000</v>
      </c>
      <c r="N28" s="190">
        <v>300000</v>
      </c>
      <c r="O28" s="190">
        <v>300000</v>
      </c>
      <c r="P28" s="190">
        <v>0</v>
      </c>
      <c r="Q28" s="190">
        <v>0</v>
      </c>
      <c r="R28" s="190">
        <v>0</v>
      </c>
      <c r="S28" s="190">
        <v>0</v>
      </c>
      <c r="T28" s="190">
        <v>0</v>
      </c>
      <c r="U28" s="190">
        <v>6424806</v>
      </c>
      <c r="V28" s="190">
        <v>0</v>
      </c>
      <c r="W28" s="190">
        <v>0</v>
      </c>
      <c r="X28" s="190">
        <v>0</v>
      </c>
      <c r="Y28" s="190">
        <v>4766310</v>
      </c>
      <c r="Z28" s="190">
        <v>0</v>
      </c>
      <c r="AA28" s="190">
        <v>0</v>
      </c>
      <c r="AB28" s="190">
        <v>0</v>
      </c>
      <c r="AC28" s="190">
        <v>250000</v>
      </c>
      <c r="AD28" s="190">
        <v>0</v>
      </c>
      <c r="AE28" s="190">
        <v>0</v>
      </c>
      <c r="AF28" s="190">
        <v>0</v>
      </c>
      <c r="AG28" s="190">
        <v>4865411000</v>
      </c>
      <c r="AH28" s="190">
        <v>5001600000</v>
      </c>
      <c r="AI28" s="190">
        <v>5001600000</v>
      </c>
      <c r="AJ28" s="190">
        <v>0</v>
      </c>
      <c r="AK28" s="190">
        <v>0</v>
      </c>
      <c r="AL28" s="190">
        <v>0</v>
      </c>
      <c r="AM28" s="190">
        <v>0</v>
      </c>
      <c r="AN28" s="190">
        <v>0</v>
      </c>
      <c r="AO28" s="190">
        <v>200000000</v>
      </c>
      <c r="AP28" s="190">
        <v>20000000</v>
      </c>
      <c r="AQ28" s="190">
        <v>0</v>
      </c>
    </row>
    <row r="29" spans="1:43" x14ac:dyDescent="0.25">
      <c r="A29" s="190" t="s">
        <v>245</v>
      </c>
      <c r="B29" s="190">
        <v>0</v>
      </c>
      <c r="C29" s="190">
        <v>0</v>
      </c>
      <c r="D29" s="190">
        <v>0</v>
      </c>
      <c r="E29" s="190">
        <v>2488750</v>
      </c>
      <c r="F29" s="190">
        <v>0</v>
      </c>
      <c r="G29" s="190">
        <v>0</v>
      </c>
      <c r="H29" s="190">
        <v>0</v>
      </c>
      <c r="I29" s="190">
        <v>0</v>
      </c>
      <c r="J29" s="190">
        <v>0</v>
      </c>
      <c r="K29" s="190">
        <v>0</v>
      </c>
      <c r="L29" s="190">
        <v>0</v>
      </c>
      <c r="M29" s="190">
        <v>300000</v>
      </c>
      <c r="N29" s="190">
        <v>300000</v>
      </c>
      <c r="O29" s="190">
        <v>300000</v>
      </c>
      <c r="P29" s="190">
        <v>0</v>
      </c>
      <c r="Q29" s="190">
        <v>0</v>
      </c>
      <c r="R29" s="190">
        <v>0</v>
      </c>
      <c r="S29" s="190">
        <v>0</v>
      </c>
      <c r="T29" s="190">
        <v>0</v>
      </c>
      <c r="U29" s="190">
        <v>6424806</v>
      </c>
      <c r="V29" s="190">
        <v>0</v>
      </c>
      <c r="W29" s="190">
        <v>0</v>
      </c>
      <c r="X29" s="190">
        <v>0</v>
      </c>
      <c r="Y29" s="190">
        <v>4766310</v>
      </c>
      <c r="Z29" s="190">
        <v>0</v>
      </c>
      <c r="AA29" s="190">
        <v>0</v>
      </c>
      <c r="AB29" s="190">
        <v>0</v>
      </c>
      <c r="AC29" s="190">
        <v>250000</v>
      </c>
      <c r="AD29" s="190">
        <v>0</v>
      </c>
      <c r="AE29" s="190">
        <v>0</v>
      </c>
      <c r="AF29" s="190">
        <v>0</v>
      </c>
      <c r="AG29" s="190">
        <v>56500000</v>
      </c>
      <c r="AH29" s="190">
        <v>0</v>
      </c>
      <c r="AI29" s="190">
        <v>0</v>
      </c>
      <c r="AJ29" s="190">
        <v>0</v>
      </c>
      <c r="AK29" s="190">
        <v>0</v>
      </c>
      <c r="AL29" s="190">
        <v>0</v>
      </c>
      <c r="AM29" s="190">
        <v>0</v>
      </c>
      <c r="AN29" s="190">
        <v>0</v>
      </c>
      <c r="AO29" s="190">
        <v>0</v>
      </c>
      <c r="AP29" s="190">
        <v>0</v>
      </c>
      <c r="AQ29" s="190">
        <v>0</v>
      </c>
    </row>
    <row r="30" spans="1:43" x14ac:dyDescent="0.25">
      <c r="A30" s="190" t="s">
        <v>246</v>
      </c>
      <c r="B30" s="190">
        <v>2720000000</v>
      </c>
      <c r="C30" s="190">
        <v>1780000000</v>
      </c>
      <c r="D30" s="190">
        <v>840000000</v>
      </c>
      <c r="E30" s="190">
        <v>2778000000</v>
      </c>
      <c r="F30" s="190">
        <v>1668000000</v>
      </c>
      <c r="G30" s="190">
        <v>940000000</v>
      </c>
      <c r="H30" s="190">
        <v>590000000</v>
      </c>
      <c r="I30" s="190">
        <v>3363000000</v>
      </c>
      <c r="J30" s="190">
        <v>1675000000</v>
      </c>
      <c r="K30" s="190">
        <v>1205000000</v>
      </c>
      <c r="L30" s="190">
        <v>455000000</v>
      </c>
      <c r="M30" s="190">
        <v>3398000000</v>
      </c>
      <c r="N30" s="190">
        <v>3563180957</v>
      </c>
      <c r="O30" s="190">
        <v>1695610273</v>
      </c>
      <c r="P30" s="190">
        <v>895687429</v>
      </c>
      <c r="Q30" s="190">
        <v>2948908063</v>
      </c>
      <c r="R30" s="190">
        <v>2336378392</v>
      </c>
      <c r="S30" s="190">
        <v>1060378391</v>
      </c>
      <c r="T30" s="190">
        <v>570000000</v>
      </c>
      <c r="U30" s="190">
        <v>2133537400</v>
      </c>
      <c r="V30" s="190">
        <v>1510442200</v>
      </c>
      <c r="W30" s="190">
        <v>470000000</v>
      </c>
      <c r="X30" s="190">
        <v>0</v>
      </c>
      <c r="Y30" s="190">
        <v>1047800000</v>
      </c>
      <c r="Z30" s="190">
        <v>1065400000</v>
      </c>
      <c r="AA30" s="190">
        <v>1105400000</v>
      </c>
      <c r="AB30" s="190">
        <v>392800000</v>
      </c>
      <c r="AC30" s="190">
        <v>995300000</v>
      </c>
      <c r="AD30" s="190">
        <v>677163198</v>
      </c>
      <c r="AE30" s="190">
        <v>640444705</v>
      </c>
      <c r="AF30" s="190">
        <v>312500000</v>
      </c>
      <c r="AG30" s="190">
        <v>969000000</v>
      </c>
      <c r="AH30" s="190">
        <v>590000000</v>
      </c>
      <c r="AI30" s="190">
        <v>570000000</v>
      </c>
      <c r="AJ30" s="190">
        <v>290000000</v>
      </c>
      <c r="AK30" s="190">
        <v>1023600000</v>
      </c>
      <c r="AL30" s="190">
        <v>717100000</v>
      </c>
      <c r="AM30" s="190">
        <v>594400000</v>
      </c>
      <c r="AN30" s="190">
        <v>132700000</v>
      </c>
      <c r="AO30" s="190">
        <v>534240000</v>
      </c>
      <c r="AP30" s="190">
        <v>431398060</v>
      </c>
      <c r="AQ30" s="190">
        <v>0</v>
      </c>
    </row>
    <row r="31" spans="1:43" x14ac:dyDescent="0.25">
      <c r="A31" s="190" t="s">
        <v>247</v>
      </c>
      <c r="B31" s="190">
        <v>4793858113</v>
      </c>
      <c r="C31" s="190">
        <v>3395597358</v>
      </c>
      <c r="D31" s="190">
        <v>3395597358</v>
      </c>
      <c r="E31" s="190">
        <v>7779863680</v>
      </c>
      <c r="F31" s="190">
        <v>6281800494</v>
      </c>
      <c r="G31" s="190">
        <v>3788450872</v>
      </c>
      <c r="H31" s="190">
        <v>1791325400</v>
      </c>
      <c r="I31" s="190">
        <v>2495088400</v>
      </c>
      <c r="J31" s="190">
        <v>2500000000</v>
      </c>
      <c r="K31" s="190">
        <v>997886000</v>
      </c>
      <c r="L31" s="190">
        <v>498650000</v>
      </c>
      <c r="M31" s="190">
        <v>1493665849</v>
      </c>
      <c r="N31" s="190">
        <v>0</v>
      </c>
      <c r="O31" s="190">
        <v>0</v>
      </c>
      <c r="P31" s="190">
        <v>0</v>
      </c>
      <c r="Q31" s="190">
        <v>0</v>
      </c>
      <c r="R31" s="190">
        <v>0</v>
      </c>
      <c r="S31" s="190">
        <v>0</v>
      </c>
      <c r="T31" s="190">
        <v>0</v>
      </c>
      <c r="U31" s="190">
        <v>1383400000</v>
      </c>
      <c r="V31" s="190">
        <v>1383400000</v>
      </c>
      <c r="W31" s="190">
        <v>1383400000</v>
      </c>
      <c r="X31" s="190">
        <v>1383400000</v>
      </c>
      <c r="Y31" s="190">
        <v>3771040000</v>
      </c>
      <c r="Z31" s="190">
        <v>2289040000</v>
      </c>
      <c r="AA31" s="190">
        <v>2289040000</v>
      </c>
      <c r="AB31" s="190">
        <v>0</v>
      </c>
      <c r="AC31" s="190">
        <v>497780000</v>
      </c>
      <c r="AD31" s="190">
        <v>497780000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196381167</v>
      </c>
      <c r="C32" s="190">
        <v>109570921</v>
      </c>
      <c r="D32" s="190">
        <v>85094527</v>
      </c>
      <c r="E32" s="190">
        <v>462382721</v>
      </c>
      <c r="F32" s="190">
        <v>369250491</v>
      </c>
      <c r="G32" s="190">
        <v>216536812</v>
      </c>
      <c r="H32" s="190">
        <v>82565230</v>
      </c>
      <c r="I32" s="190">
        <v>208982459</v>
      </c>
      <c r="J32" s="190">
        <v>64620304</v>
      </c>
      <c r="K32" s="190">
        <v>13069386</v>
      </c>
      <c r="L32" s="190">
        <v>8507399</v>
      </c>
      <c r="M32" s="190">
        <v>654837175</v>
      </c>
      <c r="N32" s="190">
        <v>427920748</v>
      </c>
      <c r="O32" s="190">
        <v>427920748</v>
      </c>
      <c r="P32" s="190">
        <v>0</v>
      </c>
      <c r="Q32" s="190">
        <v>637200163</v>
      </c>
      <c r="R32" s="190">
        <v>0</v>
      </c>
      <c r="S32" s="190">
        <v>0</v>
      </c>
      <c r="T32" s="190">
        <v>878953</v>
      </c>
      <c r="U32" s="190">
        <v>7842680</v>
      </c>
      <c r="V32" s="190">
        <v>0</v>
      </c>
      <c r="W32" s="190">
        <v>0</v>
      </c>
      <c r="X32" s="190">
        <v>0</v>
      </c>
      <c r="Y32" s="190">
        <v>19921674</v>
      </c>
      <c r="Z32" s="190">
        <v>0</v>
      </c>
      <c r="AA32" s="190">
        <v>11530256</v>
      </c>
      <c r="AB32" s="190">
        <v>2966536</v>
      </c>
      <c r="AC32" s="190">
        <v>19441722</v>
      </c>
      <c r="AD32" s="190">
        <v>11479203</v>
      </c>
      <c r="AE32" s="190">
        <v>0</v>
      </c>
      <c r="AF32" s="190">
        <v>10152305</v>
      </c>
      <c r="AG32" s="190">
        <v>132878742</v>
      </c>
      <c r="AH32" s="190">
        <v>141468122</v>
      </c>
      <c r="AI32" s="190">
        <v>171834106</v>
      </c>
      <c r="AJ32" s="190">
        <v>0</v>
      </c>
      <c r="AK32" s="190">
        <v>0</v>
      </c>
      <c r="AL32" s="190">
        <v>0</v>
      </c>
      <c r="AM32" s="190">
        <v>0</v>
      </c>
      <c r="AN32" s="190">
        <v>0</v>
      </c>
      <c r="AO32" s="190">
        <v>0</v>
      </c>
      <c r="AP32" s="190">
        <v>9835079</v>
      </c>
      <c r="AQ32" s="190">
        <v>0</v>
      </c>
    </row>
    <row r="33" spans="1:43" x14ac:dyDescent="0.25">
      <c r="A33" s="190" t="s">
        <v>249</v>
      </c>
      <c r="B33" s="190">
        <v>7710239280</v>
      </c>
      <c r="C33" s="190">
        <v>5285168279</v>
      </c>
      <c r="D33" s="190">
        <v>4320691885</v>
      </c>
      <c r="E33" s="190">
        <v>11022735151</v>
      </c>
      <c r="F33" s="190">
        <v>8319050985</v>
      </c>
      <c r="G33" s="190">
        <v>4944987684</v>
      </c>
      <c r="H33" s="190">
        <v>2463890630</v>
      </c>
      <c r="I33" s="190">
        <v>6067070859</v>
      </c>
      <c r="J33" s="190">
        <v>4239620304</v>
      </c>
      <c r="K33" s="190">
        <v>2215955386</v>
      </c>
      <c r="L33" s="190">
        <v>962157399</v>
      </c>
      <c r="M33" s="190">
        <v>5546803024</v>
      </c>
      <c r="N33" s="190">
        <v>3991401705</v>
      </c>
      <c r="O33" s="190">
        <v>2123831021</v>
      </c>
      <c r="P33" s="190">
        <v>895687429</v>
      </c>
      <c r="Q33" s="190">
        <v>3586108226</v>
      </c>
      <c r="R33" s="190">
        <v>2336378392</v>
      </c>
      <c r="S33" s="190">
        <v>1060378391</v>
      </c>
      <c r="T33" s="190">
        <v>570878953</v>
      </c>
      <c r="U33" s="190">
        <v>3531204886</v>
      </c>
      <c r="V33" s="190">
        <v>2893842200</v>
      </c>
      <c r="W33" s="190">
        <v>1853400000</v>
      </c>
      <c r="X33" s="190">
        <v>1383400000</v>
      </c>
      <c r="Y33" s="190">
        <v>4843527984</v>
      </c>
      <c r="Z33" s="190">
        <v>3354440000</v>
      </c>
      <c r="AA33" s="190">
        <v>3405970256</v>
      </c>
      <c r="AB33" s="190">
        <v>395766536</v>
      </c>
      <c r="AC33" s="190">
        <v>1512771722</v>
      </c>
      <c r="AD33" s="190">
        <v>1186422401</v>
      </c>
      <c r="AE33" s="190">
        <v>640444705</v>
      </c>
      <c r="AF33" s="190">
        <v>322652305</v>
      </c>
      <c r="AG33" s="190">
        <v>5967289742</v>
      </c>
      <c r="AH33" s="190">
        <v>5733068122</v>
      </c>
      <c r="AI33" s="190">
        <v>5743434106</v>
      </c>
      <c r="AJ33" s="190">
        <v>290000000</v>
      </c>
      <c r="AK33" s="190">
        <v>1023600000</v>
      </c>
      <c r="AL33" s="190">
        <v>717100000</v>
      </c>
      <c r="AM33" s="190">
        <v>594400000</v>
      </c>
      <c r="AN33" s="190">
        <v>132700000</v>
      </c>
      <c r="AO33" s="190">
        <v>734240000</v>
      </c>
      <c r="AP33" s="190">
        <v>461233139</v>
      </c>
      <c r="AQ33" s="190">
        <v>0</v>
      </c>
    </row>
    <row r="34" spans="1:43" x14ac:dyDescent="0.25">
      <c r="A34" s="190" t="s">
        <v>250</v>
      </c>
      <c r="B34" s="190">
        <v>7659772944</v>
      </c>
      <c r="C34" s="190">
        <v>5815376727</v>
      </c>
      <c r="D34" s="190">
        <v>4141434881</v>
      </c>
      <c r="E34" s="190">
        <v>8666817683</v>
      </c>
      <c r="F34" s="190">
        <v>5992190961</v>
      </c>
      <c r="G34" s="190">
        <v>4181472126</v>
      </c>
      <c r="H34" s="190">
        <v>920637656</v>
      </c>
      <c r="I34" s="190">
        <v>5526989372</v>
      </c>
      <c r="J34" s="190">
        <v>3482168188</v>
      </c>
      <c r="K34" s="190">
        <v>1241125261</v>
      </c>
      <c r="L34" s="190">
        <v>210549075</v>
      </c>
      <c r="M34" s="190">
        <v>3035249627</v>
      </c>
      <c r="N34" s="190">
        <v>2115624634</v>
      </c>
      <c r="O34" s="190">
        <v>1346583964</v>
      </c>
      <c r="P34" s="190">
        <v>570000000</v>
      </c>
      <c r="Q34" s="190">
        <v>1507718518</v>
      </c>
      <c r="R34" s="190">
        <v>930558918</v>
      </c>
      <c r="S34" s="190">
        <v>330000000</v>
      </c>
      <c r="T34" s="190">
        <v>330000000</v>
      </c>
      <c r="U34" s="190">
        <v>2136537400</v>
      </c>
      <c r="V34" s="190">
        <v>1073000000</v>
      </c>
      <c r="W34" s="190">
        <v>1043000000</v>
      </c>
      <c r="X34" s="190">
        <v>140000000</v>
      </c>
      <c r="Y34" s="190">
        <v>1964231732</v>
      </c>
      <c r="Z34" s="190">
        <v>1285600000</v>
      </c>
      <c r="AA34" s="190">
        <v>783600000</v>
      </c>
      <c r="AB34" s="190">
        <v>237500000</v>
      </c>
      <c r="AC34" s="190">
        <v>1125421792</v>
      </c>
      <c r="AD34" s="190">
        <v>610550000</v>
      </c>
      <c r="AE34" s="190">
        <v>528600000</v>
      </c>
      <c r="AF34" s="190">
        <v>247070758</v>
      </c>
      <c r="AG34" s="190">
        <v>1178769599</v>
      </c>
      <c r="AH34" s="190">
        <v>709900000</v>
      </c>
      <c r="AI34" s="190">
        <v>446700000</v>
      </c>
      <c r="AJ34" s="190">
        <v>69851703</v>
      </c>
      <c r="AK34" s="190">
        <v>715705489</v>
      </c>
      <c r="AL34" s="190">
        <v>362100000</v>
      </c>
      <c r="AM34" s="190">
        <v>271310000</v>
      </c>
      <c r="AN34" s="190">
        <v>92700000</v>
      </c>
      <c r="AO34" s="190">
        <v>421990000</v>
      </c>
      <c r="AP34" s="190">
        <v>391312671</v>
      </c>
      <c r="AQ34" s="190">
        <v>0</v>
      </c>
    </row>
    <row r="35" spans="1:43" x14ac:dyDescent="0.25">
      <c r="A35" s="190" t="s">
        <v>551</v>
      </c>
      <c r="B35" s="190">
        <v>876129224</v>
      </c>
      <c r="C35" s="190">
        <v>375144151</v>
      </c>
      <c r="D35" s="190">
        <v>272741047</v>
      </c>
      <c r="E35" s="190">
        <v>675004000</v>
      </c>
      <c r="F35" s="190">
        <v>538421289</v>
      </c>
      <c r="G35" s="190">
        <v>487360009</v>
      </c>
      <c r="H35" s="190">
        <v>113140900</v>
      </c>
      <c r="I35" s="190">
        <v>736467713</v>
      </c>
      <c r="J35" s="190">
        <v>619205089</v>
      </c>
      <c r="K35" s="190">
        <v>461694076</v>
      </c>
      <c r="L35" s="190">
        <v>123414869</v>
      </c>
      <c r="M35" s="190">
        <v>636183790</v>
      </c>
      <c r="N35" s="190">
        <v>482902891</v>
      </c>
      <c r="O35" s="190">
        <v>229249916</v>
      </c>
      <c r="P35" s="190">
        <v>93903667</v>
      </c>
      <c r="Q35" s="190">
        <v>516477599</v>
      </c>
      <c r="R35" s="190">
        <v>394271773</v>
      </c>
      <c r="S35" s="190">
        <v>260475048</v>
      </c>
      <c r="T35" s="190">
        <v>89039379</v>
      </c>
      <c r="U35" s="190">
        <v>410098129</v>
      </c>
      <c r="V35" s="190">
        <v>300844142</v>
      </c>
      <c r="W35" s="190">
        <v>273014623</v>
      </c>
      <c r="X35" s="190">
        <v>6696432</v>
      </c>
      <c r="Y35" s="190">
        <v>222390680</v>
      </c>
      <c r="Z35" s="190">
        <v>220097238</v>
      </c>
      <c r="AA35" s="190">
        <v>164764447</v>
      </c>
      <c r="AB35" s="190">
        <v>20870955</v>
      </c>
      <c r="AC35" s="190">
        <v>216151652</v>
      </c>
      <c r="AD35" s="190">
        <v>181111274</v>
      </c>
      <c r="AE35" s="190">
        <v>163202300</v>
      </c>
      <c r="AF35" s="190">
        <v>13981964</v>
      </c>
      <c r="AG35" s="190">
        <v>56029694</v>
      </c>
      <c r="AH35" s="190">
        <v>40791760</v>
      </c>
      <c r="AI35" s="190">
        <v>29764139</v>
      </c>
      <c r="AJ35" s="190">
        <v>11973388</v>
      </c>
      <c r="AK35" s="190">
        <v>51038882</v>
      </c>
      <c r="AL35" s="190">
        <v>27988505</v>
      </c>
      <c r="AM35" s="190">
        <v>21814719</v>
      </c>
      <c r="AN35" s="190">
        <v>9053219</v>
      </c>
      <c r="AO35" s="190">
        <v>51133060</v>
      </c>
      <c r="AP35" s="190">
        <v>29297488</v>
      </c>
      <c r="AQ35" s="190">
        <v>0</v>
      </c>
    </row>
    <row r="36" spans="1:43" x14ac:dyDescent="0.25">
      <c r="A36" s="190" t="s">
        <v>251</v>
      </c>
      <c r="B36" s="190">
        <v>48960000</v>
      </c>
      <c r="C36" s="190">
        <v>48960000</v>
      </c>
      <c r="D36" s="190">
        <v>18600000</v>
      </c>
      <c r="E36" s="190">
        <v>27940000</v>
      </c>
      <c r="F36" s="190">
        <v>26440000</v>
      </c>
      <c r="G36" s="190">
        <v>26440000</v>
      </c>
      <c r="H36" s="190">
        <v>6200000</v>
      </c>
      <c r="I36" s="190">
        <v>20260000</v>
      </c>
      <c r="J36" s="190">
        <v>20260000</v>
      </c>
      <c r="K36" s="190">
        <v>20260000</v>
      </c>
      <c r="L36" s="190">
        <v>20260000</v>
      </c>
      <c r="M36" s="190">
        <v>14080000</v>
      </c>
      <c r="N36" s="190">
        <v>14080000</v>
      </c>
      <c r="O36" s="190">
        <v>14080000</v>
      </c>
      <c r="P36" s="190">
        <v>0</v>
      </c>
      <c r="Q36" s="190">
        <v>13200000</v>
      </c>
      <c r="R36" s="190">
        <v>13200000</v>
      </c>
      <c r="S36" s="190">
        <v>0</v>
      </c>
      <c r="T36" s="190">
        <v>0</v>
      </c>
      <c r="U36" s="190">
        <v>14507522</v>
      </c>
      <c r="V36" s="190">
        <v>0</v>
      </c>
      <c r="W36" s="190">
        <v>13702322</v>
      </c>
      <c r="X36" s="190">
        <v>0</v>
      </c>
      <c r="Y36" s="190">
        <v>0</v>
      </c>
      <c r="Z36" s="190">
        <v>0</v>
      </c>
      <c r="AA36" s="190">
        <v>0</v>
      </c>
      <c r="AB36" s="190">
        <v>0</v>
      </c>
      <c r="AC36" s="190">
        <v>0</v>
      </c>
      <c r="AD36" s="190">
        <v>0</v>
      </c>
      <c r="AE36" s="190">
        <v>0</v>
      </c>
      <c r="AF36" s="190">
        <v>0</v>
      </c>
      <c r="AG36" s="190">
        <v>785600</v>
      </c>
      <c r="AH36" s="190">
        <v>785600</v>
      </c>
      <c r="AI36" s="190">
        <v>0</v>
      </c>
      <c r="AJ36" s="190">
        <v>0</v>
      </c>
      <c r="AK36" s="190">
        <v>0</v>
      </c>
      <c r="AL36" s="190">
        <v>0</v>
      </c>
      <c r="AM36" s="190">
        <v>0</v>
      </c>
      <c r="AN36" s="190">
        <v>0</v>
      </c>
      <c r="AO36" s="190">
        <v>341956</v>
      </c>
      <c r="AP36" s="190">
        <v>0</v>
      </c>
      <c r="AQ36" s="190">
        <v>0</v>
      </c>
    </row>
    <row r="37" spans="1:43" x14ac:dyDescent="0.25">
      <c r="A37" s="190" t="s">
        <v>252</v>
      </c>
      <c r="B37" s="190">
        <v>73052039</v>
      </c>
      <c r="C37" s="190">
        <v>66360700</v>
      </c>
      <c r="D37" s="190">
        <v>57751116</v>
      </c>
      <c r="E37" s="190">
        <v>469428670</v>
      </c>
      <c r="F37" s="190">
        <v>399686063</v>
      </c>
      <c r="G37" s="190">
        <v>232939252</v>
      </c>
      <c r="H37" s="190">
        <v>99962900</v>
      </c>
      <c r="I37" s="190">
        <v>413227636</v>
      </c>
      <c r="J37" s="190">
        <v>235000308</v>
      </c>
      <c r="K37" s="190">
        <v>163841539</v>
      </c>
      <c r="L37" s="190">
        <v>162742529</v>
      </c>
      <c r="M37" s="190">
        <v>781972292</v>
      </c>
      <c r="N37" s="190">
        <v>570274065</v>
      </c>
      <c r="O37" s="190">
        <v>242539144</v>
      </c>
      <c r="P37" s="190">
        <v>121577089</v>
      </c>
      <c r="Q37" s="190">
        <v>427920748</v>
      </c>
      <c r="R37" s="190">
        <v>76070009</v>
      </c>
      <c r="S37" s="190">
        <v>69685515</v>
      </c>
      <c r="T37" s="190">
        <v>0</v>
      </c>
      <c r="U37" s="190">
        <v>37572612</v>
      </c>
      <c r="V37" s="190">
        <v>27706838</v>
      </c>
      <c r="W37" s="190">
        <v>35488679</v>
      </c>
      <c r="X37" s="190">
        <v>28850982</v>
      </c>
      <c r="Y37" s="190">
        <v>17259849</v>
      </c>
      <c r="Z37" s="190">
        <v>1895057</v>
      </c>
      <c r="AA37" s="190">
        <v>450000</v>
      </c>
      <c r="AB37" s="190">
        <v>0</v>
      </c>
      <c r="AC37" s="190">
        <v>700000</v>
      </c>
      <c r="AD37" s="190">
        <v>0</v>
      </c>
      <c r="AE37" s="190">
        <v>64893227</v>
      </c>
      <c r="AF37" s="190">
        <v>0</v>
      </c>
      <c r="AG37" s="190">
        <v>99614661</v>
      </c>
      <c r="AH37" s="190">
        <v>221140843</v>
      </c>
      <c r="AI37" s="190">
        <v>219814457</v>
      </c>
      <c r="AJ37" s="190">
        <v>1005748</v>
      </c>
      <c r="AK37" s="190">
        <v>68209190</v>
      </c>
      <c r="AL37" s="190">
        <v>88860664</v>
      </c>
      <c r="AM37" s="190">
        <v>139007085</v>
      </c>
      <c r="AN37" s="190">
        <v>2612565</v>
      </c>
      <c r="AO37" s="190">
        <v>115588034</v>
      </c>
      <c r="AP37" s="190">
        <v>18880502</v>
      </c>
      <c r="AQ37" s="190">
        <v>0</v>
      </c>
    </row>
    <row r="38" spans="1:43" x14ac:dyDescent="0.25">
      <c r="A38" s="190" t="s">
        <v>253</v>
      </c>
      <c r="B38" s="190">
        <v>8608954207</v>
      </c>
      <c r="C38" s="190">
        <v>6256881578</v>
      </c>
      <c r="D38" s="190">
        <v>4471927044</v>
      </c>
      <c r="E38" s="190">
        <v>9811250353</v>
      </c>
      <c r="F38" s="190">
        <v>6930298313</v>
      </c>
      <c r="G38" s="190">
        <v>4901771387</v>
      </c>
      <c r="H38" s="190">
        <v>1133741456</v>
      </c>
      <c r="I38" s="190">
        <v>6676684721</v>
      </c>
      <c r="J38" s="190">
        <v>4336373585</v>
      </c>
      <c r="K38" s="190">
        <v>1866660876</v>
      </c>
      <c r="L38" s="190">
        <v>496706473</v>
      </c>
      <c r="M38" s="190">
        <v>4453405709</v>
      </c>
      <c r="N38" s="190">
        <v>3168801590</v>
      </c>
      <c r="O38" s="190">
        <v>1818373024</v>
      </c>
      <c r="P38" s="190">
        <v>785480756</v>
      </c>
      <c r="Q38" s="190">
        <v>2452116865</v>
      </c>
      <c r="R38" s="190">
        <v>1400900700</v>
      </c>
      <c r="S38" s="190">
        <v>660160563</v>
      </c>
      <c r="T38" s="190">
        <v>419039379</v>
      </c>
      <c r="U38" s="190">
        <v>2584208141</v>
      </c>
      <c r="V38" s="190">
        <v>1401550980</v>
      </c>
      <c r="W38" s="190">
        <v>1351503302</v>
      </c>
      <c r="X38" s="190">
        <v>175547414</v>
      </c>
      <c r="Y38" s="190">
        <v>2203882261</v>
      </c>
      <c r="Z38" s="190">
        <v>1507592295</v>
      </c>
      <c r="AA38" s="190">
        <v>948814447</v>
      </c>
      <c r="AB38" s="190">
        <v>258370955</v>
      </c>
      <c r="AC38" s="190">
        <v>1342273444</v>
      </c>
      <c r="AD38" s="190">
        <v>791661274</v>
      </c>
      <c r="AE38" s="190">
        <v>756695527</v>
      </c>
      <c r="AF38" s="190">
        <v>261052722</v>
      </c>
      <c r="AG38" s="190">
        <v>1334413954</v>
      </c>
      <c r="AH38" s="190">
        <v>971832603</v>
      </c>
      <c r="AI38" s="190">
        <v>696278596</v>
      </c>
      <c r="AJ38" s="190">
        <v>82830839</v>
      </c>
      <c r="AK38" s="190">
        <v>834953561</v>
      </c>
      <c r="AL38" s="190">
        <v>478949169</v>
      </c>
      <c r="AM38" s="190">
        <v>432131804</v>
      </c>
      <c r="AN38" s="190">
        <v>104365784</v>
      </c>
      <c r="AO38" s="190">
        <v>588711094</v>
      </c>
      <c r="AP38" s="190">
        <v>439490661</v>
      </c>
      <c r="AQ38" s="190">
        <v>0</v>
      </c>
    </row>
    <row r="39" spans="1:43" x14ac:dyDescent="0.25">
      <c r="A39" s="190" t="s">
        <v>254</v>
      </c>
      <c r="B39" s="190">
        <v>-898714927</v>
      </c>
      <c r="C39" s="190">
        <v>-971713299</v>
      </c>
      <c r="D39" s="190">
        <v>-151235159</v>
      </c>
      <c r="E39" s="190">
        <v>1211484798</v>
      </c>
      <c r="F39" s="190">
        <v>1388752672</v>
      </c>
      <c r="G39" s="190">
        <v>43216297</v>
      </c>
      <c r="H39" s="190">
        <v>1330149174</v>
      </c>
      <c r="I39" s="190">
        <v>-609613862</v>
      </c>
      <c r="J39" s="190">
        <v>-96753281</v>
      </c>
      <c r="K39" s="190">
        <v>349294510</v>
      </c>
      <c r="L39" s="190">
        <v>465450926</v>
      </c>
      <c r="M39" s="190">
        <v>1093397315</v>
      </c>
      <c r="N39" s="190">
        <v>822600115</v>
      </c>
      <c r="O39" s="190">
        <v>305457997</v>
      </c>
      <c r="P39" s="190">
        <v>110206673</v>
      </c>
      <c r="Q39" s="190">
        <v>1133991361</v>
      </c>
      <c r="R39" s="190">
        <v>935477692</v>
      </c>
      <c r="S39" s="190">
        <v>400217828</v>
      </c>
      <c r="T39" s="190">
        <v>151839574</v>
      </c>
      <c r="U39" s="190">
        <v>946996745</v>
      </c>
      <c r="V39" s="190">
        <v>1492291220</v>
      </c>
      <c r="W39" s="190">
        <v>501896698</v>
      </c>
      <c r="X39" s="190">
        <v>1207852586</v>
      </c>
      <c r="Y39" s="190">
        <v>2639645723</v>
      </c>
      <c r="Z39" s="190">
        <v>1846847705</v>
      </c>
      <c r="AA39" s="190">
        <v>2457155809</v>
      </c>
      <c r="AB39" s="190">
        <v>137395581</v>
      </c>
      <c r="AC39" s="190">
        <v>170498278</v>
      </c>
      <c r="AD39" s="190">
        <v>394761127</v>
      </c>
      <c r="AE39" s="190">
        <v>-116250822</v>
      </c>
      <c r="AF39" s="190">
        <v>61599583</v>
      </c>
      <c r="AG39" s="190">
        <v>4632875788</v>
      </c>
      <c r="AH39" s="190">
        <v>4761235519</v>
      </c>
      <c r="AI39" s="190">
        <v>5047155510</v>
      </c>
      <c r="AJ39" s="190">
        <v>207169161</v>
      </c>
      <c r="AK39" s="190">
        <v>188646439</v>
      </c>
      <c r="AL39" s="190">
        <v>238150831</v>
      </c>
      <c r="AM39" s="190">
        <v>162268196</v>
      </c>
      <c r="AN39" s="190">
        <v>28334216</v>
      </c>
      <c r="AO39" s="190">
        <v>145528906</v>
      </c>
      <c r="AP39" s="190">
        <v>21742478</v>
      </c>
      <c r="AQ39" s="190">
        <v>0</v>
      </c>
    </row>
    <row r="40" spans="1:43" x14ac:dyDescent="0.25">
      <c r="A40" s="190" t="s">
        <v>255</v>
      </c>
      <c r="B40" s="190">
        <v>1214652</v>
      </c>
      <c r="C40" s="190">
        <v>98295</v>
      </c>
      <c r="D40" s="190">
        <v>-2790350</v>
      </c>
      <c r="E40" s="190">
        <v>-5643858</v>
      </c>
      <c r="F40" s="190">
        <v>-5677960</v>
      </c>
      <c r="G40" s="190">
        <v>-2302472</v>
      </c>
      <c r="H40" s="190">
        <v>1384489</v>
      </c>
      <c r="I40" s="190">
        <v>4244086</v>
      </c>
      <c r="J40" s="190">
        <v>1643333</v>
      </c>
      <c r="K40" s="190">
        <v>-2521183</v>
      </c>
      <c r="L40" s="190">
        <v>-10000475</v>
      </c>
      <c r="M40" s="190">
        <v>-1336868</v>
      </c>
      <c r="N40" s="190">
        <v>32491392</v>
      </c>
      <c r="O40" s="190">
        <v>-610925</v>
      </c>
      <c r="P40" s="190">
        <v>-5555315</v>
      </c>
      <c r="Q40" s="190">
        <v>-5259651</v>
      </c>
      <c r="R40" s="190">
        <v>-1354005</v>
      </c>
      <c r="S40" s="190">
        <v>-775992</v>
      </c>
      <c r="T40" s="190">
        <v>-834064</v>
      </c>
      <c r="U40" s="190">
        <v>-1054899</v>
      </c>
      <c r="V40" s="190">
        <v>-555693</v>
      </c>
      <c r="W40" s="190">
        <v>-475934</v>
      </c>
      <c r="X40" s="190">
        <v>87246</v>
      </c>
      <c r="Y40" s="190">
        <v>157384</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256</v>
      </c>
      <c r="B41" s="190">
        <v>908462475</v>
      </c>
      <c r="C41" s="190">
        <v>-112555143</v>
      </c>
      <c r="D41" s="190">
        <v>605372285</v>
      </c>
      <c r="E41" s="190">
        <v>29652891</v>
      </c>
      <c r="F41" s="190">
        <v>231824352</v>
      </c>
      <c r="G41" s="190">
        <v>-302454447</v>
      </c>
      <c r="H41" s="190">
        <v>1085226496</v>
      </c>
      <c r="I41" s="190">
        <v>-669357053</v>
      </c>
      <c r="J41" s="190">
        <v>-20480229</v>
      </c>
      <c r="K41" s="190">
        <v>242133966</v>
      </c>
      <c r="L41" s="190">
        <v>225148990</v>
      </c>
      <c r="M41" s="190">
        <v>231817053</v>
      </c>
      <c r="N41" s="190">
        <v>477538710</v>
      </c>
      <c r="O41" s="190">
        <v>-170112177</v>
      </c>
      <c r="P41" s="190">
        <v>-455303910</v>
      </c>
      <c r="Q41" s="190">
        <v>-641033304</v>
      </c>
      <c r="R41" s="190">
        <v>-305299810</v>
      </c>
      <c r="S41" s="190">
        <v>-382072974</v>
      </c>
      <c r="T41" s="190">
        <v>-254979107</v>
      </c>
      <c r="U41" s="190">
        <v>-107947192</v>
      </c>
      <c r="V41" s="190">
        <v>778314432</v>
      </c>
      <c r="W41" s="190">
        <v>-250338887</v>
      </c>
      <c r="X41" s="190">
        <v>702816301</v>
      </c>
      <c r="Y41" s="190">
        <v>287858346</v>
      </c>
      <c r="Z41" s="190">
        <v>45634862</v>
      </c>
      <c r="AA41" s="190">
        <v>1582825869</v>
      </c>
      <c r="AB41" s="190">
        <v>-454468385</v>
      </c>
      <c r="AC41" s="190">
        <v>-2097287495</v>
      </c>
      <c r="AD41" s="190">
        <v>-1445014467</v>
      </c>
      <c r="AE41" s="190">
        <v>-1364173807</v>
      </c>
      <c r="AF41" s="190">
        <v>-643777414</v>
      </c>
      <c r="AG41" s="190">
        <v>3824340827</v>
      </c>
      <c r="AH41" s="190">
        <v>4098197089</v>
      </c>
      <c r="AI41" s="190">
        <v>4594497596</v>
      </c>
      <c r="AJ41" s="190">
        <v>-32522786</v>
      </c>
      <c r="AK41" s="190">
        <v>120263538</v>
      </c>
      <c r="AL41" s="190">
        <v>92562582</v>
      </c>
      <c r="AM41" s="190">
        <v>168759812</v>
      </c>
      <c r="AN41" s="190">
        <v>8262356</v>
      </c>
      <c r="AO41" s="190">
        <v>132122671</v>
      </c>
      <c r="AP41" s="190">
        <v>17591315</v>
      </c>
      <c r="AQ41" s="190">
        <v>0</v>
      </c>
    </row>
    <row r="42" spans="1:43" x14ac:dyDescent="0.25">
      <c r="A42" s="190" t="s">
        <v>257</v>
      </c>
      <c r="B42" s="190">
        <v>1193968093</v>
      </c>
      <c r="C42" s="190">
        <v>1193968093</v>
      </c>
      <c r="D42" s="190">
        <v>1193968093</v>
      </c>
      <c r="E42" s="190">
        <v>1164315202</v>
      </c>
      <c r="F42" s="190">
        <v>1164315202</v>
      </c>
      <c r="G42" s="190">
        <v>1164315202</v>
      </c>
      <c r="H42" s="190">
        <v>1164315202</v>
      </c>
      <c r="I42" s="190">
        <v>1833672255</v>
      </c>
      <c r="J42" s="190">
        <v>1833672255</v>
      </c>
      <c r="K42" s="190">
        <v>1833672255</v>
      </c>
      <c r="L42" s="190">
        <v>1833672255</v>
      </c>
      <c r="M42" s="190">
        <v>1601855202</v>
      </c>
      <c r="N42" s="190">
        <v>1601855202</v>
      </c>
      <c r="O42" s="190">
        <v>1601855202</v>
      </c>
      <c r="P42" s="190">
        <v>1601855202</v>
      </c>
      <c r="Q42" s="190">
        <v>2242888506</v>
      </c>
      <c r="R42" s="190">
        <v>2242888506</v>
      </c>
      <c r="S42" s="190">
        <v>2242888506</v>
      </c>
      <c r="T42" s="190">
        <v>2242888506</v>
      </c>
      <c r="U42" s="190">
        <v>2350835698</v>
      </c>
      <c r="V42" s="190">
        <v>2350835698</v>
      </c>
      <c r="W42" s="190">
        <v>2350835698</v>
      </c>
      <c r="X42" s="190">
        <v>2350835698</v>
      </c>
      <c r="Y42" s="190">
        <v>2062977352</v>
      </c>
      <c r="Z42" s="190">
        <v>2062977352</v>
      </c>
      <c r="AA42" s="190">
        <v>2062977352</v>
      </c>
      <c r="AB42" s="190">
        <v>2062977352</v>
      </c>
      <c r="AC42" s="190">
        <v>4160264847</v>
      </c>
      <c r="AD42" s="190">
        <v>4160264847</v>
      </c>
      <c r="AE42" s="190">
        <v>4160264847</v>
      </c>
      <c r="AF42" s="190">
        <v>4160264847</v>
      </c>
      <c r="AG42" s="190">
        <v>335924020</v>
      </c>
      <c r="AH42" s="190">
        <v>335924022</v>
      </c>
      <c r="AI42" s="190">
        <v>335924022</v>
      </c>
      <c r="AJ42" s="190">
        <v>353192238</v>
      </c>
      <c r="AK42" s="190">
        <v>215660482</v>
      </c>
      <c r="AL42" s="190">
        <v>215660485</v>
      </c>
      <c r="AM42" s="190">
        <v>215660482</v>
      </c>
      <c r="AN42" s="190">
        <v>245668126</v>
      </c>
      <c r="AO42" s="190">
        <v>83537811</v>
      </c>
      <c r="AP42" s="190">
        <v>65946496</v>
      </c>
      <c r="AQ42" s="190">
        <v>0</v>
      </c>
    </row>
    <row r="43" spans="1:43" x14ac:dyDescent="0.25">
      <c r="A43" s="190" t="s">
        <v>258</v>
      </c>
      <c r="B43" s="190">
        <v>2102430568</v>
      </c>
      <c r="C43" s="190">
        <v>1081412950</v>
      </c>
      <c r="D43" s="190">
        <v>1799340378</v>
      </c>
      <c r="E43" s="190">
        <v>1193968093</v>
      </c>
      <c r="F43" s="190">
        <v>1396139554</v>
      </c>
      <c r="G43" s="190">
        <v>861860755</v>
      </c>
      <c r="H43" s="190">
        <v>2249541698</v>
      </c>
      <c r="I43" s="190">
        <v>1164315202</v>
      </c>
      <c r="J43" s="190">
        <v>1813192026</v>
      </c>
      <c r="K43" s="190">
        <v>2075806221</v>
      </c>
      <c r="L43" s="190">
        <v>2058821245</v>
      </c>
      <c r="M43" s="190">
        <v>1833672255</v>
      </c>
      <c r="N43" s="190">
        <v>2079393912</v>
      </c>
      <c r="O43" s="190">
        <v>1431743025</v>
      </c>
      <c r="P43" s="190">
        <v>1146551292</v>
      </c>
      <c r="Q43" s="190">
        <v>1601855202</v>
      </c>
      <c r="R43" s="190">
        <v>1937588696</v>
      </c>
      <c r="S43" s="190">
        <v>1860815532</v>
      </c>
      <c r="T43" s="190">
        <v>1987909399</v>
      </c>
      <c r="U43" s="190">
        <v>2242888506</v>
      </c>
      <c r="V43" s="190">
        <v>3129150130</v>
      </c>
      <c r="W43" s="190">
        <v>2100496811</v>
      </c>
      <c r="X43" s="190">
        <v>3053651999</v>
      </c>
      <c r="Y43" s="190">
        <v>2350835698</v>
      </c>
      <c r="Z43" s="190">
        <v>2108612214</v>
      </c>
      <c r="AA43" s="190">
        <v>3645803221</v>
      </c>
      <c r="AB43" s="190">
        <v>1608508967</v>
      </c>
      <c r="AC43" s="190">
        <v>2062977352</v>
      </c>
      <c r="AD43" s="190">
        <v>2715250380</v>
      </c>
      <c r="AE43" s="190">
        <v>2796091040</v>
      </c>
      <c r="AF43" s="190">
        <v>3516487433</v>
      </c>
      <c r="AG43" s="190">
        <v>4160264847</v>
      </c>
      <c r="AH43" s="190">
        <v>4434121111</v>
      </c>
      <c r="AI43" s="190">
        <v>4930421618</v>
      </c>
      <c r="AJ43" s="190">
        <v>320669452</v>
      </c>
      <c r="AK43" s="190">
        <v>335924020</v>
      </c>
      <c r="AL43" s="190">
        <v>308223067</v>
      </c>
      <c r="AM43" s="190">
        <v>384420294</v>
      </c>
      <c r="AN43" s="190">
        <v>253930482</v>
      </c>
      <c r="AO43" s="190">
        <v>215660482</v>
      </c>
      <c r="AP43" s="190">
        <v>83537811</v>
      </c>
      <c r="AQ43" s="190">
        <v>0</v>
      </c>
    </row>
    <row r="44" spans="1:43" x14ac:dyDescent="0.25">
      <c r="A44" s="190" t="s">
        <v>259</v>
      </c>
    </row>
    <row r="45" spans="1:43" x14ac:dyDescent="0.25">
      <c r="A45" s="190" t="s">
        <v>260</v>
      </c>
      <c r="B45" s="190">
        <v>0</v>
      </c>
      <c r="C45" s="190">
        <v>813486702</v>
      </c>
      <c r="D45" s="190">
        <v>0</v>
      </c>
      <c r="E45" s="190">
        <v>811082647</v>
      </c>
      <c r="F45" s="190">
        <v>0</v>
      </c>
      <c r="G45" s="190">
        <v>300665511</v>
      </c>
      <c r="H45" s="190">
        <v>0</v>
      </c>
      <c r="I45" s="190">
        <v>624324806</v>
      </c>
      <c r="J45" s="190">
        <v>0</v>
      </c>
      <c r="K45" s="190">
        <v>410312145</v>
      </c>
      <c r="L45" s="190">
        <v>0</v>
      </c>
      <c r="M45" s="190">
        <v>541889386</v>
      </c>
      <c r="N45" s="190">
        <v>0</v>
      </c>
      <c r="O45" s="190">
        <v>405198654</v>
      </c>
      <c r="P45" s="190">
        <v>0</v>
      </c>
      <c r="Q45" s="190">
        <v>984682168</v>
      </c>
      <c r="R45" s="190">
        <v>0</v>
      </c>
      <c r="S45" s="190">
        <v>541410987</v>
      </c>
      <c r="T45" s="190">
        <v>0</v>
      </c>
      <c r="U45" s="190">
        <v>1091499045</v>
      </c>
      <c r="V45" s="190">
        <v>0</v>
      </c>
      <c r="W45" s="190">
        <v>541354815</v>
      </c>
      <c r="X45" s="190">
        <v>0</v>
      </c>
      <c r="Y45" s="190">
        <v>1093652996</v>
      </c>
      <c r="Z45" s="190">
        <v>0</v>
      </c>
      <c r="AA45" s="190">
        <v>461921157</v>
      </c>
      <c r="AB45" s="190">
        <v>0</v>
      </c>
      <c r="AC45" s="190">
        <v>960992033</v>
      </c>
      <c r="AD45" s="190">
        <v>0</v>
      </c>
      <c r="AE45" s="190">
        <v>408049193</v>
      </c>
      <c r="AF45" s="190">
        <v>0</v>
      </c>
      <c r="AG45" s="190">
        <v>661687333</v>
      </c>
      <c r="AH45" s="190">
        <v>0</v>
      </c>
      <c r="AI45" s="190">
        <v>260653615</v>
      </c>
      <c r="AJ45" s="190">
        <v>0</v>
      </c>
      <c r="AK45" s="190">
        <v>434171234</v>
      </c>
      <c r="AL45" s="190">
        <v>0</v>
      </c>
      <c r="AM45" s="190">
        <v>171657051</v>
      </c>
      <c r="AN45" s="190">
        <v>0</v>
      </c>
      <c r="AO45" s="190">
        <v>310964569</v>
      </c>
      <c r="AP45" s="190">
        <v>215485911</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50158601</v>
      </c>
      <c r="D48" s="190">
        <v>0</v>
      </c>
      <c r="E48" s="190">
        <v>306371225</v>
      </c>
      <c r="F48" s="190">
        <v>0</v>
      </c>
      <c r="G48" s="190">
        <v>51310092</v>
      </c>
      <c r="H48" s="190">
        <v>0</v>
      </c>
      <c r="I48" s="190">
        <v>140914753</v>
      </c>
      <c r="J48" s="190">
        <v>0</v>
      </c>
      <c r="K48" s="190">
        <v>35069524</v>
      </c>
      <c r="L48" s="190">
        <v>0</v>
      </c>
      <c r="M48" s="190">
        <v>87149089</v>
      </c>
      <c r="N48" s="190">
        <v>0</v>
      </c>
      <c r="O48" s="190">
        <v>24296915</v>
      </c>
      <c r="P48" s="190">
        <v>0</v>
      </c>
      <c r="Q48" s="190">
        <v>153162683</v>
      </c>
      <c r="R48" s="190">
        <v>0</v>
      </c>
      <c r="S48" s="190">
        <v>2324990</v>
      </c>
      <c r="T48" s="190">
        <v>0</v>
      </c>
      <c r="U48" s="190">
        <v>160109856</v>
      </c>
      <c r="V48" s="190">
        <v>0</v>
      </c>
      <c r="W48" s="190">
        <v>1940775</v>
      </c>
      <c r="X48" s="190">
        <v>0</v>
      </c>
      <c r="Y48" s="190">
        <v>10936196</v>
      </c>
      <c r="Z48" s="190">
        <v>0</v>
      </c>
      <c r="AA48" s="190">
        <v>1408314</v>
      </c>
      <c r="AB48" s="190">
        <v>0</v>
      </c>
      <c r="AC48" s="190">
        <v>3563206</v>
      </c>
      <c r="AD48" s="190">
        <v>0</v>
      </c>
      <c r="AE48" s="190">
        <v>2043528</v>
      </c>
      <c r="AF48" s="190">
        <v>0</v>
      </c>
      <c r="AG48" s="190">
        <v>3875863</v>
      </c>
      <c r="AH48" s="190">
        <v>0</v>
      </c>
      <c r="AI48" s="190">
        <v>2376264</v>
      </c>
      <c r="AJ48" s="190">
        <v>0</v>
      </c>
      <c r="AK48" s="190">
        <v>4622250</v>
      </c>
      <c r="AL48" s="190">
        <v>0</v>
      </c>
      <c r="AM48" s="190">
        <v>3169297</v>
      </c>
      <c r="AN48" s="190">
        <v>0</v>
      </c>
      <c r="AO48" s="190">
        <v>3505355</v>
      </c>
      <c r="AP48" s="190">
        <v>7966777</v>
      </c>
      <c r="AQ48" s="190">
        <v>0</v>
      </c>
    </row>
    <row r="49" spans="1:43" x14ac:dyDescent="0.25">
      <c r="A49" s="190" t="s">
        <v>263</v>
      </c>
      <c r="B49" s="190">
        <v>0</v>
      </c>
      <c r="C49" s="190">
        <v>445707176</v>
      </c>
      <c r="D49" s="190">
        <v>0</v>
      </c>
      <c r="E49" s="190">
        <v>732168584</v>
      </c>
      <c r="F49" s="190">
        <v>0</v>
      </c>
      <c r="G49" s="190">
        <v>369954679</v>
      </c>
      <c r="H49" s="190">
        <v>0</v>
      </c>
      <c r="I49" s="190">
        <v>581415018</v>
      </c>
      <c r="J49" s="190">
        <v>0</v>
      </c>
      <c r="K49" s="190">
        <v>261987284</v>
      </c>
      <c r="L49" s="190">
        <v>0</v>
      </c>
      <c r="M49" s="190">
        <v>501902151</v>
      </c>
      <c r="N49" s="190">
        <v>0</v>
      </c>
      <c r="O49" s="190">
        <v>250596973</v>
      </c>
      <c r="P49" s="190">
        <v>0</v>
      </c>
      <c r="Q49" s="190">
        <v>432936867</v>
      </c>
      <c r="R49" s="190">
        <v>0</v>
      </c>
      <c r="S49" s="190">
        <v>197040898</v>
      </c>
      <c r="T49" s="190">
        <v>0</v>
      </c>
      <c r="U49" s="190">
        <v>265981607</v>
      </c>
      <c r="V49" s="190">
        <v>0</v>
      </c>
      <c r="W49" s="190">
        <v>106599609</v>
      </c>
      <c r="X49" s="190">
        <v>0</v>
      </c>
      <c r="Y49" s="190">
        <v>171666213</v>
      </c>
      <c r="Z49" s="190">
        <v>0</v>
      </c>
      <c r="AA49" s="190">
        <v>80686673</v>
      </c>
      <c r="AB49" s="190">
        <v>0</v>
      </c>
      <c r="AC49" s="190">
        <v>137806621</v>
      </c>
      <c r="AD49" s="190">
        <v>0</v>
      </c>
      <c r="AE49" s="190">
        <v>63143846</v>
      </c>
      <c r="AF49" s="190">
        <v>0</v>
      </c>
      <c r="AG49" s="190">
        <v>88557362</v>
      </c>
      <c r="AH49" s="190">
        <v>0</v>
      </c>
      <c r="AI49" s="190">
        <v>41301398</v>
      </c>
      <c r="AJ49" s="190">
        <v>0</v>
      </c>
      <c r="AK49" s="190">
        <v>72965535</v>
      </c>
      <c r="AL49" s="190">
        <v>0</v>
      </c>
      <c r="AM49" s="190">
        <v>34818948</v>
      </c>
      <c r="AN49" s="190">
        <v>0</v>
      </c>
      <c r="AO49" s="190">
        <v>59907215</v>
      </c>
      <c r="AP49" s="190">
        <v>48356136</v>
      </c>
      <c r="AQ49" s="190">
        <v>0</v>
      </c>
    </row>
    <row r="50" spans="1:43" x14ac:dyDescent="0.25">
      <c r="A50" s="190" t="s">
        <v>264</v>
      </c>
      <c r="B50" s="190">
        <v>0</v>
      </c>
      <c r="C50" s="190">
        <v>35524847</v>
      </c>
      <c r="D50" s="190">
        <v>0</v>
      </c>
      <c r="E50" s="190">
        <v>68926149</v>
      </c>
      <c r="F50" s="190">
        <v>0</v>
      </c>
      <c r="G50" s="190">
        <v>34387326</v>
      </c>
      <c r="H50" s="190">
        <v>0</v>
      </c>
      <c r="I50" s="190">
        <v>69354134</v>
      </c>
      <c r="J50" s="190">
        <v>0</v>
      </c>
      <c r="K50" s="190">
        <v>34672560</v>
      </c>
      <c r="L50" s="190">
        <v>0</v>
      </c>
      <c r="M50" s="190">
        <v>66834918</v>
      </c>
      <c r="N50" s="190">
        <v>0</v>
      </c>
      <c r="O50" s="190">
        <v>32944773</v>
      </c>
      <c r="P50" s="190">
        <v>0</v>
      </c>
      <c r="Q50" s="190">
        <v>63409965</v>
      </c>
      <c r="R50" s="190">
        <v>0</v>
      </c>
      <c r="S50" s="190">
        <v>30232373</v>
      </c>
      <c r="T50" s="190">
        <v>0</v>
      </c>
      <c r="U50" s="190">
        <v>59703878</v>
      </c>
      <c r="V50" s="190">
        <v>0</v>
      </c>
      <c r="W50" s="190">
        <v>29965556</v>
      </c>
      <c r="X50" s="190">
        <v>0</v>
      </c>
      <c r="Y50" s="190">
        <v>60059749</v>
      </c>
      <c r="Z50" s="190">
        <v>0</v>
      </c>
      <c r="AA50" s="190">
        <v>28026031</v>
      </c>
      <c r="AB50" s="190">
        <v>0</v>
      </c>
      <c r="AC50" s="190">
        <v>47932379</v>
      </c>
      <c r="AD50" s="190">
        <v>0</v>
      </c>
      <c r="AE50" s="190">
        <v>18217175</v>
      </c>
      <c r="AF50" s="190">
        <v>0</v>
      </c>
      <c r="AG50" s="190">
        <v>4047939</v>
      </c>
      <c r="AH50" s="190">
        <v>0</v>
      </c>
      <c r="AI50" s="190">
        <v>948516</v>
      </c>
      <c r="AJ50" s="190">
        <v>0</v>
      </c>
      <c r="AK50" s="190">
        <v>1924009</v>
      </c>
      <c r="AL50" s="190">
        <v>0</v>
      </c>
      <c r="AM50" s="190">
        <v>951294</v>
      </c>
      <c r="AN50" s="190">
        <v>0</v>
      </c>
      <c r="AO50" s="190">
        <v>1877061</v>
      </c>
      <c r="AP50" s="190">
        <v>1947949</v>
      </c>
      <c r="AQ50" s="190">
        <v>0</v>
      </c>
    </row>
    <row r="51" spans="1:43" x14ac:dyDescent="0.25">
      <c r="A51" s="190" t="s">
        <v>265</v>
      </c>
      <c r="B51" s="190">
        <v>0</v>
      </c>
      <c r="C51" s="190">
        <v>676322</v>
      </c>
      <c r="D51" s="190">
        <v>0</v>
      </c>
      <c r="E51" s="190">
        <v>4568615</v>
      </c>
      <c r="F51" s="190">
        <v>0</v>
      </c>
      <c r="G51" s="190">
        <v>1500864</v>
      </c>
      <c r="H51" s="190">
        <v>0</v>
      </c>
      <c r="I51" s="190">
        <v>4419651</v>
      </c>
      <c r="J51" s="190">
        <v>0</v>
      </c>
      <c r="K51" s="190">
        <v>2328200</v>
      </c>
      <c r="L51" s="190">
        <v>0</v>
      </c>
      <c r="M51" s="190">
        <v>6188140</v>
      </c>
      <c r="N51" s="190">
        <v>0</v>
      </c>
      <c r="O51" s="190">
        <v>3165295</v>
      </c>
      <c r="P51" s="190">
        <v>0</v>
      </c>
      <c r="Q51" s="190">
        <v>10564410</v>
      </c>
      <c r="R51" s="190">
        <v>0</v>
      </c>
      <c r="S51" s="190">
        <v>3324816</v>
      </c>
      <c r="T51" s="190">
        <v>0</v>
      </c>
      <c r="U51" s="190">
        <v>6228710</v>
      </c>
      <c r="V51" s="190">
        <v>0</v>
      </c>
      <c r="W51" s="190">
        <v>3091093</v>
      </c>
      <c r="X51" s="190">
        <v>0</v>
      </c>
      <c r="Y51" s="190">
        <v>5224976</v>
      </c>
      <c r="Z51" s="190">
        <v>0</v>
      </c>
      <c r="AA51" s="190">
        <v>2420232</v>
      </c>
      <c r="AB51" s="190">
        <v>0</v>
      </c>
      <c r="AC51" s="190">
        <v>3162937</v>
      </c>
      <c r="AD51" s="190">
        <v>0</v>
      </c>
      <c r="AE51" s="190">
        <v>947864</v>
      </c>
      <c r="AF51" s="190">
        <v>0</v>
      </c>
      <c r="AG51" s="190">
        <v>533926</v>
      </c>
      <c r="AH51" s="190">
        <v>0</v>
      </c>
      <c r="AI51" s="190">
        <v>301586</v>
      </c>
      <c r="AJ51" s="190">
        <v>0</v>
      </c>
      <c r="AK51" s="190">
        <v>459242</v>
      </c>
      <c r="AL51" s="190">
        <v>0</v>
      </c>
      <c r="AM51" s="190">
        <v>407004</v>
      </c>
      <c r="AN51" s="190">
        <v>0</v>
      </c>
      <c r="AO51" s="190">
        <v>780064</v>
      </c>
      <c r="AP51" s="190">
        <v>148082</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-23570983</v>
      </c>
      <c r="D54" s="190">
        <v>0</v>
      </c>
      <c r="E54" s="190">
        <v>21336538</v>
      </c>
      <c r="F54" s="190">
        <v>0</v>
      </c>
      <c r="G54" s="190">
        <v>2656883</v>
      </c>
      <c r="H54" s="190">
        <v>0</v>
      </c>
      <c r="I54" s="190">
        <v>14678935</v>
      </c>
      <c r="J54" s="190">
        <v>0</v>
      </c>
      <c r="K54" s="190">
        <v>10507404</v>
      </c>
      <c r="L54" s="190">
        <v>0</v>
      </c>
      <c r="M54" s="190">
        <v>4369473</v>
      </c>
      <c r="N54" s="190">
        <v>0</v>
      </c>
      <c r="O54" s="190">
        <v>1198799</v>
      </c>
      <c r="P54" s="190">
        <v>0</v>
      </c>
      <c r="Q54" s="190">
        <v>15232162</v>
      </c>
      <c r="R54" s="190">
        <v>0</v>
      </c>
      <c r="S54" s="190">
        <v>4950431</v>
      </c>
      <c r="T54" s="190">
        <v>0</v>
      </c>
      <c r="U54" s="190">
        <v>-43777847</v>
      </c>
      <c r="V54" s="190">
        <v>0</v>
      </c>
      <c r="W54" s="190">
        <v>2984538</v>
      </c>
      <c r="X54" s="190">
        <v>0</v>
      </c>
      <c r="Y54" s="190">
        <v>4320412</v>
      </c>
      <c r="Z54" s="190">
        <v>0</v>
      </c>
      <c r="AA54" s="190">
        <v>1012577</v>
      </c>
      <c r="AB54" s="190">
        <v>0</v>
      </c>
      <c r="AC54" s="190">
        <v>2076295</v>
      </c>
      <c r="AD54" s="190">
        <v>0</v>
      </c>
      <c r="AE54" s="190">
        <v>1549623</v>
      </c>
      <c r="AF54" s="190">
        <v>0</v>
      </c>
      <c r="AG54" s="190">
        <v>10086099</v>
      </c>
      <c r="AH54" s="190">
        <v>0</v>
      </c>
      <c r="AI54" s="190">
        <v>1055932</v>
      </c>
      <c r="AJ54" s="190">
        <v>0</v>
      </c>
      <c r="AK54" s="190">
        <v>9642616</v>
      </c>
      <c r="AL54" s="190">
        <v>0</v>
      </c>
      <c r="AM54" s="190">
        <v>4255868</v>
      </c>
      <c r="AN54" s="190">
        <v>0</v>
      </c>
      <c r="AO54" s="190">
        <v>3628382</v>
      </c>
      <c r="AP54" s="190">
        <v>259868</v>
      </c>
      <c r="AQ54" s="190">
        <v>0</v>
      </c>
    </row>
    <row r="55" spans="1:43"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66725</v>
      </c>
      <c r="AQ56" s="190">
        <v>0</v>
      </c>
    </row>
    <row r="57" spans="1:4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320019500</v>
      </c>
      <c r="D59" s="190">
        <v>0</v>
      </c>
      <c r="E59" s="190">
        <v>577676757</v>
      </c>
      <c r="F59" s="190">
        <v>0</v>
      </c>
      <c r="G59" s="190">
        <v>254796718</v>
      </c>
      <c r="H59" s="190">
        <v>0</v>
      </c>
      <c r="I59" s="190">
        <v>320918165</v>
      </c>
      <c r="J59" s="190">
        <v>0</v>
      </c>
      <c r="K59" s="190">
        <v>148876653</v>
      </c>
      <c r="L59" s="190">
        <v>0</v>
      </c>
      <c r="M59" s="190">
        <v>507214299</v>
      </c>
      <c r="N59" s="190">
        <v>0</v>
      </c>
      <c r="O59" s="190">
        <v>146548605</v>
      </c>
      <c r="P59" s="190">
        <v>0</v>
      </c>
      <c r="Q59" s="190">
        <v>253891339</v>
      </c>
      <c r="R59" s="190">
        <v>0</v>
      </c>
      <c r="S59" s="190">
        <v>118914895</v>
      </c>
      <c r="T59" s="190">
        <v>0</v>
      </c>
      <c r="U59" s="190">
        <v>204761435</v>
      </c>
      <c r="V59" s="190">
        <v>0</v>
      </c>
      <c r="W59" s="190">
        <v>103722320</v>
      </c>
      <c r="X59" s="190">
        <v>0</v>
      </c>
      <c r="Y59" s="190">
        <v>133323531</v>
      </c>
      <c r="Z59" s="190">
        <v>0</v>
      </c>
      <c r="AA59" s="190">
        <v>49205061</v>
      </c>
      <c r="AB59" s="190">
        <v>0</v>
      </c>
      <c r="AC59" s="190">
        <v>71273801</v>
      </c>
      <c r="AD59" s="190">
        <v>0</v>
      </c>
      <c r="AE59" s="190">
        <v>37325412</v>
      </c>
      <c r="AF59" s="190">
        <v>0</v>
      </c>
      <c r="AG59" s="190">
        <v>30989809</v>
      </c>
      <c r="AH59" s="190">
        <v>0</v>
      </c>
      <c r="AI59" s="190">
        <v>29361464</v>
      </c>
      <c r="AJ59" s="190">
        <v>0</v>
      </c>
      <c r="AK59" s="190">
        <v>48901082</v>
      </c>
      <c r="AL59" s="190">
        <v>0</v>
      </c>
      <c r="AM59" s="190">
        <v>20156876</v>
      </c>
      <c r="AN59" s="190">
        <v>0</v>
      </c>
      <c r="AO59" s="190">
        <v>49650699</v>
      </c>
      <c r="AP59" s="190">
        <v>30377079</v>
      </c>
      <c r="AQ59" s="190">
        <v>0</v>
      </c>
    </row>
    <row r="60" spans="1:43" x14ac:dyDescent="0.25">
      <c r="A60" s="190" t="s">
        <v>273</v>
      </c>
      <c r="B60" s="190">
        <v>0</v>
      </c>
      <c r="C60" s="190">
        <v>-75188256</v>
      </c>
      <c r="D60" s="190">
        <v>0</v>
      </c>
      <c r="E60" s="190">
        <v>-787811802</v>
      </c>
      <c r="F60" s="190">
        <v>0</v>
      </c>
      <c r="G60" s="190">
        <v>-17276298</v>
      </c>
      <c r="H60" s="190">
        <v>0</v>
      </c>
      <c r="I60" s="190">
        <v>-15708532</v>
      </c>
      <c r="J60" s="190">
        <v>0</v>
      </c>
      <c r="K60" s="190">
        <v>-3846817</v>
      </c>
      <c r="L60" s="190">
        <v>0</v>
      </c>
      <c r="M60" s="190">
        <v>-28612442</v>
      </c>
      <c r="N60" s="190">
        <v>0</v>
      </c>
      <c r="O60" s="190">
        <v>-20459116</v>
      </c>
      <c r="P60" s="190">
        <v>0</v>
      </c>
      <c r="Q60" s="190">
        <v>-14924393</v>
      </c>
      <c r="R60" s="190">
        <v>0</v>
      </c>
      <c r="S60" s="190">
        <v>-2268156</v>
      </c>
      <c r="T60" s="190">
        <v>0</v>
      </c>
      <c r="U60" s="190">
        <v>-1952197</v>
      </c>
      <c r="V60" s="190">
        <v>0</v>
      </c>
      <c r="W60" s="190">
        <v>-208225</v>
      </c>
      <c r="X60" s="190">
        <v>0</v>
      </c>
      <c r="Y60" s="190">
        <v>-1601054</v>
      </c>
      <c r="Z60" s="190">
        <v>0</v>
      </c>
      <c r="AA60" s="190">
        <v>6483</v>
      </c>
      <c r="AB60" s="190">
        <v>0</v>
      </c>
      <c r="AC60" s="190">
        <v>7228098</v>
      </c>
      <c r="AD60" s="190">
        <v>0</v>
      </c>
      <c r="AE60" s="190">
        <v>0</v>
      </c>
      <c r="AF60" s="190">
        <v>0</v>
      </c>
      <c r="AG60" s="190">
        <v>0</v>
      </c>
      <c r="AH60" s="190">
        <v>0</v>
      </c>
      <c r="AI60" s="190">
        <v>0</v>
      </c>
      <c r="AJ60" s="190">
        <v>0</v>
      </c>
      <c r="AK60" s="190">
        <v>0</v>
      </c>
      <c r="AL60" s="190">
        <v>0</v>
      </c>
      <c r="AM60" s="190">
        <v>0</v>
      </c>
      <c r="AN60" s="190">
        <v>0</v>
      </c>
      <c r="AO60" s="190">
        <v>0</v>
      </c>
      <c r="AP60" s="190">
        <v>-82303</v>
      </c>
      <c r="AQ60" s="190">
        <v>0</v>
      </c>
    </row>
    <row r="61" spans="1:43" x14ac:dyDescent="0.25">
      <c r="A61" s="190" t="s">
        <v>274</v>
      </c>
      <c r="B61" s="190">
        <v>0</v>
      </c>
      <c r="C61" s="190">
        <v>-59861722</v>
      </c>
      <c r="D61" s="190">
        <v>0</v>
      </c>
      <c r="E61" s="190">
        <v>-29387379</v>
      </c>
      <c r="F61" s="190">
        <v>0</v>
      </c>
      <c r="G61" s="190">
        <v>-39018208</v>
      </c>
      <c r="H61" s="190">
        <v>0</v>
      </c>
      <c r="I61" s="190">
        <v>-74869626</v>
      </c>
      <c r="J61" s="190">
        <v>0</v>
      </c>
      <c r="K61" s="190">
        <v>-31284614</v>
      </c>
      <c r="L61" s="190">
        <v>0</v>
      </c>
      <c r="M61" s="190">
        <v>-33519888</v>
      </c>
      <c r="N61" s="190">
        <v>0</v>
      </c>
      <c r="O61" s="190">
        <v>-14997578</v>
      </c>
      <c r="P61" s="190">
        <v>0</v>
      </c>
      <c r="Q61" s="190">
        <v>-30379239</v>
      </c>
      <c r="R61" s="190">
        <v>0</v>
      </c>
      <c r="S61" s="190">
        <v>-17171789</v>
      </c>
      <c r="T61" s="190">
        <v>0</v>
      </c>
      <c r="U61" s="190">
        <v>-18724871</v>
      </c>
      <c r="V61" s="190">
        <v>0</v>
      </c>
      <c r="W61" s="190">
        <v>-5741514</v>
      </c>
      <c r="X61" s="190">
        <v>0</v>
      </c>
      <c r="Y61" s="190">
        <v>-10839497</v>
      </c>
      <c r="Z61" s="190">
        <v>0</v>
      </c>
      <c r="AA61" s="190">
        <v>-6335974</v>
      </c>
      <c r="AB61" s="190">
        <v>0</v>
      </c>
      <c r="AC61" s="190">
        <v>-3594193</v>
      </c>
      <c r="AD61" s="190">
        <v>0</v>
      </c>
      <c r="AE61" s="190">
        <v>-634705</v>
      </c>
      <c r="AF61" s="190">
        <v>0</v>
      </c>
      <c r="AG61" s="190">
        <v>1282764</v>
      </c>
      <c r="AH61" s="190">
        <v>0</v>
      </c>
      <c r="AI61" s="190">
        <v>1386356</v>
      </c>
      <c r="AJ61" s="190">
        <v>0</v>
      </c>
      <c r="AK61" s="190">
        <v>6176751</v>
      </c>
      <c r="AL61" s="190">
        <v>0</v>
      </c>
      <c r="AM61" s="190">
        <v>2728584</v>
      </c>
      <c r="AN61" s="190">
        <v>0</v>
      </c>
      <c r="AO61" s="190">
        <v>5630974</v>
      </c>
      <c r="AP61" s="190">
        <v>4981424</v>
      </c>
      <c r="AQ61" s="190">
        <v>0</v>
      </c>
    </row>
    <row r="62" spans="1:43" x14ac:dyDescent="0.25">
      <c r="A62" s="190" t="s">
        <v>275</v>
      </c>
      <c r="B62" s="190">
        <v>0</v>
      </c>
      <c r="C62" s="190">
        <v>-9494284</v>
      </c>
      <c r="D62" s="190">
        <v>0</v>
      </c>
      <c r="E62" s="190">
        <v>170663296</v>
      </c>
      <c r="F62" s="190">
        <v>0</v>
      </c>
      <c r="G62" s="190">
        <v>-4165251</v>
      </c>
      <c r="H62" s="190">
        <v>0</v>
      </c>
      <c r="I62" s="190">
        <v>-2345803</v>
      </c>
      <c r="J62" s="190">
        <v>0</v>
      </c>
      <c r="K62" s="190">
        <v>-4954063</v>
      </c>
      <c r="L62" s="190">
        <v>0</v>
      </c>
      <c r="M62" s="190">
        <v>-9941812</v>
      </c>
      <c r="N62" s="190">
        <v>0</v>
      </c>
      <c r="O62" s="190">
        <v>-4866595</v>
      </c>
      <c r="P62" s="190">
        <v>0</v>
      </c>
      <c r="Q62" s="190">
        <v>-36273170</v>
      </c>
      <c r="R62" s="190">
        <v>0</v>
      </c>
      <c r="S62" s="190">
        <v>-5446027</v>
      </c>
      <c r="T62" s="190">
        <v>0</v>
      </c>
      <c r="U62" s="190">
        <v>-11333494</v>
      </c>
      <c r="V62" s="190">
        <v>0</v>
      </c>
      <c r="W62" s="190">
        <v>-5535127</v>
      </c>
      <c r="X62" s="190">
        <v>0</v>
      </c>
      <c r="Y62" s="190">
        <v>-2230143</v>
      </c>
      <c r="Z62" s="190">
        <v>0</v>
      </c>
      <c r="AA62" s="190">
        <v>-387690</v>
      </c>
      <c r="AB62" s="190">
        <v>0</v>
      </c>
      <c r="AC62" s="190">
        <v>-435411</v>
      </c>
      <c r="AD62" s="190">
        <v>0</v>
      </c>
      <c r="AE62" s="190">
        <v>-6207558</v>
      </c>
      <c r="AF62" s="190">
        <v>0</v>
      </c>
      <c r="AG62" s="190">
        <v>0</v>
      </c>
      <c r="AH62" s="190">
        <v>0</v>
      </c>
      <c r="AI62" s="190">
        <v>0</v>
      </c>
      <c r="AJ62" s="190">
        <v>0</v>
      </c>
      <c r="AK62" s="190">
        <v>-1018669</v>
      </c>
      <c r="AL62" s="190">
        <v>0</v>
      </c>
      <c r="AM62" s="190">
        <v>-1018669</v>
      </c>
      <c r="AN62" s="190">
        <v>0</v>
      </c>
      <c r="AO62" s="190">
        <v>-508290</v>
      </c>
      <c r="AP62" s="190">
        <v>214368</v>
      </c>
      <c r="AQ62" s="190">
        <v>0</v>
      </c>
    </row>
    <row r="63" spans="1:43" x14ac:dyDescent="0.25">
      <c r="A63" s="190" t="s">
        <v>276</v>
      </c>
      <c r="B63" s="190">
        <v>0</v>
      </c>
      <c r="C63" s="190">
        <v>-34211147</v>
      </c>
      <c r="D63" s="190">
        <v>0</v>
      </c>
      <c r="E63" s="190">
        <v>-420314644</v>
      </c>
      <c r="F63" s="190">
        <v>0</v>
      </c>
      <c r="G63" s="190">
        <v>30015595</v>
      </c>
      <c r="H63" s="190">
        <v>0</v>
      </c>
      <c r="I63" s="190">
        <v>-5500318</v>
      </c>
      <c r="J63" s="190">
        <v>0</v>
      </c>
      <c r="K63" s="190">
        <v>212354486</v>
      </c>
      <c r="L63" s="190">
        <v>0</v>
      </c>
      <c r="M63" s="190">
        <v>-181706366</v>
      </c>
      <c r="N63" s="190">
        <v>0</v>
      </c>
      <c r="O63" s="190">
        <v>73668781</v>
      </c>
      <c r="P63" s="190">
        <v>0</v>
      </c>
      <c r="Q63" s="190">
        <v>-328011965</v>
      </c>
      <c r="R63" s="190">
        <v>0</v>
      </c>
      <c r="S63" s="190">
        <v>48432484</v>
      </c>
      <c r="T63" s="190">
        <v>0</v>
      </c>
      <c r="U63" s="190">
        <v>-442658488</v>
      </c>
      <c r="V63" s="190">
        <v>0</v>
      </c>
      <c r="W63" s="190">
        <v>-12035775</v>
      </c>
      <c r="X63" s="190">
        <v>0</v>
      </c>
      <c r="Y63" s="190">
        <v>-192892042</v>
      </c>
      <c r="Z63" s="190">
        <v>0</v>
      </c>
      <c r="AA63" s="190">
        <v>-50825842</v>
      </c>
      <c r="AB63" s="190">
        <v>0</v>
      </c>
      <c r="AC63" s="190">
        <v>-181615739</v>
      </c>
      <c r="AD63" s="190">
        <v>0</v>
      </c>
      <c r="AE63" s="190">
        <v>-245361062</v>
      </c>
      <c r="AF63" s="190">
        <v>0</v>
      </c>
      <c r="AG63" s="190">
        <v>-197696439</v>
      </c>
      <c r="AH63" s="190">
        <v>0</v>
      </c>
      <c r="AI63" s="190">
        <v>-134433477</v>
      </c>
      <c r="AJ63" s="190">
        <v>0</v>
      </c>
      <c r="AK63" s="190">
        <v>-21117228</v>
      </c>
      <c r="AL63" s="190">
        <v>0</v>
      </c>
      <c r="AM63" s="190">
        <v>8067846</v>
      </c>
      <c r="AN63" s="190">
        <v>0</v>
      </c>
      <c r="AO63" s="190">
        <v>-101537154</v>
      </c>
      <c r="AP63" s="190">
        <v>-118605259</v>
      </c>
      <c r="AQ63" s="190">
        <v>0</v>
      </c>
    </row>
    <row r="64" spans="1:43" x14ac:dyDescent="0.25">
      <c r="A64" s="190" t="s">
        <v>277</v>
      </c>
      <c r="B64" s="190">
        <v>0</v>
      </c>
      <c r="C64" s="190">
        <v>-750740949</v>
      </c>
      <c r="D64" s="190">
        <v>0</v>
      </c>
      <c r="E64" s="190">
        <v>-2118541291</v>
      </c>
      <c r="F64" s="190">
        <v>0</v>
      </c>
      <c r="G64" s="190">
        <v>-942850307</v>
      </c>
      <c r="H64" s="190">
        <v>0</v>
      </c>
      <c r="I64" s="190">
        <v>-464914584</v>
      </c>
      <c r="J64" s="190">
        <v>0</v>
      </c>
      <c r="K64" s="190">
        <v>-318333845</v>
      </c>
      <c r="L64" s="190">
        <v>0</v>
      </c>
      <c r="M64" s="190">
        <v>-291955921</v>
      </c>
      <c r="N64" s="190">
        <v>0</v>
      </c>
      <c r="O64" s="190">
        <v>-301839912</v>
      </c>
      <c r="P64" s="190">
        <v>0</v>
      </c>
      <c r="Q64" s="190">
        <v>-470376784</v>
      </c>
      <c r="R64" s="190">
        <v>0</v>
      </c>
      <c r="S64" s="190">
        <v>-419848102</v>
      </c>
      <c r="T64" s="190">
        <v>0</v>
      </c>
      <c r="U64" s="190">
        <v>-509627794</v>
      </c>
      <c r="V64" s="190">
        <v>0</v>
      </c>
      <c r="W64" s="190">
        <v>-421822628</v>
      </c>
      <c r="X64" s="190">
        <v>0</v>
      </c>
      <c r="Y64" s="190">
        <v>-960333210</v>
      </c>
      <c r="Z64" s="190">
        <v>0</v>
      </c>
      <c r="AA64" s="190">
        <v>-198866173</v>
      </c>
      <c r="AB64" s="190">
        <v>0</v>
      </c>
      <c r="AC64" s="190">
        <v>-661128205</v>
      </c>
      <c r="AD64" s="190">
        <v>0</v>
      </c>
      <c r="AE64" s="190">
        <v>16390082</v>
      </c>
      <c r="AF64" s="190">
        <v>0</v>
      </c>
      <c r="AG64" s="190">
        <v>-437666765</v>
      </c>
      <c r="AH64" s="190">
        <v>0</v>
      </c>
      <c r="AI64" s="190">
        <v>-163674159</v>
      </c>
      <c r="AJ64" s="190">
        <v>0</v>
      </c>
      <c r="AK64" s="190">
        <v>-275305149</v>
      </c>
      <c r="AL64" s="190">
        <v>0</v>
      </c>
      <c r="AM64" s="190">
        <v>-172749517</v>
      </c>
      <c r="AN64" s="190">
        <v>0</v>
      </c>
      <c r="AO64" s="190">
        <v>-342040886</v>
      </c>
      <c r="AP64" s="190">
        <v>-41047494</v>
      </c>
      <c r="AQ64" s="190">
        <v>0</v>
      </c>
    </row>
    <row r="65" spans="1:43" x14ac:dyDescent="0.25">
      <c r="A65" s="190" t="s">
        <v>278</v>
      </c>
      <c r="B65" s="190">
        <v>0</v>
      </c>
      <c r="C65" s="190">
        <v>388983710</v>
      </c>
      <c r="D65" s="190">
        <v>0</v>
      </c>
      <c r="E65" s="190">
        <v>1673762915</v>
      </c>
      <c r="F65" s="190">
        <v>0</v>
      </c>
      <c r="G65" s="190">
        <v>635112114</v>
      </c>
      <c r="H65" s="190">
        <v>0</v>
      </c>
      <c r="I65" s="190">
        <v>448905377</v>
      </c>
      <c r="J65" s="190">
        <v>0</v>
      </c>
      <c r="K65" s="190">
        <v>179704290</v>
      </c>
      <c r="L65" s="190">
        <v>0</v>
      </c>
      <c r="M65" s="190">
        <v>-6482141</v>
      </c>
      <c r="N65" s="190">
        <v>0</v>
      </c>
      <c r="O65" s="190">
        <v>56611516</v>
      </c>
      <c r="P65" s="190">
        <v>0</v>
      </c>
      <c r="Q65" s="190">
        <v>184821895</v>
      </c>
      <c r="R65" s="190">
        <v>0</v>
      </c>
      <c r="S65" s="190">
        <v>132050720</v>
      </c>
      <c r="T65" s="190">
        <v>0</v>
      </c>
      <c r="U65" s="190">
        <v>290164005</v>
      </c>
      <c r="V65" s="190">
        <v>0</v>
      </c>
      <c r="W65" s="190">
        <v>113905689</v>
      </c>
      <c r="X65" s="190">
        <v>0</v>
      </c>
      <c r="Y65" s="190">
        <v>91483340</v>
      </c>
      <c r="Z65" s="190">
        <v>0</v>
      </c>
      <c r="AA65" s="190">
        <v>63093113</v>
      </c>
      <c r="AB65" s="190">
        <v>0</v>
      </c>
      <c r="AC65" s="190">
        <v>-44330764</v>
      </c>
      <c r="AD65" s="190">
        <v>0</v>
      </c>
      <c r="AE65" s="190">
        <v>-103011537</v>
      </c>
      <c r="AF65" s="190">
        <v>0</v>
      </c>
      <c r="AG65" s="190">
        <v>-16405852</v>
      </c>
      <c r="AH65" s="190">
        <v>0</v>
      </c>
      <c r="AI65" s="190">
        <v>-288220524</v>
      </c>
      <c r="AJ65" s="190">
        <v>0</v>
      </c>
      <c r="AK65" s="190">
        <v>-30733040</v>
      </c>
      <c r="AL65" s="190">
        <v>0</v>
      </c>
      <c r="AM65" s="190">
        <v>9695157</v>
      </c>
      <c r="AN65" s="190">
        <v>0</v>
      </c>
      <c r="AO65" s="190">
        <v>229217888</v>
      </c>
      <c r="AP65" s="190">
        <v>18353931</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8258655</v>
      </c>
      <c r="D68" s="190">
        <v>0</v>
      </c>
      <c r="E68" s="190">
        <v>92019218</v>
      </c>
      <c r="F68" s="190">
        <v>0</v>
      </c>
      <c r="G68" s="190">
        <v>27549412</v>
      </c>
      <c r="H68" s="190">
        <v>0</v>
      </c>
      <c r="I68" s="190">
        <v>83815439</v>
      </c>
      <c r="J68" s="190">
        <v>0</v>
      </c>
      <c r="K68" s="190">
        <v>0</v>
      </c>
      <c r="L68" s="190">
        <v>0</v>
      </c>
      <c r="M68" s="190">
        <v>76100550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282</v>
      </c>
      <c r="B69" s="190">
        <v>0</v>
      </c>
      <c r="C69" s="190">
        <v>1109748172</v>
      </c>
      <c r="D69" s="190">
        <v>0</v>
      </c>
      <c r="E69" s="190">
        <v>1102520828</v>
      </c>
      <c r="F69" s="190">
        <v>0</v>
      </c>
      <c r="G69" s="190">
        <v>704639130</v>
      </c>
      <c r="H69" s="190">
        <v>0</v>
      </c>
      <c r="I69" s="190">
        <v>1725407415</v>
      </c>
      <c r="J69" s="190">
        <v>0</v>
      </c>
      <c r="K69" s="190">
        <v>937393207</v>
      </c>
      <c r="L69" s="190">
        <v>0</v>
      </c>
      <c r="M69" s="190">
        <v>1239429436</v>
      </c>
      <c r="N69" s="190">
        <v>0</v>
      </c>
      <c r="O69" s="190">
        <v>652067110</v>
      </c>
      <c r="P69" s="190">
        <v>0</v>
      </c>
      <c r="Q69" s="190">
        <v>1218735938</v>
      </c>
      <c r="R69" s="190">
        <v>0</v>
      </c>
      <c r="S69" s="190">
        <v>633948520</v>
      </c>
      <c r="T69" s="190">
        <v>0</v>
      </c>
      <c r="U69" s="190">
        <v>1050373845</v>
      </c>
      <c r="V69" s="190">
        <v>0</v>
      </c>
      <c r="W69" s="190">
        <v>458221124</v>
      </c>
      <c r="X69" s="190">
        <v>0</v>
      </c>
      <c r="Y69" s="190">
        <v>402771467</v>
      </c>
      <c r="Z69" s="190">
        <v>0</v>
      </c>
      <c r="AA69" s="190">
        <v>431363962</v>
      </c>
      <c r="AB69" s="190">
        <v>0</v>
      </c>
      <c r="AC69" s="190">
        <v>342931058</v>
      </c>
      <c r="AD69" s="190">
        <v>0</v>
      </c>
      <c r="AE69" s="190">
        <v>192451861</v>
      </c>
      <c r="AF69" s="190">
        <v>0</v>
      </c>
      <c r="AG69" s="190">
        <v>149292039</v>
      </c>
      <c r="AH69" s="190">
        <v>0</v>
      </c>
      <c r="AI69" s="190">
        <v>-248943029</v>
      </c>
      <c r="AJ69" s="190">
        <v>0</v>
      </c>
      <c r="AK69" s="190">
        <v>250688633</v>
      </c>
      <c r="AL69" s="190">
        <v>0</v>
      </c>
      <c r="AM69" s="190">
        <v>82139739</v>
      </c>
      <c r="AN69" s="190">
        <v>0</v>
      </c>
      <c r="AO69" s="190">
        <v>221075877</v>
      </c>
      <c r="AP69" s="190">
        <v>168423194</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1081412950</v>
      </c>
      <c r="D73" s="190">
        <v>0</v>
      </c>
      <c r="E73" s="190">
        <v>1193968093</v>
      </c>
      <c r="F73" s="190">
        <v>0</v>
      </c>
      <c r="G73" s="190">
        <v>861860755</v>
      </c>
      <c r="H73" s="190">
        <v>0</v>
      </c>
      <c r="I73" s="190">
        <v>1164315202</v>
      </c>
      <c r="J73" s="190">
        <v>0</v>
      </c>
      <c r="K73" s="190">
        <v>2075806221</v>
      </c>
      <c r="L73" s="190">
        <v>0</v>
      </c>
      <c r="M73" s="190">
        <v>1833672255</v>
      </c>
      <c r="N73" s="190">
        <v>0</v>
      </c>
      <c r="O73" s="190">
        <v>1431743025</v>
      </c>
      <c r="P73" s="190">
        <v>0</v>
      </c>
      <c r="Q73" s="190">
        <v>1601855202</v>
      </c>
      <c r="R73" s="190">
        <v>0</v>
      </c>
      <c r="S73" s="190">
        <v>1860815532</v>
      </c>
      <c r="T73" s="190">
        <v>0</v>
      </c>
      <c r="U73" s="190">
        <v>2242888506</v>
      </c>
      <c r="V73" s="190">
        <v>0</v>
      </c>
      <c r="W73" s="190">
        <v>2100496811</v>
      </c>
      <c r="X73" s="190">
        <v>0</v>
      </c>
      <c r="Y73" s="190">
        <v>2350835698</v>
      </c>
      <c r="Z73" s="190">
        <v>0</v>
      </c>
      <c r="AA73" s="190">
        <v>3645803221</v>
      </c>
      <c r="AB73" s="190">
        <v>0</v>
      </c>
      <c r="AC73" s="190">
        <v>2062977352</v>
      </c>
      <c r="AD73" s="190">
        <v>0</v>
      </c>
      <c r="AE73" s="190">
        <v>2796091040</v>
      </c>
      <c r="AF73" s="190">
        <v>3516487433</v>
      </c>
      <c r="AG73" s="190">
        <v>4160264847</v>
      </c>
      <c r="AH73" s="190">
        <v>4434121111</v>
      </c>
      <c r="AI73" s="190">
        <v>4930421618</v>
      </c>
      <c r="AJ73" s="190">
        <v>320669452</v>
      </c>
      <c r="AK73" s="190">
        <v>335924020</v>
      </c>
      <c r="AL73" s="190">
        <v>308223067</v>
      </c>
      <c r="AM73" s="190">
        <v>384420294</v>
      </c>
      <c r="AN73" s="190">
        <v>253930482</v>
      </c>
      <c r="AO73" s="190">
        <v>215660482</v>
      </c>
      <c r="AP73" s="190">
        <v>83537811</v>
      </c>
      <c r="AQ73" s="190">
        <v>0</v>
      </c>
    </row>
    <row r="74" spans="1:43" x14ac:dyDescent="0.25">
      <c r="A74" s="190" t="s">
        <v>287</v>
      </c>
      <c r="B74" s="190">
        <v>0</v>
      </c>
      <c r="C74" s="190">
        <v>1193968093</v>
      </c>
      <c r="D74" s="190">
        <v>0</v>
      </c>
      <c r="E74" s="190">
        <v>1164315202</v>
      </c>
      <c r="F74" s="190">
        <v>0</v>
      </c>
      <c r="G74" s="190">
        <v>1164315202</v>
      </c>
      <c r="H74" s="190">
        <v>0</v>
      </c>
      <c r="I74" s="190">
        <v>1833672255</v>
      </c>
      <c r="J74" s="190">
        <v>0</v>
      </c>
      <c r="K74" s="190">
        <v>1833672255</v>
      </c>
      <c r="L74" s="190">
        <v>0</v>
      </c>
      <c r="M74" s="190">
        <v>1601855202</v>
      </c>
      <c r="N74" s="190">
        <v>0</v>
      </c>
      <c r="O74" s="190">
        <v>1601855202</v>
      </c>
      <c r="P74" s="190">
        <v>0</v>
      </c>
      <c r="Q74" s="190">
        <v>2242888506</v>
      </c>
      <c r="R74" s="190">
        <v>0</v>
      </c>
      <c r="S74" s="190">
        <v>2242888506</v>
      </c>
      <c r="T74" s="190">
        <v>0</v>
      </c>
      <c r="U74" s="190">
        <v>2350835698</v>
      </c>
      <c r="V74" s="190">
        <v>0</v>
      </c>
      <c r="W74" s="190">
        <v>2350835698</v>
      </c>
      <c r="X74" s="190">
        <v>0</v>
      </c>
      <c r="Y74" s="190">
        <v>2062977352</v>
      </c>
      <c r="Z74" s="190">
        <v>0</v>
      </c>
      <c r="AA74" s="190">
        <v>2062977352</v>
      </c>
      <c r="AB74" s="190">
        <v>0</v>
      </c>
      <c r="AC74" s="190">
        <v>4160264847</v>
      </c>
      <c r="AD74" s="190">
        <v>0</v>
      </c>
      <c r="AE74" s="190">
        <v>4160264847</v>
      </c>
      <c r="AF74" s="190">
        <v>4160264847</v>
      </c>
      <c r="AG74" s="190">
        <v>335924020</v>
      </c>
      <c r="AH74" s="190">
        <v>335924022</v>
      </c>
      <c r="AI74" s="190">
        <v>335924022</v>
      </c>
      <c r="AJ74" s="190">
        <v>353192238</v>
      </c>
      <c r="AK74" s="190">
        <v>215660482</v>
      </c>
      <c r="AL74" s="190">
        <v>215660485</v>
      </c>
      <c r="AM74" s="190">
        <v>215660482</v>
      </c>
      <c r="AN74" s="190">
        <v>245668126</v>
      </c>
      <c r="AO74" s="190">
        <v>83537811</v>
      </c>
      <c r="AP74" s="190">
        <v>65946496</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-112555143</v>
      </c>
      <c r="D77" s="190">
        <v>0</v>
      </c>
      <c r="E77" s="190">
        <v>29652891</v>
      </c>
      <c r="F77" s="190">
        <v>0</v>
      </c>
      <c r="G77" s="190">
        <v>-302454447</v>
      </c>
      <c r="H77" s="190">
        <v>0</v>
      </c>
      <c r="I77" s="190">
        <v>-669357053</v>
      </c>
      <c r="J77" s="190">
        <v>0</v>
      </c>
      <c r="K77" s="190">
        <v>242133966</v>
      </c>
      <c r="L77" s="190">
        <v>0</v>
      </c>
      <c r="M77" s="190">
        <v>231817053</v>
      </c>
      <c r="N77" s="190">
        <v>0</v>
      </c>
      <c r="O77" s="190">
        <v>-170112177</v>
      </c>
      <c r="P77" s="190">
        <v>0</v>
      </c>
      <c r="Q77" s="190">
        <v>-641033304</v>
      </c>
      <c r="R77" s="190">
        <v>0</v>
      </c>
      <c r="S77" s="190">
        <v>-382072974</v>
      </c>
      <c r="T77" s="190">
        <v>0</v>
      </c>
      <c r="U77" s="190">
        <v>-107947192</v>
      </c>
      <c r="V77" s="190">
        <v>0</v>
      </c>
      <c r="W77" s="190">
        <v>-250338887</v>
      </c>
      <c r="X77" s="190">
        <v>0</v>
      </c>
      <c r="Y77" s="190">
        <v>287858346</v>
      </c>
      <c r="Z77" s="190">
        <v>0</v>
      </c>
      <c r="AA77" s="190">
        <v>1582825869</v>
      </c>
      <c r="AB77" s="190">
        <v>0</v>
      </c>
      <c r="AC77" s="190">
        <v>-2097287495</v>
      </c>
      <c r="AD77" s="190">
        <v>0</v>
      </c>
      <c r="AE77" s="190">
        <v>-1364173807</v>
      </c>
      <c r="AF77" s="190">
        <v>-643777414</v>
      </c>
      <c r="AG77" s="190">
        <v>3824340827</v>
      </c>
      <c r="AH77" s="190">
        <v>4098197089</v>
      </c>
      <c r="AI77" s="190">
        <v>4594497596</v>
      </c>
      <c r="AJ77" s="190">
        <v>-32522786</v>
      </c>
      <c r="AK77" s="190">
        <v>120263538</v>
      </c>
      <c r="AL77" s="190">
        <v>92562582</v>
      </c>
      <c r="AM77" s="190">
        <v>168759812</v>
      </c>
      <c r="AN77" s="190">
        <v>8262356</v>
      </c>
      <c r="AO77" s="190">
        <v>132122671</v>
      </c>
      <c r="AP77" s="190">
        <v>17591315</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19.33203125" bestFit="1" customWidth="1"/>
    <col min="34" max="34" width="19.33203125" hidden="1" customWidth="1"/>
    <col min="35" max="36" width="21.44140625" hidden="1" customWidth="1"/>
    <col min="37" max="37" width="21.44140625" bestFit="1" customWidth="1"/>
    <col min="38" max="39" width="19.3320312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15281593</v>
      </c>
      <c r="I6" s="190">
        <v>15281593</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0</v>
      </c>
      <c r="F8" s="190">
        <v>1677425468</v>
      </c>
      <c r="G8" s="190">
        <v>1384221653</v>
      </c>
      <c r="H8" s="190">
        <v>1304267095</v>
      </c>
      <c r="I8" s="190">
        <v>955777101</v>
      </c>
      <c r="J8" s="190">
        <v>879914715</v>
      </c>
      <c r="K8" s="190">
        <v>697919249</v>
      </c>
      <c r="L8" s="190">
        <v>634632930</v>
      </c>
      <c r="M8" s="190">
        <v>292921399</v>
      </c>
      <c r="N8" s="190">
        <v>218252558</v>
      </c>
      <c r="O8" s="190">
        <v>323129793</v>
      </c>
      <c r="P8" s="190">
        <v>390157395</v>
      </c>
      <c r="Q8" s="190">
        <v>408057207</v>
      </c>
      <c r="R8" s="190">
        <v>445640198</v>
      </c>
      <c r="S8" s="190">
        <v>344665848</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11623467</v>
      </c>
      <c r="D13" s="190">
        <v>11252142</v>
      </c>
      <c r="E13" s="190">
        <v>11242977</v>
      </c>
      <c r="F13" s="190">
        <v>11490490</v>
      </c>
      <c r="G13" s="190">
        <v>10691486</v>
      </c>
      <c r="H13" s="190">
        <v>9672194</v>
      </c>
      <c r="I13" s="190">
        <v>9769097</v>
      </c>
      <c r="J13" s="190">
        <v>50826511</v>
      </c>
      <c r="K13" s="190">
        <v>47871877</v>
      </c>
      <c r="L13" s="190">
        <v>85729285</v>
      </c>
      <c r="M13" s="190">
        <v>79177680</v>
      </c>
      <c r="N13" s="190">
        <v>71782433</v>
      </c>
      <c r="O13" s="190">
        <v>94050836</v>
      </c>
      <c r="P13" s="190">
        <v>88203952</v>
      </c>
      <c r="Q13" s="190">
        <v>79222199</v>
      </c>
      <c r="R13" s="190">
        <v>67695669</v>
      </c>
      <c r="S13" s="190">
        <v>56032021</v>
      </c>
      <c r="T13" s="190">
        <v>47373678</v>
      </c>
      <c r="U13" s="190">
        <v>40333690</v>
      </c>
      <c r="V13" s="190">
        <v>38542623</v>
      </c>
      <c r="W13" s="190">
        <v>33188326</v>
      </c>
      <c r="X13" s="190">
        <v>22107366</v>
      </c>
      <c r="Y13" s="190">
        <v>25793007</v>
      </c>
      <c r="Z13" s="190">
        <v>18928842</v>
      </c>
      <c r="AA13" s="190">
        <v>14522743</v>
      </c>
      <c r="AB13" s="190">
        <v>8521087</v>
      </c>
      <c r="AC13" s="190">
        <v>6205565</v>
      </c>
      <c r="AD13" s="190">
        <v>13508494</v>
      </c>
      <c r="AE13" s="190">
        <v>2832544</v>
      </c>
      <c r="AF13" s="190">
        <v>35348750</v>
      </c>
      <c r="AG13" s="190">
        <v>23541000</v>
      </c>
      <c r="AH13" s="190">
        <v>19473113</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2110860972</v>
      </c>
      <c r="C17" s="33">
        <f t="shared" ref="C17:BN17" si="0">SUM(C4:C13)</f>
        <v>1103510577</v>
      </c>
      <c r="D17" s="33">
        <f t="shared" si="0"/>
        <v>1820708282</v>
      </c>
      <c r="E17" s="33">
        <f t="shared" si="0"/>
        <v>1242670243</v>
      </c>
      <c r="F17" s="33">
        <f t="shared" si="0"/>
        <v>3145904295</v>
      </c>
      <c r="G17" s="33">
        <f t="shared" si="0"/>
        <v>2304633992</v>
      </c>
      <c r="H17" s="33">
        <f t="shared" si="0"/>
        <v>3659890918</v>
      </c>
      <c r="I17" s="33">
        <f t="shared" si="0"/>
        <v>2208873665</v>
      </c>
      <c r="J17" s="33">
        <f t="shared" si="0"/>
        <v>2772179398</v>
      </c>
      <c r="K17" s="33">
        <f t="shared" si="0"/>
        <v>2836233020</v>
      </c>
      <c r="L17" s="33">
        <f t="shared" si="0"/>
        <v>2797301543</v>
      </c>
      <c r="M17" s="33">
        <f t="shared" si="0"/>
        <v>2222827199</v>
      </c>
      <c r="N17" s="33">
        <f t="shared" si="0"/>
        <v>2397045267</v>
      </c>
      <c r="O17" s="33">
        <f t="shared" si="0"/>
        <v>1882805100</v>
      </c>
      <c r="P17" s="33">
        <f t="shared" si="0"/>
        <v>2054410472</v>
      </c>
      <c r="Q17" s="33">
        <f t="shared" si="0"/>
        <v>2517055356</v>
      </c>
      <c r="R17" s="33">
        <f t="shared" si="0"/>
        <v>2564194734</v>
      </c>
      <c r="S17" s="33">
        <f t="shared" si="0"/>
        <v>2368399081</v>
      </c>
      <c r="T17" s="33">
        <f t="shared" si="0"/>
        <v>2071604284</v>
      </c>
      <c r="U17" s="33">
        <f t="shared" si="0"/>
        <v>2320422359</v>
      </c>
      <c r="V17" s="33">
        <f t="shared" si="0"/>
        <v>3201804138</v>
      </c>
      <c r="W17" s="33">
        <f t="shared" si="0"/>
        <v>2176644043</v>
      </c>
      <c r="X17" s="33">
        <f t="shared" si="0"/>
        <v>3112080576</v>
      </c>
      <c r="Y17" s="33">
        <f t="shared" si="0"/>
        <v>2384471385</v>
      </c>
      <c r="Z17" s="33">
        <f t="shared" si="0"/>
        <v>2156750466</v>
      </c>
      <c r="AA17" s="33">
        <f t="shared" si="0"/>
        <v>3676560063</v>
      </c>
      <c r="AB17" s="33">
        <f t="shared" si="0"/>
        <v>1641827873</v>
      </c>
      <c r="AC17" s="33">
        <f t="shared" si="0"/>
        <v>2096947272</v>
      </c>
      <c r="AD17" s="33">
        <f t="shared" si="0"/>
        <v>2764485748</v>
      </c>
      <c r="AE17" s="33">
        <f t="shared" si="0"/>
        <v>2911022892</v>
      </c>
      <c r="AF17" s="33">
        <f t="shared" si="0"/>
        <v>3588889956</v>
      </c>
      <c r="AG17" s="33">
        <f t="shared" si="0"/>
        <v>4231011924</v>
      </c>
      <c r="AH17" s="33">
        <f t="shared" si="0"/>
        <v>4492808845</v>
      </c>
      <c r="AI17" s="33">
        <f t="shared" si="0"/>
        <v>4939270255</v>
      </c>
      <c r="AJ17" s="33">
        <f t="shared" si="0"/>
        <v>401864700</v>
      </c>
      <c r="AK17" s="33">
        <f t="shared" si="0"/>
        <v>516606763</v>
      </c>
      <c r="AL17" s="33">
        <f t="shared" si="0"/>
        <v>341211068</v>
      </c>
      <c r="AM17" s="33">
        <f t="shared" si="0"/>
        <v>103124148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2249829856</v>
      </c>
      <c r="C19" s="190">
        <v>2198462061</v>
      </c>
      <c r="D19" s="190">
        <v>2111120489</v>
      </c>
      <c r="E19" s="190">
        <v>2137711137</v>
      </c>
      <c r="F19" s="190">
        <v>107552356</v>
      </c>
      <c r="G19" s="190">
        <v>84406124</v>
      </c>
      <c r="H19" s="190">
        <v>133530499</v>
      </c>
      <c r="I19" s="190">
        <v>31858516</v>
      </c>
      <c r="J19" s="190">
        <v>48464682</v>
      </c>
      <c r="K19" s="190">
        <v>53327271</v>
      </c>
      <c r="L19" s="190">
        <v>50197923</v>
      </c>
      <c r="M19" s="190">
        <v>49480454</v>
      </c>
      <c r="N19" s="190">
        <v>48900473</v>
      </c>
      <c r="O19" s="190">
        <v>48164967</v>
      </c>
      <c r="P19" s="190">
        <v>47840278</v>
      </c>
      <c r="Q19" s="190">
        <v>47229640</v>
      </c>
      <c r="R19" s="190">
        <v>34122714</v>
      </c>
      <c r="S19" s="190">
        <v>31691005</v>
      </c>
      <c r="T19" s="190">
        <v>30523074</v>
      </c>
      <c r="U19" s="190">
        <v>30472850</v>
      </c>
      <c r="V19" s="190">
        <v>29053620</v>
      </c>
      <c r="W19" s="190">
        <v>28728878</v>
      </c>
      <c r="X19" s="190">
        <v>28739943</v>
      </c>
      <c r="Y19" s="190">
        <v>28520653</v>
      </c>
      <c r="Z19" s="190">
        <v>28224838</v>
      </c>
      <c r="AA19" s="190">
        <v>27029317</v>
      </c>
      <c r="AB19" s="190">
        <v>26918902</v>
      </c>
      <c r="AC19" s="190">
        <v>9696608</v>
      </c>
      <c r="AD19" s="190">
        <v>10000000</v>
      </c>
      <c r="AE19" s="190">
        <v>0</v>
      </c>
      <c r="AF19" s="190">
        <v>0</v>
      </c>
      <c r="AG19" s="190">
        <v>0</v>
      </c>
      <c r="AH19" s="190">
        <v>0</v>
      </c>
      <c r="AI19" s="190">
        <v>0</v>
      </c>
      <c r="AJ19" s="190">
        <v>0</v>
      </c>
      <c r="AK19" s="190">
        <v>0</v>
      </c>
      <c r="AL19" s="190">
        <v>0</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961507027</v>
      </c>
      <c r="C22" s="190">
        <v>1330968957</v>
      </c>
      <c r="D22" s="190">
        <v>942917877</v>
      </c>
      <c r="E22" s="190">
        <v>1459967398</v>
      </c>
      <c r="F22" s="190">
        <v>1158763984</v>
      </c>
      <c r="G22" s="190">
        <v>1063269695</v>
      </c>
      <c r="H22" s="190">
        <v>804090063</v>
      </c>
      <c r="I22" s="190">
        <v>664903962</v>
      </c>
      <c r="J22" s="190">
        <v>861814178</v>
      </c>
      <c r="K22" s="190">
        <v>945158182</v>
      </c>
      <c r="L22" s="190">
        <v>916084123</v>
      </c>
      <c r="M22" s="190">
        <v>1114331622</v>
      </c>
      <c r="N22" s="190">
        <v>994554387</v>
      </c>
      <c r="O22" s="190">
        <v>1186789720</v>
      </c>
      <c r="P22" s="190">
        <v>1216718671</v>
      </c>
      <c r="Q22" s="190">
        <v>979589672</v>
      </c>
      <c r="R22" s="190">
        <v>986708464</v>
      </c>
      <c r="S22" s="190">
        <v>1215020469</v>
      </c>
      <c r="T22" s="190">
        <v>1247220491</v>
      </c>
      <c r="U22" s="190">
        <v>1039219642</v>
      </c>
      <c r="V22" s="190">
        <v>1129671746</v>
      </c>
      <c r="W22" s="190">
        <v>1198483438</v>
      </c>
      <c r="X22" s="190">
        <v>1060438014</v>
      </c>
      <c r="Y22" s="190">
        <v>1024793376</v>
      </c>
      <c r="Z22" s="190">
        <v>797288206</v>
      </c>
      <c r="AA22" s="190">
        <v>849410167</v>
      </c>
      <c r="AB22" s="190">
        <v>808413759</v>
      </c>
      <c r="AC22" s="190">
        <v>936458381</v>
      </c>
      <c r="AD22" s="190">
        <v>624634341</v>
      </c>
      <c r="AE22" s="190">
        <v>553299777</v>
      </c>
      <c r="AF22" s="190">
        <v>485693928</v>
      </c>
      <c r="AG22" s="190">
        <v>628137115</v>
      </c>
      <c r="AH22" s="190">
        <v>590102710</v>
      </c>
      <c r="AI22" s="190">
        <v>446477823</v>
      </c>
      <c r="AJ22" s="190">
        <v>274735872</v>
      </c>
      <c r="AK22" s="190">
        <v>493044395</v>
      </c>
      <c r="AL22" s="190">
        <v>365001766</v>
      </c>
      <c r="AM22" s="190">
        <v>103347302</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6069676132</v>
      </c>
      <c r="C23" s="190">
        <v>5823948357</v>
      </c>
      <c r="D23" s="190">
        <v>5956861305</v>
      </c>
      <c r="E23" s="190">
        <v>4862076913</v>
      </c>
      <c r="F23" s="190">
        <v>4672799009</v>
      </c>
      <c r="G23" s="190">
        <v>4141109424</v>
      </c>
      <c r="H23" s="190">
        <v>4004700152</v>
      </c>
      <c r="I23" s="190">
        <v>3558700031</v>
      </c>
      <c r="J23" s="190">
        <v>3479177100</v>
      </c>
      <c r="K23" s="190">
        <v>3298830553</v>
      </c>
      <c r="L23" s="190">
        <v>3081439131</v>
      </c>
      <c r="M23" s="190">
        <v>2671497736</v>
      </c>
      <c r="N23" s="190">
        <v>2746557625</v>
      </c>
      <c r="O23" s="190">
        <v>2763297243</v>
      </c>
      <c r="P23" s="190">
        <v>2743745016</v>
      </c>
      <c r="Q23" s="190">
        <v>2623137339</v>
      </c>
      <c r="R23" s="190">
        <v>2620691993</v>
      </c>
      <c r="S23" s="190">
        <v>2488762372</v>
      </c>
      <c r="T23" s="190">
        <v>2461419824</v>
      </c>
      <c r="U23" s="190">
        <v>2170850809</v>
      </c>
      <c r="V23" s="190">
        <v>2067387429</v>
      </c>
      <c r="W23" s="190">
        <v>1872640600</v>
      </c>
      <c r="X23" s="190">
        <v>1877331973</v>
      </c>
      <c r="Y23" s="190">
        <v>1621275186</v>
      </c>
      <c r="Z23" s="190">
        <v>1747812844</v>
      </c>
      <c r="AA23" s="190">
        <v>1496721042</v>
      </c>
      <c r="AB23" s="190">
        <v>1446852311</v>
      </c>
      <c r="AC23" s="190">
        <v>1315314522</v>
      </c>
      <c r="AD23" s="190">
        <v>1161344502</v>
      </c>
      <c r="AE23" s="190">
        <v>1022007085</v>
      </c>
      <c r="AF23" s="190">
        <v>1060496062</v>
      </c>
      <c r="AG23" s="190">
        <v>923992954</v>
      </c>
      <c r="AH23" s="190">
        <v>796652302</v>
      </c>
      <c r="AI23" s="190">
        <v>767832060</v>
      </c>
      <c r="AJ23" s="190">
        <v>797587958</v>
      </c>
      <c r="AK23" s="190">
        <v>615204803</v>
      </c>
      <c r="AL23" s="190">
        <v>475575770</v>
      </c>
      <c r="AM23" s="190">
        <v>379489249</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757094706</v>
      </c>
      <c r="C24" s="190">
        <v>442377860</v>
      </c>
      <c r="D24" s="190">
        <v>461158220</v>
      </c>
      <c r="E24" s="190">
        <v>428638159</v>
      </c>
      <c r="F24" s="190">
        <v>577346225</v>
      </c>
      <c r="G24" s="190">
        <v>307432449</v>
      </c>
      <c r="H24" s="190">
        <v>302017639</v>
      </c>
      <c r="I24" s="190">
        <v>276801761</v>
      </c>
      <c r="J24" s="190">
        <v>129144545</v>
      </c>
      <c r="K24" s="190">
        <v>161047205</v>
      </c>
      <c r="L24" s="190">
        <v>179523721</v>
      </c>
      <c r="M24" s="190">
        <v>212477375</v>
      </c>
      <c r="N24" s="190">
        <v>279496823</v>
      </c>
      <c r="O24" s="190">
        <v>258521903</v>
      </c>
      <c r="P24" s="190">
        <v>294949495</v>
      </c>
      <c r="Q24" s="190">
        <v>260775144</v>
      </c>
      <c r="R24" s="190">
        <v>315210938</v>
      </c>
      <c r="S24" s="190">
        <v>208824632</v>
      </c>
      <c r="T24" s="190">
        <v>226216862</v>
      </c>
      <c r="U24" s="190">
        <v>252053483</v>
      </c>
      <c r="V24" s="190">
        <v>400249222</v>
      </c>
      <c r="W24" s="190">
        <v>618676906</v>
      </c>
      <c r="X24" s="190">
        <v>652260604</v>
      </c>
      <c r="Y24" s="190">
        <v>609822394</v>
      </c>
      <c r="Z24" s="190">
        <v>460022995</v>
      </c>
      <c r="AA24" s="190">
        <v>145851693</v>
      </c>
      <c r="AB24" s="190">
        <v>136108462</v>
      </c>
      <c r="AC24" s="190">
        <v>101693648</v>
      </c>
      <c r="AD24" s="190">
        <v>128516157</v>
      </c>
      <c r="AE24" s="190">
        <v>122825784</v>
      </c>
      <c r="AF24" s="190">
        <v>161081961</v>
      </c>
      <c r="AG24" s="190">
        <v>100745209</v>
      </c>
      <c r="AH24" s="190">
        <v>132651999</v>
      </c>
      <c r="AI24" s="190">
        <v>92752188</v>
      </c>
      <c r="AJ24" s="190">
        <v>71495925</v>
      </c>
      <c r="AK24" s="190">
        <v>47980945</v>
      </c>
      <c r="AL24" s="190">
        <v>34542999</v>
      </c>
      <c r="AM24" s="190">
        <v>25960770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122820618</v>
      </c>
      <c r="C25" s="190">
        <v>169565002</v>
      </c>
      <c r="D25" s="190">
        <v>164580081</v>
      </c>
      <c r="E25" s="190">
        <v>73013175</v>
      </c>
      <c r="F25" s="190">
        <v>100068426</v>
      </c>
      <c r="G25" s="190">
        <v>100498614</v>
      </c>
      <c r="H25" s="190">
        <v>104532540</v>
      </c>
      <c r="I25" s="190">
        <v>94357714</v>
      </c>
      <c r="J25" s="190">
        <v>108417315</v>
      </c>
      <c r="K25" s="190">
        <v>109804519</v>
      </c>
      <c r="L25" s="190">
        <v>109663162</v>
      </c>
      <c r="M25" s="190">
        <v>105410356</v>
      </c>
      <c r="N25" s="190">
        <v>126739992</v>
      </c>
      <c r="O25" s="190">
        <v>123238258</v>
      </c>
      <c r="P25" s="190">
        <v>159666975</v>
      </c>
      <c r="Q25" s="190">
        <v>183080038</v>
      </c>
      <c r="R25" s="190">
        <v>182321889</v>
      </c>
      <c r="S25" s="190">
        <v>184321629</v>
      </c>
      <c r="T25" s="190">
        <v>209875219</v>
      </c>
      <c r="U25" s="190">
        <v>204326652</v>
      </c>
      <c r="V25" s="190">
        <v>69092465</v>
      </c>
      <c r="W25" s="190">
        <v>76795809</v>
      </c>
      <c r="X25" s="190">
        <v>99414727</v>
      </c>
      <c r="Y25" s="190">
        <v>83557482</v>
      </c>
      <c r="Z25" s="190">
        <v>130085535</v>
      </c>
      <c r="AA25" s="190">
        <v>113541528</v>
      </c>
      <c r="AB25" s="190">
        <v>43427330</v>
      </c>
      <c r="AC25" s="190">
        <v>44928023</v>
      </c>
      <c r="AD25" s="190">
        <v>104273714</v>
      </c>
      <c r="AE25" s="190">
        <v>113918430</v>
      </c>
      <c r="AF25" s="190">
        <v>303606698</v>
      </c>
      <c r="AG25" s="190">
        <v>24494576</v>
      </c>
      <c r="AH25" s="190">
        <v>97751885</v>
      </c>
      <c r="AI25" s="190">
        <v>28609884</v>
      </c>
      <c r="AJ25" s="190">
        <v>39543624</v>
      </c>
      <c r="AK25" s="190">
        <v>27092356</v>
      </c>
      <c r="AL25" s="190">
        <v>16795039</v>
      </c>
      <c r="AM25" s="190">
        <v>14304798</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2255701063</v>
      </c>
      <c r="C26" s="190">
        <v>2497410759</v>
      </c>
      <c r="D26" s="190">
        <v>2418364980</v>
      </c>
      <c r="E26" s="190">
        <v>2500483830</v>
      </c>
      <c r="F26" s="190">
        <v>1987051682</v>
      </c>
      <c r="G26" s="190">
        <v>2058294263</v>
      </c>
      <c r="H26" s="190">
        <v>2096792772</v>
      </c>
      <c r="I26" s="190">
        <v>2133159443</v>
      </c>
      <c r="J26" s="190">
        <v>1885910259</v>
      </c>
      <c r="K26" s="190">
        <v>1965474140</v>
      </c>
      <c r="L26" s="190">
        <v>2118694944</v>
      </c>
      <c r="M26" s="190">
        <v>2207327953</v>
      </c>
      <c r="N26" s="190">
        <v>2011699929</v>
      </c>
      <c r="O26" s="190">
        <v>1977530135</v>
      </c>
      <c r="P26" s="190">
        <v>2089868350</v>
      </c>
      <c r="Q26" s="190">
        <v>2073483647</v>
      </c>
      <c r="R26" s="190">
        <v>1784499578</v>
      </c>
      <c r="S26" s="190">
        <v>1717465345</v>
      </c>
      <c r="T26" s="190">
        <v>1693092856</v>
      </c>
      <c r="U26" s="190">
        <v>1767961037</v>
      </c>
      <c r="V26" s="190">
        <v>1552379936</v>
      </c>
      <c r="W26" s="190">
        <v>1395386034</v>
      </c>
      <c r="X26" s="190">
        <v>1387791329</v>
      </c>
      <c r="Y26" s="190">
        <v>1331644242</v>
      </c>
      <c r="Z26" s="190">
        <v>1248511438</v>
      </c>
      <c r="AA26" s="190">
        <v>1190352497</v>
      </c>
      <c r="AB26" s="190">
        <v>1140664580</v>
      </c>
      <c r="AC26" s="190">
        <v>1089514665</v>
      </c>
      <c r="AD26" s="190">
        <v>1184426131</v>
      </c>
      <c r="AE26" s="190">
        <v>1156303177</v>
      </c>
      <c r="AF26" s="190">
        <v>905424273</v>
      </c>
      <c r="AG26" s="190">
        <v>826849320</v>
      </c>
      <c r="AH26" s="190">
        <v>756587980</v>
      </c>
      <c r="AI26" s="190">
        <v>729638603</v>
      </c>
      <c r="AJ26" s="190">
        <v>700983560</v>
      </c>
      <c r="AK26" s="190">
        <v>595205126</v>
      </c>
      <c r="AL26" s="190">
        <v>576729937</v>
      </c>
      <c r="AM26" s="190">
        <v>478666162</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366502498</v>
      </c>
      <c r="C27" s="190">
        <v>548229229</v>
      </c>
      <c r="D27" s="190">
        <v>605271971</v>
      </c>
      <c r="E27" s="190">
        <v>1051835351</v>
      </c>
      <c r="F27" s="190">
        <v>1045505348</v>
      </c>
      <c r="G27" s="190">
        <v>703670981</v>
      </c>
      <c r="H27" s="190">
        <v>581624354</v>
      </c>
      <c r="I27" s="190">
        <v>766545996</v>
      </c>
      <c r="J27" s="190">
        <v>905773096</v>
      </c>
      <c r="K27" s="190">
        <v>967379134</v>
      </c>
      <c r="L27" s="190">
        <v>1002316892</v>
      </c>
      <c r="M27" s="190">
        <v>912502461</v>
      </c>
      <c r="N27" s="190">
        <v>617839458</v>
      </c>
      <c r="O27" s="190">
        <v>573738118</v>
      </c>
      <c r="P27" s="190">
        <v>483316926</v>
      </c>
      <c r="Q27" s="190">
        <v>475085736</v>
      </c>
      <c r="R27" s="190">
        <v>417937284</v>
      </c>
      <c r="S27" s="190">
        <v>413566144</v>
      </c>
      <c r="T27" s="190">
        <v>408350175</v>
      </c>
      <c r="U27" s="190">
        <v>431888212</v>
      </c>
      <c r="V27" s="190">
        <v>335894352</v>
      </c>
      <c r="W27" s="190">
        <v>304913990</v>
      </c>
      <c r="X27" s="190">
        <v>256931991</v>
      </c>
      <c r="Y27" s="190">
        <v>250042529</v>
      </c>
      <c r="Z27" s="190">
        <v>148505985</v>
      </c>
      <c r="AA27" s="190">
        <v>111091381</v>
      </c>
      <c r="AB27" s="190">
        <v>74607091</v>
      </c>
      <c r="AC27" s="190">
        <v>77930882</v>
      </c>
      <c r="AD27" s="190">
        <v>0</v>
      </c>
      <c r="AE27" s="190">
        <v>0</v>
      </c>
      <c r="AF27" s="190">
        <v>0</v>
      </c>
      <c r="AG27" s="190">
        <v>0</v>
      </c>
      <c r="AH27" s="190">
        <v>0</v>
      </c>
      <c r="AI27" s="190">
        <v>0</v>
      </c>
      <c r="AJ27" s="190">
        <v>0</v>
      </c>
      <c r="AK27" s="190">
        <v>0</v>
      </c>
      <c r="AL27" s="190">
        <v>0</v>
      </c>
      <c r="AM27" s="190">
        <v>0</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10533302044</v>
      </c>
      <c r="C33" s="35">
        <f t="shared" ref="C33:BN33" si="2">SUM(C22:C29)</f>
        <v>10812500164</v>
      </c>
      <c r="D33" s="35">
        <f t="shared" si="2"/>
        <v>10549154434</v>
      </c>
      <c r="E33" s="35">
        <f t="shared" si="2"/>
        <v>10376014826</v>
      </c>
      <c r="F33" s="35">
        <f t="shared" si="2"/>
        <v>9541534674</v>
      </c>
      <c r="G33" s="35">
        <f t="shared" si="2"/>
        <v>8374275426</v>
      </c>
      <c r="H33" s="35">
        <f t="shared" si="2"/>
        <v>7893757520</v>
      </c>
      <c r="I33" s="35">
        <f t="shared" si="2"/>
        <v>7494468907</v>
      </c>
      <c r="J33" s="35">
        <f t="shared" si="2"/>
        <v>7370236493</v>
      </c>
      <c r="K33" s="35">
        <f t="shared" si="2"/>
        <v>7447693733</v>
      </c>
      <c r="L33" s="35">
        <f t="shared" si="2"/>
        <v>7407721973</v>
      </c>
      <c r="M33" s="35">
        <f t="shared" si="2"/>
        <v>7223547503</v>
      </c>
      <c r="N33" s="35">
        <f t="shared" si="2"/>
        <v>6776888214</v>
      </c>
      <c r="O33" s="35">
        <f t="shared" si="2"/>
        <v>6883115377</v>
      </c>
      <c r="P33" s="35">
        <f t="shared" si="2"/>
        <v>6988265433</v>
      </c>
      <c r="Q33" s="35">
        <f t="shared" si="2"/>
        <v>6595151576</v>
      </c>
      <c r="R33" s="35">
        <f t="shared" si="2"/>
        <v>6307370146</v>
      </c>
      <c r="S33" s="35">
        <f t="shared" si="2"/>
        <v>6227960591</v>
      </c>
      <c r="T33" s="35">
        <f t="shared" si="2"/>
        <v>6246175427</v>
      </c>
      <c r="U33" s="35">
        <f t="shared" si="2"/>
        <v>5866299835</v>
      </c>
      <c r="V33" s="35">
        <f t="shared" si="2"/>
        <v>5554675150</v>
      </c>
      <c r="W33" s="35">
        <f t="shared" si="2"/>
        <v>5466896777</v>
      </c>
      <c r="X33" s="35">
        <f t="shared" si="2"/>
        <v>5334168638</v>
      </c>
      <c r="Y33" s="35">
        <f t="shared" si="2"/>
        <v>4921135209</v>
      </c>
      <c r="Z33" s="35">
        <f t="shared" si="2"/>
        <v>4532227003</v>
      </c>
      <c r="AA33" s="35">
        <f t="shared" si="2"/>
        <v>3906968308</v>
      </c>
      <c r="AB33" s="35">
        <f t="shared" si="2"/>
        <v>3650073533</v>
      </c>
      <c r="AC33" s="35">
        <f t="shared" si="2"/>
        <v>3565840121</v>
      </c>
      <c r="AD33" s="35">
        <f t="shared" si="2"/>
        <v>3203194845</v>
      </c>
      <c r="AE33" s="35">
        <f t="shared" si="2"/>
        <v>2968354253</v>
      </c>
      <c r="AF33" s="35">
        <f t="shared" si="2"/>
        <v>2916302922</v>
      </c>
      <c r="AG33" s="35">
        <f t="shared" si="2"/>
        <v>2504219174</v>
      </c>
      <c r="AH33" s="35">
        <f t="shared" si="2"/>
        <v>2373746876</v>
      </c>
      <c r="AI33" s="35">
        <f t="shared" si="2"/>
        <v>2065310558</v>
      </c>
      <c r="AJ33" s="35">
        <f t="shared" si="2"/>
        <v>1884346939</v>
      </c>
      <c r="AK33" s="35">
        <f t="shared" si="2"/>
        <v>1778527625</v>
      </c>
      <c r="AL33" s="35">
        <f t="shared" si="2"/>
        <v>1468645511</v>
      </c>
      <c r="AM33" s="35">
        <f t="shared" si="2"/>
        <v>1001768281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16760279</v>
      </c>
      <c r="D35" s="190">
        <v>14985836</v>
      </c>
      <c r="E35" s="190">
        <v>0</v>
      </c>
      <c r="F35" s="190">
        <v>61800000</v>
      </c>
      <c r="G35" s="190">
        <v>111800000</v>
      </c>
      <c r="H35" s="190">
        <v>50000000</v>
      </c>
      <c r="I35" s="190">
        <v>0</v>
      </c>
      <c r="J35" s="190">
        <v>45158</v>
      </c>
      <c r="K35" s="190">
        <v>4221561</v>
      </c>
      <c r="L35" s="190">
        <v>4377766</v>
      </c>
      <c r="M35" s="190">
        <v>550421</v>
      </c>
      <c r="N35" s="190">
        <v>0</v>
      </c>
      <c r="O35" s="190">
        <v>2967250</v>
      </c>
      <c r="P35" s="190">
        <v>1350142</v>
      </c>
      <c r="Q35" s="190">
        <v>4404641</v>
      </c>
      <c r="R35" s="190">
        <v>40466845</v>
      </c>
      <c r="S35" s="190">
        <v>56315444</v>
      </c>
      <c r="T35" s="190">
        <v>22730549</v>
      </c>
      <c r="U35" s="190">
        <v>5010729</v>
      </c>
      <c r="V35" s="190">
        <v>8645316</v>
      </c>
      <c r="W35" s="190">
        <v>2635239</v>
      </c>
      <c r="X35" s="190">
        <v>11707502</v>
      </c>
      <c r="Y35" s="190">
        <v>1726947</v>
      </c>
      <c r="Z35" s="190">
        <v>800398</v>
      </c>
      <c r="AA35" s="190">
        <v>3499346</v>
      </c>
      <c r="AB35" s="190">
        <v>2501670</v>
      </c>
      <c r="AC35" s="190">
        <v>0</v>
      </c>
      <c r="AD35" s="190">
        <v>0</v>
      </c>
      <c r="AE35" s="190">
        <v>2106591</v>
      </c>
      <c r="AF35" s="190">
        <v>10639140</v>
      </c>
      <c r="AG35" s="190">
        <v>23184628</v>
      </c>
      <c r="AH35" s="190">
        <v>37343080</v>
      </c>
      <c r="AI35" s="190">
        <v>30000000</v>
      </c>
      <c r="AJ35" s="190">
        <v>68456000</v>
      </c>
      <c r="AK35" s="190">
        <v>172417600</v>
      </c>
      <c r="AL35" s="190">
        <v>154216019</v>
      </c>
      <c r="AM35" s="190">
        <v>51750000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1365135158</v>
      </c>
      <c r="D36" s="190">
        <v>1339537136</v>
      </c>
      <c r="E36" s="190">
        <v>1387067294</v>
      </c>
      <c r="F36" s="190">
        <v>1248330147</v>
      </c>
      <c r="G36" s="190">
        <v>1407558232</v>
      </c>
      <c r="H36" s="190">
        <v>1338471074</v>
      </c>
      <c r="I36" s="190">
        <v>1357751687</v>
      </c>
      <c r="J36" s="190">
        <v>1479541990</v>
      </c>
      <c r="K36" s="190">
        <v>1544141674</v>
      </c>
      <c r="L36" s="190">
        <v>1541415399</v>
      </c>
      <c r="M36" s="190">
        <v>1466848864</v>
      </c>
      <c r="N36" s="190">
        <v>1620332388</v>
      </c>
      <c r="O36" s="190">
        <v>1558796994</v>
      </c>
      <c r="P36" s="190">
        <v>1580937272</v>
      </c>
      <c r="Q36" s="190">
        <v>1641524659</v>
      </c>
      <c r="R36" s="190">
        <v>1543854534</v>
      </c>
      <c r="S36" s="190">
        <v>1302445318</v>
      </c>
      <c r="T36" s="190">
        <v>1211124011</v>
      </c>
      <c r="U36" s="190">
        <v>1340059991</v>
      </c>
      <c r="V36" s="190">
        <v>1405937667</v>
      </c>
      <c r="W36" s="190">
        <v>1163522214</v>
      </c>
      <c r="X36" s="190">
        <v>1012732708</v>
      </c>
      <c r="Y36" s="190">
        <v>822803750</v>
      </c>
      <c r="Z36" s="190">
        <v>690069769</v>
      </c>
      <c r="AA36" s="190">
        <v>670490511</v>
      </c>
      <c r="AB36" s="190">
        <v>639388415</v>
      </c>
      <c r="AC36" s="190">
        <v>578423972</v>
      </c>
      <c r="AD36" s="190">
        <v>388553186</v>
      </c>
      <c r="AE36" s="190">
        <v>508897899</v>
      </c>
      <c r="AF36" s="190">
        <v>461318789</v>
      </c>
      <c r="AG36" s="190">
        <v>420954724</v>
      </c>
      <c r="AH36" s="190">
        <v>342689135</v>
      </c>
      <c r="AI36" s="190">
        <v>311350250</v>
      </c>
      <c r="AJ36" s="190">
        <v>351595548</v>
      </c>
      <c r="AK36" s="190">
        <v>323252232</v>
      </c>
      <c r="AL36" s="190">
        <v>369499632</v>
      </c>
      <c r="AM36" s="190">
        <v>383296529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182584829</v>
      </c>
      <c r="C37" s="190">
        <v>160336499</v>
      </c>
      <c r="D37" s="190">
        <v>187740073</v>
      </c>
      <c r="E37" s="190">
        <v>210144226</v>
      </c>
      <c r="F37" s="190">
        <v>201823138</v>
      </c>
      <c r="G37" s="190">
        <v>138854924</v>
      </c>
      <c r="H37" s="190">
        <v>126904369</v>
      </c>
      <c r="I37" s="190">
        <v>58799109</v>
      </c>
      <c r="J37" s="190">
        <v>67300946</v>
      </c>
      <c r="K37" s="190">
        <v>45700178</v>
      </c>
      <c r="L37" s="190">
        <v>28846426</v>
      </c>
      <c r="M37" s="190">
        <v>30515490</v>
      </c>
      <c r="N37" s="190">
        <v>38751221</v>
      </c>
      <c r="O37" s="190">
        <v>42226640</v>
      </c>
      <c r="P37" s="190">
        <v>26870179</v>
      </c>
      <c r="Q37" s="190">
        <v>24819674</v>
      </c>
      <c r="R37" s="190">
        <v>31326083</v>
      </c>
      <c r="S37" s="190">
        <v>14780503</v>
      </c>
      <c r="T37" s="190">
        <v>17565368</v>
      </c>
      <c r="U37" s="190">
        <v>20233967</v>
      </c>
      <c r="V37" s="190">
        <v>27724205</v>
      </c>
      <c r="W37" s="190">
        <v>21369167</v>
      </c>
      <c r="X37" s="190">
        <v>18565222</v>
      </c>
      <c r="Y37" s="190">
        <v>12734412</v>
      </c>
      <c r="Z37" s="190">
        <v>10635595</v>
      </c>
      <c r="AA37" s="190">
        <v>6082984</v>
      </c>
      <c r="AB37" s="190">
        <v>2124492</v>
      </c>
      <c r="AC37" s="190">
        <v>1959083</v>
      </c>
      <c r="AD37" s="190">
        <v>2630983</v>
      </c>
      <c r="AE37" s="190">
        <v>1641873</v>
      </c>
      <c r="AF37" s="190">
        <v>2965761</v>
      </c>
      <c r="AG37" s="190">
        <v>109527</v>
      </c>
      <c r="AH37" s="190">
        <v>2286069</v>
      </c>
      <c r="AI37" s="190">
        <v>2379593</v>
      </c>
      <c r="AJ37" s="190">
        <v>1715984</v>
      </c>
      <c r="AK37" s="190">
        <v>2553255</v>
      </c>
      <c r="AL37" s="190">
        <v>2242284</v>
      </c>
      <c r="AM37" s="190">
        <v>604391</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48380172</v>
      </c>
      <c r="C39" s="190">
        <v>50353750</v>
      </c>
      <c r="D39" s="190">
        <v>47986014</v>
      </c>
      <c r="E39" s="190">
        <v>51424485</v>
      </c>
      <c r="F39" s="190">
        <v>32247274</v>
      </c>
      <c r="G39" s="190">
        <v>33148725</v>
      </c>
      <c r="H39" s="190">
        <v>38224619</v>
      </c>
      <c r="I39" s="190">
        <v>37342843</v>
      </c>
      <c r="J39" s="190">
        <v>39665852</v>
      </c>
      <c r="K39" s="190">
        <v>33802918</v>
      </c>
      <c r="L39" s="190">
        <v>32719350</v>
      </c>
      <c r="M39" s="190">
        <v>31411958</v>
      </c>
      <c r="N39" s="190">
        <v>30563789</v>
      </c>
      <c r="O39" s="190">
        <v>30856247</v>
      </c>
      <c r="P39" s="190">
        <v>25512369</v>
      </c>
      <c r="Q39" s="190">
        <v>23776460</v>
      </c>
      <c r="R39" s="190">
        <v>30250323</v>
      </c>
      <c r="S39" s="190">
        <v>26680682</v>
      </c>
      <c r="T39" s="190">
        <v>27663877</v>
      </c>
      <c r="U39" s="190">
        <v>25774278</v>
      </c>
      <c r="V39" s="190">
        <v>26799706</v>
      </c>
      <c r="W39" s="190">
        <v>30791741</v>
      </c>
      <c r="X39" s="190">
        <v>25227199</v>
      </c>
      <c r="Y39" s="190">
        <v>21734891</v>
      </c>
      <c r="Z39" s="190">
        <v>30192168</v>
      </c>
      <c r="AA39" s="190">
        <v>28234669</v>
      </c>
      <c r="AB39" s="190">
        <v>13367259</v>
      </c>
      <c r="AC39" s="190">
        <v>13635995</v>
      </c>
      <c r="AD39" s="190">
        <v>18661186</v>
      </c>
      <c r="AE39" s="190">
        <v>15337410</v>
      </c>
      <c r="AF39" s="190">
        <v>13110193</v>
      </c>
      <c r="AG39" s="190">
        <v>14554948</v>
      </c>
      <c r="AH39" s="190">
        <v>13137279</v>
      </c>
      <c r="AI39" s="190">
        <v>11356781</v>
      </c>
      <c r="AJ39" s="190">
        <v>10064655</v>
      </c>
      <c r="AK39" s="190">
        <v>8620829</v>
      </c>
      <c r="AL39" s="190">
        <v>9647935</v>
      </c>
      <c r="AM39" s="190">
        <v>8679113</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254456810</v>
      </c>
      <c r="C40" s="190">
        <v>172194942</v>
      </c>
      <c r="D40" s="190">
        <v>183854819</v>
      </c>
      <c r="E40" s="190">
        <v>163644822</v>
      </c>
      <c r="F40" s="190">
        <v>201428830</v>
      </c>
      <c r="G40" s="190">
        <v>141864108</v>
      </c>
      <c r="H40" s="190">
        <v>147459806</v>
      </c>
      <c r="I40" s="190">
        <v>118488174</v>
      </c>
      <c r="J40" s="190">
        <v>147396776</v>
      </c>
      <c r="K40" s="190">
        <v>111660753</v>
      </c>
      <c r="L40" s="190">
        <v>143700626</v>
      </c>
      <c r="M40" s="190">
        <v>107850847</v>
      </c>
      <c r="N40" s="190">
        <v>148733451</v>
      </c>
      <c r="O40" s="190">
        <v>117184647</v>
      </c>
      <c r="P40" s="190">
        <v>150338706</v>
      </c>
      <c r="Q40" s="190">
        <v>172957905</v>
      </c>
      <c r="R40" s="190">
        <v>186173413</v>
      </c>
      <c r="S40" s="190">
        <v>147304900</v>
      </c>
      <c r="T40" s="190">
        <v>174515082</v>
      </c>
      <c r="U40" s="190">
        <v>197639924</v>
      </c>
      <c r="V40" s="190">
        <v>181921476</v>
      </c>
      <c r="W40" s="190">
        <v>132283734</v>
      </c>
      <c r="X40" s="190">
        <v>154119694</v>
      </c>
      <c r="Y40" s="190">
        <v>176893989</v>
      </c>
      <c r="Z40" s="190">
        <v>167274556</v>
      </c>
      <c r="AA40" s="190">
        <v>123650362</v>
      </c>
      <c r="AB40" s="190">
        <v>116534193</v>
      </c>
      <c r="AC40" s="190">
        <v>170635754</v>
      </c>
      <c r="AD40" s="190">
        <v>85400700</v>
      </c>
      <c r="AE40" s="190">
        <v>77673854</v>
      </c>
      <c r="AF40" s="190">
        <v>63554888</v>
      </c>
      <c r="AG40" s="190">
        <v>86390120</v>
      </c>
      <c r="AH40" s="190">
        <v>76812100</v>
      </c>
      <c r="AI40" s="190">
        <v>37532948</v>
      </c>
      <c r="AJ40" s="190">
        <v>42322791</v>
      </c>
      <c r="AK40" s="190">
        <v>45436371</v>
      </c>
      <c r="AL40" s="190">
        <v>23561791</v>
      </c>
      <c r="AM40" s="190">
        <v>40115959</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2560393790</v>
      </c>
      <c r="C41" s="190">
        <v>2131756822</v>
      </c>
      <c r="D41" s="190">
        <v>2379537030</v>
      </c>
      <c r="E41" s="190">
        <v>1951475473</v>
      </c>
      <c r="F41" s="190">
        <v>1167644879</v>
      </c>
      <c r="G41" s="190">
        <v>707686597</v>
      </c>
      <c r="H41" s="190">
        <v>500628992</v>
      </c>
      <c r="I41" s="190">
        <v>392122334</v>
      </c>
      <c r="J41" s="190">
        <v>188866379</v>
      </c>
      <c r="K41" s="190">
        <v>153787848</v>
      </c>
      <c r="L41" s="190">
        <v>179426866</v>
      </c>
      <c r="M41" s="190">
        <v>192175629</v>
      </c>
      <c r="N41" s="190">
        <v>101866634</v>
      </c>
      <c r="O41" s="190">
        <v>154144038</v>
      </c>
      <c r="P41" s="190">
        <v>152700147</v>
      </c>
      <c r="Q41" s="190">
        <v>143950443</v>
      </c>
      <c r="R41" s="190">
        <v>133945192</v>
      </c>
      <c r="S41" s="190">
        <v>134180328</v>
      </c>
      <c r="T41" s="190">
        <v>127299006</v>
      </c>
      <c r="U41" s="190">
        <v>114818088</v>
      </c>
      <c r="V41" s="190">
        <v>95361764</v>
      </c>
      <c r="W41" s="190">
        <v>88571778</v>
      </c>
      <c r="X41" s="190">
        <v>69162873</v>
      </c>
      <c r="Y41" s="190">
        <v>74855084</v>
      </c>
      <c r="Z41" s="190">
        <v>79584757</v>
      </c>
      <c r="AA41" s="190">
        <v>81323501</v>
      </c>
      <c r="AB41" s="190">
        <v>60044146</v>
      </c>
      <c r="AC41" s="190">
        <v>53043275</v>
      </c>
      <c r="AD41" s="190">
        <v>74421674</v>
      </c>
      <c r="AE41" s="190">
        <v>148865279</v>
      </c>
      <c r="AF41" s="190">
        <v>116217793</v>
      </c>
      <c r="AG41" s="190">
        <v>47812807</v>
      </c>
      <c r="AH41" s="190">
        <v>105810617</v>
      </c>
      <c r="AI41" s="190">
        <v>41715652</v>
      </c>
      <c r="AJ41" s="190">
        <v>42772244</v>
      </c>
      <c r="AK41" s="190">
        <v>23435321</v>
      </c>
      <c r="AL41" s="190">
        <v>31348307</v>
      </c>
      <c r="AM41" s="190">
        <v>110808934</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350007206</v>
      </c>
      <c r="C43" s="190">
        <v>340802932</v>
      </c>
      <c r="D43" s="190">
        <v>269328824</v>
      </c>
      <c r="E43" s="190">
        <v>255907089</v>
      </c>
      <c r="F43" s="190">
        <v>168494819</v>
      </c>
      <c r="G43" s="190">
        <v>171719565</v>
      </c>
      <c r="H43" s="190">
        <v>174625339</v>
      </c>
      <c r="I43" s="190">
        <v>175451861</v>
      </c>
      <c r="J43" s="190">
        <v>176803575</v>
      </c>
      <c r="K43" s="190">
        <v>120989476</v>
      </c>
      <c r="L43" s="190">
        <v>121982315</v>
      </c>
      <c r="M43" s="190">
        <v>124171368</v>
      </c>
      <c r="N43" s="190">
        <v>102150132</v>
      </c>
      <c r="O43" s="190">
        <v>94334438</v>
      </c>
      <c r="P43" s="190">
        <v>90899088</v>
      </c>
      <c r="Q43" s="190">
        <v>94774641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31268470</v>
      </c>
      <c r="E44" s="190">
        <v>118856641</v>
      </c>
      <c r="F44" s="190">
        <v>95988936</v>
      </c>
      <c r="G44" s="190">
        <v>95988936</v>
      </c>
      <c r="H44" s="190">
        <v>90188470</v>
      </c>
      <c r="I44" s="190">
        <v>90188470</v>
      </c>
      <c r="J44" s="190">
        <v>90188470</v>
      </c>
      <c r="K44" s="190">
        <v>128426100</v>
      </c>
      <c r="L44" s="190">
        <v>98426100</v>
      </c>
      <c r="M44" s="190">
        <v>98426100</v>
      </c>
      <c r="N44" s="190">
        <v>65000000</v>
      </c>
      <c r="O44" s="190">
        <v>65000000</v>
      </c>
      <c r="P44" s="190">
        <v>65000000</v>
      </c>
      <c r="Q44" s="190">
        <v>65000000</v>
      </c>
      <c r="R44" s="190">
        <v>40000000</v>
      </c>
      <c r="S44" s="190">
        <v>40000000</v>
      </c>
      <c r="T44" s="190">
        <v>40000000</v>
      </c>
      <c r="U44" s="190">
        <v>40000000</v>
      </c>
      <c r="V44" s="190">
        <v>40000000</v>
      </c>
      <c r="W44" s="190">
        <v>40000000</v>
      </c>
      <c r="X44" s="190">
        <v>40000000</v>
      </c>
      <c r="Y44" s="190">
        <v>20000000</v>
      </c>
      <c r="Z44" s="190">
        <v>20000000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3497914831</v>
      </c>
      <c r="C45" s="190">
        <v>2998988565</v>
      </c>
      <c r="D45" s="190">
        <v>3997962948</v>
      </c>
      <c r="E45" s="190">
        <v>3997902343</v>
      </c>
      <c r="F45" s="190">
        <v>3497228830</v>
      </c>
      <c r="G45" s="190">
        <v>3496110367</v>
      </c>
      <c r="H45" s="190">
        <v>2497745975</v>
      </c>
      <c r="I45" s="190">
        <v>1998478587</v>
      </c>
      <c r="J45" s="190">
        <v>2996587017</v>
      </c>
      <c r="K45" s="190">
        <v>2496921762</v>
      </c>
      <c r="L45" s="190">
        <v>1995620258</v>
      </c>
      <c r="M45" s="190">
        <v>2588003033</v>
      </c>
      <c r="N45" s="190">
        <v>3778956050</v>
      </c>
      <c r="O45" s="190">
        <v>2581664239</v>
      </c>
      <c r="P45" s="190">
        <v>2579951590</v>
      </c>
      <c r="Q45" s="190">
        <v>1488682001</v>
      </c>
      <c r="R45" s="190">
        <v>0</v>
      </c>
      <c r="S45" s="190">
        <v>473385</v>
      </c>
      <c r="T45" s="190">
        <v>400000</v>
      </c>
      <c r="U45" s="190">
        <v>300136288</v>
      </c>
      <c r="V45" s="190">
        <v>299795672</v>
      </c>
      <c r="W45" s="190">
        <v>299455040</v>
      </c>
      <c r="X45" s="190">
        <v>998367921</v>
      </c>
      <c r="Y45" s="190">
        <v>698907023</v>
      </c>
      <c r="Z45" s="190">
        <v>698117391</v>
      </c>
      <c r="AA45" s="190">
        <v>997356522</v>
      </c>
      <c r="AB45" s="190">
        <v>0</v>
      </c>
      <c r="AC45" s="190">
        <v>300000000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6893737638</v>
      </c>
      <c r="C49" s="35">
        <f>SUM(C35:C41)+SUM(C43:C45)</f>
        <v>7236328947</v>
      </c>
      <c r="D49" s="35">
        <f>SUM(D35:D41)+SUM(D43:D45)</f>
        <v>8452201150</v>
      </c>
      <c r="E49" s="35">
        <f>SUM(E35:E45)</f>
        <v>8136422373</v>
      </c>
      <c r="F49" s="35">
        <f t="shared" ref="F49:BQ49" si="4">SUM(F35:F45)</f>
        <v>6674986853</v>
      </c>
      <c r="G49" s="35">
        <f t="shared" si="4"/>
        <v>6304731454</v>
      </c>
      <c r="H49" s="35">
        <f t="shared" si="4"/>
        <v>4964248644</v>
      </c>
      <c r="I49" s="35">
        <f t="shared" si="4"/>
        <v>4228623065</v>
      </c>
      <c r="J49" s="35">
        <f t="shared" si="4"/>
        <v>5186396163</v>
      </c>
      <c r="K49" s="35">
        <f t="shared" si="4"/>
        <v>4639652270</v>
      </c>
      <c r="L49" s="35">
        <f t="shared" si="4"/>
        <v>4146515106</v>
      </c>
      <c r="M49" s="35">
        <f t="shared" si="4"/>
        <v>4639953710</v>
      </c>
      <c r="N49" s="35">
        <f t="shared" si="4"/>
        <v>5886353665</v>
      </c>
      <c r="O49" s="35">
        <f t="shared" si="4"/>
        <v>4647174493</v>
      </c>
      <c r="P49" s="35">
        <f t="shared" si="4"/>
        <v>4673559493</v>
      </c>
      <c r="Q49" s="35">
        <f t="shared" si="4"/>
        <v>3659890424</v>
      </c>
      <c r="R49" s="35">
        <f t="shared" si="4"/>
        <v>2006016390</v>
      </c>
      <c r="S49" s="35">
        <f t="shared" si="4"/>
        <v>1722180560</v>
      </c>
      <c r="T49" s="35">
        <f t="shared" si="4"/>
        <v>1621297893</v>
      </c>
      <c r="U49" s="35">
        <f t="shared" si="4"/>
        <v>2043673265</v>
      </c>
      <c r="V49" s="35">
        <f t="shared" si="4"/>
        <v>2086185806</v>
      </c>
      <c r="W49" s="35">
        <f t="shared" si="4"/>
        <v>1778628913</v>
      </c>
      <c r="X49" s="35">
        <f t="shared" si="4"/>
        <v>2329883119</v>
      </c>
      <c r="Y49" s="35">
        <f t="shared" si="4"/>
        <v>1829656096</v>
      </c>
      <c r="Z49" s="35">
        <f t="shared" si="4"/>
        <v>1696674634</v>
      </c>
      <c r="AA49" s="35">
        <f t="shared" si="4"/>
        <v>1910637895</v>
      </c>
      <c r="AB49" s="35">
        <f t="shared" si="4"/>
        <v>833960175</v>
      </c>
      <c r="AC49" s="35">
        <f t="shared" si="4"/>
        <v>1117698079</v>
      </c>
      <c r="AD49" s="35">
        <f t="shared" si="4"/>
        <v>569667729</v>
      </c>
      <c r="AE49" s="35">
        <f t="shared" si="4"/>
        <v>754522906</v>
      </c>
      <c r="AF49" s="35">
        <f t="shared" si="4"/>
        <v>667806564</v>
      </c>
      <c r="AG49" s="35">
        <f t="shared" si="4"/>
        <v>593006754</v>
      </c>
      <c r="AH49" s="35">
        <f t="shared" si="4"/>
        <v>578078280</v>
      </c>
      <c r="AI49" s="35">
        <f t="shared" si="4"/>
        <v>434335224</v>
      </c>
      <c r="AJ49" s="35">
        <f t="shared" si="4"/>
        <v>516927222</v>
      </c>
      <c r="AK49" s="35">
        <f t="shared" si="4"/>
        <v>575715608</v>
      </c>
      <c r="AL49" s="35">
        <f t="shared" si="4"/>
        <v>590515968</v>
      </c>
      <c r="AM49" s="35">
        <f t="shared" si="4"/>
        <v>595254926</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3639564406</v>
      </c>
      <c r="C50" s="36">
        <f t="shared" ref="C50:BN50" si="6">C33-C49</f>
        <v>3576171217</v>
      </c>
      <c r="D50" s="36">
        <f t="shared" si="6"/>
        <v>2096953284</v>
      </c>
      <c r="E50" s="36">
        <f t="shared" si="6"/>
        <v>2239592453</v>
      </c>
      <c r="F50" s="36">
        <f t="shared" si="6"/>
        <v>2866547821</v>
      </c>
      <c r="G50" s="36">
        <f t="shared" si="6"/>
        <v>2069543972</v>
      </c>
      <c r="H50" s="36">
        <f t="shared" si="6"/>
        <v>2929508876</v>
      </c>
      <c r="I50" s="36">
        <f t="shared" si="6"/>
        <v>3265845842</v>
      </c>
      <c r="J50" s="36">
        <f t="shared" si="6"/>
        <v>2183840330</v>
      </c>
      <c r="K50" s="36">
        <f t="shared" si="6"/>
        <v>2808041463</v>
      </c>
      <c r="L50" s="36">
        <f t="shared" si="6"/>
        <v>3261206867</v>
      </c>
      <c r="M50" s="36">
        <f t="shared" si="6"/>
        <v>2583593793</v>
      </c>
      <c r="N50" s="36">
        <f t="shared" si="6"/>
        <v>890534549</v>
      </c>
      <c r="O50" s="36">
        <f t="shared" si="6"/>
        <v>2235940884</v>
      </c>
      <c r="P50" s="36">
        <f t="shared" si="6"/>
        <v>2314705940</v>
      </c>
      <c r="Q50" s="36">
        <f t="shared" si="6"/>
        <v>2935261152</v>
      </c>
      <c r="R50" s="36">
        <f t="shared" si="6"/>
        <v>4301353756</v>
      </c>
      <c r="S50" s="36">
        <f t="shared" si="6"/>
        <v>4505780031</v>
      </c>
      <c r="T50" s="36">
        <f t="shared" si="6"/>
        <v>4624877534</v>
      </c>
      <c r="U50" s="36">
        <f t="shared" si="6"/>
        <v>3822626570</v>
      </c>
      <c r="V50" s="36">
        <f t="shared" si="6"/>
        <v>3468489344</v>
      </c>
      <c r="W50" s="36">
        <f t="shared" si="6"/>
        <v>3688267864</v>
      </c>
      <c r="X50" s="36">
        <f t="shared" si="6"/>
        <v>3004285519</v>
      </c>
      <c r="Y50" s="36">
        <f t="shared" si="6"/>
        <v>3091479113</v>
      </c>
      <c r="Z50" s="36">
        <f t="shared" si="6"/>
        <v>2835552369</v>
      </c>
      <c r="AA50" s="36">
        <f t="shared" si="6"/>
        <v>1996330413</v>
      </c>
      <c r="AB50" s="36">
        <f t="shared" si="6"/>
        <v>2816113358</v>
      </c>
      <c r="AC50" s="36">
        <f t="shared" si="6"/>
        <v>2448142042</v>
      </c>
      <c r="AD50" s="36">
        <f t="shared" si="6"/>
        <v>2633527116</v>
      </c>
      <c r="AE50" s="36">
        <f t="shared" si="6"/>
        <v>2213831347</v>
      </c>
      <c r="AF50" s="36">
        <f t="shared" si="6"/>
        <v>2248496358</v>
      </c>
      <c r="AG50" s="36">
        <f t="shared" si="6"/>
        <v>1911212420</v>
      </c>
      <c r="AH50" s="36">
        <f t="shared" si="6"/>
        <v>1795668596</v>
      </c>
      <c r="AI50" s="36">
        <f t="shared" si="6"/>
        <v>1630975334</v>
      </c>
      <c r="AJ50" s="36">
        <f t="shared" si="6"/>
        <v>1367419717</v>
      </c>
      <c r="AK50" s="36">
        <f t="shared" si="6"/>
        <v>1202812017</v>
      </c>
      <c r="AL50" s="36">
        <f t="shared" si="6"/>
        <v>878129543</v>
      </c>
      <c r="AM50" s="36">
        <f t="shared" si="6"/>
        <v>406513355</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10737176339</v>
      </c>
      <c r="C52" s="190">
        <v>10882963531</v>
      </c>
      <c r="D52" s="190">
        <v>10843392053</v>
      </c>
      <c r="E52" s="190">
        <v>11065168592</v>
      </c>
      <c r="F52" s="190">
        <v>9200960260</v>
      </c>
      <c r="G52" s="190">
        <v>9313654914</v>
      </c>
      <c r="H52" s="190">
        <v>9456339473</v>
      </c>
      <c r="I52" s="190">
        <v>9585755344</v>
      </c>
      <c r="J52" s="190">
        <v>9080085844</v>
      </c>
      <c r="K52" s="190">
        <v>6778494527</v>
      </c>
      <c r="L52" s="190">
        <v>5950061583</v>
      </c>
      <c r="M52" s="190">
        <v>6039146034</v>
      </c>
      <c r="N52" s="190">
        <v>5922117108</v>
      </c>
      <c r="O52" s="190">
        <v>5985751031</v>
      </c>
      <c r="P52" s="190">
        <v>6039351072</v>
      </c>
      <c r="Q52" s="190">
        <v>5960676721</v>
      </c>
      <c r="R52" s="190">
        <v>5647760322</v>
      </c>
      <c r="S52" s="190">
        <v>5747509870</v>
      </c>
      <c r="T52" s="190">
        <v>5129743300</v>
      </c>
      <c r="U52" s="190">
        <v>5101749181</v>
      </c>
      <c r="V52" s="190">
        <v>4743066811</v>
      </c>
      <c r="W52" s="190">
        <v>2223412019</v>
      </c>
      <c r="X52" s="190">
        <v>2213459410</v>
      </c>
      <c r="Y52" s="190">
        <v>2085341425</v>
      </c>
      <c r="Z52" s="190">
        <v>1730854657</v>
      </c>
      <c r="AA52" s="190">
        <v>1722671203</v>
      </c>
      <c r="AB52" s="190">
        <v>1721301843</v>
      </c>
      <c r="AC52" s="190">
        <v>1511918837</v>
      </c>
      <c r="AD52" s="190">
        <v>1385711008</v>
      </c>
      <c r="AE52" s="190">
        <v>1383298110</v>
      </c>
      <c r="AF52" s="190">
        <v>1215969770</v>
      </c>
      <c r="AG52" s="190">
        <v>1008002267</v>
      </c>
      <c r="AH52" s="190">
        <v>833034861</v>
      </c>
      <c r="AI52" s="190">
        <v>774499539</v>
      </c>
      <c r="AJ52" s="190">
        <v>766260798</v>
      </c>
      <c r="AK52" s="190">
        <v>745881028</v>
      </c>
      <c r="AL52" s="190">
        <v>646026284</v>
      </c>
      <c r="AM52" s="190">
        <v>471346049</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1143060791</v>
      </c>
      <c r="C53" s="190">
        <v>1097402902</v>
      </c>
      <c r="D53" s="190">
        <v>1188215864</v>
      </c>
      <c r="E53" s="190">
        <v>1088992443</v>
      </c>
      <c r="F53" s="190">
        <v>2835706010</v>
      </c>
      <c r="G53" s="190">
        <v>2622654777</v>
      </c>
      <c r="H53" s="190">
        <v>2348261884</v>
      </c>
      <c r="I53" s="190">
        <v>2106219842</v>
      </c>
      <c r="J53" s="190">
        <v>2566345922</v>
      </c>
      <c r="K53" s="190">
        <v>4896951830</v>
      </c>
      <c r="L53" s="190">
        <v>5641849566</v>
      </c>
      <c r="M53" s="190">
        <v>5317974996</v>
      </c>
      <c r="N53" s="190">
        <v>5196889718</v>
      </c>
      <c r="O53" s="190">
        <v>5005354297</v>
      </c>
      <c r="P53" s="190">
        <v>4603773459</v>
      </c>
      <c r="Q53" s="190">
        <v>4341321555</v>
      </c>
      <c r="R53" s="190">
        <v>4039644614</v>
      </c>
      <c r="S53" s="190">
        <v>2898227210</v>
      </c>
      <c r="T53" s="190">
        <v>3015302501</v>
      </c>
      <c r="U53" s="190">
        <v>2852281447</v>
      </c>
      <c r="V53" s="190">
        <v>2801961021</v>
      </c>
      <c r="W53" s="190">
        <v>4723569573</v>
      </c>
      <c r="X53" s="190">
        <v>4113866404</v>
      </c>
      <c r="Y53" s="190">
        <v>3701743016</v>
      </c>
      <c r="Z53" s="190">
        <v>3582866892</v>
      </c>
      <c r="AA53" s="190">
        <v>2102743128</v>
      </c>
      <c r="AB53" s="190">
        <v>1804769139</v>
      </c>
      <c r="AC53" s="190">
        <v>1577006612</v>
      </c>
      <c r="AD53" s="190">
        <v>840487523</v>
      </c>
      <c r="AE53" s="190">
        <v>523681827</v>
      </c>
      <c r="AF53" s="190">
        <v>359092142</v>
      </c>
      <c r="AG53" s="190">
        <v>417342403</v>
      </c>
      <c r="AH53" s="190">
        <v>385812627</v>
      </c>
      <c r="AI53" s="190">
        <v>229805130</v>
      </c>
      <c r="AJ53" s="190">
        <v>154853335</v>
      </c>
      <c r="AK53" s="190">
        <v>136969809</v>
      </c>
      <c r="AL53" s="190">
        <v>48310782</v>
      </c>
      <c r="AM53" s="190">
        <v>77930791</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2207859</v>
      </c>
      <c r="D54" s="190">
        <v>2116588</v>
      </c>
      <c r="E54" s="190">
        <v>2729874</v>
      </c>
      <c r="F54" s="190">
        <v>3753428</v>
      </c>
      <c r="G54" s="190">
        <v>2411784</v>
      </c>
      <c r="H54" s="190">
        <v>16000</v>
      </c>
      <c r="I54" s="190">
        <v>16000</v>
      </c>
      <c r="J54" s="190">
        <v>3770803</v>
      </c>
      <c r="K54" s="190">
        <v>7136077</v>
      </c>
      <c r="L54" s="190">
        <v>8454129</v>
      </c>
      <c r="M54" s="190">
        <v>9305532</v>
      </c>
      <c r="N54" s="190">
        <v>6952196</v>
      </c>
      <c r="O54" s="190">
        <v>4912450</v>
      </c>
      <c r="P54" s="190">
        <v>21732051</v>
      </c>
      <c r="Q54" s="190">
        <v>22109493</v>
      </c>
      <c r="R54" s="190">
        <v>30982759</v>
      </c>
      <c r="S54" s="190">
        <v>24651170</v>
      </c>
      <c r="T54" s="190">
        <v>33376063</v>
      </c>
      <c r="U54" s="190">
        <v>48587647</v>
      </c>
      <c r="V54" s="190">
        <v>44278495</v>
      </c>
      <c r="W54" s="190">
        <v>53293980</v>
      </c>
      <c r="X54" s="190">
        <v>50886718</v>
      </c>
      <c r="Y54" s="190">
        <v>69617047</v>
      </c>
      <c r="Z54" s="190">
        <v>57162168</v>
      </c>
      <c r="AA54" s="190">
        <v>117610792</v>
      </c>
      <c r="AB54" s="190">
        <v>36616162</v>
      </c>
      <c r="AC54" s="190">
        <v>4797571</v>
      </c>
      <c r="AD54" s="190">
        <v>734891749</v>
      </c>
      <c r="AE54" s="190">
        <v>623753675</v>
      </c>
      <c r="AF54" s="190">
        <v>360646284</v>
      </c>
      <c r="AG54" s="190">
        <v>173579459</v>
      </c>
      <c r="AH54" s="190">
        <v>60954208</v>
      </c>
      <c r="AI54" s="190">
        <v>51607646</v>
      </c>
      <c r="AJ54" s="190">
        <v>97194622</v>
      </c>
      <c r="AK54" s="190">
        <v>65789676</v>
      </c>
      <c r="AL54" s="190">
        <v>56143444</v>
      </c>
      <c r="AM54" s="190">
        <v>32683060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201978</v>
      </c>
      <c r="D55" s="190">
        <v>82955</v>
      </c>
      <c r="E55" s="190">
        <v>0</v>
      </c>
      <c r="F55" s="190">
        <v>365616</v>
      </c>
      <c r="G55" s="190">
        <v>158201</v>
      </c>
      <c r="H55" s="190">
        <v>107446</v>
      </c>
      <c r="I55" s="190">
        <v>0</v>
      </c>
      <c r="J55" s="190">
        <v>37890</v>
      </c>
      <c r="K55" s="190">
        <v>329708</v>
      </c>
      <c r="L55" s="190">
        <v>308103</v>
      </c>
      <c r="M55" s="190">
        <v>0</v>
      </c>
      <c r="N55" s="190">
        <v>0</v>
      </c>
      <c r="O55" s="190">
        <v>0</v>
      </c>
      <c r="P55" s="190">
        <v>209162</v>
      </c>
      <c r="Q55" s="190">
        <v>0</v>
      </c>
      <c r="R55" s="190">
        <v>37775553</v>
      </c>
      <c r="S55" s="190">
        <v>37729340</v>
      </c>
      <c r="T55" s="190">
        <v>36376423</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931805507</v>
      </c>
      <c r="C58" s="190">
        <v>940601835</v>
      </c>
      <c r="D58" s="190">
        <v>1007110912</v>
      </c>
      <c r="E58" s="190">
        <v>1047036415</v>
      </c>
      <c r="F58" s="190">
        <v>986390530</v>
      </c>
      <c r="G58" s="190">
        <v>1021153869</v>
      </c>
      <c r="H58" s="190">
        <v>1004012988</v>
      </c>
      <c r="I58" s="190">
        <v>1020799390</v>
      </c>
      <c r="J58" s="190">
        <v>997663750</v>
      </c>
      <c r="K58" s="190">
        <v>1008996623</v>
      </c>
      <c r="L58" s="190">
        <v>1016895802</v>
      </c>
      <c r="M58" s="190">
        <v>1031683032</v>
      </c>
      <c r="N58" s="190">
        <v>969066663</v>
      </c>
      <c r="O58" s="190">
        <v>982955257</v>
      </c>
      <c r="P58" s="190">
        <v>986309783</v>
      </c>
      <c r="Q58" s="190">
        <v>979668847</v>
      </c>
      <c r="R58" s="190">
        <v>1073230654</v>
      </c>
      <c r="S58" s="190">
        <v>1078650289</v>
      </c>
      <c r="T58" s="190">
        <v>1034481564</v>
      </c>
      <c r="U58" s="190">
        <v>1048164836</v>
      </c>
      <c r="V58" s="190">
        <v>1035969931</v>
      </c>
      <c r="W58" s="190">
        <v>1034877948</v>
      </c>
      <c r="X58" s="190">
        <v>972382118</v>
      </c>
      <c r="Y58" s="190">
        <v>987518068</v>
      </c>
      <c r="Z58" s="190">
        <v>949478917</v>
      </c>
      <c r="AA58" s="190">
        <v>963030792</v>
      </c>
      <c r="AB58" s="190">
        <v>909108560</v>
      </c>
      <c r="AC58" s="190">
        <v>893256680</v>
      </c>
      <c r="AD58" s="190">
        <v>778959730</v>
      </c>
      <c r="AE58" s="190">
        <v>769851579</v>
      </c>
      <c r="AF58" s="190">
        <v>481730831</v>
      </c>
      <c r="AG58" s="190">
        <v>339817381</v>
      </c>
      <c r="AH58" s="190">
        <v>127406506</v>
      </c>
      <c r="AI58" s="190">
        <v>84322457</v>
      </c>
      <c r="AJ58" s="190">
        <v>79733020</v>
      </c>
      <c r="AK58" s="190">
        <v>80215139</v>
      </c>
      <c r="AL58" s="190">
        <v>79876959</v>
      </c>
      <c r="AM58" s="190">
        <v>78194930</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496661078</v>
      </c>
      <c r="C59" s="190">
        <v>447988473</v>
      </c>
      <c r="D59" s="190">
        <v>392474312</v>
      </c>
      <c r="E59" s="190">
        <v>335606104</v>
      </c>
      <c r="F59" s="190">
        <v>386890525</v>
      </c>
      <c r="G59" s="190">
        <v>357184322</v>
      </c>
      <c r="H59" s="190">
        <v>306290741</v>
      </c>
      <c r="I59" s="190">
        <v>261456667</v>
      </c>
      <c r="J59" s="190">
        <v>291363507</v>
      </c>
      <c r="K59" s="190">
        <v>268472729</v>
      </c>
      <c r="L59" s="190">
        <v>233934092</v>
      </c>
      <c r="M59" s="190">
        <v>196597406</v>
      </c>
      <c r="N59" s="190">
        <v>223401514</v>
      </c>
      <c r="O59" s="190">
        <v>219071292</v>
      </c>
      <c r="P59" s="190">
        <v>177994929</v>
      </c>
      <c r="Q59" s="190">
        <v>132527870</v>
      </c>
      <c r="R59" s="190">
        <v>117401931</v>
      </c>
      <c r="S59" s="190">
        <v>105494631</v>
      </c>
      <c r="T59" s="190">
        <v>145796740</v>
      </c>
      <c r="U59" s="190">
        <v>140338648</v>
      </c>
      <c r="V59" s="190">
        <v>130374482</v>
      </c>
      <c r="W59" s="190">
        <v>95703770</v>
      </c>
      <c r="X59" s="190">
        <v>65433791</v>
      </c>
      <c r="Y59" s="190">
        <v>46963192</v>
      </c>
      <c r="Z59" s="190">
        <v>39163678</v>
      </c>
      <c r="AA59" s="190">
        <v>36998035</v>
      </c>
      <c r="AB59" s="190">
        <v>34751321</v>
      </c>
      <c r="AC59" s="190">
        <v>33216281</v>
      </c>
      <c r="AD59" s="190">
        <v>661524</v>
      </c>
      <c r="AE59" s="190">
        <v>238092</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158446323</v>
      </c>
      <c r="C60" s="190">
        <v>158446323</v>
      </c>
      <c r="D60" s="190">
        <v>158446323</v>
      </c>
      <c r="E60" s="190">
        <v>158446323</v>
      </c>
      <c r="F60" s="190">
        <v>158472600</v>
      </c>
      <c r="G60" s="190">
        <v>158472600</v>
      </c>
      <c r="H60" s="190">
        <v>158446323</v>
      </c>
      <c r="I60" s="190">
        <v>158446323</v>
      </c>
      <c r="J60" s="190">
        <v>157080349</v>
      </c>
      <c r="K60" s="190">
        <v>157080349</v>
      </c>
      <c r="L60" s="190">
        <v>157080349</v>
      </c>
      <c r="M60" s="190">
        <v>157080349</v>
      </c>
      <c r="N60" s="190">
        <v>157080349</v>
      </c>
      <c r="O60" s="190">
        <v>157080349</v>
      </c>
      <c r="P60" s="190">
        <v>157080349</v>
      </c>
      <c r="Q60" s="190">
        <v>157080349</v>
      </c>
      <c r="R60" s="190">
        <v>157080349</v>
      </c>
      <c r="S60" s="190">
        <v>157080349</v>
      </c>
      <c r="T60" s="190">
        <v>157080349</v>
      </c>
      <c r="U60" s="190">
        <v>157080349</v>
      </c>
      <c r="V60" s="190">
        <v>292080349</v>
      </c>
      <c r="W60" s="190">
        <v>292080349</v>
      </c>
      <c r="X60" s="190">
        <v>292080349</v>
      </c>
      <c r="Y60" s="190">
        <v>292080349</v>
      </c>
      <c r="Z60" s="190">
        <v>296992819</v>
      </c>
      <c r="AA60" s="190">
        <v>296992819</v>
      </c>
      <c r="AB60" s="190">
        <v>278831345</v>
      </c>
      <c r="AC60" s="190">
        <v>278831345</v>
      </c>
      <c r="AD60" s="190">
        <v>278811292</v>
      </c>
      <c r="AE60" s="190">
        <v>278811292</v>
      </c>
      <c r="AF60" s="190">
        <v>208631237</v>
      </c>
      <c r="AG60" s="190">
        <v>100664982</v>
      </c>
      <c r="AH60" s="190">
        <v>13863856</v>
      </c>
      <c r="AI60" s="190">
        <v>3813133</v>
      </c>
      <c r="AJ60" s="190">
        <v>3813133</v>
      </c>
      <c r="AK60" s="190">
        <v>3813133</v>
      </c>
      <c r="AL60" s="190">
        <v>3813133</v>
      </c>
      <c r="AM60" s="190">
        <v>3813133</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15424325</v>
      </c>
      <c r="C61" s="190">
        <v>16379067</v>
      </c>
      <c r="D61" s="190">
        <v>13657001</v>
      </c>
      <c r="E61" s="190">
        <v>13451638</v>
      </c>
      <c r="F61" s="190">
        <v>13737110</v>
      </c>
      <c r="G61" s="190">
        <v>13349566</v>
      </c>
      <c r="H61" s="190">
        <v>11119156</v>
      </c>
      <c r="I61" s="190">
        <v>11391618</v>
      </c>
      <c r="J61" s="190">
        <v>8072827</v>
      </c>
      <c r="K61" s="190">
        <v>8952309</v>
      </c>
      <c r="L61" s="190">
        <v>17678848</v>
      </c>
      <c r="M61" s="190">
        <v>10438299</v>
      </c>
      <c r="N61" s="190">
        <v>11907905</v>
      </c>
      <c r="O61" s="190">
        <v>13406689</v>
      </c>
      <c r="P61" s="190">
        <v>14968481</v>
      </c>
      <c r="Q61" s="190">
        <v>14934689</v>
      </c>
      <c r="R61" s="190">
        <v>20478683</v>
      </c>
      <c r="S61" s="190">
        <v>22096522</v>
      </c>
      <c r="T61" s="190">
        <v>23792894</v>
      </c>
      <c r="U61" s="190">
        <v>23875418</v>
      </c>
      <c r="V61" s="190">
        <v>22489143</v>
      </c>
      <c r="W61" s="190">
        <v>20697629</v>
      </c>
      <c r="X61" s="190">
        <v>21070933</v>
      </c>
      <c r="Y61" s="190">
        <v>22586421</v>
      </c>
      <c r="Z61" s="190">
        <v>21163609</v>
      </c>
      <c r="AA61" s="190">
        <v>22543952</v>
      </c>
      <c r="AB61" s="190">
        <v>16850840</v>
      </c>
      <c r="AC61" s="190">
        <v>18019304</v>
      </c>
      <c r="AD61" s="190">
        <v>14548559</v>
      </c>
      <c r="AE61" s="190">
        <v>10825601</v>
      </c>
      <c r="AF61" s="190">
        <v>7558194</v>
      </c>
      <c r="AG61" s="190">
        <v>5109657</v>
      </c>
      <c r="AH61" s="190">
        <v>916652</v>
      </c>
      <c r="AI61" s="190">
        <v>787137</v>
      </c>
      <c r="AJ61" s="190">
        <v>959472</v>
      </c>
      <c r="AK61" s="190">
        <v>1088723</v>
      </c>
      <c r="AL61" s="190">
        <v>1444918</v>
      </c>
      <c r="AM61" s="190">
        <v>2076005</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300912702</v>
      </c>
      <c r="C62" s="190">
        <v>285191555</v>
      </c>
      <c r="D62" s="190">
        <v>248312081</v>
      </c>
      <c r="E62" s="190">
        <v>225329833</v>
      </c>
      <c r="F62" s="190">
        <v>247947965</v>
      </c>
      <c r="G62" s="190">
        <v>234960662</v>
      </c>
      <c r="H62" s="190">
        <v>220721057</v>
      </c>
      <c r="I62" s="190">
        <v>195942454</v>
      </c>
      <c r="J62" s="190">
        <v>172245156</v>
      </c>
      <c r="K62" s="190">
        <v>152357442</v>
      </c>
      <c r="L62" s="190">
        <v>136140202</v>
      </c>
      <c r="M62" s="190">
        <v>121072828</v>
      </c>
      <c r="N62" s="190">
        <v>110254421</v>
      </c>
      <c r="O62" s="190">
        <v>102550518</v>
      </c>
      <c r="P62" s="190">
        <v>90730193</v>
      </c>
      <c r="Q62" s="190">
        <v>87552940</v>
      </c>
      <c r="R62" s="190">
        <v>80689647</v>
      </c>
      <c r="S62" s="190">
        <v>74345490</v>
      </c>
      <c r="T62" s="190">
        <v>70845855</v>
      </c>
      <c r="U62" s="190">
        <v>57173701</v>
      </c>
      <c r="V62" s="190">
        <v>47869919</v>
      </c>
      <c r="W62" s="190">
        <v>44190344</v>
      </c>
      <c r="X62" s="190">
        <v>40963267</v>
      </c>
      <c r="Y62" s="190">
        <v>38448830</v>
      </c>
      <c r="Z62" s="190">
        <v>35649066</v>
      </c>
      <c r="AA62" s="190">
        <v>33945308</v>
      </c>
      <c r="AB62" s="190">
        <v>30707635</v>
      </c>
      <c r="AC62" s="190">
        <v>26705470</v>
      </c>
      <c r="AD62" s="190">
        <v>25635903</v>
      </c>
      <c r="AE62" s="190">
        <v>23745982</v>
      </c>
      <c r="AF62" s="190">
        <v>23290354</v>
      </c>
      <c r="AG62" s="190">
        <v>10152980</v>
      </c>
      <c r="AH62" s="190">
        <v>4178870</v>
      </c>
      <c r="AI62" s="190">
        <v>3119368</v>
      </c>
      <c r="AJ62" s="190">
        <v>3965802</v>
      </c>
      <c r="AK62" s="190">
        <v>4505724</v>
      </c>
      <c r="AL62" s="190">
        <v>10682475</v>
      </c>
      <c r="AM62" s="190">
        <v>16313449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231500741</v>
      </c>
      <c r="C63" s="190">
        <v>233174561</v>
      </c>
      <c r="D63" s="190">
        <v>241037468</v>
      </c>
      <c r="E63" s="190">
        <v>242668845</v>
      </c>
      <c r="F63" s="190">
        <v>65768350</v>
      </c>
      <c r="G63" s="190">
        <v>67840298</v>
      </c>
      <c r="H63" s="190">
        <v>69920789</v>
      </c>
      <c r="I63" s="190">
        <v>72005549</v>
      </c>
      <c r="J63" s="190">
        <v>66970830</v>
      </c>
      <c r="K63" s="190">
        <v>69397289</v>
      </c>
      <c r="L63" s="190">
        <v>72262081</v>
      </c>
      <c r="M63" s="190">
        <v>74351352</v>
      </c>
      <c r="N63" s="190">
        <v>76878205</v>
      </c>
      <c r="O63" s="190">
        <v>79426569</v>
      </c>
      <c r="P63" s="190">
        <v>81976528</v>
      </c>
      <c r="Q63" s="190">
        <v>84293164</v>
      </c>
      <c r="R63" s="190">
        <v>131277864</v>
      </c>
      <c r="S63" s="190">
        <v>119877747</v>
      </c>
      <c r="T63" s="190">
        <v>117693402</v>
      </c>
      <c r="U63" s="190">
        <v>120566334</v>
      </c>
      <c r="V63" s="190">
        <v>123560515</v>
      </c>
      <c r="W63" s="190">
        <v>126364701</v>
      </c>
      <c r="X63" s="190">
        <v>129007582</v>
      </c>
      <c r="Y63" s="190">
        <v>131899828</v>
      </c>
      <c r="Z63" s="190">
        <v>129505991</v>
      </c>
      <c r="AA63" s="190">
        <v>132202469</v>
      </c>
      <c r="AB63" s="190">
        <v>122534453</v>
      </c>
      <c r="AC63" s="190">
        <v>124110912</v>
      </c>
      <c r="AD63" s="190">
        <v>115786533</v>
      </c>
      <c r="AE63" s="190">
        <v>118344948</v>
      </c>
      <c r="AF63" s="190">
        <v>74644415</v>
      </c>
      <c r="AG63" s="190">
        <v>50310326</v>
      </c>
      <c r="AH63" s="190">
        <v>0</v>
      </c>
      <c r="AI63" s="190">
        <v>0</v>
      </c>
      <c r="AJ63" s="190">
        <v>0</v>
      </c>
      <c r="AK63" s="190">
        <v>0</v>
      </c>
      <c r="AL63" s="190">
        <v>1018669</v>
      </c>
      <c r="AM63" s="190">
        <v>1526959</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387738101</v>
      </c>
      <c r="C64" s="190">
        <v>307585719</v>
      </c>
      <c r="D64" s="190">
        <v>300506673</v>
      </c>
      <c r="E64" s="190">
        <v>295003034</v>
      </c>
      <c r="F64" s="190">
        <v>390307877</v>
      </c>
      <c r="G64" s="190">
        <v>367723718</v>
      </c>
      <c r="H64" s="190">
        <v>393039793</v>
      </c>
      <c r="I64" s="190">
        <v>334650219</v>
      </c>
      <c r="J64" s="190">
        <v>330305731</v>
      </c>
      <c r="K64" s="190">
        <v>239386532</v>
      </c>
      <c r="L64" s="190">
        <v>221226805</v>
      </c>
      <c r="M64" s="190">
        <v>204193695</v>
      </c>
      <c r="N64" s="190">
        <v>421057671</v>
      </c>
      <c r="O64" s="190">
        <v>285521946</v>
      </c>
      <c r="P64" s="190">
        <v>358469031</v>
      </c>
      <c r="Q64" s="190">
        <v>347526280</v>
      </c>
      <c r="R64" s="190">
        <v>329567399</v>
      </c>
      <c r="S64" s="190">
        <v>367022327</v>
      </c>
      <c r="T64" s="190">
        <v>289477055</v>
      </c>
      <c r="U64" s="190">
        <v>300405163</v>
      </c>
      <c r="V64" s="190">
        <v>306911514</v>
      </c>
      <c r="W64" s="190">
        <v>352873785</v>
      </c>
      <c r="X64" s="190">
        <v>401491313</v>
      </c>
      <c r="Y64" s="190">
        <v>352352646</v>
      </c>
      <c r="Z64" s="190">
        <v>196673579</v>
      </c>
      <c r="AA64" s="190">
        <v>836075522</v>
      </c>
      <c r="AB64" s="190">
        <v>631507397</v>
      </c>
      <c r="AC64" s="190">
        <v>449136311</v>
      </c>
      <c r="AD64" s="190">
        <v>0</v>
      </c>
      <c r="AE64" s="190">
        <v>113186</v>
      </c>
      <c r="AF64" s="190">
        <v>1199</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13939724425</v>
      </c>
      <c r="C68" s="36">
        <f t="shared" ref="C68:BN68" si="8">SUM(C52:C64)-2*C63</f>
        <v>13905794681</v>
      </c>
      <c r="D68" s="36">
        <f t="shared" si="8"/>
        <v>13913277294</v>
      </c>
      <c r="E68" s="36">
        <f t="shared" si="8"/>
        <v>13989095411</v>
      </c>
      <c r="F68" s="36">
        <f t="shared" si="8"/>
        <v>14158763571</v>
      </c>
      <c r="G68" s="36">
        <f t="shared" si="8"/>
        <v>14023884115</v>
      </c>
      <c r="H68" s="36">
        <f t="shared" si="8"/>
        <v>13828434072</v>
      </c>
      <c r="I68" s="36">
        <f t="shared" si="8"/>
        <v>13602672308</v>
      </c>
      <c r="J68" s="36">
        <f t="shared" si="8"/>
        <v>13540000949</v>
      </c>
      <c r="K68" s="36">
        <f t="shared" si="8"/>
        <v>13448760837</v>
      </c>
      <c r="L68" s="36">
        <f t="shared" si="8"/>
        <v>13311367398</v>
      </c>
      <c r="M68" s="36">
        <f t="shared" si="8"/>
        <v>13013140819</v>
      </c>
      <c r="N68" s="36">
        <f t="shared" si="8"/>
        <v>12941849340</v>
      </c>
      <c r="O68" s="36">
        <f t="shared" si="8"/>
        <v>12677177260</v>
      </c>
      <c r="P68" s="36">
        <f t="shared" si="8"/>
        <v>12368641982</v>
      </c>
      <c r="Q68" s="36">
        <f t="shared" si="8"/>
        <v>11959105580</v>
      </c>
      <c r="R68" s="36">
        <f t="shared" si="8"/>
        <v>11403334047</v>
      </c>
      <c r="S68" s="36">
        <f t="shared" si="8"/>
        <v>10392929451</v>
      </c>
      <c r="T68" s="36">
        <f t="shared" si="8"/>
        <v>9818579342</v>
      </c>
      <c r="U68" s="36">
        <f t="shared" si="8"/>
        <v>9609090056</v>
      </c>
      <c r="V68" s="36">
        <f t="shared" si="8"/>
        <v>9301441150</v>
      </c>
      <c r="W68" s="36">
        <f t="shared" si="8"/>
        <v>8714334696</v>
      </c>
      <c r="X68" s="36">
        <f t="shared" si="8"/>
        <v>8042626721</v>
      </c>
      <c r="Y68" s="36">
        <f t="shared" si="8"/>
        <v>7464751166</v>
      </c>
      <c r="Z68" s="36">
        <f t="shared" si="8"/>
        <v>6780499394</v>
      </c>
      <c r="AA68" s="36">
        <f t="shared" si="8"/>
        <v>6000409082</v>
      </c>
      <c r="AB68" s="36">
        <f t="shared" si="8"/>
        <v>5341909789</v>
      </c>
      <c r="AC68" s="36">
        <f t="shared" si="8"/>
        <v>4668777499</v>
      </c>
      <c r="AD68" s="36">
        <f t="shared" si="8"/>
        <v>3943920755</v>
      </c>
      <c r="AE68" s="36">
        <f t="shared" si="8"/>
        <v>3495974396</v>
      </c>
      <c r="AF68" s="36">
        <f t="shared" si="8"/>
        <v>2582275596</v>
      </c>
      <c r="AG68" s="36">
        <f t="shared" si="8"/>
        <v>2004358803</v>
      </c>
      <c r="AH68" s="36">
        <f t="shared" si="8"/>
        <v>1426167580</v>
      </c>
      <c r="AI68" s="36">
        <f t="shared" si="8"/>
        <v>1147954410</v>
      </c>
      <c r="AJ68" s="36">
        <f t="shared" si="8"/>
        <v>1106780182</v>
      </c>
      <c r="AK68" s="36">
        <f t="shared" si="8"/>
        <v>1038263232</v>
      </c>
      <c r="AL68" s="36">
        <f t="shared" si="8"/>
        <v>845279326</v>
      </c>
      <c r="AM68" s="36">
        <f t="shared" si="8"/>
        <v>680830458</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17579288831</v>
      </c>
      <c r="C69" s="33">
        <f t="shared" ref="C69:BN69" si="10">C50+C68</f>
        <v>17481965898</v>
      </c>
      <c r="D69" s="33">
        <f t="shared" si="10"/>
        <v>16010230578</v>
      </c>
      <c r="E69" s="33">
        <f t="shared" si="10"/>
        <v>16228687864</v>
      </c>
      <c r="F69" s="33">
        <f t="shared" si="10"/>
        <v>17025311392</v>
      </c>
      <c r="G69" s="33">
        <f t="shared" si="10"/>
        <v>16093428087</v>
      </c>
      <c r="H69" s="33">
        <f t="shared" si="10"/>
        <v>16757942948</v>
      </c>
      <c r="I69" s="33">
        <f t="shared" si="10"/>
        <v>16868518150</v>
      </c>
      <c r="J69" s="33">
        <f t="shared" si="10"/>
        <v>15723841279</v>
      </c>
      <c r="K69" s="33">
        <f t="shared" si="10"/>
        <v>16256802300</v>
      </c>
      <c r="L69" s="33">
        <f t="shared" si="10"/>
        <v>16572574265</v>
      </c>
      <c r="M69" s="33">
        <f t="shared" si="10"/>
        <v>15596734612</v>
      </c>
      <c r="N69" s="33">
        <f t="shared" si="10"/>
        <v>13832383889</v>
      </c>
      <c r="O69" s="33">
        <f t="shared" si="10"/>
        <v>14913118144</v>
      </c>
      <c r="P69" s="33">
        <f t="shared" si="10"/>
        <v>14683347922</v>
      </c>
      <c r="Q69" s="33">
        <f t="shared" si="10"/>
        <v>14894366732</v>
      </c>
      <c r="R69" s="33">
        <f t="shared" si="10"/>
        <v>15704687803</v>
      </c>
      <c r="S69" s="33">
        <f t="shared" si="10"/>
        <v>14898709482</v>
      </c>
      <c r="T69" s="33">
        <f t="shared" si="10"/>
        <v>14443456876</v>
      </c>
      <c r="U69" s="33">
        <f t="shared" si="10"/>
        <v>13431716626</v>
      </c>
      <c r="V69" s="33">
        <f t="shared" si="10"/>
        <v>12769930494</v>
      </c>
      <c r="W69" s="33">
        <f t="shared" si="10"/>
        <v>12402602560</v>
      </c>
      <c r="X69" s="33">
        <f t="shared" si="10"/>
        <v>11046912240</v>
      </c>
      <c r="Y69" s="33">
        <f t="shared" si="10"/>
        <v>10556230279</v>
      </c>
      <c r="Z69" s="33">
        <f t="shared" si="10"/>
        <v>9616051763</v>
      </c>
      <c r="AA69" s="33">
        <f t="shared" si="10"/>
        <v>7996739495</v>
      </c>
      <c r="AB69" s="33">
        <f t="shared" si="10"/>
        <v>8158023147</v>
      </c>
      <c r="AC69" s="33">
        <f t="shared" si="10"/>
        <v>7116919541</v>
      </c>
      <c r="AD69" s="33">
        <f t="shared" si="10"/>
        <v>6577447871</v>
      </c>
      <c r="AE69" s="33">
        <f t="shared" si="10"/>
        <v>5709805743</v>
      </c>
      <c r="AF69" s="33">
        <f t="shared" si="10"/>
        <v>4830771954</v>
      </c>
      <c r="AG69" s="33">
        <f t="shared" si="10"/>
        <v>3915571223</v>
      </c>
      <c r="AH69" s="33">
        <f t="shared" si="10"/>
        <v>3221836176</v>
      </c>
      <c r="AI69" s="33">
        <f t="shared" si="10"/>
        <v>2778929744</v>
      </c>
      <c r="AJ69" s="33">
        <f t="shared" si="10"/>
        <v>2474199899</v>
      </c>
      <c r="AK69" s="33">
        <f t="shared" si="10"/>
        <v>2241075249</v>
      </c>
      <c r="AL69" s="33">
        <f t="shared" si="10"/>
        <v>1723408869</v>
      </c>
      <c r="AM69" s="33">
        <f t="shared" si="10"/>
        <v>1087343813</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21939979659</v>
      </c>
      <c r="C70" s="37">
        <f t="shared" ref="C70:BN70" si="12">C17+C19+C69</f>
        <v>20783938536</v>
      </c>
      <c r="D70" s="37">
        <f t="shared" si="12"/>
        <v>19942059349</v>
      </c>
      <c r="E70" s="37">
        <f t="shared" si="12"/>
        <v>19609069244</v>
      </c>
      <c r="F70" s="37">
        <f t="shared" si="12"/>
        <v>20278768043</v>
      </c>
      <c r="G70" s="37">
        <f t="shared" si="12"/>
        <v>18482468203</v>
      </c>
      <c r="H70" s="37">
        <f t="shared" si="12"/>
        <v>20551364365</v>
      </c>
      <c r="I70" s="37">
        <f t="shared" si="12"/>
        <v>19109250331</v>
      </c>
      <c r="J70" s="37">
        <f t="shared" si="12"/>
        <v>18544485359</v>
      </c>
      <c r="K70" s="37">
        <f t="shared" si="12"/>
        <v>19146362591</v>
      </c>
      <c r="L70" s="37">
        <f t="shared" si="12"/>
        <v>19420073731</v>
      </c>
      <c r="M70" s="37">
        <f t="shared" si="12"/>
        <v>17869042265</v>
      </c>
      <c r="N70" s="37">
        <f t="shared" si="12"/>
        <v>16278329629</v>
      </c>
      <c r="O70" s="37">
        <f t="shared" si="12"/>
        <v>16844088211</v>
      </c>
      <c r="P70" s="37">
        <f t="shared" si="12"/>
        <v>16785598672</v>
      </c>
      <c r="Q70" s="37">
        <f t="shared" si="12"/>
        <v>17458651728</v>
      </c>
      <c r="R70" s="37">
        <f t="shared" si="12"/>
        <v>18303005251</v>
      </c>
      <c r="S70" s="37">
        <f t="shared" si="12"/>
        <v>17298799568</v>
      </c>
      <c r="T70" s="37">
        <f t="shared" si="12"/>
        <v>16545584234</v>
      </c>
      <c r="U70" s="37">
        <f t="shared" si="12"/>
        <v>15782611835</v>
      </c>
      <c r="V70" s="37">
        <f t="shared" si="12"/>
        <v>16000788252</v>
      </c>
      <c r="W70" s="37">
        <f t="shared" si="12"/>
        <v>14607975481</v>
      </c>
      <c r="X70" s="37">
        <f t="shared" si="12"/>
        <v>14187732759</v>
      </c>
      <c r="Y70" s="37">
        <f t="shared" si="12"/>
        <v>12969222317</v>
      </c>
      <c r="Z70" s="37">
        <f t="shared" si="12"/>
        <v>11801027067</v>
      </c>
      <c r="AA70" s="37">
        <f t="shared" si="12"/>
        <v>11700328875</v>
      </c>
      <c r="AB70" s="37">
        <f t="shared" si="12"/>
        <v>9826769922</v>
      </c>
      <c r="AC70" s="37">
        <f t="shared" si="12"/>
        <v>9223563421</v>
      </c>
      <c r="AD70" s="37">
        <f t="shared" si="12"/>
        <v>9351933619</v>
      </c>
      <c r="AE70" s="37">
        <f t="shared" si="12"/>
        <v>8620828635</v>
      </c>
      <c r="AF70" s="37">
        <f t="shared" si="12"/>
        <v>8419661910</v>
      </c>
      <c r="AG70" s="37">
        <f t="shared" si="12"/>
        <v>8146583147</v>
      </c>
      <c r="AH70" s="37">
        <f t="shared" si="12"/>
        <v>7714645021</v>
      </c>
      <c r="AI70" s="37">
        <f t="shared" si="12"/>
        <v>7718199999</v>
      </c>
      <c r="AJ70" s="37">
        <f t="shared" si="12"/>
        <v>2876064599</v>
      </c>
      <c r="AK70" s="37">
        <f t="shared" si="12"/>
        <v>2757682012</v>
      </c>
      <c r="AL70" s="37">
        <f t="shared" si="12"/>
        <v>2064619937</v>
      </c>
      <c r="AM70" s="37">
        <f t="shared" si="12"/>
        <v>1190467961</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4130158332</v>
      </c>
      <c r="F72" s="28">
        <f t="shared" ref="F72:BQ72" si="14">SUM(F73:F77)</f>
        <v>5138662400</v>
      </c>
      <c r="G72" s="28">
        <f t="shared" si="14"/>
        <v>5629428600</v>
      </c>
      <c r="H72" s="28">
        <f t="shared" si="14"/>
        <v>7524534273</v>
      </c>
      <c r="I72" s="28">
        <f t="shared" si="14"/>
        <v>6235486599</v>
      </c>
      <c r="J72" s="28">
        <f t="shared" si="14"/>
        <v>4120831910</v>
      </c>
      <c r="K72" s="28">
        <f t="shared" si="14"/>
        <v>4989740236</v>
      </c>
      <c r="L72" s="28">
        <f t="shared" si="14"/>
        <v>3778333997</v>
      </c>
      <c r="M72" s="28">
        <f t="shared" si="14"/>
        <v>3283281630</v>
      </c>
      <c r="N72" s="28">
        <f t="shared" si="14"/>
        <v>2456399160</v>
      </c>
      <c r="O72" s="28">
        <f t="shared" si="14"/>
        <v>2267759487</v>
      </c>
      <c r="P72" s="28">
        <f t="shared" si="14"/>
        <v>2277218995</v>
      </c>
      <c r="Q72" s="28">
        <f t="shared" si="14"/>
        <v>2153759879</v>
      </c>
      <c r="R72" s="28">
        <f t="shared" si="14"/>
        <v>2342286927</v>
      </c>
      <c r="S72" s="28">
        <f t="shared" si="14"/>
        <v>2219148812</v>
      </c>
      <c r="T72" s="28">
        <f t="shared" si="14"/>
        <v>1754348417</v>
      </c>
      <c r="U72" s="28">
        <f t="shared" si="14"/>
        <v>1272092547</v>
      </c>
      <c r="V72" s="28">
        <f t="shared" si="14"/>
        <v>939914274</v>
      </c>
      <c r="W72" s="28">
        <f t="shared" si="14"/>
        <v>719810875</v>
      </c>
      <c r="X72" s="28">
        <f t="shared" si="14"/>
        <v>498724772</v>
      </c>
      <c r="Y72" s="28">
        <f t="shared" si="14"/>
        <v>578848631</v>
      </c>
      <c r="Z72" s="28">
        <f t="shared" si="14"/>
        <v>1146377034</v>
      </c>
      <c r="AA72" s="28">
        <f t="shared" si="14"/>
        <v>1324940098</v>
      </c>
      <c r="AB72" s="28">
        <f t="shared" si="14"/>
        <v>1439935861</v>
      </c>
      <c r="AC72" s="28">
        <f t="shared" si="14"/>
        <v>1053009587</v>
      </c>
      <c r="AD72" s="28">
        <f t="shared" si="14"/>
        <v>1483677097</v>
      </c>
      <c r="AE72" s="28">
        <f t="shared" si="14"/>
        <v>1199225776</v>
      </c>
      <c r="AF72" s="28">
        <f t="shared" si="14"/>
        <v>1020232983</v>
      </c>
      <c r="AG72" s="28">
        <f t="shared" si="14"/>
        <v>952156379</v>
      </c>
      <c r="AH72" s="28">
        <f t="shared" si="14"/>
        <v>824212006</v>
      </c>
      <c r="AI72" s="28">
        <f t="shared" si="14"/>
        <v>1010554134</v>
      </c>
      <c r="AJ72" s="28">
        <f t="shared" si="14"/>
        <v>1108179763</v>
      </c>
      <c r="AK72" s="28">
        <f t="shared" si="14"/>
        <v>1082891177</v>
      </c>
      <c r="AL72" s="28">
        <f t="shared" si="14"/>
        <v>856593527</v>
      </c>
      <c r="AM72" s="28">
        <f t="shared" si="14"/>
        <v>453230326</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3020000000</v>
      </c>
      <c r="C73" s="190">
        <v>3320000000</v>
      </c>
      <c r="D73" s="190">
        <v>3020000000</v>
      </c>
      <c r="E73" s="190">
        <v>2720000000</v>
      </c>
      <c r="F73" s="190">
        <v>2218000000</v>
      </c>
      <c r="G73" s="190">
        <v>2770000000</v>
      </c>
      <c r="H73" s="190">
        <v>3020000000</v>
      </c>
      <c r="I73" s="190">
        <v>2820000000</v>
      </c>
      <c r="J73" s="190">
        <v>2195000000</v>
      </c>
      <c r="K73" s="190">
        <v>2695000000</v>
      </c>
      <c r="L73" s="190">
        <v>2495000000</v>
      </c>
      <c r="M73" s="190">
        <v>2220000000</v>
      </c>
      <c r="N73" s="190">
        <v>2169000000</v>
      </c>
      <c r="O73" s="190">
        <v>2044000000</v>
      </c>
      <c r="P73" s="190">
        <v>2043188834</v>
      </c>
      <c r="Q73" s="190">
        <v>1987793705</v>
      </c>
      <c r="R73" s="190">
        <v>2205819473</v>
      </c>
      <c r="S73" s="190">
        <v>2130378392</v>
      </c>
      <c r="T73" s="190">
        <v>1640000000</v>
      </c>
      <c r="U73" s="190">
        <v>1150000000</v>
      </c>
      <c r="V73" s="190">
        <v>800000000</v>
      </c>
      <c r="W73" s="190">
        <v>630000000</v>
      </c>
      <c r="X73" s="190">
        <v>363000000</v>
      </c>
      <c r="Y73" s="190">
        <v>503000000</v>
      </c>
      <c r="Z73" s="190">
        <v>1111400000</v>
      </c>
      <c r="AA73" s="190">
        <v>1261400000</v>
      </c>
      <c r="AB73" s="190">
        <v>1060900000</v>
      </c>
      <c r="AC73" s="190">
        <v>939600000</v>
      </c>
      <c r="AD73" s="190">
        <v>1080696911</v>
      </c>
      <c r="AE73" s="190">
        <v>1125044951</v>
      </c>
      <c r="AF73" s="190">
        <v>1010851518</v>
      </c>
      <c r="AG73" s="190">
        <v>943574276</v>
      </c>
      <c r="AH73" s="190">
        <v>818676103</v>
      </c>
      <c r="AI73" s="190">
        <v>1005064431</v>
      </c>
      <c r="AJ73" s="190">
        <v>1102634163</v>
      </c>
      <c r="AK73" s="190">
        <v>1077493875</v>
      </c>
      <c r="AL73" s="190">
        <v>813599364</v>
      </c>
      <c r="AM73" s="190">
        <v>416398060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217447676</v>
      </c>
      <c r="D74" s="190">
        <v>145096267</v>
      </c>
      <c r="E74" s="190">
        <v>228305476</v>
      </c>
      <c r="F74" s="190">
        <v>214336669</v>
      </c>
      <c r="G74" s="190">
        <v>125208476</v>
      </c>
      <c r="H74" s="190">
        <v>143633315</v>
      </c>
      <c r="I74" s="190">
        <v>137207338</v>
      </c>
      <c r="J74" s="190">
        <v>169056682</v>
      </c>
      <c r="K74" s="190">
        <v>143536791</v>
      </c>
      <c r="L74" s="190">
        <v>161185510</v>
      </c>
      <c r="M74" s="190">
        <v>141406056</v>
      </c>
      <c r="N74" s="190">
        <v>187399160</v>
      </c>
      <c r="O74" s="190">
        <v>123759487</v>
      </c>
      <c r="P74" s="190">
        <v>134030161</v>
      </c>
      <c r="Q74" s="190">
        <v>115966174</v>
      </c>
      <c r="R74" s="190">
        <v>134767454</v>
      </c>
      <c r="S74" s="190">
        <v>87070420</v>
      </c>
      <c r="T74" s="190">
        <v>112648417</v>
      </c>
      <c r="U74" s="190">
        <v>120392547</v>
      </c>
      <c r="V74" s="190">
        <v>139914274</v>
      </c>
      <c r="W74" s="190">
        <v>89810875</v>
      </c>
      <c r="X74" s="190">
        <v>135724772</v>
      </c>
      <c r="Y74" s="190">
        <v>75848631</v>
      </c>
      <c r="Z74" s="190">
        <v>33264999</v>
      </c>
      <c r="AA74" s="190">
        <v>30590800</v>
      </c>
      <c r="AB74" s="190">
        <v>21139300</v>
      </c>
      <c r="AC74" s="190">
        <v>9675000</v>
      </c>
      <c r="AD74" s="190">
        <v>0</v>
      </c>
      <c r="AE74" s="190">
        <v>0</v>
      </c>
      <c r="AF74" s="190">
        <v>0</v>
      </c>
      <c r="AG74" s="190">
        <v>0</v>
      </c>
      <c r="AH74" s="190">
        <v>0</v>
      </c>
      <c r="AI74" s="190">
        <v>0</v>
      </c>
      <c r="AJ74" s="190">
        <v>0</v>
      </c>
      <c r="AK74" s="190">
        <v>0</v>
      </c>
      <c r="AL74" s="190">
        <v>0</v>
      </c>
      <c r="AM74" s="190">
        <v>0</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300000000</v>
      </c>
      <c r="AC75" s="190">
        <v>0</v>
      </c>
      <c r="AD75" s="190">
        <v>300000000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175695781</v>
      </c>
      <c r="C76" s="190">
        <v>80000000</v>
      </c>
      <c r="D76" s="190">
        <v>70000000</v>
      </c>
      <c r="E76" s="190">
        <v>1181852856</v>
      </c>
      <c r="F76" s="190">
        <v>2706325731</v>
      </c>
      <c r="G76" s="190">
        <v>2734220124</v>
      </c>
      <c r="H76" s="190">
        <v>4360900958</v>
      </c>
      <c r="I76" s="190">
        <v>3278279261</v>
      </c>
      <c r="J76" s="190">
        <v>1756775228</v>
      </c>
      <c r="K76" s="190">
        <v>2151203445</v>
      </c>
      <c r="L76" s="190">
        <v>1122148487</v>
      </c>
      <c r="M76" s="190">
        <v>921875574</v>
      </c>
      <c r="N76" s="190">
        <v>100000000</v>
      </c>
      <c r="O76" s="190">
        <v>100000000</v>
      </c>
      <c r="P76" s="190">
        <v>100000000</v>
      </c>
      <c r="Q76" s="190">
        <v>50000000</v>
      </c>
      <c r="R76" s="190">
        <v>1700000</v>
      </c>
      <c r="S76" s="190">
        <v>1700000</v>
      </c>
      <c r="T76" s="190">
        <v>1700000</v>
      </c>
      <c r="U76" s="190">
        <v>1700000</v>
      </c>
      <c r="V76" s="190">
        <v>0</v>
      </c>
      <c r="W76" s="190">
        <v>0</v>
      </c>
      <c r="X76" s="190">
        <v>0</v>
      </c>
      <c r="Y76" s="190">
        <v>0</v>
      </c>
      <c r="Z76" s="190">
        <v>1712035</v>
      </c>
      <c r="AA76" s="190">
        <v>32949298</v>
      </c>
      <c r="AB76" s="190">
        <v>57896561</v>
      </c>
      <c r="AC76" s="190">
        <v>103734587</v>
      </c>
      <c r="AD76" s="190">
        <v>102980186</v>
      </c>
      <c r="AE76" s="190">
        <v>74180825</v>
      </c>
      <c r="AF76" s="190">
        <v>9381465</v>
      </c>
      <c r="AG76" s="190">
        <v>8582103</v>
      </c>
      <c r="AH76" s="190">
        <v>5535903</v>
      </c>
      <c r="AI76" s="190">
        <v>5489703</v>
      </c>
      <c r="AJ76" s="190">
        <v>5545600</v>
      </c>
      <c r="AK76" s="190">
        <v>5397302</v>
      </c>
      <c r="AL76" s="190">
        <v>42994163</v>
      </c>
      <c r="AM76" s="190">
        <v>36832266</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3496458807</v>
      </c>
      <c r="F81" s="28">
        <f t="shared" ref="F81:BQ81" si="16">SUM(F82:F85)</f>
        <v>3036694777</v>
      </c>
      <c r="G81" s="28">
        <f t="shared" si="16"/>
        <v>1042011481</v>
      </c>
      <c r="H81" s="28">
        <f t="shared" si="16"/>
        <v>1071340561</v>
      </c>
      <c r="I81" s="28">
        <f t="shared" si="16"/>
        <v>1386414756</v>
      </c>
      <c r="J81" s="28">
        <f t="shared" si="16"/>
        <v>2902208921</v>
      </c>
      <c r="K81" s="28">
        <f t="shared" si="16"/>
        <v>2787772273</v>
      </c>
      <c r="L81" s="28">
        <f t="shared" si="16"/>
        <v>4290986955</v>
      </c>
      <c r="M81" s="28">
        <f t="shared" si="16"/>
        <v>3421900688</v>
      </c>
      <c r="N81" s="28">
        <f t="shared" si="16"/>
        <v>2770760455</v>
      </c>
      <c r="O81" s="28">
        <f t="shared" si="16"/>
        <v>3333760025</v>
      </c>
      <c r="P81" s="28">
        <f t="shared" si="16"/>
        <v>3343544022</v>
      </c>
      <c r="Q81" s="28">
        <f t="shared" si="16"/>
        <v>4334521311</v>
      </c>
      <c r="R81" s="28">
        <f t="shared" si="16"/>
        <v>5143756203</v>
      </c>
      <c r="S81" s="28">
        <f t="shared" si="16"/>
        <v>4542124064</v>
      </c>
      <c r="T81" s="28">
        <f t="shared" si="16"/>
        <v>4540542071</v>
      </c>
      <c r="U81" s="28">
        <f t="shared" si="16"/>
        <v>4486606544</v>
      </c>
      <c r="V81" s="28">
        <f t="shared" si="16"/>
        <v>5271302120</v>
      </c>
      <c r="W81" s="28">
        <f t="shared" si="16"/>
        <v>4416989615</v>
      </c>
      <c r="X81" s="28">
        <f t="shared" si="16"/>
        <v>4415212945</v>
      </c>
      <c r="Y81" s="28">
        <f t="shared" si="16"/>
        <v>3326295923</v>
      </c>
      <c r="Z81" s="28">
        <f t="shared" si="16"/>
        <v>1925339869</v>
      </c>
      <c r="AA81" s="28">
        <f t="shared" si="16"/>
        <v>1956237775</v>
      </c>
      <c r="AB81" s="28">
        <f t="shared" si="16"/>
        <v>288368137</v>
      </c>
      <c r="AC81" s="28">
        <f t="shared" si="16"/>
        <v>239583521</v>
      </c>
      <c r="AD81" s="28">
        <f t="shared" si="16"/>
        <v>241677264</v>
      </c>
      <c r="AE81" s="28">
        <f t="shared" si="16"/>
        <v>71394527</v>
      </c>
      <c r="AF81" s="28">
        <f t="shared" si="16"/>
        <v>192091790</v>
      </c>
      <c r="AG81" s="28">
        <f t="shared" si="16"/>
        <v>142789054</v>
      </c>
      <c r="AH81" s="28">
        <f t="shared" si="16"/>
        <v>95686955</v>
      </c>
      <c r="AI81" s="28">
        <f t="shared" si="16"/>
        <v>95584857</v>
      </c>
      <c r="AJ81" s="28">
        <f t="shared" si="16"/>
        <v>95380663</v>
      </c>
      <c r="AK81" s="28">
        <f t="shared" si="16"/>
        <v>95380663</v>
      </c>
      <c r="AL81" s="28">
        <f t="shared" si="16"/>
        <v>17787472</v>
      </c>
      <c r="AM81" s="28">
        <f t="shared" si="16"/>
        <v>46021310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375090886</v>
      </c>
      <c r="C82" s="190">
        <v>168000000</v>
      </c>
      <c r="D82" s="190">
        <v>208000000</v>
      </c>
      <c r="E82" s="190">
        <v>208000000</v>
      </c>
      <c r="F82" s="190">
        <v>248000000</v>
      </c>
      <c r="G82" s="190">
        <v>248000000</v>
      </c>
      <c r="H82" s="190">
        <v>278000000</v>
      </c>
      <c r="I82" s="190">
        <v>290486918</v>
      </c>
      <c r="J82" s="190">
        <v>311680739</v>
      </c>
      <c r="K82" s="190">
        <v>193056462</v>
      </c>
      <c r="L82" s="190">
        <v>100526904</v>
      </c>
      <c r="M82" s="190">
        <v>327113550</v>
      </c>
      <c r="N82" s="190">
        <v>1069745157</v>
      </c>
      <c r="O82" s="190">
        <v>1096215143</v>
      </c>
      <c r="P82" s="190">
        <v>1067304596</v>
      </c>
      <c r="Q82" s="190">
        <v>850000000</v>
      </c>
      <c r="R82" s="190">
        <v>100000000</v>
      </c>
      <c r="S82" s="190">
        <v>100000000</v>
      </c>
      <c r="T82" s="190">
        <v>100000000</v>
      </c>
      <c r="U82" s="190">
        <v>50000000</v>
      </c>
      <c r="V82" s="190">
        <v>842142200</v>
      </c>
      <c r="W82" s="190">
        <v>1700000</v>
      </c>
      <c r="X82" s="190">
        <v>1700000</v>
      </c>
      <c r="Y82" s="190">
        <v>1700000</v>
      </c>
      <c r="Z82" s="190">
        <v>71700000</v>
      </c>
      <c r="AA82" s="190">
        <v>103700000</v>
      </c>
      <c r="AB82" s="190">
        <v>78700000</v>
      </c>
      <c r="AC82" s="190">
        <v>33700000</v>
      </c>
      <c r="AD82" s="190">
        <v>42000000</v>
      </c>
      <c r="AE82" s="190">
        <v>70000000</v>
      </c>
      <c r="AF82" s="190">
        <v>190000000</v>
      </c>
      <c r="AG82" s="190">
        <v>140000000</v>
      </c>
      <c r="AH82" s="190">
        <v>90000000</v>
      </c>
      <c r="AI82" s="190">
        <v>90000000</v>
      </c>
      <c r="AJ82" s="190">
        <v>90000000</v>
      </c>
      <c r="AK82" s="190">
        <v>90000000</v>
      </c>
      <c r="AL82" s="190">
        <v>10000000</v>
      </c>
      <c r="AM82" s="190">
        <v>36000000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4186187466</v>
      </c>
      <c r="C83" s="190">
        <v>4188070805</v>
      </c>
      <c r="D83" s="190">
        <v>4186913535</v>
      </c>
      <c r="E83" s="190">
        <v>3288458807</v>
      </c>
      <c r="F83" s="190">
        <v>2788694777</v>
      </c>
      <c r="G83" s="190">
        <v>794011481</v>
      </c>
      <c r="H83" s="190">
        <v>793340561</v>
      </c>
      <c r="I83" s="190">
        <v>1095927838</v>
      </c>
      <c r="J83" s="190">
        <v>2590528182</v>
      </c>
      <c r="K83" s="190">
        <v>2588715811</v>
      </c>
      <c r="L83" s="190">
        <v>4184460051</v>
      </c>
      <c r="M83" s="190">
        <v>3088787138</v>
      </c>
      <c r="N83" s="190">
        <v>1595015298</v>
      </c>
      <c r="O83" s="190">
        <v>1797544882</v>
      </c>
      <c r="P83" s="190">
        <v>1796239426</v>
      </c>
      <c r="Q83" s="190">
        <v>2884521311</v>
      </c>
      <c r="R83" s="190">
        <v>4374175280</v>
      </c>
      <c r="S83" s="190">
        <v>4371262670</v>
      </c>
      <c r="T83" s="190">
        <v>4368681937</v>
      </c>
      <c r="U83" s="190">
        <v>4365749880</v>
      </c>
      <c r="V83" s="190">
        <v>4363384520</v>
      </c>
      <c r="W83" s="190">
        <v>4360507242</v>
      </c>
      <c r="X83" s="190">
        <v>4361696984</v>
      </c>
      <c r="Y83" s="190">
        <v>3274852062</v>
      </c>
      <c r="Z83" s="190">
        <v>1792127604</v>
      </c>
      <c r="AA83" s="190">
        <v>1790394086</v>
      </c>
      <c r="AB83" s="190">
        <v>199067072</v>
      </c>
      <c r="AC83" s="190">
        <v>199023536</v>
      </c>
      <c r="AD83" s="190">
        <v>198980000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6000000</v>
      </c>
      <c r="L84" s="190">
        <v>6000000</v>
      </c>
      <c r="M84" s="190">
        <v>6000000</v>
      </c>
      <c r="N84" s="190">
        <v>106000000</v>
      </c>
      <c r="O84" s="190">
        <v>440000000</v>
      </c>
      <c r="P84" s="190">
        <v>480000000</v>
      </c>
      <c r="Q84" s="190">
        <v>600000000</v>
      </c>
      <c r="R84" s="190">
        <v>0</v>
      </c>
      <c r="S84" s="190">
        <v>0</v>
      </c>
      <c r="T84" s="190">
        <v>0</v>
      </c>
      <c r="U84" s="190">
        <v>0</v>
      </c>
      <c r="V84" s="190">
        <v>0</v>
      </c>
      <c r="W84" s="190">
        <v>0</v>
      </c>
      <c r="X84" s="190">
        <v>0</v>
      </c>
      <c r="Y84" s="190">
        <v>0</v>
      </c>
      <c r="Z84" s="190">
        <v>49700070</v>
      </c>
      <c r="AA84" s="190">
        <v>49592624</v>
      </c>
      <c r="AB84" s="190">
        <v>0</v>
      </c>
      <c r="AC84" s="190">
        <v>0</v>
      </c>
      <c r="AD84" s="190">
        <v>697264</v>
      </c>
      <c r="AE84" s="190">
        <v>1394527</v>
      </c>
      <c r="AF84" s="190">
        <v>2091790</v>
      </c>
      <c r="AG84" s="190">
        <v>2789054</v>
      </c>
      <c r="AH84" s="190">
        <v>5686955</v>
      </c>
      <c r="AI84" s="190">
        <v>5584857</v>
      </c>
      <c r="AJ84" s="190">
        <v>5380663</v>
      </c>
      <c r="AK84" s="190">
        <v>5380663</v>
      </c>
      <c r="AL84" s="190">
        <v>7787472</v>
      </c>
      <c r="AM84" s="190">
        <v>10021310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669580923</v>
      </c>
      <c r="S85" s="190">
        <v>70861394</v>
      </c>
      <c r="T85" s="190">
        <v>71860134</v>
      </c>
      <c r="U85" s="190">
        <v>70856664</v>
      </c>
      <c r="V85" s="190">
        <v>65775400</v>
      </c>
      <c r="W85" s="190">
        <v>54782373</v>
      </c>
      <c r="X85" s="190">
        <v>51815961</v>
      </c>
      <c r="Y85" s="190">
        <v>49743861</v>
      </c>
      <c r="Z85" s="190">
        <v>11812195</v>
      </c>
      <c r="AA85" s="190">
        <v>12551065</v>
      </c>
      <c r="AB85" s="190">
        <v>10601065</v>
      </c>
      <c r="AC85" s="190">
        <v>6859985</v>
      </c>
      <c r="AD85" s="190">
        <v>0</v>
      </c>
      <c r="AE85" s="190">
        <v>0</v>
      </c>
      <c r="AF85" s="190">
        <v>0</v>
      </c>
      <c r="AG85" s="190">
        <v>0</v>
      </c>
      <c r="AH85" s="190">
        <v>0</v>
      </c>
      <c r="AI85" s="190">
        <v>0</v>
      </c>
      <c r="AJ85" s="190">
        <v>0</v>
      </c>
      <c r="AK85" s="190">
        <v>0</v>
      </c>
      <c r="AL85" s="190">
        <v>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7756974133</v>
      </c>
      <c r="C89" s="33">
        <f>SUM(C73:C85)</f>
        <v>7973518481</v>
      </c>
      <c r="D89" s="33">
        <f>SUM(D73:D85)</f>
        <v>7630009802</v>
      </c>
      <c r="E89" s="33">
        <f>E72+E81</f>
        <v>7626617139</v>
      </c>
      <c r="F89" s="33">
        <f t="shared" ref="F89:BQ89" si="18">F72+F81</f>
        <v>8175357177</v>
      </c>
      <c r="G89" s="33">
        <f t="shared" si="18"/>
        <v>6671440081</v>
      </c>
      <c r="H89" s="33">
        <f t="shared" si="18"/>
        <v>8595874834</v>
      </c>
      <c r="I89" s="33">
        <f t="shared" si="18"/>
        <v>7621901355</v>
      </c>
      <c r="J89" s="33">
        <f t="shared" si="18"/>
        <v>7023040831</v>
      </c>
      <c r="K89" s="33">
        <f t="shared" si="18"/>
        <v>7777512509</v>
      </c>
      <c r="L89" s="33">
        <f t="shared" si="18"/>
        <v>8069320952</v>
      </c>
      <c r="M89" s="33">
        <f t="shared" si="18"/>
        <v>6705182318</v>
      </c>
      <c r="N89" s="33">
        <f t="shared" si="18"/>
        <v>5227159615</v>
      </c>
      <c r="O89" s="33">
        <f t="shared" si="18"/>
        <v>5601519512</v>
      </c>
      <c r="P89" s="33">
        <f t="shared" si="18"/>
        <v>5620763017</v>
      </c>
      <c r="Q89" s="33">
        <f t="shared" si="18"/>
        <v>6488281190</v>
      </c>
      <c r="R89" s="33">
        <f t="shared" si="18"/>
        <v>7486043130</v>
      </c>
      <c r="S89" s="33">
        <f t="shared" si="18"/>
        <v>6761272876</v>
      </c>
      <c r="T89" s="33">
        <f t="shared" si="18"/>
        <v>6294890488</v>
      </c>
      <c r="U89" s="33">
        <f t="shared" si="18"/>
        <v>5758699091</v>
      </c>
      <c r="V89" s="33">
        <f t="shared" si="18"/>
        <v>6211216394</v>
      </c>
      <c r="W89" s="33">
        <f t="shared" si="18"/>
        <v>5136800490</v>
      </c>
      <c r="X89" s="33">
        <f t="shared" si="18"/>
        <v>4913937717</v>
      </c>
      <c r="Y89" s="33">
        <f t="shared" si="18"/>
        <v>3905144554</v>
      </c>
      <c r="Z89" s="33">
        <f t="shared" si="18"/>
        <v>3071716903</v>
      </c>
      <c r="AA89" s="33">
        <f t="shared" si="18"/>
        <v>3281177873</v>
      </c>
      <c r="AB89" s="33">
        <f t="shared" si="18"/>
        <v>1728303998</v>
      </c>
      <c r="AC89" s="33">
        <f t="shared" si="18"/>
        <v>1292593108</v>
      </c>
      <c r="AD89" s="33">
        <f t="shared" si="18"/>
        <v>1725354361</v>
      </c>
      <c r="AE89" s="33">
        <f t="shared" si="18"/>
        <v>1270620303</v>
      </c>
      <c r="AF89" s="33">
        <f t="shared" si="18"/>
        <v>1212324773</v>
      </c>
      <c r="AG89" s="33">
        <f t="shared" si="18"/>
        <v>1094945433</v>
      </c>
      <c r="AH89" s="33">
        <f t="shared" si="18"/>
        <v>919898961</v>
      </c>
      <c r="AI89" s="33">
        <f t="shared" si="18"/>
        <v>1106138991</v>
      </c>
      <c r="AJ89" s="33">
        <f t="shared" si="18"/>
        <v>1203560426</v>
      </c>
      <c r="AK89" s="33">
        <f t="shared" si="18"/>
        <v>1178271840</v>
      </c>
      <c r="AL89" s="33">
        <f t="shared" si="18"/>
        <v>874380999</v>
      </c>
      <c r="AM89" s="33">
        <f t="shared" si="18"/>
        <v>499251636</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1439845500</v>
      </c>
      <c r="C91" s="190">
        <v>1440000000</v>
      </c>
      <c r="D91" s="190">
        <v>1440000000</v>
      </c>
      <c r="E91" s="190">
        <v>1440000000</v>
      </c>
      <c r="F91" s="190">
        <v>1440000000</v>
      </c>
      <c r="G91" s="190">
        <v>1440000000</v>
      </c>
      <c r="H91" s="190">
        <v>1440000000</v>
      </c>
      <c r="I91" s="190">
        <v>1440000000</v>
      </c>
      <c r="J91" s="190">
        <v>1440000000</v>
      </c>
      <c r="K91" s="190">
        <v>1440000000</v>
      </c>
      <c r="L91" s="190">
        <v>1440000000</v>
      </c>
      <c r="M91" s="190">
        <v>1440000000</v>
      </c>
      <c r="N91" s="190">
        <v>1440000000</v>
      </c>
      <c r="O91" s="190">
        <v>720000000</v>
      </c>
      <c r="P91" s="190">
        <v>720000000</v>
      </c>
      <c r="Q91" s="190">
        <v>720000000</v>
      </c>
      <c r="R91" s="190">
        <v>720000000</v>
      </c>
      <c r="S91" s="190">
        <v>480000000</v>
      </c>
      <c r="T91" s="190">
        <v>480000000</v>
      </c>
      <c r="U91" s="190">
        <v>480000000</v>
      </c>
      <c r="V91" s="190">
        <v>480000000</v>
      </c>
      <c r="W91" s="190">
        <v>480000000</v>
      </c>
      <c r="X91" s="190">
        <v>480000000</v>
      </c>
      <c r="Y91" s="190">
        <v>480000000</v>
      </c>
      <c r="Z91" s="190">
        <v>480000000</v>
      </c>
      <c r="AA91" s="190">
        <v>480000000</v>
      </c>
      <c r="AB91" s="190">
        <v>480000000</v>
      </c>
      <c r="AC91" s="190">
        <v>480000000</v>
      </c>
      <c r="AD91" s="190">
        <v>480000000</v>
      </c>
      <c r="AE91" s="190">
        <v>480000000</v>
      </c>
      <c r="AF91" s="190">
        <v>240000000</v>
      </c>
      <c r="AG91" s="190">
        <v>240000000</v>
      </c>
      <c r="AH91" s="190">
        <v>240000000</v>
      </c>
      <c r="AI91" s="190">
        <v>240000000</v>
      </c>
      <c r="AJ91" s="190">
        <v>180000000</v>
      </c>
      <c r="AK91" s="190">
        <v>180000000</v>
      </c>
      <c r="AL91" s="190">
        <v>180000000</v>
      </c>
      <c r="AM91" s="190">
        <v>75000000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3536852915</v>
      </c>
      <c r="C92" s="190">
        <v>3524215693</v>
      </c>
      <c r="D92" s="190">
        <v>3536178325</v>
      </c>
      <c r="E92" s="190">
        <v>3532100125</v>
      </c>
      <c r="F92" s="190">
        <v>3514952933</v>
      </c>
      <c r="G92" s="190">
        <v>3501335354</v>
      </c>
      <c r="H92" s="190">
        <v>3486212497</v>
      </c>
      <c r="I92" s="190">
        <v>3477300197</v>
      </c>
      <c r="J92" s="190">
        <v>3633968644</v>
      </c>
      <c r="K92" s="190">
        <v>3675543607</v>
      </c>
      <c r="L92" s="190">
        <v>3675582012</v>
      </c>
      <c r="M92" s="190">
        <v>3674937839</v>
      </c>
      <c r="N92" s="190">
        <v>3673724136</v>
      </c>
      <c r="O92" s="190">
        <v>4429904922</v>
      </c>
      <c r="P92" s="190">
        <v>4423553621</v>
      </c>
      <c r="Q92" s="190">
        <v>4415117459</v>
      </c>
      <c r="R92" s="190">
        <v>4405915267</v>
      </c>
      <c r="S92" s="190">
        <v>4668929290</v>
      </c>
      <c r="T92" s="190">
        <v>4644853761</v>
      </c>
      <c r="U92" s="190">
        <v>4644853761</v>
      </c>
      <c r="V92" s="190">
        <v>4644951077</v>
      </c>
      <c r="W92" s="190">
        <v>4644951077</v>
      </c>
      <c r="X92" s="190">
        <v>4644951077</v>
      </c>
      <c r="Y92" s="190">
        <v>4644951077</v>
      </c>
      <c r="Z92" s="190">
        <v>4647984745</v>
      </c>
      <c r="AA92" s="190">
        <v>4647984745</v>
      </c>
      <c r="AB92" s="190">
        <v>4652786842</v>
      </c>
      <c r="AC92" s="190">
        <v>4653690794</v>
      </c>
      <c r="AD92" s="190">
        <v>4653565869</v>
      </c>
      <c r="AE92" s="190">
        <v>4653565869</v>
      </c>
      <c r="AF92" s="190">
        <v>4893565869</v>
      </c>
      <c r="AG92" s="190">
        <v>4893565869</v>
      </c>
      <c r="AH92" s="190">
        <v>4897726923</v>
      </c>
      <c r="AI92" s="190">
        <v>4904165354</v>
      </c>
      <c r="AJ92" s="190">
        <v>192168133</v>
      </c>
      <c r="AK92" s="190">
        <v>192168133</v>
      </c>
      <c r="AL92" s="190">
        <v>225324157</v>
      </c>
      <c r="AM92" s="190">
        <v>141924157</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40656089</v>
      </c>
      <c r="C93" s="190">
        <v>26682810</v>
      </c>
      <c r="D93" s="190">
        <v>83895379</v>
      </c>
      <c r="E93" s="190">
        <v>83895380</v>
      </c>
      <c r="F93" s="190">
        <v>83895379</v>
      </c>
      <c r="G93" s="190">
        <v>83892378</v>
      </c>
      <c r="H93" s="190">
        <v>51619362</v>
      </c>
      <c r="I93" s="190">
        <v>51619362</v>
      </c>
      <c r="J93" s="190">
        <v>103189732</v>
      </c>
      <c r="K93" s="190">
        <v>103192346</v>
      </c>
      <c r="L93" s="190">
        <v>103172911</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73566730</v>
      </c>
      <c r="C94" s="190">
        <v>15850312</v>
      </c>
      <c r="D94" s="190">
        <v>-70323158</v>
      </c>
      <c r="E94" s="190">
        <v>371322</v>
      </c>
      <c r="F94" s="190">
        <v>492676212</v>
      </c>
      <c r="G94" s="190">
        <v>353546004</v>
      </c>
      <c r="H94" s="190">
        <v>342641095</v>
      </c>
      <c r="I94" s="190">
        <v>98451096</v>
      </c>
      <c r="J94" s="190">
        <v>137277976</v>
      </c>
      <c r="K94" s="190">
        <v>82684728</v>
      </c>
      <c r="L94" s="190">
        <v>56037293</v>
      </c>
      <c r="M94" s="190">
        <v>-35452721</v>
      </c>
      <c r="N94" s="190">
        <v>-81232406</v>
      </c>
      <c r="O94" s="190">
        <v>4378779</v>
      </c>
      <c r="P94" s="190">
        <v>71553160</v>
      </c>
      <c r="Q94" s="190">
        <v>89077950</v>
      </c>
      <c r="R94" s="190">
        <v>92970571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631099973</v>
      </c>
      <c r="C96" s="190">
        <v>631099973</v>
      </c>
      <c r="D96" s="190">
        <v>631099973</v>
      </c>
      <c r="E96" s="190">
        <v>631099973</v>
      </c>
      <c r="F96" s="190">
        <v>589720557</v>
      </c>
      <c r="G96" s="190">
        <v>589720557</v>
      </c>
      <c r="H96" s="190">
        <v>589720557</v>
      </c>
      <c r="I96" s="190">
        <v>589720557</v>
      </c>
      <c r="J96" s="190">
        <v>494124833</v>
      </c>
      <c r="K96" s="190">
        <v>494124833</v>
      </c>
      <c r="L96" s="190">
        <v>494124833</v>
      </c>
      <c r="M96" s="190">
        <v>494124833</v>
      </c>
      <c r="N96" s="190">
        <v>441478615</v>
      </c>
      <c r="O96" s="190">
        <v>441478615</v>
      </c>
      <c r="P96" s="190">
        <v>441478615</v>
      </c>
      <c r="Q96" s="190">
        <v>441478615</v>
      </c>
      <c r="R96" s="190">
        <v>363873358</v>
      </c>
      <c r="S96" s="190">
        <v>363873358</v>
      </c>
      <c r="T96" s="190">
        <v>363873358</v>
      </c>
      <c r="U96" s="190">
        <v>363873358</v>
      </c>
      <c r="V96" s="190">
        <v>299822264</v>
      </c>
      <c r="W96" s="190">
        <v>299822264</v>
      </c>
      <c r="X96" s="190">
        <v>299822264</v>
      </c>
      <c r="Y96" s="190">
        <v>299822264</v>
      </c>
      <c r="Z96" s="190">
        <v>206407213</v>
      </c>
      <c r="AA96" s="190">
        <v>206407213</v>
      </c>
      <c r="AB96" s="190">
        <v>212231101</v>
      </c>
      <c r="AC96" s="190">
        <v>212231101</v>
      </c>
      <c r="AD96" s="190">
        <v>141714046</v>
      </c>
      <c r="AE96" s="190">
        <v>141714046</v>
      </c>
      <c r="AF96" s="190">
        <v>141714046</v>
      </c>
      <c r="AG96" s="190">
        <v>141714046</v>
      </c>
      <c r="AH96" s="190">
        <v>95627057</v>
      </c>
      <c r="AI96" s="190">
        <v>95627057</v>
      </c>
      <c r="AJ96" s="190">
        <v>95627057</v>
      </c>
      <c r="AK96" s="190">
        <v>95627057</v>
      </c>
      <c r="AL96" s="190">
        <v>68290027</v>
      </c>
      <c r="AM96" s="190">
        <v>46921101</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7005829840</v>
      </c>
      <c r="C98" s="190">
        <v>7057378719</v>
      </c>
      <c r="D98" s="190">
        <v>6666556021</v>
      </c>
      <c r="E98" s="190">
        <v>6283357368</v>
      </c>
      <c r="F98" s="190">
        <v>5962661922</v>
      </c>
      <c r="G98" s="190">
        <v>5832342784</v>
      </c>
      <c r="H98" s="190">
        <v>5969000753</v>
      </c>
      <c r="I98" s="190">
        <v>5776352402</v>
      </c>
      <c r="J98" s="190">
        <v>5824790606</v>
      </c>
      <c r="K98" s="190">
        <v>5673375840</v>
      </c>
      <c r="L98" s="190">
        <v>5694641237</v>
      </c>
      <c r="M98" s="190">
        <v>5486429429</v>
      </c>
      <c r="N98" s="190">
        <v>5444409458</v>
      </c>
      <c r="O98" s="190">
        <v>5483056498</v>
      </c>
      <c r="P98" s="190">
        <v>5279711053</v>
      </c>
      <c r="Q98" s="190">
        <v>5073804324</v>
      </c>
      <c r="R98" s="190">
        <v>4977602959</v>
      </c>
      <c r="S98" s="190">
        <v>4688732638</v>
      </c>
      <c r="T98" s="190">
        <v>4499781764</v>
      </c>
      <c r="U98" s="190">
        <v>4271855890</v>
      </c>
      <c r="V98" s="190">
        <v>4106544154</v>
      </c>
      <c r="W98" s="190">
        <v>3792514448</v>
      </c>
      <c r="X98" s="190">
        <v>3584777100</v>
      </c>
      <c r="Y98" s="190">
        <v>3378161281</v>
      </c>
      <c r="Z98" s="190">
        <v>3145150862</v>
      </c>
      <c r="AA98" s="190">
        <v>2840259156</v>
      </c>
      <c r="AB98" s="190">
        <v>2660653313</v>
      </c>
      <c r="AC98" s="190">
        <v>2491032647</v>
      </c>
      <c r="AD98" s="190">
        <v>2282875604</v>
      </c>
      <c r="AE98" s="190">
        <v>2005789857</v>
      </c>
      <c r="AF98" s="190">
        <v>1862798186</v>
      </c>
      <c r="AG98" s="190">
        <v>1715423607</v>
      </c>
      <c r="AH98" s="190">
        <v>1551324011</v>
      </c>
      <c r="AI98" s="190">
        <v>1360499997</v>
      </c>
      <c r="AJ98" s="190">
        <v>1193426804</v>
      </c>
      <c r="AK98" s="190">
        <v>1100281347</v>
      </c>
      <c r="AL98" s="190">
        <v>699766941</v>
      </c>
      <c r="AM98" s="190">
        <v>411248661</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30360000</v>
      </c>
      <c r="E99" s="190">
        <v>0</v>
      </c>
      <c r="F99" s="190">
        <v>0</v>
      </c>
      <c r="G99" s="190">
        <v>0</v>
      </c>
      <c r="H99" s="190">
        <v>20240000</v>
      </c>
      <c r="I99" s="190">
        <v>0</v>
      </c>
      <c r="J99" s="190">
        <v>0</v>
      </c>
      <c r="K99" s="190">
        <v>0</v>
      </c>
      <c r="L99" s="190">
        <v>0</v>
      </c>
      <c r="M99" s="190">
        <v>0</v>
      </c>
      <c r="N99" s="190">
        <v>0</v>
      </c>
      <c r="O99" s="190">
        <v>0</v>
      </c>
      <c r="P99" s="190">
        <v>0</v>
      </c>
      <c r="Q99" s="190">
        <v>0</v>
      </c>
      <c r="R99" s="190">
        <v>0</v>
      </c>
      <c r="S99" s="190">
        <v>71496782</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12646538869</v>
      </c>
      <c r="C102" s="190">
        <v>12641861887</v>
      </c>
      <c r="D102" s="190">
        <v>12119615782</v>
      </c>
      <c r="E102" s="190">
        <v>11803033408</v>
      </c>
      <c r="F102" s="190">
        <v>11916116245</v>
      </c>
      <c r="G102" s="190">
        <v>11633052321</v>
      </c>
      <c r="H102" s="190">
        <v>11775955540</v>
      </c>
      <c r="I102" s="190">
        <v>11330204890</v>
      </c>
      <c r="J102" s="190">
        <v>11426972327</v>
      </c>
      <c r="K102" s="190">
        <v>11262536662</v>
      </c>
      <c r="L102" s="190">
        <v>11257212464</v>
      </c>
      <c r="M102" s="190">
        <v>11060039380</v>
      </c>
      <c r="N102" s="190">
        <v>10918379803</v>
      </c>
      <c r="O102" s="190">
        <v>11078818814</v>
      </c>
      <c r="P102" s="190">
        <v>10936296449</v>
      </c>
      <c r="Q102" s="190">
        <v>10739478348</v>
      </c>
      <c r="R102" s="190">
        <v>10560362155</v>
      </c>
      <c r="S102" s="190">
        <v>10198708976</v>
      </c>
      <c r="T102" s="190">
        <v>9986728205</v>
      </c>
      <c r="U102" s="190">
        <v>9759926168</v>
      </c>
      <c r="V102" s="190">
        <v>9530677344</v>
      </c>
      <c r="W102" s="190">
        <v>9216788253</v>
      </c>
      <c r="X102" s="190">
        <v>9009293141</v>
      </c>
      <c r="Y102" s="190">
        <v>8802834955</v>
      </c>
      <c r="Z102" s="190">
        <v>8479542820</v>
      </c>
      <c r="AA102" s="190">
        <v>8174651114</v>
      </c>
      <c r="AB102" s="190">
        <v>8005671256</v>
      </c>
      <c r="AC102" s="190">
        <v>7836954542</v>
      </c>
      <c r="AD102" s="190">
        <v>7558155519</v>
      </c>
      <c r="AE102" s="190">
        <v>7281069772</v>
      </c>
      <c r="AF102" s="190">
        <v>7138078101</v>
      </c>
      <c r="AG102" s="190">
        <v>6990703522</v>
      </c>
      <c r="AH102" s="190">
        <v>6784677991</v>
      </c>
      <c r="AI102" s="190">
        <v>6600292408</v>
      </c>
      <c r="AJ102" s="190">
        <v>1661221994</v>
      </c>
      <c r="AK102" s="190">
        <v>1568076537</v>
      </c>
      <c r="AL102" s="190">
        <v>1173381125</v>
      </c>
      <c r="AM102" s="190">
        <v>675093919</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179899027</v>
      </c>
      <c r="C103" s="190">
        <v>168558168</v>
      </c>
      <c r="D103" s="190">
        <v>162073765</v>
      </c>
      <c r="E103" s="190">
        <v>179418697</v>
      </c>
      <c r="F103" s="190">
        <v>172391531</v>
      </c>
      <c r="G103" s="190">
        <v>156975801</v>
      </c>
      <c r="H103" s="190">
        <v>138293991</v>
      </c>
      <c r="I103" s="190">
        <v>136144086</v>
      </c>
      <c r="J103" s="190">
        <v>94472201</v>
      </c>
      <c r="K103" s="190">
        <v>106313420</v>
      </c>
      <c r="L103" s="190">
        <v>93540315</v>
      </c>
      <c r="M103" s="190">
        <v>103820567</v>
      </c>
      <c r="N103" s="190">
        <v>132790211</v>
      </c>
      <c r="O103" s="190">
        <v>163749885</v>
      </c>
      <c r="P103" s="190">
        <v>228539206</v>
      </c>
      <c r="Q103" s="190">
        <v>230892190</v>
      </c>
      <c r="R103" s="190">
        <v>256599966</v>
      </c>
      <c r="S103" s="190">
        <v>267320934</v>
      </c>
      <c r="T103" s="190">
        <v>263965541</v>
      </c>
      <c r="U103" s="190">
        <v>263986576</v>
      </c>
      <c r="V103" s="190">
        <v>258894514</v>
      </c>
      <c r="W103" s="190">
        <v>254386738</v>
      </c>
      <c r="X103" s="190">
        <v>264501901</v>
      </c>
      <c r="Y103" s="190">
        <v>261242808</v>
      </c>
      <c r="Z103" s="190">
        <v>249767344</v>
      </c>
      <c r="AA103" s="190">
        <v>244499888</v>
      </c>
      <c r="AB103" s="190">
        <v>92794668</v>
      </c>
      <c r="AC103" s="190">
        <v>94015771</v>
      </c>
      <c r="AD103" s="190">
        <v>68423739</v>
      </c>
      <c r="AE103" s="190">
        <v>69138560</v>
      </c>
      <c r="AF103" s="190">
        <v>69259036</v>
      </c>
      <c r="AG103" s="190">
        <v>60934192</v>
      </c>
      <c r="AH103" s="190">
        <v>10068069</v>
      </c>
      <c r="AI103" s="190">
        <v>11768600</v>
      </c>
      <c r="AJ103" s="190">
        <v>11282179</v>
      </c>
      <c r="AK103" s="190">
        <v>11333635</v>
      </c>
      <c r="AL103" s="190">
        <v>16857813</v>
      </c>
      <c r="AM103" s="190">
        <v>16122406</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12826437896</v>
      </c>
      <c r="C107" s="33">
        <f>C102+C103</f>
        <v>12810420055</v>
      </c>
      <c r="D107" s="33">
        <f>D102+D103</f>
        <v>12281689547</v>
      </c>
      <c r="E107" s="33">
        <f>E102+E103</f>
        <v>11982452105</v>
      </c>
      <c r="F107" s="33">
        <f t="shared" ref="F107:BQ107" si="20">F102+F103</f>
        <v>12088507776</v>
      </c>
      <c r="G107" s="33">
        <f t="shared" si="20"/>
        <v>11790028122</v>
      </c>
      <c r="H107" s="33">
        <f t="shared" si="20"/>
        <v>11914249531</v>
      </c>
      <c r="I107" s="33">
        <f t="shared" si="20"/>
        <v>11466348976</v>
      </c>
      <c r="J107" s="33">
        <f t="shared" si="20"/>
        <v>11521444528</v>
      </c>
      <c r="K107" s="33">
        <f t="shared" si="20"/>
        <v>11368850082</v>
      </c>
      <c r="L107" s="33">
        <f t="shared" si="20"/>
        <v>11350752779</v>
      </c>
      <c r="M107" s="33">
        <f t="shared" si="20"/>
        <v>11163859947</v>
      </c>
      <c r="N107" s="33">
        <f t="shared" si="20"/>
        <v>11051170014</v>
      </c>
      <c r="O107" s="33">
        <f t="shared" si="20"/>
        <v>11242568699</v>
      </c>
      <c r="P107" s="33">
        <f t="shared" si="20"/>
        <v>11164835655</v>
      </c>
      <c r="Q107" s="33">
        <f t="shared" si="20"/>
        <v>10970370538</v>
      </c>
      <c r="R107" s="33">
        <f t="shared" si="20"/>
        <v>10816962121</v>
      </c>
      <c r="S107" s="33">
        <f t="shared" si="20"/>
        <v>10466029910</v>
      </c>
      <c r="T107" s="33">
        <f t="shared" si="20"/>
        <v>10250693746</v>
      </c>
      <c r="U107" s="33">
        <f t="shared" si="20"/>
        <v>10023912744</v>
      </c>
      <c r="V107" s="33">
        <f t="shared" si="20"/>
        <v>9789571858</v>
      </c>
      <c r="W107" s="33">
        <f t="shared" si="20"/>
        <v>9471174991</v>
      </c>
      <c r="X107" s="33">
        <f t="shared" si="20"/>
        <v>9273795042</v>
      </c>
      <c r="Y107" s="33">
        <f t="shared" si="20"/>
        <v>9064077763</v>
      </c>
      <c r="Z107" s="33">
        <f t="shared" si="20"/>
        <v>8729310164</v>
      </c>
      <c r="AA107" s="33">
        <f t="shared" si="20"/>
        <v>8419151002</v>
      </c>
      <c r="AB107" s="33">
        <f t="shared" si="20"/>
        <v>8098465924</v>
      </c>
      <c r="AC107" s="33">
        <f t="shared" si="20"/>
        <v>7930970313</v>
      </c>
      <c r="AD107" s="33">
        <f t="shared" si="20"/>
        <v>7626579258</v>
      </c>
      <c r="AE107" s="33">
        <f t="shared" si="20"/>
        <v>7350208332</v>
      </c>
      <c r="AF107" s="33">
        <f t="shared" si="20"/>
        <v>7207337137</v>
      </c>
      <c r="AG107" s="33">
        <f t="shared" si="20"/>
        <v>7051637714</v>
      </c>
      <c r="AH107" s="33">
        <f t="shared" si="20"/>
        <v>6794746060</v>
      </c>
      <c r="AI107" s="33">
        <f t="shared" si="20"/>
        <v>6612061008</v>
      </c>
      <c r="AJ107" s="33">
        <f t="shared" si="20"/>
        <v>1672504173</v>
      </c>
      <c r="AK107" s="33">
        <f t="shared" si="20"/>
        <v>1579410172</v>
      </c>
      <c r="AL107" s="33">
        <f t="shared" si="20"/>
        <v>1190238938</v>
      </c>
      <c r="AM107" s="33">
        <f t="shared" si="20"/>
        <v>691216325</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20583412029</v>
      </c>
      <c r="C108" s="38">
        <f t="shared" ref="C108:BN108" si="22">SUM(C89+C107)</f>
        <v>20783938536</v>
      </c>
      <c r="D108" s="38">
        <f t="shared" si="22"/>
        <v>19911699349</v>
      </c>
      <c r="E108" s="38">
        <f>SUM(E107+E89)</f>
        <v>19609069244</v>
      </c>
      <c r="F108" s="38">
        <f t="shared" si="22"/>
        <v>20263864953</v>
      </c>
      <c r="G108" s="38">
        <f t="shared" si="22"/>
        <v>18461468203</v>
      </c>
      <c r="H108" s="38">
        <f t="shared" si="22"/>
        <v>20510124365</v>
      </c>
      <c r="I108" s="38">
        <f t="shared" si="22"/>
        <v>19088250331</v>
      </c>
      <c r="J108" s="38">
        <f t="shared" si="22"/>
        <v>18544485359</v>
      </c>
      <c r="K108" s="38">
        <f t="shared" si="22"/>
        <v>19146362591</v>
      </c>
      <c r="L108" s="38">
        <f t="shared" si="22"/>
        <v>19420073731</v>
      </c>
      <c r="M108" s="38">
        <f t="shared" si="22"/>
        <v>17869042265</v>
      </c>
      <c r="N108" s="38">
        <f t="shared" si="22"/>
        <v>16278329629</v>
      </c>
      <c r="O108" s="38">
        <f t="shared" si="22"/>
        <v>16844088211</v>
      </c>
      <c r="P108" s="38">
        <f t="shared" si="22"/>
        <v>16785598672</v>
      </c>
      <c r="Q108" s="38">
        <f t="shared" si="22"/>
        <v>17458651728</v>
      </c>
      <c r="R108" s="38">
        <f t="shared" si="22"/>
        <v>18303005251</v>
      </c>
      <c r="S108" s="38">
        <f t="shared" si="22"/>
        <v>17227302786</v>
      </c>
      <c r="T108" s="38">
        <f t="shared" si="22"/>
        <v>16545584234</v>
      </c>
      <c r="U108" s="38">
        <f t="shared" si="22"/>
        <v>15782611835</v>
      </c>
      <c r="V108" s="38">
        <f t="shared" si="22"/>
        <v>16000788252</v>
      </c>
      <c r="W108" s="38">
        <f t="shared" si="22"/>
        <v>14607975481</v>
      </c>
      <c r="X108" s="38">
        <f t="shared" si="22"/>
        <v>14187732759</v>
      </c>
      <c r="Y108" s="38">
        <f t="shared" si="22"/>
        <v>12969222317</v>
      </c>
      <c r="Z108" s="38">
        <f t="shared" si="22"/>
        <v>11801027067</v>
      </c>
      <c r="AA108" s="38">
        <f t="shared" si="22"/>
        <v>11700328875</v>
      </c>
      <c r="AB108" s="38">
        <f t="shared" si="22"/>
        <v>9826769922</v>
      </c>
      <c r="AC108" s="38">
        <f t="shared" si="22"/>
        <v>9223563421</v>
      </c>
      <c r="AD108" s="38">
        <f t="shared" si="22"/>
        <v>9351933619</v>
      </c>
      <c r="AE108" s="38">
        <f t="shared" si="22"/>
        <v>8620828635</v>
      </c>
      <c r="AF108" s="38">
        <f t="shared" si="22"/>
        <v>8419661910</v>
      </c>
      <c r="AG108" s="38">
        <f t="shared" si="22"/>
        <v>8146583147</v>
      </c>
      <c r="AH108" s="38">
        <f t="shared" si="22"/>
        <v>7714645021</v>
      </c>
      <c r="AI108" s="38">
        <f t="shared" si="22"/>
        <v>7718199999</v>
      </c>
      <c r="AJ108" s="38">
        <f t="shared" si="22"/>
        <v>2876064599</v>
      </c>
      <c r="AK108" s="38">
        <f t="shared" si="22"/>
        <v>2757682012</v>
      </c>
      <c r="AL108" s="38">
        <f t="shared" si="22"/>
        <v>2064619937</v>
      </c>
      <c r="AM108" s="38">
        <f t="shared" si="22"/>
        <v>1190467961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8" width="20.21875" hidden="1" customWidth="1"/>
    <col min="9" max="9" width="21.44140625" bestFit="1" customWidth="1"/>
    <col min="10" max="12" width="20.21875" hidden="1" customWidth="1"/>
    <col min="13" max="13" width="21.44140625" bestFit="1" customWidth="1"/>
    <col min="14" max="16" width="20.21875" hidden="1" customWidth="1"/>
    <col min="17" max="17" width="21.44140625" bestFit="1" customWidth="1"/>
    <col min="18" max="18" width="21.44140625" hidden="1" customWidth="1"/>
    <col min="19" max="20" width="20.21875" hidden="1" customWidth="1"/>
    <col min="21" max="21" width="21.44140625" bestFit="1" customWidth="1"/>
    <col min="22" max="22" width="21.441406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5" width="20.21875" hidden="1" customWidth="1"/>
    <col min="36" max="36" width="19" hidden="1" customWidth="1"/>
    <col min="37" max="37" width="19.33203125" bestFit="1" customWidth="1"/>
    <col min="38" max="39" width="19" hidden="1" customWidth="1"/>
    <col min="40" max="40" width="17.77734375"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4997643318</v>
      </c>
      <c r="C5" s="190">
        <v>3235123671</v>
      </c>
      <c r="D5" s="190">
        <v>1654970370</v>
      </c>
      <c r="E5" s="190">
        <v>5567764890</v>
      </c>
      <c r="F5" s="190">
        <v>4147561099</v>
      </c>
      <c r="G5" s="190">
        <v>2735385730</v>
      </c>
      <c r="H5" s="190">
        <v>1367610341</v>
      </c>
      <c r="I5" s="190">
        <v>4854665753</v>
      </c>
      <c r="J5" s="190">
        <v>3655928230</v>
      </c>
      <c r="K5" s="190">
        <v>2395055109</v>
      </c>
      <c r="L5" s="190">
        <v>1162918698</v>
      </c>
      <c r="M5" s="190">
        <v>4505536126</v>
      </c>
      <c r="N5" s="190">
        <v>3421555615</v>
      </c>
      <c r="O5" s="190">
        <v>2260649526</v>
      </c>
      <c r="P5" s="190">
        <v>1109672221</v>
      </c>
      <c r="Q5" s="190">
        <v>4607806540</v>
      </c>
      <c r="R5" s="190">
        <v>3443390838</v>
      </c>
      <c r="S5" s="190">
        <v>2297385511</v>
      </c>
      <c r="T5" s="190">
        <v>1177544493</v>
      </c>
      <c r="U5" s="190">
        <v>3712055490</v>
      </c>
      <c r="V5" s="190">
        <v>2668974541</v>
      </c>
      <c r="W5" s="190">
        <v>1743325019</v>
      </c>
      <c r="X5" s="190">
        <v>835704897</v>
      </c>
      <c r="Y5" s="190">
        <v>3374228753</v>
      </c>
      <c r="Z5" s="190">
        <v>2538011252</v>
      </c>
      <c r="AA5" s="190">
        <v>1662668132</v>
      </c>
      <c r="AB5" s="190">
        <v>775720710</v>
      </c>
      <c r="AC5" s="190">
        <v>2944996642</v>
      </c>
      <c r="AD5" s="190">
        <v>2033397474</v>
      </c>
      <c r="AE5" s="190">
        <v>1291379496</v>
      </c>
      <c r="AF5" s="190">
        <v>637732213</v>
      </c>
      <c r="AG5" s="190">
        <v>2373501496</v>
      </c>
      <c r="AH5" s="190">
        <v>1709252716</v>
      </c>
      <c r="AI5" s="190">
        <v>1079157650</v>
      </c>
      <c r="AJ5" s="190">
        <v>510433114</v>
      </c>
      <c r="AK5" s="190">
        <v>1991066392</v>
      </c>
      <c r="AL5" s="190">
        <v>1448227523</v>
      </c>
      <c r="AM5" s="190">
        <v>929114167</v>
      </c>
      <c r="AN5" s="190">
        <v>430284199</v>
      </c>
      <c r="AO5" s="190">
        <v>1673006487</v>
      </c>
      <c r="AP5" s="190">
        <v>1297556695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7234147307</v>
      </c>
      <c r="C6" s="27">
        <f t="shared" ref="C6:BN6" si="0">C4-C5</f>
        <v>4557302666</v>
      </c>
      <c r="D6" s="27">
        <f t="shared" si="0"/>
        <v>2277123441</v>
      </c>
      <c r="E6" s="27">
        <f t="shared" si="0"/>
        <v>5867183951</v>
      </c>
      <c r="F6" s="27">
        <f t="shared" si="0"/>
        <v>3762665168</v>
      </c>
      <c r="G6" s="27">
        <f t="shared" si="0"/>
        <v>2206591192</v>
      </c>
      <c r="H6" s="27">
        <f t="shared" si="0"/>
        <v>1066589306</v>
      </c>
      <c r="I6" s="27">
        <f t="shared" si="0"/>
        <v>3711277662</v>
      </c>
      <c r="J6" s="27">
        <f t="shared" si="0"/>
        <v>2596946817</v>
      </c>
      <c r="K6" s="27">
        <f t="shared" si="0"/>
        <v>1701357656</v>
      </c>
      <c r="L6" s="27">
        <f t="shared" si="0"/>
        <v>841409221</v>
      </c>
      <c r="M6" s="27">
        <f t="shared" si="0"/>
        <v>3257803856</v>
      </c>
      <c r="N6" s="27">
        <f t="shared" si="0"/>
        <v>2396964886</v>
      </c>
      <c r="O6" s="27">
        <f t="shared" si="0"/>
        <v>1574957393</v>
      </c>
      <c r="P6" s="27">
        <f t="shared" si="0"/>
        <v>782978056</v>
      </c>
      <c r="Q6" s="27">
        <f t="shared" si="0"/>
        <v>3415614749</v>
      </c>
      <c r="R6" s="27">
        <f t="shared" si="0"/>
        <v>2542886518</v>
      </c>
      <c r="S6" s="27">
        <f t="shared" si="0"/>
        <v>1669779587</v>
      </c>
      <c r="T6" s="27">
        <f t="shared" si="0"/>
        <v>762742797</v>
      </c>
      <c r="U6" s="27">
        <f t="shared" si="0"/>
        <v>3119226491</v>
      </c>
      <c r="V6" s="27">
        <f t="shared" si="0"/>
        <v>2260200301</v>
      </c>
      <c r="W6" s="27">
        <f t="shared" si="0"/>
        <v>1438029059</v>
      </c>
      <c r="X6" s="27">
        <f t="shared" si="0"/>
        <v>625625904</v>
      </c>
      <c r="Y6" s="27">
        <f t="shared" si="0"/>
        <v>2511049864</v>
      </c>
      <c r="Z6" s="27">
        <f t="shared" si="0"/>
        <v>1815697548</v>
      </c>
      <c r="AA6" s="27">
        <f t="shared" si="0"/>
        <v>1112914788</v>
      </c>
      <c r="AB6" s="27">
        <f t="shared" si="0"/>
        <v>460014526</v>
      </c>
      <c r="AC6" s="27">
        <f t="shared" si="0"/>
        <v>2202852116</v>
      </c>
      <c r="AD6" s="27">
        <f t="shared" si="0"/>
        <v>1613656914</v>
      </c>
      <c r="AE6" s="27">
        <f t="shared" si="0"/>
        <v>1020071103</v>
      </c>
      <c r="AF6" s="27">
        <f t="shared" si="0"/>
        <v>437594038</v>
      </c>
      <c r="AG6" s="27">
        <f t="shared" si="0"/>
        <v>1652898462</v>
      </c>
      <c r="AH6" s="27">
        <f t="shared" si="0"/>
        <v>1138747711</v>
      </c>
      <c r="AI6" s="27">
        <f t="shared" si="0"/>
        <v>706746517</v>
      </c>
      <c r="AJ6" s="27">
        <f t="shared" si="0"/>
        <v>302584648</v>
      </c>
      <c r="AK6" s="27">
        <f t="shared" si="0"/>
        <v>1254918953</v>
      </c>
      <c r="AL6" s="27">
        <f t="shared" si="0"/>
        <v>899247497</v>
      </c>
      <c r="AM6" s="27">
        <f t="shared" si="0"/>
        <v>542465668</v>
      </c>
      <c r="AN6" s="27">
        <f t="shared" si="0"/>
        <v>228394345</v>
      </c>
      <c r="AO6" s="27">
        <f t="shared" si="0"/>
        <v>948384799</v>
      </c>
      <c r="AP6" s="27">
        <f t="shared" si="0"/>
        <v>731769855</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59.142177370289971</v>
      </c>
      <c r="C7" s="57">
        <f t="shared" ref="C7:D7" si="2">C6/C4*100</f>
        <v>58.483743944565958</v>
      </c>
      <c r="D7" s="57">
        <f t="shared" si="2"/>
        <v>57.911218563243992</v>
      </c>
      <c r="E7" s="57">
        <f>E6/E4</f>
        <v>0.51309227811874558</v>
      </c>
      <c r="F7" s="57">
        <f t="shared" ref="F7:BQ7" si="3">F6/F4</f>
        <v>0.47567099106850363</v>
      </c>
      <c r="G7" s="57">
        <f t="shared" si="3"/>
        <v>0.44649969573451603</v>
      </c>
      <c r="H7" s="57">
        <f t="shared" si="3"/>
        <v>0.43816837592368607</v>
      </c>
      <c r="I7" s="57">
        <f t="shared" si="3"/>
        <v>0.43325965187922033</v>
      </c>
      <c r="J7" s="57">
        <f t="shared" si="3"/>
        <v>0.41532044019430092</v>
      </c>
      <c r="K7" s="57">
        <f t="shared" si="3"/>
        <v>0.41532866769103527</v>
      </c>
      <c r="L7" s="57">
        <f t="shared" si="3"/>
        <v>0.41979618854972406</v>
      </c>
      <c r="M7" s="57">
        <f t="shared" si="3"/>
        <v>0.41963946749124864</v>
      </c>
      <c r="N7" s="57">
        <f t="shared" si="3"/>
        <v>0.41195435946097392</v>
      </c>
      <c r="O7" s="57">
        <f t="shared" si="3"/>
        <v>0.4106149108237126</v>
      </c>
      <c r="P7" s="57">
        <f t="shared" si="3"/>
        <v>0.41369399593520362</v>
      </c>
      <c r="Q7" s="57">
        <f t="shared" si="3"/>
        <v>0.42570552211719964</v>
      </c>
      <c r="R7" s="57">
        <f t="shared" si="3"/>
        <v>0.42478595072967751</v>
      </c>
      <c r="S7" s="57">
        <f t="shared" si="3"/>
        <v>0.42089994889343019</v>
      </c>
      <c r="T7" s="57">
        <f t="shared" si="3"/>
        <v>0.39310817574855111</v>
      </c>
      <c r="U7" s="57">
        <f t="shared" si="3"/>
        <v>0.45660924255148239</v>
      </c>
      <c r="V7" s="57">
        <f t="shared" si="3"/>
        <v>0.45853522616838838</v>
      </c>
      <c r="W7" s="57">
        <f t="shared" si="3"/>
        <v>0.45201792184793083</v>
      </c>
      <c r="X7" s="57">
        <f t="shared" si="3"/>
        <v>0.42812065794540111</v>
      </c>
      <c r="Y7" s="57">
        <f t="shared" si="3"/>
        <v>0.42666626805852037</v>
      </c>
      <c r="Z7" s="57">
        <f t="shared" si="3"/>
        <v>0.41704616257293092</v>
      </c>
      <c r="AA7" s="57">
        <f t="shared" si="3"/>
        <v>0.4009661465995763</v>
      </c>
      <c r="AB7" s="57">
        <f t="shared" si="3"/>
        <v>0.37225977911663272</v>
      </c>
      <c r="AC7" s="57">
        <f t="shared" si="3"/>
        <v>0.42791702312090341</v>
      </c>
      <c r="AD7" s="57">
        <f t="shared" si="3"/>
        <v>0.44245485323977024</v>
      </c>
      <c r="AE7" s="57">
        <f t="shared" si="3"/>
        <v>0.4413120935577477</v>
      </c>
      <c r="AF7" s="57">
        <f t="shared" si="3"/>
        <v>0.40694071924037872</v>
      </c>
      <c r="AG7" s="57">
        <f t="shared" si="3"/>
        <v>0.41051521936261653</v>
      </c>
      <c r="AH7" s="57">
        <f t="shared" si="3"/>
        <v>0.39984113071202149</v>
      </c>
      <c r="AI7" s="57">
        <f t="shared" si="3"/>
        <v>0.39573596952137019</v>
      </c>
      <c r="AJ7" s="57">
        <f t="shared" si="3"/>
        <v>0.37217470778947137</v>
      </c>
      <c r="AK7" s="57">
        <f t="shared" si="3"/>
        <v>0.38660647526737368</v>
      </c>
      <c r="AL7" s="57">
        <f t="shared" si="3"/>
        <v>0.38307010270124198</v>
      </c>
      <c r="AM7" s="57">
        <f t="shared" si="3"/>
        <v>0.36862809281427805</v>
      </c>
      <c r="AN7" s="57">
        <f t="shared" si="3"/>
        <v>0.34674629541295637</v>
      </c>
      <c r="AO7" s="57">
        <f t="shared" si="3"/>
        <v>0.36178681300461146</v>
      </c>
      <c r="AP7" s="57">
        <f t="shared" si="3"/>
        <v>0.36059738882340053</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169725309</v>
      </c>
      <c r="C8" s="190">
        <v>108967655</v>
      </c>
      <c r="D8" s="190">
        <v>57100157</v>
      </c>
      <c r="E8" s="190">
        <v>184611624</v>
      </c>
      <c r="F8" s="190">
        <v>127131509</v>
      </c>
      <c r="G8" s="190">
        <v>79873142</v>
      </c>
      <c r="H8" s="190">
        <v>34112184</v>
      </c>
      <c r="I8" s="190">
        <v>118874479</v>
      </c>
      <c r="J8" s="190">
        <v>55745659</v>
      </c>
      <c r="K8" s="190">
        <v>34917968</v>
      </c>
      <c r="L8" s="190">
        <v>16921985</v>
      </c>
      <c r="M8" s="190">
        <v>75601000</v>
      </c>
      <c r="N8" s="190">
        <v>53640386</v>
      </c>
      <c r="O8" s="190">
        <v>35888520</v>
      </c>
      <c r="P8" s="190">
        <v>17123039</v>
      </c>
      <c r="Q8" s="190">
        <v>71494637</v>
      </c>
      <c r="R8" s="190">
        <v>52845082</v>
      </c>
      <c r="S8" s="190">
        <v>36346655</v>
      </c>
      <c r="T8" s="190">
        <v>16650193</v>
      </c>
      <c r="U8" s="190">
        <v>66638406</v>
      </c>
      <c r="V8" s="190">
        <v>46405072</v>
      </c>
      <c r="W8" s="190">
        <v>30266978</v>
      </c>
      <c r="X8" s="190">
        <v>11969879</v>
      </c>
      <c r="Y8" s="190">
        <v>59131232</v>
      </c>
      <c r="Z8" s="190">
        <v>42564961</v>
      </c>
      <c r="AA8" s="190">
        <v>27679796</v>
      </c>
      <c r="AB8" s="190">
        <v>10785761</v>
      </c>
      <c r="AC8" s="190">
        <v>44037393</v>
      </c>
      <c r="AD8" s="190">
        <v>31059996</v>
      </c>
      <c r="AE8" s="190">
        <v>19931706</v>
      </c>
      <c r="AF8" s="190">
        <v>8494646</v>
      </c>
      <c r="AG8" s="190">
        <v>31382046</v>
      </c>
      <c r="AH8" s="190">
        <v>20823699</v>
      </c>
      <c r="AI8" s="190">
        <v>12953612</v>
      </c>
      <c r="AJ8" s="190">
        <v>5570544</v>
      </c>
      <c r="AK8" s="190">
        <v>25671908</v>
      </c>
      <c r="AL8" s="190">
        <v>18895354</v>
      </c>
      <c r="AM8" s="190">
        <v>11609707</v>
      </c>
      <c r="AN8" s="190">
        <v>5095496</v>
      </c>
      <c r="AO8" s="190">
        <v>19701337</v>
      </c>
      <c r="AP8" s="190">
        <v>13198119</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4346707651</v>
      </c>
      <c r="C9" s="190">
        <v>2575766210</v>
      </c>
      <c r="D9" s="190">
        <v>1330167223</v>
      </c>
      <c r="E9" s="190">
        <v>3073854652</v>
      </c>
      <c r="F9" s="190">
        <v>1704336301</v>
      </c>
      <c r="G9" s="190">
        <v>862245688</v>
      </c>
      <c r="H9" s="190">
        <v>351912428</v>
      </c>
      <c r="I9" s="190">
        <v>1254482776</v>
      </c>
      <c r="J9" s="190">
        <v>848138326</v>
      </c>
      <c r="K9" s="190">
        <v>513674864</v>
      </c>
      <c r="L9" s="190">
        <v>240728870</v>
      </c>
      <c r="M9" s="190">
        <v>1027936868</v>
      </c>
      <c r="N9" s="190">
        <v>759799990</v>
      </c>
      <c r="O9" s="190">
        <v>475971194</v>
      </c>
      <c r="P9" s="190">
        <v>241650249</v>
      </c>
      <c r="Q9" s="190">
        <v>1048872374</v>
      </c>
      <c r="R9" s="190">
        <v>792993951</v>
      </c>
      <c r="S9" s="190">
        <v>516766863</v>
      </c>
      <c r="T9" s="190">
        <v>248540691</v>
      </c>
      <c r="U9" s="190">
        <v>887038828</v>
      </c>
      <c r="V9" s="190">
        <v>626987603</v>
      </c>
      <c r="W9" s="190">
        <v>406716430</v>
      </c>
      <c r="X9" s="190">
        <v>191492781</v>
      </c>
      <c r="Y9" s="190">
        <v>696745226</v>
      </c>
      <c r="Z9" s="190">
        <v>528388630</v>
      </c>
      <c r="AA9" s="190">
        <v>330655134</v>
      </c>
      <c r="AB9" s="190">
        <v>154531032</v>
      </c>
      <c r="AC9" s="190">
        <v>692364218</v>
      </c>
      <c r="AD9" s="190">
        <v>520039681</v>
      </c>
      <c r="AE9" s="190">
        <v>362503272</v>
      </c>
      <c r="AF9" s="190">
        <v>184708227</v>
      </c>
      <c r="AG9" s="190">
        <v>592443804</v>
      </c>
      <c r="AH9" s="190">
        <v>438005584</v>
      </c>
      <c r="AI9" s="190">
        <v>277373928</v>
      </c>
      <c r="AJ9" s="190">
        <v>133201394</v>
      </c>
      <c r="AK9" s="190">
        <v>500889281</v>
      </c>
      <c r="AL9" s="190">
        <v>377616264</v>
      </c>
      <c r="AM9" s="190">
        <v>227561911</v>
      </c>
      <c r="AN9" s="190">
        <v>100813043</v>
      </c>
      <c r="AO9" s="190">
        <v>394463783</v>
      </c>
      <c r="AP9" s="190">
        <v>311085363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602887837</v>
      </c>
      <c r="C10" s="190">
        <v>779938319</v>
      </c>
      <c r="D10" s="190">
        <v>382640562</v>
      </c>
      <c r="E10" s="190">
        <v>1450093310</v>
      </c>
      <c r="F10" s="190">
        <v>980169095</v>
      </c>
      <c r="G10" s="190">
        <v>643354788</v>
      </c>
      <c r="H10" s="190">
        <v>345089547</v>
      </c>
      <c r="I10" s="190">
        <v>1251982426</v>
      </c>
      <c r="J10" s="190">
        <v>864495345</v>
      </c>
      <c r="K10" s="190">
        <v>560890132</v>
      </c>
      <c r="L10" s="190">
        <v>279073543</v>
      </c>
      <c r="M10" s="190">
        <v>1061016496</v>
      </c>
      <c r="N10" s="190">
        <v>744383996</v>
      </c>
      <c r="O10" s="190">
        <v>475305428</v>
      </c>
      <c r="P10" s="190">
        <v>219814062</v>
      </c>
      <c r="Q10" s="190">
        <v>855345809</v>
      </c>
      <c r="R10" s="190">
        <v>615676147</v>
      </c>
      <c r="S10" s="190">
        <v>407805250</v>
      </c>
      <c r="T10" s="190">
        <v>196061666</v>
      </c>
      <c r="U10" s="190">
        <v>695188446</v>
      </c>
      <c r="V10" s="190">
        <v>526659832</v>
      </c>
      <c r="W10" s="190">
        <v>338093787</v>
      </c>
      <c r="X10" s="190">
        <v>163756845</v>
      </c>
      <c r="Y10" s="190">
        <v>518868813</v>
      </c>
      <c r="Z10" s="190">
        <v>366707315</v>
      </c>
      <c r="AA10" s="190">
        <v>228966029</v>
      </c>
      <c r="AB10" s="190">
        <v>102201560</v>
      </c>
      <c r="AC10" s="190">
        <v>392151251</v>
      </c>
      <c r="AD10" s="190">
        <v>282033365</v>
      </c>
      <c r="AE10" s="190">
        <v>173614225</v>
      </c>
      <c r="AF10" s="190">
        <v>75472141</v>
      </c>
      <c r="AG10" s="190">
        <v>262997850</v>
      </c>
      <c r="AH10" s="190">
        <v>157181660</v>
      </c>
      <c r="AI10" s="190">
        <v>97136759</v>
      </c>
      <c r="AJ10" s="190">
        <v>44684349</v>
      </c>
      <c r="AK10" s="190">
        <v>172115313</v>
      </c>
      <c r="AL10" s="190">
        <v>114706020</v>
      </c>
      <c r="AM10" s="190">
        <v>71987965</v>
      </c>
      <c r="AN10" s="190">
        <v>32633264</v>
      </c>
      <c r="AO10" s="190">
        <v>130631648</v>
      </c>
      <c r="AP10" s="190">
        <v>122377308</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20304304</v>
      </c>
      <c r="F12" s="29">
        <f t="shared" si="5"/>
        <v>1204</v>
      </c>
      <c r="G12" s="29">
        <f t="shared" si="5"/>
        <v>868</v>
      </c>
      <c r="H12" s="29">
        <f t="shared" si="5"/>
        <v>644</v>
      </c>
      <c r="I12" s="29">
        <f t="shared" si="5"/>
        <v>22292062</v>
      </c>
      <c r="J12" s="29">
        <f t="shared" si="5"/>
        <v>0</v>
      </c>
      <c r="K12" s="29">
        <f t="shared" si="5"/>
        <v>0</v>
      </c>
      <c r="L12" s="29">
        <f t="shared" si="5"/>
        <v>0</v>
      </c>
      <c r="M12" s="29">
        <f t="shared" si="5"/>
        <v>16245727</v>
      </c>
      <c r="N12" s="29">
        <f t="shared" si="5"/>
        <v>0</v>
      </c>
      <c r="O12" s="29">
        <f t="shared" si="5"/>
        <v>0</v>
      </c>
      <c r="P12" s="29">
        <f t="shared" si="5"/>
        <v>0</v>
      </c>
      <c r="Q12" s="29">
        <f t="shared" si="5"/>
        <v>13308094</v>
      </c>
      <c r="R12" s="29">
        <f t="shared" si="5"/>
        <v>0</v>
      </c>
      <c r="S12" s="29">
        <f t="shared" si="5"/>
        <v>0</v>
      </c>
      <c r="T12" s="29">
        <f t="shared" si="5"/>
        <v>0</v>
      </c>
      <c r="U12" s="29">
        <f t="shared" si="5"/>
        <v>15196011</v>
      </c>
      <c r="V12" s="29">
        <f t="shared" si="5"/>
        <v>0</v>
      </c>
      <c r="W12" s="29">
        <f t="shared" si="5"/>
        <v>0</v>
      </c>
      <c r="X12" s="29">
        <f t="shared" si="5"/>
        <v>0</v>
      </c>
      <c r="Y12" s="29">
        <f t="shared" si="5"/>
        <v>6749000</v>
      </c>
      <c r="Z12" s="29">
        <f t="shared" si="5"/>
        <v>0</v>
      </c>
      <c r="AA12" s="29">
        <f t="shared" si="5"/>
        <v>0</v>
      </c>
      <c r="AB12" s="29">
        <f t="shared" si="5"/>
        <v>0</v>
      </c>
      <c r="AC12" s="29">
        <f t="shared" si="5"/>
        <v>2316930</v>
      </c>
      <c r="AD12" s="29">
        <f t="shared" si="5"/>
        <v>0</v>
      </c>
      <c r="AE12" s="29">
        <f t="shared" si="5"/>
        <v>0</v>
      </c>
      <c r="AF12" s="29">
        <f t="shared" si="5"/>
        <v>0</v>
      </c>
      <c r="AG12" s="29">
        <f t="shared" si="5"/>
        <v>2146223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160068876</v>
      </c>
      <c r="C13" s="190">
        <v>160393471</v>
      </c>
      <c r="D13" s="190">
        <v>158085283</v>
      </c>
      <c r="E13" s="190">
        <v>7109374</v>
      </c>
      <c r="F13" s="190">
        <v>3555536</v>
      </c>
      <c r="G13" s="190">
        <v>2839974</v>
      </c>
      <c r="H13" s="190">
        <v>17530508</v>
      </c>
      <c r="I13" s="190">
        <v>94929020</v>
      </c>
      <c r="J13" s="190">
        <v>78083526</v>
      </c>
      <c r="K13" s="190">
        <v>46031230</v>
      </c>
      <c r="L13" s="190">
        <v>20505935</v>
      </c>
      <c r="M13" s="190">
        <v>120016398</v>
      </c>
      <c r="N13" s="190">
        <v>89066946</v>
      </c>
      <c r="O13" s="190">
        <v>40428257</v>
      </c>
      <c r="P13" s="190">
        <v>10187228</v>
      </c>
      <c r="Q13" s="190">
        <v>89476395</v>
      </c>
      <c r="R13" s="190">
        <v>58807185</v>
      </c>
      <c r="S13" s="190">
        <v>31907815</v>
      </c>
      <c r="T13" s="190">
        <v>13858967</v>
      </c>
      <c r="U13" s="190">
        <v>162224790</v>
      </c>
      <c r="V13" s="190">
        <v>56708423</v>
      </c>
      <c r="W13" s="190">
        <v>37258285</v>
      </c>
      <c r="X13" s="190">
        <v>21381456</v>
      </c>
      <c r="Y13" s="190">
        <v>142107936</v>
      </c>
      <c r="Z13" s="190">
        <v>74486159</v>
      </c>
      <c r="AA13" s="190">
        <v>44640186</v>
      </c>
      <c r="AB13" s="190">
        <v>26297098</v>
      </c>
      <c r="AC13" s="190">
        <v>65971188</v>
      </c>
      <c r="AD13" s="190">
        <v>35671174</v>
      </c>
      <c r="AE13" s="190">
        <v>21263666</v>
      </c>
      <c r="AF13" s="190">
        <v>2640265</v>
      </c>
      <c r="AG13" s="190">
        <v>41907646</v>
      </c>
      <c r="AH13" s="190">
        <v>33382015</v>
      </c>
      <c r="AI13" s="190">
        <v>18659840</v>
      </c>
      <c r="AJ13" s="190">
        <v>4994041</v>
      </c>
      <c r="AK13" s="190">
        <v>30044937</v>
      </c>
      <c r="AL13" s="190">
        <v>9352110</v>
      </c>
      <c r="AM13" s="190">
        <v>5393483</v>
      </c>
      <c r="AN13" s="190">
        <v>1390543</v>
      </c>
      <c r="AO13" s="190">
        <v>16540644</v>
      </c>
      <c r="AP13" s="190">
        <v>11627983</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148078327</v>
      </c>
      <c r="C14" s="190">
        <v>135612740</v>
      </c>
      <c r="D14" s="190">
        <v>93451311</v>
      </c>
      <c r="E14" s="190">
        <v>22665809</v>
      </c>
      <c r="F14" s="190">
        <v>21857988</v>
      </c>
      <c r="G14" s="190">
        <v>12854283</v>
      </c>
      <c r="H14" s="190">
        <v>4443398</v>
      </c>
      <c r="I14" s="190">
        <v>46560501</v>
      </c>
      <c r="J14" s="190">
        <v>18192755</v>
      </c>
      <c r="K14" s="190">
        <v>12453371</v>
      </c>
      <c r="L14" s="190">
        <v>1118989</v>
      </c>
      <c r="M14" s="190">
        <v>12703213</v>
      </c>
      <c r="N14" s="190">
        <v>8405473</v>
      </c>
      <c r="O14" s="190">
        <v>5361850</v>
      </c>
      <c r="P14" s="190">
        <v>559750</v>
      </c>
      <c r="Q14" s="190">
        <v>29519988</v>
      </c>
      <c r="R14" s="190">
        <v>14967130</v>
      </c>
      <c r="S14" s="190">
        <v>10605777</v>
      </c>
      <c r="T14" s="190">
        <v>3654753</v>
      </c>
      <c r="U14" s="190">
        <v>28254140</v>
      </c>
      <c r="V14" s="190">
        <v>9249135</v>
      </c>
      <c r="W14" s="190">
        <v>4974234</v>
      </c>
      <c r="X14" s="190">
        <v>1936630</v>
      </c>
      <c r="Y14" s="190">
        <v>8404561</v>
      </c>
      <c r="Z14" s="190">
        <v>5060724</v>
      </c>
      <c r="AA14" s="190">
        <v>3884445</v>
      </c>
      <c r="AB14" s="190">
        <v>1982403</v>
      </c>
      <c r="AC14" s="190">
        <v>8155129</v>
      </c>
      <c r="AD14" s="190">
        <v>7821337</v>
      </c>
      <c r="AE14" s="190">
        <v>4039322</v>
      </c>
      <c r="AF14" s="190">
        <v>1082525</v>
      </c>
      <c r="AG14" s="190">
        <v>21219242</v>
      </c>
      <c r="AH14" s="190">
        <v>10808324</v>
      </c>
      <c r="AI14" s="190">
        <v>6398738</v>
      </c>
      <c r="AJ14" s="190">
        <v>2625392</v>
      </c>
      <c r="AK14" s="190">
        <v>13684683</v>
      </c>
      <c r="AL14" s="190">
        <v>9312974</v>
      </c>
      <c r="AM14" s="190">
        <v>6622037</v>
      </c>
      <c r="AN14" s="190">
        <v>649614</v>
      </c>
      <c r="AO14" s="190">
        <v>18135685</v>
      </c>
      <c r="AP14" s="190">
        <v>1948799</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2072490269</v>
      </c>
      <c r="C15" s="28">
        <f t="shared" ref="C15:BN15" si="7">C6-(C8+C9+C10+C11+C12)+C13-C14</f>
        <v>1067252009</v>
      </c>
      <c r="D15" s="28">
        <f t="shared" si="7"/>
        <v>563022069</v>
      </c>
      <c r="E15" s="28">
        <f t="shared" si="7"/>
        <v>816392401</v>
      </c>
      <c r="F15" s="28">
        <f t="shared" si="7"/>
        <v>858842700</v>
      </c>
      <c r="G15" s="28">
        <f t="shared" si="7"/>
        <v>559792305</v>
      </c>
      <c r="H15" s="28">
        <f t="shared" si="7"/>
        <v>347998232</v>
      </c>
      <c r="I15" s="28">
        <f t="shared" si="7"/>
        <v>971099685</v>
      </c>
      <c r="J15" s="28">
        <f t="shared" si="7"/>
        <v>835933569</v>
      </c>
      <c r="K15" s="28">
        <f t="shared" si="7"/>
        <v>590383027</v>
      </c>
      <c r="L15" s="28">
        <f t="shared" si="7"/>
        <v>324332682</v>
      </c>
      <c r="M15" s="28">
        <f t="shared" si="7"/>
        <v>1097167861</v>
      </c>
      <c r="N15" s="28">
        <f t="shared" si="7"/>
        <v>895255690</v>
      </c>
      <c r="O15" s="28">
        <f t="shared" si="7"/>
        <v>598561743</v>
      </c>
      <c r="P15" s="28">
        <f t="shared" si="7"/>
        <v>314873983</v>
      </c>
      <c r="Q15" s="28">
        <f t="shared" si="7"/>
        <v>1333387559</v>
      </c>
      <c r="R15" s="28">
        <f t="shared" si="7"/>
        <v>1123024724</v>
      </c>
      <c r="S15" s="28">
        <f t="shared" si="7"/>
        <v>727837869</v>
      </c>
      <c r="T15" s="28">
        <f t="shared" si="7"/>
        <v>311689151</v>
      </c>
      <c r="U15" s="28">
        <f t="shared" si="7"/>
        <v>1429025594</v>
      </c>
      <c r="V15" s="28">
        <f t="shared" si="7"/>
        <v>1104858071</v>
      </c>
      <c r="W15" s="28">
        <f t="shared" si="7"/>
        <v>693295139</v>
      </c>
      <c r="X15" s="28">
        <f t="shared" si="7"/>
        <v>277936452</v>
      </c>
      <c r="Y15" s="28">
        <f t="shared" si="7"/>
        <v>1352322772</v>
      </c>
      <c r="Z15" s="28">
        <f t="shared" si="7"/>
        <v>946053763</v>
      </c>
      <c r="AA15" s="28">
        <f t="shared" si="7"/>
        <v>564961256</v>
      </c>
      <c r="AB15" s="28">
        <f t="shared" si="7"/>
        <v>216810868</v>
      </c>
      <c r="AC15" s="28">
        <f t="shared" si="7"/>
        <v>1126235177</v>
      </c>
      <c r="AD15" s="28">
        <f t="shared" si="7"/>
        <v>806323988</v>
      </c>
      <c r="AE15" s="28">
        <f t="shared" si="7"/>
        <v>479202716</v>
      </c>
      <c r="AF15" s="28">
        <f t="shared" si="7"/>
        <v>170476764</v>
      </c>
      <c r="AG15" s="28">
        <f t="shared" si="7"/>
        <v>780741080</v>
      </c>
      <c r="AH15" s="28">
        <f t="shared" si="7"/>
        <v>543421204</v>
      </c>
      <c r="AI15" s="28">
        <f t="shared" si="7"/>
        <v>329167056</v>
      </c>
      <c r="AJ15" s="28">
        <f t="shared" si="7"/>
        <v>121497010</v>
      </c>
      <c r="AK15" s="28">
        <f t="shared" si="7"/>
        <v>567980455</v>
      </c>
      <c r="AL15" s="28">
        <f t="shared" si="7"/>
        <v>384760729</v>
      </c>
      <c r="AM15" s="28">
        <f t="shared" si="7"/>
        <v>226908234</v>
      </c>
      <c r="AN15" s="28">
        <f t="shared" si="7"/>
        <v>90593471</v>
      </c>
      <c r="AO15" s="28">
        <f t="shared" si="7"/>
        <v>398487635</v>
      </c>
      <c r="AP15" s="28">
        <f t="shared" si="7"/>
        <v>286821472</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100885340.26606618</v>
      </c>
      <c r="C16" s="26">
        <f t="shared" ref="C16:BN16" si="9">C15*C41</f>
        <v>80762034.174044266</v>
      </c>
      <c r="D16" s="26">
        <f t="shared" si="9"/>
        <v>52725851.983799122</v>
      </c>
      <c r="E16" s="26">
        <f t="shared" si="9"/>
        <v>289502386.87759238</v>
      </c>
      <c r="F16" s="26">
        <f t="shared" si="9"/>
        <v>108442815.81608006</v>
      </c>
      <c r="G16" s="26">
        <f t="shared" si="9"/>
        <v>69380198.671714321</v>
      </c>
      <c r="H16" s="26">
        <f t="shared" si="9"/>
        <v>19100869.206148531</v>
      </c>
      <c r="I16" s="26">
        <f t="shared" si="9"/>
        <v>105448972.16740429</v>
      </c>
      <c r="J16" s="26">
        <f t="shared" si="9"/>
        <v>69346456.175654799</v>
      </c>
      <c r="K16" s="26">
        <f t="shared" si="9"/>
        <v>52150229.66591204</v>
      </c>
      <c r="L16" s="26">
        <f t="shared" si="9"/>
        <v>30209562.234494302</v>
      </c>
      <c r="M16" s="26">
        <f t="shared" si="9"/>
        <v>404747071.74532276</v>
      </c>
      <c r="N16" s="26">
        <f t="shared" si="9"/>
        <v>218837927.32802215</v>
      </c>
      <c r="O16" s="26">
        <f t="shared" si="9"/>
        <v>111827553.94469346</v>
      </c>
      <c r="P16" s="26">
        <f t="shared" si="9"/>
        <v>57841681.140932776</v>
      </c>
      <c r="Q16" s="26">
        <f t="shared" si="9"/>
        <v>178145962.64856794</v>
      </c>
      <c r="R16" s="26">
        <f t="shared" si="9"/>
        <v>152284698.38209257</v>
      </c>
      <c r="S16" s="26">
        <f t="shared" si="9"/>
        <v>100418332.30399229</v>
      </c>
      <c r="T16" s="26">
        <f t="shared" si="9"/>
        <v>41902999.305126265</v>
      </c>
      <c r="U16" s="26">
        <f t="shared" si="9"/>
        <v>215563069.66573507</v>
      </c>
      <c r="V16" s="26">
        <f t="shared" si="9"/>
        <v>149304139.79844049</v>
      </c>
      <c r="W16" s="26">
        <f t="shared" si="9"/>
        <v>90957050.877113134</v>
      </c>
      <c r="X16" s="26">
        <f t="shared" si="9"/>
        <v>38799299.943427168</v>
      </c>
      <c r="Y16" s="26">
        <f t="shared" si="9"/>
        <v>187396119.03618386</v>
      </c>
      <c r="Z16" s="26">
        <f t="shared" si="9"/>
        <v>130179160.11795346</v>
      </c>
      <c r="AA16" s="26">
        <f t="shared" si="9"/>
        <v>77218602.236337394</v>
      </c>
      <c r="AB16" s="26">
        <f t="shared" si="9"/>
        <v>30929577.085447289</v>
      </c>
      <c r="AC16" s="26">
        <f t="shared" si="9"/>
        <v>158567165.24024391</v>
      </c>
      <c r="AD16" s="26">
        <f t="shared" si="9"/>
        <v>116747632.60500683</v>
      </c>
      <c r="AE16" s="26">
        <f t="shared" si="9"/>
        <v>68504590.814334497</v>
      </c>
      <c r="AF16" s="26">
        <f t="shared" si="9"/>
        <v>24578205.460214701</v>
      </c>
      <c r="AG16" s="26">
        <f t="shared" si="9"/>
        <v>114653727.35317072</v>
      </c>
      <c r="AH16" s="26">
        <f t="shared" si="9"/>
        <v>79798671.733442485</v>
      </c>
      <c r="AI16" s="26">
        <f t="shared" si="9"/>
        <v>47742576.939311236</v>
      </c>
      <c r="AJ16" s="26">
        <f t="shared" si="9"/>
        <v>19206935.631987967</v>
      </c>
      <c r="AK16" s="26">
        <f t="shared" si="9"/>
        <v>95489338.709942847</v>
      </c>
      <c r="AL16" s="26">
        <f t="shared" si="9"/>
        <v>67293690.022315145</v>
      </c>
      <c r="AM16" s="26">
        <f t="shared" si="9"/>
        <v>38665265.528838255</v>
      </c>
      <c r="AN16" s="26">
        <f t="shared" si="9"/>
        <v>15688258.561725324</v>
      </c>
      <c r="AO16" s="26">
        <f t="shared" si="9"/>
        <v>45968016.593236431</v>
      </c>
      <c r="AP16" s="26">
        <f t="shared" si="9"/>
        <v>45536246.716838934</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1971604928.7339339</v>
      </c>
      <c r="C17" s="27">
        <f t="shared" ref="C17:BN17" si="11">C15-C16</f>
        <v>986489974.82595575</v>
      </c>
      <c r="D17" s="27">
        <f t="shared" si="11"/>
        <v>510296217.0162009</v>
      </c>
      <c r="E17" s="27">
        <f t="shared" si="11"/>
        <v>526890014.12240762</v>
      </c>
      <c r="F17" s="27">
        <f t="shared" si="11"/>
        <v>750399884.18391991</v>
      </c>
      <c r="G17" s="27">
        <f t="shared" si="11"/>
        <v>490412106.32828569</v>
      </c>
      <c r="H17" s="27">
        <f t="shared" si="11"/>
        <v>328897362.79385149</v>
      </c>
      <c r="I17" s="27">
        <f t="shared" si="11"/>
        <v>865650712.83259571</v>
      </c>
      <c r="J17" s="27">
        <f t="shared" si="11"/>
        <v>766587112.82434523</v>
      </c>
      <c r="K17" s="27">
        <f t="shared" si="11"/>
        <v>538232797.33408797</v>
      </c>
      <c r="L17" s="27">
        <f t="shared" si="11"/>
        <v>294123119.76550567</v>
      </c>
      <c r="M17" s="27">
        <f t="shared" si="11"/>
        <v>692420789.2546773</v>
      </c>
      <c r="N17" s="27">
        <f t="shared" si="11"/>
        <v>676417762.67197788</v>
      </c>
      <c r="O17" s="27">
        <f t="shared" si="11"/>
        <v>486734189.05530655</v>
      </c>
      <c r="P17" s="27">
        <f t="shared" si="11"/>
        <v>257032301.85906723</v>
      </c>
      <c r="Q17" s="27">
        <f t="shared" si="11"/>
        <v>1155241596.3514321</v>
      </c>
      <c r="R17" s="27">
        <f t="shared" si="11"/>
        <v>970740025.6179074</v>
      </c>
      <c r="S17" s="27">
        <f t="shared" si="11"/>
        <v>627419536.69600773</v>
      </c>
      <c r="T17" s="27">
        <f t="shared" si="11"/>
        <v>269786151.69487375</v>
      </c>
      <c r="U17" s="27">
        <f t="shared" si="11"/>
        <v>1213462524.334265</v>
      </c>
      <c r="V17" s="27">
        <f t="shared" si="11"/>
        <v>955553931.20155954</v>
      </c>
      <c r="W17" s="27">
        <f t="shared" si="11"/>
        <v>602338088.1228869</v>
      </c>
      <c r="X17" s="27">
        <f t="shared" si="11"/>
        <v>239137152.05657282</v>
      </c>
      <c r="Y17" s="27">
        <f t="shared" si="11"/>
        <v>1164926652.9638162</v>
      </c>
      <c r="Z17" s="27">
        <f t="shared" si="11"/>
        <v>815874602.88204658</v>
      </c>
      <c r="AA17" s="27">
        <f t="shared" si="11"/>
        <v>487742653.76366258</v>
      </c>
      <c r="AB17" s="27">
        <f t="shared" si="11"/>
        <v>185881290.91455272</v>
      </c>
      <c r="AC17" s="27">
        <f t="shared" si="11"/>
        <v>967668011.75975609</v>
      </c>
      <c r="AD17" s="27">
        <f t="shared" si="11"/>
        <v>689576355.39499319</v>
      </c>
      <c r="AE17" s="27">
        <f t="shared" si="11"/>
        <v>410698125.18566549</v>
      </c>
      <c r="AF17" s="27">
        <f t="shared" si="11"/>
        <v>145898558.5397853</v>
      </c>
      <c r="AG17" s="27">
        <f t="shared" si="11"/>
        <v>666087352.64682925</v>
      </c>
      <c r="AH17" s="27">
        <f t="shared" si="11"/>
        <v>463622532.26655751</v>
      </c>
      <c r="AI17" s="27">
        <f t="shared" si="11"/>
        <v>281424479.06068873</v>
      </c>
      <c r="AJ17" s="27">
        <f t="shared" si="11"/>
        <v>102290074.36801204</v>
      </c>
      <c r="AK17" s="27">
        <f t="shared" si="11"/>
        <v>472491116.29005718</v>
      </c>
      <c r="AL17" s="27">
        <f t="shared" si="11"/>
        <v>317467038.97768486</v>
      </c>
      <c r="AM17" s="27">
        <f t="shared" si="11"/>
        <v>188242968.47116175</v>
      </c>
      <c r="AN17" s="27">
        <f t="shared" si="11"/>
        <v>74905212.438274682</v>
      </c>
      <c r="AO17" s="27">
        <f t="shared" si="11"/>
        <v>352519618.40676355</v>
      </c>
      <c r="AP17" s="27">
        <f t="shared" si="11"/>
        <v>241285225.28316107</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16.118694222121988</v>
      </c>
      <c r="C18" s="57">
        <f t="shared" ref="C18:D18" si="13">C17/C4*100</f>
        <v>12.659599618438532</v>
      </c>
      <c r="D18" s="57">
        <f t="shared" si="13"/>
        <v>12.977722341940353</v>
      </c>
      <c r="E18" s="57">
        <f>E17/E4</f>
        <v>4.6077164091302608E-2</v>
      </c>
      <c r="F18" s="57">
        <f t="shared" ref="F18:BQ18" si="14">F17/F4</f>
        <v>9.4864528378214588E-2</v>
      </c>
      <c r="G18" s="57">
        <f t="shared" si="14"/>
        <v>9.9233993616023947E-2</v>
      </c>
      <c r="H18" s="57">
        <f t="shared" si="14"/>
        <v>0.13511519615870338</v>
      </c>
      <c r="I18" s="57">
        <f t="shared" si="14"/>
        <v>0.10105725322872632</v>
      </c>
      <c r="J18" s="57">
        <f t="shared" si="14"/>
        <v>0.12259754226052189</v>
      </c>
      <c r="K18" s="57">
        <f t="shared" si="14"/>
        <v>0.13139125088486731</v>
      </c>
      <c r="L18" s="57">
        <f t="shared" si="14"/>
        <v>0.1467440117843839</v>
      </c>
      <c r="M18" s="57">
        <f t="shared" si="14"/>
        <v>8.919109440783439E-2</v>
      </c>
      <c r="N18" s="57">
        <f t="shared" si="14"/>
        <v>0.11625253577017136</v>
      </c>
      <c r="O18" s="57">
        <f t="shared" si="14"/>
        <v>0.12689887137397421</v>
      </c>
      <c r="P18" s="57">
        <f t="shared" si="14"/>
        <v>0.1358054918981037</v>
      </c>
      <c r="Q18" s="57">
        <f t="shared" si="14"/>
        <v>0.14398366416771016</v>
      </c>
      <c r="R18" s="57">
        <f t="shared" si="14"/>
        <v>0.16216088361574862</v>
      </c>
      <c r="S18" s="57">
        <f t="shared" si="14"/>
        <v>0.15815311972075827</v>
      </c>
      <c r="T18" s="57">
        <f t="shared" si="14"/>
        <v>0.13904443588602478</v>
      </c>
      <c r="U18" s="57">
        <f t="shared" si="14"/>
        <v>0.17763320672595509</v>
      </c>
      <c r="V18" s="57">
        <f t="shared" si="14"/>
        <v>0.193856773563716</v>
      </c>
      <c r="W18" s="57">
        <f t="shared" si="14"/>
        <v>0.18933387273307051</v>
      </c>
      <c r="X18" s="57">
        <f t="shared" si="14"/>
        <v>0.16364340770271141</v>
      </c>
      <c r="Y18" s="57">
        <f t="shared" si="14"/>
        <v>0.1979390830535791</v>
      </c>
      <c r="Z18" s="57">
        <f t="shared" si="14"/>
        <v>0.18739760520548518</v>
      </c>
      <c r="AA18" s="57">
        <f t="shared" si="14"/>
        <v>0.17572620520508989</v>
      </c>
      <c r="AB18" s="57">
        <f t="shared" si="14"/>
        <v>0.15042161581168403</v>
      </c>
      <c r="AC18" s="57">
        <f t="shared" si="14"/>
        <v>0.18797522173819778</v>
      </c>
      <c r="AD18" s="57">
        <f t="shared" si="14"/>
        <v>0.18907761772457374</v>
      </c>
      <c r="AE18" s="57">
        <f t="shared" si="14"/>
        <v>0.17767981948796366</v>
      </c>
      <c r="AF18" s="57">
        <f t="shared" si="14"/>
        <v>0.13567841239261749</v>
      </c>
      <c r="AG18" s="57">
        <f t="shared" si="14"/>
        <v>0.16543000188627294</v>
      </c>
      <c r="AH18" s="57">
        <f t="shared" si="14"/>
        <v>0.16278878607996694</v>
      </c>
      <c r="AI18" s="57">
        <f t="shared" si="14"/>
        <v>0.15758095213666004</v>
      </c>
      <c r="AJ18" s="57">
        <f t="shared" si="14"/>
        <v>0.12581530090607299</v>
      </c>
      <c r="AK18" s="57">
        <f t="shared" si="14"/>
        <v>0.14556169115731396</v>
      </c>
      <c r="AL18" s="57">
        <f t="shared" si="14"/>
        <v>0.13523766441514035</v>
      </c>
      <c r="AM18" s="57">
        <f t="shared" si="14"/>
        <v>0.12791896436333117</v>
      </c>
      <c r="AN18" s="57">
        <f t="shared" si="14"/>
        <v>0.11372043786851312</v>
      </c>
      <c r="AO18" s="57">
        <f t="shared" si="14"/>
        <v>0.13447806143609939</v>
      </c>
      <c r="AP18" s="57">
        <f t="shared" si="14"/>
        <v>0.1188991615386696</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97073811</v>
      </c>
      <c r="C20" s="190">
        <v>75188256</v>
      </c>
      <c r="D20" s="190">
        <v>37838976</v>
      </c>
      <c r="E20" s="190">
        <v>16265734</v>
      </c>
      <c r="F20" s="190">
        <v>4631055</v>
      </c>
      <c r="G20" s="190">
        <v>3247608</v>
      </c>
      <c r="H20" s="190">
        <v>1671983</v>
      </c>
      <c r="I20" s="190">
        <v>7689761</v>
      </c>
      <c r="J20" s="190">
        <v>5656264</v>
      </c>
      <c r="K20" s="190">
        <v>3846817</v>
      </c>
      <c r="L20" s="190">
        <v>717470</v>
      </c>
      <c r="M20" s="190">
        <v>5519832</v>
      </c>
      <c r="N20" s="190">
        <v>2720834</v>
      </c>
      <c r="O20" s="190">
        <v>935327</v>
      </c>
      <c r="P20" s="190">
        <v>610638</v>
      </c>
      <c r="Q20" s="190">
        <v>8058532</v>
      </c>
      <c r="R20" s="190">
        <v>4699864</v>
      </c>
      <c r="S20" s="190">
        <v>2268156</v>
      </c>
      <c r="T20" s="190">
        <v>1100225</v>
      </c>
      <c r="U20" s="190">
        <v>1952197</v>
      </c>
      <c r="V20" s="190">
        <v>532967</v>
      </c>
      <c r="W20" s="190">
        <v>208225</v>
      </c>
      <c r="X20" s="190">
        <v>219290</v>
      </c>
      <c r="Y20" s="190">
        <v>1601054</v>
      </c>
      <c r="Z20" s="190">
        <v>1189037</v>
      </c>
      <c r="AA20" s="190">
        <v>-6483</v>
      </c>
      <c r="AB20" s="190">
        <v>-160483</v>
      </c>
      <c r="AC20" s="190">
        <v>-305235</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-66725</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27838461</v>
      </c>
      <c r="F23" s="29">
        <f t="shared" si="16"/>
        <v>34414</v>
      </c>
      <c r="G23" s="29">
        <f t="shared" si="16"/>
        <v>23309</v>
      </c>
      <c r="H23" s="29">
        <f t="shared" si="16"/>
        <v>16814</v>
      </c>
      <c r="I23" s="29">
        <f t="shared" si="16"/>
        <v>40230682</v>
      </c>
      <c r="J23" s="29">
        <f t="shared" si="16"/>
        <v>0</v>
      </c>
      <c r="K23" s="29">
        <f t="shared" si="16"/>
        <v>0</v>
      </c>
      <c r="L23" s="29">
        <f t="shared" si="16"/>
        <v>0</v>
      </c>
      <c r="M23" s="29">
        <f t="shared" si="16"/>
        <v>52137746</v>
      </c>
      <c r="N23" s="29">
        <f t="shared" si="16"/>
        <v>0</v>
      </c>
      <c r="O23" s="29">
        <f t="shared" si="16"/>
        <v>0</v>
      </c>
      <c r="P23" s="29">
        <f t="shared" si="16"/>
        <v>0</v>
      </c>
      <c r="Q23" s="29">
        <f t="shared" si="16"/>
        <v>61229921</v>
      </c>
      <c r="R23" s="29">
        <f t="shared" si="16"/>
        <v>0</v>
      </c>
      <c r="S23" s="29">
        <f t="shared" si="16"/>
        <v>0</v>
      </c>
      <c r="T23" s="29">
        <f t="shared" si="16"/>
        <v>0</v>
      </c>
      <c r="U23" s="29">
        <f t="shared" si="16"/>
        <v>61903621</v>
      </c>
      <c r="V23" s="29">
        <f t="shared" si="16"/>
        <v>0</v>
      </c>
      <c r="W23" s="29">
        <f t="shared" si="16"/>
        <v>0</v>
      </c>
      <c r="X23" s="29">
        <f t="shared" si="16"/>
        <v>0</v>
      </c>
      <c r="Y23" s="29">
        <f t="shared" si="16"/>
        <v>52749803</v>
      </c>
      <c r="Z23" s="29">
        <f t="shared" si="16"/>
        <v>0</v>
      </c>
      <c r="AA23" s="29">
        <f t="shared" si="16"/>
        <v>0</v>
      </c>
      <c r="AB23" s="29">
        <f t="shared" si="16"/>
        <v>0</v>
      </c>
      <c r="AC23" s="29">
        <f t="shared" si="16"/>
        <v>70040684</v>
      </c>
      <c r="AD23" s="29">
        <f t="shared" si="16"/>
        <v>0</v>
      </c>
      <c r="AE23" s="29">
        <f t="shared" si="16"/>
        <v>0</v>
      </c>
      <c r="AF23" s="29">
        <f t="shared" si="16"/>
        <v>0</v>
      </c>
      <c r="AG23" s="29">
        <f t="shared" si="16"/>
        <v>49568248</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771546068</v>
      </c>
      <c r="F24" s="26">
        <f t="shared" si="18"/>
        <v>28275963</v>
      </c>
      <c r="G24" s="26">
        <f t="shared" si="18"/>
        <v>14028690</v>
      </c>
      <c r="H24" s="26">
        <f t="shared" si="18"/>
        <v>0</v>
      </c>
      <c r="I24" s="26">
        <f t="shared" si="18"/>
        <v>8018771</v>
      </c>
      <c r="J24" s="26">
        <f t="shared" si="18"/>
        <v>7863512</v>
      </c>
      <c r="K24" s="26">
        <f t="shared" si="18"/>
        <v>0</v>
      </c>
      <c r="L24" s="26">
        <f t="shared" si="18"/>
        <v>0</v>
      </c>
      <c r="M24" s="26">
        <f t="shared" si="18"/>
        <v>23092610</v>
      </c>
      <c r="N24" s="26">
        <f t="shared" si="18"/>
        <v>22849735</v>
      </c>
      <c r="O24" s="26">
        <f t="shared" si="18"/>
        <v>19523789</v>
      </c>
      <c r="P24" s="26">
        <f t="shared" si="18"/>
        <v>0</v>
      </c>
      <c r="Q24" s="26">
        <f t="shared" si="18"/>
        <v>6865861</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-5775000</v>
      </c>
      <c r="AC24" s="26">
        <f t="shared" si="18"/>
        <v>-6922863</v>
      </c>
      <c r="AD24" s="26">
        <f t="shared" si="18"/>
        <v>-1200000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82303</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-24913607</v>
      </c>
      <c r="F25" s="29">
        <f t="shared" si="20"/>
        <v>-2684</v>
      </c>
      <c r="G25" s="29">
        <f t="shared" si="20"/>
        <v>377</v>
      </c>
      <c r="H25" s="29">
        <f t="shared" si="20"/>
        <v>-1008</v>
      </c>
      <c r="I25" s="29">
        <f t="shared" si="20"/>
        <v>26560963</v>
      </c>
      <c r="J25" s="29">
        <f t="shared" si="20"/>
        <v>0</v>
      </c>
      <c r="K25" s="29">
        <f t="shared" si="20"/>
        <v>0</v>
      </c>
      <c r="L25" s="29">
        <f t="shared" si="20"/>
        <v>0</v>
      </c>
      <c r="M25" s="29">
        <f t="shared" si="20"/>
        <v>-195206354</v>
      </c>
      <c r="N25" s="29">
        <f t="shared" si="20"/>
        <v>0</v>
      </c>
      <c r="O25" s="29">
        <f t="shared" si="20"/>
        <v>0</v>
      </c>
      <c r="P25" s="29">
        <f t="shared" si="20"/>
        <v>0</v>
      </c>
      <c r="Q25" s="29">
        <f t="shared" si="20"/>
        <v>3397161</v>
      </c>
      <c r="R25" s="29">
        <f t="shared" si="20"/>
        <v>0</v>
      </c>
      <c r="S25" s="29">
        <f t="shared" si="20"/>
        <v>0</v>
      </c>
      <c r="T25" s="29">
        <f t="shared" si="20"/>
        <v>0</v>
      </c>
      <c r="U25" s="29">
        <f t="shared" si="20"/>
        <v>-13350</v>
      </c>
      <c r="V25" s="29">
        <f t="shared" si="20"/>
        <v>0</v>
      </c>
      <c r="W25" s="29">
        <f t="shared" si="20"/>
        <v>0</v>
      </c>
      <c r="X25" s="29">
        <f t="shared" si="20"/>
        <v>0</v>
      </c>
      <c r="Y25" s="29">
        <f t="shared" si="20"/>
        <v>297744</v>
      </c>
      <c r="Z25" s="29">
        <f t="shared" si="20"/>
        <v>0</v>
      </c>
      <c r="AA25" s="29">
        <f t="shared" si="20"/>
        <v>0</v>
      </c>
      <c r="AB25" s="29">
        <f t="shared" si="20"/>
        <v>0</v>
      </c>
      <c r="AC25" s="29">
        <f t="shared" si="20"/>
        <v>-267738</v>
      </c>
      <c r="AD25" s="29">
        <f t="shared" si="20"/>
        <v>0</v>
      </c>
      <c r="AE25" s="29">
        <f t="shared" si="20"/>
        <v>0</v>
      </c>
      <c r="AF25" s="29">
        <f t="shared" si="20"/>
        <v>0</v>
      </c>
      <c r="AG25" s="29">
        <f t="shared" si="20"/>
        <v>-681586</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75615133</v>
      </c>
      <c r="C26" s="190">
        <v>16416613</v>
      </c>
      <c r="D26" s="190">
        <v>-70663245</v>
      </c>
      <c r="E26" s="190">
        <v>-94705462</v>
      </c>
      <c r="F26" s="190">
        <v>398436760</v>
      </c>
      <c r="G26" s="190">
        <v>254337044</v>
      </c>
      <c r="H26" s="190">
        <v>240966931</v>
      </c>
      <c r="I26" s="190">
        <v>127483667</v>
      </c>
      <c r="J26" s="190">
        <v>169446876</v>
      </c>
      <c r="K26" s="190">
        <v>116312651</v>
      </c>
      <c r="L26" s="190">
        <v>92765506</v>
      </c>
      <c r="M26" s="190">
        <v>-92767334</v>
      </c>
      <c r="N26" s="190">
        <v>-157313269</v>
      </c>
      <c r="O26" s="190">
        <v>-85538339</v>
      </c>
      <c r="P26" s="190">
        <v>-17470341</v>
      </c>
      <c r="Q26" s="190">
        <v>88906427</v>
      </c>
      <c r="R26" s="190">
        <v>92483458</v>
      </c>
      <c r="S26" s="190">
        <v>20706179</v>
      </c>
      <c r="T26" s="190">
        <v>-2210873</v>
      </c>
      <c r="U26" s="190">
        <v>-1041549</v>
      </c>
      <c r="V26" s="190">
        <v>-751451</v>
      </c>
      <c r="W26" s="190">
        <v>-555265</v>
      </c>
      <c r="X26" s="190">
        <v>-351514</v>
      </c>
      <c r="Y26" s="190">
        <v>-140360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75637665</v>
      </c>
      <c r="C27" s="26">
        <f t="shared" ref="C27:BN27" si="22">SUM(C22:C26)</f>
        <v>16445755</v>
      </c>
      <c r="D27" s="26">
        <f t="shared" si="22"/>
        <v>-70627588</v>
      </c>
      <c r="E27" s="26">
        <f t="shared" si="22"/>
        <v>679765460</v>
      </c>
      <c r="F27" s="26">
        <f t="shared" si="22"/>
        <v>426744453</v>
      </c>
      <c r="G27" s="26">
        <f t="shared" si="22"/>
        <v>268389420</v>
      </c>
      <c r="H27" s="26">
        <f t="shared" si="22"/>
        <v>240982737</v>
      </c>
      <c r="I27" s="26">
        <f t="shared" si="22"/>
        <v>202294083</v>
      </c>
      <c r="J27" s="26">
        <f t="shared" si="22"/>
        <v>177310388</v>
      </c>
      <c r="K27" s="26">
        <f t="shared" si="22"/>
        <v>116312651</v>
      </c>
      <c r="L27" s="26">
        <f t="shared" si="22"/>
        <v>92765506</v>
      </c>
      <c r="M27" s="26">
        <f t="shared" si="22"/>
        <v>-212743332</v>
      </c>
      <c r="N27" s="26">
        <f t="shared" si="22"/>
        <v>-134463534</v>
      </c>
      <c r="O27" s="26">
        <f t="shared" si="22"/>
        <v>-66014550</v>
      </c>
      <c r="P27" s="26">
        <f t="shared" si="22"/>
        <v>-17470341</v>
      </c>
      <c r="Q27" s="26">
        <f t="shared" si="22"/>
        <v>160399370</v>
      </c>
      <c r="R27" s="26">
        <f t="shared" si="22"/>
        <v>92483458</v>
      </c>
      <c r="S27" s="26">
        <f t="shared" si="22"/>
        <v>20706179</v>
      </c>
      <c r="T27" s="26">
        <f t="shared" si="22"/>
        <v>-2210873</v>
      </c>
      <c r="U27" s="26">
        <f t="shared" si="22"/>
        <v>60848722</v>
      </c>
      <c r="V27" s="26">
        <f t="shared" si="22"/>
        <v>-751451</v>
      </c>
      <c r="W27" s="26">
        <f t="shared" si="22"/>
        <v>-555265</v>
      </c>
      <c r="X27" s="26">
        <f t="shared" si="22"/>
        <v>-351514</v>
      </c>
      <c r="Y27" s="26">
        <f t="shared" si="22"/>
        <v>52907187</v>
      </c>
      <c r="Z27" s="26">
        <f t="shared" si="22"/>
        <v>0</v>
      </c>
      <c r="AA27" s="26">
        <f t="shared" si="22"/>
        <v>0</v>
      </c>
      <c r="AB27" s="26">
        <f t="shared" si="22"/>
        <v>-5775000</v>
      </c>
      <c r="AC27" s="26">
        <f t="shared" si="22"/>
        <v>62850083</v>
      </c>
      <c r="AD27" s="26">
        <f t="shared" si="22"/>
        <v>-1200000</v>
      </c>
      <c r="AE27" s="26">
        <f t="shared" si="22"/>
        <v>0</v>
      </c>
      <c r="AF27" s="26">
        <f t="shared" si="22"/>
        <v>0</v>
      </c>
      <c r="AG27" s="26">
        <f t="shared" si="22"/>
        <v>48886662</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15578</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1096.8198600863989</v>
      </c>
      <c r="C28" s="26">
        <f t="shared" ref="C28:BN28" si="24">SUM(C22:C25)*C41</f>
        <v>2205.2590953707895</v>
      </c>
      <c r="D28" s="26">
        <f t="shared" si="24"/>
        <v>3339.2042829254092</v>
      </c>
      <c r="E28" s="26">
        <f t="shared" si="24"/>
        <v>274636535.33723873</v>
      </c>
      <c r="F28" s="26">
        <f t="shared" si="24"/>
        <v>3574305.2111604828</v>
      </c>
      <c r="G28" s="26">
        <f t="shared" si="24"/>
        <v>1741639.9439246138</v>
      </c>
      <c r="H28" s="26">
        <f t="shared" si="24"/>
        <v>867.55710492340563</v>
      </c>
      <c r="I28" s="26">
        <f t="shared" si="24"/>
        <v>8123451.7902412228</v>
      </c>
      <c r="J28" s="26">
        <f t="shared" si="24"/>
        <v>652332.56626727898</v>
      </c>
      <c r="K28" s="26">
        <f t="shared" si="24"/>
        <v>0</v>
      </c>
      <c r="L28" s="26">
        <f t="shared" si="24"/>
        <v>0</v>
      </c>
      <c r="M28" s="26">
        <f t="shared" si="24"/>
        <v>-44259347.722748049</v>
      </c>
      <c r="N28" s="26">
        <f t="shared" si="24"/>
        <v>5585430.7358767688</v>
      </c>
      <c r="O28" s="26">
        <f t="shared" si="24"/>
        <v>3647572.8579972289</v>
      </c>
      <c r="P28" s="26">
        <f t="shared" si="24"/>
        <v>0</v>
      </c>
      <c r="Q28" s="26">
        <f t="shared" si="24"/>
        <v>9551745.9026435968</v>
      </c>
      <c r="R28" s="26">
        <f t="shared" si="24"/>
        <v>0</v>
      </c>
      <c r="S28" s="26">
        <f t="shared" si="24"/>
        <v>0</v>
      </c>
      <c r="T28" s="26">
        <f t="shared" si="24"/>
        <v>0</v>
      </c>
      <c r="U28" s="26">
        <f t="shared" si="24"/>
        <v>9335911.7255979832</v>
      </c>
      <c r="V28" s="26">
        <f t="shared" si="24"/>
        <v>0</v>
      </c>
      <c r="W28" s="26">
        <f t="shared" si="24"/>
        <v>0</v>
      </c>
      <c r="X28" s="26">
        <f t="shared" si="24"/>
        <v>0</v>
      </c>
      <c r="Y28" s="26">
        <f t="shared" si="24"/>
        <v>7350985.0148330992</v>
      </c>
      <c r="Z28" s="26">
        <f t="shared" si="24"/>
        <v>0</v>
      </c>
      <c r="AA28" s="26">
        <f t="shared" si="24"/>
        <v>0</v>
      </c>
      <c r="AB28" s="26">
        <f t="shared" si="24"/>
        <v>-823843.88437787211</v>
      </c>
      <c r="AC28" s="26">
        <f t="shared" si="24"/>
        <v>8848915.1288728081</v>
      </c>
      <c r="AD28" s="26">
        <f t="shared" si="24"/>
        <v>-173747.9737809911</v>
      </c>
      <c r="AE28" s="26">
        <f t="shared" si="24"/>
        <v>0</v>
      </c>
      <c r="AF28" s="26">
        <f t="shared" si="24"/>
        <v>0</v>
      </c>
      <c r="AG28" s="26">
        <f t="shared" si="24"/>
        <v>7179125.2692308845</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2473.1887972282525</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75636568.180139914</v>
      </c>
      <c r="C29" s="28">
        <f t="shared" ref="C29:BN29" si="26">C27-C28</f>
        <v>16443549.740904629</v>
      </c>
      <c r="D29" s="28">
        <f t="shared" si="26"/>
        <v>-70630927.204282925</v>
      </c>
      <c r="E29" s="28">
        <f t="shared" si="26"/>
        <v>405128924.66276127</v>
      </c>
      <c r="F29" s="28">
        <f t="shared" si="26"/>
        <v>423170147.78883952</v>
      </c>
      <c r="G29" s="28">
        <f t="shared" si="26"/>
        <v>266647780.05607539</v>
      </c>
      <c r="H29" s="28">
        <f t="shared" si="26"/>
        <v>240981869.44289508</v>
      </c>
      <c r="I29" s="28">
        <f t="shared" si="26"/>
        <v>194170631.20975879</v>
      </c>
      <c r="J29" s="28">
        <f t="shared" si="26"/>
        <v>176658055.43373272</v>
      </c>
      <c r="K29" s="28">
        <f t="shared" si="26"/>
        <v>116312651</v>
      </c>
      <c r="L29" s="28">
        <f t="shared" si="26"/>
        <v>92765506</v>
      </c>
      <c r="M29" s="28">
        <f t="shared" si="26"/>
        <v>-168483984.27725196</v>
      </c>
      <c r="N29" s="28">
        <f t="shared" si="26"/>
        <v>-140048964.73587677</v>
      </c>
      <c r="O29" s="28">
        <f t="shared" si="26"/>
        <v>-69662122.857997224</v>
      </c>
      <c r="P29" s="28">
        <f t="shared" si="26"/>
        <v>-17470341</v>
      </c>
      <c r="Q29" s="28">
        <f t="shared" si="26"/>
        <v>150847624.09735641</v>
      </c>
      <c r="R29" s="28">
        <f t="shared" si="26"/>
        <v>92483458</v>
      </c>
      <c r="S29" s="28">
        <f t="shared" si="26"/>
        <v>20706179</v>
      </c>
      <c r="T29" s="28">
        <f t="shared" si="26"/>
        <v>-2210873</v>
      </c>
      <c r="U29" s="28">
        <f t="shared" si="26"/>
        <v>51512810.274402015</v>
      </c>
      <c r="V29" s="28">
        <f t="shared" si="26"/>
        <v>-751451</v>
      </c>
      <c r="W29" s="28">
        <f t="shared" si="26"/>
        <v>-555265</v>
      </c>
      <c r="X29" s="28">
        <f t="shared" si="26"/>
        <v>-351514</v>
      </c>
      <c r="Y29" s="28">
        <f t="shared" si="26"/>
        <v>45556201.9851669</v>
      </c>
      <c r="Z29" s="28">
        <f t="shared" si="26"/>
        <v>0</v>
      </c>
      <c r="AA29" s="28">
        <f t="shared" si="26"/>
        <v>0</v>
      </c>
      <c r="AB29" s="28">
        <f t="shared" si="26"/>
        <v>-4951156.1156221274</v>
      </c>
      <c r="AC29" s="28">
        <f t="shared" si="26"/>
        <v>54001167.871127188</v>
      </c>
      <c r="AD29" s="28">
        <f t="shared" si="26"/>
        <v>-1026252.026219009</v>
      </c>
      <c r="AE29" s="28">
        <f t="shared" si="26"/>
        <v>0</v>
      </c>
      <c r="AF29" s="28">
        <f t="shared" si="26"/>
        <v>0</v>
      </c>
      <c r="AG29" s="28">
        <f t="shared" si="26"/>
        <v>41707536.730769113</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13104.811202771747</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2245201745</v>
      </c>
      <c r="C31" s="26">
        <f t="shared" ref="C31:BN31" si="28">C15+C20+C27</f>
        <v>1158886020</v>
      </c>
      <c r="D31" s="26">
        <f t="shared" si="28"/>
        <v>530233457</v>
      </c>
      <c r="E31" s="26">
        <f t="shared" si="28"/>
        <v>1512423595</v>
      </c>
      <c r="F31" s="26">
        <f t="shared" si="28"/>
        <v>1290218208</v>
      </c>
      <c r="G31" s="26">
        <f t="shared" si="28"/>
        <v>831429333</v>
      </c>
      <c r="H31" s="26">
        <f t="shared" si="28"/>
        <v>590652952</v>
      </c>
      <c r="I31" s="26">
        <f t="shared" si="28"/>
        <v>1181083529</v>
      </c>
      <c r="J31" s="26">
        <f t="shared" si="28"/>
        <v>1018900221</v>
      </c>
      <c r="K31" s="26">
        <f t="shared" si="28"/>
        <v>710542495</v>
      </c>
      <c r="L31" s="26">
        <f t="shared" si="28"/>
        <v>417815658</v>
      </c>
      <c r="M31" s="26">
        <f t="shared" si="28"/>
        <v>889944361</v>
      </c>
      <c r="N31" s="26">
        <f t="shared" si="28"/>
        <v>763512990</v>
      </c>
      <c r="O31" s="26">
        <f t="shared" si="28"/>
        <v>533482520</v>
      </c>
      <c r="P31" s="26">
        <f t="shared" si="28"/>
        <v>298014280</v>
      </c>
      <c r="Q31" s="26">
        <f t="shared" si="28"/>
        <v>1501845461</v>
      </c>
      <c r="R31" s="26">
        <f t="shared" si="28"/>
        <v>1220208046</v>
      </c>
      <c r="S31" s="26">
        <f t="shared" si="28"/>
        <v>750812204</v>
      </c>
      <c r="T31" s="26">
        <f t="shared" si="28"/>
        <v>310578503</v>
      </c>
      <c r="U31" s="26">
        <f t="shared" si="28"/>
        <v>1491826513</v>
      </c>
      <c r="V31" s="26">
        <f t="shared" si="28"/>
        <v>1104639587</v>
      </c>
      <c r="W31" s="26">
        <f t="shared" si="28"/>
        <v>692948099</v>
      </c>
      <c r="X31" s="26">
        <f t="shared" si="28"/>
        <v>277804228</v>
      </c>
      <c r="Y31" s="26">
        <f t="shared" si="28"/>
        <v>1406831013</v>
      </c>
      <c r="Z31" s="26">
        <f t="shared" si="28"/>
        <v>947242800</v>
      </c>
      <c r="AA31" s="26">
        <f t="shared" si="28"/>
        <v>564954773</v>
      </c>
      <c r="AB31" s="26">
        <f t="shared" si="28"/>
        <v>210875385</v>
      </c>
      <c r="AC31" s="26">
        <f t="shared" si="28"/>
        <v>1188780025</v>
      </c>
      <c r="AD31" s="26">
        <f t="shared" si="28"/>
        <v>805123988</v>
      </c>
      <c r="AE31" s="26">
        <f t="shared" si="28"/>
        <v>479202716</v>
      </c>
      <c r="AF31" s="26">
        <f t="shared" si="28"/>
        <v>170476764</v>
      </c>
      <c r="AG31" s="26">
        <f t="shared" si="28"/>
        <v>829627742</v>
      </c>
      <c r="AH31" s="26">
        <f t="shared" si="28"/>
        <v>543421204</v>
      </c>
      <c r="AI31" s="26">
        <f t="shared" si="28"/>
        <v>329167056</v>
      </c>
      <c r="AJ31" s="26">
        <f t="shared" si="28"/>
        <v>121497010</v>
      </c>
      <c r="AK31" s="26">
        <f t="shared" si="28"/>
        <v>567980455</v>
      </c>
      <c r="AL31" s="26">
        <f t="shared" si="28"/>
        <v>384760729</v>
      </c>
      <c r="AM31" s="26">
        <f t="shared" si="28"/>
        <v>226908234</v>
      </c>
      <c r="AN31" s="26">
        <f t="shared" si="28"/>
        <v>90593471</v>
      </c>
      <c r="AO31" s="26">
        <f t="shared" si="28"/>
        <v>398487635</v>
      </c>
      <c r="AP31" s="26">
        <f t="shared" si="28"/>
        <v>286837050</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18.355462530654624</v>
      </c>
      <c r="C32" s="57">
        <f t="shared" ref="C32:D32" si="30">C31/C4*100</f>
        <v>14.871953482542107</v>
      </c>
      <c r="D32" s="57">
        <f t="shared" si="30"/>
        <v>13.484761109124005</v>
      </c>
      <c r="E32" s="57">
        <f>E31/E4</f>
        <v>0.13226325854447257</v>
      </c>
      <c r="F32" s="57">
        <f t="shared" ref="F32:BQ32" si="31">F31/F4</f>
        <v>0.16310762353063801</v>
      </c>
      <c r="G32" s="57">
        <f t="shared" si="31"/>
        <v>0.16823820631350167</v>
      </c>
      <c r="H32" s="57">
        <f t="shared" si="31"/>
        <v>0.24264770259413318</v>
      </c>
      <c r="I32" s="57">
        <f t="shared" si="31"/>
        <v>0.13788131345016597</v>
      </c>
      <c r="J32" s="57">
        <f t="shared" si="31"/>
        <v>0.16294907755894583</v>
      </c>
      <c r="K32" s="57">
        <f t="shared" si="31"/>
        <v>0.1734548093080166</v>
      </c>
      <c r="L32" s="57">
        <f t="shared" si="31"/>
        <v>0.20845673706349246</v>
      </c>
      <c r="M32" s="57">
        <f t="shared" si="31"/>
        <v>0.11463421195817983</v>
      </c>
      <c r="N32" s="57">
        <f t="shared" si="31"/>
        <v>0.13122115662714925</v>
      </c>
      <c r="O32" s="57">
        <f t="shared" si="31"/>
        <v>0.13908685933309528</v>
      </c>
      <c r="P32" s="57">
        <f t="shared" si="31"/>
        <v>0.1574587147036885</v>
      </c>
      <c r="Q32" s="57">
        <f t="shared" si="31"/>
        <v>0.1871826751835915</v>
      </c>
      <c r="R32" s="57">
        <f t="shared" si="31"/>
        <v>0.20383419835651195</v>
      </c>
      <c r="S32" s="57">
        <f t="shared" si="31"/>
        <v>0.18925660653208337</v>
      </c>
      <c r="T32" s="57">
        <f t="shared" si="31"/>
        <v>0.16006830771952332</v>
      </c>
      <c r="U32" s="57">
        <f t="shared" si="31"/>
        <v>0.21838163278126288</v>
      </c>
      <c r="V32" s="57">
        <f t="shared" si="31"/>
        <v>0.22410233404335791</v>
      </c>
      <c r="W32" s="57">
        <f t="shared" si="31"/>
        <v>0.21781545908138303</v>
      </c>
      <c r="X32" s="57">
        <f t="shared" si="31"/>
        <v>0.19010358764072885</v>
      </c>
      <c r="Y32" s="57">
        <f t="shared" si="31"/>
        <v>0.23904238092250715</v>
      </c>
      <c r="Z32" s="57">
        <f t="shared" si="31"/>
        <v>0.21757146458669904</v>
      </c>
      <c r="AA32" s="57">
        <f t="shared" si="31"/>
        <v>0.20354454876095002</v>
      </c>
      <c r="AB32" s="57">
        <f t="shared" si="31"/>
        <v>0.17064770741877591</v>
      </c>
      <c r="AC32" s="57">
        <f t="shared" si="31"/>
        <v>0.23092753514807127</v>
      </c>
      <c r="AD32" s="57">
        <f t="shared" si="31"/>
        <v>0.22076007164826519</v>
      </c>
      <c r="AE32" s="57">
        <f t="shared" si="31"/>
        <v>0.20731687547521754</v>
      </c>
      <c r="AF32" s="57">
        <f t="shared" si="31"/>
        <v>0.15853492262600777</v>
      </c>
      <c r="AG32" s="57">
        <f t="shared" si="31"/>
        <v>0.2060470272834232</v>
      </c>
      <c r="AH32" s="57">
        <f t="shared" si="31"/>
        <v>0.19080797841467459</v>
      </c>
      <c r="AI32" s="57">
        <f t="shared" si="31"/>
        <v>0.18431395260863401</v>
      </c>
      <c r="AJ32" s="57">
        <f t="shared" si="31"/>
        <v>0.14943955185077493</v>
      </c>
      <c r="AK32" s="57">
        <f t="shared" si="31"/>
        <v>0.17497936516407778</v>
      </c>
      <c r="AL32" s="57">
        <f t="shared" si="31"/>
        <v>0.16390407809323568</v>
      </c>
      <c r="AM32" s="57">
        <f t="shared" si="31"/>
        <v>0.15419362823764163</v>
      </c>
      <c r="AN32" s="57">
        <f t="shared" si="31"/>
        <v>0.13753821469551314</v>
      </c>
      <c r="AO32" s="57">
        <f t="shared" si="31"/>
        <v>0.15201379402159193</v>
      </c>
      <c r="AP32" s="57">
        <f t="shared" si="31"/>
        <v>0.14134593074732107</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2144315307.9140739</v>
      </c>
      <c r="C33" s="26">
        <f t="shared" ref="C33:BN33" si="33">C17+C20+C29</f>
        <v>1078121780.5668604</v>
      </c>
      <c r="D33" s="26">
        <f t="shared" si="33"/>
        <v>477504265.81191796</v>
      </c>
      <c r="E33" s="26">
        <f t="shared" si="33"/>
        <v>948284672.78516889</v>
      </c>
      <c r="F33" s="26">
        <f t="shared" si="33"/>
        <v>1178201086.9727595</v>
      </c>
      <c r="G33" s="26">
        <f t="shared" si="33"/>
        <v>760307494.38436103</v>
      </c>
      <c r="H33" s="26">
        <f t="shared" si="33"/>
        <v>571551215.23674655</v>
      </c>
      <c r="I33" s="26">
        <f t="shared" si="33"/>
        <v>1067511105.0423545</v>
      </c>
      <c r="J33" s="26">
        <f t="shared" si="33"/>
        <v>948901432.25807798</v>
      </c>
      <c r="K33" s="26">
        <f t="shared" si="33"/>
        <v>658392265.33408797</v>
      </c>
      <c r="L33" s="26">
        <f t="shared" si="33"/>
        <v>387606095.76550567</v>
      </c>
      <c r="M33" s="26">
        <f t="shared" si="33"/>
        <v>529456636.97742534</v>
      </c>
      <c r="N33" s="26">
        <f t="shared" si="33"/>
        <v>539089631.93610108</v>
      </c>
      <c r="O33" s="26">
        <f t="shared" si="33"/>
        <v>418007393.19730932</v>
      </c>
      <c r="P33" s="26">
        <f t="shared" si="33"/>
        <v>240172598.85906723</v>
      </c>
      <c r="Q33" s="26">
        <f t="shared" si="33"/>
        <v>1314147752.4487884</v>
      </c>
      <c r="R33" s="26">
        <f t="shared" si="33"/>
        <v>1067923347.6179074</v>
      </c>
      <c r="S33" s="26">
        <f t="shared" si="33"/>
        <v>650393871.69600773</v>
      </c>
      <c r="T33" s="26">
        <f t="shared" si="33"/>
        <v>268675503.69487375</v>
      </c>
      <c r="U33" s="26">
        <f t="shared" si="33"/>
        <v>1266927531.6086669</v>
      </c>
      <c r="V33" s="26">
        <f t="shared" si="33"/>
        <v>955335447.20155954</v>
      </c>
      <c r="W33" s="26">
        <f t="shared" si="33"/>
        <v>601991048.1228869</v>
      </c>
      <c r="X33" s="26">
        <f t="shared" si="33"/>
        <v>239004928.05657282</v>
      </c>
      <c r="Y33" s="26">
        <f t="shared" si="33"/>
        <v>1212083908.948983</v>
      </c>
      <c r="Z33" s="26">
        <f t="shared" si="33"/>
        <v>817063639.88204658</v>
      </c>
      <c r="AA33" s="26">
        <f t="shared" si="33"/>
        <v>487736170.76366258</v>
      </c>
      <c r="AB33" s="26">
        <f t="shared" si="33"/>
        <v>180769651.79893059</v>
      </c>
      <c r="AC33" s="26">
        <f t="shared" si="33"/>
        <v>1021363944.6308832</v>
      </c>
      <c r="AD33" s="26">
        <f t="shared" si="33"/>
        <v>688550103.36877418</v>
      </c>
      <c r="AE33" s="26">
        <f t="shared" si="33"/>
        <v>410698125.18566549</v>
      </c>
      <c r="AF33" s="26">
        <f t="shared" si="33"/>
        <v>145898558.5397853</v>
      </c>
      <c r="AG33" s="26">
        <f t="shared" si="33"/>
        <v>707794889.3775984</v>
      </c>
      <c r="AH33" s="26">
        <f t="shared" si="33"/>
        <v>463622532.26655751</v>
      </c>
      <c r="AI33" s="26">
        <f t="shared" si="33"/>
        <v>281424479.06068873</v>
      </c>
      <c r="AJ33" s="26">
        <f t="shared" si="33"/>
        <v>102290074.36801204</v>
      </c>
      <c r="AK33" s="26">
        <f t="shared" si="33"/>
        <v>472491116.29005718</v>
      </c>
      <c r="AL33" s="26">
        <f t="shared" si="33"/>
        <v>317467038.97768486</v>
      </c>
      <c r="AM33" s="26">
        <f t="shared" si="33"/>
        <v>188242968.47116175</v>
      </c>
      <c r="AN33" s="26">
        <f t="shared" si="33"/>
        <v>74905212.438274682</v>
      </c>
      <c r="AO33" s="26">
        <f t="shared" si="33"/>
        <v>352519618.40676355</v>
      </c>
      <c r="AP33" s="26">
        <f t="shared" si="33"/>
        <v>241298330.09436384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17.530673747238655</v>
      </c>
      <c r="C34" s="57">
        <f t="shared" ref="C34:D34" si="35">C33/C4*100</f>
        <v>13.83550814523228</v>
      </c>
      <c r="D34" s="57">
        <f t="shared" si="35"/>
        <v>12.143765860216856</v>
      </c>
      <c r="E34" s="57">
        <f>E33/E4</f>
        <v>8.2928632735556715E-2</v>
      </c>
      <c r="F34" s="57">
        <f t="shared" ref="F34:BQ34" si="36">F33/F4</f>
        <v>0.14894657209592049</v>
      </c>
      <c r="G34" s="57">
        <f t="shared" si="36"/>
        <v>0.15384683222613418</v>
      </c>
      <c r="H34" s="57">
        <f t="shared" si="36"/>
        <v>0.23480046755456069</v>
      </c>
      <c r="I34" s="57">
        <f t="shared" si="36"/>
        <v>0.12462271268019513</v>
      </c>
      <c r="J34" s="57">
        <f t="shared" si="36"/>
        <v>0.15175442098644545</v>
      </c>
      <c r="K34" s="57">
        <f t="shared" si="36"/>
        <v>0.16072410255124472</v>
      </c>
      <c r="L34" s="57">
        <f t="shared" si="36"/>
        <v>0.19338457150209745</v>
      </c>
      <c r="M34" s="57">
        <f t="shared" si="36"/>
        <v>6.819959427321462E-2</v>
      </c>
      <c r="N34" s="57">
        <f t="shared" si="36"/>
        <v>9.2650637192642091E-2</v>
      </c>
      <c r="O34" s="57">
        <f t="shared" si="36"/>
        <v>0.10898076941270356</v>
      </c>
      <c r="P34" s="57">
        <f t="shared" si="36"/>
        <v>0.12689750545978296</v>
      </c>
      <c r="Q34" s="57">
        <f t="shared" si="36"/>
        <v>0.16378895051297715</v>
      </c>
      <c r="R34" s="57">
        <f t="shared" si="36"/>
        <v>0.17839523365009741</v>
      </c>
      <c r="S34" s="57">
        <f t="shared" si="36"/>
        <v>0.16394424119729634</v>
      </c>
      <c r="T34" s="57">
        <f t="shared" si="36"/>
        <v>0.13847202168441444</v>
      </c>
      <c r="U34" s="57">
        <f t="shared" si="36"/>
        <v>0.18545970362991915</v>
      </c>
      <c r="V34" s="57">
        <f t="shared" si="36"/>
        <v>0.19381244890350341</v>
      </c>
      <c r="W34" s="57">
        <f t="shared" si="36"/>
        <v>0.18922478710742455</v>
      </c>
      <c r="X34" s="57">
        <f t="shared" si="36"/>
        <v>0.16355292579409117</v>
      </c>
      <c r="Y34" s="57">
        <f t="shared" si="36"/>
        <v>0.2059518313114016</v>
      </c>
      <c r="Z34" s="57">
        <f t="shared" si="36"/>
        <v>0.18767071419247117</v>
      </c>
      <c r="AA34" s="57">
        <f t="shared" si="36"/>
        <v>0.17572386947951912</v>
      </c>
      <c r="AB34" s="57">
        <f t="shared" si="36"/>
        <v>0.14628509937458042</v>
      </c>
      <c r="AC34" s="57">
        <f t="shared" si="36"/>
        <v>0.19840597357170517</v>
      </c>
      <c r="AD34" s="57">
        <f t="shared" si="36"/>
        <v>0.18879622569773813</v>
      </c>
      <c r="AE34" s="57">
        <f t="shared" si="36"/>
        <v>0.17767981948796366</v>
      </c>
      <c r="AF34" s="57">
        <f t="shared" si="36"/>
        <v>0.13567841239261749</v>
      </c>
      <c r="AG34" s="57">
        <f t="shared" si="36"/>
        <v>0.17578851995845327</v>
      </c>
      <c r="AH34" s="57">
        <f t="shared" si="36"/>
        <v>0.16278878607996694</v>
      </c>
      <c r="AI34" s="57">
        <f t="shared" si="36"/>
        <v>0.15758095213666004</v>
      </c>
      <c r="AJ34" s="57">
        <f t="shared" si="36"/>
        <v>0.12581530090607299</v>
      </c>
      <c r="AK34" s="57">
        <f t="shared" si="36"/>
        <v>0.14556169115731396</v>
      </c>
      <c r="AL34" s="57">
        <f t="shared" si="36"/>
        <v>0.13523766441514035</v>
      </c>
      <c r="AM34" s="57">
        <f t="shared" si="36"/>
        <v>0.12791896436333117</v>
      </c>
      <c r="AN34" s="57">
        <f t="shared" si="36"/>
        <v>0.11372043786851312</v>
      </c>
      <c r="AO34" s="57">
        <f t="shared" si="36"/>
        <v>0.13447806143609939</v>
      </c>
      <c r="AP34" s="57">
        <f t="shared" si="36"/>
        <v>0.11890561925302945</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469348806</v>
      </c>
      <c r="C35" s="26">
        <f t="shared" ref="C35:BN35" si="38">C23+C68</f>
        <v>306262369</v>
      </c>
      <c r="D35" s="26">
        <f t="shared" si="38"/>
        <v>157268101</v>
      </c>
      <c r="E35" s="26">
        <f t="shared" si="38"/>
        <v>581282638</v>
      </c>
      <c r="F35" s="26">
        <f t="shared" si="38"/>
        <v>410044345</v>
      </c>
      <c r="G35" s="26">
        <f t="shared" si="38"/>
        <v>244618289</v>
      </c>
      <c r="H35" s="26">
        <f t="shared" si="38"/>
        <v>98196482</v>
      </c>
      <c r="I35" s="26">
        <f t="shared" si="38"/>
        <v>332904825</v>
      </c>
      <c r="J35" s="26">
        <f t="shared" si="38"/>
        <v>207315238</v>
      </c>
      <c r="K35" s="26">
        <f t="shared" si="38"/>
        <v>132892187</v>
      </c>
      <c r="L35" s="26">
        <f t="shared" si="38"/>
        <v>76326508</v>
      </c>
      <c r="M35" s="26">
        <f t="shared" si="38"/>
        <v>513346983</v>
      </c>
      <c r="N35" s="26">
        <f t="shared" si="38"/>
        <v>316630368</v>
      </c>
      <c r="O35" s="26">
        <f t="shared" si="38"/>
        <v>140380002</v>
      </c>
      <c r="P35" s="26">
        <f t="shared" si="38"/>
        <v>70489507</v>
      </c>
      <c r="Q35" s="26">
        <f t="shared" si="38"/>
        <v>274141606</v>
      </c>
      <c r="R35" s="26">
        <f t="shared" si="38"/>
        <v>149881463</v>
      </c>
      <c r="S35" s="26">
        <f t="shared" si="38"/>
        <v>98728333</v>
      </c>
      <c r="T35" s="26">
        <f t="shared" si="38"/>
        <v>48574025</v>
      </c>
      <c r="U35" s="26">
        <f t="shared" si="38"/>
        <v>225568121</v>
      </c>
      <c r="V35" s="26">
        <f t="shared" si="38"/>
        <v>111194770</v>
      </c>
      <c r="W35" s="26">
        <f t="shared" si="38"/>
        <v>70484226</v>
      </c>
      <c r="X35" s="26">
        <f t="shared" si="38"/>
        <v>34224063</v>
      </c>
      <c r="Y35" s="26">
        <f t="shared" si="38"/>
        <v>144899324</v>
      </c>
      <c r="Z35" s="26">
        <f t="shared" si="38"/>
        <v>57485610</v>
      </c>
      <c r="AA35" s="26">
        <f t="shared" si="38"/>
        <v>29903030</v>
      </c>
      <c r="AB35" s="26">
        <f t="shared" si="38"/>
        <v>14343074</v>
      </c>
      <c r="AC35" s="26">
        <f t="shared" si="38"/>
        <v>73322993</v>
      </c>
      <c r="AD35" s="26">
        <f t="shared" si="38"/>
        <v>4829206</v>
      </c>
      <c r="AE35" s="26">
        <f t="shared" si="38"/>
        <v>3090775</v>
      </c>
      <c r="AF35" s="26">
        <f t="shared" si="38"/>
        <v>841948</v>
      </c>
      <c r="AG35" s="26">
        <f t="shared" si="38"/>
        <v>57358618</v>
      </c>
      <c r="AH35" s="26">
        <f t="shared" si="38"/>
        <v>13188131</v>
      </c>
      <c r="AI35" s="26">
        <f t="shared" si="38"/>
        <v>24294561</v>
      </c>
      <c r="AJ35" s="26">
        <f t="shared" si="38"/>
        <v>10922816</v>
      </c>
      <c r="AK35" s="26">
        <f t="shared" si="38"/>
        <v>46064240</v>
      </c>
      <c r="AL35" s="26">
        <f t="shared" si="38"/>
        <v>30365717</v>
      </c>
      <c r="AM35" s="26">
        <f t="shared" si="38"/>
        <v>19992679</v>
      </c>
      <c r="AN35" s="26">
        <f t="shared" si="38"/>
        <v>9590043</v>
      </c>
      <c r="AO35" s="26">
        <f t="shared" si="38"/>
        <v>46973764</v>
      </c>
      <c r="AP35" s="26">
        <f t="shared" si="38"/>
        <v>30683835</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22847110.408691563</v>
      </c>
      <c r="C36" s="26">
        <f t="shared" ref="C36:BN36" si="40">C35*C41</f>
        <v>23175755.775411949</v>
      </c>
      <c r="D36" s="26">
        <f t="shared" si="40"/>
        <v>14727832.302962836</v>
      </c>
      <c r="E36" s="26">
        <f t="shared" si="40"/>
        <v>206129688.30353367</v>
      </c>
      <c r="F36" s="26">
        <f t="shared" si="40"/>
        <v>51774746.855576918</v>
      </c>
      <c r="G36" s="26">
        <f t="shared" si="40"/>
        <v>30317789.898085203</v>
      </c>
      <c r="H36" s="26">
        <f t="shared" si="40"/>
        <v>5389792.2078693733</v>
      </c>
      <c r="I36" s="26">
        <f t="shared" si="40"/>
        <v>36149194.74082581</v>
      </c>
      <c r="J36" s="26">
        <f t="shared" si="40"/>
        <v>17198229.141235076</v>
      </c>
      <c r="K36" s="26">
        <f t="shared" si="40"/>
        <v>11738748.839158837</v>
      </c>
      <c r="L36" s="26">
        <f t="shared" si="40"/>
        <v>7109337.1761024911</v>
      </c>
      <c r="M36" s="26">
        <f t="shared" si="40"/>
        <v>189374566.59473366</v>
      </c>
      <c r="N36" s="26">
        <f t="shared" si="40"/>
        <v>77397702.395199433</v>
      </c>
      <c r="O36" s="26">
        <f t="shared" si="40"/>
        <v>26226788.514298975</v>
      </c>
      <c r="P36" s="26">
        <f t="shared" si="40"/>
        <v>12948772.549669653</v>
      </c>
      <c r="Q36" s="26">
        <f t="shared" si="40"/>
        <v>36626425.65790914</v>
      </c>
      <c r="R36" s="26">
        <f t="shared" si="40"/>
        <v>20324266.152150866</v>
      </c>
      <c r="S36" s="26">
        <f t="shared" si="40"/>
        <v>13621350.266694089</v>
      </c>
      <c r="T36" s="26">
        <f t="shared" si="40"/>
        <v>6530215.534586207</v>
      </c>
      <c r="U36" s="26">
        <f t="shared" si="40"/>
        <v>34026092.174729764</v>
      </c>
      <c r="V36" s="26">
        <f t="shared" si="40"/>
        <v>15026219.132299243</v>
      </c>
      <c r="W36" s="26">
        <f t="shared" si="40"/>
        <v>9247197.8666446991</v>
      </c>
      <c r="X36" s="26">
        <f t="shared" si="40"/>
        <v>4777601.7721480727</v>
      </c>
      <c r="Y36" s="26">
        <f t="shared" si="40"/>
        <v>20079208.551970292</v>
      </c>
      <c r="Z36" s="26">
        <f t="shared" si="40"/>
        <v>7910151.3268524753</v>
      </c>
      <c r="AA36" s="26">
        <f t="shared" si="40"/>
        <v>4087130.143365555</v>
      </c>
      <c r="AB36" s="26">
        <f t="shared" si="40"/>
        <v>2046139.1858145911</v>
      </c>
      <c r="AC36" s="26">
        <f t="shared" si="40"/>
        <v>10323438.109889768</v>
      </c>
      <c r="AD36" s="26">
        <f t="shared" si="40"/>
        <v>699220.63122583739</v>
      </c>
      <c r="AE36" s="26">
        <f t="shared" si="40"/>
        <v>441842.81433449697</v>
      </c>
      <c r="AF36" s="26">
        <f t="shared" si="40"/>
        <v>121386.46021470027</v>
      </c>
      <c r="AG36" s="26">
        <f t="shared" si="40"/>
        <v>8423252.6224016175</v>
      </c>
      <c r="AH36" s="26">
        <f t="shared" si="40"/>
        <v>1936610.7334424818</v>
      </c>
      <c r="AI36" s="26">
        <f t="shared" si="40"/>
        <v>3523696.9393112357</v>
      </c>
      <c r="AJ36" s="26">
        <f t="shared" si="40"/>
        <v>1726740.6319879664</v>
      </c>
      <c r="AK36" s="26">
        <f t="shared" si="40"/>
        <v>7744357.7099428503</v>
      </c>
      <c r="AL36" s="26">
        <f t="shared" si="40"/>
        <v>5310888.0223151501</v>
      </c>
      <c r="AM36" s="26">
        <f t="shared" si="40"/>
        <v>3406761.528838255</v>
      </c>
      <c r="AN36" s="26">
        <f t="shared" si="40"/>
        <v>1660727.5617253259</v>
      </c>
      <c r="AO36" s="26">
        <f t="shared" si="40"/>
        <v>5418714.5932364305</v>
      </c>
      <c r="AP36" s="26">
        <f t="shared" si="40"/>
        <v>4871415.9056361634</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446501695.59130841</v>
      </c>
      <c r="C37" s="26">
        <f t="shared" ref="C37:BN37" si="42">C35-C36</f>
        <v>283086613.22458804</v>
      </c>
      <c r="D37" s="26">
        <f t="shared" si="42"/>
        <v>142540268.69703716</v>
      </c>
      <c r="E37" s="26">
        <f t="shared" si="42"/>
        <v>375152949.69646633</v>
      </c>
      <c r="F37" s="26">
        <f t="shared" si="42"/>
        <v>358269598.14442307</v>
      </c>
      <c r="G37" s="26">
        <f t="shared" si="42"/>
        <v>214300499.10191479</v>
      </c>
      <c r="H37" s="26">
        <f t="shared" si="42"/>
        <v>92806689.792130619</v>
      </c>
      <c r="I37" s="26">
        <f t="shared" si="42"/>
        <v>296755630.25917417</v>
      </c>
      <c r="J37" s="26">
        <f t="shared" si="42"/>
        <v>190117008.85876492</v>
      </c>
      <c r="K37" s="26">
        <f t="shared" si="42"/>
        <v>121153438.16084117</v>
      </c>
      <c r="L37" s="26">
        <f t="shared" si="42"/>
        <v>69217170.823897511</v>
      </c>
      <c r="M37" s="26">
        <f t="shared" si="42"/>
        <v>323972416.40526634</v>
      </c>
      <c r="N37" s="26">
        <f t="shared" si="42"/>
        <v>239232665.60480058</v>
      </c>
      <c r="O37" s="26">
        <f t="shared" si="42"/>
        <v>114153213.48570102</v>
      </c>
      <c r="P37" s="26">
        <f t="shared" si="42"/>
        <v>57540734.450330347</v>
      </c>
      <c r="Q37" s="26">
        <f t="shared" si="42"/>
        <v>237515180.34209085</v>
      </c>
      <c r="R37" s="26">
        <f t="shared" si="42"/>
        <v>129557196.84784913</v>
      </c>
      <c r="S37" s="26">
        <f t="shared" si="42"/>
        <v>85106982.733305916</v>
      </c>
      <c r="T37" s="26">
        <f t="shared" si="42"/>
        <v>42043809.465413794</v>
      </c>
      <c r="U37" s="26">
        <f t="shared" si="42"/>
        <v>191542028.82527024</v>
      </c>
      <c r="V37" s="26">
        <f t="shared" si="42"/>
        <v>96168550.867700756</v>
      </c>
      <c r="W37" s="26">
        <f t="shared" si="42"/>
        <v>61237028.133355305</v>
      </c>
      <c r="X37" s="26">
        <f t="shared" si="42"/>
        <v>29446461.227851927</v>
      </c>
      <c r="Y37" s="26">
        <f t="shared" si="42"/>
        <v>124820115.44802971</v>
      </c>
      <c r="Z37" s="26">
        <f t="shared" si="42"/>
        <v>49575458.673147522</v>
      </c>
      <c r="AA37" s="26">
        <f t="shared" si="42"/>
        <v>25815899.856634445</v>
      </c>
      <c r="AB37" s="26">
        <f t="shared" si="42"/>
        <v>12296934.814185409</v>
      </c>
      <c r="AC37" s="26">
        <f t="shared" si="42"/>
        <v>62999554.890110232</v>
      </c>
      <c r="AD37" s="26">
        <f t="shared" si="42"/>
        <v>4129985.3687741626</v>
      </c>
      <c r="AE37" s="26">
        <f t="shared" si="42"/>
        <v>2648932.1856655031</v>
      </c>
      <c r="AF37" s="26">
        <f t="shared" si="42"/>
        <v>720561.53978529968</v>
      </c>
      <c r="AG37" s="26">
        <f t="shared" si="42"/>
        <v>48935365.377598383</v>
      </c>
      <c r="AH37" s="26">
        <f t="shared" si="42"/>
        <v>11251520.266557518</v>
      </c>
      <c r="AI37" s="26">
        <f t="shared" si="42"/>
        <v>20770864.060688764</v>
      </c>
      <c r="AJ37" s="26">
        <f t="shared" si="42"/>
        <v>9196075.3680120334</v>
      </c>
      <c r="AK37" s="26">
        <f t="shared" si="42"/>
        <v>38319882.290057153</v>
      </c>
      <c r="AL37" s="26">
        <f t="shared" si="42"/>
        <v>25054828.977684848</v>
      </c>
      <c r="AM37" s="26">
        <f t="shared" si="42"/>
        <v>16585917.471161745</v>
      </c>
      <c r="AN37" s="26">
        <f t="shared" si="42"/>
        <v>7929315.4382746741</v>
      </c>
      <c r="AO37" s="26">
        <f t="shared" si="42"/>
        <v>41555049.406763569</v>
      </c>
      <c r="AP37" s="26">
        <f t="shared" si="42"/>
        <v>25812419.094363838</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1775852939</v>
      </c>
      <c r="C38" s="28">
        <f t="shared" ref="C38:BN38" si="44">C31-C35</f>
        <v>852623651</v>
      </c>
      <c r="D38" s="28">
        <f t="shared" si="44"/>
        <v>372965356</v>
      </c>
      <c r="E38" s="28">
        <f t="shared" si="44"/>
        <v>931140957</v>
      </c>
      <c r="F38" s="28">
        <f t="shared" si="44"/>
        <v>880173863</v>
      </c>
      <c r="G38" s="28">
        <f t="shared" si="44"/>
        <v>586811044</v>
      </c>
      <c r="H38" s="28">
        <f t="shared" si="44"/>
        <v>492456470</v>
      </c>
      <c r="I38" s="28">
        <f t="shared" si="44"/>
        <v>848178704</v>
      </c>
      <c r="J38" s="28">
        <f t="shared" si="44"/>
        <v>811584983</v>
      </c>
      <c r="K38" s="28">
        <f t="shared" si="44"/>
        <v>577650308</v>
      </c>
      <c r="L38" s="28">
        <f t="shared" si="44"/>
        <v>341489150</v>
      </c>
      <c r="M38" s="28">
        <f t="shared" si="44"/>
        <v>376597378</v>
      </c>
      <c r="N38" s="28">
        <f t="shared" si="44"/>
        <v>446882622</v>
      </c>
      <c r="O38" s="28">
        <f t="shared" si="44"/>
        <v>393102518</v>
      </c>
      <c r="P38" s="28">
        <f t="shared" si="44"/>
        <v>227524773</v>
      </c>
      <c r="Q38" s="28">
        <f t="shared" si="44"/>
        <v>1227703855</v>
      </c>
      <c r="R38" s="28">
        <f t="shared" si="44"/>
        <v>1070326583</v>
      </c>
      <c r="S38" s="28">
        <f t="shared" si="44"/>
        <v>652083871</v>
      </c>
      <c r="T38" s="28">
        <f t="shared" si="44"/>
        <v>262004478</v>
      </c>
      <c r="U38" s="28">
        <f t="shared" si="44"/>
        <v>1266258392</v>
      </c>
      <c r="V38" s="28">
        <f t="shared" si="44"/>
        <v>993444817</v>
      </c>
      <c r="W38" s="28">
        <f t="shared" si="44"/>
        <v>622463873</v>
      </c>
      <c r="X38" s="28">
        <f t="shared" si="44"/>
        <v>243580165</v>
      </c>
      <c r="Y38" s="28">
        <f t="shared" si="44"/>
        <v>1261931689</v>
      </c>
      <c r="Z38" s="28">
        <f t="shared" si="44"/>
        <v>889757190</v>
      </c>
      <c r="AA38" s="28">
        <f t="shared" si="44"/>
        <v>535051743</v>
      </c>
      <c r="AB38" s="28">
        <f t="shared" si="44"/>
        <v>196532311</v>
      </c>
      <c r="AC38" s="28">
        <f t="shared" si="44"/>
        <v>1115457032</v>
      </c>
      <c r="AD38" s="28">
        <f t="shared" si="44"/>
        <v>800294782</v>
      </c>
      <c r="AE38" s="28">
        <f t="shared" si="44"/>
        <v>476111941</v>
      </c>
      <c r="AF38" s="28">
        <f t="shared" si="44"/>
        <v>169634816</v>
      </c>
      <c r="AG38" s="28">
        <f t="shared" si="44"/>
        <v>772269124</v>
      </c>
      <c r="AH38" s="28">
        <f t="shared" si="44"/>
        <v>530233073</v>
      </c>
      <c r="AI38" s="28">
        <f t="shared" si="44"/>
        <v>304872495</v>
      </c>
      <c r="AJ38" s="28">
        <f t="shared" si="44"/>
        <v>110574194</v>
      </c>
      <c r="AK38" s="28">
        <f t="shared" si="44"/>
        <v>521916215</v>
      </c>
      <c r="AL38" s="28">
        <f t="shared" si="44"/>
        <v>354395012</v>
      </c>
      <c r="AM38" s="28">
        <f t="shared" si="44"/>
        <v>206915555</v>
      </c>
      <c r="AN38" s="28">
        <f t="shared" si="44"/>
        <v>81003428</v>
      </c>
      <c r="AO38" s="28">
        <f t="shared" si="44"/>
        <v>351513871</v>
      </c>
      <c r="AP38" s="28">
        <f t="shared" si="44"/>
        <v>256153215</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14.51833990168549</v>
      </c>
      <c r="C39" s="57">
        <f t="shared" ref="C39:D39" si="46">C38/C4*100</f>
        <v>10.941696643978169</v>
      </c>
      <c r="D39" s="57">
        <f t="shared" si="46"/>
        <v>9.4851591525266379</v>
      </c>
      <c r="E39" s="57">
        <f>E38/E4</f>
        <v>8.1429394214812295E-2</v>
      </c>
      <c r="F39" s="57">
        <f t="shared" ref="F39:BQ39" si="47">F38/F4</f>
        <v>0.11127037752028945</v>
      </c>
      <c r="G39" s="57">
        <f t="shared" si="47"/>
        <v>0.11874014251011915</v>
      </c>
      <c r="H39" s="57">
        <f t="shared" si="47"/>
        <v>0.20230734591015245</v>
      </c>
      <c r="I39" s="57">
        <f t="shared" si="47"/>
        <v>9.9017546918969468E-2</v>
      </c>
      <c r="J39" s="57">
        <f t="shared" si="47"/>
        <v>0.12979389111403747</v>
      </c>
      <c r="K39" s="57">
        <f t="shared" si="47"/>
        <v>0.14101369689487334</v>
      </c>
      <c r="L39" s="57">
        <f t="shared" si="47"/>
        <v>0.17037588847755805</v>
      </c>
      <c r="M39" s="57">
        <f t="shared" si="47"/>
        <v>4.8509710881292689E-2</v>
      </c>
      <c r="N39" s="57">
        <f t="shared" si="47"/>
        <v>7.680347984048462E-2</v>
      </c>
      <c r="O39" s="57">
        <f t="shared" si="47"/>
        <v>0.10248769655011669</v>
      </c>
      <c r="P39" s="57">
        <f t="shared" si="47"/>
        <v>0.12021490486908375</v>
      </c>
      <c r="Q39" s="57">
        <f t="shared" si="47"/>
        <v>0.15301500579100402</v>
      </c>
      <c r="R39" s="57">
        <f t="shared" si="47"/>
        <v>0.17879669105662468</v>
      </c>
      <c r="S39" s="57">
        <f t="shared" si="47"/>
        <v>0.1643702379134008</v>
      </c>
      <c r="T39" s="57">
        <f t="shared" si="47"/>
        <v>0.1350338577953577</v>
      </c>
      <c r="U39" s="57">
        <f t="shared" si="47"/>
        <v>0.18536175135529073</v>
      </c>
      <c r="V39" s="57">
        <f t="shared" si="47"/>
        <v>0.20154383823741831</v>
      </c>
      <c r="W39" s="57">
        <f t="shared" si="47"/>
        <v>0.1956600421513974</v>
      </c>
      <c r="X39" s="57">
        <f t="shared" si="47"/>
        <v>0.16668379591624033</v>
      </c>
      <c r="Y39" s="57">
        <f t="shared" si="47"/>
        <v>0.21442174128423255</v>
      </c>
      <c r="Z39" s="57">
        <f t="shared" si="47"/>
        <v>0.20436763937909674</v>
      </c>
      <c r="AA39" s="57">
        <f t="shared" si="47"/>
        <v>0.19277094521103336</v>
      </c>
      <c r="AB39" s="57">
        <f t="shared" si="47"/>
        <v>0.15904079229476628</v>
      </c>
      <c r="AC39" s="57">
        <f t="shared" si="47"/>
        <v>0.21668411106028068</v>
      </c>
      <c r="AD39" s="57">
        <f t="shared" si="47"/>
        <v>0.21943593290882396</v>
      </c>
      <c r="AE39" s="57">
        <f t="shared" si="47"/>
        <v>0.20597971732814871</v>
      </c>
      <c r="AF39" s="57">
        <f t="shared" si="47"/>
        <v>0.15775195280711138</v>
      </c>
      <c r="AG39" s="57">
        <f t="shared" si="47"/>
        <v>0.19180139381473738</v>
      </c>
      <c r="AH39" s="57">
        <f t="shared" si="47"/>
        <v>0.18617731513422978</v>
      </c>
      <c r="AI39" s="57">
        <f t="shared" si="47"/>
        <v>0.17071044495748691</v>
      </c>
      <c r="AJ39" s="57">
        <f t="shared" si="47"/>
        <v>0.13600464733758177</v>
      </c>
      <c r="AK39" s="57">
        <f t="shared" si="47"/>
        <v>0.16078822284393277</v>
      </c>
      <c r="AL39" s="57">
        <f t="shared" si="47"/>
        <v>0.15096859774039256</v>
      </c>
      <c r="AM39" s="57">
        <f t="shared" si="47"/>
        <v>0.14060776729792576</v>
      </c>
      <c r="AN39" s="57">
        <f t="shared" si="47"/>
        <v>0.12297869535583354</v>
      </c>
      <c r="AO39" s="57">
        <f t="shared" si="47"/>
        <v>0.13409439211815555</v>
      </c>
      <c r="AP39" s="57">
        <f t="shared" si="47"/>
        <v>0.12622572498250711</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86445534</v>
      </c>
      <c r="C40" s="26">
        <f t="shared" ref="C40:BN40" si="49">C60</f>
        <v>64520488</v>
      </c>
      <c r="D40" s="26">
        <f t="shared" si="49"/>
        <v>34927434</v>
      </c>
      <c r="E40" s="26">
        <f t="shared" si="49"/>
        <v>330193580</v>
      </c>
      <c r="F40" s="26">
        <f t="shared" si="49"/>
        <v>111136221</v>
      </c>
      <c r="G40" s="26">
        <f t="shared" si="49"/>
        <v>72728879</v>
      </c>
      <c r="H40" s="26">
        <f t="shared" si="49"/>
        <v>27029869</v>
      </c>
      <c r="I40" s="26">
        <f t="shared" si="49"/>
        <v>92101330</v>
      </c>
      <c r="J40" s="26">
        <f t="shared" si="49"/>
        <v>67326573</v>
      </c>
      <c r="K40" s="26">
        <f t="shared" si="49"/>
        <v>51025512</v>
      </c>
      <c r="L40" s="26">
        <f t="shared" si="49"/>
        <v>31807580</v>
      </c>
      <c r="M40" s="26">
        <f t="shared" si="49"/>
        <v>138927407</v>
      </c>
      <c r="N40" s="26">
        <f t="shared" si="49"/>
        <v>109236800</v>
      </c>
      <c r="O40" s="26">
        <f t="shared" si="49"/>
        <v>73442203</v>
      </c>
      <c r="P40" s="26">
        <f t="shared" si="49"/>
        <v>41795817</v>
      </c>
      <c r="Q40" s="26">
        <f t="shared" si="49"/>
        <v>164026193</v>
      </c>
      <c r="R40" s="26">
        <f t="shared" si="49"/>
        <v>145138711</v>
      </c>
      <c r="S40" s="26">
        <f t="shared" si="49"/>
        <v>89966705</v>
      </c>
      <c r="T40" s="26">
        <f t="shared" si="49"/>
        <v>35223470</v>
      </c>
      <c r="U40" s="26">
        <f t="shared" si="49"/>
        <v>191010257</v>
      </c>
      <c r="V40" s="26">
        <f t="shared" si="49"/>
        <v>134248396</v>
      </c>
      <c r="W40" s="26">
        <f t="shared" si="49"/>
        <v>81664323</v>
      </c>
      <c r="X40" s="26">
        <f t="shared" si="49"/>
        <v>34003240</v>
      </c>
      <c r="Y40" s="26">
        <f t="shared" si="49"/>
        <v>174870309</v>
      </c>
      <c r="Z40" s="26">
        <f t="shared" si="49"/>
        <v>122432623</v>
      </c>
      <c r="AA40" s="26">
        <f t="shared" si="49"/>
        <v>73130586</v>
      </c>
      <c r="AB40" s="26">
        <f t="shared" si="49"/>
        <v>28036700</v>
      </c>
      <c r="AC40" s="26">
        <f t="shared" si="49"/>
        <v>157049667</v>
      </c>
      <c r="AD40" s="26">
        <f t="shared" si="49"/>
        <v>115874664</v>
      </c>
      <c r="AE40" s="26">
        <f t="shared" si="49"/>
        <v>68062748</v>
      </c>
      <c r="AF40" s="26">
        <f t="shared" si="49"/>
        <v>24456819</v>
      </c>
      <c r="AG40" s="26">
        <f t="shared" si="49"/>
        <v>113409600</v>
      </c>
      <c r="AH40" s="26">
        <f t="shared" si="49"/>
        <v>77862061</v>
      </c>
      <c r="AI40" s="26">
        <f t="shared" si="49"/>
        <v>44218880</v>
      </c>
      <c r="AJ40" s="26">
        <f t="shared" si="49"/>
        <v>17480195</v>
      </c>
      <c r="AK40" s="26">
        <f t="shared" si="49"/>
        <v>87744981</v>
      </c>
      <c r="AL40" s="26">
        <f t="shared" si="49"/>
        <v>61982802</v>
      </c>
      <c r="AM40" s="26">
        <f t="shared" si="49"/>
        <v>35258504</v>
      </c>
      <c r="AN40" s="26">
        <f t="shared" si="49"/>
        <v>14027531</v>
      </c>
      <c r="AO40" s="26">
        <f t="shared" si="49"/>
        <v>40549302</v>
      </c>
      <c r="AP40" s="26">
        <f t="shared" si="49"/>
        <v>40667304</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4.8678317951642056E-2</v>
      </c>
      <c r="C41" s="57">
        <f t="shared" ref="C41:BN41" si="51">C40/C38</f>
        <v>7.5672880906279244E-2</v>
      </c>
      <c r="D41" s="57">
        <f t="shared" si="51"/>
        <v>9.3647931203561977E-2</v>
      </c>
      <c r="E41" s="57">
        <f t="shared" si="51"/>
        <v>0.35461180986371327</v>
      </c>
      <c r="F41" s="57">
        <f t="shared" si="51"/>
        <v>0.12626621361057161</v>
      </c>
      <c r="G41" s="57">
        <f t="shared" si="51"/>
        <v>0.12393917896337343</v>
      </c>
      <c r="H41" s="57">
        <f t="shared" si="51"/>
        <v>5.488783404551472E-2</v>
      </c>
      <c r="I41" s="57">
        <f t="shared" si="51"/>
        <v>0.10858717575158548</v>
      </c>
      <c r="J41" s="57">
        <f t="shared" si="51"/>
        <v>8.2956898427481135E-2</v>
      </c>
      <c r="K41" s="57">
        <f t="shared" si="51"/>
        <v>8.833287422050505E-2</v>
      </c>
      <c r="L41" s="57">
        <f t="shared" si="51"/>
        <v>9.314374995515963E-2</v>
      </c>
      <c r="M41" s="57">
        <f t="shared" si="51"/>
        <v>0.36890168417476343</v>
      </c>
      <c r="N41" s="57">
        <f t="shared" si="51"/>
        <v>0.24444181675965909</v>
      </c>
      <c r="O41" s="57">
        <f t="shared" si="51"/>
        <v>0.18682709887907664</v>
      </c>
      <c r="P41" s="57">
        <f t="shared" si="51"/>
        <v>0.18369787363769835</v>
      </c>
      <c r="Q41" s="57">
        <f t="shared" si="51"/>
        <v>0.13360403841038684</v>
      </c>
      <c r="R41" s="57">
        <f t="shared" si="51"/>
        <v>0.13560226692043209</v>
      </c>
      <c r="S41" s="57">
        <f t="shared" si="51"/>
        <v>0.13796799614447142</v>
      </c>
      <c r="T41" s="57">
        <f t="shared" si="51"/>
        <v>0.13443842742260306</v>
      </c>
      <c r="U41" s="57">
        <f t="shared" si="51"/>
        <v>0.15084619237808772</v>
      </c>
      <c r="V41" s="57">
        <f t="shared" si="51"/>
        <v>0.13513422557822857</v>
      </c>
      <c r="W41" s="57">
        <f t="shared" si="51"/>
        <v>0.131195281432823</v>
      </c>
      <c r="X41" s="57">
        <f t="shared" si="51"/>
        <v>0.13959773777146428</v>
      </c>
      <c r="Y41" s="57">
        <f t="shared" si="51"/>
        <v>0.13857351433861964</v>
      </c>
      <c r="Z41" s="57">
        <f t="shared" si="51"/>
        <v>0.13760228563030774</v>
      </c>
      <c r="AA41" s="57">
        <f t="shared" si="51"/>
        <v>0.13667946503633763</v>
      </c>
      <c r="AB41" s="57">
        <f t="shared" si="51"/>
        <v>0.14265694967582201</v>
      </c>
      <c r="AC41" s="57">
        <f t="shared" si="51"/>
        <v>0.14079400863914227</v>
      </c>
      <c r="AD41" s="57">
        <f t="shared" si="51"/>
        <v>0.14478997815082592</v>
      </c>
      <c r="AE41" s="57">
        <f t="shared" si="51"/>
        <v>0.14295534755344436</v>
      </c>
      <c r="AF41" s="57">
        <f t="shared" si="51"/>
        <v>0.14417334587729916</v>
      </c>
      <c r="AG41" s="57">
        <f t="shared" si="51"/>
        <v>0.14685243327169453</v>
      </c>
      <c r="AH41" s="57">
        <f t="shared" si="51"/>
        <v>0.14684497245610328</v>
      </c>
      <c r="AI41" s="57">
        <f t="shared" si="51"/>
        <v>0.14504056851701233</v>
      </c>
      <c r="AJ41" s="57">
        <f t="shared" si="51"/>
        <v>0.15808566508746155</v>
      </c>
      <c r="AK41" s="57">
        <f t="shared" si="51"/>
        <v>0.16812081801290654</v>
      </c>
      <c r="AL41" s="57">
        <f t="shared" si="51"/>
        <v>0.17489750109688337</v>
      </c>
      <c r="AM41" s="57">
        <f t="shared" si="51"/>
        <v>0.17040045152719427</v>
      </c>
      <c r="AN41" s="57">
        <f t="shared" si="51"/>
        <v>0.17317206624885059</v>
      </c>
      <c r="AO41" s="57">
        <f t="shared" si="51"/>
        <v>0.11535619315574605</v>
      </c>
      <c r="AP41" s="57">
        <f t="shared" si="51"/>
        <v>0.15876163802980181</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1689407405</v>
      </c>
      <c r="C42" s="28">
        <f t="shared" ref="C42:BN42" si="53">C38-C40</f>
        <v>788103163</v>
      </c>
      <c r="D42" s="28">
        <f t="shared" si="53"/>
        <v>338037922</v>
      </c>
      <c r="E42" s="28">
        <f t="shared" si="53"/>
        <v>600947377</v>
      </c>
      <c r="F42" s="28">
        <f t="shared" si="53"/>
        <v>769037642</v>
      </c>
      <c r="G42" s="28">
        <f t="shared" si="53"/>
        <v>514082165</v>
      </c>
      <c r="H42" s="28">
        <f t="shared" si="53"/>
        <v>465426601</v>
      </c>
      <c r="I42" s="28">
        <f t="shared" si="53"/>
        <v>756077374</v>
      </c>
      <c r="J42" s="28">
        <f t="shared" si="53"/>
        <v>744258410</v>
      </c>
      <c r="K42" s="28">
        <f t="shared" si="53"/>
        <v>526624796</v>
      </c>
      <c r="L42" s="28">
        <f t="shared" si="53"/>
        <v>309681570</v>
      </c>
      <c r="M42" s="28">
        <f t="shared" si="53"/>
        <v>237669971</v>
      </c>
      <c r="N42" s="28">
        <f t="shared" si="53"/>
        <v>337645822</v>
      </c>
      <c r="O42" s="28">
        <f t="shared" si="53"/>
        <v>319660315</v>
      </c>
      <c r="P42" s="28">
        <f t="shared" si="53"/>
        <v>185728956</v>
      </c>
      <c r="Q42" s="28">
        <f t="shared" si="53"/>
        <v>1063677662</v>
      </c>
      <c r="R42" s="28">
        <f t="shared" si="53"/>
        <v>925187872</v>
      </c>
      <c r="S42" s="28">
        <f t="shared" si="53"/>
        <v>562117166</v>
      </c>
      <c r="T42" s="28">
        <f t="shared" si="53"/>
        <v>226781008</v>
      </c>
      <c r="U42" s="28">
        <f t="shared" si="53"/>
        <v>1075248135</v>
      </c>
      <c r="V42" s="28">
        <f t="shared" si="53"/>
        <v>859196421</v>
      </c>
      <c r="W42" s="28">
        <f t="shared" si="53"/>
        <v>540799550</v>
      </c>
      <c r="X42" s="28">
        <f t="shared" si="53"/>
        <v>209576925</v>
      </c>
      <c r="Y42" s="28">
        <f t="shared" si="53"/>
        <v>1087061380</v>
      </c>
      <c r="Z42" s="28">
        <f t="shared" si="53"/>
        <v>767324567</v>
      </c>
      <c r="AA42" s="28">
        <f t="shared" si="53"/>
        <v>461921157</v>
      </c>
      <c r="AB42" s="28">
        <f t="shared" si="53"/>
        <v>168495611</v>
      </c>
      <c r="AC42" s="28">
        <f t="shared" si="53"/>
        <v>958407365</v>
      </c>
      <c r="AD42" s="28">
        <f t="shared" si="53"/>
        <v>684420118</v>
      </c>
      <c r="AE42" s="28">
        <f t="shared" si="53"/>
        <v>408049193</v>
      </c>
      <c r="AF42" s="28">
        <f t="shared" si="53"/>
        <v>145177997</v>
      </c>
      <c r="AG42" s="28">
        <f t="shared" si="53"/>
        <v>658859524</v>
      </c>
      <c r="AH42" s="28">
        <f t="shared" si="53"/>
        <v>452371012</v>
      </c>
      <c r="AI42" s="28">
        <f t="shared" si="53"/>
        <v>260653615</v>
      </c>
      <c r="AJ42" s="28">
        <f t="shared" si="53"/>
        <v>93093999</v>
      </c>
      <c r="AK42" s="28">
        <f t="shared" si="53"/>
        <v>434171234</v>
      </c>
      <c r="AL42" s="28">
        <f t="shared" si="53"/>
        <v>292412210</v>
      </c>
      <c r="AM42" s="28">
        <f t="shared" si="53"/>
        <v>171657051</v>
      </c>
      <c r="AN42" s="28">
        <f t="shared" si="53"/>
        <v>66975897</v>
      </c>
      <c r="AO42" s="28">
        <f t="shared" si="53"/>
        <v>310964569</v>
      </c>
      <c r="AP42" s="28">
        <f t="shared" si="53"/>
        <v>215485911</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13.811611535821234</v>
      </c>
      <c r="C43" s="57">
        <f t="shared" ref="C43:D43" si="55">C42/C4*100</f>
        <v>10.113706936925775</v>
      </c>
      <c r="D43" s="57">
        <f t="shared" si="55"/>
        <v>8.5968936207559885</v>
      </c>
      <c r="E43" s="57">
        <f>E42/E4</f>
        <v>5.2553569356191925E-2</v>
      </c>
      <c r="F43" s="57">
        <f t="shared" ref="F43:BQ43" si="56">F42/F4</f>
        <v>9.7220688263783647E-2</v>
      </c>
      <c r="G43" s="57">
        <f t="shared" si="56"/>
        <v>0.10402358673742103</v>
      </c>
      <c r="H43" s="57">
        <f t="shared" si="56"/>
        <v>0.19120313388164747</v>
      </c>
      <c r="I43" s="57">
        <f t="shared" si="56"/>
        <v>8.8265511149188458E-2</v>
      </c>
      <c r="J43" s="57">
        <f t="shared" si="56"/>
        <v>0.11902659247238273</v>
      </c>
      <c r="K43" s="57">
        <f t="shared" si="56"/>
        <v>0.12855755174369007</v>
      </c>
      <c r="L43" s="57">
        <f t="shared" si="56"/>
        <v>0.15450643932281621</v>
      </c>
      <c r="M43" s="57">
        <f t="shared" si="56"/>
        <v>3.0614396838352969E-2</v>
      </c>
      <c r="N43" s="57">
        <f t="shared" si="56"/>
        <v>5.8029497694812714E-2</v>
      </c>
      <c r="O43" s="57">
        <f t="shared" si="56"/>
        <v>8.3340217532859237E-2</v>
      </c>
      <c r="P43" s="57">
        <f t="shared" si="56"/>
        <v>9.8131682465074879E-2</v>
      </c>
      <c r="Q43" s="57">
        <f t="shared" si="56"/>
        <v>0.13257158307993716</v>
      </c>
      <c r="R43" s="57">
        <f t="shared" si="56"/>
        <v>0.15455145443147422</v>
      </c>
      <c r="S43" s="57">
        <f t="shared" si="56"/>
        <v>0.14169240556269888</v>
      </c>
      <c r="T43" s="57">
        <f t="shared" si="56"/>
        <v>0.11688011830454241</v>
      </c>
      <c r="U43" s="57">
        <f t="shared" si="56"/>
        <v>0.1574006369508113</v>
      </c>
      <c r="V43" s="57">
        <f t="shared" si="56"/>
        <v>0.17430836773714103</v>
      </c>
      <c r="W43" s="57">
        <f t="shared" si="56"/>
        <v>0.16999036785618679</v>
      </c>
      <c r="X43" s="57">
        <f t="shared" si="56"/>
        <v>0.14341511508317273</v>
      </c>
      <c r="Y43" s="57">
        <f t="shared" si="56"/>
        <v>0.18470856704387018</v>
      </c>
      <c r="Z43" s="57">
        <f t="shared" si="56"/>
        <v>0.17624618509166254</v>
      </c>
      <c r="AA43" s="57">
        <f t="shared" si="56"/>
        <v>0.16642311554504016</v>
      </c>
      <c r="AB43" s="57">
        <f t="shared" si="56"/>
        <v>0.13635251799196896</v>
      </c>
      <c r="AC43" s="57">
        <f t="shared" si="56"/>
        <v>0.18617628645569467</v>
      </c>
      <c r="AD43" s="57">
        <f t="shared" si="56"/>
        <v>0.18766380897744922</v>
      </c>
      <c r="AE43" s="57">
        <f t="shared" si="56"/>
        <v>0.17653381524854297</v>
      </c>
      <c r="AF43" s="57">
        <f t="shared" si="56"/>
        <v>0.13500832595223233</v>
      </c>
      <c r="AG43" s="57">
        <f t="shared" si="56"/>
        <v>0.16363489242814064</v>
      </c>
      <c r="AH43" s="57">
        <f t="shared" si="56"/>
        <v>0.15883811242139256</v>
      </c>
      <c r="AI43" s="57">
        <f t="shared" si="56"/>
        <v>0.14595050496906087</v>
      </c>
      <c r="AJ43" s="57">
        <f t="shared" si="56"/>
        <v>0.11450426220823451</v>
      </c>
      <c r="AK43" s="57">
        <f t="shared" si="56"/>
        <v>0.13375637529256929</v>
      </c>
      <c r="AL43" s="57">
        <f t="shared" si="56"/>
        <v>0.12456456725149731</v>
      </c>
      <c r="AM43" s="57">
        <f t="shared" si="56"/>
        <v>0.11664814026212855</v>
      </c>
      <c r="AN43" s="57">
        <f t="shared" si="56"/>
        <v>0.10168222057647593</v>
      </c>
      <c r="AO43" s="57">
        <f t="shared" si="56"/>
        <v>0.11862577351987123</v>
      </c>
      <c r="AP43" s="57">
        <f t="shared" si="56"/>
        <v>0.10618592212278502</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1026115031.6800001</v>
      </c>
      <c r="C45" s="26">
        <f t="shared" ref="C45:BN45" si="58">C70*C69</f>
        <v>1024833604.4</v>
      </c>
      <c r="D45" s="26">
        <f t="shared" si="58"/>
        <v>982535163.75999999</v>
      </c>
      <c r="E45" s="26">
        <f t="shared" si="58"/>
        <v>958596168.39999998</v>
      </c>
      <c r="F45" s="26">
        <f t="shared" si="58"/>
        <v>967080622.08000004</v>
      </c>
      <c r="G45" s="26">
        <f t="shared" si="58"/>
        <v>943202249.75999999</v>
      </c>
      <c r="H45" s="26">
        <f t="shared" si="58"/>
        <v>953139962.48000002</v>
      </c>
      <c r="I45" s="26">
        <f t="shared" si="58"/>
        <v>917307918.08000004</v>
      </c>
      <c r="J45" s="26">
        <f t="shared" si="58"/>
        <v>921715562.24000001</v>
      </c>
      <c r="K45" s="26">
        <f t="shared" si="58"/>
        <v>909508006.56000006</v>
      </c>
      <c r="L45" s="26">
        <f t="shared" si="58"/>
        <v>908060222.32000005</v>
      </c>
      <c r="M45" s="26">
        <f t="shared" si="58"/>
        <v>893108795.75999999</v>
      </c>
      <c r="N45" s="26">
        <f t="shared" si="58"/>
        <v>884093601.12</v>
      </c>
      <c r="O45" s="26">
        <f t="shared" si="58"/>
        <v>899405495.92000008</v>
      </c>
      <c r="P45" s="26">
        <f t="shared" si="58"/>
        <v>893186852.39999998</v>
      </c>
      <c r="Q45" s="26">
        <f t="shared" si="58"/>
        <v>877629643.03999996</v>
      </c>
      <c r="R45" s="26">
        <f t="shared" si="58"/>
        <v>865356969.68000007</v>
      </c>
      <c r="S45" s="26">
        <f t="shared" si="58"/>
        <v>837282392.80000007</v>
      </c>
      <c r="T45" s="26">
        <f t="shared" si="58"/>
        <v>820055499.68000007</v>
      </c>
      <c r="U45" s="26">
        <f t="shared" si="58"/>
        <v>801913019.51999998</v>
      </c>
      <c r="V45" s="26">
        <f t="shared" si="58"/>
        <v>783165748.63999999</v>
      </c>
      <c r="W45" s="26">
        <f t="shared" si="58"/>
        <v>757693999.27999997</v>
      </c>
      <c r="X45" s="26">
        <f t="shared" si="58"/>
        <v>741903603.36000001</v>
      </c>
      <c r="Y45" s="26">
        <f t="shared" si="58"/>
        <v>725126221.03999996</v>
      </c>
      <c r="Z45" s="26">
        <f t="shared" si="58"/>
        <v>698344813.12</v>
      </c>
      <c r="AA45" s="26">
        <f t="shared" si="58"/>
        <v>673532080.15999997</v>
      </c>
      <c r="AB45" s="26">
        <f t="shared" si="58"/>
        <v>647877273.91999996</v>
      </c>
      <c r="AC45" s="26">
        <f t="shared" si="58"/>
        <v>634477625.03999996</v>
      </c>
      <c r="AD45" s="26">
        <f t="shared" si="58"/>
        <v>610126340.63999999</v>
      </c>
      <c r="AE45" s="26">
        <f t="shared" si="58"/>
        <v>588016666.56000006</v>
      </c>
      <c r="AF45" s="26">
        <f t="shared" si="58"/>
        <v>576586970.96000004</v>
      </c>
      <c r="AG45" s="26">
        <f t="shared" si="58"/>
        <v>564131017.12</v>
      </c>
      <c r="AH45" s="26">
        <f t="shared" si="58"/>
        <v>543579684.79999995</v>
      </c>
      <c r="AI45" s="26">
        <f t="shared" si="58"/>
        <v>528964880.63999999</v>
      </c>
      <c r="AJ45" s="26">
        <f t="shared" si="58"/>
        <v>133800333.84</v>
      </c>
      <c r="AK45" s="26">
        <f t="shared" si="58"/>
        <v>126352813.76000001</v>
      </c>
      <c r="AL45" s="26">
        <f t="shared" si="58"/>
        <v>95219115.040000007</v>
      </c>
      <c r="AM45" s="26">
        <f t="shared" si="58"/>
        <v>55297306</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663292373.31999993</v>
      </c>
      <c r="C47" s="28">
        <f t="shared" ref="C47:BN47" si="62">C42-C45</f>
        <v>-236730441.39999998</v>
      </c>
      <c r="D47" s="28">
        <f t="shared" si="62"/>
        <v>-644497241.75999999</v>
      </c>
      <c r="E47" s="28">
        <f t="shared" si="62"/>
        <v>-357648791.39999998</v>
      </c>
      <c r="F47" s="28">
        <f t="shared" si="62"/>
        <v>-198042980.08000004</v>
      </c>
      <c r="G47" s="28">
        <f t="shared" si="62"/>
        <v>-429120084.75999999</v>
      </c>
      <c r="H47" s="28">
        <f t="shared" si="62"/>
        <v>-487713361.48000002</v>
      </c>
      <c r="I47" s="28">
        <f t="shared" si="62"/>
        <v>-161230544.08000004</v>
      </c>
      <c r="J47" s="28">
        <f t="shared" si="62"/>
        <v>-177457152.24000001</v>
      </c>
      <c r="K47" s="28">
        <f t="shared" si="62"/>
        <v>-382883210.56000006</v>
      </c>
      <c r="L47" s="28">
        <f t="shared" si="62"/>
        <v>-598378652.32000005</v>
      </c>
      <c r="M47" s="28">
        <f t="shared" si="62"/>
        <v>-655438824.75999999</v>
      </c>
      <c r="N47" s="28">
        <f t="shared" si="62"/>
        <v>-546447779.12</v>
      </c>
      <c r="O47" s="28">
        <f t="shared" si="62"/>
        <v>-579745180.92000008</v>
      </c>
      <c r="P47" s="28">
        <f t="shared" si="62"/>
        <v>-707457896.39999998</v>
      </c>
      <c r="Q47" s="28">
        <f t="shared" si="62"/>
        <v>186048018.96000004</v>
      </c>
      <c r="R47" s="28">
        <f t="shared" si="62"/>
        <v>59830902.319999933</v>
      </c>
      <c r="S47" s="28">
        <f t="shared" si="62"/>
        <v>-275165226.80000007</v>
      </c>
      <c r="T47" s="28">
        <f t="shared" si="62"/>
        <v>-593274491.68000007</v>
      </c>
      <c r="U47" s="28">
        <f t="shared" si="62"/>
        <v>273335115.48000002</v>
      </c>
      <c r="V47" s="28">
        <f t="shared" si="62"/>
        <v>76030672.360000014</v>
      </c>
      <c r="W47" s="28">
        <f t="shared" si="62"/>
        <v>-216894449.27999997</v>
      </c>
      <c r="X47" s="28">
        <f t="shared" si="62"/>
        <v>-532326678.36000001</v>
      </c>
      <c r="Y47" s="28">
        <f t="shared" si="62"/>
        <v>361935158.96000004</v>
      </c>
      <c r="Z47" s="28">
        <f t="shared" si="62"/>
        <v>68979753.879999995</v>
      </c>
      <c r="AA47" s="28">
        <f t="shared" si="62"/>
        <v>-211610923.15999997</v>
      </c>
      <c r="AB47" s="28">
        <f t="shared" si="62"/>
        <v>-479381662.91999996</v>
      </c>
      <c r="AC47" s="28">
        <f t="shared" si="62"/>
        <v>323929739.96000004</v>
      </c>
      <c r="AD47" s="28">
        <f t="shared" si="62"/>
        <v>74293777.360000014</v>
      </c>
      <c r="AE47" s="28">
        <f t="shared" si="62"/>
        <v>-179967473.56000006</v>
      </c>
      <c r="AF47" s="28">
        <f t="shared" si="62"/>
        <v>-431408973.96000004</v>
      </c>
      <c r="AG47" s="28">
        <f t="shared" si="62"/>
        <v>94728506.879999995</v>
      </c>
      <c r="AH47" s="28">
        <f t="shared" si="62"/>
        <v>-91208672.799999952</v>
      </c>
      <c r="AI47" s="28">
        <f t="shared" si="62"/>
        <v>-268311265.63999999</v>
      </c>
      <c r="AJ47" s="28">
        <f t="shared" si="62"/>
        <v>-40706334.840000004</v>
      </c>
      <c r="AK47" s="28">
        <f t="shared" si="62"/>
        <v>307818420.24000001</v>
      </c>
      <c r="AL47" s="28">
        <f t="shared" si="62"/>
        <v>197193094.95999998</v>
      </c>
      <c r="AM47" s="28">
        <f t="shared" si="62"/>
        <v>116359745</v>
      </c>
      <c r="AN47" s="28">
        <f t="shared" si="62"/>
        <v>66975897</v>
      </c>
      <c r="AO47" s="28">
        <f t="shared" si="62"/>
        <v>310964569</v>
      </c>
      <c r="AP47" s="28">
        <f t="shared" si="62"/>
        <v>215485911</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-27838461</v>
      </c>
      <c r="F52" s="42">
        <v>-34414</v>
      </c>
      <c r="G52" s="42">
        <v>-23309</v>
      </c>
      <c r="H52" s="42">
        <v>-16814</v>
      </c>
      <c r="I52" s="42">
        <v>-40230682</v>
      </c>
      <c r="J52" s="42"/>
      <c r="K52" s="42"/>
      <c r="M52" s="43">
        <v>-52137746</v>
      </c>
      <c r="Q52" s="43">
        <v>-61229921</v>
      </c>
      <c r="U52" s="43">
        <v>-61903621</v>
      </c>
      <c r="Y52" s="43">
        <v>-52749803</v>
      </c>
      <c r="AC52" s="43">
        <v>-70040684</v>
      </c>
      <c r="AG52" s="43">
        <v>-49568248</v>
      </c>
    </row>
    <row r="53" spans="1:89" s="43" customFormat="1" x14ac:dyDescent="0.25">
      <c r="A53" s="132" t="s">
        <v>90</v>
      </c>
      <c r="B53" s="42">
        <v>217</v>
      </c>
      <c r="C53" s="42">
        <v>189</v>
      </c>
      <c r="D53" s="42"/>
      <c r="E53" s="42">
        <v>542391777</v>
      </c>
      <c r="F53" s="42"/>
      <c r="G53" s="42"/>
      <c r="H53" s="42"/>
      <c r="I53" s="42">
        <v>493412141</v>
      </c>
      <c r="J53" s="42"/>
      <c r="K53" s="42"/>
      <c r="M53" s="43">
        <v>493272400</v>
      </c>
      <c r="Q53" s="43">
        <v>389205571</v>
      </c>
      <c r="U53" s="43">
        <v>312986975</v>
      </c>
      <c r="Y53" s="43">
        <v>181919862</v>
      </c>
      <c r="AC53" s="43">
        <v>79201643</v>
      </c>
      <c r="AD53" s="42"/>
      <c r="AE53" s="42"/>
      <c r="AF53" s="42"/>
      <c r="AG53" s="42">
        <v>56010255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24913607</v>
      </c>
      <c r="F54" s="42">
        <v>2684</v>
      </c>
      <c r="G54" s="42">
        <v>-377</v>
      </c>
      <c r="H54" s="42">
        <v>1008</v>
      </c>
      <c r="I54" s="42">
        <v>-26560963</v>
      </c>
      <c r="J54" s="42"/>
      <c r="K54" s="42"/>
      <c r="M54" s="43">
        <v>195206354</v>
      </c>
      <c r="Q54" s="43">
        <v>-3397161</v>
      </c>
      <c r="U54" s="43">
        <v>13350</v>
      </c>
      <c r="Y54" s="43">
        <v>-297744</v>
      </c>
      <c r="AC54" s="43">
        <v>267738</v>
      </c>
      <c r="AG54" s="43">
        <v>681586</v>
      </c>
    </row>
    <row r="55" spans="1:89" s="43" customFormat="1" x14ac:dyDescent="0.25">
      <c r="A55" s="132" t="s">
        <v>92</v>
      </c>
      <c r="B55" s="42">
        <v>463</v>
      </c>
      <c r="C55" s="42">
        <v>603</v>
      </c>
      <c r="D55" s="42">
        <v>653</v>
      </c>
      <c r="E55" s="42">
        <v>20304304</v>
      </c>
      <c r="F55" s="42">
        <v>1204</v>
      </c>
      <c r="G55" s="42">
        <v>868</v>
      </c>
      <c r="H55" s="42">
        <v>644</v>
      </c>
      <c r="I55" s="42">
        <v>22292062</v>
      </c>
      <c r="J55" s="42"/>
      <c r="K55" s="42"/>
      <c r="M55" s="43">
        <v>16245727</v>
      </c>
      <c r="Q55" s="43">
        <v>13308094</v>
      </c>
      <c r="U55" s="43">
        <v>15196011</v>
      </c>
      <c r="Y55" s="43">
        <v>6749000</v>
      </c>
      <c r="AC55" s="43">
        <v>2316930</v>
      </c>
      <c r="AG55" s="43">
        <v>2146223</v>
      </c>
    </row>
    <row r="56" spans="1:89" s="26" customFormat="1" x14ac:dyDescent="0.25">
      <c r="A56" s="133" t="s">
        <v>93</v>
      </c>
      <c r="B56" s="44">
        <f>SUM(B52:B55)</f>
        <v>-21852</v>
      </c>
      <c r="C56" s="44">
        <f t="shared" ref="C56:D56" si="64">SUM(C52:C55)</f>
        <v>-28350</v>
      </c>
      <c r="D56" s="44">
        <f t="shared" si="64"/>
        <v>-35004</v>
      </c>
      <c r="E56" s="44">
        <f>SUM(E52:E55)</f>
        <v>559771227</v>
      </c>
      <c r="F56" s="44">
        <f t="shared" ref="F56:BQ56" si="65">SUM(F52:F55)</f>
        <v>-30526</v>
      </c>
      <c r="G56" s="44">
        <f t="shared" si="65"/>
        <v>-22818</v>
      </c>
      <c r="H56" s="44">
        <f t="shared" si="65"/>
        <v>-15162</v>
      </c>
      <c r="I56" s="44">
        <f t="shared" si="65"/>
        <v>448912558</v>
      </c>
      <c r="J56" s="44">
        <f t="shared" si="65"/>
        <v>0</v>
      </c>
      <c r="K56" s="44">
        <f t="shared" si="65"/>
        <v>0</v>
      </c>
      <c r="L56" s="44">
        <f t="shared" si="65"/>
        <v>0</v>
      </c>
      <c r="M56" s="44">
        <f t="shared" si="65"/>
        <v>652586735</v>
      </c>
      <c r="N56" s="44">
        <f t="shared" si="65"/>
        <v>0</v>
      </c>
      <c r="O56" s="44">
        <f t="shared" si="65"/>
        <v>0</v>
      </c>
      <c r="P56" s="44">
        <f t="shared" si="65"/>
        <v>0</v>
      </c>
      <c r="Q56" s="44">
        <f t="shared" si="65"/>
        <v>337886583</v>
      </c>
      <c r="R56" s="44">
        <f t="shared" si="65"/>
        <v>0</v>
      </c>
      <c r="S56" s="44">
        <f t="shared" si="65"/>
        <v>0</v>
      </c>
      <c r="T56" s="44">
        <f t="shared" si="65"/>
        <v>0</v>
      </c>
      <c r="U56" s="44">
        <f t="shared" si="65"/>
        <v>266292715</v>
      </c>
      <c r="V56" s="44">
        <f t="shared" si="65"/>
        <v>0</v>
      </c>
      <c r="W56" s="44">
        <f t="shared" si="65"/>
        <v>0</v>
      </c>
      <c r="X56" s="44">
        <f t="shared" si="65"/>
        <v>0</v>
      </c>
      <c r="Y56" s="44">
        <f t="shared" si="65"/>
        <v>135621315</v>
      </c>
      <c r="Z56" s="44">
        <f t="shared" si="65"/>
        <v>0</v>
      </c>
      <c r="AA56" s="44">
        <f t="shared" si="65"/>
        <v>0</v>
      </c>
      <c r="AB56" s="44">
        <f t="shared" si="65"/>
        <v>0</v>
      </c>
      <c r="AC56" s="44">
        <f t="shared" si="65"/>
        <v>11745627</v>
      </c>
      <c r="AD56" s="44">
        <f t="shared" si="65"/>
        <v>0</v>
      </c>
      <c r="AE56" s="44">
        <f t="shared" si="65"/>
        <v>0</v>
      </c>
      <c r="AF56" s="44">
        <f t="shared" si="65"/>
        <v>0</v>
      </c>
      <c r="AG56" s="44">
        <f t="shared" si="65"/>
        <v>9269816</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1072611747</v>
      </c>
      <c r="C59" s="190">
        <v>813486702</v>
      </c>
      <c r="D59" s="190">
        <v>414731377</v>
      </c>
      <c r="E59" s="190">
        <v>811082647</v>
      </c>
      <c r="F59" s="190">
        <v>441246755</v>
      </c>
      <c r="G59" s="190">
        <v>300665511</v>
      </c>
      <c r="H59" s="190">
        <v>224461322</v>
      </c>
      <c r="I59" s="190">
        <v>624324806</v>
      </c>
      <c r="J59" s="190">
        <v>574811534</v>
      </c>
      <c r="K59" s="190">
        <v>410312145</v>
      </c>
      <c r="L59" s="190">
        <v>216916064</v>
      </c>
      <c r="M59" s="190">
        <v>541889386</v>
      </c>
      <c r="N59" s="190">
        <v>494959091</v>
      </c>
      <c r="O59" s="190">
        <v>405198654</v>
      </c>
      <c r="P59" s="190">
        <v>203199297</v>
      </c>
      <c r="Q59" s="190">
        <v>984682168</v>
      </c>
      <c r="R59" s="190">
        <v>832704414</v>
      </c>
      <c r="S59" s="190">
        <v>541410987</v>
      </c>
      <c r="T59" s="190">
        <v>228991881</v>
      </c>
      <c r="U59" s="190">
        <v>1091499045</v>
      </c>
      <c r="V59" s="190">
        <v>859947872</v>
      </c>
      <c r="W59" s="190">
        <v>541354815</v>
      </c>
      <c r="X59" s="190">
        <v>209928439</v>
      </c>
      <c r="Y59" s="190">
        <v>1093652996</v>
      </c>
      <c r="Z59" s="190">
        <v>767324567</v>
      </c>
      <c r="AA59" s="190">
        <v>461921157</v>
      </c>
      <c r="AB59" s="190">
        <v>168495611</v>
      </c>
      <c r="AC59" s="190">
        <v>960992033</v>
      </c>
      <c r="AD59" s="190">
        <v>684420118</v>
      </c>
      <c r="AE59" s="190">
        <v>408049193</v>
      </c>
      <c r="AF59" s="190">
        <v>145177997</v>
      </c>
      <c r="AG59" s="190">
        <v>661687333</v>
      </c>
      <c r="AH59" s="190">
        <v>452371012</v>
      </c>
      <c r="AI59" s="190">
        <v>260653615</v>
      </c>
      <c r="AJ59" s="190">
        <v>93093999</v>
      </c>
      <c r="AK59" s="190">
        <v>434171234</v>
      </c>
      <c r="AL59" s="190">
        <v>292412210</v>
      </c>
      <c r="AM59" s="190">
        <v>171657051</v>
      </c>
      <c r="AN59" s="190">
        <v>66975897</v>
      </c>
      <c r="AO59" s="190">
        <v>310964569</v>
      </c>
      <c r="AP59" s="190">
        <v>215485911</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86445534</v>
      </c>
      <c r="C60" s="190">
        <v>64520488</v>
      </c>
      <c r="D60" s="190">
        <v>34927434</v>
      </c>
      <c r="E60" s="190">
        <v>330193580</v>
      </c>
      <c r="F60" s="190">
        <v>111136221</v>
      </c>
      <c r="G60" s="190">
        <v>72728879</v>
      </c>
      <c r="H60" s="190">
        <v>27029869</v>
      </c>
      <c r="I60" s="190">
        <v>92101330</v>
      </c>
      <c r="J60" s="190">
        <v>67326573</v>
      </c>
      <c r="K60" s="190">
        <v>51025512</v>
      </c>
      <c r="L60" s="190">
        <v>31807580</v>
      </c>
      <c r="M60" s="190">
        <v>138927407</v>
      </c>
      <c r="N60" s="190">
        <v>109236800</v>
      </c>
      <c r="O60" s="190">
        <v>73442203</v>
      </c>
      <c r="P60" s="190">
        <v>41795817</v>
      </c>
      <c r="Q60" s="190">
        <v>164026193</v>
      </c>
      <c r="R60" s="190">
        <v>145138711</v>
      </c>
      <c r="S60" s="190">
        <v>89966705</v>
      </c>
      <c r="T60" s="190">
        <v>35223470</v>
      </c>
      <c r="U60" s="190">
        <v>191010257</v>
      </c>
      <c r="V60" s="190">
        <v>134248396</v>
      </c>
      <c r="W60" s="190">
        <v>81664323</v>
      </c>
      <c r="X60" s="190">
        <v>34003240</v>
      </c>
      <c r="Y60" s="190">
        <v>174870309</v>
      </c>
      <c r="Z60" s="190">
        <v>122432623</v>
      </c>
      <c r="AA60" s="190">
        <v>73130586</v>
      </c>
      <c r="AB60" s="190">
        <v>28036700</v>
      </c>
      <c r="AC60" s="190">
        <v>157049667</v>
      </c>
      <c r="AD60" s="190">
        <v>115874664</v>
      </c>
      <c r="AE60" s="190">
        <v>68062748</v>
      </c>
      <c r="AF60" s="190">
        <v>24456819</v>
      </c>
      <c r="AG60" s="190">
        <v>113409600</v>
      </c>
      <c r="AH60" s="190">
        <v>77862061</v>
      </c>
      <c r="AI60" s="190">
        <v>44218880</v>
      </c>
      <c r="AJ60" s="190">
        <v>17480195</v>
      </c>
      <c r="AK60" s="190">
        <v>87744981</v>
      </c>
      <c r="AL60" s="190">
        <v>61982802</v>
      </c>
      <c r="AM60" s="190">
        <v>35258504</v>
      </c>
      <c r="AN60" s="190">
        <v>14027531</v>
      </c>
      <c r="AO60" s="190">
        <v>40549302</v>
      </c>
      <c r="AP60" s="190">
        <v>40667304</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1159057281</v>
      </c>
      <c r="C61" s="190">
        <v>878007190</v>
      </c>
      <c r="D61" s="190">
        <v>449658811</v>
      </c>
      <c r="E61" s="190">
        <v>1141276227</v>
      </c>
      <c r="F61" s="190">
        <v>552382976</v>
      </c>
      <c r="G61" s="190">
        <v>373394390</v>
      </c>
      <c r="H61" s="190">
        <v>251491191</v>
      </c>
      <c r="I61" s="190">
        <v>716426136</v>
      </c>
      <c r="J61" s="190">
        <v>642138107</v>
      </c>
      <c r="K61" s="190">
        <v>461337657</v>
      </c>
      <c r="L61" s="190">
        <v>248723644</v>
      </c>
      <c r="M61" s="190">
        <v>680816793</v>
      </c>
      <c r="N61" s="190">
        <v>604195891</v>
      </c>
      <c r="O61" s="190">
        <v>478640857</v>
      </c>
      <c r="P61" s="190">
        <v>244995114</v>
      </c>
      <c r="Q61" s="190">
        <v>1148708361</v>
      </c>
      <c r="R61" s="190">
        <v>977843125</v>
      </c>
      <c r="S61" s="190">
        <v>631377692</v>
      </c>
      <c r="T61" s="190">
        <v>264215351</v>
      </c>
      <c r="U61" s="190">
        <v>1282509302</v>
      </c>
      <c r="V61" s="190">
        <v>994196268</v>
      </c>
      <c r="W61" s="190">
        <v>623019138</v>
      </c>
      <c r="X61" s="190">
        <v>243931679</v>
      </c>
      <c r="Y61" s="190">
        <v>1268523305</v>
      </c>
      <c r="Z61" s="190">
        <v>889757190</v>
      </c>
      <c r="AA61" s="190">
        <v>535051743</v>
      </c>
      <c r="AB61" s="190">
        <v>196532311</v>
      </c>
      <c r="AC61" s="190">
        <v>1118041700</v>
      </c>
      <c r="AD61" s="190">
        <v>800294782</v>
      </c>
      <c r="AE61" s="190">
        <v>476111941</v>
      </c>
      <c r="AF61" s="190">
        <v>169634816</v>
      </c>
      <c r="AG61" s="190">
        <v>775096933</v>
      </c>
      <c r="AH61" s="190">
        <v>530233073</v>
      </c>
      <c r="AI61" s="190">
        <v>304872495</v>
      </c>
      <c r="AJ61" s="190">
        <v>110574194</v>
      </c>
      <c r="AK61" s="190">
        <v>521916215</v>
      </c>
      <c r="AL61" s="190">
        <v>354395012</v>
      </c>
      <c r="AM61" s="190">
        <v>206915555</v>
      </c>
      <c r="AN61" s="190">
        <v>81003428</v>
      </c>
      <c r="AO61" s="190">
        <v>351513871</v>
      </c>
      <c r="AP61" s="190">
        <v>256153215</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97073811</v>
      </c>
      <c r="C65" s="190">
        <v>75188256</v>
      </c>
      <c r="D65" s="190">
        <v>37838976</v>
      </c>
      <c r="E65" s="190">
        <v>787811802</v>
      </c>
      <c r="F65" s="190">
        <v>32907018</v>
      </c>
      <c r="G65" s="190">
        <v>17276298</v>
      </c>
      <c r="H65" s="190">
        <v>1671983</v>
      </c>
      <c r="I65" s="190">
        <v>15708532</v>
      </c>
      <c r="J65" s="190">
        <v>13519776</v>
      </c>
      <c r="K65" s="190">
        <v>3846817</v>
      </c>
      <c r="L65" s="190">
        <v>717470</v>
      </c>
      <c r="M65" s="190">
        <v>28612442</v>
      </c>
      <c r="N65" s="190">
        <v>25570569</v>
      </c>
      <c r="O65" s="190">
        <v>20459116</v>
      </c>
      <c r="P65" s="190">
        <v>610638</v>
      </c>
      <c r="Q65" s="190">
        <v>14924393</v>
      </c>
      <c r="R65" s="190">
        <v>4699864</v>
      </c>
      <c r="S65" s="190">
        <v>2268156</v>
      </c>
      <c r="T65" s="190">
        <v>1100225</v>
      </c>
      <c r="U65" s="190">
        <v>1952197</v>
      </c>
      <c r="V65" s="190">
        <v>532967</v>
      </c>
      <c r="W65" s="190">
        <v>208225</v>
      </c>
      <c r="X65" s="190">
        <v>219290</v>
      </c>
      <c r="Y65" s="190">
        <v>1601054</v>
      </c>
      <c r="Z65" s="190">
        <v>1189037</v>
      </c>
      <c r="AA65" s="190">
        <v>-6483</v>
      </c>
      <c r="AB65" s="190">
        <v>-5935483</v>
      </c>
      <c r="AC65" s="190">
        <v>-7228098</v>
      </c>
      <c r="AD65" s="190">
        <v>-1200000</v>
      </c>
      <c r="AE65" s="190">
        <v>0</v>
      </c>
      <c r="AF65" s="190">
        <v>0</v>
      </c>
      <c r="AG65" s="190">
        <v>0</v>
      </c>
      <c r="AH65" s="190">
        <v>0</v>
      </c>
      <c r="AI65" s="190">
        <v>0</v>
      </c>
      <c r="AJ65" s="190">
        <v>0</v>
      </c>
      <c r="AK65" s="190">
        <v>0</v>
      </c>
      <c r="AL65" s="190">
        <v>0</v>
      </c>
      <c r="AM65" s="190">
        <v>0</v>
      </c>
      <c r="AN65" s="190">
        <v>0</v>
      </c>
      <c r="AO65" s="190">
        <v>0</v>
      </c>
      <c r="AP65" s="190">
        <v>82303</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97073811</v>
      </c>
      <c r="C66" s="190">
        <v>75188256</v>
      </c>
      <c r="D66" s="190">
        <v>37838976</v>
      </c>
      <c r="E66" s="190">
        <v>16265734</v>
      </c>
      <c r="F66" s="190">
        <v>4631055</v>
      </c>
      <c r="G66" s="190">
        <v>3247608</v>
      </c>
      <c r="H66" s="190">
        <v>1671983</v>
      </c>
      <c r="I66" s="190">
        <v>7689761</v>
      </c>
      <c r="J66" s="190">
        <v>5656264</v>
      </c>
      <c r="K66" s="190">
        <v>3846817</v>
      </c>
      <c r="L66" s="190">
        <v>717470</v>
      </c>
      <c r="M66" s="190">
        <v>5519832</v>
      </c>
      <c r="N66" s="190">
        <v>2720834</v>
      </c>
      <c r="O66" s="190">
        <v>935327</v>
      </c>
      <c r="P66" s="190">
        <v>610638</v>
      </c>
      <c r="Q66" s="190">
        <v>8058532</v>
      </c>
      <c r="R66" s="190">
        <v>4699864</v>
      </c>
      <c r="S66" s="190">
        <v>2268156</v>
      </c>
      <c r="T66" s="190">
        <v>1100225</v>
      </c>
      <c r="U66" s="190">
        <v>1952197</v>
      </c>
      <c r="V66" s="190">
        <v>532967</v>
      </c>
      <c r="W66" s="190">
        <v>208225</v>
      </c>
      <c r="X66" s="190">
        <v>219290</v>
      </c>
      <c r="Y66" s="190">
        <v>1601054</v>
      </c>
      <c r="Z66" s="190">
        <v>1189037</v>
      </c>
      <c r="AA66" s="190">
        <v>-6483</v>
      </c>
      <c r="AB66" s="190">
        <v>-160483</v>
      </c>
      <c r="AC66" s="190">
        <v>-305235</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771546068</v>
      </c>
      <c r="F67" s="4">
        <f t="shared" si="67"/>
        <v>28275963</v>
      </c>
      <c r="G67" s="4">
        <f t="shared" si="67"/>
        <v>14028690</v>
      </c>
      <c r="H67" s="4">
        <f t="shared" si="67"/>
        <v>0</v>
      </c>
      <c r="I67" s="4">
        <f t="shared" si="67"/>
        <v>8018771</v>
      </c>
      <c r="J67" s="4">
        <f t="shared" si="67"/>
        <v>7863512</v>
      </c>
      <c r="K67" s="4">
        <f t="shared" si="67"/>
        <v>0</v>
      </c>
      <c r="L67" s="4">
        <f t="shared" si="67"/>
        <v>0</v>
      </c>
      <c r="M67" s="4">
        <f t="shared" si="67"/>
        <v>23092610</v>
      </c>
      <c r="N67" s="4">
        <f t="shared" si="67"/>
        <v>22849735</v>
      </c>
      <c r="O67" s="4">
        <f t="shared" si="67"/>
        <v>19523789</v>
      </c>
      <c r="P67" s="4">
        <f t="shared" si="67"/>
        <v>0</v>
      </c>
      <c r="Q67" s="4">
        <f t="shared" si="67"/>
        <v>6865861</v>
      </c>
      <c r="R67" s="4">
        <f t="shared" si="67"/>
        <v>0</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-5775000</v>
      </c>
      <c r="AC67" s="4">
        <f t="shared" si="67"/>
        <v>-6922863</v>
      </c>
      <c r="AD67" s="4">
        <f t="shared" si="67"/>
        <v>-1200000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82303</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469323170</v>
      </c>
      <c r="C68" s="190">
        <v>306234651</v>
      </c>
      <c r="D68" s="190">
        <v>157232784</v>
      </c>
      <c r="E68" s="190">
        <v>553444177</v>
      </c>
      <c r="F68" s="190">
        <v>410009931</v>
      </c>
      <c r="G68" s="190">
        <v>244594980</v>
      </c>
      <c r="H68" s="190">
        <v>98179668</v>
      </c>
      <c r="I68" s="190">
        <v>292674143</v>
      </c>
      <c r="J68" s="190">
        <v>207315238</v>
      </c>
      <c r="K68" s="190">
        <v>132892187</v>
      </c>
      <c r="L68" s="190">
        <v>76326508</v>
      </c>
      <c r="M68" s="190">
        <v>461209237</v>
      </c>
      <c r="N68" s="190">
        <v>316630368</v>
      </c>
      <c r="O68" s="190">
        <v>140380002</v>
      </c>
      <c r="P68" s="190">
        <v>70489507</v>
      </c>
      <c r="Q68" s="190">
        <v>212911685</v>
      </c>
      <c r="R68" s="190">
        <v>149881463</v>
      </c>
      <c r="S68" s="190">
        <v>98728333</v>
      </c>
      <c r="T68" s="190">
        <v>48574025</v>
      </c>
      <c r="U68" s="190">
        <v>163664500</v>
      </c>
      <c r="V68" s="190">
        <v>111194770</v>
      </c>
      <c r="W68" s="190">
        <v>70484226</v>
      </c>
      <c r="X68" s="190">
        <v>34224063</v>
      </c>
      <c r="Y68" s="190">
        <v>92149521</v>
      </c>
      <c r="Z68" s="190">
        <v>57485610</v>
      </c>
      <c r="AA68" s="190">
        <v>29903030</v>
      </c>
      <c r="AB68" s="190">
        <v>14343074</v>
      </c>
      <c r="AC68" s="190">
        <v>3282309</v>
      </c>
      <c r="AD68" s="190">
        <v>4829206</v>
      </c>
      <c r="AE68" s="190">
        <v>3090775</v>
      </c>
      <c r="AF68" s="190">
        <v>841948</v>
      </c>
      <c r="AG68" s="190">
        <v>7790370</v>
      </c>
      <c r="AH68" s="190">
        <v>13188131</v>
      </c>
      <c r="AI68" s="190">
        <v>24294561</v>
      </c>
      <c r="AJ68" s="190">
        <v>10922816</v>
      </c>
      <c r="AK68" s="190">
        <v>46064240</v>
      </c>
      <c r="AL68" s="190">
        <v>30365717</v>
      </c>
      <c r="AM68" s="190">
        <v>19992679</v>
      </c>
      <c r="AN68" s="190">
        <v>9590043</v>
      </c>
      <c r="AO68" s="190">
        <v>46973764</v>
      </c>
      <c r="AP68" s="190">
        <v>30683835</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12826437896</v>
      </c>
      <c r="C70" s="190">
        <v>12810420055</v>
      </c>
      <c r="D70" s="190">
        <v>12281689547</v>
      </c>
      <c r="E70" s="190">
        <v>11982452105</v>
      </c>
      <c r="F70" s="190">
        <v>12088507776</v>
      </c>
      <c r="G70" s="190">
        <v>11790028122</v>
      </c>
      <c r="H70" s="190">
        <v>11914249531</v>
      </c>
      <c r="I70" s="190">
        <v>11466348976</v>
      </c>
      <c r="J70" s="190">
        <v>11521444528</v>
      </c>
      <c r="K70" s="190">
        <v>11368850082</v>
      </c>
      <c r="L70" s="190">
        <v>11350752779</v>
      </c>
      <c r="M70" s="190">
        <v>11163859947</v>
      </c>
      <c r="N70" s="190">
        <v>11051170014</v>
      </c>
      <c r="O70" s="190">
        <v>11242568699</v>
      </c>
      <c r="P70" s="190">
        <v>11164835655</v>
      </c>
      <c r="Q70" s="190">
        <v>10970370538</v>
      </c>
      <c r="R70" s="190">
        <v>10816962121</v>
      </c>
      <c r="S70" s="190">
        <v>10466029910</v>
      </c>
      <c r="T70" s="190">
        <v>10250693746</v>
      </c>
      <c r="U70" s="190">
        <v>10023912744</v>
      </c>
      <c r="V70" s="190">
        <v>9789571858</v>
      </c>
      <c r="W70" s="190">
        <v>9471174991</v>
      </c>
      <c r="X70" s="190">
        <v>9273795042</v>
      </c>
      <c r="Y70" s="190">
        <v>9064077763</v>
      </c>
      <c r="Z70" s="190">
        <v>8729310164</v>
      </c>
      <c r="AA70" s="190">
        <v>8419151002</v>
      </c>
      <c r="AB70" s="190">
        <v>8098465924</v>
      </c>
      <c r="AC70" s="190">
        <v>7930970313</v>
      </c>
      <c r="AD70" s="190">
        <v>7626579258</v>
      </c>
      <c r="AE70" s="190">
        <v>7350208332</v>
      </c>
      <c r="AF70" s="190">
        <v>7207337137</v>
      </c>
      <c r="AG70" s="190">
        <v>7051637714</v>
      </c>
      <c r="AH70" s="190">
        <v>6794746060</v>
      </c>
      <c r="AI70" s="190">
        <v>6612061008</v>
      </c>
      <c r="AJ70" s="190">
        <v>1672504173</v>
      </c>
      <c r="AK70" s="190">
        <v>1579410172</v>
      </c>
      <c r="AL70" s="190">
        <v>1190238938</v>
      </c>
      <c r="AM70" s="190">
        <v>691216325</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19" width="21.5546875" hidden="1" customWidth="1"/>
    <col min="20"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38" width="19.33203125" hidden="1" customWidth="1"/>
    <col min="39"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2002550</v>
      </c>
      <c r="C3" s="190">
        <v>1246962</v>
      </c>
      <c r="D3" s="190">
        <v>436471</v>
      </c>
      <c r="E3" s="190">
        <v>27660682</v>
      </c>
      <c r="F3" s="190">
        <v>26729598</v>
      </c>
      <c r="G3" s="190">
        <v>1278547</v>
      </c>
      <c r="H3" s="190">
        <v>195792</v>
      </c>
      <c r="I3" s="190">
        <v>702595</v>
      </c>
      <c r="J3" s="190">
        <v>1855376</v>
      </c>
      <c r="K3" s="190">
        <v>515564</v>
      </c>
      <c r="L3" s="190">
        <v>35967</v>
      </c>
      <c r="M3" s="190">
        <v>4027547</v>
      </c>
      <c r="N3" s="190">
        <v>2237225</v>
      </c>
      <c r="O3" s="190">
        <v>1563389</v>
      </c>
      <c r="P3" s="190">
        <v>107950</v>
      </c>
      <c r="Q3" s="190">
        <v>13907447</v>
      </c>
      <c r="R3" s="190">
        <v>5345081</v>
      </c>
      <c r="S3" s="190">
        <v>3720565</v>
      </c>
      <c r="T3" s="190">
        <v>2153987</v>
      </c>
      <c r="U3" s="190">
        <v>58065795</v>
      </c>
      <c r="V3" s="190">
        <v>9085281</v>
      </c>
      <c r="W3" s="190">
        <v>1512012</v>
      </c>
      <c r="X3" s="190">
        <v>675799</v>
      </c>
      <c r="Y3" s="190">
        <v>13442923</v>
      </c>
      <c r="Z3" s="190">
        <v>7512819</v>
      </c>
      <c r="AA3" s="190">
        <v>440977</v>
      </c>
      <c r="AB3" s="190">
        <v>51925</v>
      </c>
      <c r="AC3" s="190">
        <v>2458071</v>
      </c>
      <c r="AD3" s="190">
        <v>8606655</v>
      </c>
      <c r="AE3" s="190">
        <v>5412622</v>
      </c>
      <c r="AF3" s="190">
        <v>160290</v>
      </c>
      <c r="AG3" s="190">
        <v>2205814</v>
      </c>
      <c r="AH3" s="190">
        <v>6100146</v>
      </c>
      <c r="AI3" s="190">
        <v>2694561</v>
      </c>
      <c r="AJ3" s="190">
        <v>2959698</v>
      </c>
      <c r="AK3" s="190">
        <v>1215551</v>
      </c>
      <c r="AL3" s="190">
        <v>3318835</v>
      </c>
      <c r="AM3" s="190">
        <v>2475268</v>
      </c>
      <c r="AN3" s="190">
        <v>9960155</v>
      </c>
      <c r="AO3" s="190">
        <v>3698117</v>
      </c>
      <c r="AP3" s="190">
        <v>2202961</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721592347</v>
      </c>
      <c r="C4" s="190">
        <v>704553527</v>
      </c>
      <c r="D4" s="190">
        <v>349576258</v>
      </c>
      <c r="E4" s="190">
        <v>1477168507</v>
      </c>
      <c r="F4" s="190">
        <v>1263699240</v>
      </c>
      <c r="G4" s="190">
        <v>825986722</v>
      </c>
      <c r="H4" s="190">
        <v>419409764</v>
      </c>
      <c r="I4" s="190">
        <v>1369460895</v>
      </c>
      <c r="J4" s="190">
        <v>955386145</v>
      </c>
      <c r="K4" s="190">
        <v>688223065</v>
      </c>
      <c r="L4" s="190">
        <v>391690723</v>
      </c>
      <c r="M4" s="190">
        <v>1840081290</v>
      </c>
      <c r="N4" s="190">
        <v>1466926071</v>
      </c>
      <c r="O4" s="190">
        <v>1114369623</v>
      </c>
      <c r="P4" s="190">
        <v>627854220</v>
      </c>
      <c r="Q4" s="190">
        <v>2757684873</v>
      </c>
      <c r="R4" s="190">
        <v>1928044869</v>
      </c>
      <c r="S4" s="190">
        <v>1105181015</v>
      </c>
      <c r="T4" s="190">
        <v>484881041</v>
      </c>
      <c r="U4" s="190">
        <v>2258854352</v>
      </c>
      <c r="V4" s="190">
        <v>1563700616</v>
      </c>
      <c r="W4" s="190">
        <v>1232681487</v>
      </c>
      <c r="X4" s="190">
        <v>571310898</v>
      </c>
      <c r="Y4" s="190">
        <v>2773525501</v>
      </c>
      <c r="Z4" s="190">
        <v>2133554874</v>
      </c>
      <c r="AA4" s="190">
        <v>1312501231</v>
      </c>
      <c r="AB4" s="190">
        <v>701016269</v>
      </c>
      <c r="AC4" s="190">
        <v>2004657611</v>
      </c>
      <c r="AD4" s="190">
        <v>1546377831</v>
      </c>
      <c r="AE4" s="190">
        <v>938470181</v>
      </c>
      <c r="AF4" s="190">
        <v>397055490</v>
      </c>
      <c r="AG4" s="190">
        <v>647218454</v>
      </c>
      <c r="AH4" s="190">
        <v>379242190</v>
      </c>
      <c r="AI4" s="190">
        <v>206409446</v>
      </c>
      <c r="AJ4" s="190">
        <v>135232004</v>
      </c>
      <c r="AK4" s="190">
        <v>275287085</v>
      </c>
      <c r="AL4" s="190">
        <v>222425482</v>
      </c>
      <c r="AM4" s="190">
        <v>78123391</v>
      </c>
      <c r="AN4" s="190">
        <v>47842147</v>
      </c>
      <c r="AO4" s="190">
        <v>226580229</v>
      </c>
      <c r="AP4" s="190">
        <v>175048260</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1449507825</v>
      </c>
      <c r="F5" s="47">
        <f t="shared" ref="F5:AR5" si="0">F4-F3</f>
        <v>1236969642</v>
      </c>
      <c r="G5" s="47">
        <f t="shared" si="0"/>
        <v>824708175</v>
      </c>
      <c r="H5" s="47">
        <f t="shared" si="0"/>
        <v>419213972</v>
      </c>
      <c r="I5" s="47">
        <f t="shared" si="0"/>
        <v>1368758300</v>
      </c>
      <c r="J5" s="47">
        <f t="shared" si="0"/>
        <v>953530769</v>
      </c>
      <c r="K5" s="47">
        <f t="shared" si="0"/>
        <v>687707501</v>
      </c>
      <c r="L5" s="47">
        <f t="shared" si="0"/>
        <v>391654756</v>
      </c>
      <c r="M5" s="47">
        <f t="shared" si="0"/>
        <v>1836053743</v>
      </c>
      <c r="N5" s="47">
        <f t="shared" si="0"/>
        <v>1464688846</v>
      </c>
      <c r="O5" s="47">
        <f t="shared" si="0"/>
        <v>1112806234</v>
      </c>
      <c r="P5" s="47">
        <f t="shared" si="0"/>
        <v>627746270</v>
      </c>
      <c r="Q5" s="47">
        <f t="shared" si="0"/>
        <v>2743777426</v>
      </c>
      <c r="R5" s="47">
        <f t="shared" si="0"/>
        <v>1922699788</v>
      </c>
      <c r="S5" s="47">
        <f t="shared" si="0"/>
        <v>1101460450</v>
      </c>
      <c r="T5" s="47">
        <f t="shared" si="0"/>
        <v>482727054</v>
      </c>
      <c r="U5" s="47">
        <f t="shared" si="0"/>
        <v>2200788557</v>
      </c>
      <c r="V5" s="47">
        <f t="shared" si="0"/>
        <v>1554615335</v>
      </c>
      <c r="W5" s="47">
        <f t="shared" si="0"/>
        <v>1231169475</v>
      </c>
      <c r="X5" s="47">
        <f t="shared" si="0"/>
        <v>570635099</v>
      </c>
      <c r="Y5" s="47">
        <f t="shared" si="0"/>
        <v>2760082578</v>
      </c>
      <c r="Z5" s="47">
        <f t="shared" si="0"/>
        <v>2126042055</v>
      </c>
      <c r="AA5" s="47">
        <f t="shared" si="0"/>
        <v>1312060254</v>
      </c>
      <c r="AB5" s="47">
        <f t="shared" si="0"/>
        <v>700964344</v>
      </c>
      <c r="AC5" s="47">
        <f t="shared" si="0"/>
        <v>2002199540</v>
      </c>
      <c r="AD5" s="47">
        <f t="shared" si="0"/>
        <v>1537771176</v>
      </c>
      <c r="AE5" s="47">
        <f t="shared" si="0"/>
        <v>933057559</v>
      </c>
      <c r="AF5" s="47">
        <f t="shared" si="0"/>
        <v>396895200</v>
      </c>
      <c r="AG5" s="47">
        <f t="shared" si="0"/>
        <v>645012640</v>
      </c>
      <c r="AH5" s="47">
        <f t="shared" si="0"/>
        <v>373142044</v>
      </c>
      <c r="AI5" s="47">
        <f t="shared" si="0"/>
        <v>203714885</v>
      </c>
      <c r="AJ5" s="47">
        <f t="shared" si="0"/>
        <v>132272306</v>
      </c>
      <c r="AK5" s="47">
        <f t="shared" si="0"/>
        <v>274071534</v>
      </c>
      <c r="AL5" s="47">
        <f t="shared" si="0"/>
        <v>219106647</v>
      </c>
      <c r="AM5" s="47">
        <f t="shared" si="0"/>
        <v>75648123</v>
      </c>
      <c r="AN5" s="47">
        <f t="shared" si="0"/>
        <v>37881992</v>
      </c>
      <c r="AO5" s="47">
        <f t="shared" si="0"/>
        <v>222882112</v>
      </c>
      <c r="AP5" s="47">
        <f t="shared" si="0"/>
        <v>172845299</v>
      </c>
      <c r="AQ5" s="47">
        <f t="shared" si="0"/>
        <v>0</v>
      </c>
      <c r="AR5" s="47">
        <f t="shared" si="0"/>
        <v>4081063.05</v>
      </c>
    </row>
    <row r="6" spans="1:74" s="105" customFormat="1" x14ac:dyDescent="0.25">
      <c r="A6" s="136" t="s">
        <v>305</v>
      </c>
      <c r="B6" s="190">
        <v>0</v>
      </c>
      <c r="C6" s="190">
        <v>445707176</v>
      </c>
      <c r="D6" s="190">
        <v>0</v>
      </c>
      <c r="E6" s="190">
        <v>732168584</v>
      </c>
      <c r="F6" s="190">
        <v>0</v>
      </c>
      <c r="G6" s="190">
        <v>369954679</v>
      </c>
      <c r="H6" s="190">
        <v>0</v>
      </c>
      <c r="I6" s="190">
        <v>581415018</v>
      </c>
      <c r="J6" s="190">
        <v>0</v>
      </c>
      <c r="K6" s="190">
        <v>261987284</v>
      </c>
      <c r="L6" s="190">
        <v>0</v>
      </c>
      <c r="M6" s="190">
        <v>501902151</v>
      </c>
      <c r="N6" s="190">
        <v>0</v>
      </c>
      <c r="O6" s="190">
        <v>250596973</v>
      </c>
      <c r="P6" s="190">
        <v>0</v>
      </c>
      <c r="Q6" s="190">
        <v>432936867</v>
      </c>
      <c r="R6" s="190">
        <v>0</v>
      </c>
      <c r="S6" s="190">
        <v>197040898</v>
      </c>
      <c r="T6" s="190">
        <v>0</v>
      </c>
      <c r="U6" s="190">
        <v>265981607</v>
      </c>
      <c r="V6" s="190">
        <v>0</v>
      </c>
      <c r="W6" s="190">
        <v>106599609</v>
      </c>
      <c r="X6" s="190">
        <v>0</v>
      </c>
      <c r="Y6" s="190">
        <v>171666213</v>
      </c>
      <c r="Z6" s="190">
        <v>0</v>
      </c>
      <c r="AA6" s="190">
        <v>80686673</v>
      </c>
      <c r="AB6" s="190">
        <v>0</v>
      </c>
      <c r="AC6" s="190">
        <v>137806621</v>
      </c>
      <c r="AD6" s="190">
        <v>0</v>
      </c>
      <c r="AE6" s="190">
        <v>63143846</v>
      </c>
      <c r="AF6" s="190">
        <v>0</v>
      </c>
      <c r="AG6" s="190">
        <v>88557362</v>
      </c>
      <c r="AH6" s="190">
        <v>0</v>
      </c>
      <c r="AI6" s="190">
        <v>41301398</v>
      </c>
      <c r="AJ6" s="190">
        <v>0</v>
      </c>
      <c r="AK6" s="190">
        <v>72965535</v>
      </c>
      <c r="AL6" s="190">
        <v>0</v>
      </c>
      <c r="AM6" s="190">
        <v>34818948</v>
      </c>
      <c r="AN6" s="190">
        <v>0</v>
      </c>
      <c r="AO6" s="190">
        <v>59907215</v>
      </c>
      <c r="AP6" s="190">
        <v>48356136</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35524847</v>
      </c>
      <c r="D7" s="190">
        <v>0</v>
      </c>
      <c r="E7" s="190">
        <v>68926149</v>
      </c>
      <c r="F7" s="190">
        <v>0</v>
      </c>
      <c r="G7" s="190">
        <v>34387326</v>
      </c>
      <c r="H7" s="190">
        <v>0</v>
      </c>
      <c r="I7" s="190">
        <v>69354134</v>
      </c>
      <c r="J7" s="190">
        <v>0</v>
      </c>
      <c r="K7" s="190">
        <v>34672560</v>
      </c>
      <c r="L7" s="190">
        <v>0</v>
      </c>
      <c r="M7" s="190">
        <v>66834918</v>
      </c>
      <c r="N7" s="190">
        <v>0</v>
      </c>
      <c r="O7" s="190">
        <v>32944773</v>
      </c>
      <c r="P7" s="190">
        <v>0</v>
      </c>
      <c r="Q7" s="190">
        <v>63409965</v>
      </c>
      <c r="R7" s="190">
        <v>0</v>
      </c>
      <c r="S7" s="190">
        <v>30232373</v>
      </c>
      <c r="T7" s="190">
        <v>0</v>
      </c>
      <c r="U7" s="190">
        <v>59703878</v>
      </c>
      <c r="V7" s="190">
        <v>0</v>
      </c>
      <c r="W7" s="190">
        <v>29965556</v>
      </c>
      <c r="X7" s="190">
        <v>0</v>
      </c>
      <c r="Y7" s="190">
        <v>60059749</v>
      </c>
      <c r="Z7" s="190">
        <v>0</v>
      </c>
      <c r="AA7" s="190">
        <v>28026031</v>
      </c>
      <c r="AB7" s="190">
        <v>0</v>
      </c>
      <c r="AC7" s="190">
        <v>47932379</v>
      </c>
      <c r="AD7" s="190">
        <v>0</v>
      </c>
      <c r="AE7" s="190">
        <v>18217175</v>
      </c>
      <c r="AF7" s="190">
        <v>0</v>
      </c>
      <c r="AG7" s="190">
        <v>4047939</v>
      </c>
      <c r="AH7" s="190">
        <v>0</v>
      </c>
      <c r="AI7" s="190">
        <v>948516</v>
      </c>
      <c r="AJ7" s="190">
        <v>0</v>
      </c>
      <c r="AK7" s="190">
        <v>1924009</v>
      </c>
      <c r="AL7" s="190">
        <v>0</v>
      </c>
      <c r="AM7" s="190">
        <v>951294</v>
      </c>
      <c r="AN7" s="190">
        <v>0</v>
      </c>
      <c r="AO7" s="190">
        <v>1877061</v>
      </c>
      <c r="AP7" s="190">
        <v>1947949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676322</v>
      </c>
      <c r="D8" s="190">
        <v>0</v>
      </c>
      <c r="E8" s="190">
        <v>4568615</v>
      </c>
      <c r="F8" s="190">
        <v>0</v>
      </c>
      <c r="G8" s="190">
        <v>1500864</v>
      </c>
      <c r="H8" s="190">
        <v>0</v>
      </c>
      <c r="I8" s="190">
        <v>4419651</v>
      </c>
      <c r="J8" s="190">
        <v>0</v>
      </c>
      <c r="K8" s="190">
        <v>2328200</v>
      </c>
      <c r="L8" s="190">
        <v>0</v>
      </c>
      <c r="M8" s="190">
        <v>6188140</v>
      </c>
      <c r="N8" s="190">
        <v>0</v>
      </c>
      <c r="O8" s="190">
        <v>3165295</v>
      </c>
      <c r="P8" s="190">
        <v>0</v>
      </c>
      <c r="Q8" s="190">
        <v>10564410</v>
      </c>
      <c r="R8" s="190">
        <v>0</v>
      </c>
      <c r="S8" s="190">
        <v>3324816</v>
      </c>
      <c r="T8" s="190">
        <v>0</v>
      </c>
      <c r="U8" s="190">
        <v>6228710</v>
      </c>
      <c r="V8" s="190">
        <v>0</v>
      </c>
      <c r="W8" s="190">
        <v>3091093</v>
      </c>
      <c r="X8" s="190">
        <v>0</v>
      </c>
      <c r="Y8" s="190">
        <v>5224976</v>
      </c>
      <c r="Z8" s="190">
        <v>0</v>
      </c>
      <c r="AA8" s="190">
        <v>2420232</v>
      </c>
      <c r="AB8" s="190">
        <v>0</v>
      </c>
      <c r="AC8" s="190">
        <v>3162937</v>
      </c>
      <c r="AD8" s="190">
        <v>0</v>
      </c>
      <c r="AE8" s="190">
        <v>947864</v>
      </c>
      <c r="AF8" s="190">
        <v>0</v>
      </c>
      <c r="AG8" s="190">
        <v>533926</v>
      </c>
      <c r="AH8" s="190">
        <v>0</v>
      </c>
      <c r="AI8" s="190">
        <v>301586</v>
      </c>
      <c r="AJ8" s="190">
        <v>0</v>
      </c>
      <c r="AK8" s="190">
        <v>459242</v>
      </c>
      <c r="AL8" s="190">
        <v>0</v>
      </c>
      <c r="AM8" s="190">
        <v>407004</v>
      </c>
      <c r="AN8" s="190">
        <v>0</v>
      </c>
      <c r="AO8" s="190">
        <v>780064</v>
      </c>
      <c r="AP8" s="190">
        <v>148082</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-23570983</v>
      </c>
      <c r="D9" s="190">
        <v>0</v>
      </c>
      <c r="E9" s="190">
        <v>21336538</v>
      </c>
      <c r="F9" s="190">
        <v>0</v>
      </c>
      <c r="G9" s="190">
        <v>2656883</v>
      </c>
      <c r="H9" s="190">
        <v>0</v>
      </c>
      <c r="I9" s="190">
        <v>14678935</v>
      </c>
      <c r="J9" s="190">
        <v>0</v>
      </c>
      <c r="K9" s="190">
        <v>10507404</v>
      </c>
      <c r="L9" s="190">
        <v>0</v>
      </c>
      <c r="M9" s="190">
        <v>4369473</v>
      </c>
      <c r="N9" s="190">
        <v>0</v>
      </c>
      <c r="O9" s="190">
        <v>1198799</v>
      </c>
      <c r="P9" s="190">
        <v>0</v>
      </c>
      <c r="Q9" s="190">
        <v>15232162</v>
      </c>
      <c r="R9" s="190">
        <v>0</v>
      </c>
      <c r="S9" s="190">
        <v>4950431</v>
      </c>
      <c r="T9" s="190">
        <v>0</v>
      </c>
      <c r="U9" s="190">
        <v>-43777847</v>
      </c>
      <c r="V9" s="190">
        <v>0</v>
      </c>
      <c r="W9" s="190">
        <v>2984538</v>
      </c>
      <c r="X9" s="190">
        <v>0</v>
      </c>
      <c r="Y9" s="190">
        <v>4320412</v>
      </c>
      <c r="Z9" s="190">
        <v>0</v>
      </c>
      <c r="AA9" s="190">
        <v>1012577</v>
      </c>
      <c r="AB9" s="190">
        <v>0</v>
      </c>
      <c r="AC9" s="190">
        <v>2076295</v>
      </c>
      <c r="AD9" s="190">
        <v>0</v>
      </c>
      <c r="AE9" s="190">
        <v>1549623</v>
      </c>
      <c r="AF9" s="190">
        <v>0</v>
      </c>
      <c r="AG9" s="190">
        <v>10086099</v>
      </c>
      <c r="AH9" s="190">
        <v>0</v>
      </c>
      <c r="AI9" s="190">
        <v>1055932</v>
      </c>
      <c r="AJ9" s="190">
        <v>0</v>
      </c>
      <c r="AK9" s="190">
        <v>9642616</v>
      </c>
      <c r="AL9" s="190">
        <v>0</v>
      </c>
      <c r="AM9" s="190">
        <v>4255868</v>
      </c>
      <c r="AN9" s="190">
        <v>0</v>
      </c>
      <c r="AO9" s="190">
        <v>3628382</v>
      </c>
      <c r="AP9" s="190">
        <v>259868</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622507939</v>
      </c>
      <c r="F11" s="47">
        <f t="shared" ref="F11:BQ11" si="1">F5-F6-F7-F8-F9-F10</f>
        <v>1236969642</v>
      </c>
      <c r="G11" s="47">
        <f t="shared" si="1"/>
        <v>416208423</v>
      </c>
      <c r="H11" s="47">
        <f t="shared" si="1"/>
        <v>419213972</v>
      </c>
      <c r="I11" s="47">
        <f t="shared" si="1"/>
        <v>698890562</v>
      </c>
      <c r="J11" s="47">
        <f t="shared" si="1"/>
        <v>953530769</v>
      </c>
      <c r="K11" s="47">
        <f t="shared" si="1"/>
        <v>378212053</v>
      </c>
      <c r="L11" s="47">
        <f t="shared" si="1"/>
        <v>391654756</v>
      </c>
      <c r="M11" s="47">
        <f t="shared" si="1"/>
        <v>1256759061</v>
      </c>
      <c r="N11" s="47">
        <f t="shared" si="1"/>
        <v>1464688846</v>
      </c>
      <c r="O11" s="47">
        <f t="shared" si="1"/>
        <v>824900394</v>
      </c>
      <c r="P11" s="47">
        <f t="shared" si="1"/>
        <v>627746270</v>
      </c>
      <c r="Q11" s="47">
        <f t="shared" si="1"/>
        <v>2221634022</v>
      </c>
      <c r="R11" s="47">
        <f t="shared" si="1"/>
        <v>1922699788</v>
      </c>
      <c r="S11" s="47">
        <f t="shared" si="1"/>
        <v>865911932</v>
      </c>
      <c r="T11" s="47">
        <f t="shared" si="1"/>
        <v>482727054</v>
      </c>
      <c r="U11" s="47">
        <f t="shared" si="1"/>
        <v>1912652209</v>
      </c>
      <c r="V11" s="47">
        <f t="shared" si="1"/>
        <v>1554615335</v>
      </c>
      <c r="W11" s="47">
        <f t="shared" si="1"/>
        <v>1088528679</v>
      </c>
      <c r="X11" s="47">
        <f t="shared" si="1"/>
        <v>570635099</v>
      </c>
      <c r="Y11" s="47">
        <f t="shared" si="1"/>
        <v>2518811228</v>
      </c>
      <c r="Z11" s="47">
        <f t="shared" si="1"/>
        <v>2126042055</v>
      </c>
      <c r="AA11" s="47">
        <f t="shared" si="1"/>
        <v>1199914741</v>
      </c>
      <c r="AB11" s="47">
        <f t="shared" si="1"/>
        <v>700964344</v>
      </c>
      <c r="AC11" s="47">
        <f t="shared" si="1"/>
        <v>1811221308</v>
      </c>
      <c r="AD11" s="47">
        <f t="shared" si="1"/>
        <v>1537771176</v>
      </c>
      <c r="AE11" s="47">
        <f t="shared" si="1"/>
        <v>849199051</v>
      </c>
      <c r="AF11" s="47">
        <f t="shared" si="1"/>
        <v>396895200</v>
      </c>
      <c r="AG11" s="47">
        <f t="shared" si="1"/>
        <v>541787314</v>
      </c>
      <c r="AH11" s="47">
        <f t="shared" si="1"/>
        <v>373142044</v>
      </c>
      <c r="AI11" s="47">
        <f t="shared" si="1"/>
        <v>160107453</v>
      </c>
      <c r="AJ11" s="47">
        <f t="shared" si="1"/>
        <v>132272306</v>
      </c>
      <c r="AK11" s="47">
        <f t="shared" si="1"/>
        <v>189080132</v>
      </c>
      <c r="AL11" s="47">
        <f t="shared" si="1"/>
        <v>219106647</v>
      </c>
      <c r="AM11" s="47">
        <f t="shared" si="1"/>
        <v>35215009</v>
      </c>
      <c r="AN11" s="47">
        <f t="shared" si="1"/>
        <v>37881992</v>
      </c>
      <c r="AO11" s="47">
        <f t="shared" si="1"/>
        <v>156689390</v>
      </c>
      <c r="AP11" s="47">
        <f t="shared" si="1"/>
        <v>122133264</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13548090050</v>
      </c>
      <c r="F12" s="26">
        <f t="shared" si="3"/>
        <v>13498356112</v>
      </c>
      <c r="G12" s="26">
        <f t="shared" si="3"/>
        <v>13414405048</v>
      </c>
      <c r="H12" s="26">
        <f t="shared" si="3"/>
        <v>13276747053</v>
      </c>
      <c r="I12" s="26">
        <f t="shared" si="3"/>
        <v>12979892276</v>
      </c>
      <c r="J12" s="26">
        <f t="shared" si="3"/>
        <v>12910547669</v>
      </c>
      <c r="K12" s="26">
        <f t="shared" si="3"/>
        <v>12647688447</v>
      </c>
      <c r="L12" s="26">
        <f t="shared" si="3"/>
        <v>12341378439</v>
      </c>
      <c r="M12" s="26">
        <f t="shared" si="3"/>
        <v>11933548035</v>
      </c>
      <c r="N12" s="26">
        <f t="shared" si="3"/>
        <v>11411654276</v>
      </c>
      <c r="O12" s="26">
        <f t="shared" si="3"/>
        <v>10387417854</v>
      </c>
      <c r="P12" s="26">
        <f t="shared" si="3"/>
        <v>9809715469</v>
      </c>
      <c r="Q12" s="26">
        <f t="shared" si="3"/>
        <v>9603048891</v>
      </c>
      <c r="R12" s="193">
        <f t="shared" ref="R12" si="4">V34</f>
        <v>9161974936</v>
      </c>
      <c r="S12" s="193">
        <f t="shared" ref="S12" si="5">W34</f>
        <v>8577347926</v>
      </c>
      <c r="T12" s="193">
        <f t="shared" ref="T12" si="6">X34</f>
        <v>7908293897</v>
      </c>
      <c r="U12" s="193">
        <f t="shared" ref="U12" si="7">Y34</f>
        <v>7333091298</v>
      </c>
      <c r="V12" s="193">
        <f t="shared" ref="V12" si="8">Z34</f>
        <v>6641237404</v>
      </c>
      <c r="W12" s="193">
        <f t="shared" ref="W12" si="9">AA34</f>
        <v>5862648049</v>
      </c>
      <c r="X12" s="193">
        <f t="shared" ref="X12" si="10">AB34</f>
        <v>5212531799</v>
      </c>
      <c r="Y12" s="193">
        <f t="shared" ref="Y12" si="11">AC34</f>
        <v>4523753674</v>
      </c>
      <c r="Z12" s="193">
        <f t="shared" ref="Z12" si="12">AD34</f>
        <v>3790895996</v>
      </c>
      <c r="AA12" s="193">
        <f t="shared" ref="AA12" si="13">AE34</f>
        <v>3335508052</v>
      </c>
      <c r="AB12" s="193">
        <f t="shared" ref="AB12" si="14">AF34</f>
        <v>2448288774</v>
      </c>
      <c r="AC12" s="193">
        <f t="shared" ref="AC12" si="15">AG34</f>
        <v>1954004147</v>
      </c>
      <c r="AD12" s="193">
        <f t="shared" ref="AD12" si="16">AH34</f>
        <v>1412303724</v>
      </c>
      <c r="AE12" s="193">
        <f t="shared" ref="AE12" si="17">AI34</f>
        <v>1144141277</v>
      </c>
      <c r="AF12" s="193">
        <f t="shared" ref="AF12" si="18">AJ34</f>
        <v>1102967049</v>
      </c>
      <c r="AG12" s="193">
        <f t="shared" ref="AG12" si="19">AK34</f>
        <v>1034450099</v>
      </c>
      <c r="AH12" s="193">
        <f t="shared" ref="AH12" si="20">AL34</f>
        <v>842484862</v>
      </c>
      <c r="AI12" s="193">
        <f t="shared" ref="AI12" si="21">AM34</f>
        <v>678544284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4.5948021950149347E-2</v>
      </c>
      <c r="F13" s="220">
        <f t="shared" ref="F13:AR13" si="53">F11/F12</f>
        <v>9.1638539666347774E-2</v>
      </c>
      <c r="G13" s="220">
        <f t="shared" si="53"/>
        <v>3.102697596432381E-2</v>
      </c>
      <c r="H13" s="220">
        <f t="shared" si="53"/>
        <v>3.1575051503694565E-2</v>
      </c>
      <c r="I13" s="220">
        <f t="shared" si="53"/>
        <v>5.3844095708887992E-2</v>
      </c>
      <c r="J13" s="220">
        <f t="shared" si="53"/>
        <v>7.3856725016364602E-2</v>
      </c>
      <c r="K13" s="220">
        <f t="shared" si="53"/>
        <v>2.9903650345665413E-2</v>
      </c>
      <c r="L13" s="220">
        <f t="shared" si="53"/>
        <v>3.1735090041670834E-2</v>
      </c>
      <c r="M13" s="220">
        <f t="shared" si="53"/>
        <v>0.10531311034354922</v>
      </c>
      <c r="N13" s="220">
        <f t="shared" si="53"/>
        <v>0.12835026461329155</v>
      </c>
      <c r="O13" s="220">
        <f t="shared" si="53"/>
        <v>7.9413421660162284E-2</v>
      </c>
      <c r="P13" s="220">
        <f t="shared" si="53"/>
        <v>6.3992301508006152E-2</v>
      </c>
      <c r="Q13" s="220">
        <f t="shared" si="53"/>
        <v>0.23134673656427185</v>
      </c>
      <c r="R13" s="220">
        <f t="shared" si="53"/>
        <v>0.20985647760780995</v>
      </c>
      <c r="S13" s="220">
        <f t="shared" si="53"/>
        <v>0.10095334122744551</v>
      </c>
      <c r="T13" s="220">
        <f t="shared" si="53"/>
        <v>6.104060626567278E-2</v>
      </c>
      <c r="U13" s="220">
        <f t="shared" si="53"/>
        <v>0.2608248187939034</v>
      </c>
      <c r="V13" s="220">
        <f t="shared" si="53"/>
        <v>0.23408519232630642</v>
      </c>
      <c r="W13" s="220">
        <f t="shared" si="53"/>
        <v>0.18567184485612637</v>
      </c>
      <c r="X13" s="220">
        <f t="shared" si="53"/>
        <v>0.10947369167310858</v>
      </c>
      <c r="Y13" s="220">
        <f t="shared" si="53"/>
        <v>0.55679672447169593</v>
      </c>
      <c r="Z13" s="220">
        <f t="shared" si="53"/>
        <v>0.56082837863220558</v>
      </c>
      <c r="AA13" s="220">
        <f t="shared" si="53"/>
        <v>0.35973972249310582</v>
      </c>
      <c r="AB13" s="220">
        <f t="shared" si="53"/>
        <v>0.28630786998821567</v>
      </c>
      <c r="AC13" s="220">
        <f t="shared" si="53"/>
        <v>0.92692807780412556</v>
      </c>
      <c r="AD13" s="220">
        <f t="shared" si="53"/>
        <v>1.0888388594236971</v>
      </c>
      <c r="AE13" s="220">
        <f t="shared" si="53"/>
        <v>0.74221520372610417</v>
      </c>
      <c r="AF13" s="220">
        <f t="shared" si="53"/>
        <v>0.35984320688441529</v>
      </c>
      <c r="AG13" s="220">
        <f t="shared" si="53"/>
        <v>0.52374427197961915</v>
      </c>
      <c r="AH13" s="220">
        <f t="shared" si="53"/>
        <v>0.44290652666943708</v>
      </c>
      <c r="AI13" s="220">
        <f t="shared" si="53"/>
        <v>0.23595726436036119</v>
      </c>
      <c r="AJ13" s="220" t="e">
        <f t="shared" si="53"/>
        <v>#DIV/0!</v>
      </c>
      <c r="AK13" s="220" t="e">
        <f t="shared" si="53"/>
        <v>#DIV/0!</v>
      </c>
      <c r="AL13" s="220" t="e">
        <f t="shared" si="53"/>
        <v>#DIV/0!</v>
      </c>
      <c r="AM13" s="220" t="e">
        <f t="shared" si="53"/>
        <v>#DIV/0!</v>
      </c>
      <c r="AN13" s="220">
        <f t="shared" si="53"/>
        <v>7.6013454568777438E-3</v>
      </c>
      <c r="AO13" s="220">
        <f t="shared" si="53"/>
        <v>3.079732855317565E-2</v>
      </c>
      <c r="AP13" s="220">
        <f t="shared" si="53"/>
        <v>2.38549649621995E-2</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19565903</v>
      </c>
      <c r="F16" s="190">
        <v>0</v>
      </c>
      <c r="G16" s="190">
        <v>0</v>
      </c>
      <c r="H16" s="190">
        <v>0</v>
      </c>
      <c r="I16" s="190">
        <v>29940564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13000000</v>
      </c>
      <c r="AC16" s="190">
        <v>589517291</v>
      </c>
      <c r="AD16" s="190">
        <v>507317287</v>
      </c>
      <c r="AE16" s="190">
        <v>507317287</v>
      </c>
      <c r="AF16" s="190">
        <v>162460982</v>
      </c>
      <c r="AG16" s="190">
        <v>268867335</v>
      </c>
      <c r="AH16" s="190">
        <v>0</v>
      </c>
      <c r="AI16" s="190">
        <v>0</v>
      </c>
      <c r="AJ16" s="190">
        <v>0</v>
      </c>
      <c r="AK16" s="190">
        <v>0</v>
      </c>
      <c r="AL16" s="190">
        <v>0</v>
      </c>
      <c r="AM16" s="190">
        <v>0</v>
      </c>
      <c r="AN16" s="190">
        <v>0</v>
      </c>
      <c r="AO16" s="190">
        <v>0</v>
      </c>
      <c r="AP16" s="190">
        <v>-948639</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19565903</v>
      </c>
      <c r="F17" s="47">
        <f t="shared" ref="F17:AV17" si="54">F16-F15</f>
        <v>0</v>
      </c>
      <c r="G17" s="47">
        <f t="shared" si="54"/>
        <v>0</v>
      </c>
      <c r="H17" s="47">
        <f t="shared" si="54"/>
        <v>0</v>
      </c>
      <c r="I17" s="47">
        <f t="shared" si="54"/>
        <v>29940564</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13000000</v>
      </c>
      <c r="AC17" s="47">
        <f t="shared" si="54"/>
        <v>589517291</v>
      </c>
      <c r="AD17" s="47">
        <f t="shared" si="54"/>
        <v>507317287</v>
      </c>
      <c r="AE17" s="47">
        <f t="shared" si="54"/>
        <v>507317287</v>
      </c>
      <c r="AF17" s="47">
        <f t="shared" si="54"/>
        <v>162460982</v>
      </c>
      <c r="AG17" s="47">
        <f t="shared" si="54"/>
        <v>268867335</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-948639</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1469073728</v>
      </c>
      <c r="F19" s="193">
        <f t="shared" ref="F19:AS19" si="55">F5+F17</f>
        <v>1236969642</v>
      </c>
      <c r="G19" s="193">
        <f t="shared" si="55"/>
        <v>824708175</v>
      </c>
      <c r="H19" s="193">
        <f t="shared" si="55"/>
        <v>419213972</v>
      </c>
      <c r="I19" s="193">
        <f t="shared" si="55"/>
        <v>1398698864</v>
      </c>
      <c r="J19" s="193">
        <f t="shared" si="55"/>
        <v>953530769</v>
      </c>
      <c r="K19" s="193">
        <f t="shared" si="55"/>
        <v>687707501</v>
      </c>
      <c r="L19" s="193">
        <f t="shared" si="55"/>
        <v>391654756</v>
      </c>
      <c r="M19" s="193">
        <f t="shared" si="55"/>
        <v>1836053743</v>
      </c>
      <c r="N19" s="193">
        <f t="shared" si="55"/>
        <v>1464688846</v>
      </c>
      <c r="O19" s="193">
        <f t="shared" si="55"/>
        <v>1112806234</v>
      </c>
      <c r="P19" s="193">
        <f t="shared" si="55"/>
        <v>627746270</v>
      </c>
      <c r="Q19" s="193">
        <f t="shared" si="55"/>
        <v>2743777426</v>
      </c>
      <c r="R19" s="193">
        <f t="shared" si="55"/>
        <v>1922699788</v>
      </c>
      <c r="S19" s="193">
        <f t="shared" si="55"/>
        <v>1101460450</v>
      </c>
      <c r="T19" s="193">
        <f t="shared" si="55"/>
        <v>482727054</v>
      </c>
      <c r="U19" s="193">
        <f t="shared" si="55"/>
        <v>2200788557</v>
      </c>
      <c r="V19" s="193">
        <f t="shared" si="55"/>
        <v>1554615335</v>
      </c>
      <c r="W19" s="193">
        <f t="shared" si="55"/>
        <v>1231169475</v>
      </c>
      <c r="X19" s="193">
        <f t="shared" si="55"/>
        <v>570635099</v>
      </c>
      <c r="Y19" s="193">
        <f t="shared" si="55"/>
        <v>2760082578</v>
      </c>
      <c r="Z19" s="193">
        <f t="shared" si="55"/>
        <v>2126042055</v>
      </c>
      <c r="AA19" s="193">
        <f t="shared" si="55"/>
        <v>1312060254</v>
      </c>
      <c r="AB19" s="193">
        <f t="shared" si="55"/>
        <v>713964344</v>
      </c>
      <c r="AC19" s="193">
        <f t="shared" si="55"/>
        <v>2591716831</v>
      </c>
      <c r="AD19" s="193">
        <f t="shared" si="55"/>
        <v>2045088463</v>
      </c>
      <c r="AE19" s="193">
        <f t="shared" si="55"/>
        <v>1440374846</v>
      </c>
      <c r="AF19" s="193">
        <f t="shared" si="55"/>
        <v>559356182</v>
      </c>
      <c r="AG19" s="193">
        <f t="shared" si="55"/>
        <v>913879975</v>
      </c>
      <c r="AH19" s="193">
        <f t="shared" si="55"/>
        <v>373142044</v>
      </c>
      <c r="AI19" s="193">
        <f t="shared" si="55"/>
        <v>203714885</v>
      </c>
      <c r="AJ19" s="193">
        <f t="shared" si="55"/>
        <v>132272306</v>
      </c>
      <c r="AK19" s="193">
        <f t="shared" si="55"/>
        <v>274071534</v>
      </c>
      <c r="AL19" s="193">
        <f t="shared" si="55"/>
        <v>219106647</v>
      </c>
      <c r="AM19" s="193">
        <f t="shared" si="55"/>
        <v>75648123</v>
      </c>
      <c r="AN19" s="193">
        <f t="shared" si="55"/>
        <v>37881992</v>
      </c>
      <c r="AO19" s="193">
        <f t="shared" si="55"/>
        <v>222882112</v>
      </c>
      <c r="AP19" s="193">
        <f t="shared" si="55"/>
        <v>171896660</v>
      </c>
      <c r="AQ19" s="193">
        <f t="shared" si="55"/>
        <v>0</v>
      </c>
      <c r="AR19" s="193">
        <f t="shared" si="55"/>
        <v>4081063.05</v>
      </c>
      <c r="AS19" s="193">
        <f t="shared" si="55"/>
        <v>0</v>
      </c>
    </row>
    <row r="20" spans="1:74" s="193" customFormat="1" x14ac:dyDescent="0.25">
      <c r="A20" s="193" t="s">
        <v>300</v>
      </c>
      <c r="B20" s="190">
        <v>1898944338</v>
      </c>
      <c r="C20" s="190">
        <v>1109748172</v>
      </c>
      <c r="D20" s="190">
        <v>739537581</v>
      </c>
      <c r="E20" s="190">
        <v>1102520828</v>
      </c>
      <c r="F20" s="190">
        <v>843713178</v>
      </c>
      <c r="G20" s="190">
        <v>704639130</v>
      </c>
      <c r="H20" s="190">
        <v>207044923</v>
      </c>
      <c r="I20" s="190">
        <v>1725407415</v>
      </c>
      <c r="J20" s="190">
        <v>1488042574</v>
      </c>
      <c r="K20" s="190">
        <v>937393207</v>
      </c>
      <c r="L20" s="190">
        <v>534132570</v>
      </c>
      <c r="M20" s="190">
        <v>1239429436</v>
      </c>
      <c r="N20" s="190">
        <v>1137480228</v>
      </c>
      <c r="O20" s="190">
        <v>652067110</v>
      </c>
      <c r="P20" s="190">
        <v>61723002</v>
      </c>
      <c r="Q20" s="190">
        <v>1218735938</v>
      </c>
      <c r="R20" s="190">
        <v>1011385882</v>
      </c>
      <c r="S20" s="190">
        <v>633948520</v>
      </c>
      <c r="T20" s="190">
        <v>75302437</v>
      </c>
      <c r="U20" s="190">
        <v>1050373845</v>
      </c>
      <c r="V20" s="190">
        <v>819615540</v>
      </c>
      <c r="W20" s="190">
        <v>458221124</v>
      </c>
      <c r="X20" s="190">
        <v>45511568</v>
      </c>
      <c r="Y20" s="190">
        <v>402771467</v>
      </c>
      <c r="Z20" s="190">
        <v>307462860</v>
      </c>
      <c r="AA20" s="190">
        <v>431363962</v>
      </c>
      <c r="AB20" s="190">
        <v>122100378</v>
      </c>
      <c r="AC20" s="190">
        <v>342931058</v>
      </c>
      <c r="AD20" s="190">
        <v>215312869</v>
      </c>
      <c r="AE20" s="190">
        <v>192451861</v>
      </c>
      <c r="AF20" s="190">
        <v>53979185</v>
      </c>
      <c r="AG20" s="190">
        <v>149292039</v>
      </c>
      <c r="AH20" s="190">
        <v>-181739621</v>
      </c>
      <c r="AI20" s="190">
        <v>-248943029</v>
      </c>
      <c r="AJ20" s="190">
        <v>-107419641</v>
      </c>
      <c r="AK20" s="190">
        <v>250688633</v>
      </c>
      <c r="AL20" s="190">
        <v>94073305</v>
      </c>
      <c r="AM20" s="190">
        <v>82139739</v>
      </c>
      <c r="AN20" s="190">
        <v>17468177</v>
      </c>
      <c r="AO20" s="190">
        <v>221075877</v>
      </c>
      <c r="AP20" s="190">
        <v>168423194</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0.75048706336949755</v>
      </c>
      <c r="F21" s="221">
        <f t="shared" ref="F21:AS21" si="56">F20/F19</f>
        <v>0.68208074745944336</v>
      </c>
      <c r="G21" s="221">
        <f t="shared" si="56"/>
        <v>0.85441026457631508</v>
      </c>
      <c r="H21" s="221">
        <f t="shared" si="56"/>
        <v>0.49388841219252111</v>
      </c>
      <c r="I21" s="221">
        <f t="shared" si="56"/>
        <v>1.233580336274585</v>
      </c>
      <c r="J21" s="221">
        <f t="shared" si="56"/>
        <v>1.5605606262297762</v>
      </c>
      <c r="K21" s="221">
        <f t="shared" si="56"/>
        <v>1.3630696271844212</v>
      </c>
      <c r="L21" s="221">
        <f t="shared" si="56"/>
        <v>1.3637842048827309</v>
      </c>
      <c r="M21" s="221">
        <f t="shared" si="56"/>
        <v>0.67505073896957279</v>
      </c>
      <c r="N21" s="221">
        <f t="shared" si="56"/>
        <v>0.77660195959463185</v>
      </c>
      <c r="O21" s="221">
        <f t="shared" si="56"/>
        <v>0.58596644238425433</v>
      </c>
      <c r="P21" s="221">
        <f t="shared" si="56"/>
        <v>9.8324761053538393E-2</v>
      </c>
      <c r="Q21" s="221">
        <f t="shared" si="56"/>
        <v>0.4441817789049774</v>
      </c>
      <c r="R21" s="221">
        <f t="shared" si="56"/>
        <v>0.52602381729705583</v>
      </c>
      <c r="S21" s="221">
        <f t="shared" si="56"/>
        <v>0.57555268552765559</v>
      </c>
      <c r="T21" s="221">
        <f t="shared" si="56"/>
        <v>0.15599381964616385</v>
      </c>
      <c r="U21" s="221">
        <f t="shared" si="56"/>
        <v>0.47727158597726205</v>
      </c>
      <c r="V21" s="221">
        <f t="shared" si="56"/>
        <v>0.52721436714761338</v>
      </c>
      <c r="W21" s="221">
        <f t="shared" si="56"/>
        <v>0.37218362971515356</v>
      </c>
      <c r="X21" s="221">
        <f t="shared" si="56"/>
        <v>7.9755991315213506E-2</v>
      </c>
      <c r="Y21" s="221">
        <f t="shared" si="56"/>
        <v>0.14592732485991583</v>
      </c>
      <c r="Z21" s="221">
        <f t="shared" si="56"/>
        <v>0.14461748735257263</v>
      </c>
      <c r="AA21" s="221">
        <f t="shared" si="56"/>
        <v>0.32876840883254133</v>
      </c>
      <c r="AB21" s="221">
        <f t="shared" si="56"/>
        <v>0.17101747310787274</v>
      </c>
      <c r="AC21" s="221">
        <f t="shared" si="56"/>
        <v>0.13231810431530897</v>
      </c>
      <c r="AD21" s="221">
        <f t="shared" si="56"/>
        <v>0.10528291215537507</v>
      </c>
      <c r="AE21" s="221">
        <f t="shared" si="56"/>
        <v>0.13361234510200548</v>
      </c>
      <c r="AF21" s="221">
        <f t="shared" si="56"/>
        <v>9.6502348122792361E-2</v>
      </c>
      <c r="AG21" s="221">
        <f t="shared" si="56"/>
        <v>0.16336066341753466</v>
      </c>
      <c r="AH21" s="221">
        <f t="shared" si="56"/>
        <v>-0.48705211305537038</v>
      </c>
      <c r="AI21" s="221">
        <f t="shared" si="56"/>
        <v>-1.2220168840386896</v>
      </c>
      <c r="AJ21" s="221">
        <f t="shared" si="56"/>
        <v>-0.81210983801854941</v>
      </c>
      <c r="AK21" s="221">
        <f t="shared" si="56"/>
        <v>0.91468321916277517</v>
      </c>
      <c r="AL21" s="221">
        <f t="shared" si="56"/>
        <v>0.42934938893022262</v>
      </c>
      <c r="AM21" s="221">
        <f t="shared" si="56"/>
        <v>1.0858133122483422</v>
      </c>
      <c r="AN21" s="221">
        <f t="shared" si="56"/>
        <v>0.46112086713919376</v>
      </c>
      <c r="AO21" s="221">
        <f t="shared" si="56"/>
        <v>0.99189600733862393</v>
      </c>
      <c r="AP21" s="221">
        <f t="shared" si="56"/>
        <v>0.9797932897590913</v>
      </c>
      <c r="AQ21" s="221" t="e">
        <f t="shared" si="56"/>
        <v>#DIV/0!</v>
      </c>
      <c r="AR21" s="221">
        <f t="shared" si="56"/>
        <v>287.16693512245541</v>
      </c>
      <c r="AS21" s="221" t="e">
        <f t="shared" si="56"/>
        <v>#DIV/0!</v>
      </c>
    </row>
    <row r="22" spans="1:74" s="193" customFormat="1" x14ac:dyDescent="0.25">
      <c r="A22" s="193" t="s">
        <v>301</v>
      </c>
      <c r="E22" s="193">
        <f>I35</f>
        <v>2208873665</v>
      </c>
      <c r="F22" s="193">
        <f t="shared" ref="F22:Y22" si="57">J35</f>
        <v>2772179398</v>
      </c>
      <c r="G22" s="193">
        <f t="shared" si="57"/>
        <v>2836233020</v>
      </c>
      <c r="H22" s="193">
        <f t="shared" si="57"/>
        <v>2797301543</v>
      </c>
      <c r="I22" s="193">
        <f t="shared" si="57"/>
        <v>2222827199</v>
      </c>
      <c r="J22" s="193">
        <f t="shared" si="57"/>
        <v>2397045267</v>
      </c>
      <c r="K22" s="193">
        <f t="shared" si="57"/>
        <v>1882805100</v>
      </c>
      <c r="L22" s="193">
        <f t="shared" si="57"/>
        <v>2054410472</v>
      </c>
      <c r="M22" s="193">
        <f t="shared" si="57"/>
        <v>2517055356</v>
      </c>
      <c r="N22" s="193">
        <f t="shared" si="57"/>
        <v>2564194734</v>
      </c>
      <c r="O22" s="193">
        <f t="shared" si="57"/>
        <v>2368399081</v>
      </c>
      <c r="P22" s="193">
        <f t="shared" si="57"/>
        <v>2071604284</v>
      </c>
      <c r="Q22" s="193">
        <f t="shared" si="57"/>
        <v>2320422359</v>
      </c>
      <c r="R22" s="193">
        <f t="shared" si="57"/>
        <v>3201804138</v>
      </c>
      <c r="S22" s="193">
        <f t="shared" si="57"/>
        <v>2176644043</v>
      </c>
      <c r="T22" s="193">
        <f t="shared" si="57"/>
        <v>3112080576</v>
      </c>
      <c r="U22" s="193">
        <f t="shared" si="57"/>
        <v>2384471385</v>
      </c>
      <c r="V22" s="193">
        <f t="shared" si="57"/>
        <v>2156750466</v>
      </c>
      <c r="W22" s="193">
        <f t="shared" si="57"/>
        <v>3676560063</v>
      </c>
      <c r="X22" s="193">
        <f t="shared" si="57"/>
        <v>1641827873</v>
      </c>
      <c r="Y22" s="193">
        <f t="shared" si="57"/>
        <v>2096947272</v>
      </c>
      <c r="Z22" s="193">
        <f t="shared" ref="Z22" si="58">AD35</f>
        <v>2764485748</v>
      </c>
      <c r="AA22" s="193">
        <f t="shared" ref="AA22" si="59">AE35</f>
        <v>2911022892</v>
      </c>
      <c r="AB22" s="193">
        <f t="shared" ref="AB22" si="60">AF35</f>
        <v>3588889956</v>
      </c>
      <c r="AC22" s="193">
        <f t="shared" ref="AC22" si="61">AG35</f>
        <v>4231011924</v>
      </c>
      <c r="AD22" s="193">
        <f t="shared" ref="AD22" si="62">AH35</f>
        <v>4492808845</v>
      </c>
      <c r="AE22" s="193">
        <f t="shared" ref="AE22" si="63">AI35</f>
        <v>4939270255</v>
      </c>
      <c r="AF22" s="193">
        <f t="shared" ref="AF22" si="64">AJ35</f>
        <v>401864700</v>
      </c>
      <c r="AG22" s="193">
        <f t="shared" ref="AG22" si="65">AK35</f>
        <v>516606763</v>
      </c>
      <c r="AH22" s="193">
        <f t="shared" ref="AH22" si="66">AL35</f>
        <v>341211068</v>
      </c>
      <c r="AI22" s="193">
        <f t="shared" ref="AI22" si="67">AM35</f>
        <v>103124148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1842320765</v>
      </c>
      <c r="F23" s="193">
        <f t="shared" ref="F23:AS23" si="78">F20+F22-F19</f>
        <v>2378922934</v>
      </c>
      <c r="G23" s="193">
        <f t="shared" si="78"/>
        <v>2716163975</v>
      </c>
      <c r="H23" s="193">
        <f t="shared" si="78"/>
        <v>2585132494</v>
      </c>
      <c r="I23" s="193">
        <f t="shared" si="78"/>
        <v>2549535750</v>
      </c>
      <c r="J23" s="193">
        <f t="shared" si="78"/>
        <v>2931557072</v>
      </c>
      <c r="K23" s="193">
        <f t="shared" si="78"/>
        <v>2132490806</v>
      </c>
      <c r="L23" s="193">
        <f t="shared" si="78"/>
        <v>2196888286</v>
      </c>
      <c r="M23" s="193">
        <f t="shared" si="78"/>
        <v>1920431049</v>
      </c>
      <c r="N23" s="193">
        <f t="shared" si="78"/>
        <v>2236986116</v>
      </c>
      <c r="O23" s="193">
        <f t="shared" si="78"/>
        <v>1907659957</v>
      </c>
      <c r="P23" s="193">
        <f t="shared" si="78"/>
        <v>1505581016</v>
      </c>
      <c r="Q23" s="193">
        <f t="shared" si="78"/>
        <v>795380871</v>
      </c>
      <c r="R23" s="193">
        <f t="shared" si="78"/>
        <v>2290490232</v>
      </c>
      <c r="S23" s="193">
        <f t="shared" si="78"/>
        <v>1709132113</v>
      </c>
      <c r="T23" s="193">
        <f t="shared" si="78"/>
        <v>2704655959</v>
      </c>
      <c r="U23" s="193">
        <f t="shared" si="78"/>
        <v>1234056673</v>
      </c>
      <c r="V23" s="193">
        <f t="shared" si="78"/>
        <v>1421750671</v>
      </c>
      <c r="W23" s="193">
        <f t="shared" si="78"/>
        <v>2903611712</v>
      </c>
      <c r="X23" s="193">
        <f t="shared" si="78"/>
        <v>1116704342</v>
      </c>
      <c r="Y23" s="193">
        <f t="shared" si="78"/>
        <v>-260363839</v>
      </c>
      <c r="Z23" s="193">
        <f t="shared" si="78"/>
        <v>945906553</v>
      </c>
      <c r="AA23" s="193">
        <f t="shared" si="78"/>
        <v>2030326600</v>
      </c>
      <c r="AB23" s="193">
        <f t="shared" si="78"/>
        <v>2997025990</v>
      </c>
      <c r="AC23" s="193">
        <f t="shared" si="78"/>
        <v>1982226151</v>
      </c>
      <c r="AD23" s="193">
        <f t="shared" si="78"/>
        <v>2663033251</v>
      </c>
      <c r="AE23" s="193">
        <f t="shared" si="78"/>
        <v>3691347270</v>
      </c>
      <c r="AF23" s="193">
        <f t="shared" si="78"/>
        <v>-103512297</v>
      </c>
      <c r="AG23" s="193">
        <f t="shared" si="78"/>
        <v>-247981173</v>
      </c>
      <c r="AH23" s="193">
        <f t="shared" si="78"/>
        <v>-213670597</v>
      </c>
      <c r="AI23" s="193">
        <f t="shared" si="78"/>
        <v>-349533766</v>
      </c>
      <c r="AJ23" s="193">
        <f t="shared" si="78"/>
        <v>-239691947</v>
      </c>
      <c r="AK23" s="193">
        <f t="shared" si="78"/>
        <v>-23382901</v>
      </c>
      <c r="AL23" s="193">
        <f t="shared" si="78"/>
        <v>-125033342</v>
      </c>
      <c r="AM23" s="193">
        <f t="shared" si="78"/>
        <v>6491616</v>
      </c>
      <c r="AN23" s="193">
        <f t="shared" si="78"/>
        <v>-20413815</v>
      </c>
      <c r="AO23" s="193">
        <f t="shared" si="78"/>
        <v>-1806235</v>
      </c>
      <c r="AP23" s="193">
        <f t="shared" si="78"/>
        <v>-3473466</v>
      </c>
      <c r="AQ23" s="193">
        <f t="shared" si="78"/>
        <v>0</v>
      </c>
      <c r="AR23" s="193">
        <f t="shared" si="78"/>
        <v>1167865305.0599999</v>
      </c>
      <c r="AS23" s="193">
        <f t="shared" si="78"/>
        <v>1665545943.71</v>
      </c>
    </row>
    <row r="24" spans="1:74" s="221" customFormat="1" x14ac:dyDescent="0.25">
      <c r="A24" s="221" t="s">
        <v>303</v>
      </c>
      <c r="B24" s="190">
        <v>-898714927</v>
      </c>
      <c r="C24" s="190">
        <v>-971713299</v>
      </c>
      <c r="D24" s="190">
        <v>-151235159</v>
      </c>
      <c r="E24" s="190">
        <v>1211484798</v>
      </c>
      <c r="F24" s="190">
        <v>1388752672</v>
      </c>
      <c r="G24" s="190">
        <v>43216297</v>
      </c>
      <c r="H24" s="190">
        <v>1330149174</v>
      </c>
      <c r="I24" s="190">
        <v>-609613862</v>
      </c>
      <c r="J24" s="190">
        <v>-96753281</v>
      </c>
      <c r="K24" s="190">
        <v>349294510</v>
      </c>
      <c r="L24" s="190">
        <v>465450926</v>
      </c>
      <c r="M24" s="190">
        <v>1093397315</v>
      </c>
      <c r="N24" s="190">
        <v>822600115</v>
      </c>
      <c r="O24" s="190">
        <v>305457997</v>
      </c>
      <c r="P24" s="190">
        <v>110206673</v>
      </c>
      <c r="Q24" s="190">
        <v>1133991361</v>
      </c>
      <c r="R24" s="190">
        <v>935477692</v>
      </c>
      <c r="S24" s="190">
        <v>400217828</v>
      </c>
      <c r="T24" s="190">
        <v>151839574</v>
      </c>
      <c r="U24" s="190">
        <v>946996745</v>
      </c>
      <c r="V24" s="190">
        <v>1492291220</v>
      </c>
      <c r="W24" s="190">
        <v>501896698</v>
      </c>
      <c r="X24" s="190">
        <v>1207852586</v>
      </c>
      <c r="Y24" s="190">
        <v>2639645723</v>
      </c>
      <c r="Z24" s="190">
        <v>1846847705</v>
      </c>
      <c r="AA24" s="190">
        <v>2457155809</v>
      </c>
      <c r="AB24" s="190">
        <v>137395581</v>
      </c>
      <c r="AC24" s="190">
        <v>170498278</v>
      </c>
      <c r="AD24" s="190">
        <v>394761127</v>
      </c>
      <c r="AE24" s="190">
        <v>-116250822</v>
      </c>
      <c r="AF24" s="190">
        <v>61599583</v>
      </c>
      <c r="AG24" s="190">
        <v>4632875788</v>
      </c>
      <c r="AH24" s="190">
        <v>4761235519</v>
      </c>
      <c r="AI24" s="190">
        <v>5047155510</v>
      </c>
      <c r="AJ24" s="190">
        <v>207169161</v>
      </c>
      <c r="AK24" s="190">
        <v>188646439</v>
      </c>
      <c r="AL24" s="190">
        <v>238150831</v>
      </c>
      <c r="AM24" s="190">
        <v>162268196</v>
      </c>
      <c r="AN24" s="190">
        <v>28334216</v>
      </c>
      <c r="AO24" s="190">
        <v>145528906</v>
      </c>
      <c r="AP24" s="190">
        <v>21742478</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11550000</v>
      </c>
      <c r="F26" s="26">
        <f>现金流量表!F15</f>
        <v>10331593</v>
      </c>
      <c r="G26" s="26">
        <f>现金流量表!G15</f>
        <v>9900000</v>
      </c>
      <c r="H26" s="26">
        <f>现金流量表!H15</f>
        <v>9900000</v>
      </c>
      <c r="I26" s="26">
        <f>现金流量表!I15</f>
        <v>4950000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200000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497221218</v>
      </c>
      <c r="F27" s="26">
        <f>现金流量表!F22</f>
        <v>409618666</v>
      </c>
      <c r="G27" s="26">
        <f>现金流量表!G22</f>
        <v>230209509</v>
      </c>
      <c r="H27" s="26">
        <f>现金流量表!H22</f>
        <v>164038118</v>
      </c>
      <c r="I27" s="26">
        <f>现金流量表!I22</f>
        <v>613694705</v>
      </c>
      <c r="J27" s="26">
        <f>现金流量表!J22</f>
        <v>476417634</v>
      </c>
      <c r="K27" s="26">
        <f>现金流量表!K22</f>
        <v>283881667</v>
      </c>
      <c r="L27" s="26">
        <f>现金流量表!L22</f>
        <v>241398968</v>
      </c>
      <c r="M27" s="26">
        <f>现金流量表!M22</f>
        <v>50328901</v>
      </c>
      <c r="N27" s="26">
        <f>现金流量表!N22</f>
        <v>500000</v>
      </c>
      <c r="O27" s="26">
        <f>现金流量表!O22</f>
        <v>0</v>
      </c>
      <c r="P27" s="26">
        <f>现金流量表!P22</f>
        <v>0</v>
      </c>
      <c r="Q27" s="26">
        <f>现金流量表!Q22</f>
        <v>328891129</v>
      </c>
      <c r="R27" s="26">
        <f>现金流量表!R22</f>
        <v>330319591</v>
      </c>
      <c r="S27" s="26">
        <f>现金流量表!S22</f>
        <v>315832880</v>
      </c>
      <c r="T27" s="26">
        <f>现金流量表!T22</f>
        <v>0</v>
      </c>
      <c r="U27" s="26">
        <f>现金流量表!U22</f>
        <v>0</v>
      </c>
      <c r="V27" s="26">
        <f>现金流量表!V22</f>
        <v>0</v>
      </c>
      <c r="W27" s="26">
        <f>现金流量表!W22</f>
        <v>0</v>
      </c>
      <c r="X27" s="26">
        <f>现金流量表!X22</f>
        <v>0</v>
      </c>
      <c r="Y27" s="26">
        <f>现金流量表!Y22</f>
        <v>13000000</v>
      </c>
      <c r="Z27" s="26">
        <f>现金流量表!Z22</f>
        <v>13000000</v>
      </c>
      <c r="AA27" s="26">
        <f>现金流量表!AA22</f>
        <v>13000000</v>
      </c>
      <c r="AB27" s="26">
        <f>现金流量表!AB22</f>
        <v>0</v>
      </c>
      <c r="AC27" s="26">
        <f>现金流量表!AC22</f>
        <v>19000000</v>
      </c>
      <c r="AD27" s="26">
        <f>现金流量表!AD22</f>
        <v>10000000</v>
      </c>
      <c r="AE27" s="26">
        <f>现金流量表!AE22</f>
        <v>0</v>
      </c>
      <c r="AF27" s="26">
        <f>现金流量表!AF22</f>
        <v>0</v>
      </c>
      <c r="AG27" s="26">
        <f>现金流量表!AG22</f>
        <v>38947025</v>
      </c>
      <c r="AH27" s="26">
        <f>现金流量表!AH22</f>
        <v>46171520</v>
      </c>
      <c r="AI27" s="26">
        <f>现金流量表!AI22</f>
        <v>0</v>
      </c>
      <c r="AJ27" s="26">
        <f>现金流量表!AJ22</f>
        <v>0</v>
      </c>
      <c r="AK27" s="26">
        <f>现金流量表!AK22</f>
        <v>45000000</v>
      </c>
      <c r="AL27" s="26">
        <f>现金流量表!AL22</f>
        <v>20554907</v>
      </c>
      <c r="AM27" s="26">
        <f>现金流量表!AM22</f>
        <v>0</v>
      </c>
      <c r="AN27" s="26">
        <f>现金流量表!AN22</f>
        <v>0</v>
      </c>
      <c r="AO27" s="26">
        <f>现金流量表!AO22</f>
        <v>11600000</v>
      </c>
      <c r="AP27" s="26">
        <f>现金流量表!AP22</f>
        <v>960000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485671218</v>
      </c>
      <c r="F28" s="26">
        <f t="shared" ref="F28:BQ28" si="79">F27-F26</f>
        <v>399287073</v>
      </c>
      <c r="G28" s="26">
        <f t="shared" si="79"/>
        <v>220309509</v>
      </c>
      <c r="H28" s="26">
        <f t="shared" si="79"/>
        <v>154138118</v>
      </c>
      <c r="I28" s="26">
        <f t="shared" si="79"/>
        <v>608744705</v>
      </c>
      <c r="J28" s="26">
        <f t="shared" si="79"/>
        <v>476417634</v>
      </c>
      <c r="K28" s="26">
        <f t="shared" si="79"/>
        <v>283881667</v>
      </c>
      <c r="L28" s="26">
        <f t="shared" si="79"/>
        <v>241398968</v>
      </c>
      <c r="M28" s="26">
        <f t="shared" si="79"/>
        <v>50328901</v>
      </c>
      <c r="N28" s="26">
        <f t="shared" si="79"/>
        <v>500000</v>
      </c>
      <c r="O28" s="26">
        <f t="shared" si="79"/>
        <v>0</v>
      </c>
      <c r="P28" s="26">
        <f t="shared" si="79"/>
        <v>0</v>
      </c>
      <c r="Q28" s="26">
        <f t="shared" si="79"/>
        <v>328891129</v>
      </c>
      <c r="R28" s="26">
        <f t="shared" si="79"/>
        <v>330319591</v>
      </c>
      <c r="S28" s="26">
        <f t="shared" si="79"/>
        <v>315832880</v>
      </c>
      <c r="T28" s="26">
        <f t="shared" si="79"/>
        <v>0</v>
      </c>
      <c r="U28" s="26">
        <f t="shared" si="79"/>
        <v>0</v>
      </c>
      <c r="V28" s="26">
        <f t="shared" si="79"/>
        <v>0</v>
      </c>
      <c r="W28" s="26">
        <f t="shared" si="79"/>
        <v>0</v>
      </c>
      <c r="X28" s="26">
        <f t="shared" si="79"/>
        <v>0</v>
      </c>
      <c r="Y28" s="26">
        <f t="shared" si="79"/>
        <v>13000000</v>
      </c>
      <c r="Z28" s="26">
        <f t="shared" si="79"/>
        <v>13000000</v>
      </c>
      <c r="AA28" s="26">
        <f t="shared" si="79"/>
        <v>13000000</v>
      </c>
      <c r="AB28" s="26">
        <f t="shared" si="79"/>
        <v>0</v>
      </c>
      <c r="AC28" s="26">
        <f t="shared" si="79"/>
        <v>19000000</v>
      </c>
      <c r="AD28" s="26">
        <f t="shared" si="79"/>
        <v>10000000</v>
      </c>
      <c r="AE28" s="26">
        <f t="shared" si="79"/>
        <v>0</v>
      </c>
      <c r="AF28" s="26">
        <f t="shared" si="79"/>
        <v>0</v>
      </c>
      <c r="AG28" s="26">
        <f t="shared" si="79"/>
        <v>38947025</v>
      </c>
      <c r="AH28" s="26">
        <f t="shared" si="79"/>
        <v>46171520</v>
      </c>
      <c r="AI28" s="26">
        <f t="shared" si="79"/>
        <v>0</v>
      </c>
      <c r="AJ28" s="26">
        <f t="shared" si="79"/>
        <v>0</v>
      </c>
      <c r="AK28" s="26">
        <f t="shared" si="79"/>
        <v>45000000</v>
      </c>
      <c r="AL28" s="26">
        <f t="shared" si="79"/>
        <v>20554907</v>
      </c>
      <c r="AM28" s="26">
        <f t="shared" si="79"/>
        <v>0</v>
      </c>
      <c r="AN28" s="26">
        <f t="shared" si="79"/>
        <v>0</v>
      </c>
      <c r="AO28" s="26">
        <f t="shared" si="79"/>
        <v>11600000</v>
      </c>
      <c r="AP28" s="26">
        <f t="shared" si="79"/>
        <v>760000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16421055022</v>
      </c>
      <c r="C31" s="190">
        <v>16337431303</v>
      </c>
      <c r="D31" s="190">
        <v>16265435251</v>
      </c>
      <c r="E31" s="190">
        <v>16369475393</v>
      </c>
      <c r="F31" s="190">
        <v>16009509745</v>
      </c>
      <c r="G31" s="190">
        <v>15560352190</v>
      </c>
      <c r="H31" s="190">
        <v>15336152455</v>
      </c>
      <c r="I31" s="190">
        <v>14662313474</v>
      </c>
      <c r="J31" s="190">
        <v>14535351176</v>
      </c>
      <c r="K31" s="190">
        <v>14269404646</v>
      </c>
      <c r="L31" s="190">
        <v>14068460332</v>
      </c>
      <c r="M31" s="190">
        <v>13429894024</v>
      </c>
      <c r="N31" s="190">
        <v>13285880576</v>
      </c>
      <c r="O31" s="190">
        <v>13127898589</v>
      </c>
      <c r="P31" s="190">
        <v>12888616183</v>
      </c>
      <c r="Q31" s="190">
        <v>12498685591</v>
      </c>
      <c r="R31" s="190">
        <v>12014374823</v>
      </c>
      <c r="S31" s="190">
        <v>10889164051</v>
      </c>
      <c r="T31" s="190">
        <v>9966795818</v>
      </c>
      <c r="U31" s="190">
        <v>9760129240</v>
      </c>
      <c r="V31" s="190">
        <v>9454055285</v>
      </c>
      <c r="W31" s="190">
        <v>8869428275</v>
      </c>
      <c r="X31" s="190">
        <v>8200374246</v>
      </c>
      <c r="Y31" s="190">
        <v>7625171647</v>
      </c>
      <c r="Z31" s="190">
        <v>6938230223</v>
      </c>
      <c r="AA31" s="190">
        <v>6159640868</v>
      </c>
      <c r="AB31" s="190">
        <v>5491363144</v>
      </c>
      <c r="AC31" s="190">
        <v>4802585019</v>
      </c>
      <c r="AD31" s="190">
        <v>4069707288</v>
      </c>
      <c r="AE31" s="190">
        <v>3614319344</v>
      </c>
      <c r="AF31" s="190">
        <v>2656920011</v>
      </c>
      <c r="AG31" s="190">
        <v>2054669129</v>
      </c>
      <c r="AH31" s="190">
        <v>1426167580</v>
      </c>
      <c r="AI31" s="190">
        <v>1147954410</v>
      </c>
      <c r="AJ31" s="190">
        <v>1106780182</v>
      </c>
      <c r="AK31" s="190">
        <v>1038263232</v>
      </c>
      <c r="AL31" s="190">
        <v>846297995</v>
      </c>
      <c r="AM31" s="190">
        <v>682357417</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158446323</v>
      </c>
      <c r="C32" s="190">
        <v>158446323</v>
      </c>
      <c r="D32" s="190">
        <v>158446323</v>
      </c>
      <c r="E32" s="190">
        <v>158446323</v>
      </c>
      <c r="F32" s="190">
        <v>158472600</v>
      </c>
      <c r="G32" s="190">
        <v>158472600</v>
      </c>
      <c r="H32" s="190">
        <v>158446323</v>
      </c>
      <c r="I32" s="190">
        <v>158446323</v>
      </c>
      <c r="J32" s="190">
        <v>157080349</v>
      </c>
      <c r="K32" s="190">
        <v>157080349</v>
      </c>
      <c r="L32" s="190">
        <v>157080349</v>
      </c>
      <c r="M32" s="190">
        <v>157080349</v>
      </c>
      <c r="N32" s="190">
        <v>157080349</v>
      </c>
      <c r="O32" s="190">
        <v>157080349</v>
      </c>
      <c r="P32" s="190">
        <v>157080349</v>
      </c>
      <c r="Q32" s="190">
        <v>157080349</v>
      </c>
      <c r="R32" s="190">
        <v>157080349</v>
      </c>
      <c r="S32" s="190">
        <v>157080349</v>
      </c>
      <c r="T32" s="190">
        <v>157080349</v>
      </c>
      <c r="U32" s="190">
        <v>157080349</v>
      </c>
      <c r="V32" s="190">
        <v>292080349</v>
      </c>
      <c r="W32" s="190">
        <v>292080349</v>
      </c>
      <c r="X32" s="190">
        <v>292080349</v>
      </c>
      <c r="Y32" s="190">
        <v>292080349</v>
      </c>
      <c r="Z32" s="190">
        <v>296992819</v>
      </c>
      <c r="AA32" s="190">
        <v>296992819</v>
      </c>
      <c r="AB32" s="190">
        <v>278831345</v>
      </c>
      <c r="AC32" s="190">
        <v>278831345</v>
      </c>
      <c r="AD32" s="190">
        <v>278811292</v>
      </c>
      <c r="AE32" s="190">
        <v>278811292</v>
      </c>
      <c r="AF32" s="190">
        <v>208631237</v>
      </c>
      <c r="AG32" s="190">
        <v>100664982</v>
      </c>
      <c r="AH32" s="190">
        <v>13863856</v>
      </c>
      <c r="AI32" s="190">
        <v>3813133</v>
      </c>
      <c r="AJ32" s="190">
        <v>3813133</v>
      </c>
      <c r="AK32" s="190">
        <v>3813133</v>
      </c>
      <c r="AL32" s="190">
        <v>3813133</v>
      </c>
      <c r="AM32" s="190">
        <v>3813133</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0</v>
      </c>
      <c r="F33" s="190">
        <v>1677425468</v>
      </c>
      <c r="G33" s="190">
        <v>1384221653</v>
      </c>
      <c r="H33" s="190">
        <v>1304267095</v>
      </c>
      <c r="I33" s="190">
        <v>955777101</v>
      </c>
      <c r="J33" s="190">
        <v>879914715</v>
      </c>
      <c r="K33" s="190">
        <v>697919249</v>
      </c>
      <c r="L33" s="190">
        <v>634632930</v>
      </c>
      <c r="M33" s="190">
        <v>292921399</v>
      </c>
      <c r="N33" s="190">
        <v>218252558</v>
      </c>
      <c r="O33" s="190">
        <v>323129793</v>
      </c>
      <c r="P33" s="190">
        <v>390157395</v>
      </c>
      <c r="Q33" s="190">
        <v>408057207</v>
      </c>
      <c r="R33" s="190">
        <v>445640198</v>
      </c>
      <c r="S33" s="190">
        <v>344665848</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16211029070</v>
      </c>
      <c r="F34" s="49">
        <f t="shared" ref="F34:BP34" si="81">F31-F32-F33</f>
        <v>14173611677</v>
      </c>
      <c r="G34" s="49">
        <f t="shared" si="81"/>
        <v>14017657937</v>
      </c>
      <c r="H34" s="49">
        <f t="shared" si="81"/>
        <v>13873439037</v>
      </c>
      <c r="I34" s="49">
        <f t="shared" si="81"/>
        <v>13548090050</v>
      </c>
      <c r="J34" s="49">
        <f t="shared" si="81"/>
        <v>13498356112</v>
      </c>
      <c r="K34" s="49">
        <f t="shared" si="81"/>
        <v>13414405048</v>
      </c>
      <c r="L34" s="49">
        <f t="shared" si="81"/>
        <v>13276747053</v>
      </c>
      <c r="M34" s="49">
        <f t="shared" si="81"/>
        <v>12979892276</v>
      </c>
      <c r="N34" s="49">
        <f t="shared" si="81"/>
        <v>12910547669</v>
      </c>
      <c r="O34" s="49">
        <f t="shared" si="81"/>
        <v>12647688447</v>
      </c>
      <c r="P34" s="49">
        <f t="shared" si="81"/>
        <v>12341378439</v>
      </c>
      <c r="Q34" s="49">
        <f t="shared" si="81"/>
        <v>11933548035</v>
      </c>
      <c r="R34" s="49">
        <f t="shared" si="81"/>
        <v>11411654276</v>
      </c>
      <c r="S34" s="49">
        <f t="shared" si="81"/>
        <v>10387417854</v>
      </c>
      <c r="T34" s="49">
        <f t="shared" si="81"/>
        <v>9809715469</v>
      </c>
      <c r="U34" s="49">
        <f t="shared" si="81"/>
        <v>9603048891</v>
      </c>
      <c r="V34" s="49">
        <f t="shared" si="81"/>
        <v>9161974936</v>
      </c>
      <c r="W34" s="49">
        <f t="shared" si="81"/>
        <v>8577347926</v>
      </c>
      <c r="X34" s="49">
        <f t="shared" si="81"/>
        <v>7908293897</v>
      </c>
      <c r="Y34" s="49">
        <f t="shared" si="81"/>
        <v>7333091298</v>
      </c>
      <c r="Z34" s="49">
        <f t="shared" si="81"/>
        <v>6641237404</v>
      </c>
      <c r="AA34" s="49">
        <f t="shared" si="81"/>
        <v>5862648049</v>
      </c>
      <c r="AB34" s="49">
        <f t="shared" si="81"/>
        <v>5212531799</v>
      </c>
      <c r="AC34" s="49">
        <f t="shared" si="81"/>
        <v>4523753674</v>
      </c>
      <c r="AD34" s="49">
        <f t="shared" si="81"/>
        <v>3790895996</v>
      </c>
      <c r="AE34" s="49">
        <f t="shared" si="81"/>
        <v>3335508052</v>
      </c>
      <c r="AF34" s="49">
        <f t="shared" si="81"/>
        <v>2448288774</v>
      </c>
      <c r="AG34" s="49">
        <f t="shared" si="81"/>
        <v>1954004147</v>
      </c>
      <c r="AH34" s="49">
        <f t="shared" si="81"/>
        <v>1412303724</v>
      </c>
      <c r="AI34" s="49">
        <f t="shared" si="81"/>
        <v>1144141277</v>
      </c>
      <c r="AJ34" s="49">
        <f t="shared" si="81"/>
        <v>1102967049</v>
      </c>
      <c r="AK34" s="49">
        <f t="shared" si="81"/>
        <v>1034450099</v>
      </c>
      <c r="AL34" s="49">
        <f t="shared" si="81"/>
        <v>842484862</v>
      </c>
      <c r="AM34" s="49">
        <f t="shared" si="81"/>
        <v>678544284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15522383468</v>
      </c>
      <c r="C35" s="33">
        <f>SUM(C22:C31)</f>
        <v>15365761285</v>
      </c>
      <c r="D35" s="33">
        <f>SUM(D22:D31)</f>
        <v>16114243282</v>
      </c>
      <c r="E35" s="33">
        <f>资产资本表!E17</f>
        <v>1242670243</v>
      </c>
      <c r="F35" s="33">
        <f>资产资本表!F17</f>
        <v>3145904295</v>
      </c>
      <c r="G35" s="33">
        <f>资产资本表!G17</f>
        <v>2304633992</v>
      </c>
      <c r="H35" s="33">
        <f>资产资本表!H17</f>
        <v>3659890918</v>
      </c>
      <c r="I35" s="33">
        <f>资产资本表!I17</f>
        <v>2208873665</v>
      </c>
      <c r="J35" s="33">
        <f>资产资本表!J17</f>
        <v>2772179398</v>
      </c>
      <c r="K35" s="33">
        <f>资产资本表!K17</f>
        <v>2836233020</v>
      </c>
      <c r="L35" s="33">
        <f>资产资本表!L17</f>
        <v>2797301543</v>
      </c>
      <c r="M35" s="33">
        <f>资产资本表!M17</f>
        <v>2222827199</v>
      </c>
      <c r="N35" s="33">
        <f>资产资本表!N17</f>
        <v>2397045267</v>
      </c>
      <c r="O35" s="33">
        <f>资产资本表!O17</f>
        <v>1882805100</v>
      </c>
      <c r="P35" s="33">
        <f>资产资本表!P17</f>
        <v>2054410472</v>
      </c>
      <c r="Q35" s="33">
        <f>资产资本表!Q17</f>
        <v>2517055356</v>
      </c>
      <c r="R35" s="33">
        <f>资产资本表!R17</f>
        <v>2564194734</v>
      </c>
      <c r="S35" s="33">
        <f>资产资本表!S17</f>
        <v>2368399081</v>
      </c>
      <c r="T35" s="33">
        <f>资产资本表!T17</f>
        <v>2071604284</v>
      </c>
      <c r="U35" s="33">
        <f>资产资本表!U17</f>
        <v>2320422359</v>
      </c>
      <c r="V35" s="33">
        <f>资产资本表!V17</f>
        <v>3201804138</v>
      </c>
      <c r="W35" s="33">
        <f>资产资本表!W17</f>
        <v>2176644043</v>
      </c>
      <c r="X35" s="33">
        <f>资产资本表!X17</f>
        <v>3112080576</v>
      </c>
      <c r="Y35" s="33">
        <f>资产资本表!Y17</f>
        <v>2384471385</v>
      </c>
      <c r="Z35" s="33">
        <f>资产资本表!Z17</f>
        <v>2156750466</v>
      </c>
      <c r="AA35" s="33">
        <f>资产资本表!AA17</f>
        <v>3676560063</v>
      </c>
      <c r="AB35" s="33">
        <f>资产资本表!AB17</f>
        <v>1641827873</v>
      </c>
      <c r="AC35" s="33">
        <f>资产资本表!AC17</f>
        <v>2096947272</v>
      </c>
      <c r="AD35" s="33">
        <f>资产资本表!AD17</f>
        <v>2764485748</v>
      </c>
      <c r="AE35" s="33">
        <f>资产资本表!AE17</f>
        <v>2911022892</v>
      </c>
      <c r="AF35" s="33">
        <f>资产资本表!AF17</f>
        <v>3588889956</v>
      </c>
      <c r="AG35" s="33">
        <f>资产资本表!AG17</f>
        <v>4231011924</v>
      </c>
      <c r="AH35" s="33">
        <f>资产资本表!AH17</f>
        <v>4492808845</v>
      </c>
      <c r="AI35" s="33">
        <f>资产资本表!AI17</f>
        <v>4939270255</v>
      </c>
      <c r="AJ35" s="33">
        <f>资产资本表!AJ17</f>
        <v>401864700</v>
      </c>
      <c r="AK35" s="33">
        <f>资产资本表!AK17</f>
        <v>516606763</v>
      </c>
      <c r="AL35" s="33">
        <f>资产资本表!AL17</f>
        <v>341211068</v>
      </c>
      <c r="AM35" s="33">
        <f>资产资本表!AM17</f>
        <v>103124148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0</v>
      </c>
      <c r="C40" s="190">
        <v>0</v>
      </c>
      <c r="D40" s="190">
        <v>0</v>
      </c>
      <c r="E40" s="190">
        <v>2488750</v>
      </c>
      <c r="F40" s="190">
        <v>0</v>
      </c>
      <c r="G40" s="190">
        <v>0</v>
      </c>
      <c r="H40" s="190">
        <v>0</v>
      </c>
      <c r="I40" s="190">
        <v>0</v>
      </c>
      <c r="J40" s="190">
        <v>0</v>
      </c>
      <c r="K40" s="190">
        <v>0</v>
      </c>
      <c r="L40" s="190">
        <v>0</v>
      </c>
      <c r="M40" s="190">
        <v>300000</v>
      </c>
      <c r="N40" s="190">
        <v>300000</v>
      </c>
      <c r="O40" s="190">
        <v>300000</v>
      </c>
      <c r="P40" s="190">
        <v>0</v>
      </c>
      <c r="Q40" s="190">
        <v>0</v>
      </c>
      <c r="R40" s="190">
        <v>0</v>
      </c>
      <c r="S40" s="190">
        <v>0</v>
      </c>
      <c r="T40" s="190">
        <v>0</v>
      </c>
      <c r="U40" s="190">
        <v>6424806</v>
      </c>
      <c r="V40" s="190">
        <v>0</v>
      </c>
      <c r="W40" s="190">
        <v>0</v>
      </c>
      <c r="X40" s="190">
        <v>0</v>
      </c>
      <c r="Y40" s="190">
        <v>4766310</v>
      </c>
      <c r="Z40" s="190">
        <v>0</v>
      </c>
      <c r="AA40" s="190">
        <v>0</v>
      </c>
      <c r="AB40" s="190">
        <v>0</v>
      </c>
      <c r="AC40" s="190">
        <v>250000</v>
      </c>
      <c r="AD40" s="190">
        <v>0</v>
      </c>
      <c r="AE40" s="190">
        <v>0</v>
      </c>
      <c r="AF40" s="190">
        <v>0</v>
      </c>
      <c r="AG40" s="190">
        <v>4865411000</v>
      </c>
      <c r="AH40" s="190">
        <v>5001600000</v>
      </c>
      <c r="AI40" s="190">
        <v>5001600000</v>
      </c>
      <c r="AJ40" s="190">
        <v>0</v>
      </c>
      <c r="AK40" s="190">
        <v>0</v>
      </c>
      <c r="AL40" s="190">
        <v>0</v>
      </c>
      <c r="AM40" s="190">
        <v>0</v>
      </c>
      <c r="AN40" s="190">
        <v>0</v>
      </c>
      <c r="AO40" s="190">
        <v>200000000</v>
      </c>
      <c r="AP40" s="190">
        <v>20000000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200160000</v>
      </c>
      <c r="I41" s="53">
        <v>199120131.69</v>
      </c>
      <c r="M41" s="53">
        <v>180000000</v>
      </c>
      <c r="Q41" s="53">
        <v>120000000</v>
      </c>
      <c r="U41" s="53">
        <v>120000000</v>
      </c>
      <c r="Y41" s="53">
        <v>120000000</v>
      </c>
      <c r="AC41" s="53">
        <v>120000000</v>
      </c>
    </row>
    <row r="42" spans="1:74" s="26" customFormat="1" x14ac:dyDescent="0.25">
      <c r="A42" s="17" t="s">
        <v>322</v>
      </c>
      <c r="E42" s="26">
        <f>E40-E41</f>
        <v>-197671250</v>
      </c>
      <c r="F42" s="26">
        <f t="shared" ref="F42:Y42" si="82">F40-F41</f>
        <v>0</v>
      </c>
      <c r="G42" s="26">
        <f t="shared" si="82"/>
        <v>0</v>
      </c>
      <c r="H42" s="26">
        <f t="shared" si="82"/>
        <v>0</v>
      </c>
      <c r="I42" s="26">
        <f>I40-I41</f>
        <v>-199120131.69</v>
      </c>
      <c r="J42" s="26">
        <f t="shared" si="82"/>
        <v>0</v>
      </c>
      <c r="K42" s="26">
        <f t="shared" si="82"/>
        <v>0</v>
      </c>
      <c r="L42" s="26">
        <f t="shared" si="82"/>
        <v>0</v>
      </c>
      <c r="M42" s="26">
        <f t="shared" si="82"/>
        <v>-179700000</v>
      </c>
      <c r="N42" s="26">
        <f t="shared" si="82"/>
        <v>300000</v>
      </c>
      <c r="O42" s="26">
        <f t="shared" si="82"/>
        <v>300000</v>
      </c>
      <c r="P42" s="26">
        <f t="shared" si="82"/>
        <v>0</v>
      </c>
      <c r="Q42" s="26">
        <f t="shared" si="82"/>
        <v>-120000000</v>
      </c>
      <c r="R42" s="26">
        <f t="shared" si="82"/>
        <v>0</v>
      </c>
      <c r="S42" s="26">
        <f t="shared" si="82"/>
        <v>0</v>
      </c>
      <c r="T42" s="26">
        <f t="shared" si="82"/>
        <v>0</v>
      </c>
      <c r="U42" s="26">
        <f t="shared" si="82"/>
        <v>-113575194</v>
      </c>
      <c r="V42" s="26">
        <f t="shared" si="82"/>
        <v>0</v>
      </c>
      <c r="W42" s="26">
        <f t="shared" si="82"/>
        <v>0</v>
      </c>
      <c r="X42" s="26">
        <f t="shared" si="82"/>
        <v>0</v>
      </c>
      <c r="Y42" s="26">
        <f t="shared" si="82"/>
        <v>-115233690</v>
      </c>
      <c r="Z42" s="26">
        <f t="shared" ref="Z42:BQ42" si="83">Z40-Z41</f>
        <v>0</v>
      </c>
      <c r="AA42" s="26">
        <f t="shared" si="83"/>
        <v>0</v>
      </c>
      <c r="AB42" s="26">
        <f t="shared" si="83"/>
        <v>0</v>
      </c>
      <c r="AC42" s="26">
        <f t="shared" si="83"/>
        <v>-119750000</v>
      </c>
      <c r="AD42" s="26">
        <f t="shared" si="83"/>
        <v>0</v>
      </c>
      <c r="AE42" s="26">
        <f t="shared" si="83"/>
        <v>0</v>
      </c>
      <c r="AF42" s="26">
        <f t="shared" si="83"/>
        <v>0</v>
      </c>
      <c r="AG42" s="26">
        <f t="shared" si="83"/>
        <v>4865411000</v>
      </c>
      <c r="AH42" s="26">
        <f t="shared" si="83"/>
        <v>5001600000</v>
      </c>
      <c r="AI42" s="26">
        <f t="shared" si="83"/>
        <v>5001600000</v>
      </c>
      <c r="AJ42" s="26">
        <f t="shared" si="83"/>
        <v>0</v>
      </c>
      <c r="AK42" s="26">
        <f t="shared" si="83"/>
        <v>0</v>
      </c>
      <c r="AL42" s="193">
        <f t="shared" si="83"/>
        <v>0</v>
      </c>
      <c r="AM42" s="193">
        <f t="shared" si="83"/>
        <v>0</v>
      </c>
      <c r="AN42" s="193">
        <f t="shared" si="83"/>
        <v>0</v>
      </c>
      <c r="AO42" s="193">
        <f t="shared" si="83"/>
        <v>200000000</v>
      </c>
      <c r="AP42" s="193">
        <f t="shared" si="83"/>
        <v>20000000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2720000000</v>
      </c>
      <c r="C44" s="190">
        <v>1780000000</v>
      </c>
      <c r="D44" s="190">
        <v>840000000</v>
      </c>
      <c r="E44" s="190">
        <v>2778000000</v>
      </c>
      <c r="F44" s="190">
        <v>1668000000</v>
      </c>
      <c r="G44" s="190">
        <v>940000000</v>
      </c>
      <c r="H44" s="190">
        <v>590000000</v>
      </c>
      <c r="I44" s="190">
        <v>3363000000</v>
      </c>
      <c r="J44" s="190">
        <v>1675000000</v>
      </c>
      <c r="K44" s="190">
        <v>1205000000</v>
      </c>
      <c r="L44" s="190">
        <v>455000000</v>
      </c>
      <c r="M44" s="190">
        <v>3398000000</v>
      </c>
      <c r="N44" s="190">
        <v>3563180957</v>
      </c>
      <c r="O44" s="190">
        <v>1695610273</v>
      </c>
      <c r="P44" s="190">
        <v>895687429</v>
      </c>
      <c r="Q44" s="190">
        <v>2948908063</v>
      </c>
      <c r="R44" s="190">
        <v>2336378392</v>
      </c>
      <c r="S44" s="190">
        <v>1060378391</v>
      </c>
      <c r="T44" s="190">
        <v>570000000</v>
      </c>
      <c r="U44" s="190">
        <v>2133537400</v>
      </c>
      <c r="V44" s="190">
        <v>1510442200</v>
      </c>
      <c r="W44" s="190">
        <v>470000000</v>
      </c>
      <c r="X44" s="190">
        <v>0</v>
      </c>
      <c r="Y44" s="190">
        <v>1047800000</v>
      </c>
      <c r="Z44" s="190">
        <v>1065400000</v>
      </c>
      <c r="AA44" s="190">
        <v>1105400000</v>
      </c>
      <c r="AB44" s="190">
        <v>392800000</v>
      </c>
      <c r="AC44" s="190">
        <v>995300000</v>
      </c>
      <c r="AD44" s="190">
        <v>677163198</v>
      </c>
      <c r="AE44" s="190">
        <v>640444705</v>
      </c>
      <c r="AF44" s="190">
        <v>312500000</v>
      </c>
      <c r="AG44" s="190">
        <v>969000000</v>
      </c>
      <c r="AH44" s="190">
        <v>590000000</v>
      </c>
      <c r="AI44" s="190">
        <v>570000000</v>
      </c>
      <c r="AJ44" s="190">
        <v>290000000</v>
      </c>
      <c r="AK44" s="190">
        <v>1023600000</v>
      </c>
      <c r="AL44" s="190">
        <v>717100000</v>
      </c>
      <c r="AM44" s="190">
        <v>594400000</v>
      </c>
      <c r="AN44" s="190">
        <v>132700000</v>
      </c>
      <c r="AO44" s="190">
        <v>534240000</v>
      </c>
      <c r="AP44" s="190">
        <v>431398060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542391777</v>
      </c>
      <c r="F45" s="193">
        <f>股权价值增加表!F53</f>
        <v>0</v>
      </c>
      <c r="G45" s="193">
        <f>股权价值增加表!G53</f>
        <v>0</v>
      </c>
      <c r="H45" s="193">
        <f>股权价值增加表!H53</f>
        <v>0</v>
      </c>
      <c r="I45" s="193">
        <f>股权价值增加表!I53</f>
        <v>493412141</v>
      </c>
      <c r="J45" s="193">
        <f>股权价值增加表!J53</f>
        <v>0</v>
      </c>
      <c r="K45" s="193">
        <f>股权价值增加表!K53</f>
        <v>0</v>
      </c>
      <c r="L45" s="193">
        <f>股权价值增加表!L53</f>
        <v>0</v>
      </c>
      <c r="M45" s="193">
        <f>股权价值增加表!M53</f>
        <v>493272400</v>
      </c>
      <c r="N45" s="193">
        <f>股权价值增加表!N53</f>
        <v>0</v>
      </c>
      <c r="O45" s="193">
        <f>股权价值增加表!O53</f>
        <v>0</v>
      </c>
      <c r="P45" s="193">
        <f>股权价值增加表!P53</f>
        <v>0</v>
      </c>
      <c r="Q45" s="193">
        <f>股权价值增加表!Q53</f>
        <v>389205571</v>
      </c>
      <c r="R45" s="193">
        <f>股权价值增加表!R53</f>
        <v>0</v>
      </c>
      <c r="S45" s="193">
        <f>股权价值增加表!S53</f>
        <v>0</v>
      </c>
      <c r="T45" s="193">
        <f>股权价值增加表!T53</f>
        <v>0</v>
      </c>
      <c r="U45" s="193">
        <f>股权价值增加表!U53</f>
        <v>312986975</v>
      </c>
      <c r="V45" s="193">
        <f>股权价值增加表!V53</f>
        <v>0</v>
      </c>
      <c r="W45" s="193">
        <f>股权价值增加表!W53</f>
        <v>0</v>
      </c>
      <c r="X45" s="193">
        <f>股权价值增加表!X53</f>
        <v>0</v>
      </c>
      <c r="Y45" s="193">
        <f>股权价值增加表!Y53</f>
        <v>181919862</v>
      </c>
      <c r="Z45" s="193">
        <f>股权价值增加表!Z53</f>
        <v>0</v>
      </c>
      <c r="AA45" s="193">
        <f>股权价值增加表!AA53</f>
        <v>0</v>
      </c>
      <c r="AB45" s="193">
        <f>股权价值增加表!AB53</f>
        <v>0</v>
      </c>
      <c r="AC45" s="193">
        <f>股权价值增加表!AC53</f>
        <v>79201643</v>
      </c>
      <c r="AD45" s="193">
        <f>股权价值增加表!AD53</f>
        <v>0</v>
      </c>
      <c r="AE45" s="193">
        <f>股权价值增加表!AE53</f>
        <v>0</v>
      </c>
      <c r="AF45" s="193">
        <f>股权价值增加表!AF53</f>
        <v>0</v>
      </c>
      <c r="AG45" s="193">
        <f>股权价值增加表!AG53</f>
        <v>56010255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217447676</v>
      </c>
      <c r="D46" s="190">
        <v>145096267</v>
      </c>
      <c r="E46" s="190">
        <v>228305476</v>
      </c>
      <c r="F46" s="190">
        <v>214336669</v>
      </c>
      <c r="G46" s="190">
        <v>125208476</v>
      </c>
      <c r="H46" s="190">
        <v>143633315</v>
      </c>
      <c r="I46" s="190">
        <v>137207338</v>
      </c>
      <c r="J46" s="190">
        <v>169056682</v>
      </c>
      <c r="K46" s="190">
        <v>143536791</v>
      </c>
      <c r="L46" s="190">
        <v>161185510</v>
      </c>
      <c r="M46" s="190">
        <v>141406056</v>
      </c>
      <c r="N46" s="190">
        <v>187399160</v>
      </c>
      <c r="O46" s="190">
        <v>123759487</v>
      </c>
      <c r="P46" s="190">
        <v>134030161</v>
      </c>
      <c r="Q46" s="190">
        <v>115966174</v>
      </c>
      <c r="R46" s="190">
        <v>134767454</v>
      </c>
      <c r="S46" s="190">
        <v>87070420</v>
      </c>
      <c r="T46" s="190">
        <v>112648417</v>
      </c>
      <c r="U46" s="190">
        <v>120392547</v>
      </c>
      <c r="V46" s="190">
        <v>139914274</v>
      </c>
      <c r="W46" s="190">
        <v>89810875</v>
      </c>
      <c r="X46" s="190">
        <v>135724772</v>
      </c>
      <c r="Y46" s="190">
        <v>75848631</v>
      </c>
      <c r="Z46" s="190">
        <v>33264999</v>
      </c>
      <c r="AA46" s="190">
        <v>30590800</v>
      </c>
      <c r="AB46" s="190">
        <v>21139300</v>
      </c>
      <c r="AC46" s="190">
        <v>9675000</v>
      </c>
      <c r="AD46" s="190">
        <v>0</v>
      </c>
      <c r="AE46" s="190">
        <v>0</v>
      </c>
      <c r="AF46" s="190">
        <v>0</v>
      </c>
      <c r="AG46" s="190">
        <v>0</v>
      </c>
      <c r="AH46" s="190">
        <v>0</v>
      </c>
      <c r="AI46" s="190">
        <v>0</v>
      </c>
      <c r="AJ46" s="190">
        <v>0</v>
      </c>
      <c r="AK46" s="190">
        <v>0</v>
      </c>
      <c r="AL46" s="190">
        <v>0</v>
      </c>
      <c r="AM46" s="190">
        <v>0</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7659772944</v>
      </c>
      <c r="C47" s="190">
        <v>5815376727</v>
      </c>
      <c r="D47" s="190">
        <v>4141434881</v>
      </c>
      <c r="E47" s="190">
        <v>8666817683</v>
      </c>
      <c r="F47" s="190">
        <v>5992190961</v>
      </c>
      <c r="G47" s="190">
        <v>4181472126</v>
      </c>
      <c r="H47" s="190">
        <v>920637656</v>
      </c>
      <c r="I47" s="190">
        <v>5526989372</v>
      </c>
      <c r="J47" s="190">
        <v>3482168188</v>
      </c>
      <c r="K47" s="190">
        <v>1241125261</v>
      </c>
      <c r="L47" s="190">
        <v>210549075</v>
      </c>
      <c r="M47" s="190">
        <v>3035249627</v>
      </c>
      <c r="N47" s="190">
        <v>2115624634</v>
      </c>
      <c r="O47" s="190">
        <v>1346583964</v>
      </c>
      <c r="P47" s="190">
        <v>570000000</v>
      </c>
      <c r="Q47" s="190">
        <v>1507718518</v>
      </c>
      <c r="R47" s="190">
        <v>930558918</v>
      </c>
      <c r="S47" s="190">
        <v>330000000</v>
      </c>
      <c r="T47" s="190">
        <v>330000000</v>
      </c>
      <c r="U47" s="190">
        <v>2136537400</v>
      </c>
      <c r="V47" s="190">
        <v>1073000000</v>
      </c>
      <c r="W47" s="190">
        <v>1043000000</v>
      </c>
      <c r="X47" s="190">
        <v>140000000</v>
      </c>
      <c r="Y47" s="190">
        <v>1964231732</v>
      </c>
      <c r="Z47" s="190">
        <v>1285600000</v>
      </c>
      <c r="AA47" s="190">
        <v>783600000</v>
      </c>
      <c r="AB47" s="190">
        <v>237500000</v>
      </c>
      <c r="AC47" s="190">
        <v>1125421792</v>
      </c>
      <c r="AD47" s="190">
        <v>610550000</v>
      </c>
      <c r="AE47" s="190">
        <v>528600000</v>
      </c>
      <c r="AF47" s="190">
        <v>247070758</v>
      </c>
      <c r="AG47" s="190">
        <v>1178769599</v>
      </c>
      <c r="AH47" s="190">
        <v>709900000</v>
      </c>
      <c r="AI47" s="190">
        <v>446700000</v>
      </c>
      <c r="AJ47" s="190">
        <v>69851703</v>
      </c>
      <c r="AK47" s="190">
        <v>715705489</v>
      </c>
      <c r="AL47" s="190">
        <v>362100000</v>
      </c>
      <c r="AM47" s="190">
        <v>271310000</v>
      </c>
      <c r="AN47" s="190">
        <v>92700000</v>
      </c>
      <c r="AO47" s="190">
        <v>421990000</v>
      </c>
      <c r="AP47" s="190">
        <v>391312671</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4793858113</v>
      </c>
      <c r="C48" s="190">
        <v>3395597358</v>
      </c>
      <c r="D48" s="190">
        <v>3395597358</v>
      </c>
      <c r="E48" s="190">
        <v>7779863680</v>
      </c>
      <c r="F48" s="190">
        <v>6281800494</v>
      </c>
      <c r="G48" s="190">
        <v>3788450872</v>
      </c>
      <c r="H48" s="190">
        <v>1791325400</v>
      </c>
      <c r="I48" s="190">
        <v>2495088400</v>
      </c>
      <c r="J48" s="190">
        <v>2500000000</v>
      </c>
      <c r="K48" s="190">
        <v>997886000</v>
      </c>
      <c r="L48" s="190">
        <v>498650000</v>
      </c>
      <c r="M48" s="190">
        <v>1493665849</v>
      </c>
      <c r="N48" s="190">
        <v>0</v>
      </c>
      <c r="O48" s="190">
        <v>0</v>
      </c>
      <c r="P48" s="190">
        <v>0</v>
      </c>
      <c r="Q48" s="190">
        <v>0</v>
      </c>
      <c r="R48" s="190">
        <v>0</v>
      </c>
      <c r="S48" s="190">
        <v>0</v>
      </c>
      <c r="T48" s="190">
        <v>0</v>
      </c>
      <c r="U48" s="190">
        <v>1383400000</v>
      </c>
      <c r="V48" s="190">
        <v>1383400000</v>
      </c>
      <c r="W48" s="190">
        <v>1383400000</v>
      </c>
      <c r="X48" s="190">
        <v>1383400000</v>
      </c>
      <c r="Y48" s="190">
        <v>3771040000</v>
      </c>
      <c r="Z48" s="190">
        <v>2289040000</v>
      </c>
      <c r="AA48" s="190">
        <v>2289040000</v>
      </c>
      <c r="AB48" s="190">
        <v>0</v>
      </c>
      <c r="AC48" s="190">
        <v>497780000</v>
      </c>
      <c r="AD48" s="190">
        <v>497780000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1120348744</v>
      </c>
      <c r="F49" s="193">
        <f t="shared" ref="F49:BQ49" si="85">F44+F48-F45-F46-F47</f>
        <v>1743272864</v>
      </c>
      <c r="G49" s="193">
        <f t="shared" si="85"/>
        <v>421770270</v>
      </c>
      <c r="H49" s="193">
        <f t="shared" si="85"/>
        <v>1317054429</v>
      </c>
      <c r="I49" s="193">
        <f t="shared" si="85"/>
        <v>-299520451</v>
      </c>
      <c r="J49" s="193">
        <f t="shared" si="85"/>
        <v>523775130</v>
      </c>
      <c r="K49" s="193">
        <f t="shared" si="85"/>
        <v>818223948</v>
      </c>
      <c r="L49" s="193">
        <f t="shared" si="85"/>
        <v>581915415</v>
      </c>
      <c r="M49" s="193">
        <f t="shared" si="85"/>
        <v>1221737766</v>
      </c>
      <c r="N49" s="193">
        <f t="shared" si="85"/>
        <v>1260157163</v>
      </c>
      <c r="O49" s="193">
        <f t="shared" si="85"/>
        <v>225266822</v>
      </c>
      <c r="P49" s="193">
        <f t="shared" si="85"/>
        <v>191657268</v>
      </c>
      <c r="Q49" s="193">
        <f t="shared" si="85"/>
        <v>936017800</v>
      </c>
      <c r="R49" s="193">
        <f t="shared" si="85"/>
        <v>1271052020</v>
      </c>
      <c r="S49" s="193">
        <f t="shared" si="85"/>
        <v>643307971</v>
      </c>
      <c r="T49" s="193">
        <f t="shared" si="85"/>
        <v>127351583</v>
      </c>
      <c r="U49" s="193">
        <f t="shared" si="85"/>
        <v>947020478</v>
      </c>
      <c r="V49" s="193">
        <f t="shared" si="85"/>
        <v>1680927926</v>
      </c>
      <c r="W49" s="193">
        <f t="shared" si="85"/>
        <v>720589125</v>
      </c>
      <c r="X49" s="193">
        <f t="shared" si="85"/>
        <v>1107675228</v>
      </c>
      <c r="Y49" s="193">
        <f t="shared" si="85"/>
        <v>2596839775</v>
      </c>
      <c r="Z49" s="193">
        <f t="shared" si="85"/>
        <v>2035575001</v>
      </c>
      <c r="AA49" s="193">
        <f t="shared" si="85"/>
        <v>2580249200</v>
      </c>
      <c r="AB49" s="193">
        <f t="shared" si="85"/>
        <v>134160700</v>
      </c>
      <c r="AC49" s="193">
        <f t="shared" si="85"/>
        <v>278781565</v>
      </c>
      <c r="AD49" s="193">
        <f t="shared" si="85"/>
        <v>564393198</v>
      </c>
      <c r="AE49" s="193">
        <f t="shared" si="85"/>
        <v>111844705</v>
      </c>
      <c r="AF49" s="193">
        <f t="shared" si="85"/>
        <v>65429242</v>
      </c>
      <c r="AG49" s="193">
        <f t="shared" si="85"/>
        <v>-265779854</v>
      </c>
      <c r="AH49" s="193">
        <f t="shared" si="85"/>
        <v>-119900000</v>
      </c>
      <c r="AI49" s="193">
        <f t="shared" si="85"/>
        <v>123300000</v>
      </c>
      <c r="AJ49" s="193">
        <f t="shared" si="85"/>
        <v>220148297</v>
      </c>
      <c r="AK49" s="193">
        <f t="shared" si="85"/>
        <v>307894511</v>
      </c>
      <c r="AL49" s="193">
        <f t="shared" si="85"/>
        <v>355000000</v>
      </c>
      <c r="AM49" s="193">
        <f t="shared" si="85"/>
        <v>323090000</v>
      </c>
      <c r="AN49" s="193">
        <f t="shared" si="85"/>
        <v>40000000</v>
      </c>
      <c r="AO49" s="193">
        <f t="shared" si="85"/>
        <v>112250000</v>
      </c>
      <c r="AP49" s="193">
        <f t="shared" si="85"/>
        <v>40085389</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1" sqref="A11"/>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542391777</v>
      </c>
      <c r="F3" s="26">
        <f>股权价值增加表!F53</f>
        <v>0</v>
      </c>
      <c r="G3" s="26">
        <f>股权价值增加表!G53</f>
        <v>0</v>
      </c>
      <c r="H3" s="26">
        <f>股权价值增加表!H53</f>
        <v>0</v>
      </c>
      <c r="I3" s="26">
        <f>股权价值增加表!I53</f>
        <v>493412141</v>
      </c>
      <c r="J3" s="26">
        <f>股权价值增加表!J53</f>
        <v>0</v>
      </c>
      <c r="K3" s="26">
        <f>股权价值增加表!K53</f>
        <v>0</v>
      </c>
      <c r="L3" s="26">
        <f>股权价值增加表!L53</f>
        <v>0</v>
      </c>
      <c r="M3" s="26">
        <f>股权价值增加表!M53</f>
        <v>493272400</v>
      </c>
      <c r="N3" s="26">
        <f>股权价值增加表!N53</f>
        <v>0</v>
      </c>
      <c r="O3" s="26">
        <f>股权价值增加表!O53</f>
        <v>0</v>
      </c>
      <c r="P3" s="26">
        <f>股权价值增加表!P53</f>
        <v>0</v>
      </c>
      <c r="Q3" s="26">
        <f>股权价值增加表!Q53</f>
        <v>389205571</v>
      </c>
      <c r="R3" s="26">
        <f>股权价值增加表!R53</f>
        <v>0</v>
      </c>
      <c r="S3" s="26">
        <f>股权价值增加表!S53</f>
        <v>0</v>
      </c>
      <c r="T3" s="26">
        <f>股权价值增加表!T53</f>
        <v>0</v>
      </c>
      <c r="U3" s="26">
        <f>股权价值增加表!U53</f>
        <v>312986975</v>
      </c>
      <c r="V3" s="26">
        <f>股权价值增加表!V53</f>
        <v>0</v>
      </c>
      <c r="W3" s="26">
        <f>股权价值增加表!W53</f>
        <v>0</v>
      </c>
      <c r="X3" s="26">
        <f>股权价值增加表!X53</f>
        <v>0</v>
      </c>
      <c r="Y3" s="26">
        <f>股权价值增加表!Y53</f>
        <v>181919862</v>
      </c>
      <c r="Z3" s="26">
        <f>股权价值增加表!Z53</f>
        <v>0</v>
      </c>
      <c r="AA3" s="26">
        <f>股权价值增加表!AA53</f>
        <v>0</v>
      </c>
      <c r="AB3" s="26">
        <f>股权价值增加表!AB53</f>
        <v>0</v>
      </c>
      <c r="AC3" s="26">
        <f>股权价值增加表!AC53</f>
        <v>79201643</v>
      </c>
      <c r="AD3" s="26">
        <f>股权价值增加表!AD53</f>
        <v>0</v>
      </c>
      <c r="AE3" s="26">
        <f>股权价值增加表!AE53</f>
        <v>0</v>
      </c>
      <c r="AF3" s="26">
        <f>股权价值增加表!AF53</f>
        <v>0</v>
      </c>
      <c r="AG3" s="26">
        <f>股权价值增加表!AG53</f>
        <v>56010255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7626617139</v>
      </c>
      <c r="F4" s="26">
        <f>资产资本表!F89</f>
        <v>8175357177</v>
      </c>
      <c r="G4" s="26">
        <f>资产资本表!G89</f>
        <v>6671440081</v>
      </c>
      <c r="H4" s="26">
        <f>资产资本表!H89</f>
        <v>8595874834</v>
      </c>
      <c r="I4" s="26">
        <f>资产资本表!I89</f>
        <v>7621901355</v>
      </c>
      <c r="J4" s="26">
        <f>资产资本表!J89</f>
        <v>7023040831</v>
      </c>
      <c r="K4" s="26">
        <f>资产资本表!K89</f>
        <v>7777512509</v>
      </c>
      <c r="L4" s="26">
        <f>资产资本表!L89</f>
        <v>8069320952</v>
      </c>
      <c r="M4" s="26">
        <f>资产资本表!M89</f>
        <v>6705182318</v>
      </c>
      <c r="N4" s="26">
        <f>资产资本表!N89</f>
        <v>5227159615</v>
      </c>
      <c r="O4" s="26">
        <f>资产资本表!O89</f>
        <v>5601519512</v>
      </c>
      <c r="P4" s="26">
        <f>资产资本表!P89</f>
        <v>5620763017</v>
      </c>
      <c r="Q4" s="26">
        <f>资产资本表!Q89</f>
        <v>6488281190</v>
      </c>
      <c r="R4" s="26">
        <f>资产资本表!R89</f>
        <v>7486043130</v>
      </c>
      <c r="S4" s="26">
        <f>资产资本表!S89</f>
        <v>6761272876</v>
      </c>
      <c r="T4" s="26">
        <f>资产资本表!T89</f>
        <v>6294890488</v>
      </c>
      <c r="U4" s="26">
        <f>资产资本表!U89</f>
        <v>5758699091</v>
      </c>
      <c r="V4" s="26">
        <f>资产资本表!V89</f>
        <v>6211216394</v>
      </c>
      <c r="W4" s="26">
        <f>资产资本表!W89</f>
        <v>5136800490</v>
      </c>
      <c r="X4" s="26">
        <f>资产资本表!X89</f>
        <v>4913937717</v>
      </c>
      <c r="Y4" s="26">
        <f>资产资本表!Y89</f>
        <v>3905144554</v>
      </c>
      <c r="Z4" s="26">
        <f>资产资本表!Z89</f>
        <v>3071716903</v>
      </c>
      <c r="AA4" s="26">
        <f>资产资本表!AA89</f>
        <v>3281177873</v>
      </c>
      <c r="AB4" s="26">
        <f>资产资本表!AB89</f>
        <v>1728303998</v>
      </c>
      <c r="AC4" s="26">
        <f>资产资本表!AC89</f>
        <v>1292593108</v>
      </c>
      <c r="AD4" s="26">
        <f>资产资本表!AD89</f>
        <v>1725354361</v>
      </c>
      <c r="AE4" s="26">
        <f>资产资本表!AE89</f>
        <v>1270620303</v>
      </c>
      <c r="AF4" s="26">
        <f>资产资本表!AF89</f>
        <v>1212324773</v>
      </c>
      <c r="AG4" s="26">
        <f>资产资本表!AG89</f>
        <v>1094945433</v>
      </c>
      <c r="AH4" s="26">
        <f>资产资本表!AH89</f>
        <v>919898961</v>
      </c>
      <c r="AI4" s="26">
        <f>资产资本表!AI89</f>
        <v>1106138991</v>
      </c>
      <c r="AJ4" s="26">
        <f>资产资本表!AJ89</f>
        <v>1203560426</v>
      </c>
      <c r="AK4" s="26">
        <f>资产资本表!AK89</f>
        <v>1178271840</v>
      </c>
      <c r="AL4" s="26">
        <f>资产资本表!AL89</f>
        <v>874380999</v>
      </c>
      <c r="AM4" s="26">
        <f>资产资本表!AM89</f>
        <v>499251636</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7.1140258932488529E-2</v>
      </c>
      <c r="F5" s="63">
        <f t="shared" ref="F5:BQ5" si="0">IF(F4+J4=0,0,F3/((F4+J4)/2))</f>
        <v>0</v>
      </c>
      <c r="G5" s="63">
        <f t="shared" si="0"/>
        <v>0</v>
      </c>
      <c r="H5" s="63">
        <f t="shared" si="0"/>
        <v>0</v>
      </c>
      <c r="I5" s="63">
        <f t="shared" si="0"/>
        <v>6.8878238204172174E-2</v>
      </c>
      <c r="J5" s="63">
        <f t="shared" si="0"/>
        <v>0</v>
      </c>
      <c r="K5" s="63">
        <f t="shared" si="0"/>
        <v>0</v>
      </c>
      <c r="L5" s="63">
        <f t="shared" si="0"/>
        <v>0</v>
      </c>
      <c r="M5" s="63">
        <f t="shared" si="0"/>
        <v>7.4775270299705446E-2</v>
      </c>
      <c r="N5" s="63">
        <f t="shared" si="0"/>
        <v>0</v>
      </c>
      <c r="O5" s="63">
        <f t="shared" si="0"/>
        <v>0</v>
      </c>
      <c r="P5" s="63">
        <f t="shared" si="0"/>
        <v>0</v>
      </c>
      <c r="Q5" s="63">
        <f t="shared" si="0"/>
        <v>6.3559434582223448E-2</v>
      </c>
      <c r="R5" s="63">
        <f t="shared" si="0"/>
        <v>0</v>
      </c>
      <c r="S5" s="63">
        <f t="shared" si="0"/>
        <v>0</v>
      </c>
      <c r="T5" s="63">
        <f t="shared" si="0"/>
        <v>0</v>
      </c>
      <c r="U5" s="63">
        <f t="shared" si="0"/>
        <v>6.4774842494877721E-2</v>
      </c>
      <c r="V5" s="63">
        <f t="shared" si="0"/>
        <v>0</v>
      </c>
      <c r="W5" s="63">
        <f t="shared" si="0"/>
        <v>0</v>
      </c>
      <c r="X5" s="63">
        <f t="shared" si="0"/>
        <v>0</v>
      </c>
      <c r="Y5" s="63">
        <f t="shared" si="0"/>
        <v>6.9999632082239555E-2</v>
      </c>
      <c r="Z5" s="63">
        <f t="shared" si="0"/>
        <v>0</v>
      </c>
      <c r="AA5" s="63">
        <f t="shared" si="0"/>
        <v>0</v>
      </c>
      <c r="AB5" s="63">
        <f t="shared" si="0"/>
        <v>0</v>
      </c>
      <c r="AC5" s="63">
        <f t="shared" si="0"/>
        <v>6.6345855063623033E-2</v>
      </c>
      <c r="AD5" s="63">
        <f t="shared" si="0"/>
        <v>0</v>
      </c>
      <c r="AE5" s="63">
        <f t="shared" si="0"/>
        <v>0</v>
      </c>
      <c r="AF5" s="63">
        <f t="shared" si="0"/>
        <v>0</v>
      </c>
      <c r="AG5" s="63">
        <f t="shared" si="0"/>
        <v>4.9278399971052836E-2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0.35461180986371327</v>
      </c>
      <c r="F6" s="63">
        <f>股权价值增加表!F41</f>
        <v>0.12626621361057161</v>
      </c>
      <c r="G6" s="63">
        <f>股权价值增加表!G41</f>
        <v>0.12393917896337343</v>
      </c>
      <c r="H6" s="63">
        <f>股权价值增加表!H41</f>
        <v>5.488783404551472E-2</v>
      </c>
      <c r="I6" s="63">
        <f>股权价值增加表!I41</f>
        <v>0.10858717575158548</v>
      </c>
      <c r="J6" s="63">
        <f>股权价值增加表!J41</f>
        <v>8.2956898427481135E-2</v>
      </c>
      <c r="K6" s="63">
        <f>股权价值增加表!K41</f>
        <v>8.833287422050505E-2</v>
      </c>
      <c r="L6" s="63">
        <f>股权价值增加表!L41</f>
        <v>9.314374995515963E-2</v>
      </c>
      <c r="M6" s="63">
        <f>股权价值增加表!M41</f>
        <v>0.36890168417476343</v>
      </c>
      <c r="N6" s="63">
        <f>股权价值增加表!N41</f>
        <v>0.24444181675965909</v>
      </c>
      <c r="O6" s="63">
        <f>股权价值增加表!O41</f>
        <v>0.18682709887907664</v>
      </c>
      <c r="P6" s="63">
        <f>股权价值增加表!P41</f>
        <v>0.18369787363769835</v>
      </c>
      <c r="Q6" s="63">
        <f>股权价值增加表!Q41</f>
        <v>0.13360403841038684</v>
      </c>
      <c r="R6" s="63">
        <f>股权价值增加表!R41</f>
        <v>0.13560226692043209</v>
      </c>
      <c r="S6" s="63">
        <f>股权价值增加表!S41</f>
        <v>0.13796799614447142</v>
      </c>
      <c r="T6" s="63">
        <f>股权价值增加表!T41</f>
        <v>0.13443842742260306</v>
      </c>
      <c r="U6" s="63">
        <f>股权价值增加表!U41</f>
        <v>0.15084619237808772</v>
      </c>
      <c r="V6" s="63">
        <f>股权价值增加表!V41</f>
        <v>0.13513422557822857</v>
      </c>
      <c r="W6" s="63">
        <f>股权价值增加表!W41</f>
        <v>0.131195281432823</v>
      </c>
      <c r="X6" s="63">
        <f>股权价值增加表!X41</f>
        <v>0.13959773777146428</v>
      </c>
      <c r="Y6" s="63">
        <f>股权价值增加表!Y41</f>
        <v>0.13857351433861964</v>
      </c>
      <c r="Z6" s="63">
        <f>股权价值增加表!Z41</f>
        <v>0.13760228563030774</v>
      </c>
      <c r="AA6" s="63">
        <f>股权价值增加表!AA41</f>
        <v>0.13667946503633763</v>
      </c>
      <c r="AB6" s="63">
        <f>股权价值增加表!AB41</f>
        <v>0.14265694967582201</v>
      </c>
      <c r="AC6" s="63">
        <f>股权价值增加表!AC41</f>
        <v>0.14079400863914227</v>
      </c>
      <c r="AD6" s="63">
        <f>股权价值增加表!AD41</f>
        <v>0.14478997815082592</v>
      </c>
      <c r="AE6" s="63">
        <f>股权价值增加表!AE41</f>
        <v>0.14295534755344436</v>
      </c>
      <c r="AF6" s="63">
        <f>股权价值增加表!AF41</f>
        <v>0.14417334587729916</v>
      </c>
      <c r="AG6" s="63">
        <f>股权价值增加表!AG41</f>
        <v>0.14685243327169453</v>
      </c>
      <c r="AH6" s="63">
        <f>股权价值增加表!AH41</f>
        <v>0.14684497245610328</v>
      </c>
      <c r="AI6" s="63">
        <f>股权价值增加表!AI41</f>
        <v>0.14504056851701233</v>
      </c>
      <c r="AJ6" s="63">
        <f>股权价值增加表!AJ41</f>
        <v>0.15808566508746155</v>
      </c>
      <c r="AK6" s="63">
        <f>股权价值增加表!AK41</f>
        <v>0.16812081801290654</v>
      </c>
      <c r="AL6" s="63">
        <f>股权价值增加表!AL41</f>
        <v>0.17489750109688337</v>
      </c>
      <c r="AM6" s="63">
        <f>股权价值增加表!AM41</f>
        <v>0.17040045152719427</v>
      </c>
      <c r="AN6" s="63">
        <f>股权价值增加表!AN41</f>
        <v>0.17317206624885059</v>
      </c>
      <c r="AO6" s="63">
        <f>股权价值增加表!AO41</f>
        <v>0.11535619315574605</v>
      </c>
      <c r="AP6" s="63">
        <f>股权价值增加表!AP41</f>
        <v>0.15876163802980181</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4.5913082958265579E-2</v>
      </c>
      <c r="F7" s="63">
        <f t="shared" ref="F7:BQ7" si="2">F5*(1-F6)</f>
        <v>0</v>
      </c>
      <c r="G7" s="63">
        <f t="shared" si="2"/>
        <v>0</v>
      </c>
      <c r="H7" s="63">
        <f t="shared" si="2"/>
        <v>0</v>
      </c>
      <c r="I7" s="63">
        <f t="shared" si="2"/>
        <v>6.1398944846836161E-2</v>
      </c>
      <c r="J7" s="63">
        <f t="shared" si="2"/>
        <v>0</v>
      </c>
      <c r="K7" s="63">
        <f t="shared" si="2"/>
        <v>0</v>
      </c>
      <c r="L7" s="63">
        <f t="shared" si="2"/>
        <v>0</v>
      </c>
      <c r="M7" s="63">
        <f t="shared" si="2"/>
        <v>4.7190547151520941E-2</v>
      </c>
      <c r="N7" s="63">
        <f t="shared" si="2"/>
        <v>0</v>
      </c>
      <c r="O7" s="63">
        <f t="shared" si="2"/>
        <v>0</v>
      </c>
      <c r="P7" s="63">
        <f t="shared" si="2"/>
        <v>0</v>
      </c>
      <c r="Q7" s="63">
        <f t="shared" si="2"/>
        <v>5.5067637442957597E-2</v>
      </c>
      <c r="R7" s="63">
        <f t="shared" si="2"/>
        <v>0</v>
      </c>
      <c r="S7" s="63">
        <f t="shared" si="2"/>
        <v>0</v>
      </c>
      <c r="T7" s="63">
        <f t="shared" si="2"/>
        <v>0</v>
      </c>
      <c r="U7" s="63">
        <f t="shared" si="2"/>
        <v>5.5003804142635067E-2</v>
      </c>
      <c r="V7" s="63">
        <f t="shared" si="2"/>
        <v>0</v>
      </c>
      <c r="W7" s="63">
        <f t="shared" si="2"/>
        <v>0</v>
      </c>
      <c r="X7" s="63">
        <f t="shared" si="2"/>
        <v>0</v>
      </c>
      <c r="Y7" s="63">
        <f t="shared" si="2"/>
        <v>6.029953706219323E-2</v>
      </c>
      <c r="Z7" s="63">
        <f t="shared" si="2"/>
        <v>0</v>
      </c>
      <c r="AA7" s="63">
        <f t="shared" si="2"/>
        <v>0</v>
      </c>
      <c r="AB7" s="63">
        <f t="shared" si="2"/>
        <v>0</v>
      </c>
      <c r="AC7" s="63">
        <f t="shared" si="2"/>
        <v>5.7004756172624009E-2</v>
      </c>
      <c r="AD7" s="63">
        <f t="shared" si="2"/>
        <v>0</v>
      </c>
      <c r="AE7" s="63">
        <f t="shared" si="2"/>
        <v>0</v>
      </c>
      <c r="AF7" s="63">
        <f t="shared" si="2"/>
        <v>0</v>
      </c>
      <c r="AG7" s="63">
        <f t="shared" si="2"/>
        <v>4.2041747027567924E-2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11982452105</v>
      </c>
      <c r="F8" s="26">
        <f>资产资本表!F107</f>
        <v>12088507776</v>
      </c>
      <c r="G8" s="26">
        <f>资产资本表!G107</f>
        <v>11790028122</v>
      </c>
      <c r="H8" s="26">
        <f>资产资本表!H107</f>
        <v>11914249531</v>
      </c>
      <c r="I8" s="26">
        <f>资产资本表!I107</f>
        <v>11466348976</v>
      </c>
      <c r="J8" s="26">
        <f>资产资本表!J107</f>
        <v>11521444528</v>
      </c>
      <c r="K8" s="26">
        <f>资产资本表!K107</f>
        <v>11368850082</v>
      </c>
      <c r="L8" s="26">
        <f>资产资本表!L107</f>
        <v>11350752779</v>
      </c>
      <c r="M8" s="26">
        <f>资产资本表!M107</f>
        <v>11163859947</v>
      </c>
      <c r="N8" s="26">
        <f>资产资本表!N107</f>
        <v>11051170014</v>
      </c>
      <c r="O8" s="26">
        <f>资产资本表!O107</f>
        <v>11242568699</v>
      </c>
      <c r="P8" s="26">
        <f>资产资本表!P107</f>
        <v>11164835655</v>
      </c>
      <c r="Q8" s="26">
        <f>资产资本表!Q107</f>
        <v>10970370538</v>
      </c>
      <c r="R8" s="26">
        <f>资产资本表!R107</f>
        <v>10816962121</v>
      </c>
      <c r="S8" s="26">
        <f>资产资本表!S107</f>
        <v>10466029910</v>
      </c>
      <c r="T8" s="26">
        <f>资产资本表!T107</f>
        <v>10250693746</v>
      </c>
      <c r="U8" s="26">
        <f>资产资本表!U107</f>
        <v>10023912744</v>
      </c>
      <c r="V8" s="26">
        <f>资产资本表!V107</f>
        <v>9789571858</v>
      </c>
      <c r="W8" s="26">
        <f>资产资本表!W107</f>
        <v>9471174991</v>
      </c>
      <c r="X8" s="26">
        <f>资产资本表!X107</f>
        <v>9273795042</v>
      </c>
      <c r="Y8" s="26">
        <f>资产资本表!Y107</f>
        <v>9064077763</v>
      </c>
      <c r="Z8" s="26">
        <f>资产资本表!Z107</f>
        <v>8729310164</v>
      </c>
      <c r="AA8" s="26">
        <f>资产资本表!AA107</f>
        <v>8419151002</v>
      </c>
      <c r="AB8" s="26">
        <f>资产资本表!AB107</f>
        <v>8098465924</v>
      </c>
      <c r="AC8" s="26">
        <f>资产资本表!AC107</f>
        <v>7930970313</v>
      </c>
      <c r="AD8" s="26">
        <f>资产资本表!AD107</f>
        <v>7626579258</v>
      </c>
      <c r="AE8" s="26">
        <f>资产资本表!AE107</f>
        <v>7350208332</v>
      </c>
      <c r="AF8" s="26">
        <f>资产资本表!AF107</f>
        <v>7207337137</v>
      </c>
      <c r="AG8" s="26">
        <f>资产资本表!AG107</f>
        <v>7051637714</v>
      </c>
      <c r="AH8" s="26">
        <f>资产资本表!AH107</f>
        <v>6794746060</v>
      </c>
      <c r="AI8" s="26">
        <f>资产资本表!AI107</f>
        <v>6612061008</v>
      </c>
      <c r="AJ8" s="26">
        <f>资产资本表!AJ107</f>
        <v>1672504173</v>
      </c>
      <c r="AK8" s="26">
        <f>资产资本表!AK107</f>
        <v>1579410172</v>
      </c>
      <c r="AL8" s="26">
        <f>资产资本表!AL107</f>
        <v>1190238938</v>
      </c>
      <c r="AM8" s="26">
        <f>资产资本表!AM107</f>
        <v>691216325</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19609069244</v>
      </c>
      <c r="F10" s="26">
        <f>资产资本表!F70</f>
        <v>20278768043</v>
      </c>
      <c r="G10" s="26">
        <f>资产资本表!G70</f>
        <v>18482468203</v>
      </c>
      <c r="H10" s="26">
        <f>资产资本表!H70</f>
        <v>20551364365</v>
      </c>
      <c r="I10" s="26">
        <f>资产资本表!I70</f>
        <v>19109250331</v>
      </c>
      <c r="J10" s="26">
        <f>资产资本表!J70</f>
        <v>18544485359</v>
      </c>
      <c r="K10" s="26">
        <f>资产资本表!K70</f>
        <v>19146362591</v>
      </c>
      <c r="L10" s="26">
        <f>资产资本表!L70</f>
        <v>19420073731</v>
      </c>
      <c r="M10" s="26">
        <f>资产资本表!M70</f>
        <v>17869042265</v>
      </c>
      <c r="N10" s="26">
        <f>资产资本表!N70</f>
        <v>16278329629</v>
      </c>
      <c r="O10" s="26">
        <f>资产资本表!O70</f>
        <v>16844088211</v>
      </c>
      <c r="P10" s="26">
        <f>资产资本表!P70</f>
        <v>16785598672</v>
      </c>
      <c r="Q10" s="26">
        <f>资产资本表!Q70</f>
        <v>17458651728</v>
      </c>
      <c r="R10" s="26">
        <f>资产资本表!R70</f>
        <v>18303005251</v>
      </c>
      <c r="S10" s="26">
        <f>资产资本表!S70</f>
        <v>17298799568</v>
      </c>
      <c r="T10" s="26">
        <f>资产资本表!T70</f>
        <v>16545584234</v>
      </c>
      <c r="U10" s="26">
        <f>资产资本表!U70</f>
        <v>15782611835</v>
      </c>
      <c r="V10" s="26">
        <f>资产资本表!V70</f>
        <v>16000788252</v>
      </c>
      <c r="W10" s="26">
        <f>资产资本表!W70</f>
        <v>14607975481</v>
      </c>
      <c r="X10" s="26">
        <f>资产资本表!X70</f>
        <v>14187732759</v>
      </c>
      <c r="Y10" s="26">
        <f>资产资本表!Y70</f>
        <v>12969222317</v>
      </c>
      <c r="Z10" s="26">
        <f>资产资本表!Z70</f>
        <v>11801027067</v>
      </c>
      <c r="AA10" s="26">
        <f>资产资本表!AA70</f>
        <v>11700328875</v>
      </c>
      <c r="AB10" s="26">
        <f>资产资本表!AB70</f>
        <v>9826769922</v>
      </c>
      <c r="AC10" s="26">
        <f>资产资本表!AC70</f>
        <v>9223563421</v>
      </c>
      <c r="AD10" s="26">
        <f>资产资本表!AD70</f>
        <v>9351933619</v>
      </c>
      <c r="AE10" s="26">
        <f>资产资本表!AE70</f>
        <v>8620828635</v>
      </c>
      <c r="AF10" s="26">
        <f>资产资本表!AF70</f>
        <v>8419661910</v>
      </c>
      <c r="AG10" s="26">
        <f>资产资本表!AG70</f>
        <v>8146583147</v>
      </c>
      <c r="AH10" s="26">
        <f>资产资本表!AH70</f>
        <v>7714645021</v>
      </c>
      <c r="AI10" s="26">
        <f>资产资本表!AI70</f>
        <v>7718199999</v>
      </c>
      <c r="AJ10" s="26">
        <f>资产资本表!AJ70</f>
        <v>2876064599</v>
      </c>
      <c r="AK10" s="26">
        <f>资产资本表!AK70</f>
        <v>2757682012</v>
      </c>
      <c r="AL10" s="26">
        <f>资产资本表!AL70</f>
        <v>2064619937</v>
      </c>
      <c r="AM10" s="26">
        <f>资产资本表!AM70</f>
        <v>1190467961</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0.38893315353728986</v>
      </c>
      <c r="F11" s="63">
        <f t="shared" ref="F11:BQ11" si="3">F4/F10</f>
        <v>0.40314861137839386</v>
      </c>
      <c r="G11" s="63">
        <f t="shared" si="3"/>
        <v>0.36096045223641282</v>
      </c>
      <c r="H11" s="63">
        <f t="shared" si="3"/>
        <v>0.41826297667317913</v>
      </c>
      <c r="I11" s="63">
        <f t="shared" si="3"/>
        <v>0.3988592552286242</v>
      </c>
      <c r="J11" s="63">
        <f t="shared" si="3"/>
        <v>0.37871316971282687</v>
      </c>
      <c r="K11" s="63">
        <f t="shared" si="3"/>
        <v>0.40621358088433585</v>
      </c>
      <c r="L11" s="63">
        <f t="shared" si="3"/>
        <v>0.41551443438235008</v>
      </c>
      <c r="M11" s="63">
        <f t="shared" si="3"/>
        <v>0.37524016220686912</v>
      </c>
      <c r="N11" s="63">
        <f t="shared" si="3"/>
        <v>0.3211115473228755</v>
      </c>
      <c r="O11" s="63">
        <f t="shared" si="3"/>
        <v>0.33255106728436262</v>
      </c>
      <c r="P11" s="63">
        <f t="shared" si="3"/>
        <v>0.33485627333483053</v>
      </c>
      <c r="Q11" s="63">
        <f t="shared" si="3"/>
        <v>0.37163701361853524</v>
      </c>
      <c r="R11" s="63">
        <f t="shared" si="3"/>
        <v>0.40900622752053212</v>
      </c>
      <c r="S11" s="63">
        <f t="shared" si="3"/>
        <v>0.3908521426253917</v>
      </c>
      <c r="T11" s="63">
        <f t="shared" si="3"/>
        <v>0.38045743196329368</v>
      </c>
      <c r="U11" s="63">
        <f t="shared" si="3"/>
        <v>0.36487617836670949</v>
      </c>
      <c r="V11" s="63">
        <f t="shared" si="3"/>
        <v>0.38818190055253288</v>
      </c>
      <c r="W11" s="63">
        <f t="shared" si="3"/>
        <v>0.35164355914214313</v>
      </c>
      <c r="X11" s="63">
        <f t="shared" si="3"/>
        <v>0.34635116127929882</v>
      </c>
      <c r="Y11" s="63">
        <f t="shared" si="3"/>
        <v>0.30110861380494292</v>
      </c>
      <c r="Z11" s="63">
        <f t="shared" si="3"/>
        <v>0.260292336045025</v>
      </c>
      <c r="AA11" s="63">
        <f t="shared" si="3"/>
        <v>0.2804346705169003</v>
      </c>
      <c r="AB11" s="63">
        <f t="shared" si="3"/>
        <v>0.17587712053079652</v>
      </c>
      <c r="AC11" s="63">
        <f t="shared" si="3"/>
        <v>0.14014031768427518</v>
      </c>
      <c r="AD11" s="63">
        <f t="shared" si="3"/>
        <v>0.18449172452364901</v>
      </c>
      <c r="AE11" s="63">
        <f t="shared" si="3"/>
        <v>0.14738957898332009</v>
      </c>
      <c r="AF11" s="63">
        <f t="shared" si="3"/>
        <v>0.14398734604297192</v>
      </c>
      <c r="AG11" s="63">
        <f t="shared" si="3"/>
        <v>0.13440548181272985</v>
      </c>
      <c r="AH11" s="63">
        <f t="shared" si="3"/>
        <v>0.11924060776561296</v>
      </c>
      <c r="AI11" s="63">
        <f t="shared" si="3"/>
        <v>0.14331566830910258</v>
      </c>
      <c r="AJ11" s="63">
        <f t="shared" si="3"/>
        <v>0.41847475415485269</v>
      </c>
      <c r="AK11" s="63">
        <f t="shared" si="3"/>
        <v>0.42726892907622155</v>
      </c>
      <c r="AL11" s="63">
        <f t="shared" si="3"/>
        <v>0.42350700161818694</v>
      </c>
      <c r="AM11" s="63">
        <f t="shared" si="3"/>
        <v>0.4193742732737013</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0.61106684646271014</v>
      </c>
      <c r="F12" s="63">
        <f t="shared" ref="F12:BQ12" si="4">F8/F10</f>
        <v>0.59611647760687392</v>
      </c>
      <c r="G12" s="63">
        <f t="shared" si="4"/>
        <v>0.6379033358805557</v>
      </c>
      <c r="H12" s="63">
        <f t="shared" si="4"/>
        <v>0.57973034390313094</v>
      </c>
      <c r="I12" s="63">
        <f t="shared" si="4"/>
        <v>0.60004180056183076</v>
      </c>
      <c r="J12" s="63">
        <f t="shared" si="4"/>
        <v>0.62128683028717313</v>
      </c>
      <c r="K12" s="63">
        <f t="shared" si="4"/>
        <v>0.59378641911566421</v>
      </c>
      <c r="L12" s="63">
        <f t="shared" si="4"/>
        <v>0.58448556561764997</v>
      </c>
      <c r="M12" s="63">
        <f t="shared" si="4"/>
        <v>0.62475983779313082</v>
      </c>
      <c r="N12" s="63">
        <f t="shared" si="4"/>
        <v>0.6788884526771245</v>
      </c>
      <c r="O12" s="63">
        <f t="shared" si="4"/>
        <v>0.66744893271563743</v>
      </c>
      <c r="P12" s="63">
        <f t="shared" si="4"/>
        <v>0.66514372666516952</v>
      </c>
      <c r="Q12" s="63">
        <f t="shared" si="4"/>
        <v>0.62836298638146471</v>
      </c>
      <c r="R12" s="63">
        <f t="shared" si="4"/>
        <v>0.59099377247946794</v>
      </c>
      <c r="S12" s="63">
        <f t="shared" si="4"/>
        <v>0.60501480862062096</v>
      </c>
      <c r="T12" s="63">
        <f t="shared" si="4"/>
        <v>0.61954256803670626</v>
      </c>
      <c r="U12" s="63">
        <f t="shared" si="4"/>
        <v>0.63512382163329051</v>
      </c>
      <c r="V12" s="63">
        <f t="shared" si="4"/>
        <v>0.61181809944746712</v>
      </c>
      <c r="W12" s="63">
        <f t="shared" si="4"/>
        <v>0.64835644085785693</v>
      </c>
      <c r="X12" s="63">
        <f t="shared" si="4"/>
        <v>0.65364883872070123</v>
      </c>
      <c r="Y12" s="63">
        <f t="shared" si="4"/>
        <v>0.69889138619505708</v>
      </c>
      <c r="Z12" s="63">
        <f t="shared" si="4"/>
        <v>0.739707663954975</v>
      </c>
      <c r="AA12" s="63">
        <f t="shared" si="4"/>
        <v>0.7195653294830997</v>
      </c>
      <c r="AB12" s="63">
        <f t="shared" si="4"/>
        <v>0.82412287946920348</v>
      </c>
      <c r="AC12" s="63">
        <f t="shared" si="4"/>
        <v>0.85985968231572485</v>
      </c>
      <c r="AD12" s="63">
        <f t="shared" si="4"/>
        <v>0.81550827547635096</v>
      </c>
      <c r="AE12" s="63">
        <f t="shared" si="4"/>
        <v>0.85261042101667994</v>
      </c>
      <c r="AF12" s="63">
        <f t="shared" si="4"/>
        <v>0.85601265395702808</v>
      </c>
      <c r="AG12" s="63">
        <f t="shared" si="4"/>
        <v>0.86559451818727018</v>
      </c>
      <c r="AH12" s="63">
        <f t="shared" si="4"/>
        <v>0.88075939223438704</v>
      </c>
      <c r="AI12" s="63">
        <f t="shared" si="4"/>
        <v>0.85668433169089742</v>
      </c>
      <c r="AJ12" s="63">
        <f t="shared" si="4"/>
        <v>0.58152524584514731</v>
      </c>
      <c r="AK12" s="63">
        <f t="shared" si="4"/>
        <v>0.5727310709237784</v>
      </c>
      <c r="AL12" s="63">
        <f t="shared" si="4"/>
        <v>0.57649299838181312</v>
      </c>
      <c r="AM12" s="63">
        <f t="shared" si="4"/>
        <v>0.58062572672629864</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6.6742467860594235E-2</v>
      </c>
      <c r="F13" s="63">
        <f t="shared" ref="F13:J13" si="5">F5*F11*(1-F6)+F9*F12</f>
        <v>4.7689318208549915E-2</v>
      </c>
      <c r="G13" s="63">
        <f t="shared" si="5"/>
        <v>5.1032266870444459E-2</v>
      </c>
      <c r="H13" s="63">
        <f t="shared" si="5"/>
        <v>4.6378427512250478E-2</v>
      </c>
      <c r="I13" s="63">
        <f t="shared" si="5"/>
        <v>7.2492881458378899E-2</v>
      </c>
      <c r="J13" s="63">
        <f t="shared" si="5"/>
        <v>4.9702946422973848E-2</v>
      </c>
      <c r="K13" s="63">
        <f t="shared" ref="K13" si="6">K5*K11*(1-K6)+K9*K12</f>
        <v>4.7502913529253135E-2</v>
      </c>
      <c r="L13" s="63">
        <f t="shared" ref="L13" si="7">L5*L11*(1-L6)+L9*L12</f>
        <v>4.6758845249411998E-2</v>
      </c>
      <c r="M13" s="63">
        <f t="shared" ref="M13" si="8">M5*M11*(1-M6)+M9*M12</f>
        <v>6.7688575591218089E-2</v>
      </c>
      <c r="N13" s="63">
        <f t="shared" ref="N13:O13" si="9">N5*N11*(1-N6)+N9*N12</f>
        <v>5.4311076214169959E-2</v>
      </c>
      <c r="O13" s="63">
        <f t="shared" si="9"/>
        <v>5.3395914617250996E-2</v>
      </c>
      <c r="P13" s="63">
        <f t="shared" ref="P13" si="10">P5*P11*(1-P6)+P9*P12</f>
        <v>5.3211498133213561E-2</v>
      </c>
      <c r="Q13" s="63">
        <f t="shared" ref="Q13" si="11">Q5*Q11*(1-Q6)+Q9*Q12</f>
        <v>7.0734211236846173E-2</v>
      </c>
      <c r="R13" s="63">
        <f t="shared" ref="R13" si="12">R5*R11*(1-R6)+R9*R12</f>
        <v>4.7279501798357437E-2</v>
      </c>
      <c r="S13" s="63">
        <f t="shared" ref="S13:T13" si="13">S5*S11*(1-S6)+S9*S12</f>
        <v>4.8401184689649678E-2</v>
      </c>
      <c r="T13" s="63">
        <f t="shared" si="13"/>
        <v>4.9563405442936505E-2</v>
      </c>
      <c r="U13" s="63">
        <f t="shared" ref="U13" si="14">U5*U11*(1-U6)+U9*U12</f>
        <v>7.0879483581858915E-2</v>
      </c>
      <c r="V13" s="63">
        <f t="shared" ref="V13" si="15">V5*V11*(1-V6)+V9*V12</f>
        <v>4.8945447955797368E-2</v>
      </c>
      <c r="W13" s="63">
        <f t="shared" ref="W13" si="16">W5*W11*(1-W6)+W9*W12</f>
        <v>5.1868515268628554E-2</v>
      </c>
      <c r="X13" s="63">
        <f t="shared" ref="X13:Y13" si="17">X5*X11*(1-X6)+X9*X12</f>
        <v>5.2291907097656097E-2</v>
      </c>
      <c r="Y13" s="63">
        <f t="shared" si="17"/>
        <v>7.4068020913481358E-2</v>
      </c>
      <c r="Z13" s="63">
        <f t="shared" ref="Z13" si="18">Z5*Z11*(1-Z6)+Z9*Z12</f>
        <v>5.9176613116397998E-2</v>
      </c>
      <c r="AA13" s="63">
        <f t="shared" ref="AA13" si="19">AA5*AA11*(1-AA6)+AA9*AA12</f>
        <v>5.7565226358647976E-2</v>
      </c>
      <c r="AB13" s="63">
        <f t="shared" ref="AB13" si="20">AB5*AB11*(1-AB6)+AB9*AB12</f>
        <v>6.5929830357536273E-2</v>
      </c>
      <c r="AC13" s="63">
        <f t="shared" ref="AC13:AD13" si="21">AC5*AC11*(1-AC6)+AC9*AC12</f>
        <v>7.6777439224804164E-2</v>
      </c>
      <c r="AD13" s="63">
        <f t="shared" si="21"/>
        <v>6.5240662038108077E-2</v>
      </c>
      <c r="AE13" s="63">
        <f t="shared" ref="AE13" si="22">AE5*AE11*(1-AE6)+AE9*AE12</f>
        <v>6.8208833681334402E-2</v>
      </c>
      <c r="AF13" s="63">
        <f t="shared" ref="AF13" si="23">AF5*AF11*(1-AF6)+AF9*AF12</f>
        <v>6.8481012316562243E-2</v>
      </c>
      <c r="AG13" s="63">
        <f t="shared" ref="AG13" si="24">AG5*AG11*(1-AG6)+AG9*AG12</f>
        <v>7.4898202720470791E-2</v>
      </c>
      <c r="AH13" s="63">
        <f t="shared" ref="AH13:AI13" si="25">AH5*AH11*(1-AH6)+AH9*AH12</f>
        <v>7.0460751378750963E-2</v>
      </c>
      <c r="AI13" s="63">
        <f t="shared" si="25"/>
        <v>6.8534746535271793E-2</v>
      </c>
      <c r="AJ13" s="63">
        <f t="shared" ref="AJ13" si="26">AJ5*AJ11*(1-AJ6)+AJ9*AJ12</f>
        <v>4.6522019667611783E-2</v>
      </c>
      <c r="AK13" s="63">
        <f t="shared" ref="AK13" si="27">AK5*AK11*(1-AK6)+AK9*AK12</f>
        <v>4.5818485673902273E-2</v>
      </c>
      <c r="AL13" s="63">
        <f t="shared" ref="AL13" si="28">AL5*AL11*(1-AL6)+AL9*AL12</f>
        <v>4.6119439870545051E-2</v>
      </c>
      <c r="AM13" s="63">
        <f t="shared" ref="AM13:AN13" si="29">AM5*AM11*(1-AM6)+AM9*AM12</f>
        <v>4.6450058138103892E-2</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7" width="22.6640625" hidden="1" customWidth="1"/>
    <col min="28" max="28" width="21.44140625" hidden="1" customWidth="1"/>
    <col min="29" max="29" width="21.44140625" bestFit="1" customWidth="1"/>
    <col min="30" max="32" width="21.44140625" hidden="1" customWidth="1"/>
    <col min="33" max="33" width="21.44140625" bestFit="1" customWidth="1"/>
    <col min="34" max="36" width="21.44140625" hidden="1" customWidth="1"/>
    <col min="37" max="39" width="21.44140625" bestFit="1" customWidth="1"/>
    <col min="40" max="40" width="9.5546875" hidden="1" customWidth="1"/>
    <col min="41" max="90" width="8.5546875" bestFit="1" customWidth="1"/>
  </cols>
  <sheetData>
    <row r="1" spans="1:90"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1242670243</v>
      </c>
      <c r="F2" s="26">
        <f>资产资本表!F17</f>
        <v>3145904295</v>
      </c>
      <c r="G2" s="26">
        <f>资产资本表!G17</f>
        <v>2304633992</v>
      </c>
      <c r="H2" s="26">
        <f>资产资本表!H17</f>
        <v>3659890918</v>
      </c>
      <c r="I2" s="26">
        <f>资产资本表!I17</f>
        <v>2208873665</v>
      </c>
      <c r="J2" s="26">
        <f>资产资本表!J17</f>
        <v>2772179398</v>
      </c>
      <c r="K2" s="26">
        <f>资产资本表!K17</f>
        <v>2836233020</v>
      </c>
      <c r="L2" s="26">
        <f>资产资本表!L17</f>
        <v>2797301543</v>
      </c>
      <c r="M2" s="26">
        <f>资产资本表!M17</f>
        <v>2222827199</v>
      </c>
      <c r="N2" s="26">
        <f>资产资本表!N17</f>
        <v>2397045267</v>
      </c>
      <c r="O2" s="26">
        <f>资产资本表!O17</f>
        <v>1882805100</v>
      </c>
      <c r="P2" s="26">
        <f>资产资本表!P17</f>
        <v>2054410472</v>
      </c>
      <c r="Q2" s="26">
        <f>资产资本表!Q17</f>
        <v>2517055356</v>
      </c>
      <c r="R2" s="26">
        <f>资产资本表!R17</f>
        <v>2564194734</v>
      </c>
      <c r="S2" s="26">
        <f>资产资本表!S17</f>
        <v>2368399081</v>
      </c>
      <c r="T2" s="26">
        <f>资产资本表!T17</f>
        <v>2071604284</v>
      </c>
      <c r="U2" s="26">
        <f>资产资本表!U17</f>
        <v>2320422359</v>
      </c>
      <c r="V2" s="26">
        <f>资产资本表!V17</f>
        <v>3201804138</v>
      </c>
      <c r="W2" s="26">
        <f>资产资本表!W17</f>
        <v>2176644043</v>
      </c>
      <c r="X2" s="26">
        <f>资产资本表!X17</f>
        <v>3112080576</v>
      </c>
      <c r="Y2" s="26">
        <f>资产资本表!Y17</f>
        <v>2384471385</v>
      </c>
      <c r="Z2" s="26">
        <f>资产资本表!Z17</f>
        <v>2156750466</v>
      </c>
      <c r="AA2" s="26">
        <f>资产资本表!AA17</f>
        <v>3676560063</v>
      </c>
      <c r="AB2" s="26">
        <f>资产资本表!AB17</f>
        <v>1641827873</v>
      </c>
      <c r="AC2" s="26">
        <f>资产资本表!AC17</f>
        <v>2096947272</v>
      </c>
      <c r="AD2" s="26">
        <f>资产资本表!AD17</f>
        <v>2764485748</v>
      </c>
      <c r="AE2" s="26">
        <f>资产资本表!AE17</f>
        <v>2911022892</v>
      </c>
      <c r="AF2" s="26">
        <f>资产资本表!AF17</f>
        <v>3588889956</v>
      </c>
      <c r="AG2" s="26">
        <f>资产资本表!AG17</f>
        <v>4231011924</v>
      </c>
      <c r="AH2" s="26">
        <f>资产资本表!AH17</f>
        <v>4492808845</v>
      </c>
      <c r="AI2" s="26">
        <f>资产资本表!AI17</f>
        <v>4939270255</v>
      </c>
      <c r="AJ2" s="26">
        <f>资产资本表!AJ17</f>
        <v>401864700</v>
      </c>
      <c r="AK2" s="26">
        <f>资产资本表!AK17</f>
        <v>516606763</v>
      </c>
      <c r="AL2" s="26">
        <f>资产资本表!AL17</f>
        <v>341211068</v>
      </c>
      <c r="AM2" s="26">
        <f>资产资本表!AM17</f>
        <v>103124148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2137711137</v>
      </c>
      <c r="F3" s="26">
        <f>资产资本表!F19</f>
        <v>107552356</v>
      </c>
      <c r="G3" s="26">
        <f>资产资本表!G19</f>
        <v>84406124</v>
      </c>
      <c r="H3" s="26">
        <f>资产资本表!H19</f>
        <v>133530499</v>
      </c>
      <c r="I3" s="26">
        <f>资产资本表!I19</f>
        <v>31858516</v>
      </c>
      <c r="J3" s="26">
        <f>资产资本表!J19</f>
        <v>48464682</v>
      </c>
      <c r="K3" s="26">
        <f>资产资本表!K19</f>
        <v>53327271</v>
      </c>
      <c r="L3" s="26">
        <f>资产资本表!L19</f>
        <v>50197923</v>
      </c>
      <c r="M3" s="26">
        <f>资产资本表!M19</f>
        <v>49480454</v>
      </c>
      <c r="N3" s="26">
        <f>资产资本表!N19</f>
        <v>48900473</v>
      </c>
      <c r="O3" s="26">
        <f>资产资本表!O19</f>
        <v>48164967</v>
      </c>
      <c r="P3" s="26">
        <f>资产资本表!P19</f>
        <v>47840278</v>
      </c>
      <c r="Q3" s="26">
        <f>资产资本表!Q19</f>
        <v>47229640</v>
      </c>
      <c r="R3" s="26">
        <f>资产资本表!R19</f>
        <v>34122714</v>
      </c>
      <c r="S3" s="26">
        <f>资产资本表!S19</f>
        <v>31691005</v>
      </c>
      <c r="T3" s="26">
        <f>资产资本表!T19</f>
        <v>30523074</v>
      </c>
      <c r="U3" s="26">
        <f>资产资本表!U19</f>
        <v>30472850</v>
      </c>
      <c r="V3" s="26">
        <f>资产资本表!V19</f>
        <v>29053620</v>
      </c>
      <c r="W3" s="26">
        <f>资产资本表!W19</f>
        <v>28728878</v>
      </c>
      <c r="X3" s="26">
        <f>资产资本表!X19</f>
        <v>28739943</v>
      </c>
      <c r="Y3" s="26">
        <f>资产资本表!Y19</f>
        <v>28520653</v>
      </c>
      <c r="Z3" s="26">
        <f>资产资本表!Z19</f>
        <v>28224838</v>
      </c>
      <c r="AA3" s="26">
        <f>资产资本表!AA19</f>
        <v>27029317</v>
      </c>
      <c r="AB3" s="26">
        <f>资产资本表!AB19</f>
        <v>26918902</v>
      </c>
      <c r="AC3" s="26">
        <f>资产资本表!AC19</f>
        <v>9696608</v>
      </c>
      <c r="AD3" s="26">
        <f>资产资本表!AD19</f>
        <v>10000000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2239592453</v>
      </c>
      <c r="F4" s="26">
        <f>资产资本表!F50</f>
        <v>2866547821</v>
      </c>
      <c r="G4" s="26">
        <f>资产资本表!G50</f>
        <v>2069543972</v>
      </c>
      <c r="H4" s="26">
        <f>资产资本表!H50</f>
        <v>2929508876</v>
      </c>
      <c r="I4" s="26">
        <f>资产资本表!I50</f>
        <v>3265845842</v>
      </c>
      <c r="J4" s="26">
        <f>资产资本表!J50</f>
        <v>2183840330</v>
      </c>
      <c r="K4" s="26">
        <f>资产资本表!K50</f>
        <v>2808041463</v>
      </c>
      <c r="L4" s="26">
        <f>资产资本表!L50</f>
        <v>3261206867</v>
      </c>
      <c r="M4" s="26">
        <f>资产资本表!M50</f>
        <v>2583593793</v>
      </c>
      <c r="N4" s="26">
        <f>资产资本表!N50</f>
        <v>890534549</v>
      </c>
      <c r="O4" s="26">
        <f>资产资本表!O50</f>
        <v>2235940884</v>
      </c>
      <c r="P4" s="26">
        <f>资产资本表!P50</f>
        <v>2314705940</v>
      </c>
      <c r="Q4" s="26">
        <f>资产资本表!Q50</f>
        <v>2935261152</v>
      </c>
      <c r="R4" s="26">
        <f>资产资本表!R50</f>
        <v>4301353756</v>
      </c>
      <c r="S4" s="26">
        <f>资产资本表!S50</f>
        <v>4505780031</v>
      </c>
      <c r="T4" s="26">
        <f>资产资本表!T50</f>
        <v>4624877534</v>
      </c>
      <c r="U4" s="26">
        <f>资产资本表!U50</f>
        <v>3822626570</v>
      </c>
      <c r="V4" s="26">
        <f>资产资本表!V50</f>
        <v>3468489344</v>
      </c>
      <c r="W4" s="26">
        <f>资产资本表!W50</f>
        <v>3688267864</v>
      </c>
      <c r="X4" s="26">
        <f>资产资本表!X50</f>
        <v>3004285519</v>
      </c>
      <c r="Y4" s="26">
        <f>资产资本表!Y50</f>
        <v>3091479113</v>
      </c>
      <c r="Z4" s="26">
        <f>资产资本表!Z50</f>
        <v>2835552369</v>
      </c>
      <c r="AA4" s="26">
        <f>资产资本表!AA50</f>
        <v>1996330413</v>
      </c>
      <c r="AB4" s="26">
        <f>资产资本表!AB50</f>
        <v>2816113358</v>
      </c>
      <c r="AC4" s="26">
        <f>资产资本表!AC50</f>
        <v>2448142042</v>
      </c>
      <c r="AD4" s="26">
        <f>资产资本表!AD50</f>
        <v>2633527116</v>
      </c>
      <c r="AE4" s="26">
        <f>资产资本表!AE50</f>
        <v>2213831347</v>
      </c>
      <c r="AF4" s="26">
        <f>资产资本表!AF50</f>
        <v>2248496358</v>
      </c>
      <c r="AG4" s="26">
        <f>资产资本表!AG50</f>
        <v>1911212420</v>
      </c>
      <c r="AH4" s="26">
        <f>资产资本表!AH50</f>
        <v>1795668596</v>
      </c>
      <c r="AI4" s="26">
        <f>资产资本表!AI50</f>
        <v>1630975334</v>
      </c>
      <c r="AJ4" s="26">
        <f>资产资本表!AJ50</f>
        <v>1367419717</v>
      </c>
      <c r="AK4" s="26">
        <f>资产资本表!AK50</f>
        <v>1202812017</v>
      </c>
      <c r="AL4" s="26">
        <f>资产资本表!AL50</f>
        <v>878129543</v>
      </c>
      <c r="AM4" s="26">
        <f>资产资本表!AM50</f>
        <v>406513355</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10376014826</v>
      </c>
      <c r="F5" s="26">
        <f>资产资本表!F33</f>
        <v>9541534674</v>
      </c>
      <c r="G5" s="26">
        <f>资产资本表!G33</f>
        <v>8374275426</v>
      </c>
      <c r="H5" s="26">
        <f>资产资本表!H33</f>
        <v>7893757520</v>
      </c>
      <c r="I5" s="26">
        <f>资产资本表!I33</f>
        <v>7494468907</v>
      </c>
      <c r="J5" s="26">
        <f>资产资本表!J33</f>
        <v>7370236493</v>
      </c>
      <c r="K5" s="26">
        <f>资产资本表!K33</f>
        <v>7447693733</v>
      </c>
      <c r="L5" s="26">
        <f>资产资本表!L33</f>
        <v>7407721973</v>
      </c>
      <c r="M5" s="26">
        <f>资产资本表!M33</f>
        <v>7223547503</v>
      </c>
      <c r="N5" s="26">
        <f>资产资本表!N33</f>
        <v>6776888214</v>
      </c>
      <c r="O5" s="26">
        <f>资产资本表!O33</f>
        <v>6883115377</v>
      </c>
      <c r="P5" s="26">
        <f>资产资本表!P33</f>
        <v>6988265433</v>
      </c>
      <c r="Q5" s="26">
        <f>资产资本表!Q33</f>
        <v>6595151576</v>
      </c>
      <c r="R5" s="26">
        <f>资产资本表!R33</f>
        <v>6307370146</v>
      </c>
      <c r="S5" s="26">
        <f>资产资本表!S33</f>
        <v>6227960591</v>
      </c>
      <c r="T5" s="26">
        <f>资产资本表!T33</f>
        <v>6246175427</v>
      </c>
      <c r="U5" s="26">
        <f>资产资本表!U33</f>
        <v>5866299835</v>
      </c>
      <c r="V5" s="26">
        <f>资产资本表!V33</f>
        <v>5554675150</v>
      </c>
      <c r="W5" s="26">
        <f>资产资本表!W33</f>
        <v>5466896777</v>
      </c>
      <c r="X5" s="26">
        <f>资产资本表!X33</f>
        <v>5334168638</v>
      </c>
      <c r="Y5" s="26">
        <f>资产资本表!Y33</f>
        <v>4921135209</v>
      </c>
      <c r="Z5" s="26">
        <f>资产资本表!Z33</f>
        <v>4532227003</v>
      </c>
      <c r="AA5" s="26">
        <f>资产资本表!AA33</f>
        <v>3906968308</v>
      </c>
      <c r="AB5" s="26">
        <f>资产资本表!AB33</f>
        <v>3650073533</v>
      </c>
      <c r="AC5" s="26">
        <f>资产资本表!AC33</f>
        <v>3565840121</v>
      </c>
      <c r="AD5" s="26">
        <f>资产资本表!AD33</f>
        <v>3203194845</v>
      </c>
      <c r="AE5" s="26">
        <f>资产资本表!AE33</f>
        <v>2968354253</v>
      </c>
      <c r="AF5" s="26">
        <f>资产资本表!AF33</f>
        <v>2916302922</v>
      </c>
      <c r="AG5" s="26">
        <f>资产资本表!AG33</f>
        <v>2504219174</v>
      </c>
      <c r="AH5" s="26">
        <f>资产资本表!AH33</f>
        <v>2373746876</v>
      </c>
      <c r="AI5" s="26">
        <f>资产资本表!AI33</f>
        <v>2065310558</v>
      </c>
      <c r="AJ5" s="26">
        <f>资产资本表!AJ33</f>
        <v>1884346939</v>
      </c>
      <c r="AK5" s="26">
        <f>资产资本表!AK33</f>
        <v>1778527625</v>
      </c>
      <c r="AL5" s="26">
        <f>资产资本表!AL33</f>
        <v>1468645511</v>
      </c>
      <c r="AM5" s="26">
        <f>资产资本表!AM33</f>
        <v>1001768281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8136422373</v>
      </c>
      <c r="F6" s="26">
        <f>资产资本表!F49</f>
        <v>6674986853</v>
      </c>
      <c r="G6" s="26">
        <f>资产资本表!G49</f>
        <v>6304731454</v>
      </c>
      <c r="H6" s="26">
        <f>资产资本表!H49</f>
        <v>4964248644</v>
      </c>
      <c r="I6" s="26">
        <f>资产资本表!I49</f>
        <v>4228623065</v>
      </c>
      <c r="J6" s="26">
        <f>资产资本表!J49</f>
        <v>5186396163</v>
      </c>
      <c r="K6" s="26">
        <f>资产资本表!K49</f>
        <v>4639652270</v>
      </c>
      <c r="L6" s="26">
        <f>资产资本表!L49</f>
        <v>4146515106</v>
      </c>
      <c r="M6" s="26">
        <f>资产资本表!M49</f>
        <v>4639953710</v>
      </c>
      <c r="N6" s="26">
        <f>资产资本表!N49</f>
        <v>5886353665</v>
      </c>
      <c r="O6" s="26">
        <f>资产资本表!O49</f>
        <v>4647174493</v>
      </c>
      <c r="P6" s="26">
        <f>资产资本表!P49</f>
        <v>4673559493</v>
      </c>
      <c r="Q6" s="26">
        <f>资产资本表!Q49</f>
        <v>3659890424</v>
      </c>
      <c r="R6" s="26">
        <f>资产资本表!R49</f>
        <v>2006016390</v>
      </c>
      <c r="S6" s="26">
        <f>资产资本表!S49</f>
        <v>1722180560</v>
      </c>
      <c r="T6" s="26">
        <f>资产资本表!T49</f>
        <v>1621297893</v>
      </c>
      <c r="U6" s="26">
        <f>资产资本表!U49</f>
        <v>2043673265</v>
      </c>
      <c r="V6" s="26">
        <f>资产资本表!V49</f>
        <v>2086185806</v>
      </c>
      <c r="W6" s="26">
        <f>资产资本表!W49</f>
        <v>1778628913</v>
      </c>
      <c r="X6" s="26">
        <f>资产资本表!X49</f>
        <v>2329883119</v>
      </c>
      <c r="Y6" s="26">
        <f>资产资本表!Y49</f>
        <v>1829656096</v>
      </c>
      <c r="Z6" s="26">
        <f>资产资本表!Z49</f>
        <v>1696674634</v>
      </c>
      <c r="AA6" s="26">
        <f>资产资本表!AA49</f>
        <v>1910637895</v>
      </c>
      <c r="AB6" s="26">
        <f>资产资本表!AB49</f>
        <v>833960175</v>
      </c>
      <c r="AC6" s="26">
        <f>资产资本表!AC49</f>
        <v>1117698079</v>
      </c>
      <c r="AD6" s="26">
        <f>资产资本表!AD49</f>
        <v>569667729</v>
      </c>
      <c r="AE6" s="26">
        <f>资产资本表!AE49</f>
        <v>754522906</v>
      </c>
      <c r="AF6" s="26">
        <f>资产资本表!AF49</f>
        <v>667806564</v>
      </c>
      <c r="AG6" s="26">
        <f>资产资本表!AG49</f>
        <v>593006754</v>
      </c>
      <c r="AH6" s="26">
        <f>资产资本表!AH49</f>
        <v>578078280</v>
      </c>
      <c r="AI6" s="26">
        <f>资产资本表!AI49</f>
        <v>434335224</v>
      </c>
      <c r="AJ6" s="26">
        <f>资产资本表!AJ49</f>
        <v>516927222</v>
      </c>
      <c r="AK6" s="26">
        <f>资产资本表!AK49</f>
        <v>575715608</v>
      </c>
      <c r="AL6" s="26">
        <f>资产资本表!AL49</f>
        <v>590515968</v>
      </c>
      <c r="AM6" s="26">
        <f>资产资本表!AM49</f>
        <v>595254926</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13989095411</v>
      </c>
      <c r="F7" s="26">
        <f>资产资本表!F68</f>
        <v>14158763571</v>
      </c>
      <c r="G7" s="26">
        <f>资产资本表!G68</f>
        <v>14023884115</v>
      </c>
      <c r="H7" s="26">
        <f>资产资本表!H68</f>
        <v>13828434072</v>
      </c>
      <c r="I7" s="26">
        <f>资产资本表!I68</f>
        <v>13602672308</v>
      </c>
      <c r="J7" s="26">
        <f>资产资本表!J68</f>
        <v>13540000949</v>
      </c>
      <c r="K7" s="26">
        <f>资产资本表!K68</f>
        <v>13448760837</v>
      </c>
      <c r="L7" s="26">
        <f>资产资本表!L68</f>
        <v>13311367398</v>
      </c>
      <c r="M7" s="26">
        <f>资产资本表!M68</f>
        <v>13013140819</v>
      </c>
      <c r="N7" s="26">
        <f>资产资本表!N68</f>
        <v>12941849340</v>
      </c>
      <c r="O7" s="26">
        <f>资产资本表!O68</f>
        <v>12677177260</v>
      </c>
      <c r="P7" s="26">
        <f>资产资本表!P68</f>
        <v>12368641982</v>
      </c>
      <c r="Q7" s="26">
        <f>资产资本表!Q68</f>
        <v>11959105580</v>
      </c>
      <c r="R7" s="26">
        <f>资产资本表!R68</f>
        <v>11403334047</v>
      </c>
      <c r="S7" s="26">
        <f>资产资本表!S68</f>
        <v>10392929451</v>
      </c>
      <c r="T7" s="26">
        <f>资产资本表!T68</f>
        <v>9818579342</v>
      </c>
      <c r="U7" s="26">
        <f>资产资本表!U68</f>
        <v>9609090056</v>
      </c>
      <c r="V7" s="26">
        <f>资产资本表!V68</f>
        <v>9301441150</v>
      </c>
      <c r="W7" s="26">
        <f>资产资本表!W68</f>
        <v>8714334696</v>
      </c>
      <c r="X7" s="26">
        <f>资产资本表!X68</f>
        <v>8042626721</v>
      </c>
      <c r="Y7" s="26">
        <f>资产资本表!Y68</f>
        <v>7464751166</v>
      </c>
      <c r="Z7" s="26">
        <f>资产资本表!Z68</f>
        <v>6780499394</v>
      </c>
      <c r="AA7" s="26">
        <f>资产资本表!AA68</f>
        <v>6000409082</v>
      </c>
      <c r="AB7" s="26">
        <f>资产资本表!AB68</f>
        <v>5341909789</v>
      </c>
      <c r="AC7" s="26">
        <f>资产资本表!AC68</f>
        <v>4668777499</v>
      </c>
      <c r="AD7" s="26">
        <f>资产资本表!AD68</f>
        <v>3943920755</v>
      </c>
      <c r="AE7" s="26">
        <f>资产资本表!AE68</f>
        <v>3495974396</v>
      </c>
      <c r="AF7" s="26">
        <f>资产资本表!AF68</f>
        <v>2582275596</v>
      </c>
      <c r="AG7" s="26">
        <f>资产资本表!AG68</f>
        <v>2004358803</v>
      </c>
      <c r="AH7" s="26">
        <f>资产资本表!AH68</f>
        <v>1426167580</v>
      </c>
      <c r="AI7" s="26">
        <f>资产资本表!AI68</f>
        <v>1147954410</v>
      </c>
      <c r="AJ7" s="26">
        <f>资产资本表!AJ68</f>
        <v>1106780182</v>
      </c>
      <c r="AK7" s="26">
        <f>资产资本表!AK68</f>
        <v>1038263232</v>
      </c>
      <c r="AL7" s="26">
        <f>资产资本表!AL68</f>
        <v>845279326</v>
      </c>
      <c r="AM7" s="26">
        <f>资产资本表!AM68</f>
        <v>680830458</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16228687864</v>
      </c>
      <c r="F8" s="26">
        <f>资产资本表!F69</f>
        <v>17025311392</v>
      </c>
      <c r="G8" s="26">
        <f>资产资本表!G69</f>
        <v>16093428087</v>
      </c>
      <c r="H8" s="26">
        <f>资产资本表!H69</f>
        <v>16757942948</v>
      </c>
      <c r="I8" s="26">
        <f>资产资本表!I69</f>
        <v>16868518150</v>
      </c>
      <c r="J8" s="26">
        <f>资产资本表!J69</f>
        <v>15723841279</v>
      </c>
      <c r="K8" s="26">
        <f>资产资本表!K69</f>
        <v>16256802300</v>
      </c>
      <c r="L8" s="26">
        <f>资产资本表!L69</f>
        <v>16572574265</v>
      </c>
      <c r="M8" s="26">
        <f>资产资本表!M69</f>
        <v>15596734612</v>
      </c>
      <c r="N8" s="26">
        <f>资产资本表!N69</f>
        <v>13832383889</v>
      </c>
      <c r="O8" s="26">
        <f>资产资本表!O69</f>
        <v>14913118144</v>
      </c>
      <c r="P8" s="26">
        <f>资产资本表!P69</f>
        <v>14683347922</v>
      </c>
      <c r="Q8" s="26">
        <f>资产资本表!Q69</f>
        <v>14894366732</v>
      </c>
      <c r="R8" s="26">
        <f>资产资本表!R69</f>
        <v>15704687803</v>
      </c>
      <c r="S8" s="26">
        <f>资产资本表!S69</f>
        <v>14898709482</v>
      </c>
      <c r="T8" s="26">
        <f>资产资本表!T69</f>
        <v>14443456876</v>
      </c>
      <c r="U8" s="26">
        <f>资产资本表!U69</f>
        <v>13431716626</v>
      </c>
      <c r="V8" s="26">
        <f>资产资本表!V69</f>
        <v>12769930494</v>
      </c>
      <c r="W8" s="26">
        <f>资产资本表!W69</f>
        <v>12402602560</v>
      </c>
      <c r="X8" s="26">
        <f>资产资本表!X69</f>
        <v>11046912240</v>
      </c>
      <c r="Y8" s="26">
        <f>资产资本表!Y69</f>
        <v>10556230279</v>
      </c>
      <c r="Z8" s="26">
        <f>资产资本表!Z69</f>
        <v>9616051763</v>
      </c>
      <c r="AA8" s="26">
        <f>资产资本表!AA69</f>
        <v>7996739495</v>
      </c>
      <c r="AB8" s="26">
        <f>资产资本表!AB69</f>
        <v>8158023147</v>
      </c>
      <c r="AC8" s="26">
        <f>资产资本表!AC69</f>
        <v>7116919541</v>
      </c>
      <c r="AD8" s="26">
        <f>资产资本表!AD69</f>
        <v>6577447871</v>
      </c>
      <c r="AE8" s="26">
        <f>资产资本表!AE69</f>
        <v>5709805743</v>
      </c>
      <c r="AF8" s="26">
        <f>资产资本表!AF69</f>
        <v>4830771954</v>
      </c>
      <c r="AG8" s="26">
        <f>资产资本表!AG69</f>
        <v>3915571223</v>
      </c>
      <c r="AH8" s="26">
        <f>资产资本表!AH69</f>
        <v>3221836176</v>
      </c>
      <c r="AI8" s="26">
        <f>资产资本表!AI69</f>
        <v>2778929744</v>
      </c>
      <c r="AJ8" s="26">
        <f>资产资本表!AJ69</f>
        <v>2474199899</v>
      </c>
      <c r="AK8" s="26">
        <f>资产资本表!AK69</f>
        <v>2241075249</v>
      </c>
      <c r="AL8" s="26">
        <f>资产资本表!AL69</f>
        <v>1723408869</v>
      </c>
      <c r="AM8" s="26">
        <f>资产资本表!AM69</f>
        <v>1087343813</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19609069244</v>
      </c>
      <c r="F9" s="48">
        <f>资产资本表!F70</f>
        <v>20278768043</v>
      </c>
      <c r="G9" s="48">
        <f>资产资本表!G70</f>
        <v>18482468203</v>
      </c>
      <c r="H9" s="48">
        <f>资产资本表!H70</f>
        <v>20551364365</v>
      </c>
      <c r="I9" s="48">
        <f>资产资本表!I70</f>
        <v>19109250331</v>
      </c>
      <c r="J9" s="48">
        <f>资产资本表!J70</f>
        <v>18544485359</v>
      </c>
      <c r="K9" s="48">
        <f>资产资本表!K70</f>
        <v>19146362591</v>
      </c>
      <c r="L9" s="48">
        <f>资产资本表!L70</f>
        <v>19420073731</v>
      </c>
      <c r="M9" s="48">
        <f>资产资本表!M70</f>
        <v>17869042265</v>
      </c>
      <c r="N9" s="48">
        <f>资产资本表!N70</f>
        <v>16278329629</v>
      </c>
      <c r="O9" s="48">
        <f>资产资本表!O70</f>
        <v>16844088211</v>
      </c>
      <c r="P9" s="48">
        <f>资产资本表!P70</f>
        <v>16785598672</v>
      </c>
      <c r="Q9" s="48">
        <f>资产资本表!Q70</f>
        <v>17458651728</v>
      </c>
      <c r="R9" s="48">
        <f>资产资本表!R70</f>
        <v>18303005251</v>
      </c>
      <c r="S9" s="48">
        <f>资产资本表!S70</f>
        <v>17298799568</v>
      </c>
      <c r="T9" s="48">
        <f>资产资本表!T70</f>
        <v>16545584234</v>
      </c>
      <c r="U9" s="48">
        <f>资产资本表!U70</f>
        <v>15782611835</v>
      </c>
      <c r="V9" s="48">
        <f>资产资本表!V70</f>
        <v>16000788252</v>
      </c>
      <c r="W9" s="48">
        <f>资产资本表!W70</f>
        <v>14607975481</v>
      </c>
      <c r="X9" s="48">
        <f>资产资本表!X70</f>
        <v>14187732759</v>
      </c>
      <c r="Y9" s="48">
        <f>资产资本表!Y70</f>
        <v>12969222317</v>
      </c>
      <c r="Z9" s="48">
        <f>资产资本表!Z70</f>
        <v>11801027067</v>
      </c>
      <c r="AA9" s="48">
        <f>资产资本表!AA70</f>
        <v>11700328875</v>
      </c>
      <c r="AB9" s="48">
        <f>资产资本表!AB70</f>
        <v>9826769922</v>
      </c>
      <c r="AC9" s="48">
        <f>资产资本表!AC70</f>
        <v>9223563421</v>
      </c>
      <c r="AD9" s="48">
        <f>资产资本表!AD70</f>
        <v>9351933619</v>
      </c>
      <c r="AE9" s="48">
        <f>资产资本表!AE70</f>
        <v>8620828635</v>
      </c>
      <c r="AF9" s="48">
        <f>资产资本表!AF70</f>
        <v>8419661910</v>
      </c>
      <c r="AG9" s="48">
        <f>资产资本表!AG70</f>
        <v>8146583147</v>
      </c>
      <c r="AH9" s="48">
        <f>资产资本表!AH70</f>
        <v>7714645021</v>
      </c>
      <c r="AI9" s="48">
        <f>资产资本表!AI70</f>
        <v>7718199999</v>
      </c>
      <c r="AJ9" s="48">
        <f>资产资本表!AJ70</f>
        <v>2876064599</v>
      </c>
      <c r="AK9" s="48">
        <f>资产资本表!AK70</f>
        <v>2757682012</v>
      </c>
      <c r="AL9" s="48">
        <f>资产资本表!AL70</f>
        <v>2064619937</v>
      </c>
      <c r="AM9" s="48">
        <f>资产资本表!AM70</f>
        <v>1190467961</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4130158332</v>
      </c>
      <c r="F10" s="26">
        <f>资产资本表!F72</f>
        <v>5138662400</v>
      </c>
      <c r="G10" s="26">
        <f>资产资本表!G72</f>
        <v>5629428600</v>
      </c>
      <c r="H10" s="26">
        <f>资产资本表!H72</f>
        <v>7524534273</v>
      </c>
      <c r="I10" s="26">
        <f>资产资本表!I72</f>
        <v>6235486599</v>
      </c>
      <c r="J10" s="26">
        <f>资产资本表!J72</f>
        <v>4120831910</v>
      </c>
      <c r="K10" s="26">
        <f>资产资本表!K72</f>
        <v>4989740236</v>
      </c>
      <c r="L10" s="26">
        <f>资产资本表!L72</f>
        <v>3778333997</v>
      </c>
      <c r="M10" s="26">
        <f>资产资本表!M72</f>
        <v>3283281630</v>
      </c>
      <c r="N10" s="26">
        <f>资产资本表!N72</f>
        <v>2456399160</v>
      </c>
      <c r="O10" s="26">
        <f>资产资本表!O72</f>
        <v>2267759487</v>
      </c>
      <c r="P10" s="26">
        <f>资产资本表!P72</f>
        <v>2277218995</v>
      </c>
      <c r="Q10" s="26">
        <f>资产资本表!Q72</f>
        <v>2153759879</v>
      </c>
      <c r="R10" s="26">
        <f>资产资本表!R72</f>
        <v>2342286927</v>
      </c>
      <c r="S10" s="26">
        <f>资产资本表!S72</f>
        <v>2219148812</v>
      </c>
      <c r="T10" s="26">
        <f>资产资本表!T72</f>
        <v>1754348417</v>
      </c>
      <c r="U10" s="26">
        <f>资产资本表!U72</f>
        <v>1272092547</v>
      </c>
      <c r="V10" s="26">
        <f>资产资本表!V72</f>
        <v>939914274</v>
      </c>
      <c r="W10" s="26">
        <f>资产资本表!W72</f>
        <v>719810875</v>
      </c>
      <c r="X10" s="26">
        <f>资产资本表!X72</f>
        <v>498724772</v>
      </c>
      <c r="Y10" s="26">
        <f>资产资本表!Y72</f>
        <v>578848631</v>
      </c>
      <c r="Z10" s="26">
        <f>资产资本表!Z72</f>
        <v>1146377034</v>
      </c>
      <c r="AA10" s="26">
        <f>资产资本表!AA72</f>
        <v>1324940098</v>
      </c>
      <c r="AB10" s="26">
        <f>资产资本表!AB72</f>
        <v>1439935861</v>
      </c>
      <c r="AC10" s="26">
        <f>资产资本表!AC72</f>
        <v>1053009587</v>
      </c>
      <c r="AD10" s="26">
        <f>资产资本表!AD72</f>
        <v>1483677097</v>
      </c>
      <c r="AE10" s="26">
        <f>资产资本表!AE72</f>
        <v>1199225776</v>
      </c>
      <c r="AF10" s="26">
        <f>资产资本表!AF72</f>
        <v>1020232983</v>
      </c>
      <c r="AG10" s="26">
        <f>资产资本表!AG72</f>
        <v>952156379</v>
      </c>
      <c r="AH10" s="26">
        <f>资产资本表!AH72</f>
        <v>824212006</v>
      </c>
      <c r="AI10" s="26">
        <f>资产资本表!AI72</f>
        <v>1010554134</v>
      </c>
      <c r="AJ10" s="26">
        <f>资产资本表!AJ72</f>
        <v>1108179763</v>
      </c>
      <c r="AK10" s="26">
        <f>资产资本表!AK72</f>
        <v>1082891177</v>
      </c>
      <c r="AL10" s="26">
        <f>资产资本表!AL72</f>
        <v>856593527</v>
      </c>
      <c r="AM10" s="26">
        <f>资产资本表!AM72</f>
        <v>453230326</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3496458807</v>
      </c>
      <c r="F11" s="26">
        <f>资产资本表!F81</f>
        <v>3036694777</v>
      </c>
      <c r="G11" s="26">
        <f>资产资本表!G81</f>
        <v>1042011481</v>
      </c>
      <c r="H11" s="26">
        <f>资产资本表!H81</f>
        <v>1071340561</v>
      </c>
      <c r="I11" s="26">
        <f>资产资本表!I81</f>
        <v>1386414756</v>
      </c>
      <c r="J11" s="26">
        <f>资产资本表!J81</f>
        <v>2902208921</v>
      </c>
      <c r="K11" s="26">
        <f>资产资本表!K81</f>
        <v>2787772273</v>
      </c>
      <c r="L11" s="26">
        <f>资产资本表!L81</f>
        <v>4290986955</v>
      </c>
      <c r="M11" s="26">
        <f>资产资本表!M81</f>
        <v>3421900688</v>
      </c>
      <c r="N11" s="26">
        <f>资产资本表!N81</f>
        <v>2770760455</v>
      </c>
      <c r="O11" s="26">
        <f>资产资本表!O81</f>
        <v>3333760025</v>
      </c>
      <c r="P11" s="26">
        <f>资产资本表!P81</f>
        <v>3343544022</v>
      </c>
      <c r="Q11" s="26">
        <f>资产资本表!Q81</f>
        <v>4334521311</v>
      </c>
      <c r="R11" s="26">
        <f>资产资本表!R81</f>
        <v>5143756203</v>
      </c>
      <c r="S11" s="26">
        <f>资产资本表!S81</f>
        <v>4542124064</v>
      </c>
      <c r="T11" s="26">
        <f>资产资本表!T81</f>
        <v>4540542071</v>
      </c>
      <c r="U11" s="26">
        <f>资产资本表!U81</f>
        <v>4486606544</v>
      </c>
      <c r="V11" s="26">
        <f>资产资本表!V81</f>
        <v>5271302120</v>
      </c>
      <c r="W11" s="26">
        <f>资产资本表!W81</f>
        <v>4416989615</v>
      </c>
      <c r="X11" s="26">
        <f>资产资本表!X81</f>
        <v>4415212945</v>
      </c>
      <c r="Y11" s="26">
        <f>资产资本表!Y81</f>
        <v>3326295923</v>
      </c>
      <c r="Z11" s="26">
        <f>资产资本表!Z81</f>
        <v>1925339869</v>
      </c>
      <c r="AA11" s="26">
        <f>资产资本表!AA81</f>
        <v>1956237775</v>
      </c>
      <c r="AB11" s="26">
        <f>资产资本表!AB81</f>
        <v>288368137</v>
      </c>
      <c r="AC11" s="26">
        <f>资产资本表!AC81</f>
        <v>239583521</v>
      </c>
      <c r="AD11" s="26">
        <f>资产资本表!AD81</f>
        <v>241677264</v>
      </c>
      <c r="AE11" s="26">
        <f>资产资本表!AE81</f>
        <v>71394527</v>
      </c>
      <c r="AF11" s="26">
        <f>资产资本表!AF81</f>
        <v>192091790</v>
      </c>
      <c r="AG11" s="26">
        <f>资产资本表!AG81</f>
        <v>142789054</v>
      </c>
      <c r="AH11" s="26">
        <f>资产资本表!AH81</f>
        <v>95686955</v>
      </c>
      <c r="AI11" s="26">
        <f>资产资本表!AI81</f>
        <v>95584857</v>
      </c>
      <c r="AJ11" s="26">
        <f>资产资本表!AJ81</f>
        <v>95380663</v>
      </c>
      <c r="AK11" s="26">
        <f>资产资本表!AK81</f>
        <v>95380663</v>
      </c>
      <c r="AL11" s="26">
        <f>资产资本表!AL81</f>
        <v>17787472</v>
      </c>
      <c r="AM11" s="26">
        <f>资产资本表!AM81</f>
        <v>46021310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7626617139</v>
      </c>
      <c r="F12" s="26">
        <f>资产资本表!F89</f>
        <v>8175357177</v>
      </c>
      <c r="G12" s="26">
        <f>资产资本表!G89</f>
        <v>6671440081</v>
      </c>
      <c r="H12" s="26">
        <f>资产资本表!H89</f>
        <v>8595874834</v>
      </c>
      <c r="I12" s="26">
        <f>资产资本表!I89</f>
        <v>7621901355</v>
      </c>
      <c r="J12" s="26">
        <f>资产资本表!J89</f>
        <v>7023040831</v>
      </c>
      <c r="K12" s="26">
        <f>资产资本表!K89</f>
        <v>7777512509</v>
      </c>
      <c r="L12" s="26">
        <f>资产资本表!L89</f>
        <v>8069320952</v>
      </c>
      <c r="M12" s="26">
        <f>资产资本表!M89</f>
        <v>6705182318</v>
      </c>
      <c r="N12" s="26">
        <f>资产资本表!N89</f>
        <v>5227159615</v>
      </c>
      <c r="O12" s="26">
        <f>资产资本表!O89</f>
        <v>5601519512</v>
      </c>
      <c r="P12" s="26">
        <f>资产资本表!P89</f>
        <v>5620763017</v>
      </c>
      <c r="Q12" s="26">
        <f>资产资本表!Q89</f>
        <v>6488281190</v>
      </c>
      <c r="R12" s="26">
        <f>资产资本表!R89</f>
        <v>7486043130</v>
      </c>
      <c r="S12" s="26">
        <f>资产资本表!S89</f>
        <v>6761272876</v>
      </c>
      <c r="T12" s="26">
        <f>资产资本表!T89</f>
        <v>6294890488</v>
      </c>
      <c r="U12" s="26">
        <f>资产资本表!U89</f>
        <v>5758699091</v>
      </c>
      <c r="V12" s="26">
        <f>资产资本表!V89</f>
        <v>6211216394</v>
      </c>
      <c r="W12" s="26">
        <f>资产资本表!W89</f>
        <v>5136800490</v>
      </c>
      <c r="X12" s="26">
        <f>资产资本表!X89</f>
        <v>4913937717</v>
      </c>
      <c r="Y12" s="26">
        <f>资产资本表!Y89</f>
        <v>3905144554</v>
      </c>
      <c r="Z12" s="26">
        <f>资产资本表!Z89</f>
        <v>3071716903</v>
      </c>
      <c r="AA12" s="26">
        <f>资产资本表!AA89</f>
        <v>3281177873</v>
      </c>
      <c r="AB12" s="26">
        <f>资产资本表!AB89</f>
        <v>1728303998</v>
      </c>
      <c r="AC12" s="26">
        <f>资产资本表!AC89</f>
        <v>1292593108</v>
      </c>
      <c r="AD12" s="26">
        <f>资产资本表!AD89</f>
        <v>1725354361</v>
      </c>
      <c r="AE12" s="26">
        <f>资产资本表!AE89</f>
        <v>1270620303</v>
      </c>
      <c r="AF12" s="26">
        <f>资产资本表!AF89</f>
        <v>1212324773</v>
      </c>
      <c r="AG12" s="26">
        <f>资产资本表!AG89</f>
        <v>1094945433</v>
      </c>
      <c r="AH12" s="26">
        <f>资产资本表!AH89</f>
        <v>919898961</v>
      </c>
      <c r="AI12" s="26">
        <f>资产资本表!AI89</f>
        <v>1106138991</v>
      </c>
      <c r="AJ12" s="26">
        <f>资产资本表!AJ89</f>
        <v>1203560426</v>
      </c>
      <c r="AK12" s="26">
        <f>资产资本表!AK89</f>
        <v>1178271840</v>
      </c>
      <c r="AL12" s="26">
        <f>资产资本表!AL89</f>
        <v>874380999</v>
      </c>
      <c r="AM12" s="26">
        <f>资产资本表!AM89</f>
        <v>499251636</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11982452105</v>
      </c>
      <c r="F13" s="26">
        <f t="shared" ref="F13:BQ13" si="0">F9-F12</f>
        <v>12103410866</v>
      </c>
      <c r="G13" s="26">
        <f t="shared" si="0"/>
        <v>11811028122</v>
      </c>
      <c r="H13" s="26">
        <f t="shared" si="0"/>
        <v>11955489531</v>
      </c>
      <c r="I13" s="26">
        <f t="shared" si="0"/>
        <v>11487348976</v>
      </c>
      <c r="J13" s="26">
        <f t="shared" si="0"/>
        <v>11521444528</v>
      </c>
      <c r="K13" s="26">
        <f t="shared" si="0"/>
        <v>11368850082</v>
      </c>
      <c r="L13" s="26">
        <f t="shared" si="0"/>
        <v>11350752779</v>
      </c>
      <c r="M13" s="26">
        <f t="shared" si="0"/>
        <v>11163859947</v>
      </c>
      <c r="N13" s="26">
        <f t="shared" si="0"/>
        <v>11051170014</v>
      </c>
      <c r="O13" s="26">
        <f t="shared" si="0"/>
        <v>11242568699</v>
      </c>
      <c r="P13" s="26">
        <f t="shared" si="0"/>
        <v>11164835655</v>
      </c>
      <c r="Q13" s="26">
        <f t="shared" si="0"/>
        <v>10970370538</v>
      </c>
      <c r="R13" s="26">
        <f t="shared" si="0"/>
        <v>10816962121</v>
      </c>
      <c r="S13" s="26">
        <f t="shared" si="0"/>
        <v>10537526692</v>
      </c>
      <c r="T13" s="26">
        <f t="shared" si="0"/>
        <v>10250693746</v>
      </c>
      <c r="U13" s="26">
        <f t="shared" si="0"/>
        <v>10023912744</v>
      </c>
      <c r="V13" s="26">
        <f t="shared" si="0"/>
        <v>9789571858</v>
      </c>
      <c r="W13" s="26">
        <f t="shared" si="0"/>
        <v>9471174991</v>
      </c>
      <c r="X13" s="26">
        <f t="shared" si="0"/>
        <v>9273795042</v>
      </c>
      <c r="Y13" s="26">
        <f t="shared" si="0"/>
        <v>9064077763</v>
      </c>
      <c r="Z13" s="26">
        <f t="shared" si="0"/>
        <v>8729310164</v>
      </c>
      <c r="AA13" s="26">
        <f t="shared" si="0"/>
        <v>8419151002</v>
      </c>
      <c r="AB13" s="26">
        <f t="shared" si="0"/>
        <v>8098465924</v>
      </c>
      <c r="AC13" s="26">
        <f t="shared" si="0"/>
        <v>7930970313</v>
      </c>
      <c r="AD13" s="26">
        <f t="shared" si="0"/>
        <v>7626579258</v>
      </c>
      <c r="AE13" s="26">
        <f t="shared" si="0"/>
        <v>7350208332</v>
      </c>
      <c r="AF13" s="26">
        <f t="shared" si="0"/>
        <v>7207337137</v>
      </c>
      <c r="AG13" s="26">
        <f t="shared" si="0"/>
        <v>7051637714</v>
      </c>
      <c r="AH13" s="26">
        <f t="shared" si="0"/>
        <v>6794746060</v>
      </c>
      <c r="AI13" s="26">
        <f t="shared" si="0"/>
        <v>6612061008</v>
      </c>
      <c r="AJ13" s="26">
        <f t="shared" si="0"/>
        <v>1672504173</v>
      </c>
      <c r="AK13" s="26">
        <f t="shared" si="0"/>
        <v>1579410172</v>
      </c>
      <c r="AL13" s="26">
        <f t="shared" si="0"/>
        <v>1190238938</v>
      </c>
      <c r="AM13" s="26">
        <f t="shared" si="0"/>
        <v>691216325</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19609069244</v>
      </c>
      <c r="F14" s="48">
        <f t="shared" ref="F14:BQ14" si="2">F9</f>
        <v>20278768043</v>
      </c>
      <c r="G14" s="48">
        <f t="shared" si="2"/>
        <v>18482468203</v>
      </c>
      <c r="H14" s="48">
        <f t="shared" si="2"/>
        <v>20551364365</v>
      </c>
      <c r="I14" s="48">
        <f t="shared" si="2"/>
        <v>19109250331</v>
      </c>
      <c r="J14" s="48">
        <f t="shared" si="2"/>
        <v>18544485359</v>
      </c>
      <c r="K14" s="48">
        <f t="shared" si="2"/>
        <v>19146362591</v>
      </c>
      <c r="L14" s="48">
        <f t="shared" si="2"/>
        <v>19420073731</v>
      </c>
      <c r="M14" s="48">
        <f t="shared" si="2"/>
        <v>17869042265</v>
      </c>
      <c r="N14" s="48">
        <f t="shared" si="2"/>
        <v>16278329629</v>
      </c>
      <c r="O14" s="48">
        <f t="shared" si="2"/>
        <v>16844088211</v>
      </c>
      <c r="P14" s="48">
        <f t="shared" si="2"/>
        <v>16785598672</v>
      </c>
      <c r="Q14" s="48">
        <f t="shared" si="2"/>
        <v>17458651728</v>
      </c>
      <c r="R14" s="48">
        <f t="shared" si="2"/>
        <v>18303005251</v>
      </c>
      <c r="S14" s="48">
        <f t="shared" si="2"/>
        <v>17298799568</v>
      </c>
      <c r="T14" s="48">
        <f t="shared" si="2"/>
        <v>16545584234</v>
      </c>
      <c r="U14" s="48">
        <f t="shared" si="2"/>
        <v>15782611835</v>
      </c>
      <c r="V14" s="48">
        <f t="shared" si="2"/>
        <v>16000788252</v>
      </c>
      <c r="W14" s="48">
        <f t="shared" si="2"/>
        <v>14607975481</v>
      </c>
      <c r="X14" s="48">
        <f t="shared" si="2"/>
        <v>14187732759</v>
      </c>
      <c r="Y14" s="48">
        <f t="shared" si="2"/>
        <v>12969222317</v>
      </c>
      <c r="Z14" s="48">
        <f t="shared" si="2"/>
        <v>11801027067</v>
      </c>
      <c r="AA14" s="48">
        <f t="shared" si="2"/>
        <v>11700328875</v>
      </c>
      <c r="AB14" s="48">
        <f t="shared" si="2"/>
        <v>9826769922</v>
      </c>
      <c r="AC14" s="48">
        <f t="shared" si="2"/>
        <v>9223563421</v>
      </c>
      <c r="AD14" s="48">
        <f t="shared" si="2"/>
        <v>9351933619</v>
      </c>
      <c r="AE14" s="48">
        <f t="shared" si="2"/>
        <v>8620828635</v>
      </c>
      <c r="AF14" s="48">
        <f t="shared" si="2"/>
        <v>8419661910</v>
      </c>
      <c r="AG14" s="48">
        <f t="shared" si="2"/>
        <v>8146583147</v>
      </c>
      <c r="AH14" s="48">
        <f t="shared" si="2"/>
        <v>7714645021</v>
      </c>
      <c r="AI14" s="48">
        <f t="shared" si="2"/>
        <v>7718199999</v>
      </c>
      <c r="AJ14" s="48">
        <f t="shared" si="2"/>
        <v>2876064599</v>
      </c>
      <c r="AK14" s="48">
        <f t="shared" si="2"/>
        <v>2757682012</v>
      </c>
      <c r="AL14" s="48">
        <f t="shared" si="2"/>
        <v>2064619937</v>
      </c>
      <c r="AM14" s="48">
        <f t="shared" si="2"/>
        <v>1190467961</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-2887488089</v>
      </c>
      <c r="F15" s="58">
        <f t="shared" ref="F15:BQ15" si="4">F11+F13-F3-F4-F7</f>
        <v>-1992758105</v>
      </c>
      <c r="G15" s="58">
        <f t="shared" si="4"/>
        <v>-3324794608</v>
      </c>
      <c r="H15" s="58">
        <f t="shared" si="4"/>
        <v>-3864643355</v>
      </c>
      <c r="I15" s="58">
        <f t="shared" si="4"/>
        <v>-4026612934</v>
      </c>
      <c r="J15" s="58">
        <f t="shared" si="4"/>
        <v>-1348652512</v>
      </c>
      <c r="K15" s="58">
        <f t="shared" si="4"/>
        <v>-2153507216</v>
      </c>
      <c r="L15" s="58">
        <f t="shared" si="4"/>
        <v>-981032454</v>
      </c>
      <c r="M15" s="58">
        <f t="shared" si="4"/>
        <v>-1060454431</v>
      </c>
      <c r="N15" s="58">
        <f t="shared" si="4"/>
        <v>-59353893</v>
      </c>
      <c r="O15" s="58">
        <f t="shared" si="4"/>
        <v>-384954387</v>
      </c>
      <c r="P15" s="58">
        <f t="shared" si="4"/>
        <v>-222808523</v>
      </c>
      <c r="Q15" s="58">
        <f t="shared" si="4"/>
        <v>363295477</v>
      </c>
      <c r="R15" s="58">
        <f t="shared" si="4"/>
        <v>221907807</v>
      </c>
      <c r="S15" s="58">
        <f t="shared" si="4"/>
        <v>149250269</v>
      </c>
      <c r="T15" s="58">
        <f t="shared" si="4"/>
        <v>317255867</v>
      </c>
      <c r="U15" s="58">
        <f t="shared" si="4"/>
        <v>1048329812</v>
      </c>
      <c r="V15" s="58">
        <f t="shared" si="4"/>
        <v>2261889864</v>
      </c>
      <c r="W15" s="58">
        <f t="shared" si="4"/>
        <v>1456833168</v>
      </c>
      <c r="X15" s="58">
        <f t="shared" si="4"/>
        <v>2613355804</v>
      </c>
      <c r="Y15" s="58">
        <f t="shared" si="4"/>
        <v>1805622754</v>
      </c>
      <c r="Z15" s="58">
        <f t="shared" si="4"/>
        <v>1010373432</v>
      </c>
      <c r="AA15" s="58">
        <f t="shared" si="4"/>
        <v>2351619965</v>
      </c>
      <c r="AB15" s="58">
        <f t="shared" si="4"/>
        <v>201892012</v>
      </c>
      <c r="AC15" s="58">
        <f t="shared" si="4"/>
        <v>1043937685</v>
      </c>
      <c r="AD15" s="58">
        <f t="shared" si="4"/>
        <v>1280808651</v>
      </c>
      <c r="AE15" s="58">
        <f t="shared" si="4"/>
        <v>1711797116</v>
      </c>
      <c r="AF15" s="58">
        <f t="shared" si="4"/>
        <v>2568656973</v>
      </c>
      <c r="AG15" s="58">
        <f t="shared" si="4"/>
        <v>3278855545</v>
      </c>
      <c r="AH15" s="58">
        <f t="shared" si="4"/>
        <v>3668596839</v>
      </c>
      <c r="AI15" s="58">
        <f t="shared" si="4"/>
        <v>3928716121</v>
      </c>
      <c r="AJ15" s="58">
        <f t="shared" si="4"/>
        <v>-706315063</v>
      </c>
      <c r="AK15" s="58">
        <f t="shared" si="4"/>
        <v>-566284414</v>
      </c>
      <c r="AL15" s="58">
        <f t="shared" si="4"/>
        <v>-515382459</v>
      </c>
      <c r="AM15" s="58">
        <f t="shared" si="4"/>
        <v>-350106178</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2887488089</v>
      </c>
      <c r="F16" s="58">
        <f t="shared" ref="F16:BQ16" si="6">F10-F2</f>
        <v>1992758105</v>
      </c>
      <c r="G16" s="58">
        <f t="shared" si="6"/>
        <v>3324794608</v>
      </c>
      <c r="H16" s="58">
        <f t="shared" si="6"/>
        <v>3864643355</v>
      </c>
      <c r="I16" s="58">
        <f t="shared" si="6"/>
        <v>4026612934</v>
      </c>
      <c r="J16" s="58">
        <f t="shared" si="6"/>
        <v>1348652512</v>
      </c>
      <c r="K16" s="58">
        <f t="shared" si="6"/>
        <v>2153507216</v>
      </c>
      <c r="L16" s="58">
        <f t="shared" si="6"/>
        <v>981032454</v>
      </c>
      <c r="M16" s="58">
        <f t="shared" si="6"/>
        <v>1060454431</v>
      </c>
      <c r="N16" s="58">
        <f t="shared" si="6"/>
        <v>59353893</v>
      </c>
      <c r="O16" s="58">
        <f t="shared" si="6"/>
        <v>384954387</v>
      </c>
      <c r="P16" s="58">
        <f t="shared" si="6"/>
        <v>222808523</v>
      </c>
      <c r="Q16" s="58">
        <f t="shared" si="6"/>
        <v>-363295477</v>
      </c>
      <c r="R16" s="58">
        <f t="shared" si="6"/>
        <v>-221907807</v>
      </c>
      <c r="S16" s="58">
        <f t="shared" si="6"/>
        <v>-149250269</v>
      </c>
      <c r="T16" s="58">
        <f t="shared" si="6"/>
        <v>-317255867</v>
      </c>
      <c r="U16" s="58">
        <f t="shared" si="6"/>
        <v>-1048329812</v>
      </c>
      <c r="V16" s="58">
        <f t="shared" si="6"/>
        <v>-2261889864</v>
      </c>
      <c r="W16" s="58">
        <f t="shared" si="6"/>
        <v>-1456833168</v>
      </c>
      <c r="X16" s="58">
        <f t="shared" si="6"/>
        <v>-2613355804</v>
      </c>
      <c r="Y16" s="58">
        <f t="shared" si="6"/>
        <v>-1805622754</v>
      </c>
      <c r="Z16" s="58">
        <f t="shared" si="6"/>
        <v>-1010373432</v>
      </c>
      <c r="AA16" s="58">
        <f t="shared" si="6"/>
        <v>-2351619965</v>
      </c>
      <c r="AB16" s="58">
        <f t="shared" si="6"/>
        <v>-201892012</v>
      </c>
      <c r="AC16" s="58">
        <f t="shared" si="6"/>
        <v>-1043937685</v>
      </c>
      <c r="AD16" s="58">
        <f t="shared" si="6"/>
        <v>-1280808651</v>
      </c>
      <c r="AE16" s="58">
        <f t="shared" si="6"/>
        <v>-1711797116</v>
      </c>
      <c r="AF16" s="58">
        <f t="shared" si="6"/>
        <v>-2568656973</v>
      </c>
      <c r="AG16" s="58">
        <f t="shared" si="6"/>
        <v>-3278855545</v>
      </c>
      <c r="AH16" s="58">
        <f t="shared" si="6"/>
        <v>-3668596839</v>
      </c>
      <c r="AI16" s="58">
        <f t="shared" si="6"/>
        <v>-3928716121</v>
      </c>
      <c r="AJ16" s="58">
        <f t="shared" si="6"/>
        <v>706315063</v>
      </c>
      <c r="AK16" s="58">
        <f t="shared" si="6"/>
        <v>566284414</v>
      </c>
      <c r="AL16" s="58">
        <f t="shared" si="6"/>
        <v>515382459</v>
      </c>
      <c r="AM16" s="58">
        <f t="shared" si="6"/>
        <v>350106178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-0.28929175713738664</v>
      </c>
      <c r="F17" s="59">
        <f t="shared" ref="F17:BQ17" si="8">(F11+F13-F7-F3)/F4</f>
        <v>0.30482300333478374</v>
      </c>
      <c r="G17" s="59">
        <f t="shared" si="8"/>
        <v>-0.60653489511843051</v>
      </c>
      <c r="H17" s="59">
        <f t="shared" si="8"/>
        <v>-0.31921203129339826</v>
      </c>
      <c r="I17" s="59">
        <f t="shared" si="8"/>
        <v>-0.2329464184182396</v>
      </c>
      <c r="J17" s="59">
        <f t="shared" si="8"/>
        <v>0.38243996437230371</v>
      </c>
      <c r="K17" s="59">
        <f t="shared" si="8"/>
        <v>0.23309279995485593</v>
      </c>
      <c r="L17" s="59">
        <f t="shared" si="8"/>
        <v>0.69918116390376162</v>
      </c>
      <c r="M17" s="59">
        <f t="shared" si="8"/>
        <v>0.58954289413715122</v>
      </c>
      <c r="N17" s="59">
        <f t="shared" si="8"/>
        <v>0.93335026353929817</v>
      </c>
      <c r="O17" s="59">
        <f t="shared" si="8"/>
        <v>0.82783337888999398</v>
      </c>
      <c r="P17" s="59">
        <f t="shared" si="8"/>
        <v>0.90374219068189721</v>
      </c>
      <c r="Q17" s="59">
        <f t="shared" si="8"/>
        <v>1.1237693882033157</v>
      </c>
      <c r="R17" s="59">
        <f t="shared" si="8"/>
        <v>1.0515902247496987</v>
      </c>
      <c r="S17" s="59">
        <f t="shared" si="8"/>
        <v>1.0331241800472173</v>
      </c>
      <c r="T17" s="59">
        <f t="shared" si="8"/>
        <v>1.0685976795423617</v>
      </c>
      <c r="U17" s="59">
        <f t="shared" si="8"/>
        <v>1.2742433227004959</v>
      </c>
      <c r="V17" s="59">
        <f t="shared" si="8"/>
        <v>1.6521253605442821</v>
      </c>
      <c r="W17" s="59">
        <f t="shared" si="8"/>
        <v>1.3949911507837274</v>
      </c>
      <c r="X17" s="59">
        <f t="shared" si="8"/>
        <v>1.8698759779895606</v>
      </c>
      <c r="Y17" s="59">
        <f t="shared" si="8"/>
        <v>1.5840643549578464</v>
      </c>
      <c r="Z17" s="59">
        <f t="shared" si="8"/>
        <v>1.3563233192396738</v>
      </c>
      <c r="AA17" s="59">
        <f t="shared" si="8"/>
        <v>2.1779713166149115</v>
      </c>
      <c r="AB17" s="59">
        <f t="shared" si="8"/>
        <v>1.0716917205859153</v>
      </c>
      <c r="AC17" s="59">
        <f t="shared" si="8"/>
        <v>1.4264203902757044</v>
      </c>
      <c r="AD17" s="59">
        <f t="shared" si="8"/>
        <v>1.4863472425320567</v>
      </c>
      <c r="AE17" s="59">
        <f t="shared" si="8"/>
        <v>1.7732283302970142</v>
      </c>
      <c r="AF17" s="59">
        <f t="shared" si="8"/>
        <v>2.1423887629886034</v>
      </c>
      <c r="AG17" s="59">
        <f t="shared" si="8"/>
        <v>2.7155892828490513</v>
      </c>
      <c r="AH17" s="59">
        <f t="shared" si="8"/>
        <v>3.0430255600460474</v>
      </c>
      <c r="AI17" s="59">
        <f t="shared" si="8"/>
        <v>3.4088139404075131</v>
      </c>
      <c r="AJ17" s="59">
        <f t="shared" si="8"/>
        <v>0.48346871540685848</v>
      </c>
      <c r="AK17" s="59">
        <f t="shared" si="8"/>
        <v>0.52919957067572265</v>
      </c>
      <c r="AL17" s="59">
        <f t="shared" si="8"/>
        <v>0.41309062756359172</v>
      </c>
      <c r="AM17" s="59">
        <f t="shared" si="8"/>
        <v>0.13875848433073004</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4.4372964862189113E-2</v>
      </c>
      <c r="F20" s="115"/>
      <c r="G20" s="115"/>
      <c r="H20" s="115"/>
      <c r="I20" s="115">
        <f>POWER(E9/Y9,1/6)-1</f>
        <v>7.1331416982484352E-2</v>
      </c>
      <c r="M20" s="115">
        <f>POWER(E9/AC9,1/7)-1</f>
        <v>0.11376620136933413</v>
      </c>
    </row>
    <row r="21" spans="1:90" s="63" customFormat="1" ht="14.25" customHeight="1" x14ac:dyDescent="0.25">
      <c r="A21" s="113" t="s">
        <v>573</v>
      </c>
      <c r="B21" s="115"/>
      <c r="C21" s="115"/>
      <c r="D21" s="115"/>
      <c r="E21" s="115">
        <f>POWER(E4/U4,1/5)-1</f>
        <v>-0.10141032479925238</v>
      </c>
      <c r="F21" s="115"/>
      <c r="G21" s="115"/>
      <c r="H21" s="115"/>
      <c r="I21" s="115">
        <f>POWER(E4/Y4,1/6)-1</f>
        <v>-5.2308221262125532E-2</v>
      </c>
      <c r="M21" s="115">
        <f>POWER(E4/AC4,1/7)-1</f>
        <v>-1.2638804885357291E-2</v>
      </c>
    </row>
    <row r="22" spans="1:90" s="63" customFormat="1" ht="14.25" customHeight="1" x14ac:dyDescent="0.25">
      <c r="A22" s="113" t="s">
        <v>576</v>
      </c>
      <c r="B22" s="115"/>
      <c r="C22" s="115"/>
      <c r="D22" s="115"/>
      <c r="E22" s="115">
        <f>POWER(E5/U5,1/5)-1</f>
        <v>0.12081327312751289</v>
      </c>
      <c r="F22" s="115"/>
      <c r="G22" s="115"/>
      <c r="H22" s="115"/>
      <c r="I22" s="115">
        <f>POWER(E5/Y5,1/6)-1</f>
        <v>0.13238527756096174</v>
      </c>
      <c r="M22" s="115">
        <f>POWER(E5/AC5,1/7)-1</f>
        <v>0.1648418341268385</v>
      </c>
    </row>
    <row r="23" spans="1:90" s="63" customFormat="1" ht="14.25" customHeight="1" x14ac:dyDescent="0.25">
      <c r="A23" s="113" t="s">
        <v>577</v>
      </c>
      <c r="B23" s="115"/>
      <c r="C23" s="115"/>
      <c r="D23" s="115"/>
      <c r="E23" s="115">
        <f>POWER(E6/U6,1/5)-1</f>
        <v>0.31827010756848861</v>
      </c>
      <c r="F23" s="115"/>
      <c r="G23" s="115"/>
      <c r="H23" s="115"/>
      <c r="I23" s="115">
        <f>POWER(E6/Y6,1/6)-1</f>
        <v>0.28236208727968393</v>
      </c>
      <c r="M23" s="115">
        <f>POWER(E6/AC6,1/7)-1</f>
        <v>0.32787876490241463</v>
      </c>
    </row>
    <row r="24" spans="1:90" s="63" customFormat="1" ht="14.25" customHeight="1" x14ac:dyDescent="0.25">
      <c r="A24" s="113" t="s">
        <v>578</v>
      </c>
      <c r="B24" s="115"/>
      <c r="C24" s="115"/>
      <c r="D24" s="115"/>
      <c r="E24" s="115">
        <f>POWER(E7/U7,1/5)-1</f>
        <v>7.8006733892288516E-2</v>
      </c>
      <c r="F24" s="115"/>
      <c r="G24" s="115"/>
      <c r="H24" s="115"/>
      <c r="I24" s="115">
        <f>POWER(E7/Y7,1/6)-1</f>
        <v>0.11035635570963853</v>
      </c>
      <c r="M24" s="115">
        <f>POWER(E7/AC7,1/7)-1</f>
        <v>0.1697250196968485</v>
      </c>
    </row>
    <row r="25" spans="1:90" s="107" customFormat="1" x14ac:dyDescent="0.25">
      <c r="A25" s="143" t="s">
        <v>554</v>
      </c>
      <c r="B25" s="108"/>
      <c r="C25" s="108"/>
      <c r="D25" s="108"/>
      <c r="E25" s="108">
        <f>(E2-I2)/I2</f>
        <v>-0.43741905085368477</v>
      </c>
      <c r="F25" s="108">
        <f t="shared" ref="F25:BQ25" si="10">(F2-J2)/J2</f>
        <v>0.13481266662237854</v>
      </c>
      <c r="G25" s="108">
        <f t="shared" si="10"/>
        <v>-0.18743136556530182</v>
      </c>
      <c r="H25" s="108">
        <f t="shared" si="10"/>
        <v>0.3083648157841809</v>
      </c>
      <c r="I25" s="108">
        <f t="shared" si="10"/>
        <v>-6.2773813485264987E-3</v>
      </c>
      <c r="J25" s="107">
        <f t="shared" si="10"/>
        <v>0.15649855935741075</v>
      </c>
      <c r="K25" s="107">
        <f t="shared" si="10"/>
        <v>0.50638694360876757</v>
      </c>
      <c r="L25" s="107">
        <f t="shared" si="10"/>
        <v>0.36160790704925883</v>
      </c>
      <c r="M25" s="108">
        <f t="shared" si="10"/>
        <v>-0.1168937966734173</v>
      </c>
      <c r="N25" s="108">
        <f t="shared" si="10"/>
        <v>-6.5185948938931093E-2</v>
      </c>
      <c r="O25" s="108">
        <f t="shared" si="10"/>
        <v>-0.20503047180501757</v>
      </c>
      <c r="P25" s="108">
        <f t="shared" si="10"/>
        <v>-8.2997569240400356E-3</v>
      </c>
      <c r="Q25" s="108">
        <f t="shared" si="10"/>
        <v>8.4740175096718245E-2</v>
      </c>
      <c r="R25" s="108">
        <f t="shared" si="10"/>
        <v>-0.19914066461238361</v>
      </c>
      <c r="S25" s="108">
        <f t="shared" si="10"/>
        <v>8.8096645207872415E-2</v>
      </c>
      <c r="T25" s="108">
        <f t="shared" si="10"/>
        <v>-0.33433462488858129</v>
      </c>
      <c r="U25" s="108">
        <f t="shared" si="10"/>
        <v>-2.6860891014634677E-2</v>
      </c>
      <c r="V25" s="107">
        <f t="shared" si="10"/>
        <v>0.48455010835731982</v>
      </c>
      <c r="W25" s="107">
        <f t="shared" si="10"/>
        <v>-0.40796722868607194</v>
      </c>
      <c r="X25" s="107">
        <f t="shared" si="10"/>
        <v>0.89549746790052209</v>
      </c>
      <c r="Y25" s="107">
        <f t="shared" si="10"/>
        <v>0.13711556644234019</v>
      </c>
      <c r="Z25" s="107">
        <f t="shared" si="10"/>
        <v>-0.21983664862069674</v>
      </c>
      <c r="AA25" s="107">
        <f t="shared" si="10"/>
        <v>0.26297875331170706</v>
      </c>
      <c r="AB25" s="107">
        <f t="shared" si="10"/>
        <v>-0.54252487729384147</v>
      </c>
      <c r="AC25" s="107">
        <f t="shared" si="10"/>
        <v>-0.5043863478367262</v>
      </c>
      <c r="AD25" s="107">
        <f t="shared" si="10"/>
        <v>-0.38468654167724781</v>
      </c>
      <c r="AE25" s="107">
        <f t="shared" si="10"/>
        <v>-0.41063704925779565</v>
      </c>
      <c r="AF25" s="107">
        <f t="shared" si="10"/>
        <v>7.9305926994831841</v>
      </c>
      <c r="AG25" s="107">
        <f t="shared" si="10"/>
        <v>7.1900049070786167</v>
      </c>
      <c r="AH25" s="107">
        <f t="shared" si="10"/>
        <v>12.167242409029944</v>
      </c>
      <c r="AI25" s="107">
        <f t="shared" si="10"/>
        <v>46.896349698811569</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6.3372219636596644E-2</v>
      </c>
      <c r="F26" s="108">
        <f t="shared" ref="F26:BQ26" si="12">F2/F9</f>
        <v>0.15513290986559367</v>
      </c>
      <c r="G26" s="108">
        <f t="shared" si="12"/>
        <v>0.12469297751184125</v>
      </c>
      <c r="H26" s="108">
        <f t="shared" si="12"/>
        <v>0.1780850581498607</v>
      </c>
      <c r="I26" s="108">
        <f t="shared" si="12"/>
        <v>0.11559185351278027</v>
      </c>
      <c r="J26" s="108">
        <f t="shared" si="12"/>
        <v>0.14948807391166599</v>
      </c>
      <c r="K26" s="108">
        <f t="shared" si="12"/>
        <v>0.14813430000188174</v>
      </c>
      <c r="L26" s="108">
        <f t="shared" si="12"/>
        <v>0.14404175708842473</v>
      </c>
      <c r="M26" s="108">
        <f t="shared" si="12"/>
        <v>0.12439543015429765</v>
      </c>
      <c r="N26" s="108">
        <f t="shared" si="12"/>
        <v>0.14725376138898433</v>
      </c>
      <c r="O26" s="108">
        <f t="shared" si="12"/>
        <v>0.1117783923008927</v>
      </c>
      <c r="P26" s="108">
        <f t="shared" si="12"/>
        <v>0.12239125408299885</v>
      </c>
      <c r="Q26" s="108">
        <f t="shared" si="12"/>
        <v>0.14417237912840505</v>
      </c>
      <c r="R26" s="108">
        <f t="shared" si="12"/>
        <v>0.14009692391143816</v>
      </c>
      <c r="S26" s="108">
        <f t="shared" si="12"/>
        <v>0.13691118113080852</v>
      </c>
      <c r="T26" s="108">
        <f t="shared" si="12"/>
        <v>0.12520587092615323</v>
      </c>
      <c r="U26" s="108">
        <f t="shared" si="12"/>
        <v>0.14702397697282021</v>
      </c>
      <c r="V26" s="108">
        <f t="shared" si="12"/>
        <v>0.20010290040553436</v>
      </c>
      <c r="W26" s="108">
        <f t="shared" si="12"/>
        <v>0.14900381273442528</v>
      </c>
      <c r="X26" s="108">
        <f t="shared" si="12"/>
        <v>0.21935009834646407</v>
      </c>
      <c r="Y26" s="108">
        <f t="shared" si="12"/>
        <v>0.18385615781097725</v>
      </c>
      <c r="Z26" s="108">
        <f t="shared" si="12"/>
        <v>0.18275955590603341</v>
      </c>
      <c r="AA26" s="108">
        <f t="shared" si="12"/>
        <v>0.31422707021985313</v>
      </c>
      <c r="AB26" s="108">
        <f t="shared" si="12"/>
        <v>0.16707706459314822</v>
      </c>
      <c r="AC26" s="108">
        <f t="shared" si="12"/>
        <v>0.22734676136402099</v>
      </c>
      <c r="AD26" s="108">
        <f t="shared" si="12"/>
        <v>0.29560579240890783</v>
      </c>
      <c r="AE26" s="108">
        <f t="shared" si="12"/>
        <v>0.33767321161929115</v>
      </c>
      <c r="AF26" s="108">
        <f t="shared" si="12"/>
        <v>0.42625107686776464</v>
      </c>
      <c r="AG26" s="108">
        <f t="shared" si="12"/>
        <v>0.51936030697214219</v>
      </c>
      <c r="AH26" s="108">
        <f t="shared" si="12"/>
        <v>0.5823740214579084</v>
      </c>
      <c r="AI26" s="108">
        <f t="shared" si="12"/>
        <v>0.63995105797205964</v>
      </c>
      <c r="AJ26" s="108">
        <f t="shared" si="12"/>
        <v>0.13972728572916174</v>
      </c>
      <c r="AK26" s="108">
        <f t="shared" si="12"/>
        <v>0.18733369574591838</v>
      </c>
      <c r="AL26" s="108">
        <f t="shared" si="12"/>
        <v>0.16526580117006784</v>
      </c>
      <c r="AM26" s="108">
        <f t="shared" si="12"/>
        <v>8.6624883137027153E-2</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66.100147947883073</v>
      </c>
      <c r="F27" s="109">
        <f t="shared" ref="F27:BQ27" si="14">(F3-J3)/J3</f>
        <v>1.2191903786761666</v>
      </c>
      <c r="G27" s="109">
        <f t="shared" si="14"/>
        <v>0.58279473929952275</v>
      </c>
      <c r="H27" s="109">
        <f t="shared" si="14"/>
        <v>1.6600801590934351</v>
      </c>
      <c r="I27" s="109">
        <f t="shared" si="14"/>
        <v>-0.35613937576239701</v>
      </c>
      <c r="J27" s="109">
        <f t="shared" si="14"/>
        <v>-8.9117951885659668E-3</v>
      </c>
      <c r="K27" s="109">
        <f t="shared" si="14"/>
        <v>0.1071796436609206</v>
      </c>
      <c r="L27" s="109">
        <f t="shared" si="14"/>
        <v>4.9281590713164333E-2</v>
      </c>
      <c r="M27" s="109">
        <f t="shared" si="14"/>
        <v>4.765681042667274E-2</v>
      </c>
      <c r="N27" s="109">
        <f t="shared" si="14"/>
        <v>0.43307689417670586</v>
      </c>
      <c r="O27" s="109">
        <f t="shared" si="14"/>
        <v>0.51983084790147871</v>
      </c>
      <c r="P27" s="109">
        <f t="shared" si="14"/>
        <v>0.56734796763917028</v>
      </c>
      <c r="Q27" s="109">
        <f t="shared" si="14"/>
        <v>0.54989244524224024</v>
      </c>
      <c r="R27" s="109">
        <f t="shared" si="14"/>
        <v>0.17447374888223913</v>
      </c>
      <c r="S27" s="109">
        <f t="shared" si="14"/>
        <v>0.10310625427139897</v>
      </c>
      <c r="T27" s="109">
        <f t="shared" si="14"/>
        <v>6.2043651234798901E-2</v>
      </c>
      <c r="U27" s="109">
        <f t="shared" si="14"/>
        <v>6.8448537977023174E-2</v>
      </c>
      <c r="V27" s="109">
        <f t="shared" si="14"/>
        <v>2.9363569774962038E-2</v>
      </c>
      <c r="W27" s="109">
        <f t="shared" si="14"/>
        <v>6.2878429373557601E-2</v>
      </c>
      <c r="X27" s="109">
        <f t="shared" si="14"/>
        <v>6.7649155972260677E-2</v>
      </c>
      <c r="Y27" s="109">
        <f t="shared" si="14"/>
        <v>1.9413020511915093</v>
      </c>
      <c r="Z27" s="109">
        <f t="shared" si="14"/>
        <v>1.8224838000000001</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0.10901645103089729</v>
      </c>
      <c r="F28" s="109">
        <f t="shared" ref="F28:BQ28" si="16">F3/F9</f>
        <v>5.3036927969165194E-3</v>
      </c>
      <c r="G28" s="109">
        <f t="shared" si="16"/>
        <v>4.5668210042584863E-3</v>
      </c>
      <c r="H28" s="109">
        <f t="shared" si="16"/>
        <v>6.4974031226563778E-3</v>
      </c>
      <c r="I28" s="109">
        <f t="shared" si="16"/>
        <v>1.6671776991856919E-3</v>
      </c>
      <c r="J28" s="109">
        <f t="shared" si="16"/>
        <v>2.6134282543720817E-3</v>
      </c>
      <c r="K28" s="109">
        <f t="shared" si="16"/>
        <v>2.7852429278168579E-3</v>
      </c>
      <c r="L28" s="109">
        <f t="shared" si="16"/>
        <v>2.58484718932193E-3</v>
      </c>
      <c r="M28" s="109">
        <f t="shared" si="16"/>
        <v>2.7690602140953637E-3</v>
      </c>
      <c r="N28" s="109">
        <f t="shared" si="16"/>
        <v>3.0040227784110811E-3</v>
      </c>
      <c r="O28" s="109">
        <f t="shared" si="16"/>
        <v>2.8594582500788591E-3</v>
      </c>
      <c r="P28" s="109">
        <f t="shared" si="16"/>
        <v>2.8500787451687503E-3</v>
      </c>
      <c r="Q28" s="109">
        <f t="shared" si="16"/>
        <v>2.7052283724895896E-3</v>
      </c>
      <c r="R28" s="109">
        <f t="shared" si="16"/>
        <v>1.8643230186548561E-3</v>
      </c>
      <c r="S28" s="109">
        <f t="shared" si="16"/>
        <v>1.8319771193038891E-3</v>
      </c>
      <c r="T28" s="109">
        <f t="shared" si="16"/>
        <v>1.8447867157979983E-3</v>
      </c>
      <c r="U28" s="109">
        <f t="shared" si="16"/>
        <v>1.9307862550621995E-3</v>
      </c>
      <c r="V28" s="109">
        <f t="shared" si="16"/>
        <v>1.8157617951333415E-3</v>
      </c>
      <c r="W28" s="109">
        <f t="shared" si="16"/>
        <v>1.9666570523318911E-3</v>
      </c>
      <c r="X28" s="109">
        <f t="shared" si="16"/>
        <v>2.0256896213222508E-3</v>
      </c>
      <c r="Y28" s="109">
        <f t="shared" si="16"/>
        <v>2.1991027914306975E-3</v>
      </c>
      <c r="Z28" s="109">
        <f t="shared" si="16"/>
        <v>2.3917272488025217E-3</v>
      </c>
      <c r="AA28" s="109">
        <f t="shared" si="16"/>
        <v>2.3101330987159966E-3</v>
      </c>
      <c r="AB28" s="109">
        <f t="shared" si="16"/>
        <v>2.7393438753190338E-3</v>
      </c>
      <c r="AC28" s="109">
        <f t="shared" si="16"/>
        <v>1.0512865318324785E-3</v>
      </c>
      <c r="AD28" s="109">
        <f t="shared" si="16"/>
        <v>1.0692975813775395E-3</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-0.31423816023463119</v>
      </c>
      <c r="F29" s="108">
        <f t="shared" ref="F29:BQ29" si="18">(F4-J4)/J4</f>
        <v>0.31261786020775612</v>
      </c>
      <c r="G29" s="108">
        <f t="shared" si="18"/>
        <v>-0.26299379860688332</v>
      </c>
      <c r="H29" s="108">
        <f t="shared" si="18"/>
        <v>-0.10171019641729462</v>
      </c>
      <c r="I29" s="108">
        <f t="shared" si="18"/>
        <v>0.26407094290460698</v>
      </c>
      <c r="J29" s="108">
        <f t="shared" si="18"/>
        <v>1.4522802988971963</v>
      </c>
      <c r="K29" s="108">
        <f t="shared" si="18"/>
        <v>0.25586569980174845</v>
      </c>
      <c r="L29" s="108">
        <f t="shared" si="18"/>
        <v>0.40890763299289756</v>
      </c>
      <c r="M29" s="108">
        <f t="shared" si="18"/>
        <v>-0.1198078606260926</v>
      </c>
      <c r="N29" s="108">
        <f t="shared" si="18"/>
        <v>-0.79296412257239135</v>
      </c>
      <c r="O29" s="108">
        <f t="shared" si="18"/>
        <v>-0.50376164202055784</v>
      </c>
      <c r="P29" s="108">
        <f t="shared" si="18"/>
        <v>-0.49950978745202812</v>
      </c>
      <c r="Q29" s="108">
        <f t="shared" si="18"/>
        <v>-0.23213499978366969</v>
      </c>
      <c r="R29" s="108">
        <f t="shared" si="18"/>
        <v>0.24012309953920966</v>
      </c>
      <c r="S29" s="108">
        <f t="shared" si="18"/>
        <v>0.22165205921713935</v>
      </c>
      <c r="T29" s="108">
        <f t="shared" si="18"/>
        <v>0.53942676378489707</v>
      </c>
      <c r="U29" s="108">
        <f t="shared" si="18"/>
        <v>0.23650409084940824</v>
      </c>
      <c r="V29" s="108">
        <f t="shared" si="18"/>
        <v>0.22321470127642704</v>
      </c>
      <c r="W29" s="108">
        <f t="shared" si="18"/>
        <v>0.84752375657966794</v>
      </c>
      <c r="X29" s="108">
        <f t="shared" si="18"/>
        <v>6.6819810525539217E-2</v>
      </c>
      <c r="Y29" s="108">
        <f t="shared" si="18"/>
        <v>0.26278584328972526</v>
      </c>
      <c r="Z29" s="108">
        <f t="shared" si="18"/>
        <v>7.6712805337220608E-2</v>
      </c>
      <c r="AA29" s="108">
        <f t="shared" si="18"/>
        <v>-9.8246388233114129E-2</v>
      </c>
      <c r="AB29" s="108">
        <f t="shared" si="18"/>
        <v>0.25244292612725683</v>
      </c>
      <c r="AC29" s="108">
        <f t="shared" si="18"/>
        <v>0.28093665381266203</v>
      </c>
      <c r="AD29" s="108">
        <f t="shared" si="18"/>
        <v>0.4665997511269056</v>
      </c>
      <c r="AE29" s="108">
        <f t="shared" si="18"/>
        <v>0.35736654065180362</v>
      </c>
      <c r="AF29" s="108">
        <f t="shared" si="18"/>
        <v>0.64433518841823167</v>
      </c>
      <c r="AG29" s="108">
        <f t="shared" si="18"/>
        <v>0.5889535463462201</v>
      </c>
      <c r="AH29" s="108">
        <f t="shared" si="18"/>
        <v>1.0448789251132165</v>
      </c>
      <c r="AI29" s="108">
        <f t="shared" si="18"/>
        <v>3.0121076317406597</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0.38448967562045289</v>
      </c>
      <c r="F30" s="108">
        <f t="shared" ref="F30:BQ30" si="20">(F5-J5)/J5</f>
        <v>0.29460359692151333</v>
      </c>
      <c r="G30" s="108">
        <f t="shared" si="20"/>
        <v>0.12441189530853121</v>
      </c>
      <c r="H30" s="108">
        <f t="shared" si="20"/>
        <v>6.5612012541983122E-2</v>
      </c>
      <c r="I30" s="108">
        <f t="shared" si="20"/>
        <v>3.7505312159639578E-2</v>
      </c>
      <c r="J30" s="108">
        <f t="shared" si="20"/>
        <v>8.7554680004051783E-2</v>
      </c>
      <c r="K30" s="108">
        <f t="shared" si="20"/>
        <v>8.2023665895031239E-2</v>
      </c>
      <c r="L30" s="108">
        <f t="shared" si="20"/>
        <v>6.0022983388587609E-2</v>
      </c>
      <c r="M30" s="108">
        <f t="shared" si="20"/>
        <v>9.5281498803872225E-2</v>
      </c>
      <c r="N30" s="108">
        <f t="shared" si="20"/>
        <v>7.4439593226942352E-2</v>
      </c>
      <c r="O30" s="108">
        <f t="shared" si="20"/>
        <v>0.10519571799262209</v>
      </c>
      <c r="P30" s="108">
        <f t="shared" si="20"/>
        <v>0.11880710279000622</v>
      </c>
      <c r="Q30" s="108">
        <f t="shared" si="20"/>
        <v>0.12424386095157715</v>
      </c>
      <c r="R30" s="108">
        <f t="shared" si="20"/>
        <v>0.13550657341320851</v>
      </c>
      <c r="S30" s="108">
        <f t="shared" si="20"/>
        <v>0.13921313041832103</v>
      </c>
      <c r="T30" s="108">
        <f t="shared" si="20"/>
        <v>0.17097449497621225</v>
      </c>
      <c r="U30" s="108">
        <f t="shared" si="20"/>
        <v>0.19206231608337831</v>
      </c>
      <c r="V30" s="108">
        <f t="shared" si="20"/>
        <v>0.22559508743123738</v>
      </c>
      <c r="W30" s="108">
        <f t="shared" si="20"/>
        <v>0.39926826788071301</v>
      </c>
      <c r="X30" s="108">
        <f t="shared" si="20"/>
        <v>0.46138662407051295</v>
      </c>
      <c r="Y30" s="108">
        <f t="shared" si="20"/>
        <v>0.38007735681091687</v>
      </c>
      <c r="Z30" s="108">
        <f t="shared" si="20"/>
        <v>0.41490830945689788</v>
      </c>
      <c r="AA30" s="108">
        <f t="shared" si="20"/>
        <v>0.3162068860384098</v>
      </c>
      <c r="AB30" s="108">
        <f t="shared" si="20"/>
        <v>0.25160987408563862</v>
      </c>
      <c r="AC30" s="108">
        <f t="shared" si="20"/>
        <v>0.42393292009831085</v>
      </c>
      <c r="AD30" s="108">
        <f t="shared" si="20"/>
        <v>0.34942561794865951</v>
      </c>
      <c r="AE30" s="108">
        <f t="shared" si="20"/>
        <v>0.43724353778275704</v>
      </c>
      <c r="AF30" s="108">
        <f t="shared" si="20"/>
        <v>0.5476464878318249</v>
      </c>
      <c r="AG30" s="108">
        <f t="shared" si="20"/>
        <v>0.40802939397694205</v>
      </c>
      <c r="AH30" s="108">
        <f t="shared" si="20"/>
        <v>0.61628307050332176</v>
      </c>
      <c r="AI30" s="108">
        <f t="shared" si="20"/>
        <v>1.0616649550316517</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0.92413044339292516</v>
      </c>
      <c r="F31" s="108">
        <f t="shared" ref="F31:BQ31" si="22">(F6-J6)/J6</f>
        <v>0.2870183154575961</v>
      </c>
      <c r="G31" s="108">
        <f t="shared" si="22"/>
        <v>0.35888016754324564</v>
      </c>
      <c r="H31" s="108">
        <f t="shared" si="22"/>
        <v>0.19720982972345646</v>
      </c>
      <c r="I31" s="108">
        <f t="shared" si="22"/>
        <v>-8.864973030086544E-2</v>
      </c>
      <c r="J31" s="108">
        <f t="shared" si="22"/>
        <v>-0.1189119006154721</v>
      </c>
      <c r="K31" s="108">
        <f t="shared" si="22"/>
        <v>-1.6186659251402463E-3</v>
      </c>
      <c r="L31" s="108">
        <f t="shared" si="22"/>
        <v>-0.11277151554171945</v>
      </c>
      <c r="M31" s="108">
        <f t="shared" si="22"/>
        <v>0.2677848712554789</v>
      </c>
      <c r="N31" s="108">
        <f t="shared" si="22"/>
        <v>1.9343497362950259</v>
      </c>
      <c r="O31" s="108">
        <f t="shared" si="22"/>
        <v>1.6984246605361752</v>
      </c>
      <c r="P31" s="108">
        <f t="shared" si="22"/>
        <v>1.882603815855326</v>
      </c>
      <c r="Q31" s="108">
        <f t="shared" si="22"/>
        <v>0.79083931207565117</v>
      </c>
      <c r="R31" s="108">
        <f t="shared" si="22"/>
        <v>-3.8428703603211073E-2</v>
      </c>
      <c r="S31" s="108">
        <f t="shared" si="22"/>
        <v>-3.1737004041382071E-2</v>
      </c>
      <c r="T31" s="108">
        <f t="shared" si="22"/>
        <v>-0.30412908708662134</v>
      </c>
      <c r="U31" s="108">
        <f t="shared" si="22"/>
        <v>0.11697125458051107</v>
      </c>
      <c r="V31" s="108">
        <f t="shared" si="22"/>
        <v>0.22957328658925422</v>
      </c>
      <c r="W31" s="108">
        <f t="shared" si="22"/>
        <v>-6.9091575303440733E-2</v>
      </c>
      <c r="X31" s="108">
        <f t="shared" si="22"/>
        <v>1.7937582499068376</v>
      </c>
      <c r="Y31" s="108">
        <f t="shared" si="22"/>
        <v>0.636985989666356</v>
      </c>
      <c r="Z31" s="108">
        <f t="shared" si="22"/>
        <v>1.9783583440444457</v>
      </c>
      <c r="AA31" s="108">
        <f t="shared" si="22"/>
        <v>1.5322463768913068</v>
      </c>
      <c r="AB31" s="108">
        <f t="shared" si="22"/>
        <v>0.24880499826892985</v>
      </c>
      <c r="AC31" s="108">
        <f t="shared" si="22"/>
        <v>0.88479822777870076</v>
      </c>
      <c r="AD31" s="108">
        <f t="shared" si="22"/>
        <v>-1.4549155868648101E-2</v>
      </c>
      <c r="AE31" s="108">
        <f t="shared" si="22"/>
        <v>0.73719022613740393</v>
      </c>
      <c r="AF31" s="108">
        <f t="shared" si="22"/>
        <v>0.29187733897287382</v>
      </c>
      <c r="AG31" s="108">
        <f t="shared" si="22"/>
        <v>3.0034179653506979E-2</v>
      </c>
      <c r="AH31" s="108">
        <f t="shared" si="22"/>
        <v>-2.1062407579129173E-2</v>
      </c>
      <c r="AI31" s="108">
        <f t="shared" si="22"/>
        <v>-0.27033745538461951</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2.8407881499338695E-2</v>
      </c>
      <c r="F32" s="109">
        <f t="shared" ref="F32:BQ32" si="24">(F7-J7)/J7</f>
        <v>4.5698861051091645E-2</v>
      </c>
      <c r="G32" s="109">
        <f t="shared" si="24"/>
        <v>4.2764034915226588E-2</v>
      </c>
      <c r="H32" s="109">
        <f t="shared" si="24"/>
        <v>3.8843993899356125E-2</v>
      </c>
      <c r="I32" s="109">
        <f t="shared" si="24"/>
        <v>4.5302782564163688E-2</v>
      </c>
      <c r="J32" s="109">
        <f t="shared" si="24"/>
        <v>4.6218403049343486E-2</v>
      </c>
      <c r="K32" s="109">
        <f t="shared" si="24"/>
        <v>6.0863988976044343E-2</v>
      </c>
      <c r="L32" s="109">
        <f t="shared" si="24"/>
        <v>7.6218991330813987E-2</v>
      </c>
      <c r="M32" s="109">
        <f t="shared" si="24"/>
        <v>8.8136627940030271E-2</v>
      </c>
      <c r="N32" s="109">
        <f t="shared" si="24"/>
        <v>0.13491802368139466</v>
      </c>
      <c r="O32" s="109">
        <f t="shared" si="24"/>
        <v>0.21978863801295326</v>
      </c>
      <c r="P32" s="109">
        <f t="shared" si="24"/>
        <v>0.25971808661685303</v>
      </c>
      <c r="Q32" s="109">
        <f t="shared" si="24"/>
        <v>0.24456171295143911</v>
      </c>
      <c r="R32" s="109">
        <f t="shared" si="24"/>
        <v>0.22597497130861274</v>
      </c>
      <c r="S32" s="109">
        <f t="shared" si="24"/>
        <v>0.1926245449088039</v>
      </c>
      <c r="T32" s="109">
        <f t="shared" si="24"/>
        <v>0.22081748694898803</v>
      </c>
      <c r="U32" s="109">
        <f t="shared" si="24"/>
        <v>0.28726193845106396</v>
      </c>
      <c r="V32" s="109">
        <f t="shared" si="24"/>
        <v>0.371792932867269</v>
      </c>
      <c r="W32" s="109">
        <f t="shared" si="24"/>
        <v>0.45229009837699596</v>
      </c>
      <c r="X32" s="109">
        <f t="shared" si="24"/>
        <v>0.50557142270752786</v>
      </c>
      <c r="Y32" s="109">
        <f t="shared" si="24"/>
        <v>0.59886633440956794</v>
      </c>
      <c r="Z32" s="109">
        <f t="shared" si="24"/>
        <v>0.71922810198553289</v>
      </c>
      <c r="AA32" s="109">
        <f t="shared" si="24"/>
        <v>0.71637672428765697</v>
      </c>
      <c r="AB32" s="109">
        <f t="shared" si="24"/>
        <v>1.0686830628282791</v>
      </c>
      <c r="AC32" s="109">
        <f t="shared" si="24"/>
        <v>1.3293122429038471</v>
      </c>
      <c r="AD32" s="109">
        <f t="shared" si="24"/>
        <v>1.7653978468645319</v>
      </c>
      <c r="AE32" s="109">
        <f t="shared" si="24"/>
        <v>2.0453948044853107</v>
      </c>
      <c r="AF32" s="109">
        <f t="shared" si="24"/>
        <v>1.3331422426933193</v>
      </c>
      <c r="AG32" s="109">
        <f t="shared" si="24"/>
        <v>0.93049194195099838</v>
      </c>
      <c r="AH32" s="109">
        <f t="shared" si="24"/>
        <v>0.68721455279032817</v>
      </c>
      <c r="AI32" s="109">
        <f t="shared" si="24"/>
        <v>0.68610906946234185</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0.71339925607536903</v>
      </c>
      <c r="F33" s="109">
        <f t="shared" ref="F33:BQ33" si="26">F7/F9</f>
        <v>0.6982062983795233</v>
      </c>
      <c r="G33" s="109">
        <f t="shared" si="26"/>
        <v>0.75876684655806415</v>
      </c>
      <c r="H33" s="109">
        <f t="shared" si="26"/>
        <v>0.67287182623994124</v>
      </c>
      <c r="I33" s="109">
        <f t="shared" si="26"/>
        <v>0.71183704605790066</v>
      </c>
      <c r="J33" s="109">
        <f t="shared" si="26"/>
        <v>0.73013624734691129</v>
      </c>
      <c r="K33" s="109">
        <f t="shared" si="26"/>
        <v>0.70241858071369478</v>
      </c>
      <c r="L33" s="109">
        <f t="shared" si="26"/>
        <v>0.68544371058443743</v>
      </c>
      <c r="M33" s="109">
        <f t="shared" si="26"/>
        <v>0.72825060381041073</v>
      </c>
      <c r="N33" s="109">
        <f t="shared" si="26"/>
        <v>0.79503546340184506</v>
      </c>
      <c r="O33" s="109">
        <f t="shared" si="26"/>
        <v>0.75261878833674078</v>
      </c>
      <c r="P33" s="109">
        <f t="shared" si="26"/>
        <v>0.7368603422308726</v>
      </c>
      <c r="Q33" s="109">
        <f t="shared" si="26"/>
        <v>0.6849959416293363</v>
      </c>
      <c r="R33" s="109">
        <f t="shared" si="26"/>
        <v>0.62303069308123427</v>
      </c>
      <c r="S33" s="109">
        <f t="shared" si="26"/>
        <v>0.60078905534146132</v>
      </c>
      <c r="T33" s="109">
        <f t="shared" si="26"/>
        <v>0.59342596810957671</v>
      </c>
      <c r="U33" s="109">
        <f t="shared" si="26"/>
        <v>0.60884029566580289</v>
      </c>
      <c r="V33" s="109">
        <f t="shared" si="26"/>
        <v>0.58131143313126321</v>
      </c>
      <c r="W33" s="109">
        <f t="shared" si="26"/>
        <v>0.59654636656081339</v>
      </c>
      <c r="X33" s="109">
        <f t="shared" si="26"/>
        <v>0.56687187851759846</v>
      </c>
      <c r="Y33" s="109">
        <f t="shared" si="26"/>
        <v>0.57557430843137269</v>
      </c>
      <c r="Z33" s="109">
        <f t="shared" si="26"/>
        <v>0.57456858250590437</v>
      </c>
      <c r="AA33" s="109">
        <f t="shared" si="26"/>
        <v>0.51284106165776477</v>
      </c>
      <c r="AB33" s="109">
        <f t="shared" si="26"/>
        <v>0.54360790284105731</v>
      </c>
      <c r="AC33" s="109">
        <f t="shared" si="26"/>
        <v>0.50617936755009818</v>
      </c>
      <c r="AD33" s="109">
        <f t="shared" si="26"/>
        <v>0.42172249244661797</v>
      </c>
      <c r="AE33" s="109">
        <f t="shared" si="26"/>
        <v>0.40552649217577214</v>
      </c>
      <c r="AF33" s="109">
        <f t="shared" si="26"/>
        <v>0.30669587729324871</v>
      </c>
      <c r="AG33" s="109">
        <f t="shared" si="26"/>
        <v>0.24603674532409459</v>
      </c>
      <c r="AH33" s="109">
        <f t="shared" si="26"/>
        <v>0.1848649647673789</v>
      </c>
      <c r="AI33" s="109">
        <f t="shared" si="26"/>
        <v>0.14873343657183455</v>
      </c>
      <c r="AJ33" s="109">
        <f t="shared" si="26"/>
        <v>0.38482452111292093</v>
      </c>
      <c r="AK33" s="109">
        <f t="shared" si="26"/>
        <v>0.37649853300054814</v>
      </c>
      <c r="AL33" s="109">
        <f t="shared" si="26"/>
        <v>0.40941158750420414</v>
      </c>
      <c r="AM33" s="109">
        <f t="shared" si="26"/>
        <v>0.57190153813807676</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-0.33763656349412036</v>
      </c>
      <c r="F34" s="108">
        <f t="shared" ref="F34:BQ34" si="28">(F10-J10)/J10</f>
        <v>0.2469963619554674</v>
      </c>
      <c r="G34" s="108">
        <f t="shared" si="28"/>
        <v>0.12820073465644033</v>
      </c>
      <c r="H34" s="108">
        <f t="shared" si="28"/>
        <v>0.99149526721949033</v>
      </c>
      <c r="I34" s="108">
        <f t="shared" si="28"/>
        <v>0.89916288082786244</v>
      </c>
      <c r="J34" s="108">
        <f t="shared" si="28"/>
        <v>0.6775905060967371</v>
      </c>
      <c r="K34" s="108">
        <f t="shared" si="28"/>
        <v>1.2002951656045702</v>
      </c>
      <c r="L34" s="108">
        <f t="shared" si="28"/>
        <v>0.65918780991021897</v>
      </c>
      <c r="M34" s="108">
        <f t="shared" si="28"/>
        <v>0.52444182009948193</v>
      </c>
      <c r="N34" s="108">
        <f t="shared" si="28"/>
        <v>4.8718298208731796E-2</v>
      </c>
      <c r="O34" s="108">
        <f t="shared" si="28"/>
        <v>2.1905099260193281E-2</v>
      </c>
      <c r="P34" s="108">
        <f t="shared" si="28"/>
        <v>0.29804260826029522</v>
      </c>
      <c r="Q34" s="108">
        <f t="shared" si="28"/>
        <v>0.69308426818414492</v>
      </c>
      <c r="R34" s="108">
        <f t="shared" si="28"/>
        <v>1.492021870283885</v>
      </c>
      <c r="S34" s="108">
        <f t="shared" si="28"/>
        <v>2.0829609402608704</v>
      </c>
      <c r="T34" s="108">
        <f t="shared" si="28"/>
        <v>2.5176684927132515</v>
      </c>
      <c r="U34" s="108">
        <f t="shared" si="28"/>
        <v>1.1976255602477188</v>
      </c>
      <c r="V34" s="108">
        <f t="shared" si="28"/>
        <v>-0.18010022346627017</v>
      </c>
      <c r="W34" s="108">
        <f t="shared" si="28"/>
        <v>-0.45672194834577345</v>
      </c>
      <c r="X34" s="108">
        <f t="shared" si="28"/>
        <v>-0.65364792591966703</v>
      </c>
      <c r="Y34" s="108">
        <f t="shared" si="28"/>
        <v>-0.45029120518349086</v>
      </c>
      <c r="Z34" s="108">
        <f t="shared" si="28"/>
        <v>-0.22734061453265123</v>
      </c>
      <c r="AA34" s="108">
        <f t="shared" si="28"/>
        <v>0.10482956964060453</v>
      </c>
      <c r="AB34" s="108">
        <f t="shared" si="28"/>
        <v>0.41137944468905685</v>
      </c>
      <c r="AC34" s="108">
        <f t="shared" si="28"/>
        <v>0.10592084475233034</v>
      </c>
      <c r="AD34" s="108">
        <f t="shared" si="28"/>
        <v>0.80011585150338127</v>
      </c>
      <c r="AE34" s="108">
        <f t="shared" si="28"/>
        <v>0.18670117280426662</v>
      </c>
      <c r="AF34" s="108">
        <f t="shared" si="28"/>
        <v>-7.9361474497526993E-2</v>
      </c>
      <c r="AG34" s="108">
        <f t="shared" si="28"/>
        <v>-0.12072754933896741</v>
      </c>
      <c r="AH34" s="108">
        <f t="shared" si="28"/>
        <v>-3.7802668336063668E-2</v>
      </c>
      <c r="AI34" s="108">
        <f t="shared" si="28"/>
        <v>1.2296701611268617</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0.54154525613718496</v>
      </c>
      <c r="F35" s="108">
        <f t="shared" ref="F35:BQ35" si="30">F10/F12</f>
        <v>0.62855509413787658</v>
      </c>
      <c r="G35" s="108">
        <f t="shared" si="30"/>
        <v>0.84381011170772446</v>
      </c>
      <c r="H35" s="108">
        <f t="shared" si="30"/>
        <v>0.87536573278586671</v>
      </c>
      <c r="I35" s="108">
        <f t="shared" si="30"/>
        <v>0.81810119399006576</v>
      </c>
      <c r="J35" s="108">
        <f t="shared" si="30"/>
        <v>0.58675892809998675</v>
      </c>
      <c r="K35" s="108">
        <f t="shared" si="30"/>
        <v>0.64155991137602941</v>
      </c>
      <c r="L35" s="108">
        <f t="shared" si="30"/>
        <v>0.46823444246117524</v>
      </c>
      <c r="M35" s="108">
        <f t="shared" si="30"/>
        <v>0.48966328942108867</v>
      </c>
      <c r="N35" s="108">
        <f t="shared" si="30"/>
        <v>0.469930008058497</v>
      </c>
      <c r="O35" s="108">
        <f t="shared" si="30"/>
        <v>0.40484719943255282</v>
      </c>
      <c r="P35" s="108">
        <f t="shared" si="30"/>
        <v>0.40514410376536963</v>
      </c>
      <c r="Q35" s="108">
        <f t="shared" si="30"/>
        <v>0.33194613734057354</v>
      </c>
      <c r="R35" s="108">
        <f t="shared" si="30"/>
        <v>0.31288718036012703</v>
      </c>
      <c r="S35" s="108">
        <f t="shared" si="30"/>
        <v>0.32821465021433338</v>
      </c>
      <c r="T35" s="108">
        <f t="shared" si="30"/>
        <v>0.2786940329374003</v>
      </c>
      <c r="U35" s="108">
        <f t="shared" si="30"/>
        <v>0.22089929112429119</v>
      </c>
      <c r="V35" s="108">
        <f t="shared" si="30"/>
        <v>0.15132531445981368</v>
      </c>
      <c r="W35" s="108">
        <f t="shared" si="30"/>
        <v>0.14012825228491599</v>
      </c>
      <c r="X35" s="108">
        <f t="shared" si="30"/>
        <v>0.10149187896188389</v>
      </c>
      <c r="Y35" s="108">
        <f t="shared" si="30"/>
        <v>0.14822719696946715</v>
      </c>
      <c r="Z35" s="108">
        <f t="shared" si="30"/>
        <v>0.37320399965256823</v>
      </c>
      <c r="AA35" s="108">
        <f t="shared" si="30"/>
        <v>0.40380014411976989</v>
      </c>
      <c r="AB35" s="108">
        <f t="shared" si="30"/>
        <v>0.8331496441981846</v>
      </c>
      <c r="AC35" s="108">
        <f t="shared" si="30"/>
        <v>0.81464892585517334</v>
      </c>
      <c r="AD35" s="108">
        <f t="shared" si="30"/>
        <v>0.85992601319306605</v>
      </c>
      <c r="AE35" s="108">
        <f t="shared" si="30"/>
        <v>0.94381128112667978</v>
      </c>
      <c r="AF35" s="108">
        <f t="shared" si="30"/>
        <v>0.84155088283426505</v>
      </c>
      <c r="AG35" s="108">
        <f t="shared" si="30"/>
        <v>0.86959253886398924</v>
      </c>
      <c r="AH35" s="108">
        <f t="shared" si="30"/>
        <v>0.89598101633251004</v>
      </c>
      <c r="AI35" s="108">
        <f t="shared" si="30"/>
        <v>0.91358693818975956</v>
      </c>
      <c r="AJ35" s="108">
        <f t="shared" si="30"/>
        <v>0.92075124693406962</v>
      </c>
      <c r="AK35" s="108">
        <f t="shared" si="30"/>
        <v>0.91905037550587643</v>
      </c>
      <c r="AL35" s="108">
        <f t="shared" si="30"/>
        <v>0.97965706937783081</v>
      </c>
      <c r="AM35" s="108">
        <f t="shared" si="30"/>
        <v>0.9078194107309846</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1.5219428687327099</v>
      </c>
      <c r="F36" s="108">
        <f t="shared" ref="F36:BQ36" si="32">(F11-J11)/J11</f>
        <v>4.6339136726814577E-2</v>
      </c>
      <c r="G36" s="108">
        <f t="shared" si="32"/>
        <v>-0.62622073148081703</v>
      </c>
      <c r="H36" s="108">
        <f t="shared" si="32"/>
        <v>-0.75032770496968337</v>
      </c>
      <c r="I36" s="108">
        <f t="shared" si="32"/>
        <v>-0.59484073840543905</v>
      </c>
      <c r="J36" s="108">
        <f t="shared" si="32"/>
        <v>4.7441295678517972E-2</v>
      </c>
      <c r="K36" s="108">
        <f t="shared" si="32"/>
        <v>-0.16377536112546073</v>
      </c>
      <c r="L36" s="108">
        <f t="shared" si="32"/>
        <v>0.28336487474547151</v>
      </c>
      <c r="M36" s="108">
        <f t="shared" si="32"/>
        <v>-0.21054703795872051</v>
      </c>
      <c r="N36" s="108">
        <f t="shared" si="32"/>
        <v>-0.46133519053955052</v>
      </c>
      <c r="O36" s="108">
        <f t="shared" si="32"/>
        <v>-0.26603501400969221</v>
      </c>
      <c r="P36" s="108">
        <f t="shared" si="32"/>
        <v>-0.26362448145676481</v>
      </c>
      <c r="Q36" s="108">
        <f t="shared" si="32"/>
        <v>-3.389760869568241E-2</v>
      </c>
      <c r="R36" s="108">
        <f t="shared" si="32"/>
        <v>-2.4196282834192777E-2</v>
      </c>
      <c r="S36" s="108">
        <f t="shared" si="32"/>
        <v>2.8330256556421629E-2</v>
      </c>
      <c r="T36" s="108">
        <f t="shared" si="32"/>
        <v>2.8385748900724879E-2</v>
      </c>
      <c r="U36" s="108">
        <f t="shared" si="32"/>
        <v>0.34882964350132478</v>
      </c>
      <c r="V36" s="108">
        <f t="shared" si="32"/>
        <v>1.7378553806907118</v>
      </c>
      <c r="W36" s="108">
        <f t="shared" si="32"/>
        <v>1.2579001752483796</v>
      </c>
      <c r="X36" s="108">
        <f t="shared" si="32"/>
        <v>14.31102912732692</v>
      </c>
      <c r="Y36" s="108">
        <f t="shared" si="32"/>
        <v>12.883659064347752</v>
      </c>
      <c r="Z36" s="108">
        <f t="shared" si="32"/>
        <v>6.9665742533397763</v>
      </c>
      <c r="AA36" s="108">
        <f t="shared" si="32"/>
        <v>26.40038847795714</v>
      </c>
      <c r="AB36" s="108">
        <f t="shared" si="32"/>
        <v>0.50119969729055047</v>
      </c>
      <c r="AC36" s="108">
        <f t="shared" si="32"/>
        <v>0.67788436360114834</v>
      </c>
      <c r="AD36" s="108">
        <f t="shared" si="32"/>
        <v>1.5257075428933859</v>
      </c>
      <c r="AE36" s="108">
        <f t="shared" si="32"/>
        <v>-0.25307701197899996</v>
      </c>
      <c r="AF36" s="108">
        <f t="shared" si="32"/>
        <v>1.0139489908976624</v>
      </c>
      <c r="AG36" s="108">
        <f t="shared" si="32"/>
        <v>0.49704404969380428</v>
      </c>
      <c r="AH36" s="108">
        <f t="shared" si="32"/>
        <v>4.3794578004114353</v>
      </c>
      <c r="AI36" s="108">
        <f t="shared" si="32"/>
        <v>1.0769694952186282</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0.45845474386281498</v>
      </c>
      <c r="F37" s="108">
        <f t="shared" ref="F37:BQ37" si="34">F11/F12</f>
        <v>0.37144490586212342</v>
      </c>
      <c r="G37" s="108">
        <f t="shared" si="34"/>
        <v>0.15618988829227559</v>
      </c>
      <c r="H37" s="108">
        <f t="shared" si="34"/>
        <v>0.12463426721413333</v>
      </c>
      <c r="I37" s="108">
        <f t="shared" si="34"/>
        <v>0.18189880600993424</v>
      </c>
      <c r="J37" s="108">
        <f t="shared" si="34"/>
        <v>0.4132410719000133</v>
      </c>
      <c r="K37" s="108">
        <f t="shared" si="34"/>
        <v>0.35844008862397059</v>
      </c>
      <c r="L37" s="108">
        <f t="shared" si="34"/>
        <v>0.53176555753882471</v>
      </c>
      <c r="M37" s="108">
        <f t="shared" si="34"/>
        <v>0.51033671057891139</v>
      </c>
      <c r="N37" s="108">
        <f t="shared" si="34"/>
        <v>0.53006999194150306</v>
      </c>
      <c r="O37" s="110">
        <f t="shared" si="34"/>
        <v>0.59515280056744713</v>
      </c>
      <c r="P37" s="110">
        <f t="shared" si="34"/>
        <v>0.59485589623463042</v>
      </c>
      <c r="Q37" s="110">
        <f t="shared" si="34"/>
        <v>0.66805386265942646</v>
      </c>
      <c r="R37" s="110">
        <f t="shared" si="34"/>
        <v>0.68711281963987292</v>
      </c>
      <c r="S37" s="110">
        <f t="shared" si="34"/>
        <v>0.67178534978566662</v>
      </c>
      <c r="T37" s="110">
        <f t="shared" si="34"/>
        <v>0.72130596706259964</v>
      </c>
      <c r="U37" s="110">
        <f t="shared" si="34"/>
        <v>0.77910070887570881</v>
      </c>
      <c r="V37" s="110">
        <f t="shared" si="34"/>
        <v>0.84867468554018632</v>
      </c>
      <c r="W37" s="110">
        <f t="shared" si="34"/>
        <v>0.85987174771508401</v>
      </c>
      <c r="X37" s="110">
        <f t="shared" si="34"/>
        <v>0.89850812103811617</v>
      </c>
      <c r="Y37" s="110">
        <f t="shared" si="34"/>
        <v>0.85177280303053282</v>
      </c>
      <c r="Z37" s="110">
        <f t="shared" si="34"/>
        <v>0.62679600034743177</v>
      </c>
      <c r="AA37" s="110">
        <f t="shared" si="34"/>
        <v>0.59619985588023017</v>
      </c>
      <c r="AB37" s="110">
        <f t="shared" si="34"/>
        <v>0.16685035580181537</v>
      </c>
      <c r="AC37" s="110">
        <f t="shared" si="34"/>
        <v>0.18535107414482671</v>
      </c>
      <c r="AD37" s="110">
        <f t="shared" si="34"/>
        <v>0.14007398680693398</v>
      </c>
      <c r="AE37" s="110">
        <f t="shared" si="34"/>
        <v>5.6188718873320255E-2</v>
      </c>
      <c r="AF37" s="110">
        <f t="shared" si="34"/>
        <v>0.15844911716573493</v>
      </c>
      <c r="AG37" s="110">
        <f t="shared" si="34"/>
        <v>0.13040746113601079</v>
      </c>
      <c r="AH37" s="110">
        <f t="shared" si="34"/>
        <v>0.10401898366748998</v>
      </c>
      <c r="AI37" s="110">
        <f t="shared" si="34"/>
        <v>8.6413061810240444E-2</v>
      </c>
      <c r="AJ37" s="110">
        <f t="shared" si="34"/>
        <v>7.9248753065930405E-2</v>
      </c>
      <c r="AK37" s="110">
        <f t="shared" si="34"/>
        <v>8.0949624494123532E-2</v>
      </c>
      <c r="AL37" s="110">
        <f t="shared" si="34"/>
        <v>2.0342930622169204E-2</v>
      </c>
      <c r="AM37" s="110">
        <f t="shared" si="34"/>
        <v>9.2180589269015428E-2</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6.3372219636596644E-2</v>
      </c>
      <c r="F39" s="224">
        <f t="shared" ref="F39:U39" si="37">F2/F9</f>
        <v>0.15513290986559367</v>
      </c>
      <c r="G39" s="224">
        <f t="shared" si="37"/>
        <v>0.12469297751184125</v>
      </c>
      <c r="H39" s="224">
        <f t="shared" si="37"/>
        <v>0.1780850581498607</v>
      </c>
      <c r="I39" s="224">
        <f t="shared" si="37"/>
        <v>0.11559185351278027</v>
      </c>
      <c r="J39" s="224">
        <f t="shared" si="37"/>
        <v>0.14948807391166599</v>
      </c>
      <c r="K39" s="224">
        <f t="shared" si="37"/>
        <v>0.14813430000188174</v>
      </c>
      <c r="L39" s="224">
        <f t="shared" si="37"/>
        <v>0.14404175708842473</v>
      </c>
      <c r="M39" s="224">
        <f t="shared" si="37"/>
        <v>0.12439543015429765</v>
      </c>
      <c r="N39" s="224">
        <f t="shared" si="37"/>
        <v>0.14725376138898433</v>
      </c>
      <c r="O39" s="224">
        <f t="shared" si="37"/>
        <v>0.1117783923008927</v>
      </c>
      <c r="P39" s="224">
        <f t="shared" si="37"/>
        <v>0.12239125408299885</v>
      </c>
      <c r="Q39" s="224">
        <f t="shared" si="37"/>
        <v>0.14417237912840505</v>
      </c>
      <c r="R39" s="224">
        <f t="shared" si="37"/>
        <v>0.14009692391143816</v>
      </c>
      <c r="S39" s="224">
        <f t="shared" si="37"/>
        <v>0.13691118113080852</v>
      </c>
      <c r="T39" s="224">
        <f t="shared" si="37"/>
        <v>0.12520587092615323</v>
      </c>
      <c r="U39" s="224">
        <f t="shared" si="37"/>
        <v>0.14702397697282021</v>
      </c>
    </row>
    <row r="40" spans="1:89" s="225" customFormat="1" x14ac:dyDescent="0.25">
      <c r="A40" s="222" t="s">
        <v>553</v>
      </c>
      <c r="B40" s="223"/>
      <c r="C40" s="223"/>
      <c r="D40" s="223"/>
      <c r="E40" s="224">
        <f>E3/E9</f>
        <v>0.10901645103089729</v>
      </c>
      <c r="F40" s="224">
        <f t="shared" ref="F40:U40" si="38">F3/F9</f>
        <v>5.3036927969165194E-3</v>
      </c>
      <c r="G40" s="224">
        <f t="shared" si="38"/>
        <v>4.5668210042584863E-3</v>
      </c>
      <c r="H40" s="224">
        <f t="shared" si="38"/>
        <v>6.4974031226563778E-3</v>
      </c>
      <c r="I40" s="224">
        <f t="shared" si="38"/>
        <v>1.6671776991856919E-3</v>
      </c>
      <c r="J40" s="224">
        <f t="shared" si="38"/>
        <v>2.6134282543720817E-3</v>
      </c>
      <c r="K40" s="224">
        <f t="shared" si="38"/>
        <v>2.7852429278168579E-3</v>
      </c>
      <c r="L40" s="224">
        <f t="shared" si="38"/>
        <v>2.58484718932193E-3</v>
      </c>
      <c r="M40" s="224">
        <f t="shared" si="38"/>
        <v>2.7690602140953637E-3</v>
      </c>
      <c r="N40" s="224">
        <f t="shared" si="38"/>
        <v>3.0040227784110811E-3</v>
      </c>
      <c r="O40" s="224">
        <f t="shared" si="38"/>
        <v>2.8594582500788591E-3</v>
      </c>
      <c r="P40" s="224">
        <f t="shared" si="38"/>
        <v>2.8500787451687503E-3</v>
      </c>
      <c r="Q40" s="224">
        <f t="shared" si="38"/>
        <v>2.7052283724895896E-3</v>
      </c>
      <c r="R40" s="224">
        <f t="shared" si="38"/>
        <v>1.8643230186548561E-3</v>
      </c>
      <c r="S40" s="224">
        <f t="shared" si="38"/>
        <v>1.8319771193038891E-3</v>
      </c>
      <c r="T40" s="224">
        <f t="shared" si="38"/>
        <v>1.8447867157979983E-3</v>
      </c>
      <c r="U40" s="224">
        <f t="shared" si="38"/>
        <v>1.9307862550621995E-3</v>
      </c>
    </row>
    <row r="41" spans="1:89" x14ac:dyDescent="0.25">
      <c r="A41" s="184" t="s">
        <v>558</v>
      </c>
      <c r="B41" s="64"/>
      <c r="C41" s="64"/>
      <c r="D41" s="64"/>
      <c r="E41" s="90">
        <f>E4/E9</f>
        <v>0.114212073257137</v>
      </c>
      <c r="F41" s="90">
        <f t="shared" ref="F41:U41" si="39">F4/F9</f>
        <v>0.14135709895796653</v>
      </c>
      <c r="G41" s="90">
        <f t="shared" si="39"/>
        <v>0.11197335492583614</v>
      </c>
      <c r="H41" s="90">
        <f t="shared" si="39"/>
        <v>0.14254571248754169</v>
      </c>
      <c r="I41" s="90">
        <f t="shared" si="39"/>
        <v>0.17090392273013338</v>
      </c>
      <c r="J41" s="90">
        <f t="shared" si="39"/>
        <v>0.11776225048705058</v>
      </c>
      <c r="K41" s="90">
        <f t="shared" si="39"/>
        <v>0.1466618763566066</v>
      </c>
      <c r="L41" s="90">
        <f t="shared" si="39"/>
        <v>0.16792968513781592</v>
      </c>
      <c r="M41" s="90">
        <f t="shared" si="39"/>
        <v>0.14458490582119624</v>
      </c>
      <c r="N41" s="214">
        <f t="shared" si="39"/>
        <v>5.4706752430759488E-2</v>
      </c>
      <c r="O41" s="214">
        <f t="shared" si="39"/>
        <v>0.13274336111228763</v>
      </c>
      <c r="P41" s="214">
        <f t="shared" si="39"/>
        <v>0.13789832494095985</v>
      </c>
      <c r="Q41" s="214">
        <f t="shared" si="39"/>
        <v>0.16812645086976902</v>
      </c>
      <c r="R41" s="214">
        <f t="shared" si="39"/>
        <v>0.23500805998867272</v>
      </c>
      <c r="S41" s="214">
        <f t="shared" si="39"/>
        <v>0.26046778640842622</v>
      </c>
      <c r="T41" s="214">
        <f t="shared" si="39"/>
        <v>0.27952337424847201</v>
      </c>
      <c r="U41" s="214">
        <f t="shared" si="39"/>
        <v>0.24220494110631469</v>
      </c>
    </row>
    <row r="42" spans="1:89" x14ac:dyDescent="0.25">
      <c r="A42" s="184" t="s">
        <v>334</v>
      </c>
      <c r="B42" s="64"/>
      <c r="C42" s="64"/>
      <c r="D42" s="64"/>
      <c r="E42" s="90">
        <f>E5/E9</f>
        <v>0.52914366800835599</v>
      </c>
      <c r="F42" s="90">
        <f t="shared" ref="F42:U42" si="40">F5/F9</f>
        <v>0.47051845821046456</v>
      </c>
      <c r="G42" s="90">
        <f t="shared" si="40"/>
        <v>0.45309291670474622</v>
      </c>
      <c r="H42" s="90">
        <f t="shared" si="40"/>
        <v>0.38409895225464757</v>
      </c>
      <c r="I42" s="90">
        <f t="shared" si="40"/>
        <v>0.39219062899825485</v>
      </c>
      <c r="J42" s="90">
        <f t="shared" si="40"/>
        <v>0.3974354828576076</v>
      </c>
      <c r="K42" s="90">
        <f t="shared" si="40"/>
        <v>0.38898739630580725</v>
      </c>
      <c r="L42" s="90">
        <f t="shared" si="40"/>
        <v>0.38144664513683868</v>
      </c>
      <c r="M42" s="90">
        <f t="shared" si="40"/>
        <v>0.40424928185148035</v>
      </c>
      <c r="N42" s="214">
        <f t="shared" si="40"/>
        <v>0.41631348967936543</v>
      </c>
      <c r="O42" s="214">
        <f t="shared" si="40"/>
        <v>0.40863686361515222</v>
      </c>
      <c r="P42" s="214">
        <f t="shared" si="40"/>
        <v>0.4163250634996476</v>
      </c>
      <c r="Q42" s="214">
        <f t="shared" si="40"/>
        <v>0.37775835607183605</v>
      </c>
      <c r="R42" s="214">
        <f t="shared" si="40"/>
        <v>0.34460844323122247</v>
      </c>
      <c r="S42" s="214">
        <f t="shared" si="40"/>
        <v>0.36002270368637179</v>
      </c>
      <c r="T42" s="214">
        <f t="shared" si="40"/>
        <v>0.37751313816798038</v>
      </c>
      <c r="U42" s="214">
        <f t="shared" si="40"/>
        <v>0.37169385500508317</v>
      </c>
    </row>
    <row r="43" spans="1:89" x14ac:dyDescent="0.25">
      <c r="A43" s="184" t="s">
        <v>335</v>
      </c>
      <c r="B43" s="64"/>
      <c r="C43" s="64"/>
      <c r="D43" s="64"/>
      <c r="E43" s="90">
        <f>E6/E9</f>
        <v>0.41493159475121899</v>
      </c>
      <c r="F43" s="90">
        <f t="shared" ref="F43:U43" si="41">F6/F9</f>
        <v>0.32916135925249806</v>
      </c>
      <c r="G43" s="90">
        <f t="shared" si="41"/>
        <v>0.34111956177891012</v>
      </c>
      <c r="H43" s="90">
        <f t="shared" si="41"/>
        <v>0.24155323976710585</v>
      </c>
      <c r="I43" s="90">
        <f t="shared" si="41"/>
        <v>0.22128670626812147</v>
      </c>
      <c r="J43" s="90">
        <f t="shared" si="41"/>
        <v>0.27967323237055702</v>
      </c>
      <c r="K43" s="90">
        <f t="shared" si="41"/>
        <v>0.24232551994920068</v>
      </c>
      <c r="L43" s="90">
        <f t="shared" si="41"/>
        <v>0.21351695999902279</v>
      </c>
      <c r="M43" s="90">
        <f t="shared" si="41"/>
        <v>0.25966437603028414</v>
      </c>
      <c r="N43" s="214">
        <f t="shared" si="41"/>
        <v>0.36160673724860593</v>
      </c>
      <c r="O43" s="214">
        <f t="shared" si="41"/>
        <v>0.27589350250286454</v>
      </c>
      <c r="P43" s="214">
        <f t="shared" si="41"/>
        <v>0.27842673855868771</v>
      </c>
      <c r="Q43" s="214">
        <f t="shared" si="41"/>
        <v>0.20963190520206704</v>
      </c>
      <c r="R43" s="214">
        <f t="shared" si="41"/>
        <v>0.10960038324254973</v>
      </c>
      <c r="S43" s="214">
        <f t="shared" si="41"/>
        <v>9.9554917277945534E-2</v>
      </c>
      <c r="T43" s="214">
        <f t="shared" si="41"/>
        <v>9.798976391950838E-2</v>
      </c>
      <c r="U43" s="214">
        <f t="shared" si="41"/>
        <v>0.12948891389876852</v>
      </c>
    </row>
    <row r="44" spans="1:89" x14ac:dyDescent="0.25">
      <c r="A44" s="184" t="s">
        <v>336</v>
      </c>
      <c r="B44" s="64"/>
      <c r="C44" s="64"/>
      <c r="D44" s="64"/>
      <c r="E44" s="90">
        <f>E7/E9</f>
        <v>0.71339925607536903</v>
      </c>
      <c r="F44" s="90">
        <f t="shared" ref="F44:U44" si="42">F7/F9</f>
        <v>0.6982062983795233</v>
      </c>
      <c r="G44" s="90">
        <f t="shared" si="42"/>
        <v>0.75876684655806415</v>
      </c>
      <c r="H44" s="90">
        <f t="shared" si="42"/>
        <v>0.67287182623994124</v>
      </c>
      <c r="I44" s="90">
        <f t="shared" si="42"/>
        <v>0.71183704605790066</v>
      </c>
      <c r="J44" s="90">
        <f t="shared" si="42"/>
        <v>0.73013624734691129</v>
      </c>
      <c r="K44" s="90">
        <f t="shared" si="42"/>
        <v>0.70241858071369478</v>
      </c>
      <c r="L44" s="90">
        <f t="shared" si="42"/>
        <v>0.68544371058443743</v>
      </c>
      <c r="M44" s="90">
        <f t="shared" si="42"/>
        <v>0.72825060381041073</v>
      </c>
      <c r="N44" s="214">
        <f t="shared" si="42"/>
        <v>0.79503546340184506</v>
      </c>
      <c r="O44" s="214">
        <f t="shared" si="42"/>
        <v>0.75261878833674078</v>
      </c>
      <c r="P44" s="214">
        <f t="shared" si="42"/>
        <v>0.7368603422308726</v>
      </c>
      <c r="Q44" s="214">
        <f t="shared" si="42"/>
        <v>0.6849959416293363</v>
      </c>
      <c r="R44" s="214">
        <f t="shared" si="42"/>
        <v>0.62303069308123427</v>
      </c>
      <c r="S44" s="214">
        <f t="shared" si="42"/>
        <v>0.60078905534146132</v>
      </c>
      <c r="T44" s="214">
        <f t="shared" si="42"/>
        <v>0.59342596810957671</v>
      </c>
      <c r="U44" s="214">
        <f t="shared" si="42"/>
        <v>0.60884029566580289</v>
      </c>
    </row>
    <row r="45" spans="1:89" s="225" customFormat="1" x14ac:dyDescent="0.25">
      <c r="A45" s="222" t="s">
        <v>337</v>
      </c>
      <c r="B45" s="223"/>
      <c r="C45" s="223"/>
      <c r="D45" s="223"/>
      <c r="E45" s="224">
        <f>E8/E9</f>
        <v>0.82761132933250603</v>
      </c>
      <c r="F45" s="224">
        <f t="shared" ref="F45:U45" si="43">F8/F9</f>
        <v>0.83956339733748986</v>
      </c>
      <c r="G45" s="224">
        <f t="shared" si="43"/>
        <v>0.8707402014839003</v>
      </c>
      <c r="H45" s="224">
        <f t="shared" si="43"/>
        <v>0.8154175387274829</v>
      </c>
      <c r="I45" s="224">
        <f t="shared" si="43"/>
        <v>0.88274096878803399</v>
      </c>
      <c r="J45" s="224">
        <f t="shared" si="43"/>
        <v>0.84789849783396187</v>
      </c>
      <c r="K45" s="224">
        <f t="shared" si="43"/>
        <v>0.84908045707030144</v>
      </c>
      <c r="L45" s="224">
        <f t="shared" si="43"/>
        <v>0.85337339572225335</v>
      </c>
      <c r="M45" s="224">
        <f t="shared" si="43"/>
        <v>0.87283550963160694</v>
      </c>
      <c r="N45" s="224">
        <f t="shared" si="43"/>
        <v>0.84974221583260456</v>
      </c>
      <c r="O45" s="224">
        <f t="shared" si="43"/>
        <v>0.88536214944902847</v>
      </c>
      <c r="P45" s="224">
        <f t="shared" si="43"/>
        <v>0.87475866717183237</v>
      </c>
      <c r="Q45" s="224">
        <f t="shared" si="43"/>
        <v>0.85312239249910538</v>
      </c>
      <c r="R45" s="224">
        <f t="shared" si="43"/>
        <v>0.85803875306990696</v>
      </c>
      <c r="S45" s="224">
        <f t="shared" si="43"/>
        <v>0.86125684174988759</v>
      </c>
      <c r="T45" s="224">
        <f t="shared" si="43"/>
        <v>0.87294934235804877</v>
      </c>
      <c r="U45" s="224">
        <f t="shared" si="43"/>
        <v>0.85104523677211752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0.21062490425259472</v>
      </c>
      <c r="F47" s="90">
        <f t="shared" ref="F47:U47" si="45">F10/F14</f>
        <v>0.25340111337650056</v>
      </c>
      <c r="G47" s="90">
        <f t="shared" si="45"/>
        <v>0.30458207952367822</v>
      </c>
      <c r="H47" s="90">
        <f t="shared" si="45"/>
        <v>0.36613307707271531</v>
      </c>
      <c r="I47" s="90">
        <f t="shared" si="45"/>
        <v>0.3263072329365258</v>
      </c>
      <c r="J47" s="90">
        <f t="shared" si="45"/>
        <v>0.22221333351804665</v>
      </c>
      <c r="K47" s="90">
        <f t="shared" si="45"/>
        <v>0.26061034895189406</v>
      </c>
      <c r="L47" s="90">
        <f t="shared" si="45"/>
        <v>0.19455816951759028</v>
      </c>
      <c r="M47" s="90">
        <f t="shared" si="45"/>
        <v>0.18374133214911839</v>
      </c>
      <c r="N47" s="214">
        <f t="shared" si="45"/>
        <v>0.15089995202111534</v>
      </c>
      <c r="O47" s="214">
        <f t="shared" si="45"/>
        <v>0.13463236825838065</v>
      </c>
      <c r="P47" s="214">
        <f t="shared" si="45"/>
        <v>0.13566504475045155</v>
      </c>
      <c r="Q47" s="214">
        <f t="shared" si="45"/>
        <v>0.1233634711634589</v>
      </c>
      <c r="R47" s="214">
        <f t="shared" si="45"/>
        <v>0.12797280527863189</v>
      </c>
      <c r="S47" s="214">
        <f t="shared" si="45"/>
        <v>0.12828339927731569</v>
      </c>
      <c r="T47" s="214">
        <f t="shared" si="45"/>
        <v>0.10603121607485692</v>
      </c>
      <c r="U47" s="214">
        <f t="shared" si="45"/>
        <v>8.0600889149346558E-2</v>
      </c>
    </row>
    <row r="48" spans="1:89" x14ac:dyDescent="0.25">
      <c r="A48" s="184" t="s">
        <v>340</v>
      </c>
      <c r="B48" s="64"/>
      <c r="C48" s="64"/>
      <c r="D48" s="64"/>
      <c r="E48" s="90">
        <f>E11/E14</f>
        <v>0.1783082492846951</v>
      </c>
      <c r="F48" s="90">
        <f t="shared" ref="F48:U48" si="46">F11/F14</f>
        <v>0.1497474980018933</v>
      </c>
      <c r="G48" s="90">
        <f t="shared" si="46"/>
        <v>5.6378372712734597E-2</v>
      </c>
      <c r="H48" s="90">
        <f t="shared" si="46"/>
        <v>5.2129899600463825E-2</v>
      </c>
      <c r="I48" s="90">
        <f t="shared" si="46"/>
        <v>7.2552022292098367E-2</v>
      </c>
      <c r="J48" s="90">
        <f t="shared" si="46"/>
        <v>0.15649983619478022</v>
      </c>
      <c r="K48" s="90">
        <f t="shared" si="46"/>
        <v>0.14560323193244179</v>
      </c>
      <c r="L48" s="90">
        <f t="shared" si="46"/>
        <v>0.2209562648647598</v>
      </c>
      <c r="M48" s="90">
        <f t="shared" si="46"/>
        <v>0.19149883005775073</v>
      </c>
      <c r="N48" s="214">
        <f t="shared" si="46"/>
        <v>0.17021159530176019</v>
      </c>
      <c r="O48" s="214">
        <f t="shared" si="46"/>
        <v>0.19791869902598197</v>
      </c>
      <c r="P48" s="214">
        <f t="shared" si="46"/>
        <v>0.19919122858437896</v>
      </c>
      <c r="Q48" s="214">
        <f t="shared" si="46"/>
        <v>0.24827354245507635</v>
      </c>
      <c r="R48" s="214">
        <f t="shared" si="46"/>
        <v>0.2810334222419002</v>
      </c>
      <c r="S48" s="214">
        <f t="shared" si="46"/>
        <v>0.26256874334807601</v>
      </c>
      <c r="T48" s="214">
        <f t="shared" si="46"/>
        <v>0.2744262158884368</v>
      </c>
      <c r="U48" s="214">
        <f t="shared" si="46"/>
        <v>0.28427528921736295</v>
      </c>
    </row>
    <row r="49" spans="1:21" x14ac:dyDescent="0.25">
      <c r="A49" s="184" t="s">
        <v>341</v>
      </c>
      <c r="B49" s="64"/>
      <c r="C49" s="64"/>
      <c r="D49" s="64"/>
      <c r="E49" s="90">
        <f>E12/E14</f>
        <v>0.38893315353728986</v>
      </c>
      <c r="F49" s="90">
        <f t="shared" ref="F49:U49" si="47">F12/F14</f>
        <v>0.40314861137839386</v>
      </c>
      <c r="G49" s="90">
        <f t="shared" si="47"/>
        <v>0.36096045223641282</v>
      </c>
      <c r="H49" s="90">
        <f t="shared" si="47"/>
        <v>0.41826297667317913</v>
      </c>
      <c r="I49" s="90">
        <f t="shared" si="47"/>
        <v>0.3988592552286242</v>
      </c>
      <c r="J49" s="90">
        <f t="shared" si="47"/>
        <v>0.37871316971282687</v>
      </c>
      <c r="K49" s="90">
        <f t="shared" si="47"/>
        <v>0.40621358088433585</v>
      </c>
      <c r="L49" s="90">
        <f t="shared" si="47"/>
        <v>0.41551443438235008</v>
      </c>
      <c r="M49" s="90">
        <f t="shared" si="47"/>
        <v>0.37524016220686912</v>
      </c>
      <c r="N49" s="214">
        <f t="shared" si="47"/>
        <v>0.3211115473228755</v>
      </c>
      <c r="O49" s="214">
        <f t="shared" si="47"/>
        <v>0.33255106728436262</v>
      </c>
      <c r="P49" s="214">
        <f t="shared" si="47"/>
        <v>0.33485627333483053</v>
      </c>
      <c r="Q49" s="214">
        <f t="shared" si="47"/>
        <v>0.37163701361853524</v>
      </c>
      <c r="R49" s="214">
        <f t="shared" si="47"/>
        <v>0.40900622752053212</v>
      </c>
      <c r="S49" s="214">
        <f t="shared" si="47"/>
        <v>0.3908521426253917</v>
      </c>
      <c r="T49" s="214">
        <f t="shared" si="47"/>
        <v>0.38045743196329368</v>
      </c>
      <c r="U49" s="214">
        <f t="shared" si="47"/>
        <v>0.36487617836670949</v>
      </c>
    </row>
    <row r="50" spans="1:21" x14ac:dyDescent="0.25">
      <c r="A50" s="184" t="s">
        <v>345</v>
      </c>
      <c r="B50" s="64"/>
      <c r="C50" s="64"/>
      <c r="D50" s="64"/>
      <c r="E50" s="90">
        <f>E13/E14</f>
        <v>0.61106684646271014</v>
      </c>
      <c r="F50" s="90">
        <f t="shared" ref="F50:U50" si="48">F13/F14</f>
        <v>0.59685138862160614</v>
      </c>
      <c r="G50" s="90">
        <f t="shared" si="48"/>
        <v>0.63903954776358718</v>
      </c>
      <c r="H50" s="90">
        <f t="shared" si="48"/>
        <v>0.58173702332682087</v>
      </c>
      <c r="I50" s="90">
        <f t="shared" si="48"/>
        <v>0.6011407447713758</v>
      </c>
      <c r="J50" s="90">
        <f t="shared" si="48"/>
        <v>0.62128683028717313</v>
      </c>
      <c r="K50" s="90">
        <f t="shared" si="48"/>
        <v>0.59378641911566421</v>
      </c>
      <c r="L50" s="90">
        <f t="shared" si="48"/>
        <v>0.58448556561764997</v>
      </c>
      <c r="M50" s="90">
        <f t="shared" si="48"/>
        <v>0.62475983779313082</v>
      </c>
      <c r="N50" s="214">
        <f t="shared" si="48"/>
        <v>0.6788884526771245</v>
      </c>
      <c r="O50" s="214">
        <f t="shared" si="48"/>
        <v>0.66744893271563743</v>
      </c>
      <c r="P50" s="214">
        <f t="shared" si="48"/>
        <v>0.66514372666516952</v>
      </c>
      <c r="Q50" s="214">
        <f t="shared" si="48"/>
        <v>0.62836298638146471</v>
      </c>
      <c r="R50" s="214">
        <f t="shared" si="48"/>
        <v>0.59099377247946794</v>
      </c>
      <c r="S50" s="214">
        <f t="shared" si="48"/>
        <v>0.6091478573746083</v>
      </c>
      <c r="T50" s="214">
        <f t="shared" si="48"/>
        <v>0.61954256803670626</v>
      </c>
      <c r="U50" s="214">
        <f t="shared" si="48"/>
        <v>0.63512382163329051</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6.3372219636596644E-2</v>
      </c>
      <c r="F55" s="214">
        <f t="shared" ref="F55:U55" si="51">F2/F9</f>
        <v>0.15513290986559367</v>
      </c>
      <c r="G55" s="214">
        <f t="shared" si="51"/>
        <v>0.12469297751184125</v>
      </c>
      <c r="H55" s="214">
        <f t="shared" si="51"/>
        <v>0.1780850581498607</v>
      </c>
      <c r="I55" s="214">
        <f t="shared" si="51"/>
        <v>0.11559185351278027</v>
      </c>
      <c r="J55" s="214">
        <f t="shared" si="51"/>
        <v>0.14948807391166599</v>
      </c>
      <c r="K55" s="214">
        <f t="shared" si="51"/>
        <v>0.14813430000188174</v>
      </c>
      <c r="L55" s="214">
        <f t="shared" si="51"/>
        <v>0.14404175708842473</v>
      </c>
      <c r="M55" s="214">
        <f t="shared" si="51"/>
        <v>0.12439543015429765</v>
      </c>
      <c r="N55" s="214">
        <f t="shared" si="51"/>
        <v>0.14725376138898433</v>
      </c>
      <c r="O55" s="214">
        <f t="shared" si="51"/>
        <v>0.1117783923008927</v>
      </c>
      <c r="P55" s="214">
        <f t="shared" si="51"/>
        <v>0.12239125408299885</v>
      </c>
      <c r="Q55" s="214">
        <f t="shared" si="51"/>
        <v>0.14417237912840505</v>
      </c>
      <c r="R55" s="214">
        <f t="shared" si="51"/>
        <v>0.14009692391143816</v>
      </c>
      <c r="S55" s="214">
        <f t="shared" si="51"/>
        <v>0.13691118113080852</v>
      </c>
      <c r="T55" s="214">
        <f t="shared" si="51"/>
        <v>0.12520587092615323</v>
      </c>
      <c r="U55" s="214">
        <f t="shared" si="51"/>
        <v>0.14702397697282021</v>
      </c>
    </row>
    <row r="56" spans="1:21" x14ac:dyDescent="0.25">
      <c r="A56" s="184" t="s">
        <v>646</v>
      </c>
      <c r="B56" s="64"/>
      <c r="C56" s="64"/>
      <c r="D56" s="64"/>
      <c r="E56" s="214">
        <f>E4/E9</f>
        <v>0.114212073257137</v>
      </c>
      <c r="F56" s="214">
        <f t="shared" ref="F56:U56" si="52">F4/F9</f>
        <v>0.14135709895796653</v>
      </c>
      <c r="G56" s="214">
        <f t="shared" si="52"/>
        <v>0.11197335492583614</v>
      </c>
      <c r="H56" s="214">
        <f t="shared" si="52"/>
        <v>0.14254571248754169</v>
      </c>
      <c r="I56" s="214">
        <f t="shared" si="52"/>
        <v>0.17090392273013338</v>
      </c>
      <c r="J56" s="214">
        <f t="shared" si="52"/>
        <v>0.11776225048705058</v>
      </c>
      <c r="K56" s="214">
        <f t="shared" si="52"/>
        <v>0.1466618763566066</v>
      </c>
      <c r="L56" s="214">
        <f t="shared" si="52"/>
        <v>0.16792968513781592</v>
      </c>
      <c r="M56" s="214">
        <f t="shared" si="52"/>
        <v>0.14458490582119624</v>
      </c>
      <c r="N56" s="214">
        <f t="shared" si="52"/>
        <v>5.4706752430759488E-2</v>
      </c>
      <c r="O56" s="214">
        <f t="shared" si="52"/>
        <v>0.13274336111228763</v>
      </c>
      <c r="P56" s="214">
        <f t="shared" si="52"/>
        <v>0.13789832494095985</v>
      </c>
      <c r="Q56" s="214">
        <f t="shared" si="52"/>
        <v>0.16812645086976902</v>
      </c>
      <c r="R56" s="214">
        <f t="shared" si="52"/>
        <v>0.23500805998867272</v>
      </c>
      <c r="S56" s="214">
        <f t="shared" si="52"/>
        <v>0.26046778640842622</v>
      </c>
      <c r="T56" s="214">
        <f t="shared" si="52"/>
        <v>0.27952337424847201</v>
      </c>
      <c r="U56" s="214">
        <f t="shared" si="52"/>
        <v>0.24220494110631469</v>
      </c>
    </row>
    <row r="57" spans="1:21" x14ac:dyDescent="0.25">
      <c r="A57" s="184" t="s">
        <v>647</v>
      </c>
      <c r="B57" s="64"/>
      <c r="C57" s="64"/>
      <c r="D57" s="64"/>
      <c r="E57" s="214">
        <f>E5/E9</f>
        <v>0.52914366800835599</v>
      </c>
      <c r="F57" s="214">
        <f t="shared" ref="F57:U57" si="53">F5/F9</f>
        <v>0.47051845821046456</v>
      </c>
      <c r="G57" s="214">
        <f t="shared" si="53"/>
        <v>0.45309291670474622</v>
      </c>
      <c r="H57" s="214">
        <f t="shared" si="53"/>
        <v>0.38409895225464757</v>
      </c>
      <c r="I57" s="214">
        <f t="shared" si="53"/>
        <v>0.39219062899825485</v>
      </c>
      <c r="J57" s="214">
        <f t="shared" si="53"/>
        <v>0.3974354828576076</v>
      </c>
      <c r="K57" s="214">
        <f t="shared" si="53"/>
        <v>0.38898739630580725</v>
      </c>
      <c r="L57" s="214">
        <f t="shared" si="53"/>
        <v>0.38144664513683868</v>
      </c>
      <c r="M57" s="214">
        <f t="shared" si="53"/>
        <v>0.40424928185148035</v>
      </c>
      <c r="N57" s="214">
        <f t="shared" si="53"/>
        <v>0.41631348967936543</v>
      </c>
      <c r="O57" s="214">
        <f t="shared" si="53"/>
        <v>0.40863686361515222</v>
      </c>
      <c r="P57" s="214">
        <f t="shared" si="53"/>
        <v>0.4163250634996476</v>
      </c>
      <c r="Q57" s="214">
        <f t="shared" si="53"/>
        <v>0.37775835607183605</v>
      </c>
      <c r="R57" s="214">
        <f t="shared" si="53"/>
        <v>0.34460844323122247</v>
      </c>
      <c r="S57" s="214">
        <f t="shared" si="53"/>
        <v>0.36002270368637179</v>
      </c>
      <c r="T57" s="214">
        <f t="shared" si="53"/>
        <v>0.37751313816798038</v>
      </c>
      <c r="U57" s="214">
        <f t="shared" si="53"/>
        <v>0.37169385500508317</v>
      </c>
    </row>
    <row r="58" spans="1:21" x14ac:dyDescent="0.25">
      <c r="A58" s="184" t="s">
        <v>648</v>
      </c>
      <c r="B58" s="64"/>
      <c r="C58" s="64"/>
      <c r="D58" s="64"/>
      <c r="E58" s="214">
        <f>E6/E9</f>
        <v>0.41493159475121899</v>
      </c>
      <c r="F58" s="214">
        <f t="shared" ref="F58:U58" si="54">F6/F9</f>
        <v>0.32916135925249806</v>
      </c>
      <c r="G58" s="214">
        <f t="shared" si="54"/>
        <v>0.34111956177891012</v>
      </c>
      <c r="H58" s="214">
        <f t="shared" si="54"/>
        <v>0.24155323976710585</v>
      </c>
      <c r="I58" s="214">
        <f t="shared" si="54"/>
        <v>0.22128670626812147</v>
      </c>
      <c r="J58" s="214">
        <f t="shared" si="54"/>
        <v>0.27967323237055702</v>
      </c>
      <c r="K58" s="214">
        <f t="shared" si="54"/>
        <v>0.24232551994920068</v>
      </c>
      <c r="L58" s="214">
        <f t="shared" si="54"/>
        <v>0.21351695999902279</v>
      </c>
      <c r="M58" s="214">
        <f t="shared" si="54"/>
        <v>0.25966437603028414</v>
      </c>
      <c r="N58" s="214">
        <f t="shared" si="54"/>
        <v>0.36160673724860593</v>
      </c>
      <c r="O58" s="214">
        <f t="shared" si="54"/>
        <v>0.27589350250286454</v>
      </c>
      <c r="P58" s="214">
        <f t="shared" si="54"/>
        <v>0.27842673855868771</v>
      </c>
      <c r="Q58" s="214">
        <f t="shared" si="54"/>
        <v>0.20963190520206704</v>
      </c>
      <c r="R58" s="214">
        <f t="shared" si="54"/>
        <v>0.10960038324254973</v>
      </c>
      <c r="S58" s="214">
        <f t="shared" si="54"/>
        <v>9.9554917277945534E-2</v>
      </c>
      <c r="T58" s="214">
        <f t="shared" si="54"/>
        <v>9.798976391950838E-2</v>
      </c>
      <c r="U58" s="214">
        <f t="shared" si="54"/>
        <v>0.12948891389876852</v>
      </c>
    </row>
    <row r="59" spans="1:21" s="225" customFormat="1" x14ac:dyDescent="0.25">
      <c r="A59" s="227" t="s">
        <v>642</v>
      </c>
      <c r="B59" s="223"/>
      <c r="C59" s="223"/>
      <c r="D59" s="223"/>
      <c r="E59" s="224">
        <f>E55+E56</f>
        <v>0.17758429289373365</v>
      </c>
      <c r="F59" s="224">
        <f t="shared" ref="F59:U59" si="55">F55+F56</f>
        <v>0.29649000882356019</v>
      </c>
      <c r="G59" s="224">
        <f t="shared" si="55"/>
        <v>0.23666633243767737</v>
      </c>
      <c r="H59" s="224">
        <f t="shared" si="55"/>
        <v>0.32063077063740242</v>
      </c>
      <c r="I59" s="224">
        <f t="shared" si="55"/>
        <v>0.28649577624291367</v>
      </c>
      <c r="J59" s="224">
        <f t="shared" si="55"/>
        <v>0.26725032439871654</v>
      </c>
      <c r="K59" s="224">
        <f t="shared" si="55"/>
        <v>0.29479617635848832</v>
      </c>
      <c r="L59" s="224">
        <f t="shared" si="55"/>
        <v>0.31197144222624063</v>
      </c>
      <c r="M59" s="224">
        <f t="shared" si="55"/>
        <v>0.26898033597549387</v>
      </c>
      <c r="N59" s="224">
        <f t="shared" si="55"/>
        <v>0.20196051381974381</v>
      </c>
      <c r="O59" s="224">
        <f t="shared" si="55"/>
        <v>0.24452175341318033</v>
      </c>
      <c r="P59" s="224">
        <f t="shared" si="55"/>
        <v>0.26028957902395872</v>
      </c>
      <c r="Q59" s="224">
        <f t="shared" si="55"/>
        <v>0.31229882999817404</v>
      </c>
      <c r="R59" s="224">
        <f t="shared" si="55"/>
        <v>0.37510498390011088</v>
      </c>
      <c r="S59" s="224">
        <f t="shared" si="55"/>
        <v>0.39737896753923474</v>
      </c>
      <c r="T59" s="224">
        <f t="shared" si="55"/>
        <v>0.40472924517462527</v>
      </c>
      <c r="U59" s="224">
        <f t="shared" si="55"/>
        <v>0.3892289180791349</v>
      </c>
    </row>
    <row r="60" spans="1:21" x14ac:dyDescent="0.25">
      <c r="A60" s="184" t="s">
        <v>649</v>
      </c>
      <c r="B60" s="64"/>
      <c r="C60" s="64"/>
      <c r="D60" s="64"/>
      <c r="E60" s="214">
        <f>E3/E9</f>
        <v>0.10901645103089729</v>
      </c>
      <c r="F60" s="214">
        <f t="shared" ref="F60:U60" si="56">F3/F9</f>
        <v>5.3036927969165194E-3</v>
      </c>
      <c r="G60" s="214">
        <f t="shared" si="56"/>
        <v>4.5668210042584863E-3</v>
      </c>
      <c r="H60" s="214">
        <f t="shared" si="56"/>
        <v>6.4974031226563778E-3</v>
      </c>
      <c r="I60" s="214">
        <f t="shared" si="56"/>
        <v>1.6671776991856919E-3</v>
      </c>
      <c r="J60" s="214">
        <f t="shared" si="56"/>
        <v>2.6134282543720817E-3</v>
      </c>
      <c r="K60" s="214">
        <f t="shared" si="56"/>
        <v>2.7852429278168579E-3</v>
      </c>
      <c r="L60" s="214">
        <f t="shared" si="56"/>
        <v>2.58484718932193E-3</v>
      </c>
      <c r="M60" s="214">
        <f t="shared" si="56"/>
        <v>2.7690602140953637E-3</v>
      </c>
      <c r="N60" s="214">
        <f t="shared" si="56"/>
        <v>3.0040227784110811E-3</v>
      </c>
      <c r="O60" s="214">
        <f t="shared" si="56"/>
        <v>2.8594582500788591E-3</v>
      </c>
      <c r="P60" s="214">
        <f t="shared" si="56"/>
        <v>2.8500787451687503E-3</v>
      </c>
      <c r="Q60" s="214">
        <f t="shared" si="56"/>
        <v>2.7052283724895896E-3</v>
      </c>
      <c r="R60" s="214">
        <f t="shared" si="56"/>
        <v>1.8643230186548561E-3</v>
      </c>
      <c r="S60" s="214">
        <f t="shared" si="56"/>
        <v>1.8319771193038891E-3</v>
      </c>
      <c r="T60" s="214">
        <f t="shared" si="56"/>
        <v>1.8447867157979983E-3</v>
      </c>
      <c r="U60" s="214">
        <f t="shared" si="56"/>
        <v>1.9307862550621995E-3</v>
      </c>
    </row>
    <row r="61" spans="1:21" x14ac:dyDescent="0.25">
      <c r="A61" s="184" t="s">
        <v>650</v>
      </c>
      <c r="B61" s="64"/>
      <c r="C61" s="64"/>
      <c r="D61" s="64"/>
      <c r="E61" s="214">
        <f>E7/E9</f>
        <v>0.71339925607536903</v>
      </c>
      <c r="F61" s="214">
        <f t="shared" ref="F61:U61" si="57">F7/F9</f>
        <v>0.6982062983795233</v>
      </c>
      <c r="G61" s="214">
        <f t="shared" si="57"/>
        <v>0.75876684655806415</v>
      </c>
      <c r="H61" s="214">
        <f t="shared" si="57"/>
        <v>0.67287182623994124</v>
      </c>
      <c r="I61" s="214">
        <f t="shared" si="57"/>
        <v>0.71183704605790066</v>
      </c>
      <c r="J61" s="214">
        <f t="shared" si="57"/>
        <v>0.73013624734691129</v>
      </c>
      <c r="K61" s="214">
        <f t="shared" si="57"/>
        <v>0.70241858071369478</v>
      </c>
      <c r="L61" s="214">
        <f t="shared" si="57"/>
        <v>0.68544371058443743</v>
      </c>
      <c r="M61" s="214">
        <f t="shared" si="57"/>
        <v>0.72825060381041073</v>
      </c>
      <c r="N61" s="214">
        <f t="shared" si="57"/>
        <v>0.79503546340184506</v>
      </c>
      <c r="O61" s="214">
        <f t="shared" si="57"/>
        <v>0.75261878833674078</v>
      </c>
      <c r="P61" s="214">
        <f t="shared" si="57"/>
        <v>0.7368603422308726</v>
      </c>
      <c r="Q61" s="214">
        <f t="shared" si="57"/>
        <v>0.6849959416293363</v>
      </c>
      <c r="R61" s="214">
        <f t="shared" si="57"/>
        <v>0.62303069308123427</v>
      </c>
      <c r="S61" s="214">
        <f t="shared" si="57"/>
        <v>0.60078905534146132</v>
      </c>
      <c r="T61" s="214">
        <f t="shared" si="57"/>
        <v>0.59342596810957671</v>
      </c>
      <c r="U61" s="214">
        <f t="shared" si="57"/>
        <v>0.60884029566580289</v>
      </c>
    </row>
    <row r="62" spans="1:21" s="225" customFormat="1" x14ac:dyDescent="0.25">
      <c r="A62" s="227" t="s">
        <v>643</v>
      </c>
      <c r="B62" s="223"/>
      <c r="C62" s="223"/>
      <c r="D62" s="223"/>
      <c r="E62" s="224">
        <f>E60+E61</f>
        <v>0.82241570710626632</v>
      </c>
      <c r="F62" s="224">
        <f t="shared" ref="F62:M62" si="58">F60+F61</f>
        <v>0.70350999117643986</v>
      </c>
      <c r="G62" s="224">
        <f t="shared" si="58"/>
        <v>0.76333366756232268</v>
      </c>
      <c r="H62" s="224">
        <f t="shared" si="58"/>
        <v>0.67936922936259758</v>
      </c>
      <c r="I62" s="224">
        <f t="shared" si="58"/>
        <v>0.71350422375708633</v>
      </c>
      <c r="J62" s="224">
        <f t="shared" si="58"/>
        <v>0.73274967560128335</v>
      </c>
      <c r="K62" s="224">
        <f t="shared" si="58"/>
        <v>0.70520382364151168</v>
      </c>
      <c r="L62" s="224">
        <f t="shared" si="58"/>
        <v>0.68802855777375937</v>
      </c>
      <c r="M62" s="224">
        <f t="shared" si="58"/>
        <v>0.73101966402450613</v>
      </c>
      <c r="N62" s="224">
        <f t="shared" ref="N62" si="59">N60+N61</f>
        <v>0.79803948618025611</v>
      </c>
      <c r="O62" s="224">
        <f t="shared" ref="O62" si="60">O60+O61</f>
        <v>0.75547824658681961</v>
      </c>
      <c r="P62" s="224">
        <f t="shared" ref="P62" si="61">P60+P61</f>
        <v>0.73971042097604134</v>
      </c>
      <c r="Q62" s="224">
        <f t="shared" ref="Q62" si="62">Q60+Q61</f>
        <v>0.68770117000182585</v>
      </c>
      <c r="R62" s="224">
        <f t="shared" ref="R62" si="63">R60+R61</f>
        <v>0.62489501609988907</v>
      </c>
      <c r="S62" s="224">
        <f t="shared" ref="S62" si="64">S60+S61</f>
        <v>0.60262103246076526</v>
      </c>
      <c r="T62" s="224">
        <f t="shared" ref="T62" si="65">T60+T61</f>
        <v>0.59527075482537473</v>
      </c>
      <c r="U62" s="224">
        <f t="shared" ref="U62" si="66">U60+U61</f>
        <v>0.61077108192086504</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4130158332</v>
      </c>
      <c r="F67" s="193">
        <f t="shared" ref="F67:U67" si="68">F10</f>
        <v>5138662400</v>
      </c>
      <c r="G67" s="193">
        <f t="shared" si="68"/>
        <v>5629428600</v>
      </c>
      <c r="H67" s="193">
        <f t="shared" si="68"/>
        <v>7524534273</v>
      </c>
      <c r="I67" s="193">
        <f t="shared" si="68"/>
        <v>6235486599</v>
      </c>
      <c r="J67" s="193">
        <f t="shared" si="68"/>
        <v>4120831910</v>
      </c>
      <c r="K67" s="193">
        <f t="shared" si="68"/>
        <v>4989740236</v>
      </c>
      <c r="L67" s="193">
        <f t="shared" si="68"/>
        <v>3778333997</v>
      </c>
      <c r="M67" s="193">
        <f t="shared" si="68"/>
        <v>3283281630</v>
      </c>
      <c r="N67" s="193">
        <f t="shared" si="68"/>
        <v>2456399160</v>
      </c>
      <c r="O67" s="193">
        <f t="shared" si="68"/>
        <v>2267759487</v>
      </c>
      <c r="P67" s="193">
        <f t="shared" si="68"/>
        <v>2277218995</v>
      </c>
      <c r="Q67" s="193">
        <f t="shared" si="68"/>
        <v>2153759879</v>
      </c>
      <c r="R67" s="193">
        <f t="shared" si="68"/>
        <v>2342286927</v>
      </c>
      <c r="S67" s="193">
        <f t="shared" si="68"/>
        <v>2219148812</v>
      </c>
      <c r="T67" s="193">
        <f t="shared" si="68"/>
        <v>1754348417</v>
      </c>
      <c r="U67" s="193">
        <f t="shared" si="68"/>
        <v>1272092547</v>
      </c>
    </row>
    <row r="68" spans="1:21" x14ac:dyDescent="0.25">
      <c r="A68" s="17" t="s">
        <v>653</v>
      </c>
      <c r="E68" s="193">
        <f>E11</f>
        <v>3496458807</v>
      </c>
      <c r="F68" s="193">
        <f t="shared" ref="F68:U68" si="69">F11</f>
        <v>3036694777</v>
      </c>
      <c r="G68" s="193">
        <f t="shared" si="69"/>
        <v>1042011481</v>
      </c>
      <c r="H68" s="193">
        <f t="shared" si="69"/>
        <v>1071340561</v>
      </c>
      <c r="I68" s="193">
        <f t="shared" si="69"/>
        <v>1386414756</v>
      </c>
      <c r="J68" s="193">
        <f t="shared" si="69"/>
        <v>2902208921</v>
      </c>
      <c r="K68" s="193">
        <f t="shared" si="69"/>
        <v>2787772273</v>
      </c>
      <c r="L68" s="193">
        <f t="shared" si="69"/>
        <v>4290986955</v>
      </c>
      <c r="M68" s="193">
        <f t="shared" si="69"/>
        <v>3421900688</v>
      </c>
      <c r="N68" s="193">
        <f t="shared" si="69"/>
        <v>2770760455</v>
      </c>
      <c r="O68" s="193">
        <f t="shared" si="69"/>
        <v>3333760025</v>
      </c>
      <c r="P68" s="193">
        <f t="shared" si="69"/>
        <v>3343544022</v>
      </c>
      <c r="Q68" s="193">
        <f t="shared" si="69"/>
        <v>4334521311</v>
      </c>
      <c r="R68" s="193">
        <f t="shared" si="69"/>
        <v>5143756203</v>
      </c>
      <c r="S68" s="193">
        <f t="shared" si="69"/>
        <v>4542124064</v>
      </c>
      <c r="T68" s="193">
        <f t="shared" si="69"/>
        <v>4540542071</v>
      </c>
      <c r="U68" s="193">
        <f t="shared" si="69"/>
        <v>4486606544</v>
      </c>
    </row>
    <row r="69" spans="1:21" x14ac:dyDescent="0.25">
      <c r="A69" s="17" t="s">
        <v>654</v>
      </c>
      <c r="E69" s="193">
        <f>E12</f>
        <v>7626617139</v>
      </c>
      <c r="F69" s="193">
        <f t="shared" ref="F69:U69" si="70">F12</f>
        <v>8175357177</v>
      </c>
      <c r="G69" s="193">
        <f t="shared" si="70"/>
        <v>6671440081</v>
      </c>
      <c r="H69" s="193">
        <f t="shared" si="70"/>
        <v>8595874834</v>
      </c>
      <c r="I69" s="193">
        <f t="shared" si="70"/>
        <v>7621901355</v>
      </c>
      <c r="J69" s="193">
        <f t="shared" si="70"/>
        <v>7023040831</v>
      </c>
      <c r="K69" s="193">
        <f t="shared" si="70"/>
        <v>7777512509</v>
      </c>
      <c r="L69" s="193">
        <f t="shared" si="70"/>
        <v>8069320952</v>
      </c>
      <c r="M69" s="193">
        <f t="shared" si="70"/>
        <v>6705182318</v>
      </c>
      <c r="N69" s="193">
        <f t="shared" si="70"/>
        <v>5227159615</v>
      </c>
      <c r="O69" s="193">
        <f t="shared" si="70"/>
        <v>5601519512</v>
      </c>
      <c r="P69" s="193">
        <f t="shared" si="70"/>
        <v>5620763017</v>
      </c>
      <c r="Q69" s="193">
        <f t="shared" si="70"/>
        <v>6488281190</v>
      </c>
      <c r="R69" s="193">
        <f t="shared" si="70"/>
        <v>7486043130</v>
      </c>
      <c r="S69" s="193">
        <f t="shared" si="70"/>
        <v>6761272876</v>
      </c>
      <c r="T69" s="193">
        <f t="shared" si="70"/>
        <v>6294890488</v>
      </c>
      <c r="U69" s="193">
        <f t="shared" si="70"/>
        <v>5758699091</v>
      </c>
    </row>
    <row r="70" spans="1:21" s="234" customFormat="1" x14ac:dyDescent="0.25">
      <c r="A70" s="234" t="s">
        <v>657</v>
      </c>
      <c r="E70" s="234">
        <f>E69/E74</f>
        <v>0.38893315353728986</v>
      </c>
      <c r="F70" s="234">
        <f t="shared" ref="F70:U70" si="71">F69/F74</f>
        <v>0.40314861137839386</v>
      </c>
      <c r="G70" s="234">
        <f t="shared" si="71"/>
        <v>0.36096045223641282</v>
      </c>
      <c r="H70" s="234">
        <f t="shared" si="71"/>
        <v>0.41826297667317913</v>
      </c>
      <c r="I70" s="234">
        <f t="shared" si="71"/>
        <v>0.3988592552286242</v>
      </c>
      <c r="J70" s="234">
        <f t="shared" si="71"/>
        <v>0.37871316971282687</v>
      </c>
      <c r="K70" s="234">
        <f t="shared" si="71"/>
        <v>0.40621358088433585</v>
      </c>
      <c r="L70" s="234">
        <f t="shared" si="71"/>
        <v>0.41551443438235008</v>
      </c>
      <c r="M70" s="234">
        <f t="shared" si="71"/>
        <v>0.37524016220686912</v>
      </c>
      <c r="N70" s="234">
        <f t="shared" si="71"/>
        <v>0.3211115473228755</v>
      </c>
      <c r="O70" s="234">
        <f t="shared" si="71"/>
        <v>0.33255106728436262</v>
      </c>
      <c r="P70" s="234">
        <f t="shared" si="71"/>
        <v>0.33485627333483053</v>
      </c>
      <c r="Q70" s="234">
        <f t="shared" si="71"/>
        <v>0.37163701361853524</v>
      </c>
      <c r="R70" s="234">
        <f t="shared" si="71"/>
        <v>0.40900622752053212</v>
      </c>
      <c r="S70" s="234">
        <f t="shared" si="71"/>
        <v>0.3908521426253917</v>
      </c>
      <c r="T70" s="234">
        <f t="shared" si="71"/>
        <v>0.38045743196329368</v>
      </c>
      <c r="U70" s="234">
        <f t="shared" si="71"/>
        <v>0.36487617836670949</v>
      </c>
    </row>
    <row r="71" spans="1:21" x14ac:dyDescent="0.25">
      <c r="A71" s="17" t="s">
        <v>655</v>
      </c>
      <c r="E71" s="193">
        <f>E13</f>
        <v>11982452105</v>
      </c>
      <c r="F71" s="193">
        <f t="shared" ref="F71:U71" si="72">F13</f>
        <v>12103410866</v>
      </c>
      <c r="G71" s="193">
        <f t="shared" si="72"/>
        <v>11811028122</v>
      </c>
      <c r="H71" s="193">
        <f t="shared" si="72"/>
        <v>11955489531</v>
      </c>
      <c r="I71" s="193">
        <f t="shared" si="72"/>
        <v>11487348976</v>
      </c>
      <c r="J71" s="193">
        <f t="shared" si="72"/>
        <v>11521444528</v>
      </c>
      <c r="K71" s="193">
        <f t="shared" si="72"/>
        <v>11368850082</v>
      </c>
      <c r="L71" s="193">
        <f t="shared" si="72"/>
        <v>11350752779</v>
      </c>
      <c r="M71" s="193">
        <f t="shared" si="72"/>
        <v>11163859947</v>
      </c>
      <c r="N71" s="193">
        <f t="shared" si="72"/>
        <v>11051170014</v>
      </c>
      <c r="O71" s="193">
        <f t="shared" si="72"/>
        <v>11242568699</v>
      </c>
      <c r="P71" s="193">
        <f t="shared" si="72"/>
        <v>11164835655</v>
      </c>
      <c r="Q71" s="193">
        <f t="shared" si="72"/>
        <v>10970370538</v>
      </c>
      <c r="R71" s="193">
        <f t="shared" si="72"/>
        <v>10816962121</v>
      </c>
      <c r="S71" s="193">
        <f t="shared" si="72"/>
        <v>10537526692</v>
      </c>
      <c r="T71" s="193">
        <f t="shared" si="72"/>
        <v>10250693746</v>
      </c>
      <c r="U71" s="193">
        <f t="shared" si="72"/>
        <v>10023912744</v>
      </c>
    </row>
    <row r="72" spans="1:21" s="234" customFormat="1" x14ac:dyDescent="0.25">
      <c r="A72" s="234" t="s">
        <v>658</v>
      </c>
      <c r="E72" s="234">
        <f>E71/E74</f>
        <v>0.61106684646271014</v>
      </c>
      <c r="F72" s="234">
        <f t="shared" ref="F72:U72" si="73">F71/F74</f>
        <v>0.59685138862160614</v>
      </c>
      <c r="G72" s="234">
        <f t="shared" si="73"/>
        <v>0.63903954776358718</v>
      </c>
      <c r="H72" s="234">
        <f t="shared" si="73"/>
        <v>0.58173702332682087</v>
      </c>
      <c r="I72" s="234">
        <f t="shared" si="73"/>
        <v>0.6011407447713758</v>
      </c>
      <c r="J72" s="234">
        <f t="shared" si="73"/>
        <v>0.62128683028717313</v>
      </c>
      <c r="K72" s="234">
        <f t="shared" si="73"/>
        <v>0.59378641911566421</v>
      </c>
      <c r="L72" s="234">
        <f t="shared" si="73"/>
        <v>0.58448556561764997</v>
      </c>
      <c r="M72" s="234">
        <f t="shared" si="73"/>
        <v>0.62475983779313082</v>
      </c>
      <c r="N72" s="234">
        <f t="shared" si="73"/>
        <v>0.6788884526771245</v>
      </c>
      <c r="O72" s="234">
        <f t="shared" si="73"/>
        <v>0.66744893271563743</v>
      </c>
      <c r="P72" s="234">
        <f t="shared" si="73"/>
        <v>0.66514372666516952</v>
      </c>
      <c r="Q72" s="234">
        <f t="shared" si="73"/>
        <v>0.62836298638146471</v>
      </c>
      <c r="R72" s="234">
        <f t="shared" si="73"/>
        <v>0.59099377247946794</v>
      </c>
      <c r="S72" s="234">
        <f t="shared" si="73"/>
        <v>0.6091478573746083</v>
      </c>
      <c r="T72" s="234">
        <f t="shared" si="73"/>
        <v>0.61954256803670626</v>
      </c>
      <c r="U72" s="234">
        <f t="shared" si="73"/>
        <v>0.63512382163329051</v>
      </c>
    </row>
    <row r="73" spans="1:21" s="236" customFormat="1" x14ac:dyDescent="0.25">
      <c r="A73" s="235" t="s">
        <v>659</v>
      </c>
      <c r="E73" s="237">
        <f>E74/E71</f>
        <v>1.6364821717766425</v>
      </c>
      <c r="F73" s="237">
        <f t="shared" ref="F73:U73" si="74">F74/F71</f>
        <v>1.6754589485155464</v>
      </c>
      <c r="G73" s="237">
        <f t="shared" si="74"/>
        <v>1.5648483783196938</v>
      </c>
      <c r="H73" s="237">
        <f t="shared" si="74"/>
        <v>1.7189897838738695</v>
      </c>
      <c r="I73" s="237">
        <f t="shared" si="74"/>
        <v>1.6635039442889821</v>
      </c>
      <c r="J73" s="237">
        <f t="shared" si="74"/>
        <v>1.6095625261166036</v>
      </c>
      <c r="K73" s="237">
        <f t="shared" si="74"/>
        <v>1.6841072274595239</v>
      </c>
      <c r="L73" s="237">
        <f t="shared" si="74"/>
        <v>1.7109062375958914</v>
      </c>
      <c r="M73" s="237">
        <f t="shared" si="74"/>
        <v>1.6006150515890201</v>
      </c>
      <c r="N73" s="237">
        <f t="shared" si="74"/>
        <v>1.4729960364719803</v>
      </c>
      <c r="O73" s="237">
        <f t="shared" si="74"/>
        <v>1.4982419642673157</v>
      </c>
      <c r="P73" s="237">
        <f t="shared" si="74"/>
        <v>1.5034344607197891</v>
      </c>
      <c r="Q73" s="237">
        <f t="shared" si="74"/>
        <v>1.5914368313746012</v>
      </c>
      <c r="R73" s="237">
        <f t="shared" si="74"/>
        <v>1.6920652070572226</v>
      </c>
      <c r="S73" s="237">
        <f t="shared" si="74"/>
        <v>1.6416375562904244</v>
      </c>
      <c r="T73" s="237">
        <f t="shared" si="74"/>
        <v>1.6140940939198751</v>
      </c>
      <c r="U73" s="237">
        <f t="shared" si="74"/>
        <v>1.5744961312085419</v>
      </c>
    </row>
    <row r="74" spans="1:21" x14ac:dyDescent="0.25">
      <c r="A74" s="17" t="s">
        <v>656</v>
      </c>
      <c r="E74" s="193">
        <f>E14</f>
        <v>19609069244</v>
      </c>
      <c r="F74" s="193">
        <f t="shared" ref="F74:U74" si="75">F14</f>
        <v>20278768043</v>
      </c>
      <c r="G74" s="193">
        <f t="shared" si="75"/>
        <v>18482468203</v>
      </c>
      <c r="H74" s="193">
        <f t="shared" si="75"/>
        <v>20551364365</v>
      </c>
      <c r="I74" s="193">
        <f t="shared" si="75"/>
        <v>19109250331</v>
      </c>
      <c r="J74" s="193">
        <f t="shared" si="75"/>
        <v>18544485359</v>
      </c>
      <c r="K74" s="193">
        <f t="shared" si="75"/>
        <v>19146362591</v>
      </c>
      <c r="L74" s="193">
        <f t="shared" si="75"/>
        <v>19420073731</v>
      </c>
      <c r="M74" s="193">
        <f t="shared" si="75"/>
        <v>17869042265</v>
      </c>
      <c r="N74" s="193">
        <f t="shared" si="75"/>
        <v>16278329629</v>
      </c>
      <c r="O74" s="193">
        <f t="shared" si="75"/>
        <v>16844088211</v>
      </c>
      <c r="P74" s="193">
        <f t="shared" si="75"/>
        <v>16785598672</v>
      </c>
      <c r="Q74" s="193">
        <f t="shared" si="75"/>
        <v>17458651728</v>
      </c>
      <c r="R74" s="193">
        <f t="shared" si="75"/>
        <v>18303005251</v>
      </c>
      <c r="S74" s="193">
        <f t="shared" si="75"/>
        <v>17298799568</v>
      </c>
      <c r="T74" s="193">
        <f t="shared" si="75"/>
        <v>16545584234</v>
      </c>
      <c r="U74" s="193">
        <f t="shared" si="75"/>
        <v>15782611835</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4130158332</v>
      </c>
      <c r="F78" s="89">
        <f t="shared" ref="F78:U78" si="77">F10</f>
        <v>5138662400</v>
      </c>
      <c r="G78" s="89">
        <f t="shared" si="77"/>
        <v>5629428600</v>
      </c>
      <c r="H78" s="89">
        <f t="shared" si="77"/>
        <v>7524534273</v>
      </c>
      <c r="I78" s="89">
        <f t="shared" si="77"/>
        <v>6235486599</v>
      </c>
      <c r="J78" s="89">
        <f t="shared" si="77"/>
        <v>4120831910</v>
      </c>
      <c r="K78" s="89">
        <f t="shared" si="77"/>
        <v>4989740236</v>
      </c>
      <c r="L78" s="89">
        <f t="shared" si="77"/>
        <v>3778333997</v>
      </c>
      <c r="M78" s="89">
        <f t="shared" si="77"/>
        <v>3283281630</v>
      </c>
      <c r="N78" s="89">
        <f t="shared" si="77"/>
        <v>2456399160</v>
      </c>
      <c r="O78" s="89">
        <f t="shared" si="77"/>
        <v>2267759487</v>
      </c>
      <c r="P78" s="89">
        <f t="shared" si="77"/>
        <v>2277218995</v>
      </c>
      <c r="Q78" s="89">
        <f t="shared" si="77"/>
        <v>2153759879</v>
      </c>
      <c r="R78" s="89">
        <f t="shared" si="77"/>
        <v>2342286927</v>
      </c>
      <c r="S78" s="89">
        <f t="shared" si="77"/>
        <v>2219148812</v>
      </c>
      <c r="T78" s="89">
        <f t="shared" si="77"/>
        <v>1754348417</v>
      </c>
      <c r="U78" s="89">
        <f t="shared" si="77"/>
        <v>1272092547</v>
      </c>
    </row>
    <row r="79" spans="1:21" x14ac:dyDescent="0.25">
      <c r="A79" s="184" t="s">
        <v>661</v>
      </c>
      <c r="B79" s="64"/>
      <c r="C79" s="64"/>
      <c r="D79" s="64"/>
      <c r="E79" s="89">
        <f>E78</f>
        <v>4130158332</v>
      </c>
      <c r="F79" s="89">
        <f t="shared" ref="F79:U79" si="78">F78</f>
        <v>5138662400</v>
      </c>
      <c r="G79" s="89">
        <f t="shared" si="78"/>
        <v>5629428600</v>
      </c>
      <c r="H79" s="89">
        <f t="shared" si="78"/>
        <v>7524534273</v>
      </c>
      <c r="I79" s="89">
        <f t="shared" si="78"/>
        <v>6235486599</v>
      </c>
      <c r="J79" s="89">
        <f t="shared" si="78"/>
        <v>4120831910</v>
      </c>
      <c r="K79" s="89">
        <f t="shared" si="78"/>
        <v>4989740236</v>
      </c>
      <c r="L79" s="89">
        <f t="shared" si="78"/>
        <v>3778333997</v>
      </c>
      <c r="M79" s="89">
        <f t="shared" si="78"/>
        <v>3283281630</v>
      </c>
      <c r="N79" s="89">
        <f t="shared" si="78"/>
        <v>2456399160</v>
      </c>
      <c r="O79" s="89">
        <f t="shared" si="78"/>
        <v>2267759487</v>
      </c>
      <c r="P79" s="89">
        <f t="shared" si="78"/>
        <v>2277218995</v>
      </c>
      <c r="Q79" s="89">
        <f t="shared" si="78"/>
        <v>2153759879</v>
      </c>
      <c r="R79" s="89">
        <f t="shared" si="78"/>
        <v>2342286927</v>
      </c>
      <c r="S79" s="89">
        <f t="shared" si="78"/>
        <v>2219148812</v>
      </c>
      <c r="T79" s="89">
        <f t="shared" si="78"/>
        <v>1754348417</v>
      </c>
      <c r="U79" s="89">
        <f t="shared" si="78"/>
        <v>1272092547</v>
      </c>
    </row>
    <row r="80" spans="1:21" s="220" customFormat="1" x14ac:dyDescent="0.25">
      <c r="A80" s="224" t="s">
        <v>662</v>
      </c>
      <c r="B80" s="224"/>
      <c r="C80" s="224"/>
      <c r="D80" s="224"/>
      <c r="E80" s="224">
        <f>E79/E85</f>
        <v>0.21062490425259472</v>
      </c>
      <c r="F80" s="224">
        <f t="shared" ref="F80:U80" si="79">F79/F85</f>
        <v>0.25340111337650056</v>
      </c>
      <c r="G80" s="224">
        <f t="shared" si="79"/>
        <v>0.30458207952367822</v>
      </c>
      <c r="H80" s="224">
        <f t="shared" si="79"/>
        <v>0.36613307707271531</v>
      </c>
      <c r="I80" s="224">
        <f t="shared" si="79"/>
        <v>0.3263072329365258</v>
      </c>
      <c r="J80" s="224">
        <f t="shared" si="79"/>
        <v>0.22221333351804665</v>
      </c>
      <c r="K80" s="224">
        <f t="shared" si="79"/>
        <v>0.26061034895189406</v>
      </c>
      <c r="L80" s="224">
        <f t="shared" si="79"/>
        <v>0.19455816951759028</v>
      </c>
      <c r="M80" s="224">
        <f t="shared" si="79"/>
        <v>0.18374133214911839</v>
      </c>
      <c r="N80" s="224">
        <f t="shared" si="79"/>
        <v>0.15089995202111534</v>
      </c>
      <c r="O80" s="224">
        <f t="shared" si="79"/>
        <v>0.13463236825838065</v>
      </c>
      <c r="P80" s="224">
        <f t="shared" si="79"/>
        <v>0.13566504475045155</v>
      </c>
      <c r="Q80" s="224">
        <f t="shared" si="79"/>
        <v>0.1233634711634589</v>
      </c>
      <c r="R80" s="224">
        <f t="shared" si="79"/>
        <v>0.12797280527863189</v>
      </c>
      <c r="S80" s="224">
        <f t="shared" si="79"/>
        <v>0.12828339927731569</v>
      </c>
      <c r="T80" s="224">
        <f t="shared" si="79"/>
        <v>0.10603121607485692</v>
      </c>
      <c r="U80" s="224">
        <f t="shared" si="79"/>
        <v>8.0600889149346558E-2</v>
      </c>
    </row>
    <row r="81" spans="1:21" x14ac:dyDescent="0.25">
      <c r="A81" s="184" t="s">
        <v>653</v>
      </c>
      <c r="B81" s="64"/>
      <c r="C81" s="64"/>
      <c r="D81" s="64"/>
      <c r="E81" s="89">
        <f>E11</f>
        <v>3496458807</v>
      </c>
      <c r="F81" s="89">
        <f t="shared" ref="F81:U81" si="80">F11</f>
        <v>3036694777</v>
      </c>
      <c r="G81" s="89">
        <f t="shared" si="80"/>
        <v>1042011481</v>
      </c>
      <c r="H81" s="89">
        <f t="shared" si="80"/>
        <v>1071340561</v>
      </c>
      <c r="I81" s="89">
        <f t="shared" si="80"/>
        <v>1386414756</v>
      </c>
      <c r="J81" s="89">
        <f t="shared" si="80"/>
        <v>2902208921</v>
      </c>
      <c r="K81" s="89">
        <f t="shared" si="80"/>
        <v>2787772273</v>
      </c>
      <c r="L81" s="89">
        <f t="shared" si="80"/>
        <v>4290986955</v>
      </c>
      <c r="M81" s="89">
        <f t="shared" si="80"/>
        <v>3421900688</v>
      </c>
      <c r="N81" s="89">
        <f t="shared" si="80"/>
        <v>2770760455</v>
      </c>
      <c r="O81" s="89">
        <f t="shared" si="80"/>
        <v>3333760025</v>
      </c>
      <c r="P81" s="89">
        <f t="shared" si="80"/>
        <v>3343544022</v>
      </c>
      <c r="Q81" s="89">
        <f t="shared" si="80"/>
        <v>4334521311</v>
      </c>
      <c r="R81" s="89">
        <f t="shared" si="80"/>
        <v>5143756203</v>
      </c>
      <c r="S81" s="89">
        <f t="shared" si="80"/>
        <v>4542124064</v>
      </c>
      <c r="T81" s="89">
        <f t="shared" si="80"/>
        <v>4540542071</v>
      </c>
      <c r="U81" s="89">
        <f t="shared" si="80"/>
        <v>4486606544</v>
      </c>
    </row>
    <row r="82" spans="1:21" x14ac:dyDescent="0.25">
      <c r="A82" s="184" t="s">
        <v>655</v>
      </c>
      <c r="B82" s="64"/>
      <c r="C82" s="64"/>
      <c r="D82" s="64"/>
      <c r="E82" s="89">
        <f>E13</f>
        <v>11982452105</v>
      </c>
      <c r="F82" s="89">
        <f t="shared" ref="F82:U82" si="81">F13</f>
        <v>12103410866</v>
      </c>
      <c r="G82" s="89">
        <f t="shared" si="81"/>
        <v>11811028122</v>
      </c>
      <c r="H82" s="89">
        <f t="shared" si="81"/>
        <v>11955489531</v>
      </c>
      <c r="I82" s="89">
        <f t="shared" si="81"/>
        <v>11487348976</v>
      </c>
      <c r="J82" s="89">
        <f t="shared" si="81"/>
        <v>11521444528</v>
      </c>
      <c r="K82" s="89">
        <f t="shared" si="81"/>
        <v>11368850082</v>
      </c>
      <c r="L82" s="89">
        <f t="shared" si="81"/>
        <v>11350752779</v>
      </c>
      <c r="M82" s="89">
        <f t="shared" si="81"/>
        <v>11163859947</v>
      </c>
      <c r="N82" s="89">
        <f t="shared" si="81"/>
        <v>11051170014</v>
      </c>
      <c r="O82" s="89">
        <f t="shared" si="81"/>
        <v>11242568699</v>
      </c>
      <c r="P82" s="89">
        <f t="shared" si="81"/>
        <v>11164835655</v>
      </c>
      <c r="Q82" s="89">
        <f t="shared" si="81"/>
        <v>10970370538</v>
      </c>
      <c r="R82" s="89">
        <f t="shared" si="81"/>
        <v>10816962121</v>
      </c>
      <c r="S82" s="89">
        <f t="shared" si="81"/>
        <v>10537526692</v>
      </c>
      <c r="T82" s="89">
        <f t="shared" si="81"/>
        <v>10250693746</v>
      </c>
      <c r="U82" s="89">
        <f t="shared" si="81"/>
        <v>10023912744</v>
      </c>
    </row>
    <row r="83" spans="1:21" x14ac:dyDescent="0.25">
      <c r="A83" s="184" t="s">
        <v>663</v>
      </c>
      <c r="B83" s="64"/>
      <c r="C83" s="64"/>
      <c r="D83" s="64"/>
      <c r="E83" s="89">
        <f>E81+E82</f>
        <v>15478910912</v>
      </c>
      <c r="F83" s="89">
        <f t="shared" ref="F83:U83" si="82">F81+F82</f>
        <v>15140105643</v>
      </c>
      <c r="G83" s="89">
        <f t="shared" si="82"/>
        <v>12853039603</v>
      </c>
      <c r="H83" s="89">
        <f t="shared" si="82"/>
        <v>13026830092</v>
      </c>
      <c r="I83" s="89">
        <f t="shared" si="82"/>
        <v>12873763732</v>
      </c>
      <c r="J83" s="89">
        <f t="shared" si="82"/>
        <v>14423653449</v>
      </c>
      <c r="K83" s="89">
        <f t="shared" si="82"/>
        <v>14156622355</v>
      </c>
      <c r="L83" s="89">
        <f t="shared" si="82"/>
        <v>15641739734</v>
      </c>
      <c r="M83" s="89">
        <f t="shared" si="82"/>
        <v>14585760635</v>
      </c>
      <c r="N83" s="89">
        <f t="shared" si="82"/>
        <v>13821930469</v>
      </c>
      <c r="O83" s="89">
        <f t="shared" si="82"/>
        <v>14576328724</v>
      </c>
      <c r="P83" s="89">
        <f t="shared" si="82"/>
        <v>14508379677</v>
      </c>
      <c r="Q83" s="89">
        <f t="shared" si="82"/>
        <v>15304891849</v>
      </c>
      <c r="R83" s="89">
        <f t="shared" si="82"/>
        <v>15960718324</v>
      </c>
      <c r="S83" s="89">
        <f t="shared" si="82"/>
        <v>15079650756</v>
      </c>
      <c r="T83" s="89">
        <f t="shared" si="82"/>
        <v>14791235817</v>
      </c>
      <c r="U83" s="89">
        <f t="shared" si="82"/>
        <v>14510519288</v>
      </c>
    </row>
    <row r="84" spans="1:21" s="220" customFormat="1" x14ac:dyDescent="0.25">
      <c r="A84" s="224" t="s">
        <v>664</v>
      </c>
      <c r="B84" s="224"/>
      <c r="C84" s="224"/>
      <c r="D84" s="224"/>
      <c r="E84" s="224">
        <f>E83/E85</f>
        <v>0.78937509574740528</v>
      </c>
      <c r="F84" s="224">
        <f t="shared" ref="F84:U84" si="83">F83/F85</f>
        <v>0.74659888662349938</v>
      </c>
      <c r="G84" s="224">
        <f t="shared" si="83"/>
        <v>0.69541792047632178</v>
      </c>
      <c r="H84" s="224">
        <f t="shared" si="83"/>
        <v>0.63386692292728464</v>
      </c>
      <c r="I84" s="224">
        <f t="shared" si="83"/>
        <v>0.67369276706347414</v>
      </c>
      <c r="J84" s="224">
        <f t="shared" si="83"/>
        <v>0.77778666648195338</v>
      </c>
      <c r="K84" s="224">
        <f t="shared" si="83"/>
        <v>0.73938965104810594</v>
      </c>
      <c r="L84" s="224">
        <f t="shared" si="83"/>
        <v>0.80544183048240969</v>
      </c>
      <c r="M84" s="224">
        <f t="shared" si="83"/>
        <v>0.81625866785088164</v>
      </c>
      <c r="N84" s="224">
        <f t="shared" si="83"/>
        <v>0.84910004797888472</v>
      </c>
      <c r="O84" s="224">
        <f t="shared" si="83"/>
        <v>0.86536763174161935</v>
      </c>
      <c r="P84" s="224">
        <f t="shared" si="83"/>
        <v>0.86433495524954851</v>
      </c>
      <c r="Q84" s="224">
        <f t="shared" si="83"/>
        <v>0.87663652883654108</v>
      </c>
      <c r="R84" s="224">
        <f t="shared" si="83"/>
        <v>0.87202719472136814</v>
      </c>
      <c r="S84" s="224">
        <f t="shared" si="83"/>
        <v>0.87171660072268431</v>
      </c>
      <c r="T84" s="224">
        <f t="shared" si="83"/>
        <v>0.89396878392514312</v>
      </c>
      <c r="U84" s="224">
        <f t="shared" si="83"/>
        <v>0.9193991108506534</v>
      </c>
    </row>
    <row r="85" spans="1:21" x14ac:dyDescent="0.25">
      <c r="A85" s="184" t="s">
        <v>656</v>
      </c>
      <c r="B85" s="64"/>
      <c r="C85" s="64"/>
      <c r="D85" s="64"/>
      <c r="E85" s="89">
        <f>E14</f>
        <v>19609069244</v>
      </c>
      <c r="F85" s="89">
        <f t="shared" ref="F85:U85" si="84">F14</f>
        <v>20278768043</v>
      </c>
      <c r="G85" s="89">
        <f t="shared" si="84"/>
        <v>18482468203</v>
      </c>
      <c r="H85" s="89">
        <f t="shared" si="84"/>
        <v>20551364365</v>
      </c>
      <c r="I85" s="89">
        <f t="shared" si="84"/>
        <v>19109250331</v>
      </c>
      <c r="J85" s="89">
        <f t="shared" si="84"/>
        <v>18544485359</v>
      </c>
      <c r="K85" s="89">
        <f t="shared" si="84"/>
        <v>19146362591</v>
      </c>
      <c r="L85" s="89">
        <f t="shared" si="84"/>
        <v>19420073731</v>
      </c>
      <c r="M85" s="89">
        <f t="shared" si="84"/>
        <v>17869042265</v>
      </c>
      <c r="N85" s="89">
        <f t="shared" si="84"/>
        <v>16278329629</v>
      </c>
      <c r="O85" s="89">
        <f t="shared" si="84"/>
        <v>16844088211</v>
      </c>
      <c r="P85" s="89">
        <f t="shared" si="84"/>
        <v>16785598672</v>
      </c>
      <c r="Q85" s="89">
        <f t="shared" si="84"/>
        <v>17458651728</v>
      </c>
      <c r="R85" s="89">
        <f t="shared" si="84"/>
        <v>18303005251</v>
      </c>
      <c r="S85" s="89">
        <f t="shared" si="84"/>
        <v>17298799568</v>
      </c>
      <c r="T85" s="89">
        <f t="shared" si="84"/>
        <v>16545584234</v>
      </c>
      <c r="U85" s="89">
        <f t="shared" si="84"/>
        <v>15782611835</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11434948841</v>
      </c>
      <c r="F2" s="26">
        <f>股权价值增加表!F4</f>
        <v>7910226267</v>
      </c>
      <c r="G2" s="26">
        <f>股权价值增加表!G4</f>
        <v>4941976922</v>
      </c>
      <c r="H2" s="26">
        <f>股权价值增加表!H4</f>
        <v>2434199647</v>
      </c>
      <c r="I2" s="26">
        <f>股权价值增加表!I4</f>
        <v>8565943415</v>
      </c>
      <c r="J2" s="26">
        <f>股权价值增加表!J4</f>
        <v>6252875047</v>
      </c>
      <c r="K2" s="26">
        <f>股权价值增加表!K4</f>
        <v>4096412765</v>
      </c>
      <c r="L2" s="26">
        <f>股权价值增加表!L4</f>
        <v>2004327919</v>
      </c>
      <c r="M2" s="26">
        <f>股权价值增加表!M4</f>
        <v>7763339982</v>
      </c>
      <c r="N2" s="26">
        <f>股权价值增加表!N4</f>
        <v>5818520501</v>
      </c>
      <c r="O2" s="26">
        <f>股权价值增加表!O4</f>
        <v>3835606919</v>
      </c>
      <c r="P2" s="26">
        <f>股权价值增加表!P4</f>
        <v>1892650277</v>
      </c>
      <c r="Q2" s="26">
        <f>股权价值增加表!Q4</f>
        <v>8023421289</v>
      </c>
      <c r="R2" s="26">
        <f>股权价值增加表!R4</f>
        <v>5986277356</v>
      </c>
      <c r="S2" s="26">
        <f>股权价值增加表!S4</f>
        <v>3967165098</v>
      </c>
      <c r="T2" s="26">
        <f>股权价值增加表!T4</f>
        <v>1940287290</v>
      </c>
      <c r="U2" s="26">
        <f>股权价值增加表!U4</f>
        <v>6831281981</v>
      </c>
      <c r="V2" s="26">
        <f>股权价值增加表!V4</f>
        <v>4929174842</v>
      </c>
      <c r="W2" s="26">
        <f>股权价值增加表!W4</f>
        <v>3181354078</v>
      </c>
      <c r="X2" s="26">
        <f>股权价值增加表!X4</f>
        <v>1461330801</v>
      </c>
      <c r="Y2" s="26">
        <f>股权价值增加表!Y4</f>
        <v>5885278617</v>
      </c>
      <c r="Z2" s="26">
        <f>股权价值增加表!Z4</f>
        <v>4353708800</v>
      </c>
      <c r="AA2" s="26">
        <f>股权价值增加表!AA4</f>
        <v>2775582920</v>
      </c>
      <c r="AB2" s="26">
        <f>股权价值增加表!AB4</f>
        <v>1235735236</v>
      </c>
      <c r="AC2" s="26">
        <f>股权价值增加表!AC4</f>
        <v>5147848758</v>
      </c>
      <c r="AD2" s="26">
        <f>股权价值增加表!AD4</f>
        <v>3647054388</v>
      </c>
      <c r="AE2" s="26">
        <f>股权价值增加表!AE4</f>
        <v>2311450599</v>
      </c>
      <c r="AF2" s="26">
        <f>股权价值增加表!AF4</f>
        <v>1075326251</v>
      </c>
      <c r="AG2" s="26">
        <f>股权价值增加表!AG4</f>
        <v>4026399958</v>
      </c>
      <c r="AH2" s="26">
        <f>股权价值增加表!AH4</f>
        <v>2848000427</v>
      </c>
      <c r="AI2" s="26">
        <f>股权价值增加表!AI4</f>
        <v>1785904167</v>
      </c>
      <c r="AJ2" s="26">
        <f>股权价值增加表!AJ4</f>
        <v>813017762</v>
      </c>
      <c r="AK2" s="26">
        <f>股权价值增加表!AK4</f>
        <v>3245985345</v>
      </c>
      <c r="AL2" s="26">
        <f>股权价值增加表!AL4</f>
        <v>2347475020</v>
      </c>
      <c r="AM2" s="26">
        <f>股权价值增加表!AM4</f>
        <v>1471579835</v>
      </c>
      <c r="AN2" s="26">
        <f>股权价值增加表!AN4</f>
        <v>658678544</v>
      </c>
      <c r="AO2" s="26">
        <f>股权价值增加表!AO4</f>
        <v>2621391286</v>
      </c>
      <c r="AP2" s="26">
        <f>股权价值增加表!AP4</f>
        <v>2029326550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0.33493163414738714</v>
      </c>
      <c r="F3" s="66">
        <f t="shared" ref="F3:BQ3" si="0">(F2-J2)/J2</f>
        <v>0.26505426824339995</v>
      </c>
      <c r="G3" s="66">
        <f t="shared" si="0"/>
        <v>0.20641576069300233</v>
      </c>
      <c r="H3" s="66">
        <f t="shared" si="0"/>
        <v>0.21447175580654076</v>
      </c>
      <c r="I3" s="66">
        <f t="shared" si="0"/>
        <v>0.10338378003036168</v>
      </c>
      <c r="J3" s="66">
        <f t="shared" si="0"/>
        <v>7.4650342114520291E-2</v>
      </c>
      <c r="K3" s="66">
        <f t="shared" si="0"/>
        <v>6.7995978604605281E-2</v>
      </c>
      <c r="L3" s="66">
        <f t="shared" si="0"/>
        <v>5.9005957601960077E-2</v>
      </c>
      <c r="M3" s="66">
        <f t="shared" si="0"/>
        <v>-3.241526247120638E-2</v>
      </c>
      <c r="N3" s="66">
        <f t="shared" si="0"/>
        <v>-2.8023568742911415E-2</v>
      </c>
      <c r="O3" s="66">
        <f t="shared" si="0"/>
        <v>-3.3161760539364371E-2</v>
      </c>
      <c r="P3" s="66">
        <f t="shared" si="0"/>
        <v>-2.4551525563000519E-2</v>
      </c>
      <c r="Q3" s="66">
        <f t="shared" si="0"/>
        <v>0.17451179900284078</v>
      </c>
      <c r="R3" s="66">
        <f t="shared" si="0"/>
        <v>0.21445831156013193</v>
      </c>
      <c r="S3" s="66">
        <f t="shared" si="0"/>
        <v>0.24700520619006686</v>
      </c>
      <c r="T3" s="66">
        <f t="shared" si="0"/>
        <v>0.32775363981396022</v>
      </c>
      <c r="U3" s="66">
        <f t="shared" si="0"/>
        <v>0.16074062513666038</v>
      </c>
      <c r="V3" s="66">
        <f t="shared" si="0"/>
        <v>0.13217834918127735</v>
      </c>
      <c r="W3" s="66">
        <f t="shared" si="0"/>
        <v>0.1461931312071916</v>
      </c>
      <c r="X3" s="66">
        <f t="shared" si="0"/>
        <v>0.18255978985453158</v>
      </c>
      <c r="Y3" s="66">
        <f t="shared" si="0"/>
        <v>0.14325010187099985</v>
      </c>
      <c r="Z3" s="66">
        <f t="shared" si="0"/>
        <v>0.1937603163597241</v>
      </c>
      <c r="AA3" s="66">
        <f t="shared" si="0"/>
        <v>0.20079698921568861</v>
      </c>
      <c r="AB3" s="66">
        <f t="shared" si="0"/>
        <v>0.14917238824108275</v>
      </c>
      <c r="AC3" s="66">
        <f t="shared" si="0"/>
        <v>0.27852394488823906</v>
      </c>
      <c r="AD3" s="66">
        <f t="shared" si="0"/>
        <v>0.28056665772402989</v>
      </c>
      <c r="AE3" s="66">
        <f t="shared" si="0"/>
        <v>0.29427471065416916</v>
      </c>
      <c r="AF3" s="66">
        <f t="shared" si="0"/>
        <v>0.322635619121935</v>
      </c>
      <c r="AG3" s="66">
        <f t="shared" si="0"/>
        <v>0.24042456451694177</v>
      </c>
      <c r="AH3" s="66">
        <f t="shared" si="0"/>
        <v>0.21321862969174429</v>
      </c>
      <c r="AI3" s="66">
        <f t="shared" si="0"/>
        <v>0.21359652023228493</v>
      </c>
      <c r="AJ3" s="66">
        <f t="shared" si="0"/>
        <v>0.23431644981592115</v>
      </c>
      <c r="AK3" s="66">
        <f t="shared" si="0"/>
        <v>0.23826815261641943</v>
      </c>
      <c r="AL3" s="66">
        <f t="shared" si="0"/>
        <v>0.15677539428043258</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5567764890</v>
      </c>
      <c r="F4" s="26">
        <f>股权价值增加表!F5</f>
        <v>4147561099</v>
      </c>
      <c r="G4" s="26">
        <f>股权价值增加表!G5</f>
        <v>2735385730</v>
      </c>
      <c r="H4" s="26">
        <f>股权价值增加表!H5</f>
        <v>1367610341</v>
      </c>
      <c r="I4" s="26">
        <f>股权价值增加表!I5</f>
        <v>4854665753</v>
      </c>
      <c r="J4" s="26">
        <f>股权价值增加表!J5</f>
        <v>3655928230</v>
      </c>
      <c r="K4" s="26">
        <f>股权价值增加表!K5</f>
        <v>2395055109</v>
      </c>
      <c r="L4" s="26">
        <f>股权价值增加表!L5</f>
        <v>1162918698</v>
      </c>
      <c r="M4" s="26">
        <f>股权价值增加表!M5</f>
        <v>4505536126</v>
      </c>
      <c r="N4" s="26">
        <f>股权价值增加表!N5</f>
        <v>3421555615</v>
      </c>
      <c r="O4" s="26">
        <f>股权价值增加表!O5</f>
        <v>2260649526</v>
      </c>
      <c r="P4" s="26">
        <f>股权价值增加表!P5</f>
        <v>1109672221</v>
      </c>
      <c r="Q4" s="26">
        <f>股权价值增加表!Q5</f>
        <v>4607806540</v>
      </c>
      <c r="R4" s="26">
        <f>股权价值增加表!R5</f>
        <v>3443390838</v>
      </c>
      <c r="S4" s="26">
        <f>股权价值增加表!S5</f>
        <v>2297385511</v>
      </c>
      <c r="T4" s="26">
        <f>股权价值增加表!T5</f>
        <v>1177544493</v>
      </c>
      <c r="U4" s="26">
        <f>股权价值增加表!U5</f>
        <v>3712055490</v>
      </c>
      <c r="V4" s="26">
        <f>股权价值增加表!V5</f>
        <v>2668974541</v>
      </c>
      <c r="W4" s="26">
        <f>股权价值增加表!W5</f>
        <v>1743325019</v>
      </c>
      <c r="X4" s="26">
        <f>股权价值增加表!X5</f>
        <v>835704897</v>
      </c>
      <c r="Y4" s="26">
        <f>股权价值增加表!Y5</f>
        <v>3374228753</v>
      </c>
      <c r="Z4" s="26">
        <f>股权价值增加表!Z5</f>
        <v>2538011252</v>
      </c>
      <c r="AA4" s="26">
        <f>股权价值增加表!AA5</f>
        <v>1662668132</v>
      </c>
      <c r="AB4" s="26">
        <f>股权价值增加表!AB5</f>
        <v>775720710</v>
      </c>
      <c r="AC4" s="26">
        <f>股权价值增加表!AC5</f>
        <v>2944996642</v>
      </c>
      <c r="AD4" s="26">
        <f>股权价值增加表!AD5</f>
        <v>2033397474</v>
      </c>
      <c r="AE4" s="26">
        <f>股权价值增加表!AE5</f>
        <v>1291379496</v>
      </c>
      <c r="AF4" s="26">
        <f>股权价值增加表!AF5</f>
        <v>637732213</v>
      </c>
      <c r="AG4" s="26">
        <f>股权价值增加表!AG5</f>
        <v>2373501496</v>
      </c>
      <c r="AH4" s="26">
        <f>股权价值增加表!AH5</f>
        <v>1709252716</v>
      </c>
      <c r="AI4" s="26">
        <f>股权价值增加表!AI5</f>
        <v>1079157650</v>
      </c>
      <c r="AJ4" s="26">
        <f>股权价值增加表!AJ5</f>
        <v>510433114</v>
      </c>
      <c r="AK4" s="26">
        <f>股权价值增加表!AK5</f>
        <v>1991066392</v>
      </c>
      <c r="AL4" s="26">
        <f>股权价值增加表!AL5</f>
        <v>1448227523</v>
      </c>
      <c r="AM4" s="26">
        <f>股权价值增加表!AM5</f>
        <v>929114167</v>
      </c>
      <c r="AN4" s="26">
        <f>股权价值增加表!AN5</f>
        <v>430284199</v>
      </c>
      <c r="AO4" s="26">
        <f>股权价值增加表!AO5</f>
        <v>1673006487</v>
      </c>
      <c r="AP4" s="26">
        <f>股权价值增加表!AP5</f>
        <v>1297556695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0.48690772188125436</v>
      </c>
      <c r="F5" s="66">
        <f t="shared" si="2"/>
        <v>0.52432900893149637</v>
      </c>
      <c r="G5" s="66">
        <f t="shared" si="2"/>
        <v>0.55350030426548402</v>
      </c>
      <c r="H5" s="66">
        <f t="shared" si="2"/>
        <v>0.56183162407631393</v>
      </c>
      <c r="I5" s="66">
        <f t="shared" si="2"/>
        <v>0.56674034812077967</v>
      </c>
      <c r="J5" s="66">
        <f t="shared" si="2"/>
        <v>0.58467955980569908</v>
      </c>
      <c r="K5" s="66">
        <f t="shared" si="2"/>
        <v>0.58467133230896473</v>
      </c>
      <c r="L5" s="66">
        <f t="shared" si="2"/>
        <v>0.580203811450276</v>
      </c>
      <c r="M5" s="66">
        <f t="shared" si="2"/>
        <v>0.5803605325087513</v>
      </c>
      <c r="N5" s="66">
        <f t="shared" si="2"/>
        <v>0.58804564053902608</v>
      </c>
      <c r="O5" s="66">
        <f t="shared" si="2"/>
        <v>0.5893850891762874</v>
      </c>
      <c r="P5" s="66">
        <f t="shared" si="2"/>
        <v>0.58630600406479638</v>
      </c>
      <c r="Q5" s="66">
        <f t="shared" si="2"/>
        <v>0.5742944778828003</v>
      </c>
      <c r="R5" s="66">
        <f t="shared" si="2"/>
        <v>0.57521404927032249</v>
      </c>
      <c r="S5" s="66">
        <f t="shared" si="2"/>
        <v>0.57910005110656981</v>
      </c>
      <c r="T5" s="66">
        <f t="shared" si="2"/>
        <v>0.60689182425144883</v>
      </c>
      <c r="U5" s="66">
        <f t="shared" si="2"/>
        <v>0.54339075744851761</v>
      </c>
      <c r="V5" s="66">
        <f t="shared" si="2"/>
        <v>0.54146477383161162</v>
      </c>
      <c r="W5" s="66">
        <f t="shared" si="2"/>
        <v>0.54798207815206923</v>
      </c>
      <c r="X5" s="66">
        <f t="shared" si="2"/>
        <v>0.57187934205459889</v>
      </c>
      <c r="Y5" s="66">
        <f t="shared" si="2"/>
        <v>0.57333373194147963</v>
      </c>
      <c r="Z5" s="66">
        <f t="shared" si="2"/>
        <v>0.58295383742706908</v>
      </c>
      <c r="AA5" s="66">
        <f t="shared" si="2"/>
        <v>0.5990338534004237</v>
      </c>
      <c r="AB5" s="66">
        <f t="shared" si="2"/>
        <v>0.62774022088336734</v>
      </c>
      <c r="AC5" s="66">
        <f t="shared" si="2"/>
        <v>0.57208297687909659</v>
      </c>
      <c r="AD5" s="66">
        <f t="shared" si="2"/>
        <v>0.55754514676022982</v>
      </c>
      <c r="AE5" s="66">
        <f t="shared" si="2"/>
        <v>0.5586879064422523</v>
      </c>
      <c r="AF5" s="66">
        <f t="shared" si="2"/>
        <v>0.59305928075962133</v>
      </c>
      <c r="AG5" s="66">
        <f t="shared" si="2"/>
        <v>0.58948478063738352</v>
      </c>
      <c r="AH5" s="66">
        <f t="shared" si="2"/>
        <v>0.60015886928797857</v>
      </c>
      <c r="AI5" s="66">
        <f t="shared" si="2"/>
        <v>0.60426403047862987</v>
      </c>
      <c r="AJ5" s="66">
        <f t="shared" si="2"/>
        <v>0.62782529221052863</v>
      </c>
      <c r="AK5" s="66">
        <f t="shared" ref="AK5:BP5" si="3">AK4/AK2</f>
        <v>0.61339352473262632</v>
      </c>
      <c r="AL5" s="66">
        <f t="shared" si="3"/>
        <v>0.61692989729875802</v>
      </c>
      <c r="AM5" s="66">
        <f t="shared" si="3"/>
        <v>0.63137190718572189</v>
      </c>
      <c r="AN5" s="66">
        <f t="shared" si="3"/>
        <v>0.65325370458704357</v>
      </c>
      <c r="AO5" s="66">
        <f t="shared" si="3"/>
        <v>0.63821318699538854</v>
      </c>
      <c r="AP5" s="66">
        <f t="shared" si="3"/>
        <v>0.63940261117659947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0.14688944064981851</v>
      </c>
      <c r="F6" s="66">
        <f t="shared" ref="F6:BQ6" si="5">(F4-J4)/J4</f>
        <v>0.13447552524848114</v>
      </c>
      <c r="G6" s="66">
        <f t="shared" si="5"/>
        <v>0.14209719839895341</v>
      </c>
      <c r="H6" s="66">
        <f t="shared" si="5"/>
        <v>0.17601543715139406</v>
      </c>
      <c r="I6" s="66">
        <f t="shared" si="5"/>
        <v>7.7489030658368319E-2</v>
      </c>
      <c r="J6" s="66">
        <f t="shared" si="5"/>
        <v>6.8498847124541046E-2</v>
      </c>
      <c r="K6" s="66">
        <f t="shared" si="5"/>
        <v>5.945440965270616E-2</v>
      </c>
      <c r="L6" s="66">
        <f t="shared" si="5"/>
        <v>4.7983968592109148E-2</v>
      </c>
      <c r="M6" s="66">
        <f t="shared" si="5"/>
        <v>-2.219503208570037E-2</v>
      </c>
      <c r="N6" s="66">
        <f t="shared" si="5"/>
        <v>-6.3411979723691182E-3</v>
      </c>
      <c r="O6" s="66">
        <f t="shared" si="5"/>
        <v>-1.5990344164749981E-2</v>
      </c>
      <c r="P6" s="66">
        <f t="shared" si="5"/>
        <v>-5.7638817389467426E-2</v>
      </c>
      <c r="Q6" s="66">
        <f t="shared" si="5"/>
        <v>0.24130863679518971</v>
      </c>
      <c r="R6" s="66">
        <f t="shared" si="5"/>
        <v>0.29015499589960309</v>
      </c>
      <c r="S6" s="66">
        <f t="shared" si="5"/>
        <v>0.3178182415564817</v>
      </c>
      <c r="T6" s="66">
        <f t="shared" si="5"/>
        <v>0.40904342816122091</v>
      </c>
      <c r="U6" s="66">
        <f t="shared" si="5"/>
        <v>0.10011969007721866</v>
      </c>
      <c r="V6" s="66">
        <f t="shared" si="5"/>
        <v>5.1600751926059625E-2</v>
      </c>
      <c r="W6" s="66">
        <f t="shared" si="5"/>
        <v>4.8510514785039496E-2</v>
      </c>
      <c r="X6" s="66">
        <f t="shared" si="5"/>
        <v>7.7327040810860906E-2</v>
      </c>
      <c r="Y6" s="66">
        <f t="shared" si="5"/>
        <v>0.14574960965269582</v>
      </c>
      <c r="Z6" s="66">
        <f t="shared" si="5"/>
        <v>0.24816288229538738</v>
      </c>
      <c r="AA6" s="66">
        <f t="shared" si="5"/>
        <v>0.28751318814496651</v>
      </c>
      <c r="AB6" s="66">
        <f t="shared" si="5"/>
        <v>0.2163737289525941</v>
      </c>
      <c r="AC6" s="66">
        <f t="shared" si="5"/>
        <v>0.24078145598944253</v>
      </c>
      <c r="AD6" s="66">
        <f t="shared" si="5"/>
        <v>0.18964121277429638</v>
      </c>
      <c r="AE6" s="66">
        <f t="shared" si="5"/>
        <v>0.19665509112593513</v>
      </c>
      <c r="AF6" s="66">
        <f t="shared" si="5"/>
        <v>0.2493942800897514</v>
      </c>
      <c r="AG6" s="66">
        <f t="shared" si="5"/>
        <v>0.1920755156817493</v>
      </c>
      <c r="AH6" s="66">
        <f t="shared" si="5"/>
        <v>0.18023769667026276</v>
      </c>
      <c r="AI6" s="66">
        <f t="shared" si="5"/>
        <v>0.16149089996601032</v>
      </c>
      <c r="AJ6" s="66">
        <f t="shared" si="5"/>
        <v>0.18626971472870654</v>
      </c>
      <c r="AK6" s="66">
        <f t="shared" si="5"/>
        <v>0.19011277449995925</v>
      </c>
      <c r="AL6" s="66">
        <f t="shared" si="5"/>
        <v>0.1161188783354087</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5867183951</v>
      </c>
      <c r="F7" s="27">
        <f>股权价值增加表!F6</f>
        <v>3762665168</v>
      </c>
      <c r="G7" s="27">
        <f>股权价值增加表!G6</f>
        <v>2206591192</v>
      </c>
      <c r="H7" s="27">
        <f>股权价值增加表!H6</f>
        <v>1066589306</v>
      </c>
      <c r="I7" s="27">
        <f>股权价值增加表!I6</f>
        <v>3711277662</v>
      </c>
      <c r="J7" s="27">
        <f>股权价值增加表!J6</f>
        <v>2596946817</v>
      </c>
      <c r="K7" s="27">
        <f>股权价值增加表!K6</f>
        <v>1701357656</v>
      </c>
      <c r="L7" s="27">
        <f>股权价值增加表!L6</f>
        <v>841409221</v>
      </c>
      <c r="M7" s="27">
        <f>股权价值增加表!M6</f>
        <v>3257803856</v>
      </c>
      <c r="N7" s="27">
        <f>股权价值增加表!N6</f>
        <v>2396964886</v>
      </c>
      <c r="O7" s="27">
        <f>股权价值增加表!O6</f>
        <v>1574957393</v>
      </c>
      <c r="P7" s="27">
        <f>股权价值增加表!P6</f>
        <v>782978056</v>
      </c>
      <c r="Q7" s="27">
        <f>股权价值增加表!Q6</f>
        <v>3415614749</v>
      </c>
      <c r="R7" s="27">
        <f>股权价值增加表!R6</f>
        <v>2542886518</v>
      </c>
      <c r="S7" s="27">
        <f>股权价值增加表!S6</f>
        <v>1669779587</v>
      </c>
      <c r="T7" s="27">
        <f>股权价值增加表!T6</f>
        <v>762742797</v>
      </c>
      <c r="U7" s="27">
        <f>股权价值增加表!U6</f>
        <v>3119226491</v>
      </c>
      <c r="V7" s="27">
        <f>股权价值增加表!V6</f>
        <v>2260200301</v>
      </c>
      <c r="W7" s="27">
        <f>股权价值增加表!W6</f>
        <v>1438029059</v>
      </c>
      <c r="X7" s="27">
        <f>股权价值增加表!X6</f>
        <v>625625904</v>
      </c>
      <c r="Y7" s="27">
        <f>股权价值增加表!Y6</f>
        <v>2511049864</v>
      </c>
      <c r="Z7" s="27">
        <f>股权价值增加表!Z6</f>
        <v>1815697548</v>
      </c>
      <c r="AA7" s="27">
        <f>股权价值增加表!AA6</f>
        <v>1112914788</v>
      </c>
      <c r="AB7" s="27">
        <f>股权价值增加表!AB6</f>
        <v>460014526</v>
      </c>
      <c r="AC7" s="27">
        <f>股权价值增加表!AC6</f>
        <v>2202852116</v>
      </c>
      <c r="AD7" s="27">
        <f>股权价值增加表!AD6</f>
        <v>1613656914</v>
      </c>
      <c r="AE7" s="27">
        <f>股权价值增加表!AE6</f>
        <v>1020071103</v>
      </c>
      <c r="AF7" s="27">
        <f>股权价值增加表!AF6</f>
        <v>437594038</v>
      </c>
      <c r="AG7" s="27">
        <f>股权价值增加表!AG6</f>
        <v>1652898462</v>
      </c>
      <c r="AH7" s="27">
        <f>股权价值增加表!AH6</f>
        <v>1138747711</v>
      </c>
      <c r="AI7" s="27">
        <f>股权价值增加表!AI6</f>
        <v>706746517</v>
      </c>
      <c r="AJ7" s="27">
        <f>股权价值增加表!AJ6</f>
        <v>302584648</v>
      </c>
      <c r="AK7" s="27">
        <f>股权价值增加表!AK6</f>
        <v>1254918953</v>
      </c>
      <c r="AL7" s="27">
        <f>股权价值增加表!AL6</f>
        <v>899247497</v>
      </c>
      <c r="AM7" s="27">
        <f>股权价值增加表!AM6</f>
        <v>542465668</v>
      </c>
      <c r="AN7" s="27">
        <f>股权价值增加表!AN6</f>
        <v>228394345</v>
      </c>
      <c r="AO7" s="27">
        <f>股权价值增加表!AO6</f>
        <v>948384799</v>
      </c>
      <c r="AP7" s="27">
        <f>股权价值增加表!AP6</f>
        <v>731769855</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0.51309227811874558</v>
      </c>
      <c r="F8" s="66">
        <f t="shared" ref="F8:BQ8" si="7">F7/F2</f>
        <v>0.47567099106850363</v>
      </c>
      <c r="G8" s="66">
        <f t="shared" si="7"/>
        <v>0.44649969573451603</v>
      </c>
      <c r="H8" s="66">
        <f t="shared" si="7"/>
        <v>0.43816837592368607</v>
      </c>
      <c r="I8" s="66">
        <f t="shared" si="7"/>
        <v>0.43325965187922033</v>
      </c>
      <c r="J8" s="66">
        <f t="shared" si="7"/>
        <v>0.41532044019430092</v>
      </c>
      <c r="K8" s="66">
        <f t="shared" si="7"/>
        <v>0.41532866769103527</v>
      </c>
      <c r="L8" s="66">
        <f t="shared" si="7"/>
        <v>0.41979618854972406</v>
      </c>
      <c r="M8" s="66">
        <f t="shared" si="7"/>
        <v>0.41963946749124864</v>
      </c>
      <c r="N8" s="66">
        <f t="shared" si="7"/>
        <v>0.41195435946097392</v>
      </c>
      <c r="O8" s="66">
        <f t="shared" si="7"/>
        <v>0.4106149108237126</v>
      </c>
      <c r="P8" s="66">
        <f t="shared" si="7"/>
        <v>0.41369399593520362</v>
      </c>
      <c r="Q8" s="66">
        <f t="shared" si="7"/>
        <v>0.42570552211719964</v>
      </c>
      <c r="R8" s="66">
        <f t="shared" si="7"/>
        <v>0.42478595072967751</v>
      </c>
      <c r="S8" s="66">
        <f t="shared" si="7"/>
        <v>0.42089994889343019</v>
      </c>
      <c r="T8" s="66">
        <f t="shared" si="7"/>
        <v>0.39310817574855111</v>
      </c>
      <c r="U8" s="66">
        <f t="shared" si="7"/>
        <v>0.45660924255148239</v>
      </c>
      <c r="V8" s="66">
        <f t="shared" si="7"/>
        <v>0.45853522616838838</v>
      </c>
      <c r="W8" s="66">
        <f t="shared" si="7"/>
        <v>0.45201792184793083</v>
      </c>
      <c r="X8" s="66">
        <f t="shared" si="7"/>
        <v>0.42812065794540111</v>
      </c>
      <c r="Y8" s="66">
        <f t="shared" si="7"/>
        <v>0.42666626805852037</v>
      </c>
      <c r="Z8" s="66">
        <f t="shared" si="7"/>
        <v>0.41704616257293092</v>
      </c>
      <c r="AA8" s="66">
        <f t="shared" si="7"/>
        <v>0.4009661465995763</v>
      </c>
      <c r="AB8" s="66">
        <f t="shared" si="7"/>
        <v>0.37225977911663272</v>
      </c>
      <c r="AC8" s="66">
        <f t="shared" si="7"/>
        <v>0.42791702312090341</v>
      </c>
      <c r="AD8" s="66">
        <f t="shared" si="7"/>
        <v>0.44245485323977024</v>
      </c>
      <c r="AE8" s="66">
        <f t="shared" si="7"/>
        <v>0.4413120935577477</v>
      </c>
      <c r="AF8" s="66">
        <f t="shared" si="7"/>
        <v>0.40694071924037872</v>
      </c>
      <c r="AG8" s="66">
        <f t="shared" si="7"/>
        <v>0.41051521936261653</v>
      </c>
      <c r="AH8" s="66">
        <f t="shared" si="7"/>
        <v>0.39984113071202149</v>
      </c>
      <c r="AI8" s="66">
        <f t="shared" si="7"/>
        <v>0.39573596952137019</v>
      </c>
      <c r="AJ8" s="66">
        <f t="shared" si="7"/>
        <v>0.37217470778947137</v>
      </c>
      <c r="AK8" s="66">
        <f t="shared" si="7"/>
        <v>0.38660647526737368</v>
      </c>
      <c r="AL8" s="66">
        <f t="shared" si="7"/>
        <v>0.38307010270124198</v>
      </c>
      <c r="AM8" s="66">
        <f t="shared" si="7"/>
        <v>0.36862809281427805</v>
      </c>
      <c r="AN8" s="66">
        <f t="shared" si="7"/>
        <v>0.34674629541295637</v>
      </c>
      <c r="AO8" s="66">
        <f t="shared" si="7"/>
        <v>0.36178681300461146</v>
      </c>
      <c r="AP8" s="66">
        <f t="shared" si="7"/>
        <v>0.36059738882340053</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0.58090676186113932</v>
      </c>
      <c r="F9" s="66">
        <f t="shared" ref="F9:BQ9" si="9">(F7-J7)/J7</f>
        <v>0.44888033261560628</v>
      </c>
      <c r="G9" s="66">
        <f t="shared" si="9"/>
        <v>0.29695903986927485</v>
      </c>
      <c r="H9" s="66">
        <f t="shared" si="9"/>
        <v>0.26762255437654636</v>
      </c>
      <c r="I9" s="66">
        <f t="shared" si="9"/>
        <v>0.13919616589710365</v>
      </c>
      <c r="J9" s="66">
        <f t="shared" si="9"/>
        <v>8.3431314395984016E-2</v>
      </c>
      <c r="K9" s="66">
        <f t="shared" si="9"/>
        <v>8.0256306336789901E-2</v>
      </c>
      <c r="L9" s="66">
        <f t="shared" si="9"/>
        <v>7.4626823257994343E-2</v>
      </c>
      <c r="M9" s="66">
        <f t="shared" si="9"/>
        <v>-4.6202778883714206E-2</v>
      </c>
      <c r="N9" s="66">
        <f t="shared" si="9"/>
        <v>-5.7384248556545302E-2</v>
      </c>
      <c r="O9" s="66">
        <f t="shared" si="9"/>
        <v>-5.6787251885359165E-2</v>
      </c>
      <c r="P9" s="66">
        <f t="shared" si="9"/>
        <v>2.6529596975007553E-2</v>
      </c>
      <c r="Q9" s="66">
        <f t="shared" si="9"/>
        <v>9.5019793803104116E-2</v>
      </c>
      <c r="R9" s="66">
        <f t="shared" si="9"/>
        <v>0.12507131198722904</v>
      </c>
      <c r="S9" s="66">
        <f t="shared" si="9"/>
        <v>0.16115844568617999</v>
      </c>
      <c r="T9" s="66">
        <f t="shared" si="9"/>
        <v>0.21916754425181217</v>
      </c>
      <c r="U9" s="66">
        <f t="shared" si="9"/>
        <v>0.24220013935971763</v>
      </c>
      <c r="V9" s="66">
        <f t="shared" si="9"/>
        <v>0.24481101133259889</v>
      </c>
      <c r="W9" s="66">
        <f t="shared" si="9"/>
        <v>0.29212862880927054</v>
      </c>
      <c r="X9" s="66">
        <f t="shared" si="9"/>
        <v>0.36001336618661472</v>
      </c>
      <c r="Y9" s="66">
        <f t="shared" si="9"/>
        <v>0.13990850577824263</v>
      </c>
      <c r="Z9" s="66">
        <f t="shared" si="9"/>
        <v>0.12520668566354248</v>
      </c>
      <c r="AA9" s="66">
        <f t="shared" si="9"/>
        <v>9.101687590889436E-2</v>
      </c>
      <c r="AB9" s="66">
        <f t="shared" si="9"/>
        <v>5.1235816882861641E-2</v>
      </c>
      <c r="AC9" s="66">
        <f t="shared" si="9"/>
        <v>0.33272077301987352</v>
      </c>
      <c r="AD9" s="66">
        <f t="shared" si="9"/>
        <v>0.41704514390018388</v>
      </c>
      <c r="AE9" s="66">
        <f t="shared" si="9"/>
        <v>0.44333375328116403</v>
      </c>
      <c r="AF9" s="66">
        <f t="shared" si="9"/>
        <v>0.44618717734813829</v>
      </c>
      <c r="AG9" s="66">
        <f t="shared" si="9"/>
        <v>0.31713562700490988</v>
      </c>
      <c r="AH9" s="66">
        <f t="shared" si="9"/>
        <v>0.26633403462228372</v>
      </c>
      <c r="AI9" s="66">
        <f t="shared" si="9"/>
        <v>0.30284100670496256</v>
      </c>
      <c r="AJ9" s="66">
        <f t="shared" si="9"/>
        <v>0.32483423790549631</v>
      </c>
      <c r="AK9" s="66">
        <f t="shared" si="9"/>
        <v>0.32321706792771993</v>
      </c>
      <c r="AL9" s="66">
        <f t="shared" si="9"/>
        <v>0.22886654985261726</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184611624</v>
      </c>
      <c r="F10" s="27">
        <f>股权价值增加表!F8</f>
        <v>127131509</v>
      </c>
      <c r="G10" s="27">
        <f>股权价值增加表!G8</f>
        <v>79873142</v>
      </c>
      <c r="H10" s="27">
        <f>股权价值增加表!H8</f>
        <v>34112184</v>
      </c>
      <c r="I10" s="27">
        <f>股权价值增加表!I8</f>
        <v>118874479</v>
      </c>
      <c r="J10" s="27">
        <f>股权价值增加表!J8</f>
        <v>55745659</v>
      </c>
      <c r="K10" s="27">
        <f>股权价值增加表!K8</f>
        <v>34917968</v>
      </c>
      <c r="L10" s="27">
        <f>股权价值增加表!L8</f>
        <v>16921985</v>
      </c>
      <c r="M10" s="27">
        <f>股权价值增加表!M8</f>
        <v>75601000</v>
      </c>
      <c r="N10" s="27">
        <f>股权价值增加表!N8</f>
        <v>53640386</v>
      </c>
      <c r="O10" s="27">
        <f>股权价值增加表!O8</f>
        <v>35888520</v>
      </c>
      <c r="P10" s="27">
        <f>股权价值增加表!P8</f>
        <v>17123039</v>
      </c>
      <c r="Q10" s="27">
        <f>股权价值增加表!Q8</f>
        <v>71494637</v>
      </c>
      <c r="R10" s="27">
        <f>股权价值增加表!R8</f>
        <v>52845082</v>
      </c>
      <c r="S10" s="27">
        <f>股权价值增加表!S8</f>
        <v>36346655</v>
      </c>
      <c r="T10" s="27">
        <f>股权价值增加表!T8</f>
        <v>16650193</v>
      </c>
      <c r="U10" s="27">
        <f>股权价值增加表!U8</f>
        <v>66638406</v>
      </c>
      <c r="V10" s="27">
        <f>股权价值增加表!V8</f>
        <v>46405072</v>
      </c>
      <c r="W10" s="27">
        <f>股权价值增加表!W8</f>
        <v>30266978</v>
      </c>
      <c r="X10" s="27">
        <f>股权价值增加表!X8</f>
        <v>11969879</v>
      </c>
      <c r="Y10" s="27">
        <f>股权价值增加表!Y8</f>
        <v>59131232</v>
      </c>
      <c r="Z10" s="27">
        <f>股权价值增加表!Z8</f>
        <v>42564961</v>
      </c>
      <c r="AA10" s="27">
        <f>股权价值增加表!AA8</f>
        <v>27679796</v>
      </c>
      <c r="AB10" s="27">
        <f>股权价值增加表!AB8</f>
        <v>10785761</v>
      </c>
      <c r="AC10" s="27">
        <f>股权价值增加表!AC8</f>
        <v>44037393</v>
      </c>
      <c r="AD10" s="27">
        <f>股权价值增加表!AD8</f>
        <v>31059996</v>
      </c>
      <c r="AE10" s="27">
        <f>股权价值增加表!AE8</f>
        <v>19931706</v>
      </c>
      <c r="AF10" s="27">
        <f>股权价值增加表!AF8</f>
        <v>8494646</v>
      </c>
      <c r="AG10" s="27">
        <f>股权价值增加表!AG8</f>
        <v>31382046</v>
      </c>
      <c r="AH10" s="27">
        <f>股权价值增加表!AH8</f>
        <v>20823699</v>
      </c>
      <c r="AI10" s="27">
        <f>股权价值增加表!AI8</f>
        <v>12953612</v>
      </c>
      <c r="AJ10" s="27">
        <f>股权价值增加表!AJ8</f>
        <v>5570544</v>
      </c>
      <c r="AK10" s="27">
        <f>股权价值增加表!AK8</f>
        <v>25671908</v>
      </c>
      <c r="AL10" s="27">
        <f>股权价值增加表!AL8</f>
        <v>18895354</v>
      </c>
      <c r="AM10" s="27">
        <f>股权价值增加表!AM8</f>
        <v>11609707</v>
      </c>
      <c r="AN10" s="27">
        <f>股权价值增加表!AN8</f>
        <v>5095496</v>
      </c>
      <c r="AO10" s="27">
        <f>股权价值增加表!AO8</f>
        <v>19701337</v>
      </c>
      <c r="AP10" s="27">
        <f>股权价值增加表!AP8</f>
        <v>13198119</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1.614450808368072E-2</v>
      </c>
      <c r="F11" s="57">
        <f t="shared" ref="F11:BQ11" si="11">F10/F2</f>
        <v>1.6071791717307649E-2</v>
      </c>
      <c r="G11" s="57">
        <f t="shared" si="11"/>
        <v>1.6162184336481207E-2</v>
      </c>
      <c r="H11" s="57">
        <f t="shared" si="11"/>
        <v>1.401371659963929E-2</v>
      </c>
      <c r="I11" s="57">
        <f t="shared" si="11"/>
        <v>1.387756995824143E-2</v>
      </c>
      <c r="J11" s="57">
        <f t="shared" si="11"/>
        <v>8.9152043789433484E-3</v>
      </c>
      <c r="K11" s="57">
        <f t="shared" si="11"/>
        <v>8.5240355411303377E-3</v>
      </c>
      <c r="L11" s="57">
        <f t="shared" si="11"/>
        <v>8.4427227898131174E-3</v>
      </c>
      <c r="M11" s="57">
        <f t="shared" si="11"/>
        <v>9.7382054856914296E-3</v>
      </c>
      <c r="N11" s="57">
        <f t="shared" si="11"/>
        <v>9.218904701080128E-3</v>
      </c>
      <c r="O11" s="57">
        <f t="shared" si="11"/>
        <v>9.3566730788348547E-3</v>
      </c>
      <c r="P11" s="57">
        <f t="shared" si="11"/>
        <v>9.0471225498359731E-3</v>
      </c>
      <c r="Q11" s="57">
        <f t="shared" si="11"/>
        <v>8.9107419920748977E-3</v>
      </c>
      <c r="R11" s="57">
        <f t="shared" si="11"/>
        <v>8.8277035722432364E-3</v>
      </c>
      <c r="S11" s="57">
        <f t="shared" si="11"/>
        <v>9.1618710343876891E-3</v>
      </c>
      <c r="T11" s="57">
        <f t="shared" si="11"/>
        <v>8.5813029265372348E-3</v>
      </c>
      <c r="U11" s="57">
        <f t="shared" si="11"/>
        <v>9.7548902512504844E-3</v>
      </c>
      <c r="V11" s="57">
        <f t="shared" si="11"/>
        <v>9.4143692377467499E-3</v>
      </c>
      <c r="W11" s="57">
        <f t="shared" si="11"/>
        <v>9.5138665039849104E-3</v>
      </c>
      <c r="X11" s="57">
        <f t="shared" si="11"/>
        <v>8.1910810282031406E-3</v>
      </c>
      <c r="Y11" s="57">
        <f t="shared" si="11"/>
        <v>1.0047312259643186E-2</v>
      </c>
      <c r="Z11" s="57">
        <f t="shared" si="11"/>
        <v>9.7767129028013995E-3</v>
      </c>
      <c r="AA11" s="57">
        <f t="shared" si="11"/>
        <v>9.9726064029821895E-3</v>
      </c>
      <c r="AB11" s="57">
        <f t="shared" si="11"/>
        <v>8.7282135248589778E-3</v>
      </c>
      <c r="AC11" s="57">
        <f t="shared" si="11"/>
        <v>8.5545234660524584E-3</v>
      </c>
      <c r="AD11" s="57">
        <f t="shared" si="11"/>
        <v>8.5164608737938012E-3</v>
      </c>
      <c r="AE11" s="57">
        <f t="shared" si="11"/>
        <v>8.6230291958751051E-3</v>
      </c>
      <c r="AF11" s="57">
        <f t="shared" si="11"/>
        <v>7.8995988353305815E-3</v>
      </c>
      <c r="AG11" s="57">
        <f t="shared" si="11"/>
        <v>7.7940707151179641E-3</v>
      </c>
      <c r="AH11" s="57">
        <f t="shared" si="11"/>
        <v>7.311690968366558E-3</v>
      </c>
      <c r="AI11" s="57">
        <f t="shared" si="11"/>
        <v>7.2532514562412128E-3</v>
      </c>
      <c r="AJ11" s="57">
        <f t="shared" si="11"/>
        <v>6.8516879462714618E-3</v>
      </c>
      <c r="AK11" s="57">
        <f t="shared" si="11"/>
        <v>7.9088182081733949E-3</v>
      </c>
      <c r="AL11" s="57">
        <f t="shared" si="11"/>
        <v>8.0492247367982637E-3</v>
      </c>
      <c r="AM11" s="57">
        <f t="shared" si="11"/>
        <v>7.8892811139940639E-3</v>
      </c>
      <c r="AN11" s="57">
        <f t="shared" si="11"/>
        <v>7.735937425646584E-3</v>
      </c>
      <c r="AO11" s="57">
        <f t="shared" si="11"/>
        <v>7.515603300132432E-3</v>
      </c>
      <c r="AP11" s="57">
        <f t="shared" si="11"/>
        <v>6.5036940456921532E-3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3073854652</v>
      </c>
      <c r="F12" s="27">
        <f>股权价值增加表!F9</f>
        <v>1704336301</v>
      </c>
      <c r="G12" s="27">
        <f>股权价值增加表!G9</f>
        <v>862245688</v>
      </c>
      <c r="H12" s="27">
        <f>股权价值增加表!H9</f>
        <v>351912428</v>
      </c>
      <c r="I12" s="27">
        <f>股权价值增加表!I9</f>
        <v>1254482776</v>
      </c>
      <c r="J12" s="27">
        <f>股权价值增加表!J9</f>
        <v>848138326</v>
      </c>
      <c r="K12" s="27">
        <f>股权价值增加表!K9</f>
        <v>513674864</v>
      </c>
      <c r="L12" s="27">
        <f>股权价值增加表!L9</f>
        <v>240728870</v>
      </c>
      <c r="M12" s="27">
        <f>股权价值增加表!M9</f>
        <v>1027936868</v>
      </c>
      <c r="N12" s="27">
        <f>股权价值增加表!N9</f>
        <v>759799990</v>
      </c>
      <c r="O12" s="27">
        <f>股权价值增加表!O9</f>
        <v>475971194</v>
      </c>
      <c r="P12" s="27">
        <f>股权价值增加表!P9</f>
        <v>241650249</v>
      </c>
      <c r="Q12" s="27">
        <f>股权价值增加表!Q9</f>
        <v>1048872374</v>
      </c>
      <c r="R12" s="27">
        <f>股权价值增加表!R9</f>
        <v>792993951</v>
      </c>
      <c r="S12" s="27">
        <f>股权价值增加表!S9</f>
        <v>516766863</v>
      </c>
      <c r="T12" s="27">
        <f>股权价值增加表!T9</f>
        <v>248540691</v>
      </c>
      <c r="U12" s="27">
        <f>股权价值增加表!U9</f>
        <v>887038828</v>
      </c>
      <c r="V12" s="27">
        <f>股权价值增加表!V9</f>
        <v>626987603</v>
      </c>
      <c r="W12" s="27">
        <f>股权价值增加表!W9</f>
        <v>406716430</v>
      </c>
      <c r="X12" s="27">
        <f>股权价值增加表!X9</f>
        <v>191492781</v>
      </c>
      <c r="Y12" s="27">
        <f>股权价值增加表!Y9</f>
        <v>696745226</v>
      </c>
      <c r="Z12" s="27">
        <f>股权价值增加表!Z9</f>
        <v>528388630</v>
      </c>
      <c r="AA12" s="27">
        <f>股权价值增加表!AA9</f>
        <v>330655134</v>
      </c>
      <c r="AB12" s="27">
        <f>股权价值增加表!AB9</f>
        <v>154531032</v>
      </c>
      <c r="AC12" s="27">
        <f>股权价值增加表!AC9</f>
        <v>692364218</v>
      </c>
      <c r="AD12" s="27">
        <f>股权价值增加表!AD9</f>
        <v>520039681</v>
      </c>
      <c r="AE12" s="27">
        <f>股权价值增加表!AE9</f>
        <v>362503272</v>
      </c>
      <c r="AF12" s="27">
        <f>股权价值增加表!AF9</f>
        <v>184708227</v>
      </c>
      <c r="AG12" s="27">
        <f>股权价值增加表!AG9</f>
        <v>592443804</v>
      </c>
      <c r="AH12" s="27">
        <f>股权价值增加表!AH9</f>
        <v>438005584</v>
      </c>
      <c r="AI12" s="27">
        <f>股权价值增加表!AI9</f>
        <v>277373928</v>
      </c>
      <c r="AJ12" s="27">
        <f>股权价值增加表!AJ9</f>
        <v>133201394</v>
      </c>
      <c r="AK12" s="27">
        <f>股权价值增加表!AK9</f>
        <v>500889281</v>
      </c>
      <c r="AL12" s="27">
        <f>股权价值增加表!AL9</f>
        <v>377616264</v>
      </c>
      <c r="AM12" s="27">
        <f>股权价值增加表!AM9</f>
        <v>227561911</v>
      </c>
      <c r="AN12" s="27">
        <f>股权价值增加表!AN9</f>
        <v>100813043</v>
      </c>
      <c r="AO12" s="27">
        <f>股权价值增加表!AO9</f>
        <v>394463783</v>
      </c>
      <c r="AP12" s="27">
        <f>股权价值增加表!AP9</f>
        <v>311085363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0.26881227845801081</v>
      </c>
      <c r="F13" s="57">
        <f t="shared" ref="F13:BQ13" si="13">F12/F2</f>
        <v>0.21545986719876467</v>
      </c>
      <c r="G13" s="57">
        <f t="shared" si="13"/>
        <v>0.17447383943894507</v>
      </c>
      <c r="H13" s="57">
        <f t="shared" si="13"/>
        <v>0.14457007601398275</v>
      </c>
      <c r="I13" s="57">
        <f t="shared" si="13"/>
        <v>0.14645004236232162</v>
      </c>
      <c r="J13" s="57">
        <f t="shared" si="13"/>
        <v>0.13563973686103312</v>
      </c>
      <c r="K13" s="57">
        <f t="shared" si="13"/>
        <v>0.12539626582283633</v>
      </c>
      <c r="L13" s="57">
        <f t="shared" si="13"/>
        <v>0.12010453365340763</v>
      </c>
      <c r="M13" s="57">
        <f t="shared" si="13"/>
        <v>0.13240910102911424</v>
      </c>
      <c r="N13" s="57">
        <f t="shared" si="13"/>
        <v>0.13058302189867974</v>
      </c>
      <c r="O13" s="57">
        <f t="shared" si="13"/>
        <v>0.12409279784178009</v>
      </c>
      <c r="P13" s="57">
        <f t="shared" si="13"/>
        <v>0.12767823614145699</v>
      </c>
      <c r="Q13" s="57">
        <f t="shared" si="13"/>
        <v>0.13072632437212159</v>
      </c>
      <c r="R13" s="57">
        <f t="shared" si="13"/>
        <v>0.13246862847161403</v>
      </c>
      <c r="S13" s="57">
        <f t="shared" si="13"/>
        <v>0.13026099248063105</v>
      </c>
      <c r="T13" s="57">
        <f t="shared" si="13"/>
        <v>0.12809478899385049</v>
      </c>
      <c r="U13" s="57">
        <f t="shared" si="13"/>
        <v>0.12984954075488925</v>
      </c>
      <c r="V13" s="57">
        <f t="shared" si="13"/>
        <v>0.12719930274285043</v>
      </c>
      <c r="W13" s="57">
        <f t="shared" si="13"/>
        <v>0.12784381116599497</v>
      </c>
      <c r="X13" s="57">
        <f t="shared" si="13"/>
        <v>0.13103999509827619</v>
      </c>
      <c r="Y13" s="57">
        <f t="shared" si="13"/>
        <v>0.11838780648165191</v>
      </c>
      <c r="Z13" s="57">
        <f t="shared" si="13"/>
        <v>0.12136517490558854</v>
      </c>
      <c r="AA13" s="57">
        <f t="shared" si="13"/>
        <v>0.11912997864967406</v>
      </c>
      <c r="AB13" s="57">
        <f t="shared" si="13"/>
        <v>0.12505189420689142</v>
      </c>
      <c r="AC13" s="57">
        <f t="shared" si="13"/>
        <v>0.13449583516299568</v>
      </c>
      <c r="AD13" s="57">
        <f t="shared" si="13"/>
        <v>0.14259169885458808</v>
      </c>
      <c r="AE13" s="57">
        <f t="shared" si="13"/>
        <v>0.15682934005028243</v>
      </c>
      <c r="AF13" s="57">
        <f t="shared" si="13"/>
        <v>0.17176947631310083</v>
      </c>
      <c r="AG13" s="57">
        <f t="shared" si="13"/>
        <v>0.14713982966915182</v>
      </c>
      <c r="AH13" s="57">
        <f t="shared" si="13"/>
        <v>0.15379407244730725</v>
      </c>
      <c r="AI13" s="57">
        <f t="shared" si="13"/>
        <v>0.15531288471426699</v>
      </c>
      <c r="AJ13" s="57">
        <f t="shared" si="13"/>
        <v>0.16383577361499269</v>
      </c>
      <c r="AK13" s="57">
        <f t="shared" si="13"/>
        <v>0.15431039507666044</v>
      </c>
      <c r="AL13" s="57">
        <f t="shared" si="13"/>
        <v>0.16086061013761074</v>
      </c>
      <c r="AM13" s="57">
        <f t="shared" si="13"/>
        <v>0.15463782907843393</v>
      </c>
      <c r="AN13" s="57">
        <f t="shared" si="13"/>
        <v>0.15305347945264178</v>
      </c>
      <c r="AO13" s="57">
        <f t="shared" si="13"/>
        <v>0.15047878777453141</v>
      </c>
      <c r="AP13" s="57">
        <f t="shared" si="13"/>
        <v>0.15329487656878091</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1450093310</v>
      </c>
      <c r="F14" s="26">
        <f>股权价值增加表!F10</f>
        <v>980169095</v>
      </c>
      <c r="G14" s="26">
        <f>股权价值增加表!G10</f>
        <v>643354788</v>
      </c>
      <c r="H14" s="26">
        <f>股权价值增加表!H10</f>
        <v>345089547</v>
      </c>
      <c r="I14" s="26">
        <f>股权价值增加表!I10</f>
        <v>1251982426</v>
      </c>
      <c r="J14" s="26">
        <f>股权价值增加表!J10</f>
        <v>864495345</v>
      </c>
      <c r="K14" s="26">
        <f>股权价值增加表!K10</f>
        <v>560890132</v>
      </c>
      <c r="L14" s="26">
        <f>股权价值增加表!L10</f>
        <v>279073543</v>
      </c>
      <c r="M14" s="26">
        <f>股权价值增加表!M10</f>
        <v>1061016496</v>
      </c>
      <c r="N14" s="26">
        <f>股权价值增加表!N10</f>
        <v>744383996</v>
      </c>
      <c r="O14" s="26">
        <f>股权价值增加表!O10</f>
        <v>475305428</v>
      </c>
      <c r="P14" s="26">
        <f>股权价值增加表!P10</f>
        <v>219814062</v>
      </c>
      <c r="Q14" s="26">
        <f>股权价值增加表!Q10</f>
        <v>855345809</v>
      </c>
      <c r="R14" s="26">
        <f>股权价值增加表!R10</f>
        <v>615676147</v>
      </c>
      <c r="S14" s="26">
        <f>股权价值增加表!S10</f>
        <v>407805250</v>
      </c>
      <c r="T14" s="26">
        <f>股权价值增加表!T10</f>
        <v>196061666</v>
      </c>
      <c r="U14" s="26">
        <f>股权价值增加表!U10</f>
        <v>695188446</v>
      </c>
      <c r="V14" s="26">
        <f>股权价值增加表!V10</f>
        <v>526659832</v>
      </c>
      <c r="W14" s="26">
        <f>股权价值增加表!W10</f>
        <v>338093787</v>
      </c>
      <c r="X14" s="26">
        <f>股权价值增加表!X10</f>
        <v>163756845</v>
      </c>
      <c r="Y14" s="26">
        <f>股权价值增加表!Y10</f>
        <v>518868813</v>
      </c>
      <c r="Z14" s="26">
        <f>股权价值增加表!Z10</f>
        <v>366707315</v>
      </c>
      <c r="AA14" s="26">
        <f>股权价值增加表!AA10</f>
        <v>228966029</v>
      </c>
      <c r="AB14" s="26">
        <f>股权价值增加表!AB10</f>
        <v>102201560</v>
      </c>
      <c r="AC14" s="26">
        <f>股权价值增加表!AC10</f>
        <v>392151251</v>
      </c>
      <c r="AD14" s="26">
        <f>股权价值增加表!AD10</f>
        <v>282033365</v>
      </c>
      <c r="AE14" s="26">
        <f>股权价值增加表!AE10</f>
        <v>173614225</v>
      </c>
      <c r="AF14" s="26">
        <f>股权价值增加表!AF10</f>
        <v>75472141</v>
      </c>
      <c r="AG14" s="26">
        <f>股权价值增加表!AG10</f>
        <v>262997850</v>
      </c>
      <c r="AH14" s="26">
        <f>股权价值增加表!AH10</f>
        <v>157181660</v>
      </c>
      <c r="AI14" s="26">
        <f>股权价值增加表!AI10</f>
        <v>97136759</v>
      </c>
      <c r="AJ14" s="26">
        <f>股权价值增加表!AJ10</f>
        <v>44684349</v>
      </c>
      <c r="AK14" s="26">
        <f>股权价值增加表!AK10</f>
        <v>172115313</v>
      </c>
      <c r="AL14" s="26">
        <f>股权价值增加表!AL10</f>
        <v>114706020</v>
      </c>
      <c r="AM14" s="26">
        <f>股权价值增加表!AM10</f>
        <v>71987965</v>
      </c>
      <c r="AN14" s="26">
        <f>股权价值增加表!AN10</f>
        <v>32633264</v>
      </c>
      <c r="AO14" s="26">
        <f>股权价值增加表!AO10</f>
        <v>130631648</v>
      </c>
      <c r="AP14" s="26">
        <f>股权价值增加表!AP10</f>
        <v>122377308</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0.12681240031443705</v>
      </c>
      <c r="F15" s="57">
        <f t="shared" ref="F15:BQ15" si="15">F14/F2</f>
        <v>0.12391163816502747</v>
      </c>
      <c r="G15" s="57">
        <f t="shared" si="15"/>
        <v>0.13018166578965665</v>
      </c>
      <c r="H15" s="57">
        <f t="shared" si="15"/>
        <v>0.14176715021107716</v>
      </c>
      <c r="I15" s="57">
        <f t="shared" si="15"/>
        <v>0.14615814806897134</v>
      </c>
      <c r="J15" s="57">
        <f t="shared" si="15"/>
        <v>0.13825565655830063</v>
      </c>
      <c r="K15" s="57">
        <f t="shared" si="15"/>
        <v>0.13692226935534413</v>
      </c>
      <c r="L15" s="57">
        <f t="shared" si="15"/>
        <v>0.13923547157854063</v>
      </c>
      <c r="M15" s="57">
        <f t="shared" si="15"/>
        <v>0.13667010570966387</v>
      </c>
      <c r="N15" s="57">
        <f t="shared" si="15"/>
        <v>0.12793355215850258</v>
      </c>
      <c r="O15" s="57">
        <f t="shared" si="15"/>
        <v>0.12391922270385289</v>
      </c>
      <c r="P15" s="57">
        <f t="shared" si="15"/>
        <v>0.11614087645839284</v>
      </c>
      <c r="Q15" s="57">
        <f t="shared" si="15"/>
        <v>0.10660611953315567</v>
      </c>
      <c r="R15" s="57">
        <f t="shared" si="15"/>
        <v>0.102847915388169</v>
      </c>
      <c r="S15" s="57">
        <f t="shared" si="15"/>
        <v>0.10279512950080909</v>
      </c>
      <c r="T15" s="57">
        <f t="shared" si="15"/>
        <v>0.10104775051121424</v>
      </c>
      <c r="U15" s="57">
        <f t="shared" si="15"/>
        <v>0.10176544430950786</v>
      </c>
      <c r="V15" s="57">
        <f t="shared" si="15"/>
        <v>0.10684543536830785</v>
      </c>
      <c r="W15" s="57">
        <f t="shared" si="15"/>
        <v>0.10627354853017401</v>
      </c>
      <c r="X15" s="57">
        <f t="shared" si="15"/>
        <v>0.1120600789964462</v>
      </c>
      <c r="Y15" s="57">
        <f t="shared" si="15"/>
        <v>8.8163848607135539E-2</v>
      </c>
      <c r="Z15" s="57">
        <f t="shared" si="15"/>
        <v>8.4228718971741973E-2</v>
      </c>
      <c r="AA15" s="57">
        <f t="shared" si="15"/>
        <v>8.2492952147147525E-2</v>
      </c>
      <c r="AB15" s="57">
        <f t="shared" si="15"/>
        <v>8.2705062559209896E-2</v>
      </c>
      <c r="AC15" s="57">
        <f t="shared" si="15"/>
        <v>7.6177694690540088E-2</v>
      </c>
      <c r="AD15" s="57">
        <f t="shared" si="15"/>
        <v>7.7331823163367647E-2</v>
      </c>
      <c r="AE15" s="57">
        <f t="shared" si="15"/>
        <v>7.5110506395901569E-2</v>
      </c>
      <c r="AF15" s="57">
        <f t="shared" si="15"/>
        <v>7.0185342290132555E-2</v>
      </c>
      <c r="AG15" s="57">
        <f t="shared" si="15"/>
        <v>6.5318361996664812E-2</v>
      </c>
      <c r="AH15" s="57">
        <f t="shared" si="15"/>
        <v>5.5190181332090089E-2</v>
      </c>
      <c r="AI15" s="57">
        <f t="shared" si="15"/>
        <v>5.4390801474623579E-2</v>
      </c>
      <c r="AJ15" s="57">
        <f t="shared" si="15"/>
        <v>5.4961098131580552E-2</v>
      </c>
      <c r="AK15" s="57">
        <f t="shared" si="15"/>
        <v>5.3024057322107229E-2</v>
      </c>
      <c r="AL15" s="57">
        <f t="shared" si="15"/>
        <v>4.8863574275648733E-2</v>
      </c>
      <c r="AM15" s="57">
        <f t="shared" si="15"/>
        <v>4.8918830829181616E-2</v>
      </c>
      <c r="AN15" s="57">
        <f t="shared" si="15"/>
        <v>4.9543535761504935E-2</v>
      </c>
      <c r="AO15" s="57">
        <f t="shared" si="15"/>
        <v>4.9832945084414229E-2</v>
      </c>
      <c r="AP15" s="57">
        <f t="shared" si="15"/>
        <v>6.0304394085811376E-2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306371225</v>
      </c>
      <c r="F16" s="26">
        <f>股权价值增加表!F11</f>
        <v>73881907</v>
      </c>
      <c r="G16" s="26">
        <f>股权价值增加表!G11</f>
        <v>51310092</v>
      </c>
      <c r="H16" s="26">
        <f>股权价值增加表!H11</f>
        <v>563381</v>
      </c>
      <c r="I16" s="26">
        <f>股权价值增加表!I11</f>
        <v>140914753</v>
      </c>
      <c r="J16" s="26">
        <f>股权价值增加表!J11</f>
        <v>52524689</v>
      </c>
      <c r="K16" s="26">
        <f>股权价值增加表!K11</f>
        <v>35069524</v>
      </c>
      <c r="L16" s="26">
        <f>股权价值增加表!L11</f>
        <v>-260913</v>
      </c>
      <c r="M16" s="26">
        <f>股权价值增加表!M11</f>
        <v>87149089</v>
      </c>
      <c r="N16" s="26">
        <f>股权价值增加表!N11</f>
        <v>24546297</v>
      </c>
      <c r="O16" s="26">
        <f>股权价值增加表!O11</f>
        <v>24296915</v>
      </c>
      <c r="P16" s="26">
        <f>股权价值增加表!P11</f>
        <v>-855799</v>
      </c>
      <c r="Q16" s="26">
        <f>股权价值增加表!Q11</f>
        <v>153162683</v>
      </c>
      <c r="R16" s="26">
        <f>股权价值增加表!R11</f>
        <v>2186669</v>
      </c>
      <c r="S16" s="26">
        <f>股权价值增加表!S11</f>
        <v>2324988</v>
      </c>
      <c r="T16" s="26">
        <f>股权价值增加表!T11</f>
        <v>5310</v>
      </c>
      <c r="U16" s="26">
        <f>股权价值增加表!U11</f>
        <v>160109856</v>
      </c>
      <c r="V16" s="26">
        <f>股权价值增加表!V11</f>
        <v>2749011</v>
      </c>
      <c r="W16" s="26">
        <f>股权价值增加表!W11</f>
        <v>1940776</v>
      </c>
      <c r="X16" s="26">
        <f>股权价值增加表!X11</f>
        <v>-85227</v>
      </c>
      <c r="Y16" s="26">
        <f>股权价值增加表!Y11</f>
        <v>10936196</v>
      </c>
      <c r="Z16" s="26">
        <f>股权价值增加表!Z11</f>
        <v>1408314</v>
      </c>
      <c r="AA16" s="26">
        <f>股权价值增加表!AA11</f>
        <v>1408314</v>
      </c>
      <c r="AB16" s="26">
        <f>股权价值增加表!AB11</f>
        <v>0</v>
      </c>
      <c r="AC16" s="26">
        <f>股权价值增加表!AC11</f>
        <v>3563206</v>
      </c>
      <c r="AD16" s="26">
        <f>股权价值增加表!AD11</f>
        <v>2049721</v>
      </c>
      <c r="AE16" s="26">
        <f>股权价值增加表!AE11</f>
        <v>2043528</v>
      </c>
      <c r="AF16" s="26">
        <f>股权价值增加表!AF11</f>
        <v>0</v>
      </c>
      <c r="AG16" s="26">
        <f>股权价值增加表!AG11</f>
        <v>3875863</v>
      </c>
      <c r="AH16" s="26">
        <f>股权价值增加表!AH11</f>
        <v>1889255</v>
      </c>
      <c r="AI16" s="26">
        <f>股权价值增加表!AI11</f>
        <v>2376264</v>
      </c>
      <c r="AJ16" s="26">
        <f>股权价值增加表!AJ11</f>
        <v>0</v>
      </c>
      <c r="AK16" s="26">
        <f>股权价值增加表!AK11</f>
        <v>4622250</v>
      </c>
      <c r="AL16" s="26">
        <f>股权价值增加表!AL11</f>
        <v>3308266</v>
      </c>
      <c r="AM16" s="26">
        <f>股权价值增加表!AM11</f>
        <v>3169297</v>
      </c>
      <c r="AN16" s="26">
        <f>股权价值增加表!AN11</f>
        <v>0</v>
      </c>
      <c r="AO16" s="26">
        <f>股权价值增加表!AO11</f>
        <v>3505355</v>
      </c>
      <c r="AP16" s="26">
        <f>股权价值增加表!AP11</f>
        <v>7966777</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2.6792531323052905E-2</v>
      </c>
      <c r="F17" s="57">
        <f t="shared" ref="F17:BQ17" si="17">F16/F2</f>
        <v>9.3400497667458192E-3</v>
      </c>
      <c r="G17" s="57">
        <f t="shared" si="17"/>
        <v>1.0382503360463891E-2</v>
      </c>
      <c r="H17" s="57">
        <f t="shared" si="17"/>
        <v>2.3144403980763538E-4</v>
      </c>
      <c r="I17" s="57">
        <f t="shared" si="17"/>
        <v>1.6450581818371723E-2</v>
      </c>
      <c r="J17" s="57">
        <f t="shared" si="17"/>
        <v>8.4000861372082371E-3</v>
      </c>
      <c r="K17" s="57">
        <f t="shared" si="17"/>
        <v>8.5610327893800523E-3</v>
      </c>
      <c r="L17" s="57">
        <f t="shared" si="17"/>
        <v>-1.3017480698975385E-4</v>
      </c>
      <c r="M17" s="57">
        <f t="shared" si="17"/>
        <v>1.1225721043012799E-2</v>
      </c>
      <c r="N17" s="57">
        <f t="shared" si="17"/>
        <v>4.2186492246235703E-3</v>
      </c>
      <c r="O17" s="57">
        <f t="shared" si="17"/>
        <v>6.3345685606215792E-3</v>
      </c>
      <c r="P17" s="57">
        <f t="shared" si="17"/>
        <v>-4.5216964296040414E-4</v>
      </c>
      <c r="Q17" s="57">
        <f t="shared" si="17"/>
        <v>1.9089447940367276E-2</v>
      </c>
      <c r="R17" s="57">
        <f t="shared" si="17"/>
        <v>3.6528026851417406E-4</v>
      </c>
      <c r="S17" s="57">
        <f t="shared" si="17"/>
        <v>5.8605778750476394E-4</v>
      </c>
      <c r="T17" s="57">
        <f t="shared" si="17"/>
        <v>2.7367081294440682E-6</v>
      </c>
      <c r="U17" s="57">
        <f t="shared" si="17"/>
        <v>2.3437746596512512E-2</v>
      </c>
      <c r="V17" s="57">
        <f t="shared" si="17"/>
        <v>5.5770206740822276E-4</v>
      </c>
      <c r="W17" s="57">
        <f t="shared" si="17"/>
        <v>6.1004715363845771E-4</v>
      </c>
      <c r="X17" s="57">
        <f t="shared" si="17"/>
        <v>-5.832149705027671E-5</v>
      </c>
      <c r="Y17" s="57">
        <f t="shared" si="17"/>
        <v>1.8582291020870457E-3</v>
      </c>
      <c r="Z17" s="57">
        <f t="shared" si="17"/>
        <v>3.2347455116887928E-4</v>
      </c>
      <c r="AA17" s="57">
        <f t="shared" si="17"/>
        <v>5.073939567260343E-4</v>
      </c>
      <c r="AB17" s="57">
        <f t="shared" si="17"/>
        <v>0</v>
      </c>
      <c r="AC17" s="57">
        <f t="shared" si="17"/>
        <v>6.9217379288049393E-4</v>
      </c>
      <c r="AD17" s="57">
        <f t="shared" si="17"/>
        <v>5.6202095771981121E-4</v>
      </c>
      <c r="AE17" s="57">
        <f t="shared" si="17"/>
        <v>8.8408897896588795E-4</v>
      </c>
      <c r="AF17" s="57">
        <f t="shared" si="17"/>
        <v>0</v>
      </c>
      <c r="AG17" s="57">
        <f t="shared" si="17"/>
        <v>9.6261251749198433E-4</v>
      </c>
      <c r="AH17" s="57">
        <f t="shared" si="17"/>
        <v>6.6336190896926434E-4</v>
      </c>
      <c r="AI17" s="57">
        <f t="shared" si="17"/>
        <v>1.3305663561957522E-3</v>
      </c>
      <c r="AJ17" s="57">
        <f t="shared" si="17"/>
        <v>0</v>
      </c>
      <c r="AK17" s="57">
        <f t="shared" si="17"/>
        <v>1.4239897931517002E-3</v>
      </c>
      <c r="AL17" s="57">
        <f t="shared" si="17"/>
        <v>1.4092869878547206E-3</v>
      </c>
      <c r="AM17" s="57">
        <f t="shared" si="17"/>
        <v>2.1536697667510511E-3</v>
      </c>
      <c r="AN17" s="57">
        <f t="shared" si="17"/>
        <v>0</v>
      </c>
      <c r="AO17" s="57">
        <f t="shared" si="17"/>
        <v>1.3372116626468407E-3</v>
      </c>
      <c r="AP17" s="57">
        <f t="shared" si="17"/>
        <v>3.9258230766260858E-3</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20304304</v>
      </c>
      <c r="F18" s="26">
        <f>股权价值增加表!F12</f>
        <v>1204</v>
      </c>
      <c r="G18" s="26">
        <f>股权价值增加表!G12</f>
        <v>868</v>
      </c>
      <c r="H18" s="26">
        <f>股权价值增加表!H12</f>
        <v>644</v>
      </c>
      <c r="I18" s="26">
        <f>股权价值增加表!I12</f>
        <v>22292062</v>
      </c>
      <c r="J18" s="26">
        <f>股权价值增加表!J12</f>
        <v>0</v>
      </c>
      <c r="K18" s="26">
        <f>股权价值增加表!K12</f>
        <v>0</v>
      </c>
      <c r="L18" s="26">
        <f>股权价值增加表!L12</f>
        <v>0</v>
      </c>
      <c r="M18" s="26">
        <f>股权价值增加表!M12</f>
        <v>16245727</v>
      </c>
      <c r="N18" s="26">
        <f>股权价值增加表!N12</f>
        <v>0</v>
      </c>
      <c r="O18" s="26">
        <f>股权价值增加表!O12</f>
        <v>0</v>
      </c>
      <c r="P18" s="26">
        <f>股权价值增加表!P12</f>
        <v>0</v>
      </c>
      <c r="Q18" s="26">
        <f>股权价值增加表!Q12</f>
        <v>13308094</v>
      </c>
      <c r="R18" s="26">
        <f>股权价值增加表!R12</f>
        <v>0</v>
      </c>
      <c r="S18" s="26">
        <f>股权价值增加表!S12</f>
        <v>0</v>
      </c>
      <c r="T18" s="26">
        <f>股权价值增加表!T12</f>
        <v>0</v>
      </c>
      <c r="U18" s="26">
        <f>股权价值增加表!U12</f>
        <v>15196011</v>
      </c>
      <c r="V18" s="26">
        <f>股权价值增加表!V12</f>
        <v>0</v>
      </c>
      <c r="W18" s="26">
        <f>股权价值增加表!W12</f>
        <v>0</v>
      </c>
      <c r="X18" s="26">
        <f>股权价值增加表!X12</f>
        <v>0</v>
      </c>
      <c r="Y18" s="26">
        <f>股权价值增加表!Y12</f>
        <v>6749000</v>
      </c>
      <c r="Z18" s="26">
        <f>股权价值增加表!Z12</f>
        <v>0</v>
      </c>
      <c r="AA18" s="26">
        <f>股权价值增加表!AA12</f>
        <v>0</v>
      </c>
      <c r="AB18" s="26">
        <f>股权价值增加表!AB12</f>
        <v>0</v>
      </c>
      <c r="AC18" s="26">
        <f>股权价值增加表!AC12</f>
        <v>2316930</v>
      </c>
      <c r="AD18" s="26">
        <f>股权价值增加表!AD12</f>
        <v>0</v>
      </c>
      <c r="AE18" s="26">
        <f>股权价值增加表!AE12</f>
        <v>0</v>
      </c>
      <c r="AF18" s="26">
        <f>股权价值增加表!AF12</f>
        <v>0</v>
      </c>
      <c r="AG18" s="26">
        <f>股权价值增加表!AG12</f>
        <v>2146223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1.775635753366813E-3</v>
      </c>
      <c r="F19" s="57">
        <f t="shared" ref="F19:BQ19" si="19">F18/F2</f>
        <v>1.5220803544177557E-7</v>
      </c>
      <c r="G19" s="57">
        <f t="shared" si="19"/>
        <v>1.7563821395764908E-7</v>
      </c>
      <c r="H19" s="57">
        <f t="shared" si="19"/>
        <v>2.6456334458584366E-7</v>
      </c>
      <c r="I19" s="57">
        <f t="shared" si="19"/>
        <v>2.6024059370931534E-3</v>
      </c>
      <c r="J19" s="57">
        <f t="shared" si="19"/>
        <v>0</v>
      </c>
      <c r="K19" s="57">
        <f t="shared" si="19"/>
        <v>0</v>
      </c>
      <c r="L19" s="57">
        <f t="shared" si="19"/>
        <v>0</v>
      </c>
      <c r="M19" s="57">
        <f t="shared" si="19"/>
        <v>2.0926208355768489E-3</v>
      </c>
      <c r="N19" s="57">
        <f t="shared" si="19"/>
        <v>0</v>
      </c>
      <c r="O19" s="57">
        <f t="shared" si="19"/>
        <v>0</v>
      </c>
      <c r="P19" s="57">
        <f t="shared" si="19"/>
        <v>0</v>
      </c>
      <c r="Q19" s="57">
        <f t="shared" si="19"/>
        <v>1.6586557679883036E-3</v>
      </c>
      <c r="R19" s="57">
        <f t="shared" si="19"/>
        <v>0</v>
      </c>
      <c r="S19" s="57">
        <f t="shared" si="19"/>
        <v>0</v>
      </c>
      <c r="T19" s="57">
        <f t="shared" si="19"/>
        <v>0</v>
      </c>
      <c r="U19" s="57">
        <f t="shared" si="19"/>
        <v>2.2244742703148562E-3</v>
      </c>
      <c r="V19" s="57">
        <f t="shared" si="19"/>
        <v>0</v>
      </c>
      <c r="W19" s="57">
        <f t="shared" si="19"/>
        <v>0</v>
      </c>
      <c r="X19" s="57">
        <f t="shared" si="19"/>
        <v>0</v>
      </c>
      <c r="Y19" s="57">
        <f t="shared" si="19"/>
        <v>1.146759642016792E-3</v>
      </c>
      <c r="Z19" s="57">
        <f t="shared" si="19"/>
        <v>0</v>
      </c>
      <c r="AA19" s="57">
        <f t="shared" si="19"/>
        <v>0</v>
      </c>
      <c r="AB19" s="57">
        <f t="shared" si="19"/>
        <v>0</v>
      </c>
      <c r="AC19" s="57">
        <f t="shared" si="19"/>
        <v>4.5007732529037131E-4</v>
      </c>
      <c r="AD19" s="57">
        <f t="shared" si="19"/>
        <v>0</v>
      </c>
      <c r="AE19" s="57">
        <f t="shared" si="19"/>
        <v>0</v>
      </c>
      <c r="AF19" s="57">
        <f t="shared" si="19"/>
        <v>0</v>
      </c>
      <c r="AG19" s="57">
        <f t="shared" si="19"/>
        <v>5.3303770673246171E-4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-15556435</v>
      </c>
      <c r="F20" s="26">
        <f>股权价值增加表!F13-股权价值增加表!F14</f>
        <v>-18302452</v>
      </c>
      <c r="G20" s="26">
        <f>股权价值增加表!G13-股权价值增加表!G14</f>
        <v>-10014309</v>
      </c>
      <c r="H20" s="26">
        <f>股权价值增加表!H13-股权价值增加表!H14</f>
        <v>13087110</v>
      </c>
      <c r="I20" s="26">
        <f>股权价值增加表!I13-股权价值增加表!I14</f>
        <v>48368519</v>
      </c>
      <c r="J20" s="26">
        <f>股权价值增加表!J13-股权价值增加表!J14</f>
        <v>59890771</v>
      </c>
      <c r="K20" s="26">
        <f>股权价值增加表!K13-股权价值增加表!K14</f>
        <v>33577859</v>
      </c>
      <c r="L20" s="26">
        <f>股权价值增加表!L13-股权价值增加表!L14</f>
        <v>19386946</v>
      </c>
      <c r="M20" s="26">
        <f>股权价值增加表!M13-股权价值增加表!M14</f>
        <v>107313185</v>
      </c>
      <c r="N20" s="26">
        <f>股权价值增加表!N13-股权价值增加表!N14</f>
        <v>80661473</v>
      </c>
      <c r="O20" s="26">
        <f>股权价值增加表!O13-股权价值增加表!O14</f>
        <v>35066407</v>
      </c>
      <c r="P20" s="26">
        <f>股权价值增加表!P13-股权价值增加表!P14</f>
        <v>9627478</v>
      </c>
      <c r="Q20" s="26">
        <f>股权价值增加表!Q13-股权价值增加表!Q14</f>
        <v>59956407</v>
      </c>
      <c r="R20" s="26">
        <f>股权价值增加表!R13-股权价值增加表!R14</f>
        <v>43840055</v>
      </c>
      <c r="S20" s="26">
        <f>股权价值增加表!S13-股权价值增加表!S14</f>
        <v>21302038</v>
      </c>
      <c r="T20" s="26">
        <f>股权价值增加表!T13-股权价值增加表!T14</f>
        <v>10204214</v>
      </c>
      <c r="U20" s="26">
        <f>股权价值增加表!U13-股权价值增加表!U14</f>
        <v>133970650</v>
      </c>
      <c r="V20" s="26">
        <f>股权价值增加表!V13-股权价值增加表!V14</f>
        <v>47459288</v>
      </c>
      <c r="W20" s="26">
        <f>股权价值增加表!W13-股权价值增加表!W14</f>
        <v>32284051</v>
      </c>
      <c r="X20" s="26">
        <f>股权价值增加表!X13-股权价值增加表!X14</f>
        <v>19444826</v>
      </c>
      <c r="Y20" s="26">
        <f>股权价值增加表!Y13-股权价值增加表!Y14</f>
        <v>133703375</v>
      </c>
      <c r="Z20" s="26">
        <f>股权价值增加表!Z13-股权价值增加表!Z14</f>
        <v>69425435</v>
      </c>
      <c r="AA20" s="26">
        <f>股权价值增加表!AA13-股权价值增加表!AA14</f>
        <v>40755741</v>
      </c>
      <c r="AB20" s="26">
        <f>股权价值增加表!AB13-股权价值增加表!AB14</f>
        <v>24314695</v>
      </c>
      <c r="AC20" s="26">
        <f>股权价值增加表!AC13-股权价值增加表!AC14</f>
        <v>57816059</v>
      </c>
      <c r="AD20" s="26">
        <f>股权价值增加表!AD13-股权价值增加表!AD14</f>
        <v>27849837</v>
      </c>
      <c r="AE20" s="26">
        <f>股权价值增加表!AE13-股权价值增加表!AE14</f>
        <v>17224344</v>
      </c>
      <c r="AF20" s="26">
        <f>股权价值增加表!AF13-股权价值增加表!AF14</f>
        <v>1557740</v>
      </c>
      <c r="AG20" s="26">
        <f>股权价值增加表!AG13-股权价值增加表!AG14</f>
        <v>20688404</v>
      </c>
      <c r="AH20" s="26">
        <f>股权价值增加表!AH13-股权价值增加表!AH14</f>
        <v>22573691</v>
      </c>
      <c r="AI20" s="26">
        <f>股权价值增加表!AI13-股权价值增加表!AI14</f>
        <v>12261102</v>
      </c>
      <c r="AJ20" s="26">
        <f>股权价值增加表!AJ13-股权价值增加表!AJ14</f>
        <v>2368649</v>
      </c>
      <c r="AK20" s="26">
        <f>股权价值增加表!AK13-股权价值增加表!AK14</f>
        <v>16360254</v>
      </c>
      <c r="AL20" s="26">
        <f>股权价值增加表!AL13-股权价值增加表!AL14</f>
        <v>39136</v>
      </c>
      <c r="AM20" s="26">
        <f>股权价值增加表!AM13-股权价值增加表!AM14</f>
        <v>-1228554</v>
      </c>
      <c r="AN20" s="26">
        <f>股权价值增加表!AN13-股权价值增加表!AN14</f>
        <v>740929</v>
      </c>
      <c r="AO20" s="26">
        <f>股权价值增加表!AO13-股权价值增加表!AO14</f>
        <v>-1595041</v>
      </c>
      <c r="AP20" s="26">
        <f>股权价值增加表!AP13-股权价值增加表!AP14</f>
        <v>9679184</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-1.3604289110785012E-3</v>
      </c>
      <c r="F21" s="57">
        <f t="shared" ref="F21:BQ21" si="21">F20/F2</f>
        <v>-2.3137709822985018E-3</v>
      </c>
      <c r="G21" s="57">
        <f t="shared" si="21"/>
        <v>-2.0263771276267406E-3</v>
      </c>
      <c r="H21" s="57">
        <f t="shared" si="21"/>
        <v>5.376350299010622E-3</v>
      </c>
      <c r="I21" s="57">
        <f t="shared" si="21"/>
        <v>5.6466073445338065E-3</v>
      </c>
      <c r="J21" s="57">
        <f t="shared" si="21"/>
        <v>9.5781173539897218E-3</v>
      </c>
      <c r="K21" s="57">
        <f t="shared" si="21"/>
        <v>8.1968934592947448E-3</v>
      </c>
      <c r="L21" s="57">
        <f t="shared" si="21"/>
        <v>9.672542010826523E-3</v>
      </c>
      <c r="M21" s="57">
        <f t="shared" si="21"/>
        <v>1.3823069097684148E-2</v>
      </c>
      <c r="N21" s="57">
        <f t="shared" si="21"/>
        <v>1.38628836980358E-2</v>
      </c>
      <c r="O21" s="57">
        <f t="shared" si="21"/>
        <v>9.1423359433146327E-3</v>
      </c>
      <c r="P21" s="57">
        <f t="shared" si="21"/>
        <v>5.0867707135310346E-3</v>
      </c>
      <c r="Q21" s="57">
        <f t="shared" si="21"/>
        <v>7.4726734195298215E-3</v>
      </c>
      <c r="R21" s="57">
        <f t="shared" si="21"/>
        <v>7.3234252930261326E-3</v>
      </c>
      <c r="S21" s="57">
        <f t="shared" si="21"/>
        <v>5.3695869654477382E-3</v>
      </c>
      <c r="T21" s="57">
        <f t="shared" si="21"/>
        <v>5.2591253123139307E-3</v>
      </c>
      <c r="U21" s="57">
        <f t="shared" si="21"/>
        <v>1.9611348261221778E-2</v>
      </c>
      <c r="V21" s="57">
        <f t="shared" si="21"/>
        <v>9.6282419514953782E-3</v>
      </c>
      <c r="W21" s="57">
        <f t="shared" si="21"/>
        <v>1.0147896212890516E-2</v>
      </c>
      <c r="X21" s="57">
        <f t="shared" si="21"/>
        <v>1.3306245229823222E-2</v>
      </c>
      <c r="Y21" s="57">
        <f t="shared" si="21"/>
        <v>2.2718274477913303E-2</v>
      </c>
      <c r="Z21" s="57">
        <f t="shared" si="21"/>
        <v>1.5946274358082928E-2</v>
      </c>
      <c r="AA21" s="57">
        <f t="shared" si="21"/>
        <v>1.4683669043474299E-2</v>
      </c>
      <c r="AB21" s="57">
        <f t="shared" si="21"/>
        <v>1.9676298200175302E-2</v>
      </c>
      <c r="AC21" s="57">
        <f t="shared" si="21"/>
        <v>1.1231110647948061E-2</v>
      </c>
      <c r="AD21" s="57">
        <f t="shared" si="21"/>
        <v>7.6362549161962208E-3</v>
      </c>
      <c r="AE21" s="57">
        <f t="shared" si="21"/>
        <v>7.4517465384948082E-3</v>
      </c>
      <c r="AF21" s="57">
        <f t="shared" si="21"/>
        <v>1.4486208241930104E-3</v>
      </c>
      <c r="AG21" s="57">
        <f t="shared" si="21"/>
        <v>5.1381890065080316E-3</v>
      </c>
      <c r="AH21" s="57">
        <f t="shared" si="21"/>
        <v>7.9261543593862668E-3</v>
      </c>
      <c r="AI21" s="57">
        <f t="shared" si="21"/>
        <v>6.8654870885913556E-3</v>
      </c>
      <c r="AJ21" s="57">
        <f t="shared" si="21"/>
        <v>2.9134037541482397E-3</v>
      </c>
      <c r="AK21" s="57">
        <f t="shared" si="21"/>
        <v>5.0401502967968572E-3</v>
      </c>
      <c r="AL21" s="57">
        <f t="shared" si="21"/>
        <v>1.6671529906205348E-5</v>
      </c>
      <c r="AM21" s="57">
        <f t="shared" si="21"/>
        <v>-8.3485378827578187E-4</v>
      </c>
      <c r="AN21" s="57">
        <f t="shared" si="21"/>
        <v>1.1248719223500318E-3</v>
      </c>
      <c r="AO21" s="57">
        <f t="shared" si="21"/>
        <v>-6.0847116129461338E-4</v>
      </c>
      <c r="AP21" s="57">
        <f t="shared" si="21"/>
        <v>4.7696532625564874E-3</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0.43897692502146984</v>
      </c>
      <c r="F22" s="66">
        <f t="shared" ref="F22:BQ22" si="23">F11+F13+F15+F17+F19+F21</f>
        <v>0.36246972807358252</v>
      </c>
      <c r="G22" s="66">
        <f t="shared" si="23"/>
        <v>0.32917399143613402</v>
      </c>
      <c r="H22" s="66">
        <f t="shared" si="23"/>
        <v>0.30595900172686202</v>
      </c>
      <c r="I22" s="66">
        <f t="shared" si="23"/>
        <v>0.3311853554895331</v>
      </c>
      <c r="J22" s="66">
        <f t="shared" si="23"/>
        <v>0.30078880128947505</v>
      </c>
      <c r="K22" s="66">
        <f t="shared" si="23"/>
        <v>0.28760049696798562</v>
      </c>
      <c r="L22" s="66">
        <f t="shared" si="23"/>
        <v>0.27732509522559817</v>
      </c>
      <c r="M22" s="66">
        <f t="shared" si="23"/>
        <v>0.30595882320074336</v>
      </c>
      <c r="N22" s="66">
        <f t="shared" si="23"/>
        <v>0.28581701168092177</v>
      </c>
      <c r="O22" s="66">
        <f t="shared" si="23"/>
        <v>0.27284559812840409</v>
      </c>
      <c r="P22" s="66">
        <f t="shared" si="23"/>
        <v>0.25750083622025643</v>
      </c>
      <c r="Q22" s="66">
        <f t="shared" si="23"/>
        <v>0.27446396302523757</v>
      </c>
      <c r="R22" s="66">
        <f t="shared" si="23"/>
        <v>0.25183295299356662</v>
      </c>
      <c r="S22" s="66">
        <f t="shared" si="23"/>
        <v>0.24817363776878035</v>
      </c>
      <c r="T22" s="66">
        <f t="shared" si="23"/>
        <v>0.24298570445204531</v>
      </c>
      <c r="U22" s="66">
        <f t="shared" si="23"/>
        <v>0.28664344444369672</v>
      </c>
      <c r="V22" s="66">
        <f t="shared" si="23"/>
        <v>0.25364505136780863</v>
      </c>
      <c r="W22" s="66">
        <f t="shared" si="23"/>
        <v>0.25438916956668289</v>
      </c>
      <c r="X22" s="66">
        <f t="shared" si="23"/>
        <v>0.2645390788556985</v>
      </c>
      <c r="Y22" s="66">
        <f t="shared" si="23"/>
        <v>0.2423222305704478</v>
      </c>
      <c r="Z22" s="66">
        <f t="shared" si="23"/>
        <v>0.23164035568938374</v>
      </c>
      <c r="AA22" s="66">
        <f t="shared" si="23"/>
        <v>0.2267866002000041</v>
      </c>
      <c r="AB22" s="66">
        <f t="shared" si="23"/>
        <v>0.23616146849113559</v>
      </c>
      <c r="AC22" s="66">
        <f t="shared" si="23"/>
        <v>0.23160141508570717</v>
      </c>
      <c r="AD22" s="66">
        <f t="shared" si="23"/>
        <v>0.23663825876566555</v>
      </c>
      <c r="AE22" s="66">
        <f t="shared" si="23"/>
        <v>0.24889871115951978</v>
      </c>
      <c r="AF22" s="66">
        <f t="shared" si="23"/>
        <v>0.25130303826275696</v>
      </c>
      <c r="AG22" s="66">
        <f t="shared" si="23"/>
        <v>0.22688610161166708</v>
      </c>
      <c r="AH22" s="66">
        <f t="shared" si="23"/>
        <v>0.22488546101611942</v>
      </c>
      <c r="AI22" s="66">
        <f t="shared" si="23"/>
        <v>0.22515299108991887</v>
      </c>
      <c r="AJ22" s="66">
        <f t="shared" si="23"/>
        <v>0.22856196344699295</v>
      </c>
      <c r="AK22" s="66">
        <f t="shared" si="23"/>
        <v>0.22170741069688965</v>
      </c>
      <c r="AL22" s="66">
        <f t="shared" si="23"/>
        <v>0.21919936766781864</v>
      </c>
      <c r="AM22" s="66">
        <f t="shared" si="23"/>
        <v>0.21276475700008488</v>
      </c>
      <c r="AN22" s="66">
        <f t="shared" si="23"/>
        <v>0.21145782456214332</v>
      </c>
      <c r="AO22" s="66">
        <f t="shared" si="23"/>
        <v>0.20855607666043027</v>
      </c>
      <c r="AP22" s="66">
        <f t="shared" si="23"/>
        <v>0.228798441039467</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526890014.12240762</v>
      </c>
      <c r="F23" s="27">
        <f>股权价值增加表!F17</f>
        <v>750399884.18391991</v>
      </c>
      <c r="G23" s="27">
        <f>股权价值增加表!G17</f>
        <v>490412106.32828569</v>
      </c>
      <c r="H23" s="27">
        <f>股权价值增加表!H17</f>
        <v>328897362.79385149</v>
      </c>
      <c r="I23" s="27">
        <f>股权价值增加表!I17</f>
        <v>865650712.83259571</v>
      </c>
      <c r="J23" s="27">
        <f>股权价值增加表!J17</f>
        <v>766587112.82434523</v>
      </c>
      <c r="K23" s="27">
        <f>股权价值增加表!K17</f>
        <v>538232797.33408797</v>
      </c>
      <c r="L23" s="27">
        <f>股权价值增加表!L17</f>
        <v>294123119.76550567</v>
      </c>
      <c r="M23" s="27">
        <f>股权价值增加表!M17</f>
        <v>692420789.2546773</v>
      </c>
      <c r="N23" s="27">
        <f>股权价值增加表!N17</f>
        <v>676417762.67197788</v>
      </c>
      <c r="O23" s="27">
        <f>股权价值增加表!O17</f>
        <v>486734189.05530655</v>
      </c>
      <c r="P23" s="27">
        <f>股权价值增加表!P17</f>
        <v>257032301.85906723</v>
      </c>
      <c r="Q23" s="27">
        <f>股权价值增加表!Q17</f>
        <v>1155241596.3514321</v>
      </c>
      <c r="R23" s="27">
        <f>股权价值增加表!R17</f>
        <v>970740025.6179074</v>
      </c>
      <c r="S23" s="27">
        <f>股权价值增加表!S17</f>
        <v>627419536.69600773</v>
      </c>
      <c r="T23" s="27">
        <f>股权价值增加表!T17</f>
        <v>269786151.69487375</v>
      </c>
      <c r="U23" s="27">
        <f>股权价值增加表!U17</f>
        <v>1213462524.334265</v>
      </c>
      <c r="V23" s="27">
        <f>股权价值增加表!V17</f>
        <v>955553931.20155954</v>
      </c>
      <c r="W23" s="27">
        <f>股权价值增加表!W17</f>
        <v>602338088.1228869</v>
      </c>
      <c r="X23" s="27">
        <f>股权价值增加表!X17</f>
        <v>239137152.05657282</v>
      </c>
      <c r="Y23" s="27">
        <f>股权价值增加表!Y17</f>
        <v>1164926652.9638162</v>
      </c>
      <c r="Z23" s="27">
        <f>股权价值增加表!Z17</f>
        <v>815874602.88204658</v>
      </c>
      <c r="AA23" s="27">
        <f>股权价值增加表!AA17</f>
        <v>487742653.76366258</v>
      </c>
      <c r="AB23" s="27">
        <f>股权价值增加表!AB17</f>
        <v>185881290.91455272</v>
      </c>
      <c r="AC23" s="27">
        <f>股权价值增加表!AC17</f>
        <v>967668011.75975609</v>
      </c>
      <c r="AD23" s="27">
        <f>股权价值增加表!AD17</f>
        <v>689576355.39499319</v>
      </c>
      <c r="AE23" s="27">
        <f>股权价值增加表!AE17</f>
        <v>410698125.18566549</v>
      </c>
      <c r="AF23" s="27">
        <f>股权价值增加表!AF17</f>
        <v>145898558.5397853</v>
      </c>
      <c r="AG23" s="27">
        <f>股权价值增加表!AG17</f>
        <v>666087352.64682925</v>
      </c>
      <c r="AH23" s="27">
        <f>股权价值增加表!AH17</f>
        <v>463622532.26655751</v>
      </c>
      <c r="AI23" s="27">
        <f>股权价值增加表!AI17</f>
        <v>281424479.06068873</v>
      </c>
      <c r="AJ23" s="27">
        <f>股权价值增加表!AJ17</f>
        <v>102290074.36801204</v>
      </c>
      <c r="AK23" s="27">
        <f>股权价值增加表!AK17</f>
        <v>472491116.29005718</v>
      </c>
      <c r="AL23" s="27">
        <f>股权价值增加表!AL17</f>
        <v>317467038.97768486</v>
      </c>
      <c r="AM23" s="27">
        <f>股权价值增加表!AM17</f>
        <v>188242968.47116175</v>
      </c>
      <c r="AN23" s="27">
        <f>股权价值增加表!AN17</f>
        <v>74905212.438274682</v>
      </c>
      <c r="AO23" s="27">
        <f>股权价值增加表!AO17</f>
        <v>352519618.40676355</v>
      </c>
      <c r="AP23" s="27">
        <f>股权价值增加表!AP17</f>
        <v>241285225.28316107</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4.6077164091302608E-2</v>
      </c>
      <c r="F24" s="57">
        <f t="shared" ref="F24:BQ24" si="25">F23/F2</f>
        <v>9.4864528378214588E-2</v>
      </c>
      <c r="G24" s="57">
        <f t="shared" si="25"/>
        <v>9.9233993616023947E-2</v>
      </c>
      <c r="H24" s="57">
        <f t="shared" si="25"/>
        <v>0.13511519615870338</v>
      </c>
      <c r="I24" s="57">
        <f t="shared" si="25"/>
        <v>0.10105725322872632</v>
      </c>
      <c r="J24" s="57">
        <f t="shared" si="25"/>
        <v>0.12259754226052189</v>
      </c>
      <c r="K24" s="57">
        <f t="shared" si="25"/>
        <v>0.13139125088486731</v>
      </c>
      <c r="L24" s="57">
        <f t="shared" si="25"/>
        <v>0.1467440117843839</v>
      </c>
      <c r="M24" s="57">
        <f t="shared" si="25"/>
        <v>8.919109440783439E-2</v>
      </c>
      <c r="N24" s="57">
        <f t="shared" si="25"/>
        <v>0.11625253577017136</v>
      </c>
      <c r="O24" s="57">
        <f t="shared" si="25"/>
        <v>0.12689887137397421</v>
      </c>
      <c r="P24" s="57">
        <f t="shared" si="25"/>
        <v>0.1358054918981037</v>
      </c>
      <c r="Q24" s="57">
        <f t="shared" si="25"/>
        <v>0.14398366416771016</v>
      </c>
      <c r="R24" s="57">
        <f t="shared" si="25"/>
        <v>0.16216088361574862</v>
      </c>
      <c r="S24" s="57">
        <f t="shared" si="25"/>
        <v>0.15815311972075827</v>
      </c>
      <c r="T24" s="57">
        <f t="shared" si="25"/>
        <v>0.13904443588602478</v>
      </c>
      <c r="U24" s="57">
        <f t="shared" si="25"/>
        <v>0.17763320672595509</v>
      </c>
      <c r="V24" s="57">
        <f t="shared" si="25"/>
        <v>0.193856773563716</v>
      </c>
      <c r="W24" s="57">
        <f t="shared" si="25"/>
        <v>0.18933387273307051</v>
      </c>
      <c r="X24" s="57">
        <f t="shared" si="25"/>
        <v>0.16364340770271141</v>
      </c>
      <c r="Y24" s="57">
        <f t="shared" si="25"/>
        <v>0.1979390830535791</v>
      </c>
      <c r="Z24" s="57">
        <f t="shared" si="25"/>
        <v>0.18739760520548518</v>
      </c>
      <c r="AA24" s="57">
        <f t="shared" si="25"/>
        <v>0.17572620520508989</v>
      </c>
      <c r="AB24" s="57">
        <f t="shared" si="25"/>
        <v>0.15042161581168403</v>
      </c>
      <c r="AC24" s="57">
        <f t="shared" si="25"/>
        <v>0.18797522173819778</v>
      </c>
      <c r="AD24" s="57">
        <f t="shared" si="25"/>
        <v>0.18907761772457374</v>
      </c>
      <c r="AE24" s="57">
        <f t="shared" si="25"/>
        <v>0.17767981948796366</v>
      </c>
      <c r="AF24" s="57">
        <f t="shared" si="25"/>
        <v>0.13567841239261749</v>
      </c>
      <c r="AG24" s="57">
        <f t="shared" si="25"/>
        <v>0.16543000188627294</v>
      </c>
      <c r="AH24" s="57">
        <f t="shared" si="25"/>
        <v>0.16278878607996694</v>
      </c>
      <c r="AI24" s="57">
        <f t="shared" si="25"/>
        <v>0.15758095213666004</v>
      </c>
      <c r="AJ24" s="57">
        <f t="shared" si="25"/>
        <v>0.12581530090607299</v>
      </c>
      <c r="AK24" s="57">
        <f t="shared" si="25"/>
        <v>0.14556169115731396</v>
      </c>
      <c r="AL24" s="57">
        <f t="shared" si="25"/>
        <v>0.13523766441514035</v>
      </c>
      <c r="AM24" s="57">
        <f t="shared" si="25"/>
        <v>0.12791896436333117</v>
      </c>
      <c r="AN24" s="57">
        <f t="shared" si="25"/>
        <v>0.11372043786851312</v>
      </c>
      <c r="AO24" s="57">
        <f t="shared" si="25"/>
        <v>0.13447806143609939</v>
      </c>
      <c r="AP24" s="57">
        <f t="shared" si="25"/>
        <v>0.1188991615386696</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0.1170635125396231</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816392401</v>
      </c>
      <c r="F28" s="26">
        <f>股权价值增加表!F15</f>
        <v>858842700</v>
      </c>
      <c r="G28" s="26">
        <f>股权价值增加表!G15</f>
        <v>559792305</v>
      </c>
      <c r="H28" s="26">
        <f>股权价值增加表!H15</f>
        <v>347998232</v>
      </c>
      <c r="I28" s="26">
        <f>股权价值增加表!I15</f>
        <v>971099685</v>
      </c>
      <c r="J28" s="26">
        <f>股权价值增加表!J15</f>
        <v>835933569</v>
      </c>
      <c r="K28" s="26">
        <f>股权价值增加表!K15</f>
        <v>590383027</v>
      </c>
      <c r="L28" s="26">
        <f>股权价值增加表!L15</f>
        <v>324332682</v>
      </c>
      <c r="M28" s="26">
        <f>股权价值增加表!M15</f>
        <v>1097167861</v>
      </c>
      <c r="N28" s="26">
        <f>股权价值增加表!N15</f>
        <v>895255690</v>
      </c>
      <c r="O28" s="26">
        <f>股权价值增加表!O15</f>
        <v>598561743</v>
      </c>
      <c r="P28" s="26">
        <f>股权价值增加表!P15</f>
        <v>314873983</v>
      </c>
      <c r="Q28" s="26">
        <f>股权价值增加表!Q15</f>
        <v>1333387559</v>
      </c>
      <c r="R28" s="26">
        <f>股权价值增加表!R15</f>
        <v>1123024724</v>
      </c>
      <c r="S28" s="26">
        <f>股权价值增加表!S15</f>
        <v>727837869</v>
      </c>
      <c r="T28" s="26">
        <f>股权价值增加表!T15</f>
        <v>311689151</v>
      </c>
      <c r="U28" s="26">
        <f>股权价值增加表!U15</f>
        <v>1429025594</v>
      </c>
      <c r="V28" s="26">
        <f>股权价值增加表!V15</f>
        <v>1104858071</v>
      </c>
      <c r="W28" s="26">
        <f>股权价值增加表!W15</f>
        <v>693295139</v>
      </c>
      <c r="X28" s="26">
        <f>股权价值增加表!X15</f>
        <v>277936452</v>
      </c>
      <c r="Y28" s="26">
        <f>股权价值增加表!Y15</f>
        <v>1352322772</v>
      </c>
      <c r="Z28" s="26">
        <f>股权价值增加表!Z15</f>
        <v>946053763</v>
      </c>
      <c r="AA28" s="26">
        <f>股权价值增加表!AA15</f>
        <v>564961256</v>
      </c>
      <c r="AB28" s="26">
        <f>股权价值增加表!AB15</f>
        <v>216810868</v>
      </c>
      <c r="AC28" s="26">
        <f>股权价值增加表!AC15</f>
        <v>1126235177</v>
      </c>
      <c r="AD28" s="26">
        <f>股权价值增加表!AD15</f>
        <v>806323988</v>
      </c>
      <c r="AE28" s="26">
        <f>股权价值增加表!AE15</f>
        <v>479202716</v>
      </c>
      <c r="AF28" s="26">
        <f>股权价值增加表!AF15</f>
        <v>170476764</v>
      </c>
      <c r="AG28" s="26">
        <f>股权价值增加表!AG15</f>
        <v>780741080</v>
      </c>
      <c r="AH28" s="26">
        <f>股权价值增加表!AH15</f>
        <v>543421204</v>
      </c>
      <c r="AI28" s="26">
        <f>股权价值增加表!AI15</f>
        <v>329167056</v>
      </c>
      <c r="AJ28" s="26">
        <f>股权价值增加表!AJ15</f>
        <v>121497010</v>
      </c>
      <c r="AK28" s="26">
        <f>股权价值增加表!AK15</f>
        <v>567980455</v>
      </c>
      <c r="AL28" s="26">
        <f>股权价值增加表!AL15</f>
        <v>384760729</v>
      </c>
      <c r="AM28" s="26">
        <f>股权价值增加表!AM15</f>
        <v>226908234</v>
      </c>
      <c r="AN28" s="26">
        <f>股权价值增加表!AN15</f>
        <v>90593471</v>
      </c>
      <c r="AO28" s="26">
        <f>股权价值增加表!AO15</f>
        <v>398487635</v>
      </c>
      <c r="AP28" s="26">
        <f>股权价值增加表!AP15</f>
        <v>286821472</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0.53979083882250589</v>
      </c>
      <c r="F29" s="59">
        <f t="shared" si="27"/>
        <v>0.6656569366908206</v>
      </c>
      <c r="G29" s="59">
        <f t="shared" si="27"/>
        <v>0.67328909719859498</v>
      </c>
      <c r="H29" s="59">
        <f t="shared" si="27"/>
        <v>0.58917547236773993</v>
      </c>
      <c r="I29" s="59">
        <f t="shared" si="27"/>
        <v>0.82221084381915888</v>
      </c>
      <c r="J29" s="59">
        <f t="shared" si="27"/>
        <v>0.82042731149824732</v>
      </c>
      <c r="K29" s="59">
        <f t="shared" si="27"/>
        <v>0.83089052541466923</v>
      </c>
      <c r="L29" s="59">
        <f t="shared" si="27"/>
        <v>0.77625784431468103</v>
      </c>
      <c r="M29" s="59">
        <f t="shared" si="27"/>
        <v>1.2328499500431129</v>
      </c>
      <c r="N29" s="59">
        <f t="shared" si="27"/>
        <v>1.1725480793719043</v>
      </c>
      <c r="O29" s="59">
        <f t="shared" si="27"/>
        <v>1.1219894196345928</v>
      </c>
      <c r="P29" s="59">
        <f t="shared" si="27"/>
        <v>1.0565734735932788</v>
      </c>
      <c r="Q29" s="59">
        <f t="shared" si="27"/>
        <v>0.88783273221211945</v>
      </c>
      <c r="R29" s="59">
        <f t="shared" si="27"/>
        <v>0.92035512114628359</v>
      </c>
      <c r="S29" s="59">
        <f t="shared" si="27"/>
        <v>0.96940069050875466</v>
      </c>
      <c r="T29" s="59">
        <f t="shared" si="27"/>
        <v>1.0035760620560399</v>
      </c>
      <c r="U29" s="59">
        <f t="shared" si="27"/>
        <v>0.95790333631106339</v>
      </c>
      <c r="V29" s="59">
        <f t="shared" si="27"/>
        <v>1.0001977875884327</v>
      </c>
      <c r="W29" s="59">
        <f t="shared" si="27"/>
        <v>1.0005008167285556</v>
      </c>
      <c r="X29" s="59">
        <f t="shared" si="27"/>
        <v>1.0004759610786054</v>
      </c>
      <c r="Y29" s="59">
        <f t="shared" si="27"/>
        <v>0.96125459241635303</v>
      </c>
      <c r="Z29" s="59">
        <f t="shared" si="27"/>
        <v>0.99874473894127247</v>
      </c>
      <c r="AA29" s="59">
        <f t="shared" si="27"/>
        <v>1.0000114752548519</v>
      </c>
      <c r="AB29" s="59">
        <f t="shared" si="27"/>
        <v>1.0281468745154869</v>
      </c>
      <c r="AC29" s="59">
        <f t="shared" si="27"/>
        <v>0.94738736630437581</v>
      </c>
      <c r="AD29" s="59">
        <f t="shared" si="27"/>
        <v>1.001490453666622</v>
      </c>
      <c r="AE29" s="59">
        <f t="shared" si="27"/>
        <v>1</v>
      </c>
      <c r="AF29" s="59">
        <f t="shared" si="27"/>
        <v>1</v>
      </c>
      <c r="AG29" s="59">
        <f t="shared" si="27"/>
        <v>0.9410739786953749</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0.99994569041900272</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16265734</v>
      </c>
      <c r="F30" s="26">
        <f>股权价值增加表!F20</f>
        <v>4631055</v>
      </c>
      <c r="G30" s="26">
        <f>股权价值增加表!G20</f>
        <v>3247608</v>
      </c>
      <c r="H30" s="26">
        <f>股权价值增加表!H20</f>
        <v>1671983</v>
      </c>
      <c r="I30" s="26">
        <f>股权价值增加表!I20</f>
        <v>7689761</v>
      </c>
      <c r="J30" s="26">
        <f>股权价值增加表!J20</f>
        <v>5656264</v>
      </c>
      <c r="K30" s="26">
        <f>股权价值增加表!K20</f>
        <v>3846817</v>
      </c>
      <c r="L30" s="26">
        <f>股权价值增加表!L20</f>
        <v>717470</v>
      </c>
      <c r="M30" s="26">
        <f>股权价值增加表!M20</f>
        <v>5519832</v>
      </c>
      <c r="N30" s="26">
        <f>股权价值增加表!N20</f>
        <v>2720834</v>
      </c>
      <c r="O30" s="26">
        <f>股权价值增加表!O20</f>
        <v>935327</v>
      </c>
      <c r="P30" s="26">
        <f>股权价值增加表!P20</f>
        <v>610638</v>
      </c>
      <c r="Q30" s="26">
        <f>股权价值增加表!Q20</f>
        <v>8058532</v>
      </c>
      <c r="R30" s="26">
        <f>股权价值增加表!R20</f>
        <v>4699864</v>
      </c>
      <c r="S30" s="26">
        <f>股权价值增加表!S20</f>
        <v>2268156</v>
      </c>
      <c r="T30" s="26">
        <f>股权价值增加表!T20</f>
        <v>1100225</v>
      </c>
      <c r="U30" s="26">
        <f>股权价值增加表!U20</f>
        <v>1952197</v>
      </c>
      <c r="V30" s="26">
        <f>股权价值增加表!V20</f>
        <v>532967</v>
      </c>
      <c r="W30" s="26">
        <f>股权价值增加表!W20</f>
        <v>208225</v>
      </c>
      <c r="X30" s="26">
        <f>股权价值增加表!X20</f>
        <v>219290</v>
      </c>
      <c r="Y30" s="26">
        <f>股权价值增加表!Y20</f>
        <v>1601054</v>
      </c>
      <c r="Z30" s="26">
        <f>股权价值增加表!Z20</f>
        <v>1189037</v>
      </c>
      <c r="AA30" s="26">
        <f>股权价值增加表!AA20</f>
        <v>-6483</v>
      </c>
      <c r="AB30" s="26">
        <f>股权价值增加表!AB20</f>
        <v>-160483</v>
      </c>
      <c r="AC30" s="26">
        <f>股权价值增加表!AC20</f>
        <v>-305235</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1.075474758114971E-2</v>
      </c>
      <c r="F31" s="59">
        <f t="shared" ref="F31:BQ31" si="30">F30/F34</f>
        <v>3.589357963858467E-3</v>
      </c>
      <c r="G31" s="59">
        <f t="shared" si="30"/>
        <v>3.9060541540936948E-3</v>
      </c>
      <c r="H31" s="59">
        <f t="shared" si="30"/>
        <v>2.8307367199952639E-3</v>
      </c>
      <c r="I31" s="59">
        <f t="shared" si="30"/>
        <v>6.5107681304393166E-3</v>
      </c>
      <c r="J31" s="59">
        <f t="shared" si="30"/>
        <v>5.5513424017600644E-3</v>
      </c>
      <c r="K31" s="59">
        <f t="shared" si="30"/>
        <v>5.4139154618753661E-3</v>
      </c>
      <c r="L31" s="59">
        <f t="shared" si="30"/>
        <v>1.7171927051139858E-3</v>
      </c>
      <c r="M31" s="59">
        <f t="shared" si="30"/>
        <v>6.2024461774189497E-3</v>
      </c>
      <c r="N31" s="59">
        <f t="shared" si="30"/>
        <v>3.5635726381027257E-3</v>
      </c>
      <c r="O31" s="59">
        <f t="shared" si="30"/>
        <v>1.7532476977877363E-3</v>
      </c>
      <c r="P31" s="59">
        <f t="shared" si="30"/>
        <v>2.0490226173054526E-3</v>
      </c>
      <c r="Q31" s="59">
        <f t="shared" si="30"/>
        <v>5.3657531412281577E-3</v>
      </c>
      <c r="R31" s="59">
        <f t="shared" si="30"/>
        <v>3.851690714060412E-3</v>
      </c>
      <c r="S31" s="59">
        <f t="shared" si="30"/>
        <v>3.0209365110426467E-3</v>
      </c>
      <c r="T31" s="59">
        <f t="shared" si="30"/>
        <v>3.5425021029224292E-3</v>
      </c>
      <c r="U31" s="59">
        <f t="shared" si="30"/>
        <v>1.3085951905186443E-3</v>
      </c>
      <c r="V31" s="59">
        <f t="shared" si="30"/>
        <v>4.8248044545229574E-4</v>
      </c>
      <c r="W31" s="59">
        <f t="shared" si="30"/>
        <v>3.0049148024288035E-4</v>
      </c>
      <c r="X31" s="59">
        <f t="shared" si="30"/>
        <v>7.8936883566797257E-4</v>
      </c>
      <c r="Y31" s="59">
        <f t="shared" si="30"/>
        <v>1.138057083761488E-3</v>
      </c>
      <c r="Z31" s="59">
        <f t="shared" si="30"/>
        <v>1.2552610587274985E-3</v>
      </c>
      <c r="AA31" s="59">
        <f t="shared" si="30"/>
        <v>-1.1475254851949007E-5</v>
      </c>
      <c r="AB31" s="59">
        <f t="shared" si="30"/>
        <v>-7.6103239835223068E-4</v>
      </c>
      <c r="AC31" s="59">
        <f t="shared" si="30"/>
        <v>-2.567632308593005E-4</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679765460</v>
      </c>
      <c r="F32" s="26">
        <f>股权价值增加表!F27</f>
        <v>426744453</v>
      </c>
      <c r="G32" s="26">
        <f>股权价值增加表!G27</f>
        <v>268389420</v>
      </c>
      <c r="H32" s="26">
        <f>股权价值增加表!H27</f>
        <v>240982737</v>
      </c>
      <c r="I32" s="26">
        <f>股权价值增加表!I27</f>
        <v>202294083</v>
      </c>
      <c r="J32" s="26">
        <f>股权价值增加表!J27</f>
        <v>177310388</v>
      </c>
      <c r="K32" s="26">
        <f>股权价值增加表!K27</f>
        <v>116312651</v>
      </c>
      <c r="L32" s="26">
        <f>股权价值增加表!L27</f>
        <v>92765506</v>
      </c>
      <c r="M32" s="26">
        <f>股权价值增加表!M27</f>
        <v>-212743332</v>
      </c>
      <c r="N32" s="26">
        <f>股权价值增加表!N27</f>
        <v>-134463534</v>
      </c>
      <c r="O32" s="26">
        <f>股权价值增加表!O27</f>
        <v>-66014550</v>
      </c>
      <c r="P32" s="26">
        <f>股权价值增加表!P27</f>
        <v>-17470341</v>
      </c>
      <c r="Q32" s="26">
        <f>股权价值增加表!Q27</f>
        <v>160399370</v>
      </c>
      <c r="R32" s="26">
        <f>股权价值增加表!R27</f>
        <v>92483458</v>
      </c>
      <c r="S32" s="26">
        <f>股权价值增加表!S27</f>
        <v>20706179</v>
      </c>
      <c r="T32" s="26">
        <f>股权价值增加表!T27</f>
        <v>-2210873</v>
      </c>
      <c r="U32" s="26">
        <f>股权价值增加表!U27</f>
        <v>60848722</v>
      </c>
      <c r="V32" s="26">
        <f>股权价值增加表!V27</f>
        <v>-751451</v>
      </c>
      <c r="W32" s="26">
        <f>股权价值增加表!W27</f>
        <v>-555265</v>
      </c>
      <c r="X32" s="26">
        <f>股权价值增加表!X27</f>
        <v>-351514</v>
      </c>
      <c r="Y32" s="26">
        <f>股权价值增加表!Y27</f>
        <v>52907187</v>
      </c>
      <c r="Z32" s="26">
        <f>股权价值增加表!Z27</f>
        <v>0</v>
      </c>
      <c r="AA32" s="26">
        <f>股权价值增加表!AA27</f>
        <v>0</v>
      </c>
      <c r="AB32" s="26">
        <f>股权价值增加表!AB27</f>
        <v>-5775000</v>
      </c>
      <c r="AC32" s="26">
        <f>股权价值增加表!AC27</f>
        <v>62850083</v>
      </c>
      <c r="AD32" s="26">
        <f>股权价值增加表!AD27</f>
        <v>-1200000</v>
      </c>
      <c r="AE32" s="26">
        <f>股权价值增加表!AE27</f>
        <v>0</v>
      </c>
      <c r="AF32" s="26">
        <f>股权价值增加表!AF27</f>
        <v>0</v>
      </c>
      <c r="AG32" s="26">
        <f>股权价值增加表!AG27</f>
        <v>48886662</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15578</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0.44945441359634436</v>
      </c>
      <c r="F33" s="59">
        <f t="shared" ref="F33:BQ33" si="32">F32/F34</f>
        <v>0.33075370534532095</v>
      </c>
      <c r="G33" s="59">
        <f t="shared" si="32"/>
        <v>0.32280484864731129</v>
      </c>
      <c r="H33" s="59">
        <f t="shared" si="32"/>
        <v>0.40799379091226484</v>
      </c>
      <c r="I33" s="59">
        <f t="shared" si="32"/>
        <v>0.1712783880504018</v>
      </c>
      <c r="J33" s="59">
        <f t="shared" si="32"/>
        <v>0.17402134609999265</v>
      </c>
      <c r="K33" s="59">
        <f t="shared" si="32"/>
        <v>0.16369555912345538</v>
      </c>
      <c r="L33" s="59">
        <f t="shared" si="32"/>
        <v>0.22202496298020502</v>
      </c>
      <c r="M33" s="59">
        <f t="shared" si="32"/>
        <v>-0.23905239622053182</v>
      </c>
      <c r="N33" s="59">
        <f t="shared" si="32"/>
        <v>-0.17611165201000706</v>
      </c>
      <c r="O33" s="59">
        <f t="shared" si="32"/>
        <v>-0.12374266733238044</v>
      </c>
      <c r="P33" s="59">
        <f t="shared" si="32"/>
        <v>-5.8622496210584268E-2</v>
      </c>
      <c r="Q33" s="59">
        <f t="shared" si="32"/>
        <v>0.10680151464665245</v>
      </c>
      <c r="R33" s="59">
        <f t="shared" si="32"/>
        <v>7.5793188139655979E-2</v>
      </c>
      <c r="S33" s="59">
        <f t="shared" si="32"/>
        <v>2.7578372980202649E-2</v>
      </c>
      <c r="T33" s="59">
        <f t="shared" si="32"/>
        <v>-7.1185641589624118E-3</v>
      </c>
      <c r="U33" s="59">
        <f t="shared" si="32"/>
        <v>4.078806849841795E-2</v>
      </c>
      <c r="V33" s="59">
        <f t="shared" si="32"/>
        <v>-6.8026803388497429E-4</v>
      </c>
      <c r="W33" s="59">
        <f t="shared" si="32"/>
        <v>-8.0130820879847746E-4</v>
      </c>
      <c r="X33" s="59">
        <f t="shared" si="32"/>
        <v>-1.2653299142732989E-3</v>
      </c>
      <c r="Y33" s="59">
        <f t="shared" si="32"/>
        <v>3.760735049988552E-2</v>
      </c>
      <c r="Z33" s="59">
        <f t="shared" si="32"/>
        <v>0</v>
      </c>
      <c r="AA33" s="59">
        <f t="shared" si="32"/>
        <v>0</v>
      </c>
      <c r="AB33" s="59">
        <f t="shared" si="32"/>
        <v>-2.7385842117134723E-2</v>
      </c>
      <c r="AC33" s="59">
        <f t="shared" si="32"/>
        <v>5.2869396926483521E-2</v>
      </c>
      <c r="AD33" s="59">
        <f t="shared" si="32"/>
        <v>-1.4904536666220905E-3</v>
      </c>
      <c r="AE33" s="59">
        <f t="shared" si="32"/>
        <v>0</v>
      </c>
      <c r="AF33" s="59">
        <f t="shared" si="32"/>
        <v>0</v>
      </c>
      <c r="AG33" s="59">
        <f t="shared" si="32"/>
        <v>5.8926021304625084E-2</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5.4309580997294455E-5</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1512423595</v>
      </c>
      <c r="F34" s="58">
        <f>股权价值增加表!F31</f>
        <v>1290218208</v>
      </c>
      <c r="G34" s="58">
        <f>股权价值增加表!G31</f>
        <v>831429333</v>
      </c>
      <c r="H34" s="58">
        <f>股权价值增加表!H31</f>
        <v>590652952</v>
      </c>
      <c r="I34" s="58">
        <f>股权价值增加表!I31</f>
        <v>1181083529</v>
      </c>
      <c r="J34" s="58">
        <f>股权价值增加表!J31</f>
        <v>1018900221</v>
      </c>
      <c r="K34" s="58">
        <f>股权价值增加表!K31</f>
        <v>710542495</v>
      </c>
      <c r="L34" s="58">
        <f>股权价值增加表!L31</f>
        <v>417815658</v>
      </c>
      <c r="M34" s="58">
        <f>股权价值增加表!M31</f>
        <v>889944361</v>
      </c>
      <c r="N34" s="58">
        <f>股权价值增加表!N31</f>
        <v>763512990</v>
      </c>
      <c r="O34" s="58">
        <f>股权价值增加表!O31</f>
        <v>533482520</v>
      </c>
      <c r="P34" s="58">
        <f>股权价值增加表!P31</f>
        <v>298014280</v>
      </c>
      <c r="Q34" s="58">
        <f>股权价值增加表!Q31</f>
        <v>1501845461</v>
      </c>
      <c r="R34" s="58">
        <f>股权价值增加表!R31</f>
        <v>1220208046</v>
      </c>
      <c r="S34" s="58">
        <f>股权价值增加表!S31</f>
        <v>750812204</v>
      </c>
      <c r="T34" s="58">
        <f>股权价值增加表!T31</f>
        <v>310578503</v>
      </c>
      <c r="U34" s="58">
        <f>股权价值增加表!U31</f>
        <v>1491826513</v>
      </c>
      <c r="V34" s="58">
        <f>股权价值增加表!V31</f>
        <v>1104639587</v>
      </c>
      <c r="W34" s="58">
        <f>股权价值增加表!W31</f>
        <v>692948099</v>
      </c>
      <c r="X34" s="58">
        <f>股权价值增加表!X31</f>
        <v>277804228</v>
      </c>
      <c r="Y34" s="58">
        <f>股权价值增加表!Y31</f>
        <v>1406831013</v>
      </c>
      <c r="Z34" s="58">
        <f>股权价值增加表!Z31</f>
        <v>947242800</v>
      </c>
      <c r="AA34" s="58">
        <f>股权价值增加表!AA31</f>
        <v>564954773</v>
      </c>
      <c r="AB34" s="58">
        <f>股权价值增加表!AB31</f>
        <v>210875385</v>
      </c>
      <c r="AC34" s="58">
        <f>股权价值增加表!AC31</f>
        <v>1188780025</v>
      </c>
      <c r="AD34" s="58">
        <f>股权价值增加表!AD31</f>
        <v>805123988</v>
      </c>
      <c r="AE34" s="58">
        <f>股权价值增加表!AE31</f>
        <v>479202716</v>
      </c>
      <c r="AF34" s="58">
        <f>股权价值增加表!AF31</f>
        <v>170476764</v>
      </c>
      <c r="AG34" s="58">
        <f>股权价值增加表!AG31</f>
        <v>829627742</v>
      </c>
      <c r="AH34" s="58">
        <f>股权价值增加表!AH31</f>
        <v>543421204</v>
      </c>
      <c r="AI34" s="58">
        <f>股权价值增加表!AI31</f>
        <v>329167056</v>
      </c>
      <c r="AJ34" s="58">
        <f>股权价值增加表!AJ31</f>
        <v>121497010</v>
      </c>
      <c r="AK34" s="58">
        <f>股权价值增加表!AK31</f>
        <v>567980455</v>
      </c>
      <c r="AL34" s="58">
        <f>股权价值增加表!AL31</f>
        <v>384760729</v>
      </c>
      <c r="AM34" s="58">
        <f>股权价值增加表!AM31</f>
        <v>226908234</v>
      </c>
      <c r="AN34" s="58">
        <f>股权价值增加表!AN31</f>
        <v>90593471</v>
      </c>
      <c r="AO34" s="58">
        <f>股权价值增加表!AO31</f>
        <v>398487635</v>
      </c>
      <c r="AP34" s="58">
        <f>股权价值增加表!AP31</f>
        <v>286837050</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1512423595</v>
      </c>
      <c r="F39" s="26">
        <f>股权价值增加表!F31</f>
        <v>1290218208</v>
      </c>
      <c r="G39" s="26">
        <f>股权价值增加表!G31</f>
        <v>831429333</v>
      </c>
      <c r="H39" s="26">
        <f>股权价值增加表!H31</f>
        <v>590652952</v>
      </c>
      <c r="I39" s="26">
        <f>股权价值增加表!I31</f>
        <v>1181083529</v>
      </c>
      <c r="J39" s="26">
        <f>股权价值增加表!J31</f>
        <v>1018900221</v>
      </c>
      <c r="K39" s="26">
        <f>股权价值增加表!K31</f>
        <v>710542495</v>
      </c>
      <c r="L39" s="26">
        <f>股权价值增加表!L31</f>
        <v>417815658</v>
      </c>
      <c r="M39" s="26">
        <f>股权价值增加表!M31</f>
        <v>889944361</v>
      </c>
      <c r="N39" s="26">
        <f>股权价值增加表!N31</f>
        <v>763512990</v>
      </c>
      <c r="O39" s="26">
        <f>股权价值增加表!O31</f>
        <v>533482520</v>
      </c>
      <c r="P39" s="26">
        <f>股权价值增加表!P31</f>
        <v>298014280</v>
      </c>
      <c r="Q39" s="26">
        <f>股权价值增加表!Q31</f>
        <v>1501845461</v>
      </c>
      <c r="R39" s="26">
        <f>股权价值增加表!R31</f>
        <v>1220208046</v>
      </c>
      <c r="S39" s="26">
        <f>股权价值增加表!S31</f>
        <v>750812204</v>
      </c>
      <c r="T39" s="26">
        <f>股权价值增加表!T31</f>
        <v>310578503</v>
      </c>
      <c r="U39" s="26">
        <f>股权价值增加表!U31</f>
        <v>1491826513</v>
      </c>
      <c r="V39" s="26">
        <f>股权价值增加表!V31</f>
        <v>1104639587</v>
      </c>
      <c r="W39" s="26">
        <f>股权价值增加表!W31</f>
        <v>692948099</v>
      </c>
      <c r="X39" s="26">
        <f>股权价值增加表!X31</f>
        <v>277804228</v>
      </c>
      <c r="Y39" s="26">
        <f>股权价值增加表!Y31</f>
        <v>1406831013</v>
      </c>
      <c r="Z39" s="26">
        <f>股权价值增加表!Z31</f>
        <v>947242800</v>
      </c>
      <c r="AA39" s="26">
        <f>股权价值增加表!AA31</f>
        <v>564954773</v>
      </c>
      <c r="AB39" s="26">
        <f>股权价值增加表!AB31</f>
        <v>210875385</v>
      </c>
      <c r="AC39" s="26">
        <f>股权价值增加表!AC31</f>
        <v>1188780025</v>
      </c>
      <c r="AD39" s="26">
        <f>股权价值增加表!AD31</f>
        <v>805123988</v>
      </c>
      <c r="AE39" s="26">
        <f>股权价值增加表!AE31</f>
        <v>479202716</v>
      </c>
      <c r="AF39" s="26">
        <f>股权价值增加表!AF31</f>
        <v>170476764</v>
      </c>
      <c r="AG39" s="26">
        <f>股权价值增加表!AG31</f>
        <v>829627742</v>
      </c>
      <c r="AH39" s="26">
        <f>股权价值增加表!AH31</f>
        <v>543421204</v>
      </c>
      <c r="AI39" s="26">
        <f>股权价值增加表!AI31</f>
        <v>329167056</v>
      </c>
      <c r="AJ39" s="26">
        <f>股权价值增加表!AJ31</f>
        <v>121497010</v>
      </c>
      <c r="AK39" s="26">
        <f>股权价值增加表!AK31</f>
        <v>567980455</v>
      </c>
      <c r="AL39" s="26">
        <f>股权价值增加表!AL31</f>
        <v>384760729</v>
      </c>
      <c r="AM39" s="26">
        <f>股权价值增加表!AM31</f>
        <v>226908234</v>
      </c>
      <c r="AN39" s="26">
        <f>股权价值增加表!AN31</f>
        <v>90593471</v>
      </c>
      <c r="AO39" s="26">
        <f>股权价值增加表!AO31</f>
        <v>398487635</v>
      </c>
      <c r="AP39" s="26">
        <f>股权价值增加表!AP31</f>
        <v>286837050</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931140957</v>
      </c>
      <c r="F40" s="26">
        <f>股权价值增加表!F38</f>
        <v>880173863</v>
      </c>
      <c r="G40" s="26">
        <f>股权价值增加表!G38</f>
        <v>586811044</v>
      </c>
      <c r="H40" s="26">
        <f>股权价值增加表!H38</f>
        <v>492456470</v>
      </c>
      <c r="I40" s="26">
        <f>股权价值增加表!I38</f>
        <v>848178704</v>
      </c>
      <c r="J40" s="26">
        <f>股权价值增加表!J38</f>
        <v>811584983</v>
      </c>
      <c r="K40" s="26">
        <f>股权价值增加表!K38</f>
        <v>577650308</v>
      </c>
      <c r="L40" s="26">
        <f>股权价值增加表!L38</f>
        <v>341489150</v>
      </c>
      <c r="M40" s="26">
        <f>股权价值增加表!M38</f>
        <v>376597378</v>
      </c>
      <c r="N40" s="26">
        <f>股权价值增加表!N38</f>
        <v>446882622</v>
      </c>
      <c r="O40" s="26">
        <f>股权价值增加表!O38</f>
        <v>393102518</v>
      </c>
      <c r="P40" s="26">
        <f>股权价值增加表!P38</f>
        <v>227524773</v>
      </c>
      <c r="Q40" s="26">
        <f>股权价值增加表!Q38</f>
        <v>1227703855</v>
      </c>
      <c r="R40" s="26">
        <f>股权价值增加表!R38</f>
        <v>1070326583</v>
      </c>
      <c r="S40" s="26">
        <f>股权价值增加表!S38</f>
        <v>652083871</v>
      </c>
      <c r="T40" s="26">
        <f>股权价值增加表!T38</f>
        <v>262004478</v>
      </c>
      <c r="U40" s="26">
        <f>股权价值增加表!U38</f>
        <v>1266258392</v>
      </c>
      <c r="V40" s="26">
        <f>股权价值增加表!V38</f>
        <v>993444817</v>
      </c>
      <c r="W40" s="26">
        <f>股权价值增加表!W38</f>
        <v>622463873</v>
      </c>
      <c r="X40" s="26">
        <f>股权价值增加表!X38</f>
        <v>243580165</v>
      </c>
      <c r="Y40" s="26">
        <f>股权价值增加表!Y38</f>
        <v>1261931689</v>
      </c>
      <c r="Z40" s="26">
        <f>股权价值增加表!Z38</f>
        <v>889757190</v>
      </c>
      <c r="AA40" s="26">
        <f>股权价值增加表!AA38</f>
        <v>535051743</v>
      </c>
      <c r="AB40" s="26">
        <f>股权价值增加表!AB38</f>
        <v>196532311</v>
      </c>
      <c r="AC40" s="26">
        <f>股权价值增加表!AC38</f>
        <v>1115457032</v>
      </c>
      <c r="AD40" s="26">
        <f>股权价值增加表!AD38</f>
        <v>800294782</v>
      </c>
      <c r="AE40" s="26">
        <f>股权价值增加表!AE38</f>
        <v>476111941</v>
      </c>
      <c r="AF40" s="26">
        <f>股权价值增加表!AF38</f>
        <v>169634816</v>
      </c>
      <c r="AG40" s="26">
        <f>股权价值增加表!AG38</f>
        <v>772269124</v>
      </c>
      <c r="AH40" s="26">
        <f>股权价值增加表!AH38</f>
        <v>530233073</v>
      </c>
      <c r="AI40" s="26">
        <f>股权价值增加表!AI38</f>
        <v>304872495</v>
      </c>
      <c r="AJ40" s="26">
        <f>股权价值增加表!AJ38</f>
        <v>110574194</v>
      </c>
      <c r="AK40" s="26">
        <f>股权价值增加表!AK38</f>
        <v>521916215</v>
      </c>
      <c r="AL40" s="26">
        <f>股权价值增加表!AL38</f>
        <v>354395012</v>
      </c>
      <c r="AM40" s="26">
        <f>股权价值增加表!AM38</f>
        <v>206915555</v>
      </c>
      <c r="AN40" s="26">
        <f>股权价值增加表!AN38</f>
        <v>81003428</v>
      </c>
      <c r="AO40" s="26">
        <f>股权价值增加表!AO38</f>
        <v>351513871</v>
      </c>
      <c r="AP40" s="26">
        <f>股权价值增加表!AP38</f>
        <v>256153215</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0.38433851463418889</v>
      </c>
      <c r="F41" s="59">
        <f t="shared" ref="F41:BQ41" si="34">1-F40/F39</f>
        <v>0.31781007465056643</v>
      </c>
      <c r="G41" s="59">
        <f t="shared" si="34"/>
        <v>0.29421416744746964</v>
      </c>
      <c r="H41" s="59">
        <f t="shared" si="34"/>
        <v>0.1662507258577115</v>
      </c>
      <c r="I41" s="59">
        <f t="shared" si="34"/>
        <v>0.28186391294599111</v>
      </c>
      <c r="J41" s="59">
        <f t="shared" si="34"/>
        <v>0.20346961726687074</v>
      </c>
      <c r="K41" s="59">
        <f t="shared" si="34"/>
        <v>0.18702918957718351</v>
      </c>
      <c r="L41" s="59">
        <f t="shared" si="34"/>
        <v>0.18267986500400613</v>
      </c>
      <c r="M41" s="59">
        <f t="shared" si="34"/>
        <v>0.5768304238965789</v>
      </c>
      <c r="N41" s="59">
        <f t="shared" si="34"/>
        <v>0.41470200526647227</v>
      </c>
      <c r="O41" s="59">
        <f t="shared" si="34"/>
        <v>0.26313889722197459</v>
      </c>
      <c r="P41" s="59">
        <f t="shared" si="34"/>
        <v>0.23653063537760677</v>
      </c>
      <c r="Q41" s="59">
        <f t="shared" si="34"/>
        <v>0.18253649467866251</v>
      </c>
      <c r="R41" s="59">
        <f t="shared" si="34"/>
        <v>0.12283271159482256</v>
      </c>
      <c r="S41" s="59">
        <f t="shared" si="34"/>
        <v>0.13149537590627658</v>
      </c>
      <c r="T41" s="59">
        <f t="shared" si="34"/>
        <v>0.15639854185271795</v>
      </c>
      <c r="U41" s="59">
        <f t="shared" si="34"/>
        <v>0.15120264925872118</v>
      </c>
      <c r="V41" s="59">
        <f t="shared" si="34"/>
        <v>0.10066158347808696</v>
      </c>
      <c r="W41" s="59">
        <f t="shared" si="34"/>
        <v>0.10171645769966964</v>
      </c>
      <c r="X41" s="59">
        <f t="shared" si="34"/>
        <v>0.12319489608343903</v>
      </c>
      <c r="Y41" s="59">
        <f t="shared" si="34"/>
        <v>0.10299696456862228</v>
      </c>
      <c r="Z41" s="59">
        <f t="shared" si="34"/>
        <v>6.0687302136263277E-2</v>
      </c>
      <c r="AA41" s="59">
        <f t="shared" si="34"/>
        <v>5.2929953739854541E-2</v>
      </c>
      <c r="AB41" s="59">
        <f t="shared" si="34"/>
        <v>6.8016824249070185E-2</v>
      </c>
      <c r="AC41" s="59">
        <f t="shared" si="34"/>
        <v>6.1679193339406968E-2</v>
      </c>
      <c r="AD41" s="59">
        <f t="shared" si="34"/>
        <v>5.9980898246444481E-3</v>
      </c>
      <c r="AE41" s="59">
        <f t="shared" si="34"/>
        <v>6.4498278010594046E-3</v>
      </c>
      <c r="AF41" s="59">
        <f t="shared" si="34"/>
        <v>4.9387845020333332E-3</v>
      </c>
      <c r="AG41" s="59">
        <f t="shared" si="34"/>
        <v>6.9137777217676555E-2</v>
      </c>
      <c r="AH41" s="59">
        <f t="shared" si="34"/>
        <v>2.4268708881665213E-2</v>
      </c>
      <c r="AI41" s="59">
        <f t="shared" si="34"/>
        <v>7.3806173969001354E-2</v>
      </c>
      <c r="AJ41" s="59">
        <f t="shared" si="34"/>
        <v>8.9901932566077147E-2</v>
      </c>
      <c r="AK41" s="59">
        <f t="shared" si="34"/>
        <v>8.1101804814744938E-2</v>
      </c>
      <c r="AL41" s="59">
        <f t="shared" si="34"/>
        <v>7.892104030190672E-2</v>
      </c>
      <c r="AM41" s="59">
        <f t="shared" si="34"/>
        <v>8.8109094357501361E-2</v>
      </c>
      <c r="AN41" s="59">
        <f t="shared" si="34"/>
        <v>0.10585799279067254</v>
      </c>
      <c r="AO41" s="59">
        <f t="shared" si="34"/>
        <v>0.11788010436007634</v>
      </c>
      <c r="AP41" s="59">
        <f t="shared" si="34"/>
        <v>0.10697305316729477</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2.6018729893666634</v>
      </c>
      <c r="F42" s="29">
        <f t="shared" ref="F42:BQ42" si="36">F39/(F39-F40)</f>
        <v>3.1465333536059372</v>
      </c>
      <c r="G42" s="29">
        <f t="shared" si="36"/>
        <v>3.3988845903504785</v>
      </c>
      <c r="H42" s="29">
        <f t="shared" si="36"/>
        <v>6.015011332076031</v>
      </c>
      <c r="I42" s="29">
        <f t="shared" si="36"/>
        <v>3.5478113872335735</v>
      </c>
      <c r="J42" s="29">
        <f t="shared" si="36"/>
        <v>4.9147386889139328</v>
      </c>
      <c r="K42" s="29">
        <f t="shared" si="36"/>
        <v>5.3467589859138975</v>
      </c>
      <c r="L42" s="29">
        <f t="shared" si="36"/>
        <v>5.4740570340254529</v>
      </c>
      <c r="M42" s="29">
        <f t="shared" si="36"/>
        <v>1.7336117489172036</v>
      </c>
      <c r="N42" s="29">
        <f t="shared" si="36"/>
        <v>2.4113700616360334</v>
      </c>
      <c r="O42" s="29">
        <f t="shared" si="36"/>
        <v>3.8002743439197273</v>
      </c>
      <c r="P42" s="29">
        <f t="shared" si="36"/>
        <v>4.2277821577046923</v>
      </c>
      <c r="Q42" s="29">
        <f t="shared" si="36"/>
        <v>5.4783565432238692</v>
      </c>
      <c r="R42" s="29">
        <f t="shared" si="36"/>
        <v>8.1411538263407532</v>
      </c>
      <c r="S42" s="29">
        <f t="shared" si="36"/>
        <v>7.6048301554934588</v>
      </c>
      <c r="T42" s="29">
        <f t="shared" si="36"/>
        <v>6.3939215043431137</v>
      </c>
      <c r="U42" s="29">
        <f t="shared" si="36"/>
        <v>6.6136407325040407</v>
      </c>
      <c r="V42" s="29">
        <f t="shared" si="36"/>
        <v>9.9342764682187834</v>
      </c>
      <c r="W42" s="29">
        <f t="shared" si="36"/>
        <v>9.8312507397045117</v>
      </c>
      <c r="X42" s="29">
        <f t="shared" si="36"/>
        <v>8.1172193961891672</v>
      </c>
      <c r="Y42" s="29">
        <f t="shared" si="36"/>
        <v>9.7090239910297989</v>
      </c>
      <c r="Z42" s="29">
        <f t="shared" si="36"/>
        <v>16.477911602573236</v>
      </c>
      <c r="AA42" s="29">
        <f t="shared" si="36"/>
        <v>18.892893897374279</v>
      </c>
      <c r="AB42" s="29">
        <f t="shared" si="36"/>
        <v>14.702244790761032</v>
      </c>
      <c r="AC42" s="29">
        <f t="shared" si="36"/>
        <v>16.212922800355408</v>
      </c>
      <c r="AD42" s="29">
        <f t="shared" si="36"/>
        <v>166.71974399104118</v>
      </c>
      <c r="AE42" s="29">
        <f t="shared" si="36"/>
        <v>155.04289894929266</v>
      </c>
      <c r="AF42" s="29">
        <f t="shared" si="36"/>
        <v>202.47897019768442</v>
      </c>
      <c r="AG42" s="29">
        <f t="shared" si="36"/>
        <v>14.463872577962043</v>
      </c>
      <c r="AH42" s="29">
        <f t="shared" si="36"/>
        <v>41.205323483668764</v>
      </c>
      <c r="AI42" s="29">
        <f t="shared" si="36"/>
        <v>13.549002017365121</v>
      </c>
      <c r="AJ42" s="29">
        <f t="shared" si="36"/>
        <v>11.123231408457306</v>
      </c>
      <c r="AK42" s="29">
        <f t="shared" si="36"/>
        <v>12.33018182868099</v>
      </c>
      <c r="AL42" s="29">
        <f t="shared" si="36"/>
        <v>12.67089227631279</v>
      </c>
      <c r="AM42" s="29">
        <f t="shared" si="36"/>
        <v>11.349566208710698</v>
      </c>
      <c r="AN42" s="29">
        <f t="shared" si="36"/>
        <v>9.4466178097428752</v>
      </c>
      <c r="AO42" s="29">
        <f t="shared" si="36"/>
        <v>8.4831957473112016</v>
      </c>
      <c r="AP42" s="29">
        <f t="shared" si="36"/>
        <v>9.3481486261414197</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600947377</v>
      </c>
      <c r="F47" s="26">
        <f>股权价值增加表!F42</f>
        <v>769037642</v>
      </c>
      <c r="G47" s="26">
        <f>股权价值增加表!G42</f>
        <v>514082165</v>
      </c>
      <c r="H47" s="26">
        <f>股权价值增加表!H42</f>
        <v>465426601</v>
      </c>
      <c r="I47" s="26">
        <f>股权价值增加表!I42</f>
        <v>756077374</v>
      </c>
      <c r="J47" s="26">
        <f>股权价值增加表!J42</f>
        <v>744258410</v>
      </c>
      <c r="K47" s="26">
        <f>股权价值增加表!K42</f>
        <v>526624796</v>
      </c>
      <c r="L47" s="26">
        <f>股权价值增加表!L42</f>
        <v>309681570</v>
      </c>
      <c r="M47" s="26">
        <f>股权价值增加表!M42</f>
        <v>237669971</v>
      </c>
      <c r="N47" s="26">
        <f>股权价值增加表!N42</f>
        <v>337645822</v>
      </c>
      <c r="O47" s="26">
        <f>股权价值增加表!O42</f>
        <v>319660315</v>
      </c>
      <c r="P47" s="26">
        <f>股权价值增加表!P42</f>
        <v>185728956</v>
      </c>
      <c r="Q47" s="26">
        <f>股权价值增加表!Q42</f>
        <v>1063677662</v>
      </c>
      <c r="R47" s="26">
        <f>股权价值增加表!R42</f>
        <v>925187872</v>
      </c>
      <c r="S47" s="26">
        <f>股权价值增加表!S42</f>
        <v>562117166</v>
      </c>
      <c r="T47" s="26">
        <f>股权价值增加表!T42</f>
        <v>226781008</v>
      </c>
      <c r="U47" s="26">
        <f>股权价值增加表!U42</f>
        <v>1075248135</v>
      </c>
      <c r="V47" s="26">
        <f>股权价值增加表!V42</f>
        <v>859196421</v>
      </c>
      <c r="W47" s="26">
        <f>股权价值增加表!W42</f>
        <v>540799550</v>
      </c>
      <c r="X47" s="26">
        <f>股权价值增加表!X42</f>
        <v>209576925</v>
      </c>
      <c r="Y47" s="26">
        <f>股权价值增加表!Y42</f>
        <v>1087061380</v>
      </c>
      <c r="Z47" s="26">
        <f>股权价值增加表!Z42</f>
        <v>767324567</v>
      </c>
      <c r="AA47" s="26">
        <f>股权价值增加表!AA42</f>
        <v>461921157</v>
      </c>
      <c r="AB47" s="26">
        <f>股权价值增加表!AB42</f>
        <v>168495611</v>
      </c>
      <c r="AC47" s="26">
        <f>股权价值增加表!AC42</f>
        <v>958407365</v>
      </c>
      <c r="AD47" s="26">
        <f>股权价值增加表!AD42</f>
        <v>684420118</v>
      </c>
      <c r="AE47" s="26">
        <f>股权价值增加表!AE42</f>
        <v>408049193</v>
      </c>
      <c r="AF47" s="26">
        <f>股权价值增加表!AF42</f>
        <v>145177997</v>
      </c>
      <c r="AG47" s="26">
        <f>股权价值增加表!AG42</f>
        <v>658859524</v>
      </c>
      <c r="AH47" s="26">
        <f>股权价值增加表!AH42</f>
        <v>452371012</v>
      </c>
      <c r="AI47" s="26">
        <f>股权价值增加表!AI42</f>
        <v>260653615</v>
      </c>
      <c r="AJ47" s="26">
        <f>股权价值增加表!AJ42</f>
        <v>93093999</v>
      </c>
      <c r="AK47" s="26">
        <f>股权价值增加表!AK42</f>
        <v>434171234</v>
      </c>
      <c r="AL47" s="26">
        <f>股权价值增加表!AL42</f>
        <v>292412210</v>
      </c>
      <c r="AM47" s="26">
        <f>股权价值增加表!AM42</f>
        <v>171657051</v>
      </c>
      <c r="AN47" s="26">
        <f>股权价值增加表!AN42</f>
        <v>66975897</v>
      </c>
      <c r="AO47" s="26">
        <f>股权价值增加表!AO42</f>
        <v>310964569</v>
      </c>
      <c r="AP47" s="26">
        <f>股权价值增加表!AP42</f>
        <v>215485911</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5.2553569356191925E-2</v>
      </c>
      <c r="F48" s="63">
        <f>股权价值增加表!F43</f>
        <v>9.7220688263783647E-2</v>
      </c>
      <c r="G48" s="63">
        <f>股权价值增加表!G43</f>
        <v>0.10402358673742103</v>
      </c>
      <c r="H48" s="63">
        <f>股权价值增加表!H43</f>
        <v>0.19120313388164747</v>
      </c>
      <c r="I48" s="63">
        <f>股权价值增加表!I43</f>
        <v>8.8265511149188458E-2</v>
      </c>
      <c r="J48" s="63">
        <f>股权价值增加表!J43</f>
        <v>0.11902659247238273</v>
      </c>
      <c r="K48" s="63">
        <f>股权价值增加表!K43</f>
        <v>0.12855755174369007</v>
      </c>
      <c r="L48" s="63">
        <f>股权价值增加表!L43</f>
        <v>0.15450643932281621</v>
      </c>
      <c r="M48" s="63">
        <f>股权价值增加表!M43</f>
        <v>3.0614396838352969E-2</v>
      </c>
      <c r="N48" s="63">
        <f>股权价值增加表!N43</f>
        <v>5.8029497694812714E-2</v>
      </c>
      <c r="O48" s="63">
        <f>股权价值增加表!O43</f>
        <v>8.3340217532859237E-2</v>
      </c>
      <c r="P48" s="63">
        <f>股权价值增加表!P43</f>
        <v>9.8131682465074879E-2</v>
      </c>
      <c r="Q48" s="63">
        <f>股权价值增加表!Q43</f>
        <v>0.13257158307993716</v>
      </c>
      <c r="R48" s="63">
        <f>股权价值增加表!R43</f>
        <v>0.15455145443147422</v>
      </c>
      <c r="S48" s="63">
        <f>股权价值增加表!S43</f>
        <v>0.14169240556269888</v>
      </c>
      <c r="T48" s="63">
        <f>股权价值增加表!T43</f>
        <v>0.11688011830454241</v>
      </c>
      <c r="U48" s="63">
        <f>股权价值增加表!U43</f>
        <v>0.1574006369508113</v>
      </c>
      <c r="V48" s="63">
        <f>股权价值增加表!V43</f>
        <v>0.17430836773714103</v>
      </c>
      <c r="W48" s="63">
        <f>股权价值增加表!W43</f>
        <v>0.16999036785618679</v>
      </c>
      <c r="X48" s="63">
        <f>股权价值增加表!X43</f>
        <v>0.14341511508317273</v>
      </c>
      <c r="Y48" s="63">
        <f>股权价值增加表!Y43</f>
        <v>0.18470856704387018</v>
      </c>
      <c r="Z48" s="63">
        <f>股权价值增加表!Z43</f>
        <v>0.17624618509166254</v>
      </c>
      <c r="AA48" s="63">
        <f>股权价值增加表!AA43</f>
        <v>0.16642311554504016</v>
      </c>
      <c r="AB48" s="63">
        <f>股权价值增加表!AB43</f>
        <v>0.13635251799196896</v>
      </c>
      <c r="AC48" s="63">
        <f>股权价值增加表!AC43</f>
        <v>0.18617628645569467</v>
      </c>
      <c r="AD48" s="63">
        <f>股权价值增加表!AD43</f>
        <v>0.18766380897744922</v>
      </c>
      <c r="AE48" s="63">
        <f>股权价值增加表!AE43</f>
        <v>0.17653381524854297</v>
      </c>
      <c r="AF48" s="63">
        <f>股权价值增加表!AF43</f>
        <v>0.13500832595223233</v>
      </c>
      <c r="AG48" s="63">
        <f>股权价值增加表!AG43</f>
        <v>0.16363489242814064</v>
      </c>
      <c r="AH48" s="63">
        <f>股权价值增加表!AH43</f>
        <v>0.15883811242139256</v>
      </c>
      <c r="AI48" s="63">
        <f>股权价值增加表!AI43</f>
        <v>0.14595050496906087</v>
      </c>
      <c r="AJ48" s="63">
        <f>股权价值增加表!AJ43</f>
        <v>0.11450426220823451</v>
      </c>
      <c r="AK48" s="63">
        <f>股权价值增加表!AK43</f>
        <v>0.13375637529256929</v>
      </c>
      <c r="AL48" s="63">
        <f>股权价值增加表!AL43</f>
        <v>0.12456456725149731</v>
      </c>
      <c r="AM48" s="63">
        <f>股权价值增加表!AM43</f>
        <v>0.11664814026212855</v>
      </c>
      <c r="AN48" s="63">
        <f>股权价值增加表!AN43</f>
        <v>0.10168222057647593</v>
      </c>
      <c r="AO48" s="63">
        <f>股权价值增加表!AO43</f>
        <v>0.11862577351987123</v>
      </c>
      <c r="AP48" s="63">
        <f>股权价值增加表!AP43</f>
        <v>0.10618592212278502</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-0.20517740952793015</v>
      </c>
      <c r="F49" s="59">
        <f t="shared" ref="F49:BQ49" si="38">(F47-J47)/J47</f>
        <v>3.3293855557507239E-2</v>
      </c>
      <c r="G49" s="59">
        <f t="shared" si="38"/>
        <v>-2.3817015634789822E-2</v>
      </c>
      <c r="H49" s="59">
        <f t="shared" si="38"/>
        <v>0.50291992190558843</v>
      </c>
      <c r="I49" s="59">
        <f t="shared" si="38"/>
        <v>2.1812069939622285</v>
      </c>
      <c r="J49" s="59">
        <f t="shared" si="38"/>
        <v>1.2042577206834209</v>
      </c>
      <c r="K49" s="59">
        <f t="shared" si="38"/>
        <v>0.64745128277809527</v>
      </c>
      <c r="L49" s="59">
        <f t="shared" si="38"/>
        <v>0.66738443304446293</v>
      </c>
      <c r="M49" s="59">
        <f t="shared" si="38"/>
        <v>-0.77655827560285839</v>
      </c>
      <c r="N49" s="59">
        <f t="shared" si="38"/>
        <v>-0.63505161252265097</v>
      </c>
      <c r="O49" s="59">
        <f t="shared" si="38"/>
        <v>-0.43132796090415071</v>
      </c>
      <c r="P49" s="59">
        <f t="shared" si="38"/>
        <v>-0.18102067876865596</v>
      </c>
      <c r="Q49" s="59">
        <f t="shared" si="38"/>
        <v>-1.0760746867047578E-2</v>
      </c>
      <c r="R49" s="59">
        <f t="shared" si="38"/>
        <v>7.6806012440314861E-2</v>
      </c>
      <c r="S49" s="59">
        <f t="shared" si="38"/>
        <v>3.9418701439378048E-2</v>
      </c>
      <c r="T49" s="59">
        <f t="shared" si="38"/>
        <v>8.2089585959904704E-2</v>
      </c>
      <c r="U49" s="59">
        <f t="shared" si="38"/>
        <v>-1.0867137051635483E-2</v>
      </c>
      <c r="V49" s="59">
        <f t="shared" si="38"/>
        <v>0.1197301089409796</v>
      </c>
      <c r="W49" s="59">
        <f t="shared" si="38"/>
        <v>0.17076159384489939</v>
      </c>
      <c r="X49" s="59">
        <f t="shared" si="38"/>
        <v>0.24381236850139676</v>
      </c>
      <c r="Y49" s="59">
        <f t="shared" si="38"/>
        <v>0.13423729793645733</v>
      </c>
      <c r="Z49" s="59">
        <f t="shared" si="38"/>
        <v>0.12113093525401017</v>
      </c>
      <c r="AA49" s="59">
        <f t="shared" si="38"/>
        <v>0.13202320927026071</v>
      </c>
      <c r="AB49" s="59">
        <f t="shared" si="38"/>
        <v>0.16061396686716928</v>
      </c>
      <c r="AC49" s="59">
        <f t="shared" si="38"/>
        <v>0.45464599066795913</v>
      </c>
      <c r="AD49" s="59">
        <f t="shared" si="38"/>
        <v>0.51296192692382336</v>
      </c>
      <c r="AE49" s="59">
        <f t="shared" si="38"/>
        <v>0.56548449558238434</v>
      </c>
      <c r="AF49" s="59">
        <f t="shared" si="38"/>
        <v>0.55947750187420786</v>
      </c>
      <c r="AG49" s="59">
        <f t="shared" si="38"/>
        <v>0.51751077087709596</v>
      </c>
      <c r="AH49" s="59">
        <f t="shared" si="38"/>
        <v>0.54703188351813348</v>
      </c>
      <c r="AI49" s="59">
        <f t="shared" si="38"/>
        <v>0.51845562696984704</v>
      </c>
      <c r="AJ49" s="59">
        <f t="shared" si="38"/>
        <v>0.38996270553868057</v>
      </c>
      <c r="AK49" s="59">
        <f t="shared" si="38"/>
        <v>0.39620804838380158</v>
      </c>
      <c r="AL49" s="59">
        <f t="shared" si="38"/>
        <v>0.35698992404194813</v>
      </c>
      <c r="AM49" s="59" t="e">
        <f t="shared" si="38"/>
        <v>#DIV/0!</v>
      </c>
      <c r="AN49" s="59">
        <f t="shared" si="38"/>
        <v>-1.2091670303360118</v>
      </c>
      <c r="AO49" s="59">
        <f t="shared" si="38"/>
        <v>-1.5096649755897877</v>
      </c>
      <c r="AP49" s="59">
        <f t="shared" si="38"/>
        <v>-1.3551911219916446</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-357648791.39999998</v>
      </c>
      <c r="F50" s="26">
        <f>股权价值增加表!F47</f>
        <v>-198042980.08000004</v>
      </c>
      <c r="G50" s="26">
        <f>股权价值增加表!G47</f>
        <v>-429120084.75999999</v>
      </c>
      <c r="H50" s="26">
        <f>股权价值增加表!H47</f>
        <v>-487713361.48000002</v>
      </c>
      <c r="I50" s="26">
        <f>股权价值增加表!I47</f>
        <v>-161230544.08000004</v>
      </c>
      <c r="J50" s="26">
        <f>股权价值增加表!J47</f>
        <v>-177457152.24000001</v>
      </c>
      <c r="K50" s="26">
        <f>股权价值增加表!K47</f>
        <v>-382883210.56000006</v>
      </c>
      <c r="L50" s="26">
        <f>股权价值增加表!L47</f>
        <v>-598378652.32000005</v>
      </c>
      <c r="M50" s="26">
        <f>股权价值增加表!M47</f>
        <v>-655438824.75999999</v>
      </c>
      <c r="N50" s="26">
        <f>股权价值增加表!N47</f>
        <v>-546447779.12</v>
      </c>
      <c r="O50" s="26">
        <f>股权价值增加表!O47</f>
        <v>-579745180.92000008</v>
      </c>
      <c r="P50" s="26">
        <f>股权价值增加表!P47</f>
        <v>-707457896.39999998</v>
      </c>
      <c r="Q50" s="26">
        <f>股权价值增加表!Q47</f>
        <v>186048018.96000004</v>
      </c>
      <c r="R50" s="26">
        <f>股权价值增加表!R47</f>
        <v>59830902.319999933</v>
      </c>
      <c r="S50" s="26">
        <f>股权价值增加表!S47</f>
        <v>-275165226.80000007</v>
      </c>
      <c r="T50" s="26">
        <f>股权价值增加表!T47</f>
        <v>-593274491.68000007</v>
      </c>
      <c r="U50" s="26">
        <f>股权价值增加表!U47</f>
        <v>273335115.48000002</v>
      </c>
      <c r="V50" s="26">
        <f>股权价值增加表!V47</f>
        <v>76030672.360000014</v>
      </c>
      <c r="W50" s="26">
        <f>股权价值增加表!W47</f>
        <v>-216894449.27999997</v>
      </c>
      <c r="X50" s="26">
        <f>股权价值增加表!X47</f>
        <v>-532326678.36000001</v>
      </c>
      <c r="Y50" s="26">
        <f>股权价值增加表!Y47</f>
        <v>361935158.96000004</v>
      </c>
      <c r="Z50" s="26">
        <f>股权价值增加表!Z47</f>
        <v>68979753.879999995</v>
      </c>
      <c r="AA50" s="26">
        <f>股权价值增加表!AA47</f>
        <v>-211610923.15999997</v>
      </c>
      <c r="AB50" s="26">
        <f>股权价值增加表!AB47</f>
        <v>-479381662.91999996</v>
      </c>
      <c r="AC50" s="26">
        <f>股权价值增加表!AC47</f>
        <v>323929739.96000004</v>
      </c>
      <c r="AD50" s="26">
        <f>股权价值增加表!AD47</f>
        <v>74293777.360000014</v>
      </c>
      <c r="AE50" s="26">
        <f>股权价值增加表!AE47</f>
        <v>-179967473.56000006</v>
      </c>
      <c r="AF50" s="26">
        <f>股权价值增加表!AF47</f>
        <v>-431408973.96000004</v>
      </c>
      <c r="AG50" s="26">
        <f>股权价值增加表!AG47</f>
        <v>94728506.879999995</v>
      </c>
      <c r="AH50" s="26">
        <f>股权价值增加表!AH47</f>
        <v>-91208672.799999952</v>
      </c>
      <c r="AI50" s="26">
        <f>股权价值增加表!AI47</f>
        <v>-268311265.63999999</v>
      </c>
      <c r="AJ50" s="26">
        <f>股权价值增加表!AJ47</f>
        <v>-40706334.840000004</v>
      </c>
      <c r="AK50" s="26">
        <f>股权价值增加表!AK47</f>
        <v>307818420.24000001</v>
      </c>
      <c r="AL50" s="26">
        <f>股权价值增加表!AL47</f>
        <v>197193094.95999998</v>
      </c>
      <c r="AM50" s="26">
        <f>股权价值增加表!AM47</f>
        <v>116359745</v>
      </c>
      <c r="AN50" s="26">
        <f>股权价值增加表!AN47</f>
        <v>66975897</v>
      </c>
      <c r="AO50" s="26">
        <f>股权价值增加表!AO47</f>
        <v>310964569</v>
      </c>
      <c r="AP50" s="26">
        <f>股权价值增加表!AP47</f>
        <v>215485911</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1512423595</v>
      </c>
      <c r="F54" s="193">
        <f t="shared" ref="F54:AC54" si="41">F39</f>
        <v>1290218208</v>
      </c>
      <c r="G54" s="193">
        <f t="shared" si="41"/>
        <v>831429333</v>
      </c>
      <c r="H54" s="193">
        <f t="shared" si="41"/>
        <v>590652952</v>
      </c>
      <c r="I54" s="193">
        <f t="shared" si="41"/>
        <v>1181083529</v>
      </c>
      <c r="J54" s="193">
        <f t="shared" si="41"/>
        <v>1018900221</v>
      </c>
      <c r="K54" s="193">
        <f t="shared" si="41"/>
        <v>710542495</v>
      </c>
      <c r="L54" s="193">
        <f t="shared" si="41"/>
        <v>417815658</v>
      </c>
      <c r="M54" s="193">
        <f t="shared" si="41"/>
        <v>889944361</v>
      </c>
      <c r="N54" s="193">
        <f t="shared" si="41"/>
        <v>763512990</v>
      </c>
      <c r="O54" s="193">
        <f t="shared" si="41"/>
        <v>533482520</v>
      </c>
      <c r="P54" s="193">
        <f t="shared" si="41"/>
        <v>298014280</v>
      </c>
      <c r="Q54" s="193">
        <f t="shared" si="41"/>
        <v>1501845461</v>
      </c>
      <c r="R54" s="193">
        <f t="shared" si="41"/>
        <v>1220208046</v>
      </c>
      <c r="S54" s="193">
        <f t="shared" si="41"/>
        <v>750812204</v>
      </c>
      <c r="T54" s="193">
        <f t="shared" si="41"/>
        <v>310578503</v>
      </c>
      <c r="U54" s="193">
        <f t="shared" si="41"/>
        <v>1491826513</v>
      </c>
      <c r="V54" s="193">
        <f t="shared" si="41"/>
        <v>1104639587</v>
      </c>
      <c r="W54" s="193">
        <f t="shared" si="41"/>
        <v>692948099</v>
      </c>
      <c r="X54" s="193">
        <f t="shared" si="41"/>
        <v>277804228</v>
      </c>
      <c r="Y54" s="193">
        <f t="shared" si="41"/>
        <v>1406831013</v>
      </c>
      <c r="Z54" s="193">
        <f t="shared" si="41"/>
        <v>947242800</v>
      </c>
      <c r="AA54" s="193">
        <f t="shared" si="41"/>
        <v>564954773</v>
      </c>
      <c r="AB54" s="193">
        <f t="shared" si="41"/>
        <v>210875385</v>
      </c>
      <c r="AC54" s="193">
        <f t="shared" si="41"/>
        <v>1188780025</v>
      </c>
    </row>
    <row r="55" spans="1:88" s="63" customFormat="1" x14ac:dyDescent="0.25">
      <c r="A55" s="63" t="s">
        <v>673</v>
      </c>
      <c r="E55" s="63">
        <f>E54/E2</f>
        <v>0.13226325854447257</v>
      </c>
      <c r="F55" s="63">
        <f t="shared" ref="F55:AC55" si="42">F54/F2</f>
        <v>0.16310762353063801</v>
      </c>
      <c r="G55" s="63">
        <f t="shared" si="42"/>
        <v>0.16823820631350167</v>
      </c>
      <c r="H55" s="63">
        <f t="shared" si="42"/>
        <v>0.24264770259413318</v>
      </c>
      <c r="I55" s="63">
        <f t="shared" si="42"/>
        <v>0.13788131345016597</v>
      </c>
      <c r="J55" s="63">
        <f t="shared" si="42"/>
        <v>0.16294907755894583</v>
      </c>
      <c r="K55" s="63">
        <f t="shared" si="42"/>
        <v>0.1734548093080166</v>
      </c>
      <c r="L55" s="63">
        <f t="shared" si="42"/>
        <v>0.20845673706349246</v>
      </c>
      <c r="M55" s="63">
        <f t="shared" si="42"/>
        <v>0.11463421195817983</v>
      </c>
      <c r="N55" s="63">
        <f t="shared" si="42"/>
        <v>0.13122115662714925</v>
      </c>
      <c r="O55" s="63">
        <f t="shared" si="42"/>
        <v>0.13908685933309528</v>
      </c>
      <c r="P55" s="63">
        <f t="shared" si="42"/>
        <v>0.1574587147036885</v>
      </c>
      <c r="Q55" s="63">
        <f t="shared" si="42"/>
        <v>0.1871826751835915</v>
      </c>
      <c r="R55" s="63">
        <f t="shared" si="42"/>
        <v>0.20383419835651195</v>
      </c>
      <c r="S55" s="63">
        <f t="shared" si="42"/>
        <v>0.18925660653208337</v>
      </c>
      <c r="T55" s="63">
        <f t="shared" si="42"/>
        <v>0.16006830771952332</v>
      </c>
      <c r="U55" s="63">
        <f t="shared" si="42"/>
        <v>0.21838163278126288</v>
      </c>
      <c r="V55" s="63">
        <f t="shared" si="42"/>
        <v>0.22410233404335791</v>
      </c>
      <c r="W55" s="63">
        <f t="shared" si="42"/>
        <v>0.21781545908138303</v>
      </c>
      <c r="X55" s="63">
        <f t="shared" si="42"/>
        <v>0.19010358764072885</v>
      </c>
      <c r="Y55" s="63">
        <f t="shared" si="42"/>
        <v>0.23904238092250715</v>
      </c>
      <c r="Z55" s="63">
        <f t="shared" si="42"/>
        <v>0.21757146458669904</v>
      </c>
      <c r="AA55" s="63">
        <f t="shared" si="42"/>
        <v>0.20354454876095002</v>
      </c>
      <c r="AB55" s="63">
        <f t="shared" si="42"/>
        <v>0.17064770741877591</v>
      </c>
      <c r="AC55" s="63">
        <f t="shared" si="42"/>
        <v>0.23092753514807127</v>
      </c>
    </row>
    <row r="56" spans="1:88" x14ac:dyDescent="0.25">
      <c r="A56" s="17" t="s">
        <v>674</v>
      </c>
      <c r="E56" s="193">
        <f>E23</f>
        <v>526890014.12240762</v>
      </c>
      <c r="F56" s="193">
        <f t="shared" ref="F56:AC56" si="43">F23</f>
        <v>750399884.18391991</v>
      </c>
      <c r="G56" s="193">
        <f t="shared" si="43"/>
        <v>490412106.32828569</v>
      </c>
      <c r="H56" s="193">
        <f t="shared" si="43"/>
        <v>328897362.79385149</v>
      </c>
      <c r="I56" s="193">
        <f t="shared" si="43"/>
        <v>865650712.83259571</v>
      </c>
      <c r="J56" s="193">
        <f t="shared" si="43"/>
        <v>766587112.82434523</v>
      </c>
      <c r="K56" s="193">
        <f t="shared" si="43"/>
        <v>538232797.33408797</v>
      </c>
      <c r="L56" s="193">
        <f t="shared" si="43"/>
        <v>294123119.76550567</v>
      </c>
      <c r="M56" s="193">
        <f t="shared" si="43"/>
        <v>692420789.2546773</v>
      </c>
      <c r="N56" s="193">
        <f t="shared" si="43"/>
        <v>676417762.67197788</v>
      </c>
      <c r="O56" s="193">
        <f t="shared" si="43"/>
        <v>486734189.05530655</v>
      </c>
      <c r="P56" s="193">
        <f t="shared" si="43"/>
        <v>257032301.85906723</v>
      </c>
      <c r="Q56" s="193">
        <f t="shared" si="43"/>
        <v>1155241596.3514321</v>
      </c>
      <c r="R56" s="193">
        <f t="shared" si="43"/>
        <v>970740025.6179074</v>
      </c>
      <c r="S56" s="193">
        <f t="shared" si="43"/>
        <v>627419536.69600773</v>
      </c>
      <c r="T56" s="193">
        <f t="shared" si="43"/>
        <v>269786151.69487375</v>
      </c>
      <c r="U56" s="193">
        <f t="shared" si="43"/>
        <v>1213462524.334265</v>
      </c>
      <c r="V56" s="193">
        <f t="shared" si="43"/>
        <v>955553931.20155954</v>
      </c>
      <c r="W56" s="193">
        <f t="shared" si="43"/>
        <v>602338088.1228869</v>
      </c>
      <c r="X56" s="193">
        <f t="shared" si="43"/>
        <v>239137152.05657282</v>
      </c>
      <c r="Y56" s="193">
        <f t="shared" si="43"/>
        <v>1164926652.9638162</v>
      </c>
      <c r="Z56" s="193">
        <f t="shared" si="43"/>
        <v>815874602.88204658</v>
      </c>
      <c r="AA56" s="193">
        <f t="shared" si="43"/>
        <v>487742653.76366258</v>
      </c>
      <c r="AB56" s="193">
        <f t="shared" si="43"/>
        <v>185881290.91455272</v>
      </c>
      <c r="AC56" s="193">
        <f t="shared" si="43"/>
        <v>967668011.75975609</v>
      </c>
    </row>
    <row r="57" spans="1:88" s="63" customFormat="1" x14ac:dyDescent="0.25">
      <c r="A57" s="63" t="s">
        <v>675</v>
      </c>
      <c r="E57" s="63">
        <f>E56/E2</f>
        <v>4.6077164091302608E-2</v>
      </c>
      <c r="F57" s="63">
        <f t="shared" ref="F57:AC57" si="44">F56/F2</f>
        <v>9.4864528378214588E-2</v>
      </c>
      <c r="G57" s="63">
        <f t="shared" si="44"/>
        <v>9.9233993616023947E-2</v>
      </c>
      <c r="H57" s="63">
        <f t="shared" si="44"/>
        <v>0.13511519615870338</v>
      </c>
      <c r="I57" s="63">
        <f t="shared" si="44"/>
        <v>0.10105725322872632</v>
      </c>
      <c r="J57" s="63">
        <f t="shared" si="44"/>
        <v>0.12259754226052189</v>
      </c>
      <c r="K57" s="63">
        <f t="shared" si="44"/>
        <v>0.13139125088486731</v>
      </c>
      <c r="L57" s="63">
        <f t="shared" si="44"/>
        <v>0.1467440117843839</v>
      </c>
      <c r="M57" s="63">
        <f t="shared" si="44"/>
        <v>8.919109440783439E-2</v>
      </c>
      <c r="N57" s="63">
        <f t="shared" si="44"/>
        <v>0.11625253577017136</v>
      </c>
      <c r="O57" s="63">
        <f t="shared" si="44"/>
        <v>0.12689887137397421</v>
      </c>
      <c r="P57" s="63">
        <f t="shared" si="44"/>
        <v>0.1358054918981037</v>
      </c>
      <c r="Q57" s="63">
        <f t="shared" si="44"/>
        <v>0.14398366416771016</v>
      </c>
      <c r="R57" s="63">
        <f t="shared" si="44"/>
        <v>0.16216088361574862</v>
      </c>
      <c r="S57" s="63">
        <f t="shared" si="44"/>
        <v>0.15815311972075827</v>
      </c>
      <c r="T57" s="63">
        <f t="shared" si="44"/>
        <v>0.13904443588602478</v>
      </c>
      <c r="U57" s="63">
        <f t="shared" si="44"/>
        <v>0.17763320672595509</v>
      </c>
      <c r="V57" s="63">
        <f t="shared" si="44"/>
        <v>0.193856773563716</v>
      </c>
      <c r="W57" s="63">
        <f t="shared" si="44"/>
        <v>0.18933387273307051</v>
      </c>
      <c r="X57" s="63">
        <f t="shared" si="44"/>
        <v>0.16364340770271141</v>
      </c>
      <c r="Y57" s="63">
        <f t="shared" si="44"/>
        <v>0.1979390830535791</v>
      </c>
      <c r="Z57" s="63">
        <f t="shared" si="44"/>
        <v>0.18739760520548518</v>
      </c>
      <c r="AA57" s="63">
        <f t="shared" si="44"/>
        <v>0.17572620520508989</v>
      </c>
      <c r="AB57" s="63">
        <f t="shared" si="44"/>
        <v>0.15042161581168403</v>
      </c>
      <c r="AC57" s="63">
        <f t="shared" si="44"/>
        <v>0.18797522173819778</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931140957</v>
      </c>
      <c r="F61" s="89">
        <f>股权价值增加表!F38</f>
        <v>880173863</v>
      </c>
      <c r="G61" s="89">
        <f>股权价值增加表!G38</f>
        <v>586811044</v>
      </c>
      <c r="H61" s="89">
        <f>股权价值增加表!H38</f>
        <v>492456470</v>
      </c>
      <c r="I61" s="89">
        <f>股权价值增加表!I38</f>
        <v>848178704</v>
      </c>
      <c r="J61" s="89">
        <f>股权价值增加表!J38</f>
        <v>811584983</v>
      </c>
      <c r="K61" s="89">
        <f>股权价值增加表!K38</f>
        <v>577650308</v>
      </c>
      <c r="L61" s="89">
        <f>股权价值增加表!L38</f>
        <v>341489150</v>
      </c>
      <c r="M61" s="89">
        <f>股权价值增加表!M38</f>
        <v>376597378</v>
      </c>
      <c r="N61" s="89">
        <f>股权价值增加表!N38</f>
        <v>446882622</v>
      </c>
      <c r="O61" s="89">
        <f>股权价值增加表!O38</f>
        <v>393102518</v>
      </c>
      <c r="P61" s="89">
        <f>股权价值增加表!P38</f>
        <v>227524773</v>
      </c>
      <c r="Q61" s="89">
        <f>股权价值增加表!Q38</f>
        <v>1227703855</v>
      </c>
      <c r="R61" s="89">
        <f>股权价值增加表!R38</f>
        <v>1070326583</v>
      </c>
      <c r="S61" s="89">
        <f>股权价值增加表!S38</f>
        <v>652083871</v>
      </c>
      <c r="T61" s="89">
        <f>股权价值增加表!T38</f>
        <v>262004478</v>
      </c>
      <c r="U61" s="89">
        <f>股权价值增加表!U38</f>
        <v>1266258392</v>
      </c>
      <c r="V61" s="89">
        <f>股权价值增加表!V38</f>
        <v>993444817</v>
      </c>
      <c r="W61" s="89">
        <f>股权价值增加表!W38</f>
        <v>622463873</v>
      </c>
      <c r="X61" s="89">
        <f>股权价值增加表!X38</f>
        <v>243580165</v>
      </c>
      <c r="Y61" s="89">
        <f>股权价值增加表!Y38</f>
        <v>1261931689</v>
      </c>
      <c r="Z61" s="89">
        <f>股权价值增加表!Z38</f>
        <v>889757190</v>
      </c>
      <c r="AA61" s="89">
        <f>股权价值增加表!AA38</f>
        <v>535051743</v>
      </c>
      <c r="AB61" s="89">
        <f>股权价值增加表!AB38</f>
        <v>196532311</v>
      </c>
      <c r="AC61" s="89">
        <f>股权价值增加表!AC38</f>
        <v>1115457032</v>
      </c>
    </row>
    <row r="62" spans="1:88" s="193" customFormat="1" x14ac:dyDescent="0.25">
      <c r="A62" s="89" t="s">
        <v>680</v>
      </c>
      <c r="B62" s="89"/>
      <c r="C62" s="89"/>
      <c r="D62" s="89"/>
      <c r="E62" s="89">
        <f>股权价值增加表!E40</f>
        <v>330193580</v>
      </c>
      <c r="F62" s="89">
        <f>股权价值增加表!F40</f>
        <v>111136221</v>
      </c>
      <c r="G62" s="89">
        <f>股权价值增加表!G40</f>
        <v>72728879</v>
      </c>
      <c r="H62" s="89">
        <f>股权价值增加表!H40</f>
        <v>27029869</v>
      </c>
      <c r="I62" s="89">
        <f>股权价值增加表!I40</f>
        <v>92101330</v>
      </c>
      <c r="J62" s="89">
        <f>股权价值增加表!J40</f>
        <v>67326573</v>
      </c>
      <c r="K62" s="89">
        <f>股权价值增加表!K40</f>
        <v>51025512</v>
      </c>
      <c r="L62" s="89">
        <f>股权价值增加表!L40</f>
        <v>31807580</v>
      </c>
      <c r="M62" s="89">
        <f>股权价值增加表!M40</f>
        <v>138927407</v>
      </c>
      <c r="N62" s="89">
        <f>股权价值增加表!N40</f>
        <v>109236800</v>
      </c>
      <c r="O62" s="89">
        <f>股权价值增加表!O40</f>
        <v>73442203</v>
      </c>
      <c r="P62" s="89">
        <f>股权价值增加表!P40</f>
        <v>41795817</v>
      </c>
      <c r="Q62" s="89">
        <f>股权价值增加表!Q40</f>
        <v>164026193</v>
      </c>
      <c r="R62" s="89">
        <f>股权价值增加表!R40</f>
        <v>145138711</v>
      </c>
      <c r="S62" s="89">
        <f>股权价值增加表!S40</f>
        <v>89966705</v>
      </c>
      <c r="T62" s="89">
        <f>股权价值增加表!T40</f>
        <v>35223470</v>
      </c>
      <c r="U62" s="89">
        <f>股权价值增加表!U40</f>
        <v>191010257</v>
      </c>
      <c r="V62" s="89">
        <f>股权价值增加表!V40</f>
        <v>134248396</v>
      </c>
      <c r="W62" s="89">
        <f>股权价值增加表!W40</f>
        <v>81664323</v>
      </c>
      <c r="X62" s="89">
        <f>股权价值增加表!X40</f>
        <v>34003240</v>
      </c>
      <c r="Y62" s="89">
        <f>股权价值增加表!Y40</f>
        <v>174870309</v>
      </c>
      <c r="Z62" s="89">
        <f>股权价值增加表!Z40</f>
        <v>122432623</v>
      </c>
      <c r="AA62" s="89">
        <f>股权价值增加表!AA40</f>
        <v>73130586</v>
      </c>
      <c r="AB62" s="89">
        <f>股权价值增加表!AB40</f>
        <v>28036700</v>
      </c>
      <c r="AC62" s="89">
        <f>股权价值增加表!AC40</f>
        <v>157049667</v>
      </c>
    </row>
    <row r="63" spans="1:88" x14ac:dyDescent="0.25">
      <c r="A63" s="184" t="s">
        <v>681</v>
      </c>
      <c r="B63" s="64"/>
      <c r="C63" s="64"/>
      <c r="D63" s="64"/>
      <c r="E63" s="64">
        <f>股权价值增加表!E42</f>
        <v>600947377</v>
      </c>
      <c r="F63" s="64">
        <f>股权价值增加表!F42</f>
        <v>769037642</v>
      </c>
      <c r="G63" s="64">
        <f>股权价值增加表!G42</f>
        <v>514082165</v>
      </c>
      <c r="H63" s="64">
        <f>股权价值增加表!H42</f>
        <v>465426601</v>
      </c>
      <c r="I63" s="64">
        <f>股权价值增加表!I42</f>
        <v>756077374</v>
      </c>
      <c r="J63" s="64">
        <f>股权价值增加表!J42</f>
        <v>744258410</v>
      </c>
      <c r="K63" s="64">
        <f>股权价值增加表!K42</f>
        <v>526624796</v>
      </c>
      <c r="L63" s="64">
        <f>股权价值增加表!L42</f>
        <v>309681570</v>
      </c>
      <c r="M63" s="64">
        <f>股权价值增加表!M42</f>
        <v>237669971</v>
      </c>
      <c r="N63" s="64">
        <f>股权价值增加表!N42</f>
        <v>337645822</v>
      </c>
      <c r="O63" s="64">
        <f>股权价值增加表!O42</f>
        <v>319660315</v>
      </c>
      <c r="P63" s="64">
        <f>股权价值增加表!P42</f>
        <v>185728956</v>
      </c>
      <c r="Q63" s="64">
        <f>股权价值增加表!Q42</f>
        <v>1063677662</v>
      </c>
      <c r="R63" s="64">
        <f>股权价值增加表!R42</f>
        <v>925187872</v>
      </c>
      <c r="S63" s="64">
        <f>股权价值增加表!S42</f>
        <v>562117166</v>
      </c>
      <c r="T63" s="64">
        <f>股权价值增加表!T42</f>
        <v>226781008</v>
      </c>
      <c r="U63" s="64">
        <f>股权价值增加表!U42</f>
        <v>1075248135</v>
      </c>
      <c r="V63" s="64">
        <f>股权价值增加表!V42</f>
        <v>859196421</v>
      </c>
      <c r="W63" s="64">
        <f>股权价值增加表!W42</f>
        <v>540799550</v>
      </c>
      <c r="X63" s="64">
        <f>股权价值增加表!X42</f>
        <v>209576925</v>
      </c>
      <c r="Y63" s="64">
        <f>股权价值增加表!Y42</f>
        <v>1087061380</v>
      </c>
      <c r="Z63" s="64">
        <f>股权价值增加表!Z42</f>
        <v>767324567</v>
      </c>
      <c r="AA63" s="64">
        <f>股权价值增加表!AA42</f>
        <v>461921157</v>
      </c>
      <c r="AB63" s="64">
        <f>股权价值增加表!AB42</f>
        <v>168495611</v>
      </c>
      <c r="AC63" s="64">
        <f>股权价值增加表!AC42</f>
        <v>958407365</v>
      </c>
    </row>
    <row r="64" spans="1:88" s="63" customFormat="1" x14ac:dyDescent="0.25">
      <c r="A64" s="214" t="s">
        <v>682</v>
      </c>
      <c r="B64" s="214"/>
      <c r="C64" s="214"/>
      <c r="D64" s="214"/>
      <c r="E64" s="214">
        <f>1-E63/E61</f>
        <v>0.35461180986371321</v>
      </c>
      <c r="F64" s="214">
        <f t="shared" ref="F64:AC64" si="46">1-F63/F61</f>
        <v>0.12626621361057166</v>
      </c>
      <c r="G64" s="214">
        <f t="shared" si="46"/>
        <v>0.12393917896337348</v>
      </c>
      <c r="H64" s="214">
        <f t="shared" si="46"/>
        <v>5.4887834045514672E-2</v>
      </c>
      <c r="I64" s="214">
        <f t="shared" si="46"/>
        <v>0.1085871757515855</v>
      </c>
      <c r="J64" s="214">
        <f t="shared" si="46"/>
        <v>8.2956898427481107E-2</v>
      </c>
      <c r="K64" s="214">
        <f t="shared" si="46"/>
        <v>8.8332874220505064E-2</v>
      </c>
      <c r="L64" s="214">
        <f t="shared" si="46"/>
        <v>9.3143749955159616E-2</v>
      </c>
      <c r="M64" s="214">
        <f t="shared" si="46"/>
        <v>0.36890168417476343</v>
      </c>
      <c r="N64" s="214">
        <f t="shared" si="46"/>
        <v>0.24444181675965915</v>
      </c>
      <c r="O64" s="214">
        <f t="shared" si="46"/>
        <v>0.18682709887907667</v>
      </c>
      <c r="P64" s="214">
        <f t="shared" si="46"/>
        <v>0.18369787363769829</v>
      </c>
      <c r="Q64" s="214">
        <f t="shared" si="46"/>
        <v>0.13360403841038682</v>
      </c>
      <c r="R64" s="214">
        <f t="shared" si="46"/>
        <v>0.13560226692043209</v>
      </c>
      <c r="S64" s="214">
        <f t="shared" si="46"/>
        <v>0.13796799614447142</v>
      </c>
      <c r="T64" s="214">
        <f t="shared" si="46"/>
        <v>0.13443842742260304</v>
      </c>
      <c r="U64" s="214">
        <f t="shared" si="46"/>
        <v>0.15084619237808772</v>
      </c>
      <c r="V64" s="214">
        <f t="shared" si="46"/>
        <v>0.13513422557822852</v>
      </c>
      <c r="W64" s="214">
        <f t="shared" si="46"/>
        <v>0.131195281432823</v>
      </c>
      <c r="X64" s="214">
        <f t="shared" si="46"/>
        <v>0.13959773777146423</v>
      </c>
      <c r="Y64" s="214">
        <f t="shared" si="46"/>
        <v>0.13857351433861964</v>
      </c>
      <c r="Z64" s="214">
        <f t="shared" si="46"/>
        <v>0.13760228563030774</v>
      </c>
      <c r="AA64" s="214">
        <f t="shared" si="46"/>
        <v>0.13667946503633766</v>
      </c>
      <c r="AB64" s="214">
        <f t="shared" si="46"/>
        <v>0.14265694967582199</v>
      </c>
      <c r="AC64" s="214">
        <f t="shared" si="46"/>
        <v>0.14079400863914227</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600947377</v>
      </c>
      <c r="F2" s="26">
        <f>股权价值增加表!F42</f>
        <v>769037642</v>
      </c>
      <c r="G2" s="26">
        <f>股权价值增加表!G42</f>
        <v>514082165</v>
      </c>
      <c r="H2" s="26">
        <f>股权价值增加表!H42</f>
        <v>465426601</v>
      </c>
      <c r="I2" s="26">
        <f>股权价值增加表!I42</f>
        <v>756077374</v>
      </c>
      <c r="J2" s="26">
        <f>股权价值增加表!J42</f>
        <v>744258410</v>
      </c>
      <c r="K2" s="26">
        <f>股权价值增加表!K42</f>
        <v>526624796</v>
      </c>
      <c r="L2" s="26">
        <f>股权价值增加表!L42</f>
        <v>309681570</v>
      </c>
      <c r="M2" s="26">
        <f>股权价值增加表!M42</f>
        <v>237669971</v>
      </c>
      <c r="N2" s="26">
        <f>股权价值增加表!N42</f>
        <v>337645822</v>
      </c>
      <c r="O2" s="26">
        <f>股权价值增加表!O42</f>
        <v>319660315</v>
      </c>
      <c r="P2" s="26">
        <f>股权价值增加表!P42</f>
        <v>185728956</v>
      </c>
      <c r="Q2" s="26">
        <f>股权价值增加表!Q42</f>
        <v>1063677662</v>
      </c>
      <c r="R2" s="26">
        <f>股权价值增加表!R42</f>
        <v>925187872</v>
      </c>
      <c r="S2" s="26">
        <f>股权价值增加表!S42</f>
        <v>562117166</v>
      </c>
      <c r="T2" s="26">
        <f>股权价值增加表!T42</f>
        <v>226781008</v>
      </c>
      <c r="U2" s="26">
        <f>股权价值增加表!U42</f>
        <v>1075248135</v>
      </c>
      <c r="V2" s="26">
        <f>股权价值增加表!V42</f>
        <v>859196421</v>
      </c>
      <c r="W2" s="26">
        <f>股权价值增加表!W42</f>
        <v>540799550</v>
      </c>
      <c r="X2" s="26">
        <f>股权价值增加表!X42</f>
        <v>209576925</v>
      </c>
      <c r="Y2" s="26">
        <f>股权价值增加表!Y42</f>
        <v>1087061380</v>
      </c>
      <c r="Z2" s="26">
        <f>股权价值增加表!Z42</f>
        <v>767324567</v>
      </c>
      <c r="AA2" s="26">
        <f>股权价值增加表!AA42</f>
        <v>461921157</v>
      </c>
      <c r="AB2" s="26">
        <f>股权价值增加表!AB42</f>
        <v>168495611</v>
      </c>
      <c r="AC2" s="26">
        <f>股权价值增加表!AC42</f>
        <v>958407365</v>
      </c>
      <c r="AD2" s="26">
        <f>股权价值增加表!AD42</f>
        <v>684420118</v>
      </c>
      <c r="AE2" s="26">
        <f>股权价值增加表!AE42</f>
        <v>408049193</v>
      </c>
      <c r="AF2" s="26">
        <f>股权价值增加表!AF42</f>
        <v>145177997</v>
      </c>
      <c r="AG2" s="26">
        <f>股权价值增加表!AG42</f>
        <v>658859524</v>
      </c>
      <c r="AH2" s="26">
        <f>股权价值增加表!AH42</f>
        <v>452371012</v>
      </c>
      <c r="AI2" s="26">
        <f>股权价值增加表!AI42</f>
        <v>260653615</v>
      </c>
      <c r="AJ2" s="26">
        <f>股权价值增加表!AJ42</f>
        <v>93093999</v>
      </c>
      <c r="AK2" s="26">
        <f>股权价值增加表!AK42</f>
        <v>434171234</v>
      </c>
      <c r="AL2" s="26">
        <f>股权价值增加表!AL42</f>
        <v>292412210</v>
      </c>
      <c r="AM2" s="26">
        <f>股权价值增加表!AM42</f>
        <v>171657051</v>
      </c>
      <c r="AN2" s="26">
        <f>股权价值增加表!AN42</f>
        <v>66975897</v>
      </c>
      <c r="AO2" s="26">
        <f>股权价值增加表!AO42</f>
        <v>310964569</v>
      </c>
      <c r="AP2" s="26">
        <f>股权价值增加表!AP42</f>
        <v>215485911</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11982452105</v>
      </c>
      <c r="F3" s="26">
        <f>资产资本表!F107</f>
        <v>12088507776</v>
      </c>
      <c r="G3" s="26">
        <f>资产资本表!G107</f>
        <v>11790028122</v>
      </c>
      <c r="H3" s="26">
        <f>资产资本表!H107</f>
        <v>11914249531</v>
      </c>
      <c r="I3" s="26">
        <f>资产资本表!I107</f>
        <v>11466348976</v>
      </c>
      <c r="J3" s="26">
        <f>资产资本表!J107</f>
        <v>11521444528</v>
      </c>
      <c r="K3" s="26">
        <f>资产资本表!K107</f>
        <v>11368850082</v>
      </c>
      <c r="L3" s="26">
        <f>资产资本表!L107</f>
        <v>11350752779</v>
      </c>
      <c r="M3" s="26">
        <f>资产资本表!M107</f>
        <v>11163859947</v>
      </c>
      <c r="N3" s="26">
        <f>资产资本表!N107</f>
        <v>11051170014</v>
      </c>
      <c r="O3" s="26">
        <f>资产资本表!O107</f>
        <v>11242568699</v>
      </c>
      <c r="P3" s="26">
        <f>资产资本表!P107</f>
        <v>11164835655</v>
      </c>
      <c r="Q3" s="26">
        <f>资产资本表!Q107</f>
        <v>10970370538</v>
      </c>
      <c r="R3" s="26">
        <f>资产资本表!R107</f>
        <v>10816962121</v>
      </c>
      <c r="S3" s="26">
        <f>资产资本表!S107</f>
        <v>10466029910</v>
      </c>
      <c r="T3" s="26">
        <f>资产资本表!T107</f>
        <v>10250693746</v>
      </c>
      <c r="U3" s="26">
        <f>资产资本表!U107</f>
        <v>10023912744</v>
      </c>
      <c r="V3" s="26">
        <f>资产资本表!V107</f>
        <v>9789571858</v>
      </c>
      <c r="W3" s="26">
        <f>资产资本表!W107</f>
        <v>9471174991</v>
      </c>
      <c r="X3" s="26">
        <f>资产资本表!X107</f>
        <v>9273795042</v>
      </c>
      <c r="Y3" s="26">
        <f>资产资本表!Y107</f>
        <v>9064077763</v>
      </c>
      <c r="Z3" s="26">
        <f>资产资本表!Z107</f>
        <v>8729310164</v>
      </c>
      <c r="AA3" s="26">
        <f>资产资本表!AA107</f>
        <v>8419151002</v>
      </c>
      <c r="AB3" s="26">
        <f>资产资本表!AB107</f>
        <v>8098465924</v>
      </c>
      <c r="AC3" s="26">
        <f>资产资本表!AC107</f>
        <v>7930970313</v>
      </c>
      <c r="AD3" s="26">
        <f>资产资本表!AD107</f>
        <v>7626579258</v>
      </c>
      <c r="AE3" s="26">
        <f>资产资本表!AE107</f>
        <v>7350208332</v>
      </c>
      <c r="AF3" s="26">
        <f>资产资本表!AF107</f>
        <v>7207337137</v>
      </c>
      <c r="AG3" s="26">
        <f>资产资本表!AG107</f>
        <v>7051637714</v>
      </c>
      <c r="AH3" s="26">
        <f>资产资本表!AH107</f>
        <v>6794746060</v>
      </c>
      <c r="AI3" s="26">
        <f>资产资本表!AI107</f>
        <v>6612061008</v>
      </c>
      <c r="AJ3" s="26">
        <f>资产资本表!AJ107</f>
        <v>1672504173</v>
      </c>
      <c r="AK3" s="26">
        <f>资产资本表!AK107</f>
        <v>1579410172</v>
      </c>
      <c r="AL3" s="26">
        <f>资产资本表!AL107</f>
        <v>1190238938</v>
      </c>
      <c r="AM3" s="26">
        <f>资产资本表!AM107</f>
        <v>691216325</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5.0152287005531912E-2</v>
      </c>
      <c r="F4" s="59">
        <f t="shared" ref="F4:BQ4" si="0">F2/F3</f>
        <v>6.3617251711316603E-2</v>
      </c>
      <c r="G4" s="59">
        <f t="shared" si="0"/>
        <v>4.3603133061297032E-2</v>
      </c>
      <c r="H4" s="59">
        <f t="shared" si="0"/>
        <v>3.9064701455932598E-2</v>
      </c>
      <c r="I4" s="59">
        <f t="shared" si="0"/>
        <v>6.5938807163686664E-2</v>
      </c>
      <c r="J4" s="59">
        <f t="shared" si="0"/>
        <v>6.4597664658391174E-2</v>
      </c>
      <c r="K4" s="59">
        <f t="shared" si="0"/>
        <v>4.6321729304337568E-2</v>
      </c>
      <c r="L4" s="59">
        <f t="shared" si="0"/>
        <v>2.7282910308199217E-2</v>
      </c>
      <c r="M4" s="59">
        <f t="shared" si="0"/>
        <v>2.128922900576764E-2</v>
      </c>
      <c r="N4" s="59">
        <f t="shared" si="0"/>
        <v>3.0552947929699637E-2</v>
      </c>
      <c r="O4" s="59">
        <f t="shared" si="0"/>
        <v>2.8433031948333395E-2</v>
      </c>
      <c r="P4" s="59">
        <f t="shared" si="0"/>
        <v>1.663517150983088E-2</v>
      </c>
      <c r="Q4" s="59">
        <f t="shared" si="0"/>
        <v>9.695913718826113E-2</v>
      </c>
      <c r="R4" s="59">
        <f t="shared" si="0"/>
        <v>8.5531211226472226E-2</v>
      </c>
      <c r="S4" s="59">
        <f t="shared" si="0"/>
        <v>5.3708729177518663E-2</v>
      </c>
      <c r="T4" s="59">
        <f t="shared" si="0"/>
        <v>2.2123479017065933E-2</v>
      </c>
      <c r="U4" s="59">
        <f t="shared" si="0"/>
        <v>0.10726830554701405</v>
      </c>
      <c r="V4" s="59">
        <f t="shared" si="0"/>
        <v>8.7766496171930955E-2</v>
      </c>
      <c r="W4" s="59">
        <f t="shared" si="0"/>
        <v>5.7099520441116935E-2</v>
      </c>
      <c r="X4" s="59">
        <f t="shared" si="0"/>
        <v>2.2598830796976763E-2</v>
      </c>
      <c r="Y4" s="59">
        <f t="shared" si="0"/>
        <v>0.11993072085473899</v>
      </c>
      <c r="Z4" s="59">
        <f t="shared" si="0"/>
        <v>8.7902085340543293E-2</v>
      </c>
      <c r="AA4" s="59">
        <f t="shared" si="0"/>
        <v>5.4865527045454936E-2</v>
      </c>
      <c r="AB4" s="59">
        <f t="shared" si="0"/>
        <v>2.08058677509106E-2</v>
      </c>
      <c r="AC4" s="59">
        <f t="shared" si="0"/>
        <v>0.12084364550312748</v>
      </c>
      <c r="AD4" s="59">
        <f t="shared" si="0"/>
        <v>8.9741428607336457E-2</v>
      </c>
      <c r="AE4" s="59">
        <f t="shared" si="0"/>
        <v>5.5515323453283583E-2</v>
      </c>
      <c r="AF4" s="59">
        <f t="shared" si="0"/>
        <v>2.0143083949092085E-2</v>
      </c>
      <c r="AG4" s="59">
        <f t="shared" si="0"/>
        <v>9.3433547031483252E-2</v>
      </c>
      <c r="AH4" s="59">
        <f t="shared" si="0"/>
        <v>6.6576588441334628E-2</v>
      </c>
      <c r="AI4" s="59">
        <f t="shared" si="0"/>
        <v>3.942093315301122E-2</v>
      </c>
      <c r="AJ4" s="59">
        <f t="shared" si="0"/>
        <v>5.5661444977452977E-2</v>
      </c>
      <c r="AK4" s="59">
        <f t="shared" si="0"/>
        <v>0.27489454082102743</v>
      </c>
      <c r="AL4" s="59">
        <f t="shared" si="0"/>
        <v>0.24567521752510504</v>
      </c>
      <c r="AM4" s="59">
        <f t="shared" si="0"/>
        <v>0.2483405625583279</v>
      </c>
      <c r="AN4" s="59" t="e">
        <f t="shared" si="0"/>
        <v>#DIV/0!</v>
      </c>
      <c r="AO4" s="59">
        <f t="shared" si="0"/>
        <v>2.7144403146277956E-2</v>
      </c>
      <c r="AP4" s="59">
        <f t="shared" si="0"/>
        <v>1.9187863477442217E-2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-357648791.39999998</v>
      </c>
      <c r="F5" s="26">
        <f>股权价值增加表!F47</f>
        <v>-198042980.08000004</v>
      </c>
      <c r="G5" s="26">
        <f>股权价值增加表!G47</f>
        <v>-429120084.75999999</v>
      </c>
      <c r="H5" s="26">
        <f>股权价值增加表!H47</f>
        <v>-487713361.48000002</v>
      </c>
      <c r="I5" s="26">
        <f>股权价值增加表!I47</f>
        <v>-161230544.08000004</v>
      </c>
      <c r="J5" s="26">
        <f>股权价值增加表!J47</f>
        <v>-177457152.24000001</v>
      </c>
      <c r="K5" s="26">
        <f>股权价值增加表!K47</f>
        <v>-382883210.56000006</v>
      </c>
      <c r="L5" s="26">
        <f>股权价值增加表!L47</f>
        <v>-598378652.32000005</v>
      </c>
      <c r="M5" s="26">
        <f>股权价值增加表!M47</f>
        <v>-655438824.75999999</v>
      </c>
      <c r="N5" s="26">
        <f>股权价值增加表!N47</f>
        <v>-546447779.12</v>
      </c>
      <c r="O5" s="26">
        <f>股权价值增加表!O47</f>
        <v>-579745180.92000008</v>
      </c>
      <c r="P5" s="26">
        <f>股权价值增加表!P47</f>
        <v>-707457896.39999998</v>
      </c>
      <c r="Q5" s="26">
        <f>股权价值增加表!Q47</f>
        <v>186048018.96000004</v>
      </c>
      <c r="R5" s="26">
        <f>股权价值增加表!R47</f>
        <v>59830902.319999933</v>
      </c>
      <c r="S5" s="26">
        <f>股权价值增加表!S47</f>
        <v>-275165226.80000007</v>
      </c>
      <c r="T5" s="26">
        <f>股权价值增加表!T47</f>
        <v>-593274491.68000007</v>
      </c>
      <c r="U5" s="26">
        <f>股权价值增加表!U47</f>
        <v>273335115.48000002</v>
      </c>
      <c r="V5" s="26">
        <f>股权价值增加表!V47</f>
        <v>76030672.360000014</v>
      </c>
      <c r="W5" s="26">
        <f>股权价值增加表!W47</f>
        <v>-216894449.27999997</v>
      </c>
      <c r="X5" s="26">
        <f>股权价值增加表!X47</f>
        <v>-532326678.36000001</v>
      </c>
      <c r="Y5" s="26">
        <f>股权价值增加表!Y47</f>
        <v>361935158.96000004</v>
      </c>
      <c r="Z5" s="26">
        <f>股权价值增加表!Z47</f>
        <v>68979753.879999995</v>
      </c>
      <c r="AA5" s="26">
        <f>股权价值增加表!AA47</f>
        <v>-211610923.15999997</v>
      </c>
      <c r="AB5" s="26">
        <f>股权价值增加表!AB47</f>
        <v>-479381662.91999996</v>
      </c>
      <c r="AC5" s="26">
        <f>股权价值增加表!AC47</f>
        <v>323929739.96000004</v>
      </c>
      <c r="AD5" s="26">
        <f>股权价值增加表!AD47</f>
        <v>74293777.360000014</v>
      </c>
      <c r="AE5" s="26">
        <f>股权价值增加表!AE47</f>
        <v>-179967473.56000006</v>
      </c>
      <c r="AF5" s="26">
        <f>股权价值增加表!AF47</f>
        <v>-431408973.96000004</v>
      </c>
      <c r="AG5" s="26">
        <f>股权价值增加表!AG47</f>
        <v>94728506.879999995</v>
      </c>
      <c r="AH5" s="26">
        <f>股权价值增加表!AH47</f>
        <v>-91208672.799999952</v>
      </c>
      <c r="AI5" s="26">
        <f>股权价值增加表!AI47</f>
        <v>-268311265.63999999</v>
      </c>
      <c r="AJ5" s="26">
        <f>股权价值增加表!AJ47</f>
        <v>-40706334.840000004</v>
      </c>
      <c r="AK5" s="26">
        <f>股权价值增加表!AK47</f>
        <v>307818420.24000001</v>
      </c>
      <c r="AL5" s="26">
        <f>股权价值增加表!AL47</f>
        <v>197193094.95999998</v>
      </c>
      <c r="AM5" s="26">
        <f>股权价值增加表!AM47</f>
        <v>116359745</v>
      </c>
      <c r="AN5" s="26">
        <f>股权价值增加表!AN47</f>
        <v>66975897</v>
      </c>
      <c r="AO5" s="26">
        <f>股权价值增加表!AO47</f>
        <v>310964569</v>
      </c>
      <c r="AP5" s="26">
        <f>股权价值增加表!AP47</f>
        <v>215485911</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0.13226325854447257</v>
      </c>
      <c r="F6" s="158">
        <f>股权价值增加表!F31/股权价值增加表!F4</f>
        <v>0.16310762353063801</v>
      </c>
      <c r="G6" s="158">
        <f>股权价值增加表!G31/股权价值增加表!G4</f>
        <v>0.16823820631350167</v>
      </c>
      <c r="H6" s="158">
        <f>股权价值增加表!H31/股权价值增加表!H4</f>
        <v>0.24264770259413318</v>
      </c>
      <c r="I6" s="158">
        <f>股权价值增加表!I31/股权价值增加表!I4</f>
        <v>0.13788131345016597</v>
      </c>
      <c r="J6" s="158">
        <f>股权价值增加表!J31/股权价值增加表!J4</f>
        <v>0.16294907755894583</v>
      </c>
      <c r="K6" s="158">
        <f>股权价值增加表!K31/股权价值增加表!K4</f>
        <v>0.1734548093080166</v>
      </c>
      <c r="L6" s="158">
        <f>股权价值增加表!L31/股权价值增加表!L4</f>
        <v>0.20845673706349246</v>
      </c>
      <c r="M6" s="158">
        <f>股权价值增加表!M31/股权价值增加表!M4</f>
        <v>0.11463421195817983</v>
      </c>
      <c r="N6" s="158">
        <f>股权价值增加表!N31/股权价值增加表!N4</f>
        <v>0.13122115662714925</v>
      </c>
      <c r="O6" s="158">
        <f>股权价值增加表!O31/股权价值增加表!O4</f>
        <v>0.13908685933309528</v>
      </c>
      <c r="P6" s="158">
        <f>股权价值增加表!P31/股权价值增加表!P4</f>
        <v>0.1574587147036885</v>
      </c>
      <c r="Q6" s="158">
        <f>股权价值增加表!Q31/股权价值增加表!Q4</f>
        <v>0.1871826751835915</v>
      </c>
      <c r="R6" s="158">
        <f>股权价值增加表!R31/股权价值增加表!R4</f>
        <v>0.20383419835651195</v>
      </c>
      <c r="S6" s="158">
        <f>股权价值增加表!S31/股权价值增加表!S4</f>
        <v>0.18925660653208337</v>
      </c>
      <c r="T6" s="158">
        <f>股权价值增加表!T31/股权价值增加表!T4</f>
        <v>0.16006830771952332</v>
      </c>
      <c r="U6" s="158">
        <f>股权价值增加表!U31/股权价值增加表!U4</f>
        <v>0.21838163278126288</v>
      </c>
      <c r="V6" s="158">
        <f>股权价值增加表!V31/股权价值增加表!V4</f>
        <v>0.22410233404335791</v>
      </c>
      <c r="W6" s="158">
        <f>股权价值增加表!W31/股权价值增加表!W4</f>
        <v>0.21781545908138303</v>
      </c>
      <c r="X6" s="158">
        <f>股权价值增加表!X31/股权价值增加表!X4</f>
        <v>0.19010358764072885</v>
      </c>
      <c r="Y6" s="158">
        <f>股权价值增加表!Y31/股权价值增加表!Y4</f>
        <v>0.23904238092250715</v>
      </c>
      <c r="Z6" s="158">
        <f>股权价值增加表!Z31/股权价值增加表!Z4</f>
        <v>0.21757146458669904</v>
      </c>
      <c r="AA6" s="158">
        <f>股权价值增加表!AA31/股权价值增加表!AA4</f>
        <v>0.20354454876095002</v>
      </c>
      <c r="AB6" s="158">
        <f>股权价值增加表!AB31/股权价值增加表!AB4</f>
        <v>0.17064770741877591</v>
      </c>
      <c r="AC6" s="158">
        <f>股权价值增加表!AC31/股权价值增加表!AC4</f>
        <v>0.23092753514807127</v>
      </c>
      <c r="AD6" s="158">
        <f>股权价值增加表!AD31/股权价值增加表!AD4</f>
        <v>0.22076007164826519</v>
      </c>
      <c r="AE6" s="158">
        <f>股权价值增加表!AE31/股权价值增加表!AE4</f>
        <v>0.20731687547521754</v>
      </c>
      <c r="AF6" s="158">
        <f>股权价值增加表!AF31/股权价值增加表!AF4</f>
        <v>0.15853492262600777</v>
      </c>
      <c r="AG6" s="158">
        <f>股权价值增加表!AG31/股权价值增加表!AG4</f>
        <v>0.2060470272834232</v>
      </c>
      <c r="AH6" s="158">
        <f>股权价值增加表!AH31/股权价值增加表!AH4</f>
        <v>0.19080797841467459</v>
      </c>
      <c r="AI6" s="158">
        <f>股权价值增加表!AI31/股权价值增加表!AI4</f>
        <v>0.18431395260863401</v>
      </c>
      <c r="AJ6" s="158">
        <f>股权价值增加表!AJ31/股权价值增加表!AJ4</f>
        <v>0.14943955185077493</v>
      </c>
      <c r="AK6" s="158">
        <f>股权价值增加表!AK31/股权价值增加表!AK4</f>
        <v>0.17497936516407778</v>
      </c>
      <c r="AL6" s="158">
        <f>股权价值增加表!AL31/股权价值增加表!AL4</f>
        <v>0.16390407809323568</v>
      </c>
      <c r="AM6" s="158">
        <f>股权价值增加表!AM31/股权价值增加表!AM4</f>
        <v>0.15419362823764163</v>
      </c>
      <c r="AN6" s="158">
        <f>股权价值增加表!AN31/股权价值增加表!AN4</f>
        <v>0.13753821469551314</v>
      </c>
      <c r="AO6" s="158">
        <f>股权价值增加表!AO31/股权价值增加表!AO4</f>
        <v>0.15201379402159193</v>
      </c>
      <c r="AP6" s="158">
        <f>股权价值增加表!AP31/股权价值增加表!AP4</f>
        <v>0.14134593074732107</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0.58314592593418857</v>
      </c>
      <c r="F7" s="61">
        <f>股权价值增加表!F4/资产资本表!F70</f>
        <v>0.39007430087601008</v>
      </c>
      <c r="G7" s="61">
        <f>股权价值增加表!G4/资产资本表!G70</f>
        <v>0.26738728116398641</v>
      </c>
      <c r="H7" s="61">
        <f>股权价值增加表!H4/资产资本表!H70</f>
        <v>0.11844467373395236</v>
      </c>
      <c r="I7" s="61">
        <f>股权价值增加表!I4/资产资本表!I70</f>
        <v>0.4482616150097678</v>
      </c>
      <c r="J7" s="61">
        <f>股权价值增加表!J4/资产资本表!J70</f>
        <v>0.33718245213881648</v>
      </c>
      <c r="K7" s="61">
        <f>股权价值增加表!K4/资产资本表!K70</f>
        <v>0.21395253252571184</v>
      </c>
      <c r="L7" s="61">
        <f>股权价值增加表!L4/资产资本表!L70</f>
        <v>0.10320907874827059</v>
      </c>
      <c r="M7" s="61">
        <f>股权价值增加表!M4/资产资本表!M70</f>
        <v>0.43445753090001993</v>
      </c>
      <c r="N7" s="61">
        <f>股权价值增加表!N4/资产资本表!N70</f>
        <v>0.35743965342944339</v>
      </c>
      <c r="O7" s="61">
        <f>股权价值增加表!O4/资产资本表!O70</f>
        <v>0.2277123505263505</v>
      </c>
      <c r="P7" s="61">
        <f>股权价值增加表!P4/资产资本表!P70</f>
        <v>0.11275441013355833</v>
      </c>
      <c r="Q7" s="61">
        <f>股权价值增加表!Q4/资产资本表!Q70</f>
        <v>0.45956706245145623</v>
      </c>
      <c r="R7" s="61">
        <f>股权价值增加表!R4/资产资本表!R70</f>
        <v>0.32706527009672004</v>
      </c>
      <c r="S7" s="61">
        <f>股权价值增加表!S4/资产资本表!S70</f>
        <v>0.2293318147542803</v>
      </c>
      <c r="T7" s="61">
        <f>股权价值增加表!T4/资产资本表!T70</f>
        <v>0.11726919174076957</v>
      </c>
      <c r="U7" s="61">
        <f>股权价值增加表!U4/资产资本表!U70</f>
        <v>0.43283596228671994</v>
      </c>
      <c r="V7" s="61">
        <f>股权价值增加表!V4/资产资本表!V70</f>
        <v>0.30805825090422551</v>
      </c>
      <c r="W7" s="61">
        <f>股权价值增加表!W4/资产资本表!W70</f>
        <v>0.21778199738477505</v>
      </c>
      <c r="X7" s="61">
        <f>股权价值增加表!X4/资产资本表!X70</f>
        <v>0.10299960013505355</v>
      </c>
      <c r="Y7" s="61">
        <f>股权价值增加表!Y4/资产资本表!Y70</f>
        <v>0.45378808945896487</v>
      </c>
      <c r="Z7" s="61">
        <f>股权价值增加表!Z4/资产资本表!Z70</f>
        <v>0.36892626169586262</v>
      </c>
      <c r="AA7" s="61">
        <f>股权价值增加表!AA4/资产资本表!AA70</f>
        <v>0.23722264131656726</v>
      </c>
      <c r="AB7" s="61">
        <f>股权价值增加表!AB4/资产资本表!AB70</f>
        <v>0.12575192518077152</v>
      </c>
      <c r="AC7" s="61">
        <f>股权价值增加表!AC4/资产资本表!AC70</f>
        <v>0.55811929977946428</v>
      </c>
      <c r="AD7" s="61">
        <f>股权价值增加表!AD4/资产资本表!AD70</f>
        <v>0.38997864362407425</v>
      </c>
      <c r="AE7" s="61">
        <f>股权价值增加表!AE4/资产资本表!AE70</f>
        <v>0.26812394688089053</v>
      </c>
      <c r="AF7" s="61">
        <f>股权价值增加表!AF4/资产资本表!AF70</f>
        <v>0.12771608438610096</v>
      </c>
      <c r="AG7" s="61">
        <f>股权价值增加表!AG4/资产资本表!AG70</f>
        <v>0.49424401437340415</v>
      </c>
      <c r="AH7" s="61">
        <f>股权价值增加表!AH4/资产资本表!AH70</f>
        <v>0.36916804587216534</v>
      </c>
      <c r="AI7" s="61">
        <f>股权价值增加表!AI4/资产资本表!AI70</f>
        <v>0.23138868741823077</v>
      </c>
      <c r="AJ7" s="61">
        <f>股权价值增加表!AJ4/资产资本表!AJ70</f>
        <v>0.28268411018399381</v>
      </c>
      <c r="AK7" s="61">
        <f>股权价值增加表!AK4/资产资本表!AK70</f>
        <v>1.1770702100079551</v>
      </c>
      <c r="AL7" s="61">
        <f>股权价值增加表!AL4/资产资本表!AL70</f>
        <v>1.1370010421438645</v>
      </c>
      <c r="AM7" s="61">
        <f>股权价值增加表!AM4/资产资本表!AM70</f>
        <v>1.2361356065087752</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7.7128780370989442E-2</v>
      </c>
      <c r="F8" s="63">
        <f>股权价值增加表!F31/资产资本表!F70</f>
        <v>6.3624092216261072E-2</v>
      </c>
      <c r="G8" s="63">
        <f>股权价值增加表!G31/资产资本表!G70</f>
        <v>4.4984756574073033E-2</v>
      </c>
      <c r="H8" s="63">
        <f>股权价值增加表!H31/资产资本表!H70</f>
        <v>2.8740327966055211E-2</v>
      </c>
      <c r="I8" s="63">
        <f>股权价值增加表!I31/资产资本表!I70</f>
        <v>6.1806900246839408E-2</v>
      </c>
      <c r="J8" s="63">
        <f>股权价值增加表!J31/资产资本表!J70</f>
        <v>5.4943569545083538E-2</v>
      </c>
      <c r="K8" s="63">
        <f>股权价值增加表!K31/资产资本表!K70</f>
        <v>3.7111095730214566E-2</v>
      </c>
      <c r="L8" s="63">
        <f>股权价值增加表!L31/资产资本表!L70</f>
        <v>2.1514627791193529E-2</v>
      </c>
      <c r="M8" s="63">
        <f>股权价值增加表!M31/资产资本表!M70</f>
        <v>4.9803696684020349E-2</v>
      </c>
      <c r="N8" s="63">
        <f>股权价值增加表!N31/资产资本表!N70</f>
        <v>4.6903644747418941E-2</v>
      </c>
      <c r="O8" s="63">
        <f>股权价值增加表!O31/资产资本表!O70</f>
        <v>3.1671795666066996E-2</v>
      </c>
      <c r="P8" s="63">
        <f>股权价值增加表!P31/资产资本表!P70</f>
        <v>1.7754164496802644E-2</v>
      </c>
      <c r="Q8" s="63">
        <f>股权价值增加表!Q31/资产资本表!Q70</f>
        <v>8.6022992175928237E-2</v>
      </c>
      <c r="R8" s="63">
        <f>股权价值增加表!R31/资产资本表!R70</f>
        <v>6.6667087140420994E-2</v>
      </c>
      <c r="S8" s="63">
        <f>股权价值增加表!S31/资产资本表!S70</f>
        <v>4.3402561030239463E-2</v>
      </c>
      <c r="T8" s="63">
        <f>股权价值增加表!T31/资产资本表!T70</f>
        <v>1.8771081069581287E-2</v>
      </c>
      <c r="U8" s="63">
        <f>股权价值增加表!U31/资产资本表!U70</f>
        <v>9.4523424170623024E-2</v>
      </c>
      <c r="V8" s="63">
        <f>股权价值增加表!V31/资产资本表!V70</f>
        <v>6.9036573048951319E-2</v>
      </c>
      <c r="W8" s="63">
        <f>股权价值增加表!W31/资产资本表!W70</f>
        <v>4.7436285740025334E-2</v>
      </c>
      <c r="X8" s="63">
        <f>股权价值增加表!X31/资产资本表!X70</f>
        <v>1.958059351123418E-2</v>
      </c>
      <c r="Y8" s="63">
        <f>股权价值增加表!Y31/资产资本表!Y70</f>
        <v>0.10847458533854663</v>
      </c>
      <c r="Z8" s="63">
        <f>股权价值增加表!Z31/资产资本表!Z70</f>
        <v>8.0267827081664633E-2</v>
      </c>
      <c r="AA8" s="63">
        <f>股权价值增加表!AA31/资产资本表!AA70</f>
        <v>4.8285375482661382E-2</v>
      </c>
      <c r="AB8" s="63">
        <f>股权价值增加表!AB31/资产资本表!AB70</f>
        <v>2.1459277735596097E-2</v>
      </c>
      <c r="AC8" s="63">
        <f>股权价值增加表!AC31/资产资本表!AC70</f>
        <v>0.12888511421663915</v>
      </c>
      <c r="AD8" s="63">
        <f>股权价值增加表!AD31/资产资本表!AD70</f>
        <v>8.6091713307743914E-2</v>
      </c>
      <c r="AE8" s="63">
        <f>股权价值增加表!AE31/资产资本表!AE70</f>
        <v>5.5586618907429428E-2</v>
      </c>
      <c r="AF8" s="63">
        <f>股权价值增加表!AF31/资产资本表!AF70</f>
        <v>2.0247459556247193E-2</v>
      </c>
      <c r="AG8" s="63">
        <f>股权价值增加表!AG31/资产资本表!AG70</f>
        <v>0.10183750991426541</v>
      </c>
      <c r="AH8" s="63">
        <f>股权价值增加表!AH31/资产资本表!AH70</f>
        <v>7.0440208528163725E-2</v>
      </c>
      <c r="AI8" s="63">
        <f>股权价值增加表!AI31/资产资本表!AI70</f>
        <v>4.2648163566977815E-2</v>
      </c>
      <c r="AJ8" s="63">
        <f>股权价值增加表!AJ31/资产资本表!AJ70</f>
        <v>4.2244186741231121E-2</v>
      </c>
      <c r="AK8" s="63">
        <f>股权价值增加表!AK31/资产资本表!AK70</f>
        <v>0.20596299810073967</v>
      </c>
      <c r="AL8" s="63">
        <f>股权价值增加表!AL31/资产资本表!AL70</f>
        <v>0.18635910760363833</v>
      </c>
      <c r="AM8" s="63">
        <f>股权价值增加表!AM31/资产资本表!AM70</f>
        <v>0.19060423416132574</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0.61566148536581111</v>
      </c>
      <c r="F9" s="158">
        <f>股权价值增加表!F38/股权价值增加表!F31</f>
        <v>0.68218992534943357</v>
      </c>
      <c r="G9" s="158">
        <f>股权价值增加表!G38/股权价值增加表!G31</f>
        <v>0.70578583255253036</v>
      </c>
      <c r="H9" s="158">
        <f>股权价值增加表!H38/股权价值增加表!H31</f>
        <v>0.8337492741422885</v>
      </c>
      <c r="I9" s="158">
        <f>股权价值增加表!I38/股权价值增加表!I31</f>
        <v>0.71813608705400889</v>
      </c>
      <c r="J9" s="158">
        <f>股权价值增加表!J38/股权价值增加表!J31</f>
        <v>0.79653038273312926</v>
      </c>
      <c r="K9" s="158">
        <f>股权价值增加表!K38/股权价值增加表!K31</f>
        <v>0.81297081042281649</v>
      </c>
      <c r="L9" s="158">
        <f>股权价值增加表!L38/股权价值增加表!L31</f>
        <v>0.81732013499599387</v>
      </c>
      <c r="M9" s="158">
        <f>股权价值增加表!M38/股权价值增加表!M31</f>
        <v>0.42316957610342115</v>
      </c>
      <c r="N9" s="158">
        <f>股权价值增加表!N38/股权价值增加表!N31</f>
        <v>0.58529799473352773</v>
      </c>
      <c r="O9" s="158">
        <f>股权价值增加表!O38/股权价值增加表!O31</f>
        <v>0.73686110277802541</v>
      </c>
      <c r="P9" s="158">
        <f>股权价值增加表!P38/股权价值增加表!P31</f>
        <v>0.76346936462239323</v>
      </c>
      <c r="Q9" s="158">
        <f>股权价值增加表!Q38/股权价值增加表!Q31</f>
        <v>0.81746350532133749</v>
      </c>
      <c r="R9" s="158">
        <f>股权价值增加表!R38/股权价值增加表!R31</f>
        <v>0.87716728840517744</v>
      </c>
      <c r="S9" s="158">
        <f>股权价值增加表!S38/股权价值增加表!S31</f>
        <v>0.86850462409372342</v>
      </c>
      <c r="T9" s="158">
        <f>股权价值增加表!T38/股权价值增加表!T31</f>
        <v>0.84360145814728205</v>
      </c>
      <c r="U9" s="158">
        <f>股权价值增加表!U38/股权价值增加表!U31</f>
        <v>0.84879735074127882</v>
      </c>
      <c r="V9" s="158">
        <f>股权价值增加表!V38/股权价值增加表!V31</f>
        <v>0.89933841652191304</v>
      </c>
      <c r="W9" s="158">
        <f>股权价值增加表!W38/股权价值增加表!W31</f>
        <v>0.89828354230033036</v>
      </c>
      <c r="X9" s="158">
        <f>股权价值增加表!X38/股权价值增加表!X31</f>
        <v>0.87680510391656097</v>
      </c>
      <c r="Y9" s="158">
        <f>股权价值增加表!Y38/股权价值增加表!Y31</f>
        <v>0.89700303543137772</v>
      </c>
      <c r="Z9" s="158">
        <f>股权价值增加表!Z38/股权价值增加表!Z31</f>
        <v>0.93931269786373672</v>
      </c>
      <c r="AA9" s="158">
        <f>股权价值增加表!AA38/股权价值增加表!AA31</f>
        <v>0.94707004626014546</v>
      </c>
      <c r="AB9" s="158">
        <f>股权价值增加表!AB38/股权价值增加表!AB31</f>
        <v>0.93198317575092982</v>
      </c>
      <c r="AC9" s="158">
        <f>股权价值增加表!AC38/股权价值增加表!AC31</f>
        <v>0.93832080666059303</v>
      </c>
      <c r="AD9" s="158">
        <f>股权价值增加表!AD38/股权价值增加表!AD31</f>
        <v>0.99400191017535555</v>
      </c>
      <c r="AE9" s="158">
        <f>股权价值增加表!AE38/股权价值增加表!AE31</f>
        <v>0.9935501721989406</v>
      </c>
      <c r="AF9" s="158">
        <f>股权价值增加表!AF38/股权价值增加表!AF31</f>
        <v>0.99506121549796667</v>
      </c>
      <c r="AG9" s="158">
        <f>股权价值增加表!AG38/股权价值增加表!AG31</f>
        <v>0.93086222278232345</v>
      </c>
      <c r="AH9" s="158">
        <f>股权价值增加表!AH38/股权价值增加表!AH31</f>
        <v>0.97573129111833479</v>
      </c>
      <c r="AI9" s="158">
        <f>股权价值增加表!AI38/股权价值增加表!AI31</f>
        <v>0.92619382603099865</v>
      </c>
      <c r="AJ9" s="158">
        <f>股权价值增加表!AJ38/股权价值增加表!AJ31</f>
        <v>0.91009806743392285</v>
      </c>
      <c r="AK9" s="158">
        <f>股权价值增加表!AK38/股权价值增加表!AK31</f>
        <v>0.91889819518525506</v>
      </c>
      <c r="AL9" s="158">
        <f>股权价值增加表!AL38/股权价值增加表!AL31</f>
        <v>0.92107895969809328</v>
      </c>
      <c r="AM9" s="158">
        <f>股权价值增加表!AM38/股权价值增加表!AM31</f>
        <v>0.91189090564249864</v>
      </c>
      <c r="AN9" s="158">
        <f>股权价值增加表!AN38/股权价值增加表!AN31</f>
        <v>0.89414200720932746</v>
      </c>
      <c r="AO9" s="158">
        <f>股权价值增加表!AO38/股权价值增加表!AO31</f>
        <v>0.88211989563992366</v>
      </c>
      <c r="AP9" s="158">
        <f>股权价值增加表!AP38/股权价值增加表!AP31</f>
        <v>0.89302694683270523</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1.6364821717766425</v>
      </c>
      <c r="F10" s="61">
        <f>资产资本表!F70/资产资本表!F107</f>
        <v>1.6775245066442848</v>
      </c>
      <c r="G10" s="61">
        <f>资产资本表!G70/资产资本表!G107</f>
        <v>1.5676356334139709</v>
      </c>
      <c r="H10" s="61">
        <f>资产资本表!H70/资产资本表!H107</f>
        <v>1.7249398975174108</v>
      </c>
      <c r="I10" s="61">
        <f>资产资本表!I70/资产资本表!I107</f>
        <v>1.6665505620836427</v>
      </c>
      <c r="J10" s="61">
        <f>资产资本表!J70/资产资本表!J107</f>
        <v>1.6095625261166036</v>
      </c>
      <c r="K10" s="61">
        <f>资产资本表!K70/资产资本表!K107</f>
        <v>1.6841072274595239</v>
      </c>
      <c r="L10" s="61">
        <f>资产资本表!L70/资产资本表!L107</f>
        <v>1.7109062375958914</v>
      </c>
      <c r="M10" s="61">
        <f>资产资本表!M70/资产资本表!M107</f>
        <v>1.6006150515890201</v>
      </c>
      <c r="N10" s="61">
        <f>资产资本表!N70/资产资本表!N107</f>
        <v>1.4729960364719803</v>
      </c>
      <c r="O10" s="61">
        <f>资产资本表!O70/资产资本表!O107</f>
        <v>1.4982419642673157</v>
      </c>
      <c r="P10" s="61">
        <f>资产资本表!P70/资产资本表!P107</f>
        <v>1.5034344607197891</v>
      </c>
      <c r="Q10" s="61">
        <f>资产资本表!Q70/资产资本表!Q107</f>
        <v>1.5914368313746012</v>
      </c>
      <c r="R10" s="61">
        <f>资产资本表!R70/资产资本表!R107</f>
        <v>1.6920652070572226</v>
      </c>
      <c r="S10" s="61">
        <f>资产资本表!S70/资产资本表!S107</f>
        <v>1.6528521050251805</v>
      </c>
      <c r="T10" s="61">
        <f>资产资本表!T70/资产资本表!T107</f>
        <v>1.6140940939198751</v>
      </c>
      <c r="U10" s="61">
        <f>资产资本表!U70/资产资本表!U107</f>
        <v>1.5744961312085419</v>
      </c>
      <c r="V10" s="61">
        <f>资产资本表!V70/资产资本表!V107</f>
        <v>1.6344727311975566</v>
      </c>
      <c r="W10" s="61">
        <f>资产资本表!W70/资产资本表!W107</f>
        <v>1.5423614804795871</v>
      </c>
      <c r="X10" s="61">
        <f>资产资本表!X70/资产资本表!X107</f>
        <v>1.529873443907841</v>
      </c>
      <c r="Y10" s="61">
        <f>资产资本表!Y70/资产资本表!Y107</f>
        <v>1.4308374945701576</v>
      </c>
      <c r="Z10" s="61">
        <f>资产资本表!Z70/资产资本表!Z107</f>
        <v>1.3518854119387205</v>
      </c>
      <c r="AA10" s="61">
        <f>资产资本表!AA70/资产资本表!AA107</f>
        <v>1.3897278801889341</v>
      </c>
      <c r="AB10" s="61">
        <f>资产资本表!AB70/资产资本表!AB107</f>
        <v>1.2134112823612839</v>
      </c>
      <c r="AC10" s="61">
        <f>资产资本表!AC70/资产资本表!AC107</f>
        <v>1.1629804496785536</v>
      </c>
      <c r="AD10" s="61">
        <f>资产资本表!AD70/资产资本表!AD107</f>
        <v>1.2262291261433056</v>
      </c>
      <c r="AE10" s="61">
        <f>资产资本表!AE70/资产资本表!AE107</f>
        <v>1.1728686107396717</v>
      </c>
      <c r="AF10" s="61">
        <f>资产资本表!AF70/资产资本表!AF107</f>
        <v>1.1682070298579956</v>
      </c>
      <c r="AG10" s="61">
        <f>资产资本表!AG70/资产资本表!AG107</f>
        <v>1.1552753384970622</v>
      </c>
      <c r="AH10" s="61">
        <f>资产资本表!AH70/资产资本表!AH107</f>
        <v>1.1353838617185938</v>
      </c>
      <c r="AI10" s="61">
        <f>资产资本表!AI70/资产资本表!AI107</f>
        <v>1.1672911047949606</v>
      </c>
      <c r="AJ10" s="61">
        <f>资产资本表!AJ70/资产资本表!AJ107</f>
        <v>1.7196157985311047</v>
      </c>
      <c r="AK10" s="61">
        <f>资产资本表!AK70/资产资本表!AK107</f>
        <v>1.7460201668246569</v>
      </c>
      <c r="AL10" s="61">
        <f>资产资本表!AL70/资产资本表!AL107</f>
        <v>1.734626444392126</v>
      </c>
      <c r="AM10" s="61">
        <f>资产资本表!AM70/资产资本表!AM107</f>
        <v>1.7222798680282905</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1.0075190446506761</v>
      </c>
      <c r="F11" s="28">
        <f t="shared" ref="F11:BQ11" si="2">F9*F10</f>
        <v>1.1443903179595101</v>
      </c>
      <c r="G11" s="28">
        <f t="shared" si="2"/>
        <v>1.1064150206680927</v>
      </c>
      <c r="H11" s="28">
        <f t="shared" si="2"/>
        <v>1.4381673874942147</v>
      </c>
      <c r="I11" s="28">
        <f t="shared" si="2"/>
        <v>1.1968100995324062</v>
      </c>
      <c r="J11" s="28">
        <f t="shared" si="2"/>
        <v>1.2820654549605606</v>
      </c>
      <c r="K11" s="28">
        <f t="shared" si="2"/>
        <v>1.3691300175466916</v>
      </c>
      <c r="L11" s="28">
        <f t="shared" si="2"/>
        <v>1.398358117077362</v>
      </c>
      <c r="M11" s="28">
        <f t="shared" si="2"/>
        <v>0.67733159288568123</v>
      </c>
      <c r="N11" s="28">
        <f t="shared" si="2"/>
        <v>0.86214162639748437</v>
      </c>
      <c r="O11" s="28">
        <f t="shared" si="2"/>
        <v>1.1039962260183291</v>
      </c>
      <c r="P11" s="28">
        <f t="shared" si="2"/>
        <v>1.1478261524771478</v>
      </c>
      <c r="Q11" s="28">
        <f t="shared" si="2"/>
        <v>1.3009415306729639</v>
      </c>
      <c r="R11" s="28">
        <f t="shared" si="2"/>
        <v>1.4842242494791291</v>
      </c>
      <c r="S11" s="28">
        <f t="shared" si="2"/>
        <v>1.4355096961574139</v>
      </c>
      <c r="T11" s="28">
        <f t="shared" si="2"/>
        <v>1.3616521312177228</v>
      </c>
      <c r="U11" s="28">
        <f t="shared" si="2"/>
        <v>1.3364281449222033</v>
      </c>
      <c r="V11" s="28">
        <f t="shared" si="2"/>
        <v>1.4699441179234569</v>
      </c>
      <c r="W11" s="28">
        <f t="shared" si="2"/>
        <v>1.3854779341927854</v>
      </c>
      <c r="X11" s="28">
        <f t="shared" si="2"/>
        <v>1.3414008439648015</v>
      </c>
      <c r="Y11" s="28">
        <f t="shared" si="2"/>
        <v>1.2834655758384588</v>
      </c>
      <c r="Z11" s="28">
        <f t="shared" si="2"/>
        <v>1.2698431334907887</v>
      </c>
      <c r="AA11" s="28">
        <f t="shared" si="2"/>
        <v>1.3161696477795477</v>
      </c>
      <c r="AB11" s="28">
        <f t="shared" si="2"/>
        <v>1.1308789004270776</v>
      </c>
      <c r="AC11" s="28">
        <f t="shared" si="2"/>
        <v>1.0912487536728797</v>
      </c>
      <c r="AD11" s="28">
        <f t="shared" si="2"/>
        <v>1.2188740936991027</v>
      </c>
      <c r="AE11" s="28">
        <f t="shared" si="2"/>
        <v>1.1653038101671331</v>
      </c>
      <c r="AF11" s="28">
        <f t="shared" si="2"/>
        <v>1.1624375070837665</v>
      </c>
      <c r="AG11" s="28">
        <f t="shared" si="2"/>
        <v>1.0754021695189764</v>
      </c>
      <c r="AH11" s="28">
        <f t="shared" si="2"/>
        <v>1.1078295613096045</v>
      </c>
      <c r="AI11" s="28">
        <f t="shared" si="2"/>
        <v>1.0811378144419959</v>
      </c>
      <c r="AJ11" s="28">
        <f t="shared" si="2"/>
        <v>1.5650190149720005</v>
      </c>
      <c r="AK11" s="28">
        <f t="shared" si="2"/>
        <v>1.6044147800522353</v>
      </c>
      <c r="AL11" s="28">
        <f t="shared" si="2"/>
        <v>1.5977279208655017</v>
      </c>
      <c r="AM11" s="28">
        <f t="shared" si="2"/>
        <v>1.5705313486261607</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0.64538819013628679</v>
      </c>
      <c r="F12" s="158">
        <f>F2/股权价值增加表!F38</f>
        <v>0.87373378638942834</v>
      </c>
      <c r="G12" s="158">
        <f>G2/股权价值增加表!G38</f>
        <v>0.87606082103662652</v>
      </c>
      <c r="H12" s="158">
        <f>H2/股权价值增加表!H38</f>
        <v>0.94511216595448533</v>
      </c>
      <c r="I12" s="158">
        <f>I2/股权价值增加表!I38</f>
        <v>0.8914128242484145</v>
      </c>
      <c r="J12" s="158">
        <f>J2/股权价值增加表!J38</f>
        <v>0.91704310157251889</v>
      </c>
      <c r="K12" s="158">
        <f>K2/股权价值增加表!K38</f>
        <v>0.91166712577949494</v>
      </c>
      <c r="L12" s="158">
        <f>L2/股权价值增加表!L38</f>
        <v>0.90685625004484038</v>
      </c>
      <c r="M12" s="158">
        <f>M2/股权价值增加表!M38</f>
        <v>0.63109831582523657</v>
      </c>
      <c r="N12" s="158">
        <f>N2/股权价值增加表!N38</f>
        <v>0.75555818324034085</v>
      </c>
      <c r="O12" s="158">
        <f>O2/股权价值增加表!O38</f>
        <v>0.81317290112092333</v>
      </c>
      <c r="P12" s="158">
        <f>P2/股权价值增加表!P38</f>
        <v>0.81630212636230171</v>
      </c>
      <c r="Q12" s="158">
        <f>Q2/股权价值增加表!Q38</f>
        <v>0.86639596158961318</v>
      </c>
      <c r="R12" s="158">
        <f>R2/股权价值增加表!R38</f>
        <v>0.86439773307956791</v>
      </c>
      <c r="S12" s="158">
        <f>S2/股权价值增加表!S38</f>
        <v>0.86203200385552858</v>
      </c>
      <c r="T12" s="158">
        <f>T2/股权价值增加表!T38</f>
        <v>0.86556157257739696</v>
      </c>
      <c r="U12" s="158">
        <f>U2/股权价值增加表!U38</f>
        <v>0.84915380762191228</v>
      </c>
      <c r="V12" s="158">
        <f>V2/股权价值增加表!V38</f>
        <v>0.86486577442177148</v>
      </c>
      <c r="W12" s="158">
        <f>W2/股权价值增加表!W38</f>
        <v>0.868804718567177</v>
      </c>
      <c r="X12" s="158">
        <f>X2/股权价值增加表!X38</f>
        <v>0.86040226222853577</v>
      </c>
      <c r="Y12" s="158">
        <f>Y2/股权价值增加表!Y38</f>
        <v>0.86142648566138036</v>
      </c>
      <c r="Z12" s="158">
        <f>Z2/股权价值增加表!Z38</f>
        <v>0.86239771436969226</v>
      </c>
      <c r="AA12" s="158">
        <f>AA2/股权价值增加表!AA38</f>
        <v>0.86332053496366234</v>
      </c>
      <c r="AB12" s="158">
        <f>AB2/股权价值增加表!AB38</f>
        <v>0.85734305032417801</v>
      </c>
      <c r="AC12" s="158">
        <f>AC2/股权价值增加表!AC38</f>
        <v>0.85920599136085773</v>
      </c>
      <c r="AD12" s="158">
        <f>AD2/股权价值增加表!AD38</f>
        <v>0.85521002184917405</v>
      </c>
      <c r="AE12" s="158">
        <f>AE2/股权价值增加表!AE38</f>
        <v>0.85704465244655559</v>
      </c>
      <c r="AF12" s="158">
        <f>AF2/股权价值增加表!AF38</f>
        <v>0.85582665412270087</v>
      </c>
      <c r="AG12" s="158">
        <f>AG2/股权价值增加表!AG38</f>
        <v>0.8531475667283055</v>
      </c>
      <c r="AH12" s="158">
        <f>AH2/股权价值增加表!AH38</f>
        <v>0.85315502754389672</v>
      </c>
      <c r="AI12" s="158">
        <f>AI2/股权价值增加表!AI38</f>
        <v>0.8549594314829877</v>
      </c>
      <c r="AJ12" s="158">
        <f>AJ2/股权价值增加表!AJ38</f>
        <v>0.84191433491253842</v>
      </c>
      <c r="AK12" s="158">
        <f>AK2/股权价值增加表!AK38</f>
        <v>0.83187918198709343</v>
      </c>
      <c r="AL12" s="158">
        <f>AL2/股权价值增加表!AL38</f>
        <v>0.8251024989031166</v>
      </c>
      <c r="AM12" s="158">
        <f>AM2/股权价值增加表!AM38</f>
        <v>0.8295995484728057</v>
      </c>
      <c r="AN12" s="158">
        <f>AN2/股权价值增加表!AN38</f>
        <v>0.82682793375114938</v>
      </c>
      <c r="AO12" s="158">
        <f>AO2/股权价值增加表!AO38</f>
        <v>0.88464380684425392</v>
      </c>
      <c r="AP12" s="158">
        <f>AP2/股权价值增加表!AP38</f>
        <v>0.84123836197019819</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0.35461180986371321</v>
      </c>
      <c r="F13" s="63">
        <f>1-F2/股权价值增加表!F38</f>
        <v>0.12626621361057166</v>
      </c>
      <c r="G13" s="63">
        <f>1-G2/股权价值增加表!G38</f>
        <v>0.12393917896337348</v>
      </c>
      <c r="H13" s="63">
        <f>1-H2/股权价值增加表!H38</f>
        <v>5.4887834045514672E-2</v>
      </c>
      <c r="I13" s="63">
        <f>1-I2/股权价值增加表!I38</f>
        <v>0.1085871757515855</v>
      </c>
      <c r="J13" s="63">
        <f>1-J2/股权价值增加表!J38</f>
        <v>8.2956898427481107E-2</v>
      </c>
      <c r="K13" s="63">
        <f>1-K2/股权价值增加表!K38</f>
        <v>8.8332874220505064E-2</v>
      </c>
      <c r="L13" s="63">
        <f>1-L2/股权价值增加表!L38</f>
        <v>9.3143749955159616E-2</v>
      </c>
      <c r="M13" s="63">
        <f>1-M2/股权价值增加表!M38</f>
        <v>0.36890168417476343</v>
      </c>
      <c r="N13" s="63">
        <f>1-N2/股权价值增加表!N38</f>
        <v>0.24444181675965915</v>
      </c>
      <c r="O13" s="63">
        <f>1-O2/股权价值增加表!O38</f>
        <v>0.18682709887907667</v>
      </c>
      <c r="P13" s="63">
        <f>1-P2/股权价值增加表!P38</f>
        <v>0.18369787363769829</v>
      </c>
      <c r="Q13" s="63">
        <f>1-Q2/股权价值增加表!Q38</f>
        <v>0.13360403841038682</v>
      </c>
      <c r="R13" s="63">
        <f>1-R2/股权价值增加表!R38</f>
        <v>0.13560226692043209</v>
      </c>
      <c r="S13" s="63">
        <f>1-S2/股权价值增加表!S38</f>
        <v>0.13796799614447142</v>
      </c>
      <c r="T13" s="63">
        <f>1-T2/股权价值增加表!T38</f>
        <v>0.13443842742260304</v>
      </c>
      <c r="U13" s="63">
        <f>1-U2/股权价值增加表!U38</f>
        <v>0.15084619237808772</v>
      </c>
      <c r="V13" s="63">
        <f>1-V2/股权价值增加表!V38</f>
        <v>0.13513422557822852</v>
      </c>
      <c r="W13" s="63">
        <f>1-W2/股权价值增加表!W38</f>
        <v>0.131195281432823</v>
      </c>
      <c r="X13" s="63">
        <f>1-X2/股权价值增加表!X38</f>
        <v>0.13959773777146423</v>
      </c>
      <c r="Y13" s="63">
        <f>1-Y2/股权价值增加表!Y38</f>
        <v>0.13857351433861964</v>
      </c>
      <c r="Z13" s="63">
        <f>1-Z2/股权价值增加表!Z38</f>
        <v>0.13760228563030774</v>
      </c>
      <c r="AA13" s="63">
        <f>1-AA2/股权价值增加表!AA38</f>
        <v>0.13667946503633766</v>
      </c>
      <c r="AB13" s="63">
        <f>1-AB2/股权价值增加表!AB38</f>
        <v>0.14265694967582199</v>
      </c>
      <c r="AC13" s="63">
        <f>1-AC2/股权价值增加表!AC38</f>
        <v>0.14079400863914227</v>
      </c>
      <c r="AD13" s="63">
        <f>1-AD2/股权价值增加表!AD38</f>
        <v>0.14478997815082595</v>
      </c>
      <c r="AE13" s="63">
        <f>1-AE2/股权价值增加表!AE38</f>
        <v>0.14295534755344441</v>
      </c>
      <c r="AF13" s="63">
        <f>1-AF2/股权价值增加表!AF38</f>
        <v>0.14417334587729913</v>
      </c>
      <c r="AG13" s="63">
        <f>1-AG2/股权价值增加表!AG38</f>
        <v>0.1468524332716945</v>
      </c>
      <c r="AH13" s="63">
        <f>1-AH2/股权价值增加表!AH38</f>
        <v>0.14684497245610328</v>
      </c>
      <c r="AI13" s="63">
        <f>1-AI2/股权价值增加表!AI38</f>
        <v>0.1450405685170123</v>
      </c>
      <c r="AJ13" s="63">
        <f>1-AJ2/股权价值增加表!AJ38</f>
        <v>0.15808566508746158</v>
      </c>
      <c r="AK13" s="63">
        <f>1-AK2/股权价值增加表!AK38</f>
        <v>0.16812081801290657</v>
      </c>
      <c r="AL13" s="63">
        <f>1-AL2/股权价值增加表!AL38</f>
        <v>0.1748975010968834</v>
      </c>
      <c r="AM13" s="63">
        <f>1-AM2/股权价值增加表!AM38</f>
        <v>0.1704004515271943</v>
      </c>
      <c r="AN13" s="63">
        <f>1-AN2/股权价值增加表!AN38</f>
        <v>0.17317206624885062</v>
      </c>
      <c r="AO13" s="63">
        <f>1-AO2/股权价值增加表!AO38</f>
        <v>0.11535619315574608</v>
      </c>
      <c r="AP13" s="63">
        <f>1-AP2/股权价值增加表!AP38</f>
        <v>0.15876163802980181</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5.0152287005531919E-2</v>
      </c>
      <c r="F14" s="59">
        <f t="shared" ref="F14:BQ14" si="4">F6*F7*F9*F10*F12</f>
        <v>6.3617251711316589E-2</v>
      </c>
      <c r="G14" s="59">
        <f t="shared" si="4"/>
        <v>4.3603133061297025E-2</v>
      </c>
      <c r="H14" s="59">
        <f t="shared" si="4"/>
        <v>3.9064701455932598E-2</v>
      </c>
      <c r="I14" s="59">
        <f t="shared" si="4"/>
        <v>6.5938807163686664E-2</v>
      </c>
      <c r="J14" s="59">
        <f t="shared" si="4"/>
        <v>6.4597664658391174E-2</v>
      </c>
      <c r="K14" s="59">
        <f t="shared" si="4"/>
        <v>4.6321729304337575E-2</v>
      </c>
      <c r="L14" s="59">
        <f t="shared" si="4"/>
        <v>2.7282910308199224E-2</v>
      </c>
      <c r="M14" s="59">
        <f t="shared" si="4"/>
        <v>2.128922900576764E-2</v>
      </c>
      <c r="N14" s="59">
        <f t="shared" si="4"/>
        <v>3.055294792969963E-2</v>
      </c>
      <c r="O14" s="59">
        <f t="shared" si="4"/>
        <v>2.8433031948333392E-2</v>
      </c>
      <c r="P14" s="59">
        <f t="shared" si="4"/>
        <v>1.6635171509830883E-2</v>
      </c>
      <c r="Q14" s="59">
        <f t="shared" si="4"/>
        <v>9.695913718826113E-2</v>
      </c>
      <c r="R14" s="59">
        <f t="shared" si="4"/>
        <v>8.5531211226472226E-2</v>
      </c>
      <c r="S14" s="59">
        <f t="shared" si="4"/>
        <v>5.3708729177518649E-2</v>
      </c>
      <c r="T14" s="59">
        <f t="shared" si="4"/>
        <v>2.2123479017065937E-2</v>
      </c>
      <c r="U14" s="59">
        <f t="shared" si="4"/>
        <v>0.10726830554701404</v>
      </c>
      <c r="V14" s="59">
        <f t="shared" si="4"/>
        <v>8.7766496171930941E-2</v>
      </c>
      <c r="W14" s="59">
        <f t="shared" si="4"/>
        <v>5.7099520441116942E-2</v>
      </c>
      <c r="X14" s="59">
        <f t="shared" si="4"/>
        <v>2.2598830796976766E-2</v>
      </c>
      <c r="Y14" s="59">
        <f t="shared" si="4"/>
        <v>0.11993072085473898</v>
      </c>
      <c r="Z14" s="59">
        <f t="shared" si="4"/>
        <v>8.7902085340543279E-2</v>
      </c>
      <c r="AA14" s="59">
        <f t="shared" si="4"/>
        <v>5.4865527045454929E-2</v>
      </c>
      <c r="AB14" s="59">
        <f t="shared" si="4"/>
        <v>2.08058677509106E-2</v>
      </c>
      <c r="AC14" s="59">
        <f t="shared" si="4"/>
        <v>0.12084364550312748</v>
      </c>
      <c r="AD14" s="59">
        <f t="shared" si="4"/>
        <v>8.9741428607336457E-2</v>
      </c>
      <c r="AE14" s="59">
        <f t="shared" si="4"/>
        <v>5.5515323453283583E-2</v>
      </c>
      <c r="AF14" s="59">
        <f t="shared" si="4"/>
        <v>2.0143083949092085E-2</v>
      </c>
      <c r="AG14" s="59">
        <f t="shared" si="4"/>
        <v>9.3433547031483238E-2</v>
      </c>
      <c r="AH14" s="59">
        <f t="shared" si="4"/>
        <v>6.6576588441334628E-2</v>
      </c>
      <c r="AI14" s="59">
        <f t="shared" si="4"/>
        <v>3.9420933153011227E-2</v>
      </c>
      <c r="AJ14" s="59">
        <f t="shared" si="4"/>
        <v>5.566144497745297E-2</v>
      </c>
      <c r="AK14" s="59">
        <f t="shared" si="4"/>
        <v>0.27489454082102743</v>
      </c>
      <c r="AL14" s="59">
        <f t="shared" si="4"/>
        <v>0.24567521752510504</v>
      </c>
      <c r="AM14" s="59">
        <f t="shared" si="4"/>
        <v>0.24834056255832787</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11434948841</v>
      </c>
      <c r="F19" s="76">
        <f>股权价值增加表!F4</f>
        <v>7910226267</v>
      </c>
      <c r="G19" s="76">
        <f>股权价值增加表!G4</f>
        <v>4941976922</v>
      </c>
      <c r="H19" s="76">
        <f>股权价值增加表!H4</f>
        <v>2434199647</v>
      </c>
      <c r="I19" s="76">
        <f>股权价值增加表!I4</f>
        <v>8565943415</v>
      </c>
      <c r="J19" s="76">
        <f>股权价值增加表!J4</f>
        <v>6252875047</v>
      </c>
      <c r="K19" s="76">
        <f>股权价值增加表!K4</f>
        <v>4096412765</v>
      </c>
      <c r="L19" s="76">
        <f>股权价值增加表!L4</f>
        <v>2004327919</v>
      </c>
      <c r="M19" s="76">
        <f>股权价值增加表!M4</f>
        <v>7763339982</v>
      </c>
      <c r="N19" s="76">
        <f>股权价值增加表!N4</f>
        <v>5818520501</v>
      </c>
      <c r="O19" s="76">
        <f>股权价值增加表!O4</f>
        <v>3835606919</v>
      </c>
      <c r="P19" s="76">
        <f>股权价值增加表!P4</f>
        <v>1892650277</v>
      </c>
      <c r="Q19" s="76">
        <f>股权价值增加表!Q4</f>
        <v>8023421289</v>
      </c>
      <c r="R19" s="76">
        <f>股权价值增加表!R4</f>
        <v>5986277356</v>
      </c>
      <c r="S19" s="76">
        <f>股权价值增加表!S4</f>
        <v>3967165098</v>
      </c>
      <c r="T19" s="76">
        <f>股权价值增加表!T4</f>
        <v>1940287290</v>
      </c>
      <c r="U19" s="76">
        <f>股权价值增加表!U4</f>
        <v>6831281981</v>
      </c>
      <c r="V19" s="76">
        <f>股权价值增加表!V4</f>
        <v>4929174842</v>
      </c>
      <c r="W19" s="76">
        <f>股权价值增加表!W4</f>
        <v>3181354078</v>
      </c>
      <c r="X19" s="76">
        <f>股权价值增加表!X4</f>
        <v>1461330801</v>
      </c>
      <c r="Y19" s="76">
        <f>股权价值增加表!Y4</f>
        <v>5885278617</v>
      </c>
      <c r="Z19" s="76">
        <f>股权价值增加表!Z4</f>
        <v>4353708800</v>
      </c>
      <c r="AA19" s="76">
        <f>股权价值增加表!AA4</f>
        <v>2775582920</v>
      </c>
      <c r="AB19" s="76">
        <f>股权价值增加表!AB4</f>
        <v>1235735236</v>
      </c>
      <c r="AC19" s="76">
        <f>股权价值增加表!AC4</f>
        <v>5147848758</v>
      </c>
      <c r="AD19" s="76">
        <f>股权价值增加表!AD4</f>
        <v>3647054388</v>
      </c>
      <c r="AE19" s="76">
        <f>股权价值增加表!AE4</f>
        <v>2311450599</v>
      </c>
      <c r="AF19" s="76">
        <f>股权价值增加表!AF4</f>
        <v>1075326251</v>
      </c>
      <c r="AG19" s="76">
        <f>股权价值增加表!AG4</f>
        <v>4026399958</v>
      </c>
      <c r="AH19" s="76">
        <f>股权价值增加表!AH4</f>
        <v>2848000427</v>
      </c>
      <c r="AI19" s="76">
        <f>股权价值增加表!AI4</f>
        <v>1785904167</v>
      </c>
      <c r="AJ19" s="76">
        <f>股权价值增加表!AJ4</f>
        <v>813017762</v>
      </c>
      <c r="AK19" s="76">
        <f>股权价值增加表!AK4</f>
        <v>3245985345</v>
      </c>
      <c r="AL19" s="76">
        <f>股权价值增加表!AL4</f>
        <v>2347475020</v>
      </c>
      <c r="AM19" s="76">
        <f>股权价值增加表!AM4</f>
        <v>1471579835</v>
      </c>
      <c r="AN19" s="76">
        <f>股权价值增加表!AN4</f>
        <v>658678544</v>
      </c>
      <c r="AO19" s="76">
        <f>股权价值增加表!AO4</f>
        <v>2621391286</v>
      </c>
      <c r="AP19" s="76">
        <f>股权价值增加表!AP4</f>
        <v>2029326550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816392401</v>
      </c>
      <c r="F20" s="76">
        <f>股权价值增加表!F15</f>
        <v>858842700</v>
      </c>
      <c r="G20" s="76">
        <f>股权价值增加表!G15</f>
        <v>559792305</v>
      </c>
      <c r="H20" s="76">
        <f>股权价值增加表!H15</f>
        <v>347998232</v>
      </c>
      <c r="I20" s="76">
        <f>股权价值增加表!I15</f>
        <v>971099685</v>
      </c>
      <c r="J20" s="76">
        <f>股权价值增加表!J15</f>
        <v>835933569</v>
      </c>
      <c r="K20" s="76">
        <f>股权价值增加表!K15</f>
        <v>590383027</v>
      </c>
      <c r="L20" s="76">
        <f>股权价值增加表!L15</f>
        <v>324332682</v>
      </c>
      <c r="M20" s="76">
        <f>股权价值增加表!M15</f>
        <v>1097167861</v>
      </c>
      <c r="N20" s="76">
        <f>股权价值增加表!N15</f>
        <v>895255690</v>
      </c>
      <c r="O20" s="76">
        <f>股权价值增加表!O15</f>
        <v>598561743</v>
      </c>
      <c r="P20" s="76">
        <f>股权价值增加表!P15</f>
        <v>314873983</v>
      </c>
      <c r="Q20" s="76">
        <f>股权价值增加表!Q15</f>
        <v>1333387559</v>
      </c>
      <c r="R20" s="76">
        <f>股权价值增加表!R15</f>
        <v>1123024724</v>
      </c>
      <c r="S20" s="76">
        <f>股权价值增加表!S15</f>
        <v>727837869</v>
      </c>
      <c r="T20" s="76">
        <f>股权价值增加表!T15</f>
        <v>311689151</v>
      </c>
      <c r="U20" s="76">
        <f>股权价值增加表!U15</f>
        <v>1429025594</v>
      </c>
      <c r="V20" s="76">
        <f>股权价值增加表!V15</f>
        <v>1104858071</v>
      </c>
      <c r="W20" s="76">
        <f>股权价值增加表!W15</f>
        <v>693295139</v>
      </c>
      <c r="X20" s="76">
        <f>股权价值增加表!X15</f>
        <v>277936452</v>
      </c>
      <c r="Y20" s="76">
        <f>股权价值增加表!Y15</f>
        <v>1352322772</v>
      </c>
      <c r="Z20" s="76">
        <f>股权价值增加表!Z15</f>
        <v>946053763</v>
      </c>
      <c r="AA20" s="76">
        <f>股权价值增加表!AA15</f>
        <v>564961256</v>
      </c>
      <c r="AB20" s="76">
        <f>股权价值增加表!AB15</f>
        <v>216810868</v>
      </c>
      <c r="AC20" s="76">
        <f>股权价值增加表!AC15</f>
        <v>1126235177</v>
      </c>
      <c r="AD20" s="76">
        <f>股权价值增加表!AD15</f>
        <v>806323988</v>
      </c>
      <c r="AE20" s="76">
        <f>股权价值增加表!AE15</f>
        <v>479202716</v>
      </c>
      <c r="AF20" s="76">
        <f>股权价值增加表!AF15</f>
        <v>170476764</v>
      </c>
      <c r="AG20" s="76">
        <f>股权价值增加表!AG15</f>
        <v>780741080</v>
      </c>
      <c r="AH20" s="76">
        <f>股权价值增加表!AH15</f>
        <v>543421204</v>
      </c>
      <c r="AI20" s="76">
        <f>股权价值增加表!AI15</f>
        <v>329167056</v>
      </c>
      <c r="AJ20" s="76">
        <f>股权价值增加表!AJ15</f>
        <v>121497010</v>
      </c>
      <c r="AK20" s="76">
        <f>股权价值增加表!AK15</f>
        <v>567980455</v>
      </c>
      <c r="AL20" s="76">
        <f>股权价值增加表!AL15</f>
        <v>384760729</v>
      </c>
      <c r="AM20" s="76">
        <f>股权价值增加表!AM15</f>
        <v>226908234</v>
      </c>
      <c r="AN20" s="76">
        <f>股权价值增加表!AN15</f>
        <v>90593471</v>
      </c>
      <c r="AO20" s="76">
        <f>股权价值增加表!AO15</f>
        <v>398487635</v>
      </c>
      <c r="AP20" s="76">
        <f>股权价值增加表!AP15</f>
        <v>286821472</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7.1394495275118833E-2</v>
      </c>
      <c r="F21" s="244">
        <f t="shared" ref="F21:BQ21" si="6">F20/F19</f>
        <v>0.1085737210303241</v>
      </c>
      <c r="G21" s="244">
        <f t="shared" si="6"/>
        <v>0.11327295004312851</v>
      </c>
      <c r="H21" s="244">
        <f t="shared" si="6"/>
        <v>0.1429620747948453</v>
      </c>
      <c r="I21" s="244">
        <f t="shared" si="6"/>
        <v>0.1133675110787549</v>
      </c>
      <c r="J21" s="244">
        <f t="shared" si="6"/>
        <v>0.13368787361280529</v>
      </c>
      <c r="K21" s="244">
        <f t="shared" si="6"/>
        <v>0.14412195764163918</v>
      </c>
      <c r="L21" s="244">
        <f t="shared" si="6"/>
        <v>0.16181617734577891</v>
      </c>
      <c r="M21" s="244">
        <f t="shared" si="6"/>
        <v>0.1413267824858736</v>
      </c>
      <c r="N21" s="244">
        <f t="shared" si="6"/>
        <v>0.15386311517612369</v>
      </c>
      <c r="O21" s="244">
        <f t="shared" si="6"/>
        <v>0.15605398458193781</v>
      </c>
      <c r="P21" s="244">
        <f t="shared" si="6"/>
        <v>0.16636670114200924</v>
      </c>
      <c r="Q21" s="244">
        <f t="shared" si="6"/>
        <v>0.16618690593102173</v>
      </c>
      <c r="R21" s="244">
        <f t="shared" si="6"/>
        <v>0.18759984832216317</v>
      </c>
      <c r="S21" s="244">
        <f t="shared" si="6"/>
        <v>0.18346548505554533</v>
      </c>
      <c r="T21" s="244">
        <f t="shared" si="6"/>
        <v>0.16064072192113366</v>
      </c>
      <c r="U21" s="244">
        <f t="shared" si="6"/>
        <v>0.2091884946302292</v>
      </c>
      <c r="V21" s="244">
        <f t="shared" si="6"/>
        <v>0.22414665870357048</v>
      </c>
      <c r="W21" s="244">
        <f t="shared" si="6"/>
        <v>0.21792454470702899</v>
      </c>
      <c r="X21" s="244">
        <f t="shared" si="6"/>
        <v>0.19019406954934909</v>
      </c>
      <c r="Y21" s="244">
        <f t="shared" si="6"/>
        <v>0.2297805864438992</v>
      </c>
      <c r="Z21" s="244">
        <f t="shared" si="6"/>
        <v>0.21729835559971306</v>
      </c>
      <c r="AA21" s="244">
        <f t="shared" si="6"/>
        <v>0.20354688448652075</v>
      </c>
      <c r="AB21" s="244">
        <f t="shared" si="6"/>
        <v>0.17545090702584773</v>
      </c>
      <c r="AC21" s="244">
        <f t="shared" si="6"/>
        <v>0.21877782933109241</v>
      </c>
      <c r="AD21" s="244">
        <f t="shared" si="6"/>
        <v>0.22108910430649711</v>
      </c>
      <c r="AE21" s="244">
        <f t="shared" si="6"/>
        <v>0.20731687547521754</v>
      </c>
      <c r="AF21" s="244">
        <f t="shared" si="6"/>
        <v>0.15853492262600777</v>
      </c>
      <c r="AG21" s="244">
        <f t="shared" si="6"/>
        <v>0.19390549576396554</v>
      </c>
      <c r="AH21" s="244">
        <f t="shared" si="6"/>
        <v>0.19080797841467459</v>
      </c>
      <c r="AI21" s="244">
        <f t="shared" si="6"/>
        <v>0.18431395260863401</v>
      </c>
      <c r="AJ21" s="244">
        <f t="shared" si="6"/>
        <v>0.14943955185077493</v>
      </c>
      <c r="AK21" s="244">
        <f t="shared" si="6"/>
        <v>0.17497936516407778</v>
      </c>
      <c r="AL21" s="244">
        <f t="shared" si="6"/>
        <v>0.16390407809323568</v>
      </c>
      <c r="AM21" s="244">
        <f t="shared" si="6"/>
        <v>0.15419362823764163</v>
      </c>
      <c r="AN21" s="244">
        <f t="shared" si="6"/>
        <v>0.13753821469551314</v>
      </c>
      <c r="AO21" s="244">
        <f t="shared" si="6"/>
        <v>0.15201379402159193</v>
      </c>
      <c r="AP21" s="244">
        <f t="shared" si="6"/>
        <v>0.14133825430904651</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16228687864</v>
      </c>
      <c r="F22" s="193">
        <f>资产资本表!F69</f>
        <v>17025311392</v>
      </c>
      <c r="G22" s="193">
        <f>资产资本表!G69</f>
        <v>16093428087</v>
      </c>
      <c r="H22" s="193">
        <f>资产资本表!H69</f>
        <v>16757942948</v>
      </c>
      <c r="I22" s="193">
        <f>资产资本表!I69</f>
        <v>16868518150</v>
      </c>
      <c r="J22" s="193">
        <f>资产资本表!J69</f>
        <v>15723841279</v>
      </c>
      <c r="K22" s="193">
        <f>资产资本表!K69</f>
        <v>16256802300</v>
      </c>
      <c r="L22" s="193">
        <f>资产资本表!L69</f>
        <v>16572574265</v>
      </c>
      <c r="M22" s="193">
        <f>资产资本表!M69</f>
        <v>15596734612</v>
      </c>
      <c r="N22" s="193">
        <f>资产资本表!N69</f>
        <v>13832383889</v>
      </c>
      <c r="O22" s="193">
        <f>资产资本表!O69</f>
        <v>14913118144</v>
      </c>
      <c r="P22" s="193">
        <f>资产资本表!P69</f>
        <v>14683347922</v>
      </c>
      <c r="Q22" s="193">
        <f>资产资本表!Q69</f>
        <v>14894366732</v>
      </c>
      <c r="R22" s="193">
        <f>资产资本表!R69</f>
        <v>15704687803</v>
      </c>
      <c r="S22" s="193">
        <f>资产资本表!S69</f>
        <v>14898709482</v>
      </c>
      <c r="T22" s="193">
        <f>资产资本表!T69</f>
        <v>14443456876</v>
      </c>
      <c r="U22" s="193">
        <f>资产资本表!U69</f>
        <v>13431716626</v>
      </c>
      <c r="V22" s="193">
        <f>资产资本表!V69</f>
        <v>12769930494</v>
      </c>
      <c r="W22" s="193">
        <f>资产资本表!W69</f>
        <v>12402602560</v>
      </c>
      <c r="X22" s="193">
        <f>资产资本表!X69</f>
        <v>11046912240</v>
      </c>
      <c r="Y22" s="193">
        <f>资产资本表!Y69</f>
        <v>10556230279</v>
      </c>
      <c r="Z22" s="193">
        <f>资产资本表!Z69</f>
        <v>9616051763</v>
      </c>
      <c r="AA22" s="193">
        <f>资产资本表!AA69</f>
        <v>7996739495</v>
      </c>
      <c r="AB22" s="193">
        <f>资产资本表!AB69</f>
        <v>8158023147</v>
      </c>
      <c r="AC22" s="193">
        <f>资产资本表!AC69</f>
        <v>7116919541</v>
      </c>
      <c r="AD22" s="193">
        <f>资产资本表!AD69</f>
        <v>6577447871</v>
      </c>
      <c r="AE22" s="193">
        <f>资产资本表!AE69</f>
        <v>5709805743</v>
      </c>
      <c r="AF22" s="193">
        <f>资产资本表!AF69</f>
        <v>4830771954</v>
      </c>
      <c r="AG22" s="193">
        <f>资产资本表!AG69</f>
        <v>3915571223</v>
      </c>
      <c r="AH22" s="193">
        <f>资产资本表!AH69</f>
        <v>3221836176</v>
      </c>
      <c r="AI22" s="193">
        <f>资产资本表!AI69</f>
        <v>2778929744</v>
      </c>
      <c r="AJ22" s="193">
        <f>资产资本表!AJ69</f>
        <v>2474199899</v>
      </c>
      <c r="AK22" s="193">
        <f>资产资本表!AK69</f>
        <v>2241075249</v>
      </c>
      <c r="AL22" s="193">
        <f>资产资本表!AL69</f>
        <v>1723408869</v>
      </c>
      <c r="AM22" s="193">
        <f>资产资本表!AM69</f>
        <v>1087343813</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0.70461327106833316</v>
      </c>
      <c r="F23" s="246">
        <f t="shared" ref="F23:BQ23" si="8">F19/F22</f>
        <v>0.46461565870195626</v>
      </c>
      <c r="G23" s="246">
        <f t="shared" si="8"/>
        <v>0.30708043651632222</v>
      </c>
      <c r="H23" s="246">
        <f t="shared" si="8"/>
        <v>0.14525647059148825</v>
      </c>
      <c r="I23" s="246">
        <f t="shared" si="8"/>
        <v>0.50780651500203056</v>
      </c>
      <c r="J23" s="246">
        <f t="shared" si="8"/>
        <v>0.39766841550041826</v>
      </c>
      <c r="K23" s="246">
        <f t="shared" si="8"/>
        <v>0.25198145917047904</v>
      </c>
      <c r="L23" s="246">
        <f t="shared" si="8"/>
        <v>0.12094246113791665</v>
      </c>
      <c r="M23" s="246">
        <f t="shared" si="8"/>
        <v>0.49775418862528759</v>
      </c>
      <c r="N23" s="246">
        <f t="shared" si="8"/>
        <v>0.42064481059024778</v>
      </c>
      <c r="O23" s="246">
        <f t="shared" si="8"/>
        <v>0.25719684387689112</v>
      </c>
      <c r="P23" s="246">
        <f t="shared" si="8"/>
        <v>0.12889773415804237</v>
      </c>
      <c r="Q23" s="246">
        <f t="shared" si="8"/>
        <v>0.5386883130628155</v>
      </c>
      <c r="R23" s="246">
        <f t="shared" si="8"/>
        <v>0.38117773693383877</v>
      </c>
      <c r="S23" s="246">
        <f t="shared" si="8"/>
        <v>0.26627575380223123</v>
      </c>
      <c r="T23" s="246">
        <f t="shared" si="8"/>
        <v>0.13433676623662597</v>
      </c>
      <c r="U23" s="246">
        <f t="shared" si="8"/>
        <v>0.50859336682078093</v>
      </c>
      <c r="V23" s="246">
        <f t="shared" si="8"/>
        <v>0.38599856469978372</v>
      </c>
      <c r="W23" s="246">
        <f t="shared" si="8"/>
        <v>0.25650697606486877</v>
      </c>
      <c r="X23" s="246">
        <f t="shared" si="8"/>
        <v>0.13228409615753406</v>
      </c>
      <c r="Y23" s="246">
        <f t="shared" si="8"/>
        <v>0.55751707394142946</v>
      </c>
      <c r="Z23" s="246">
        <f t="shared" si="8"/>
        <v>0.45275430158892332</v>
      </c>
      <c r="AA23" s="246">
        <f t="shared" si="8"/>
        <v>0.3470893258102814</v>
      </c>
      <c r="AB23" s="246">
        <f t="shared" si="8"/>
        <v>0.15147483817258162</v>
      </c>
      <c r="AC23" s="246">
        <f t="shared" si="8"/>
        <v>0.72332541183635113</v>
      </c>
      <c r="AD23" s="246">
        <f t="shared" si="8"/>
        <v>0.55447864574949823</v>
      </c>
      <c r="AE23" s="246">
        <f t="shared" si="8"/>
        <v>0.40482123263716085</v>
      </c>
      <c r="AF23" s="246">
        <f t="shared" si="8"/>
        <v>0.22259925768377514</v>
      </c>
      <c r="AG23" s="246">
        <f t="shared" si="8"/>
        <v>1.0283046147517363</v>
      </c>
      <c r="AH23" s="246">
        <f t="shared" si="8"/>
        <v>0.88396810744606902</v>
      </c>
      <c r="AI23" s="246">
        <f t="shared" si="8"/>
        <v>0.64265898440072255</v>
      </c>
      <c r="AJ23" s="246">
        <f t="shared" si="8"/>
        <v>0.32859825203638487</v>
      </c>
      <c r="AK23" s="246">
        <f t="shared" si="8"/>
        <v>1.4484053342021448</v>
      </c>
      <c r="AL23" s="246">
        <f t="shared" si="8"/>
        <v>1.3621114885883763</v>
      </c>
      <c r="AM23" s="246">
        <f t="shared" si="8"/>
        <v>1.3533712312574679</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5.0305508852074139E-2</v>
      </c>
      <c r="F24" s="161">
        <f t="shared" ref="F24:BQ24" si="10">F21*F23</f>
        <v>5.0445050914226471E-2</v>
      </c>
      <c r="G24" s="161">
        <f t="shared" si="10"/>
        <v>3.478390694473546E-2</v>
      </c>
      <c r="H24" s="161">
        <f t="shared" si="10"/>
        <v>2.0766166413135587E-2</v>
      </c>
      <c r="I24" s="161">
        <f t="shared" si="10"/>
        <v>5.7568760715356611E-2</v>
      </c>
      <c r="J24" s="161">
        <f t="shared" si="10"/>
        <v>5.3163444871224458E-2</v>
      </c>
      <c r="K24" s="161">
        <f t="shared" si="10"/>
        <v>3.6316061185046211E-2</v>
      </c>
      <c r="L24" s="161">
        <f t="shared" si="10"/>
        <v>1.9570446740128096E-2</v>
      </c>
      <c r="M24" s="161">
        <f t="shared" si="10"/>
        <v>7.0345997947278513E-2</v>
      </c>
      <c r="N24" s="161">
        <f t="shared" si="10"/>
        <v>6.4721720940086033E-2</v>
      </c>
      <c r="O24" s="161">
        <f t="shared" si="10"/>
        <v>4.0136592308887435E-2</v>
      </c>
      <c r="P24" s="161">
        <f t="shared" si="10"/>
        <v>2.1444290816553191E-2</v>
      </c>
      <c r="Q24" s="161">
        <f t="shared" si="10"/>
        <v>8.95229440091109E-2</v>
      </c>
      <c r="R24" s="161">
        <f t="shared" si="10"/>
        <v>7.1508885632573571E-2</v>
      </c>
      <c r="S24" s="161">
        <f t="shared" si="10"/>
        <v>4.8852410329857321E-2</v>
      </c>
      <c r="T24" s="161">
        <f t="shared" si="10"/>
        <v>2.1579955108802167E-2</v>
      </c>
      <c r="U24" s="161">
        <f t="shared" si="10"/>
        <v>0.10639188078415912</v>
      </c>
      <c r="V24" s="161">
        <f t="shared" si="10"/>
        <v>8.6520288541830484E-2</v>
      </c>
      <c r="W24" s="161">
        <f t="shared" si="10"/>
        <v>5.5899165973113313E-2</v>
      </c>
      <c r="X24" s="161">
        <f t="shared" si="10"/>
        <v>2.5159650584858816E-2</v>
      </c>
      <c r="Y24" s="161">
        <f t="shared" si="10"/>
        <v>0.12810660020274839</v>
      </c>
      <c r="Z24" s="161">
        <f t="shared" si="10"/>
        <v>9.8382765225969587E-2</v>
      </c>
      <c r="AA24" s="161">
        <f t="shared" si="10"/>
        <v>7.0648950907209712E-2</v>
      </c>
      <c r="AB24" s="161">
        <f t="shared" si="10"/>
        <v>2.6576397748972948E-2</v>
      </c>
      <c r="AC24" s="161">
        <f t="shared" si="10"/>
        <v>0.15824756350157534</v>
      </c>
      <c r="AD24" s="161">
        <f t="shared" si="10"/>
        <v>0.12258918714583608</v>
      </c>
      <c r="AE24" s="161">
        <f t="shared" si="10"/>
        <v>8.3926273076362343E-2</v>
      </c>
      <c r="AF24" s="161">
        <f t="shared" si="10"/>
        <v>3.5289756093504057E-2</v>
      </c>
      <c r="AG24" s="161">
        <f t="shared" si="10"/>
        <v>0.19939391611980903</v>
      </c>
      <c r="AH24" s="161">
        <f t="shared" si="10"/>
        <v>0.16866816756483027</v>
      </c>
      <c r="AI24" s="161">
        <f t="shared" si="10"/>
        <v>0.11845101759434763</v>
      </c>
      <c r="AJ24" s="161">
        <f t="shared" si="10"/>
        <v>4.9105575523265346E-2</v>
      </c>
      <c r="AK24" s="161">
        <f t="shared" si="10"/>
        <v>0.25344104587895522</v>
      </c>
      <c r="AL24" s="161">
        <f t="shared" si="10"/>
        <v>0.22325562779728272</v>
      </c>
      <c r="AM24" s="161">
        <f t="shared" si="10"/>
        <v>0.20868122050003332</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16265734</v>
      </c>
      <c r="F26" s="76">
        <f>利润表!F14</f>
        <v>4631055</v>
      </c>
      <c r="G26" s="76">
        <f>利润表!G14</f>
        <v>3247608</v>
      </c>
      <c r="H26" s="76">
        <f>利润表!H14</f>
        <v>1671983</v>
      </c>
      <c r="I26" s="76">
        <f>利润表!I14</f>
        <v>7689761</v>
      </c>
      <c r="J26" s="76">
        <f>利润表!J14</f>
        <v>5656264</v>
      </c>
      <c r="K26" s="76">
        <f>利润表!K14</f>
        <v>3846817</v>
      </c>
      <c r="L26" s="76">
        <f>利润表!L14</f>
        <v>717470</v>
      </c>
      <c r="M26" s="76">
        <f>利润表!M14</f>
        <v>5519832</v>
      </c>
      <c r="N26" s="76">
        <f>利润表!N14</f>
        <v>2720834</v>
      </c>
      <c r="O26" s="76">
        <f>利润表!O14</f>
        <v>935327</v>
      </c>
      <c r="P26" s="76">
        <f>利润表!P14</f>
        <v>610638</v>
      </c>
      <c r="Q26" s="76">
        <f>利润表!Q14</f>
        <v>8058532</v>
      </c>
      <c r="R26" s="76">
        <f>利润表!R14</f>
        <v>4699864</v>
      </c>
      <c r="S26" s="76">
        <f>利润表!S14</f>
        <v>2268156</v>
      </c>
      <c r="T26" s="76">
        <f>利润表!T14</f>
        <v>1100225</v>
      </c>
      <c r="U26" s="76">
        <f>利润表!U14</f>
        <v>1952197</v>
      </c>
      <c r="V26" s="76">
        <f>利润表!V14</f>
        <v>532967</v>
      </c>
      <c r="W26" s="76">
        <f>利润表!W14</f>
        <v>208225</v>
      </c>
      <c r="X26" s="76">
        <f>利润表!X14</f>
        <v>219290</v>
      </c>
      <c r="Y26" s="76">
        <f>利润表!Y14</f>
        <v>1601054</v>
      </c>
      <c r="Z26" s="76">
        <f>利润表!Z14</f>
        <v>1189037</v>
      </c>
      <c r="AA26" s="76">
        <f>利润表!AA14</f>
        <v>-6483</v>
      </c>
      <c r="AB26" s="76">
        <f>利润表!AB14</f>
        <v>-160483</v>
      </c>
      <c r="AC26" s="76">
        <f>利润表!AC14</f>
        <v>-305235</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2137711137</v>
      </c>
      <c r="F27" s="76">
        <f>资产资本表!F19</f>
        <v>107552356</v>
      </c>
      <c r="G27" s="76">
        <f>资产资本表!G19</f>
        <v>84406124</v>
      </c>
      <c r="H27" s="76">
        <f>资产资本表!H19</f>
        <v>133530499</v>
      </c>
      <c r="I27" s="76">
        <f>资产资本表!I19</f>
        <v>31858516</v>
      </c>
      <c r="J27" s="76">
        <f>资产资本表!J19</f>
        <v>48464682</v>
      </c>
      <c r="K27" s="76">
        <f>资产资本表!K19</f>
        <v>53327271</v>
      </c>
      <c r="L27" s="76">
        <f>资产资本表!L19</f>
        <v>50197923</v>
      </c>
      <c r="M27" s="76">
        <f>资产资本表!M19</f>
        <v>49480454</v>
      </c>
      <c r="N27" s="76">
        <f>资产资本表!N19</f>
        <v>48900473</v>
      </c>
      <c r="O27" s="76">
        <f>资产资本表!O19</f>
        <v>48164967</v>
      </c>
      <c r="P27" s="76">
        <f>资产资本表!P19</f>
        <v>47840278</v>
      </c>
      <c r="Q27" s="76">
        <f>资产资本表!Q19</f>
        <v>47229640</v>
      </c>
      <c r="R27" s="76">
        <f>资产资本表!R19</f>
        <v>34122714</v>
      </c>
      <c r="S27" s="76">
        <f>资产资本表!S19</f>
        <v>31691005</v>
      </c>
      <c r="T27" s="76">
        <f>资产资本表!T19</f>
        <v>30523074</v>
      </c>
      <c r="U27" s="76">
        <f>资产资本表!U19</f>
        <v>30472850</v>
      </c>
      <c r="V27" s="76">
        <f>资产资本表!V19</f>
        <v>29053620</v>
      </c>
      <c r="W27" s="76">
        <f>资产资本表!W19</f>
        <v>28728878</v>
      </c>
      <c r="X27" s="76">
        <f>资产资本表!X19</f>
        <v>28739943</v>
      </c>
      <c r="Y27" s="76">
        <f>资产资本表!Y19</f>
        <v>28520653</v>
      </c>
      <c r="Z27" s="76">
        <f>资产资本表!Z19</f>
        <v>28224838</v>
      </c>
      <c r="AA27" s="76">
        <f>资产资本表!AA19</f>
        <v>27029317</v>
      </c>
      <c r="AB27" s="76">
        <f>资产资本表!AB19</f>
        <v>26918902</v>
      </c>
      <c r="AC27" s="76">
        <f>资产资本表!AC19</f>
        <v>9696608</v>
      </c>
      <c r="AD27" s="76">
        <f>资产资本表!AD19</f>
        <v>10000000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7.6089485237125377E-3</v>
      </c>
      <c r="F28" s="110">
        <f t="shared" ref="F28:BQ28" si="12">F26/F27</f>
        <v>4.3058610450151365E-2</v>
      </c>
      <c r="G28" s="110">
        <f t="shared" si="12"/>
        <v>3.8475975984870479E-2</v>
      </c>
      <c r="H28" s="110">
        <f t="shared" si="12"/>
        <v>1.2521356637782054E-2</v>
      </c>
      <c r="I28" s="110">
        <f t="shared" si="12"/>
        <v>0.24137222838628139</v>
      </c>
      <c r="J28" s="110">
        <f t="shared" si="12"/>
        <v>0.11670898820712369</v>
      </c>
      <c r="K28" s="110">
        <f t="shared" si="12"/>
        <v>7.2136018361037071E-2</v>
      </c>
      <c r="L28" s="110">
        <f t="shared" si="12"/>
        <v>1.4292822434107483E-2</v>
      </c>
      <c r="M28" s="110">
        <f t="shared" si="12"/>
        <v>0.11155580747096622</v>
      </c>
      <c r="N28" s="110">
        <f t="shared" si="12"/>
        <v>5.5640238899120668E-2</v>
      </c>
      <c r="O28" s="110">
        <f t="shared" si="12"/>
        <v>1.9419238883730577E-2</v>
      </c>
      <c r="P28" s="110">
        <f t="shared" si="12"/>
        <v>1.2764098068159219E-2</v>
      </c>
      <c r="Q28" s="110">
        <f t="shared" si="12"/>
        <v>0.17062446379011145</v>
      </c>
      <c r="R28" s="110">
        <f t="shared" si="12"/>
        <v>0.13773417905738683</v>
      </c>
      <c r="S28" s="110">
        <f t="shared" si="12"/>
        <v>7.1570971005810641E-2</v>
      </c>
      <c r="T28" s="110">
        <f t="shared" si="12"/>
        <v>3.6045681375342468E-2</v>
      </c>
      <c r="U28" s="110">
        <f t="shared" si="12"/>
        <v>6.4063486021163102E-2</v>
      </c>
      <c r="V28" s="110">
        <f t="shared" si="12"/>
        <v>1.8344254519746594E-2</v>
      </c>
      <c r="W28" s="110">
        <f t="shared" si="12"/>
        <v>7.2479335949005739E-3</v>
      </c>
      <c r="X28" s="110">
        <f t="shared" si="12"/>
        <v>7.6301473527626692E-3</v>
      </c>
      <c r="Y28" s="110">
        <f t="shared" si="12"/>
        <v>5.6136652972146185E-2</v>
      </c>
      <c r="Z28" s="110">
        <f t="shared" si="12"/>
        <v>4.2127327710437167E-2</v>
      </c>
      <c r="AA28" s="110">
        <f t="shared" si="12"/>
        <v>-2.3985067769192984E-4</v>
      </c>
      <c r="AB28" s="110">
        <f t="shared" si="12"/>
        <v>-5.9617216185117805E-3</v>
      </c>
      <c r="AC28" s="110">
        <f t="shared" si="12"/>
        <v>-3.1478533524300453E-2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405128924.66276127</v>
      </c>
      <c r="F32" s="76">
        <f>股权价值增加表!F29</f>
        <v>423170147.78883952</v>
      </c>
      <c r="G32" s="76">
        <f>股权价值增加表!G29</f>
        <v>266647780.05607539</v>
      </c>
      <c r="H32" s="76">
        <f>股权价值增加表!H29</f>
        <v>240981869.44289508</v>
      </c>
      <c r="I32" s="76">
        <f>股权价值增加表!I29</f>
        <v>194170631.20975879</v>
      </c>
      <c r="J32" s="76">
        <f>股权价值增加表!J29</f>
        <v>176658055.43373272</v>
      </c>
      <c r="K32" s="76">
        <f>股权价值增加表!K29</f>
        <v>116312651</v>
      </c>
      <c r="L32" s="76">
        <f>股权价值增加表!L29</f>
        <v>92765506</v>
      </c>
      <c r="M32" s="76">
        <f>股权价值增加表!M29</f>
        <v>-168483984.27725196</v>
      </c>
      <c r="N32" s="76">
        <f>股权价值增加表!N29</f>
        <v>-140048964.73587677</v>
      </c>
      <c r="O32" s="76">
        <f>股权价值增加表!O29</f>
        <v>-69662122.857997224</v>
      </c>
      <c r="P32" s="76">
        <f>股权价值增加表!P29</f>
        <v>-17470341</v>
      </c>
      <c r="Q32" s="76">
        <f>股权价值增加表!Q29</f>
        <v>150847624.09735641</v>
      </c>
      <c r="R32" s="76">
        <f>股权价值增加表!R29</f>
        <v>92483458</v>
      </c>
      <c r="S32" s="76">
        <f>股权价值增加表!S29</f>
        <v>20706179</v>
      </c>
      <c r="T32" s="76">
        <f>股权价值增加表!T29</f>
        <v>-2210873</v>
      </c>
      <c r="U32" s="76">
        <f>股权价值增加表!U29</f>
        <v>51512810.274402015</v>
      </c>
      <c r="V32" s="76">
        <f>股权价值增加表!V29</f>
        <v>-751451</v>
      </c>
      <c r="W32" s="76">
        <f>股权价值增加表!W29</f>
        <v>-555265</v>
      </c>
      <c r="X32" s="76">
        <f>股权价值增加表!X29</f>
        <v>-351514</v>
      </c>
      <c r="Y32" s="76">
        <f>股权价值增加表!Y29</f>
        <v>45556201.9851669</v>
      </c>
      <c r="Z32" s="76">
        <f>股权价值增加表!Z29</f>
        <v>0</v>
      </c>
      <c r="AA32" s="76">
        <f>股权价值增加表!AA29</f>
        <v>0</v>
      </c>
      <c r="AB32" s="76">
        <f>股权价值增加表!AB29</f>
        <v>-4951156.1156221274</v>
      </c>
      <c r="AC32" s="76">
        <f>股权价值增加表!AC29</f>
        <v>54001167.871127188</v>
      </c>
      <c r="AD32" s="76">
        <f>股权价值增加表!AD29</f>
        <v>-1026252.026219009</v>
      </c>
      <c r="AE32" s="76">
        <f>股权价值增加表!AE29</f>
        <v>0</v>
      </c>
      <c r="AF32" s="76">
        <f>股权价值增加表!AF29</f>
        <v>0</v>
      </c>
      <c r="AG32" s="76">
        <f>股权价值增加表!AG29</f>
        <v>41707536.730769113</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13104.811202771747</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1231427266</v>
      </c>
      <c r="F34" s="76">
        <f>资产资本表!F4</f>
        <v>1456988337</v>
      </c>
      <c r="G34" s="76">
        <f>资产资本表!G4</f>
        <v>909720853</v>
      </c>
      <c r="H34" s="76">
        <f>资产资本表!H4</f>
        <v>2330670036</v>
      </c>
      <c r="I34" s="76">
        <f>资产资本表!I4</f>
        <v>1228045874</v>
      </c>
      <c r="J34" s="76">
        <f>资产资本表!J4</f>
        <v>1841438172</v>
      </c>
      <c r="K34" s="76">
        <f>资产资本表!K4</f>
        <v>2090441894</v>
      </c>
      <c r="L34" s="76">
        <f>资产资本表!L4</f>
        <v>2076939328</v>
      </c>
      <c r="M34" s="76">
        <f>资产资本表!M4</f>
        <v>1850728120</v>
      </c>
      <c r="N34" s="76">
        <f>资产资本表!N4</f>
        <v>2107010276</v>
      </c>
      <c r="O34" s="76">
        <f>资产资本表!O4</f>
        <v>1465624471</v>
      </c>
      <c r="P34" s="76">
        <f>资产资本表!P4</f>
        <v>1576049125</v>
      </c>
      <c r="Q34" s="76">
        <f>资产资本表!Q4</f>
        <v>2029775950</v>
      </c>
      <c r="R34" s="76">
        <f>资产资本表!R4</f>
        <v>2050858867</v>
      </c>
      <c r="S34" s="76">
        <f>资产资本表!S4</f>
        <v>1967701212</v>
      </c>
      <c r="T34" s="76">
        <f>资产资本表!T4</f>
        <v>2024230606</v>
      </c>
      <c r="U34" s="76">
        <f>资产资本表!U4</f>
        <v>2280088669</v>
      </c>
      <c r="V34" s="76">
        <f>资产资本表!V4</f>
        <v>3163261515</v>
      </c>
      <c r="W34" s="76">
        <f>资产资本表!W4</f>
        <v>2143455717</v>
      </c>
      <c r="X34" s="76">
        <f>资产资本表!X4</f>
        <v>3089973210</v>
      </c>
      <c r="Y34" s="76">
        <f>资产资本表!Y4</f>
        <v>2358678378</v>
      </c>
      <c r="Z34" s="76">
        <f>资产资本表!Z4</f>
        <v>2137821624</v>
      </c>
      <c r="AA34" s="76">
        <f>资产资本表!AA4</f>
        <v>3662037320</v>
      </c>
      <c r="AB34" s="76">
        <f>资产资本表!AB4</f>
        <v>1633306786</v>
      </c>
      <c r="AC34" s="76">
        <f>资产资本表!AC4</f>
        <v>2090741707</v>
      </c>
      <c r="AD34" s="76">
        <f>资产资本表!AD4</f>
        <v>2750977254</v>
      </c>
      <c r="AE34" s="76">
        <f>资产资本表!AE4</f>
        <v>2908190348</v>
      </c>
      <c r="AF34" s="76">
        <f>资产资本表!AF4</f>
        <v>3553541206</v>
      </c>
      <c r="AG34" s="76">
        <f>资产资本表!AG4</f>
        <v>4207470924</v>
      </c>
      <c r="AH34" s="76">
        <f>资产资本表!AH4</f>
        <v>4473335732</v>
      </c>
      <c r="AI34" s="76">
        <f>资产资本表!AI4</f>
        <v>4939270255</v>
      </c>
      <c r="AJ34" s="76">
        <f>资产资本表!AJ4</f>
        <v>401864700</v>
      </c>
      <c r="AK34" s="76">
        <f>资产资本表!AK4</f>
        <v>516606763</v>
      </c>
      <c r="AL34" s="76">
        <f>资产资本表!AL4</f>
        <v>341211068</v>
      </c>
      <c r="AM34" s="76">
        <f>资产资本表!AM4</f>
        <v>103124148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-66725</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11242977</v>
      </c>
      <c r="F36" s="76">
        <f>资产资本表!F13</f>
        <v>11490490</v>
      </c>
      <c r="G36" s="76">
        <f>资产资本表!G13</f>
        <v>10691486</v>
      </c>
      <c r="H36" s="76">
        <f>资产资本表!H13</f>
        <v>9672194</v>
      </c>
      <c r="I36" s="76">
        <f>资产资本表!I13</f>
        <v>9769097</v>
      </c>
      <c r="J36" s="76">
        <f>资产资本表!J13</f>
        <v>50826511</v>
      </c>
      <c r="K36" s="76">
        <f>资产资本表!K13</f>
        <v>47871877</v>
      </c>
      <c r="L36" s="76">
        <f>资产资本表!L13</f>
        <v>85729285</v>
      </c>
      <c r="M36" s="76">
        <f>资产资本表!M13</f>
        <v>79177680</v>
      </c>
      <c r="N36" s="76">
        <f>资产资本表!N13</f>
        <v>71782433</v>
      </c>
      <c r="O36" s="76">
        <f>资产资本表!O13</f>
        <v>94050836</v>
      </c>
      <c r="P36" s="76">
        <f>资产资本表!P13</f>
        <v>88203952</v>
      </c>
      <c r="Q36" s="76">
        <f>资产资本表!Q13</f>
        <v>79222199</v>
      </c>
      <c r="R36" s="76">
        <f>资产资本表!R13</f>
        <v>67695669</v>
      </c>
      <c r="S36" s="76">
        <f>资产资本表!S13</f>
        <v>56032021</v>
      </c>
      <c r="T36" s="76">
        <f>资产资本表!T13</f>
        <v>47373678</v>
      </c>
      <c r="U36" s="76">
        <f>资产资本表!U13</f>
        <v>40333690</v>
      </c>
      <c r="V36" s="76">
        <f>资产资本表!V13</f>
        <v>38542623</v>
      </c>
      <c r="W36" s="76">
        <f>资产资本表!W13</f>
        <v>33188326</v>
      </c>
      <c r="X36" s="76">
        <f>资产资本表!X13</f>
        <v>22107366</v>
      </c>
      <c r="Y36" s="76">
        <f>资产资本表!Y13</f>
        <v>25793007</v>
      </c>
      <c r="Z36" s="76">
        <f>资产资本表!Z13</f>
        <v>18928842</v>
      </c>
      <c r="AA36" s="76">
        <f>资产资本表!AA13</f>
        <v>14522743</v>
      </c>
      <c r="AB36" s="76">
        <f>资产资本表!AB13</f>
        <v>8521087</v>
      </c>
      <c r="AC36" s="76">
        <f>资产资本表!AC13</f>
        <v>6205565</v>
      </c>
      <c r="AD36" s="76">
        <f>资产资本表!AD13</f>
        <v>13508494</v>
      </c>
      <c r="AE36" s="76">
        <f>资产资本表!AE13</f>
        <v>2832544</v>
      </c>
      <c r="AF36" s="76">
        <f>资产资本表!AF13</f>
        <v>35348750</v>
      </c>
      <c r="AG36" s="76">
        <f>资产资本表!AG13</f>
        <v>23541000</v>
      </c>
      <c r="AH36" s="76">
        <f>资产资本表!AH13</f>
        <v>19473113</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0</v>
      </c>
      <c r="F38" s="76">
        <f>资产资本表!F8</f>
        <v>1677425468</v>
      </c>
      <c r="G38" s="76">
        <f>资产资本表!G8</f>
        <v>1384221653</v>
      </c>
      <c r="H38" s="76">
        <f>资产资本表!H8</f>
        <v>1304267095</v>
      </c>
      <c r="I38" s="76">
        <f>资产资本表!I8</f>
        <v>955777101</v>
      </c>
      <c r="J38" s="76">
        <f>资产资本表!J8</f>
        <v>879914715</v>
      </c>
      <c r="K38" s="76">
        <f>资产资本表!K8</f>
        <v>697919249</v>
      </c>
      <c r="L38" s="76">
        <f>资产资本表!L8</f>
        <v>634632930</v>
      </c>
      <c r="M38" s="76">
        <f>资产资本表!M8</f>
        <v>292921399</v>
      </c>
      <c r="N38" s="76">
        <f>资产资本表!N8</f>
        <v>218252558</v>
      </c>
      <c r="O38" s="76">
        <f>资产资本表!O8</f>
        <v>323129793</v>
      </c>
      <c r="P38" s="76">
        <f>资产资本表!P8</f>
        <v>390157395</v>
      </c>
      <c r="Q38" s="76">
        <f>资产资本表!Q8</f>
        <v>408057207</v>
      </c>
      <c r="R38" s="76">
        <f>资产资本表!R8</f>
        <v>445640198</v>
      </c>
      <c r="S38" s="76">
        <f>资产资本表!S8</f>
        <v>344665848</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15281593</v>
      </c>
      <c r="I42" s="76">
        <f>资产资本表!I6</f>
        <v>15281593</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1242670243</v>
      </c>
      <c r="F43" s="76">
        <f t="shared" ref="F43:BQ43" si="14">SUM(F34:F42)</f>
        <v>3145904295</v>
      </c>
      <c r="G43" s="76">
        <f t="shared" si="14"/>
        <v>2304633992</v>
      </c>
      <c r="H43" s="76">
        <f t="shared" si="14"/>
        <v>3659890918</v>
      </c>
      <c r="I43" s="76">
        <f t="shared" si="14"/>
        <v>2208873665</v>
      </c>
      <c r="J43" s="76">
        <f t="shared" si="14"/>
        <v>2772179398</v>
      </c>
      <c r="K43" s="76">
        <f t="shared" si="14"/>
        <v>2836233020</v>
      </c>
      <c r="L43" s="76">
        <f t="shared" si="14"/>
        <v>2797301543</v>
      </c>
      <c r="M43" s="76">
        <f t="shared" si="14"/>
        <v>2222827199</v>
      </c>
      <c r="N43" s="76">
        <f t="shared" si="14"/>
        <v>2397045267</v>
      </c>
      <c r="O43" s="76">
        <f t="shared" si="14"/>
        <v>1882805100</v>
      </c>
      <c r="P43" s="76">
        <f t="shared" si="14"/>
        <v>2054410472</v>
      </c>
      <c r="Q43" s="76">
        <f t="shared" si="14"/>
        <v>2517055356</v>
      </c>
      <c r="R43" s="76">
        <f t="shared" si="14"/>
        <v>2564194734</v>
      </c>
      <c r="S43" s="76">
        <f t="shared" si="14"/>
        <v>2368399081</v>
      </c>
      <c r="T43" s="76">
        <f t="shared" si="14"/>
        <v>2071604284</v>
      </c>
      <c r="U43" s="76">
        <f t="shared" si="14"/>
        <v>2320422359</v>
      </c>
      <c r="V43" s="76">
        <f t="shared" si="14"/>
        <v>3201804138</v>
      </c>
      <c r="W43" s="76">
        <f t="shared" si="14"/>
        <v>2176644043</v>
      </c>
      <c r="X43" s="76">
        <f t="shared" si="14"/>
        <v>3112080576</v>
      </c>
      <c r="Y43" s="76">
        <f t="shared" si="14"/>
        <v>2384471385</v>
      </c>
      <c r="Z43" s="76">
        <f t="shared" si="14"/>
        <v>2156750466</v>
      </c>
      <c r="AA43" s="76">
        <f t="shared" si="14"/>
        <v>3676560063</v>
      </c>
      <c r="AB43" s="76">
        <f t="shared" si="14"/>
        <v>1641827873</v>
      </c>
      <c r="AC43" s="76">
        <f t="shared" si="14"/>
        <v>2096947272</v>
      </c>
      <c r="AD43" s="76">
        <f t="shared" si="14"/>
        <v>2764485748</v>
      </c>
      <c r="AE43" s="76">
        <f t="shared" si="14"/>
        <v>2911022892</v>
      </c>
      <c r="AF43" s="76">
        <f t="shared" si="14"/>
        <v>3588889956</v>
      </c>
      <c r="AG43" s="76">
        <f t="shared" si="14"/>
        <v>4231011924</v>
      </c>
      <c r="AH43" s="76">
        <f t="shared" si="14"/>
        <v>4492808845</v>
      </c>
      <c r="AI43" s="76">
        <f t="shared" si="14"/>
        <v>4939270255</v>
      </c>
      <c r="AJ43" s="76">
        <f t="shared" si="14"/>
        <v>401864700</v>
      </c>
      <c r="AK43" s="76">
        <f t="shared" si="14"/>
        <v>516606763</v>
      </c>
      <c r="AL43" s="76">
        <f t="shared" si="14"/>
        <v>341211068</v>
      </c>
      <c r="AM43" s="76">
        <f t="shared" si="14"/>
        <v>103124148</v>
      </c>
      <c r="AN43" s="76">
        <f t="shared" si="14"/>
        <v>0</v>
      </c>
      <c r="AO43" s="76">
        <f t="shared" si="14"/>
        <v>0</v>
      </c>
      <c r="AP43" s="76">
        <f t="shared" si="14"/>
        <v>-66725</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0.32601482730021503</v>
      </c>
      <c r="F44" s="110">
        <f t="shared" ref="F44:BQ44" si="16">F32/F43</f>
        <v>0.13451462857958288</v>
      </c>
      <c r="G44" s="110">
        <f t="shared" si="16"/>
        <v>0.11570070604776335</v>
      </c>
      <c r="H44" s="110">
        <f t="shared" si="16"/>
        <v>6.5844003234550794E-2</v>
      </c>
      <c r="I44" s="110">
        <f t="shared" si="16"/>
        <v>8.7904815149199025E-2</v>
      </c>
      <c r="J44" s="110">
        <f t="shared" si="16"/>
        <v>6.3725333057876185E-2</v>
      </c>
      <c r="K44" s="110">
        <f t="shared" si="16"/>
        <v>4.1009553932913452E-2</v>
      </c>
      <c r="L44" s="110">
        <f t="shared" si="16"/>
        <v>3.3162497705024857E-2</v>
      </c>
      <c r="M44" s="110">
        <f t="shared" si="16"/>
        <v>-7.5797157940594356E-2</v>
      </c>
      <c r="N44" s="110">
        <f t="shared" si="16"/>
        <v>-5.8425665407292771E-2</v>
      </c>
      <c r="O44" s="110">
        <f t="shared" si="16"/>
        <v>-3.6999115233965124E-2</v>
      </c>
      <c r="P44" s="110">
        <f t="shared" si="16"/>
        <v>-8.5038220151751644E-3</v>
      </c>
      <c r="Q44" s="110">
        <f t="shared" si="16"/>
        <v>5.9930197298909312E-2</v>
      </c>
      <c r="R44" s="110">
        <f t="shared" si="16"/>
        <v>3.6067252137177194E-2</v>
      </c>
      <c r="S44" s="110">
        <f t="shared" si="16"/>
        <v>8.7426900162692646E-3</v>
      </c>
      <c r="T44" s="110">
        <f t="shared" si="16"/>
        <v>-1.0672274705529621E-3</v>
      </c>
      <c r="U44" s="110">
        <f t="shared" si="16"/>
        <v>2.2199756037776575E-2</v>
      </c>
      <c r="V44" s="110">
        <f t="shared" si="16"/>
        <v>-2.3469611744252172E-4</v>
      </c>
      <c r="W44" s="110">
        <f t="shared" si="16"/>
        <v>-2.551014263382706E-4</v>
      </c>
      <c r="X44" s="110">
        <f t="shared" si="16"/>
        <v>-1.1295144563763378E-4</v>
      </c>
      <c r="Y44" s="110">
        <f t="shared" si="16"/>
        <v>1.9105367450306769E-2</v>
      </c>
      <c r="Z44" s="110">
        <f t="shared" si="16"/>
        <v>0</v>
      </c>
      <c r="AA44" s="110">
        <f t="shared" si="16"/>
        <v>0</v>
      </c>
      <c r="AB44" s="110">
        <f t="shared" si="16"/>
        <v>-3.0156365335516065E-3</v>
      </c>
      <c r="AC44" s="110">
        <f t="shared" si="16"/>
        <v>2.575227741402512E-2</v>
      </c>
      <c r="AD44" s="110">
        <f t="shared" si="16"/>
        <v>-3.7122709963741471E-4</v>
      </c>
      <c r="AE44" s="110">
        <f t="shared" si="16"/>
        <v>0</v>
      </c>
      <c r="AF44" s="110">
        <f t="shared" si="16"/>
        <v>0</v>
      </c>
      <c r="AG44" s="110">
        <f t="shared" si="16"/>
        <v>9.8575795766935106E-3</v>
      </c>
      <c r="AH44" s="110">
        <f t="shared" si="16"/>
        <v>0</v>
      </c>
      <c r="AI44" s="110">
        <f t="shared" si="16"/>
        <v>0</v>
      </c>
      <c r="AJ44" s="110">
        <f t="shared" si="16"/>
        <v>0</v>
      </c>
      <c r="AK44" s="110">
        <f t="shared" si="16"/>
        <v>0</v>
      </c>
      <c r="AL44" s="110">
        <f t="shared" si="16"/>
        <v>0</v>
      </c>
      <c r="AM44" s="110">
        <f t="shared" si="16"/>
        <v>0</v>
      </c>
      <c r="AN44" s="110" t="e">
        <f t="shared" si="16"/>
        <v>#DIV/0!</v>
      </c>
      <c r="AO44" s="110" t="e">
        <f t="shared" si="16"/>
        <v>#DIV/0!</v>
      </c>
      <c r="AP44" s="110">
        <f t="shared" si="16"/>
        <v>-0.19640031776353312</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6.3372219636596644E-2</v>
      </c>
      <c r="F46" s="57">
        <f>F43/资产资本表!F70</f>
        <v>0.15513290986559367</v>
      </c>
      <c r="G46" s="57">
        <f>G43/资产资本表!G70</f>
        <v>0.12469297751184125</v>
      </c>
      <c r="H46" s="57">
        <f>H43/资产资本表!H70</f>
        <v>0.1780850581498607</v>
      </c>
      <c r="I46" s="57">
        <f>I43/资产资本表!I70</f>
        <v>0.11559185351278027</v>
      </c>
      <c r="J46" s="57">
        <f>J43/资产资本表!J70</f>
        <v>0.14948807391166599</v>
      </c>
      <c r="K46" s="57">
        <f>K43/资产资本表!K70</f>
        <v>0.14813430000188174</v>
      </c>
      <c r="L46" s="57">
        <f>L43/资产资本表!L70</f>
        <v>0.14404175708842473</v>
      </c>
      <c r="M46" s="57">
        <f>M43/资产资本表!M70</f>
        <v>0.12439543015429765</v>
      </c>
      <c r="N46" s="57">
        <f>N43/资产资本表!N70</f>
        <v>0.14725376138898433</v>
      </c>
      <c r="O46" s="57">
        <f>O43/资产资本表!O70</f>
        <v>0.1117783923008927</v>
      </c>
      <c r="P46" s="57">
        <f>P43/资产资本表!P70</f>
        <v>0.12239125408299885</v>
      </c>
      <c r="Q46" s="57">
        <f>Q43/资产资本表!Q70</f>
        <v>0.14417237912840505</v>
      </c>
      <c r="R46" s="57">
        <f>R43/资产资本表!R70</f>
        <v>0.14009692391143816</v>
      </c>
      <c r="S46" s="57">
        <f>S43/资产资本表!S70</f>
        <v>0.13691118113080852</v>
      </c>
      <c r="T46" s="57">
        <f>T43/资产资本表!T70</f>
        <v>0.12520587092615323</v>
      </c>
      <c r="U46" s="57">
        <f>U43/资产资本表!U70</f>
        <v>0.14702397697282021</v>
      </c>
      <c r="V46" s="57">
        <f>V43/资产资本表!V70</f>
        <v>0.20010290040553436</v>
      </c>
      <c r="W46" s="57">
        <f>W43/资产资本表!W70</f>
        <v>0.14900381273442528</v>
      </c>
      <c r="X46" s="57">
        <f>X43/资产资本表!X70</f>
        <v>0.21935009834646407</v>
      </c>
      <c r="Y46" s="57">
        <f>Y43/资产资本表!Y70</f>
        <v>0.18385615781097725</v>
      </c>
      <c r="Z46" s="57">
        <f>Z43/资产资本表!Z70</f>
        <v>0.18275955590603341</v>
      </c>
      <c r="AA46" s="57">
        <f>AA43/资产资本表!AA70</f>
        <v>0.31422707021985313</v>
      </c>
      <c r="AB46" s="57">
        <f>AB43/资产资本表!AB70</f>
        <v>0.16707706459314822</v>
      </c>
      <c r="AC46" s="57">
        <f>AC43/资产资本表!AC70</f>
        <v>0.22734676136402099</v>
      </c>
      <c r="AD46" s="57">
        <f>AD43/资产资本表!AD70</f>
        <v>0.29560579240890783</v>
      </c>
      <c r="AE46" s="57">
        <f>AE43/资产资本表!AE70</f>
        <v>0.33767321161929115</v>
      </c>
      <c r="AF46" s="57">
        <f>AF43/资产资本表!AF70</f>
        <v>0.42625107686776464</v>
      </c>
      <c r="AG46" s="57">
        <f>AG43/资产资本表!AG70</f>
        <v>0.51936030697214219</v>
      </c>
      <c r="AH46" s="57">
        <f>AH43/资产资本表!AH70</f>
        <v>0.5823740214579084</v>
      </c>
      <c r="AI46" s="57">
        <f>AI43/资产资本表!AI70</f>
        <v>0.63995105797205964</v>
      </c>
      <c r="AJ46" s="57">
        <f>AJ43/资产资本表!AJ70</f>
        <v>0.13972728572916174</v>
      </c>
      <c r="AK46" s="57">
        <f>AK43/资产资本表!AK70</f>
        <v>0.18733369574591838</v>
      </c>
      <c r="AL46" s="57">
        <f>AL43/资产资本表!AL70</f>
        <v>0.16526580117006784</v>
      </c>
      <c r="AM46" s="57">
        <f>AM43/资产资本表!AM70</f>
        <v>8.6624883137027153E-2</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11434948841</v>
      </c>
      <c r="F49" s="76">
        <f>利润表!F4</f>
        <v>7910226267</v>
      </c>
      <c r="G49" s="76">
        <f>利润表!G4</f>
        <v>4941976922</v>
      </c>
      <c r="H49" s="76">
        <f>利润表!H4</f>
        <v>2434199647</v>
      </c>
      <c r="I49" s="76">
        <f>利润表!I4</f>
        <v>8565943415</v>
      </c>
      <c r="J49" s="76">
        <f>利润表!J4</f>
        <v>6252875047</v>
      </c>
      <c r="K49" s="76">
        <f>利润表!K4</f>
        <v>4096412765</v>
      </c>
      <c r="L49" s="76">
        <f>利润表!L4</f>
        <v>2004327919</v>
      </c>
      <c r="M49" s="76">
        <f>利润表!M4</f>
        <v>7763339982</v>
      </c>
      <c r="N49" s="76">
        <f>利润表!N4</f>
        <v>5818520501</v>
      </c>
      <c r="O49" s="76">
        <f>利润表!O4</f>
        <v>3835606919</v>
      </c>
      <c r="P49" s="76">
        <f>利润表!P4</f>
        <v>1892650277</v>
      </c>
      <c r="Q49" s="76">
        <f>利润表!Q4</f>
        <v>8023421289</v>
      </c>
      <c r="R49" s="76">
        <f>利润表!R4</f>
        <v>5986277356</v>
      </c>
      <c r="S49" s="76">
        <f>利润表!S4</f>
        <v>3967165098</v>
      </c>
      <c r="T49" s="76">
        <f>利润表!T4</f>
        <v>1940287290</v>
      </c>
      <c r="U49" s="76">
        <f>利润表!U4</f>
        <v>6831281981</v>
      </c>
      <c r="V49" s="76">
        <f>利润表!V4</f>
        <v>4929174842</v>
      </c>
      <c r="W49" s="76">
        <f>利润表!W4</f>
        <v>3181354078</v>
      </c>
      <c r="X49" s="76">
        <f>利润表!X4</f>
        <v>1461330801</v>
      </c>
      <c r="Y49" s="76">
        <f>利润表!Y4</f>
        <v>5885278617</v>
      </c>
      <c r="Z49" s="76">
        <f>利润表!Z4</f>
        <v>4353708800</v>
      </c>
      <c r="AA49" s="76">
        <f>利润表!AA4</f>
        <v>2775582920</v>
      </c>
      <c r="AB49" s="76">
        <f>利润表!AB4</f>
        <v>1235735236</v>
      </c>
      <c r="AC49" s="76">
        <f>利润表!AC4</f>
        <v>5147848758</v>
      </c>
      <c r="AD49" s="76">
        <f>利润表!AD4</f>
        <v>3647054388</v>
      </c>
      <c r="AE49" s="76">
        <f>利润表!AE4</f>
        <v>2311450599</v>
      </c>
      <c r="AF49" s="76">
        <f>利润表!AF4</f>
        <v>1075326251</v>
      </c>
      <c r="AG49" s="76">
        <f>利润表!AG4</f>
        <v>4026399958</v>
      </c>
      <c r="AH49" s="76">
        <f>利润表!AH4</f>
        <v>2848000427</v>
      </c>
      <c r="AI49" s="76">
        <f>利润表!AI4</f>
        <v>1785904167</v>
      </c>
      <c r="AJ49" s="76">
        <f>利润表!AJ4</f>
        <v>813017762</v>
      </c>
      <c r="AK49" s="76">
        <f>利润表!AK4</f>
        <v>3245985345</v>
      </c>
      <c r="AL49" s="76">
        <f>利润表!AL4</f>
        <v>2347475020</v>
      </c>
      <c r="AM49" s="76">
        <f>利润表!AM4</f>
        <v>1471579835</v>
      </c>
      <c r="AN49" s="76">
        <f>利润表!AN4</f>
        <v>658678544</v>
      </c>
      <c r="AO49" s="76">
        <f>利润表!AO4</f>
        <v>2621391286</v>
      </c>
      <c r="AP49" s="76">
        <f>利润表!AP4</f>
        <v>2029326550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2239592453</v>
      </c>
      <c r="F50" s="76">
        <f>资产资本表!F50</f>
        <v>2866547821</v>
      </c>
      <c r="G50" s="76">
        <f>资产资本表!G50</f>
        <v>2069543972</v>
      </c>
      <c r="H50" s="76">
        <f>资产资本表!H50</f>
        <v>2929508876</v>
      </c>
      <c r="I50" s="76">
        <f>资产资本表!I50</f>
        <v>3265845842</v>
      </c>
      <c r="J50" s="76">
        <f>资产资本表!J50</f>
        <v>2183840330</v>
      </c>
      <c r="K50" s="76">
        <f>资产资本表!K50</f>
        <v>2808041463</v>
      </c>
      <c r="L50" s="76">
        <f>资产资本表!L50</f>
        <v>3261206867</v>
      </c>
      <c r="M50" s="76">
        <f>资产资本表!M50</f>
        <v>2583593793</v>
      </c>
      <c r="N50" s="76">
        <f>资产资本表!N50</f>
        <v>890534549</v>
      </c>
      <c r="O50" s="76">
        <f>资产资本表!O50</f>
        <v>2235940884</v>
      </c>
      <c r="P50" s="76">
        <f>资产资本表!P50</f>
        <v>2314705940</v>
      </c>
      <c r="Q50" s="76">
        <f>资产资本表!Q50</f>
        <v>2935261152</v>
      </c>
      <c r="R50" s="76">
        <f>资产资本表!R50</f>
        <v>4301353756</v>
      </c>
      <c r="S50" s="76">
        <f>资产资本表!S50</f>
        <v>4505780031</v>
      </c>
      <c r="T50" s="76">
        <f>资产资本表!T50</f>
        <v>4624877534</v>
      </c>
      <c r="U50" s="76">
        <f>资产资本表!U50</f>
        <v>3822626570</v>
      </c>
      <c r="V50" s="76">
        <f>资产资本表!V50</f>
        <v>3468489344</v>
      </c>
      <c r="W50" s="76">
        <f>资产资本表!W50</f>
        <v>3688267864</v>
      </c>
      <c r="X50" s="76">
        <f>资产资本表!X50</f>
        <v>3004285519</v>
      </c>
      <c r="Y50" s="76">
        <f>资产资本表!Y50</f>
        <v>3091479113</v>
      </c>
      <c r="Z50" s="76">
        <f>资产资本表!Z50</f>
        <v>2835552369</v>
      </c>
      <c r="AA50" s="76">
        <f>资产资本表!AA50</f>
        <v>1996330413</v>
      </c>
      <c r="AB50" s="76">
        <f>资产资本表!AB50</f>
        <v>2816113358</v>
      </c>
      <c r="AC50" s="76">
        <f>资产资本表!AC50</f>
        <v>2448142042</v>
      </c>
      <c r="AD50" s="76">
        <f>资产资本表!AD50</f>
        <v>2633527116</v>
      </c>
      <c r="AE50" s="76">
        <f>资产资本表!AE50</f>
        <v>2213831347</v>
      </c>
      <c r="AF50" s="76">
        <f>资产资本表!AF50</f>
        <v>2248496358</v>
      </c>
      <c r="AG50" s="76">
        <f>资产资本表!AG50</f>
        <v>1911212420</v>
      </c>
      <c r="AH50" s="76">
        <f>资产资本表!AH50</f>
        <v>1795668596</v>
      </c>
      <c r="AI50" s="76">
        <f>资产资本表!AI50</f>
        <v>1630975334</v>
      </c>
      <c r="AJ50" s="76">
        <f>资产资本表!AJ50</f>
        <v>1367419717</v>
      </c>
      <c r="AK50" s="76">
        <f>资产资本表!AK50</f>
        <v>1202812017</v>
      </c>
      <c r="AL50" s="76">
        <f>资产资本表!AL50</f>
        <v>878129543</v>
      </c>
      <c r="AM50" s="76">
        <f>资产资本表!AM50</f>
        <v>406513355</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5.1058168309517873</v>
      </c>
      <c r="F51" s="44">
        <f t="shared" ref="F51:BQ51" si="18">F49/F50</f>
        <v>2.759495658523675</v>
      </c>
      <c r="G51" s="44">
        <f t="shared" si="18"/>
        <v>2.3879545391944927</v>
      </c>
      <c r="H51" s="44">
        <f t="shared" si="18"/>
        <v>0.83092414122455116</v>
      </c>
      <c r="I51" s="44">
        <f t="shared" si="18"/>
        <v>2.6228866362394578</v>
      </c>
      <c r="J51" s="44">
        <f t="shared" si="18"/>
        <v>2.8632473542605563</v>
      </c>
      <c r="K51" s="44">
        <f t="shared" si="18"/>
        <v>1.4588149138736559</v>
      </c>
      <c r="L51" s="44">
        <f t="shared" si="18"/>
        <v>0.61459698839766974</v>
      </c>
      <c r="M51" s="44">
        <f t="shared" si="18"/>
        <v>3.0048609046182206</v>
      </c>
      <c r="N51" s="44">
        <f t="shared" si="18"/>
        <v>6.5337392103807082</v>
      </c>
      <c r="O51" s="44">
        <f t="shared" si="18"/>
        <v>1.7154330628537315</v>
      </c>
      <c r="P51" s="44">
        <f t="shared" si="18"/>
        <v>0.81766337757788787</v>
      </c>
      <c r="Q51" s="44">
        <f t="shared" si="18"/>
        <v>2.7334607973580405</v>
      </c>
      <c r="R51" s="44">
        <f t="shared" si="18"/>
        <v>1.3917193738482179</v>
      </c>
      <c r="S51" s="44">
        <f t="shared" si="18"/>
        <v>0.88046133426525452</v>
      </c>
      <c r="T51" s="44">
        <f t="shared" si="18"/>
        <v>0.41953268507887803</v>
      </c>
      <c r="U51" s="44">
        <f t="shared" si="18"/>
        <v>1.7870649554450202</v>
      </c>
      <c r="V51" s="44">
        <f t="shared" si="18"/>
        <v>1.4211301673815955</v>
      </c>
      <c r="W51" s="44">
        <f t="shared" si="18"/>
        <v>0.86256047426819971</v>
      </c>
      <c r="X51" s="44">
        <f t="shared" si="18"/>
        <v>0.48641541949262379</v>
      </c>
      <c r="Y51" s="44">
        <f t="shared" si="18"/>
        <v>1.9037096489676333</v>
      </c>
      <c r="Z51" s="44">
        <f t="shared" si="18"/>
        <v>1.5354005969339233</v>
      </c>
      <c r="AA51" s="44">
        <f t="shared" si="18"/>
        <v>1.3903424512924054</v>
      </c>
      <c r="AB51" s="44">
        <f t="shared" si="18"/>
        <v>0.43880876900410626</v>
      </c>
      <c r="AC51" s="44">
        <f t="shared" si="18"/>
        <v>2.1027573848592893</v>
      </c>
      <c r="AD51" s="44">
        <f t="shared" si="18"/>
        <v>1.3848554532977135</v>
      </c>
      <c r="AE51" s="44">
        <f t="shared" si="18"/>
        <v>1.0440951620512038</v>
      </c>
      <c r="AF51" s="44">
        <f t="shared" si="18"/>
        <v>0.47824238059094959</v>
      </c>
      <c r="AG51" s="44">
        <f t="shared" si="18"/>
        <v>2.1067255088264862</v>
      </c>
      <c r="AH51" s="44">
        <f t="shared" si="18"/>
        <v>1.5860390014862185</v>
      </c>
      <c r="AI51" s="44">
        <f t="shared" si="18"/>
        <v>1.094991524255633</v>
      </c>
      <c r="AJ51" s="44">
        <f t="shared" si="18"/>
        <v>0.59456343351819607</v>
      </c>
      <c r="AK51" s="44">
        <f t="shared" si="18"/>
        <v>2.6986638802428926</v>
      </c>
      <c r="AL51" s="44">
        <f t="shared" si="18"/>
        <v>2.6732673313554605</v>
      </c>
      <c r="AM51" s="44">
        <f t="shared" si="18"/>
        <v>3.6200036650702412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13989095411</v>
      </c>
      <c r="F52" s="76">
        <f>资产资本表!F68</f>
        <v>14158763571</v>
      </c>
      <c r="G52" s="76">
        <f>资产资本表!G68</f>
        <v>14023884115</v>
      </c>
      <c r="H52" s="76">
        <f>资产资本表!H68</f>
        <v>13828434072</v>
      </c>
      <c r="I52" s="76">
        <f>资产资本表!I68</f>
        <v>13602672308</v>
      </c>
      <c r="J52" s="76">
        <f>资产资本表!J68</f>
        <v>13540000949</v>
      </c>
      <c r="K52" s="76">
        <f>资产资本表!K68</f>
        <v>13448760837</v>
      </c>
      <c r="L52" s="76">
        <f>资产资本表!L68</f>
        <v>13311367398</v>
      </c>
      <c r="M52" s="76">
        <f>资产资本表!M68</f>
        <v>13013140819</v>
      </c>
      <c r="N52" s="76">
        <f>资产资本表!N68</f>
        <v>12941849340</v>
      </c>
      <c r="O52" s="76">
        <f>资产资本表!O68</f>
        <v>12677177260</v>
      </c>
      <c r="P52" s="76">
        <f>资产资本表!P68</f>
        <v>12368641982</v>
      </c>
      <c r="Q52" s="76">
        <f>资产资本表!Q68</f>
        <v>11959105580</v>
      </c>
      <c r="R52" s="76">
        <f>资产资本表!R68</f>
        <v>11403334047</v>
      </c>
      <c r="S52" s="76">
        <f>资产资本表!S68</f>
        <v>10392929451</v>
      </c>
      <c r="T52" s="76">
        <f>资产资本表!T68</f>
        <v>9818579342</v>
      </c>
      <c r="U52" s="76">
        <f>资产资本表!U68</f>
        <v>9609090056</v>
      </c>
      <c r="V52" s="76">
        <f>资产资本表!V68</f>
        <v>9301441150</v>
      </c>
      <c r="W52" s="76">
        <f>资产资本表!W68</f>
        <v>8714334696</v>
      </c>
      <c r="X52" s="76">
        <f>资产资本表!X68</f>
        <v>8042626721</v>
      </c>
      <c r="Y52" s="76">
        <f>资产资本表!Y68</f>
        <v>7464751166</v>
      </c>
      <c r="Z52" s="76">
        <f>资产资本表!Z68</f>
        <v>6780499394</v>
      </c>
      <c r="AA52" s="76">
        <f>资产资本表!AA68</f>
        <v>6000409082</v>
      </c>
      <c r="AB52" s="76">
        <f>资产资本表!AB68</f>
        <v>5341909789</v>
      </c>
      <c r="AC52" s="76">
        <f>资产资本表!AC68</f>
        <v>4668777499</v>
      </c>
      <c r="AD52" s="76">
        <f>资产资本表!AD68</f>
        <v>3943920755</v>
      </c>
      <c r="AE52" s="76">
        <f>资产资本表!AE68</f>
        <v>3495974396</v>
      </c>
      <c r="AF52" s="76">
        <f>资产资本表!AF68</f>
        <v>2582275596</v>
      </c>
      <c r="AG52" s="76">
        <f>资产资本表!AG68</f>
        <v>2004358803</v>
      </c>
      <c r="AH52" s="76">
        <f>资产资本表!AH68</f>
        <v>1426167580</v>
      </c>
      <c r="AI52" s="76">
        <f>资产资本表!AI68</f>
        <v>1147954410</v>
      </c>
      <c r="AJ52" s="76">
        <f>资产资本表!AJ68</f>
        <v>1106780182</v>
      </c>
      <c r="AK52" s="76">
        <f>资产资本表!AK68</f>
        <v>1038263232</v>
      </c>
      <c r="AL52" s="76">
        <f>资产资本表!AL68</f>
        <v>845279326</v>
      </c>
      <c r="AM52" s="76">
        <f>资产资本表!AM68</f>
        <v>680830458</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0.81741874689112448</v>
      </c>
      <c r="F53" s="44">
        <f t="shared" ref="F53:BQ53" si="20">F49/F52</f>
        <v>0.55868058162943957</v>
      </c>
      <c r="G53" s="44">
        <f t="shared" si="20"/>
        <v>0.3523971591232733</v>
      </c>
      <c r="H53" s="44">
        <f t="shared" si="20"/>
        <v>0.17602858243572209</v>
      </c>
      <c r="I53" s="44">
        <f t="shared" si="20"/>
        <v>0.62972504380350325</v>
      </c>
      <c r="J53" s="44">
        <f t="shared" si="20"/>
        <v>0.46180757819384111</v>
      </c>
      <c r="K53" s="44">
        <f t="shared" si="20"/>
        <v>0.30459406741251727</v>
      </c>
      <c r="L53" s="44">
        <f t="shared" si="20"/>
        <v>0.15057265411374232</v>
      </c>
      <c r="M53" s="44">
        <f t="shared" si="20"/>
        <v>0.59657695939669209</v>
      </c>
      <c r="N53" s="44">
        <f t="shared" si="20"/>
        <v>0.44958957163999869</v>
      </c>
      <c r="O53" s="44">
        <f t="shared" si="20"/>
        <v>0.30256001319019182</v>
      </c>
      <c r="P53" s="44">
        <f t="shared" si="20"/>
        <v>0.15302005505166702</v>
      </c>
      <c r="Q53" s="44">
        <f t="shared" si="20"/>
        <v>0.67090479595882957</v>
      </c>
      <c r="R53" s="44">
        <f t="shared" si="20"/>
        <v>0.52495851926523851</v>
      </c>
      <c r="S53" s="44">
        <f t="shared" si="20"/>
        <v>0.38171769727718902</v>
      </c>
      <c r="T53" s="44">
        <f t="shared" si="20"/>
        <v>0.19761385251532451</v>
      </c>
      <c r="U53" s="44">
        <f t="shared" si="20"/>
        <v>0.71091871771297299</v>
      </c>
      <c r="V53" s="44">
        <f t="shared" si="20"/>
        <v>0.52993667997351146</v>
      </c>
      <c r="W53" s="44">
        <f t="shared" si="20"/>
        <v>0.36507136677459562</v>
      </c>
      <c r="X53" s="44">
        <f t="shared" si="20"/>
        <v>0.1816982003136286</v>
      </c>
      <c r="Y53" s="44">
        <f t="shared" si="20"/>
        <v>0.7884092163454709</v>
      </c>
      <c r="Z53" s="44">
        <f t="shared" si="20"/>
        <v>0.64209264642845565</v>
      </c>
      <c r="AA53" s="44">
        <f t="shared" si="20"/>
        <v>0.46256561545548303</v>
      </c>
      <c r="AB53" s="44">
        <f t="shared" si="20"/>
        <v>0.23132836098142504</v>
      </c>
      <c r="AC53" s="44">
        <f t="shared" si="20"/>
        <v>1.102611713473733</v>
      </c>
      <c r="AD53" s="44">
        <f t="shared" si="20"/>
        <v>0.92472811056772863</v>
      </c>
      <c r="AE53" s="44">
        <f t="shared" si="20"/>
        <v>0.66117492211747886</v>
      </c>
      <c r="AF53" s="44">
        <f t="shared" si="20"/>
        <v>0.41642582715249421</v>
      </c>
      <c r="AG53" s="44">
        <f t="shared" si="20"/>
        <v>2.0088219494301791</v>
      </c>
      <c r="AH53" s="44">
        <f t="shared" si="20"/>
        <v>1.9969605724735378</v>
      </c>
      <c r="AI53" s="44">
        <f t="shared" si="20"/>
        <v>1.555727432590289</v>
      </c>
      <c r="AJ53" s="44">
        <f t="shared" si="20"/>
        <v>0.73457925541351987</v>
      </c>
      <c r="AK53" s="44">
        <f t="shared" si="20"/>
        <v>3.1263606809491642</v>
      </c>
      <c r="AL53" s="44">
        <f t="shared" si="20"/>
        <v>2.7771589198905828</v>
      </c>
      <c r="AM53" s="44">
        <f t="shared" si="20"/>
        <v>2.161448298483732</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1242670243</v>
      </c>
      <c r="F54" s="76">
        <f>资产资本表!F17</f>
        <v>3145904295</v>
      </c>
      <c r="G54" s="76">
        <f>资产资本表!G17</f>
        <v>2304633992</v>
      </c>
      <c r="H54" s="76">
        <f>资产资本表!H17</f>
        <v>3659890918</v>
      </c>
      <c r="I54" s="76">
        <f>资产资本表!I17</f>
        <v>2208873665</v>
      </c>
      <c r="J54" s="76">
        <f>资产资本表!J17</f>
        <v>2772179398</v>
      </c>
      <c r="K54" s="76">
        <f>资产资本表!K17</f>
        <v>2836233020</v>
      </c>
      <c r="L54" s="76">
        <f>资产资本表!L17</f>
        <v>2797301543</v>
      </c>
      <c r="M54" s="76">
        <f>资产资本表!M17</f>
        <v>2222827199</v>
      </c>
      <c r="N54" s="76">
        <f>资产资本表!N17</f>
        <v>2397045267</v>
      </c>
      <c r="O54" s="76">
        <f>资产资本表!O17</f>
        <v>1882805100</v>
      </c>
      <c r="P54" s="76">
        <f>资产资本表!P17</f>
        <v>2054410472</v>
      </c>
      <c r="Q54" s="76">
        <f>资产资本表!Q17</f>
        <v>2517055356</v>
      </c>
      <c r="R54" s="76">
        <f>资产资本表!R17</f>
        <v>2564194734</v>
      </c>
      <c r="S54" s="76">
        <f>资产资本表!S17</f>
        <v>2368399081</v>
      </c>
      <c r="T54" s="76">
        <f>资产资本表!T17</f>
        <v>2071604284</v>
      </c>
      <c r="U54" s="76">
        <f>资产资本表!U17</f>
        <v>2320422359</v>
      </c>
      <c r="V54" s="76">
        <f>资产资本表!V17</f>
        <v>3201804138</v>
      </c>
      <c r="W54" s="76">
        <f>资产资本表!W17</f>
        <v>2176644043</v>
      </c>
      <c r="X54" s="76">
        <f>资产资本表!X17</f>
        <v>3112080576</v>
      </c>
      <c r="Y54" s="76">
        <f>资产资本表!Y17</f>
        <v>2384471385</v>
      </c>
      <c r="Z54" s="76">
        <f>资产资本表!Z17</f>
        <v>2156750466</v>
      </c>
      <c r="AA54" s="76">
        <f>资产资本表!AA17</f>
        <v>3676560063</v>
      </c>
      <c r="AB54" s="76">
        <f>资产资本表!AB17</f>
        <v>1641827873</v>
      </c>
      <c r="AC54" s="76">
        <f>资产资本表!AC17</f>
        <v>2096947272</v>
      </c>
      <c r="AD54" s="76">
        <f>资产资本表!AD17</f>
        <v>2764485748</v>
      </c>
      <c r="AE54" s="76">
        <f>资产资本表!AE17</f>
        <v>2911022892</v>
      </c>
      <c r="AF54" s="76">
        <f>资产资本表!AF17</f>
        <v>3588889956</v>
      </c>
      <c r="AG54" s="76">
        <f>资产资本表!AG17</f>
        <v>4231011924</v>
      </c>
      <c r="AH54" s="76">
        <f>资产资本表!AH17</f>
        <v>4492808845</v>
      </c>
      <c r="AI54" s="76">
        <f>资产资本表!AI17</f>
        <v>4939270255</v>
      </c>
      <c r="AJ54" s="76">
        <f>资产资本表!AJ17</f>
        <v>401864700</v>
      </c>
      <c r="AK54" s="76">
        <f>资产资本表!AK17</f>
        <v>516606763</v>
      </c>
      <c r="AL54" s="76">
        <f>资产资本表!AL17</f>
        <v>341211068</v>
      </c>
      <c r="AM54" s="76">
        <f>资产资本表!AM17</f>
        <v>103124148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9.2019173271537014</v>
      </c>
      <c r="F55" s="44">
        <f t="shared" ref="F55:BQ55" si="22">F49/F54</f>
        <v>2.5144522926435688</v>
      </c>
      <c r="G55" s="44">
        <f t="shared" si="22"/>
        <v>2.1443651960159058</v>
      </c>
      <c r="H55" s="44">
        <f t="shared" si="22"/>
        <v>0.66510169333959368</v>
      </c>
      <c r="I55" s="44">
        <f t="shared" si="22"/>
        <v>3.8779689172490541</v>
      </c>
      <c r="J55" s="44">
        <f t="shared" si="22"/>
        <v>2.2555809524849515</v>
      </c>
      <c r="K55" s="44">
        <f t="shared" si="22"/>
        <v>1.4443146018376163</v>
      </c>
      <c r="L55" s="44">
        <f t="shared" si="22"/>
        <v>0.71652193665557917</v>
      </c>
      <c r="M55" s="44">
        <f t="shared" si="22"/>
        <v>3.4925521810658751</v>
      </c>
      <c r="N55" s="44">
        <f t="shared" si="22"/>
        <v>2.427371973780919</v>
      </c>
      <c r="O55" s="44">
        <f t="shared" si="22"/>
        <v>2.0371768267464327</v>
      </c>
      <c r="P55" s="44">
        <f t="shared" si="22"/>
        <v>0.92126198868012776</v>
      </c>
      <c r="Q55" s="44">
        <f t="shared" si="22"/>
        <v>3.1876221036912309</v>
      </c>
      <c r="R55" s="44">
        <f t="shared" si="22"/>
        <v>2.3345642499864834</v>
      </c>
      <c r="S55" s="44">
        <f t="shared" si="22"/>
        <v>1.6750408028046351</v>
      </c>
      <c r="T55" s="44">
        <f t="shared" si="22"/>
        <v>0.93661096618971851</v>
      </c>
      <c r="U55" s="44">
        <f t="shared" si="22"/>
        <v>2.9439821395032508</v>
      </c>
      <c r="V55" s="44">
        <f t="shared" si="22"/>
        <v>1.5394991790718962</v>
      </c>
      <c r="W55" s="44">
        <f t="shared" si="22"/>
        <v>1.4615867432394871</v>
      </c>
      <c r="X55" s="44">
        <f t="shared" si="22"/>
        <v>0.46956714818684697</v>
      </c>
      <c r="Y55" s="44">
        <f t="shared" si="22"/>
        <v>2.4681691103623793</v>
      </c>
      <c r="Z55" s="44">
        <f t="shared" si="22"/>
        <v>2.0186428001912393</v>
      </c>
      <c r="AA55" s="44">
        <f t="shared" si="22"/>
        <v>0.75494018115813932</v>
      </c>
      <c r="AB55" s="44">
        <f t="shared" si="22"/>
        <v>0.75265821486026141</v>
      </c>
      <c r="AC55" s="44">
        <f t="shared" si="22"/>
        <v>2.4549252271327497</v>
      </c>
      <c r="AD55" s="44">
        <f t="shared" si="22"/>
        <v>1.3192523747458291</v>
      </c>
      <c r="AE55" s="44">
        <f t="shared" si="22"/>
        <v>0.79403381036688869</v>
      </c>
      <c r="AF55" s="44">
        <f t="shared" si="22"/>
        <v>0.29962642047640425</v>
      </c>
      <c r="AG55" s="44">
        <f t="shared" si="22"/>
        <v>0.95163994579184263</v>
      </c>
      <c r="AH55" s="44">
        <f t="shared" si="22"/>
        <v>0.63390198097778183</v>
      </c>
      <c r="AI55" s="44">
        <f t="shared" si="22"/>
        <v>0.36157247423182354</v>
      </c>
      <c r="AJ55" s="44">
        <f t="shared" si="22"/>
        <v>2.0231131572392398</v>
      </c>
      <c r="AK55" s="44">
        <f t="shared" si="22"/>
        <v>6.2832807804337625</v>
      </c>
      <c r="AL55" s="44">
        <f t="shared" si="22"/>
        <v>6.8798325733091401</v>
      </c>
      <c r="AM55" s="44">
        <f t="shared" si="22"/>
        <v>14.269982962671362</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2137711137</v>
      </c>
      <c r="F56" s="76">
        <f>资产资本表!F19</f>
        <v>107552356</v>
      </c>
      <c r="G56" s="76">
        <f>资产资本表!G19</f>
        <v>84406124</v>
      </c>
      <c r="H56" s="76">
        <f>资产资本表!H19</f>
        <v>133530499</v>
      </c>
      <c r="I56" s="76">
        <f>资产资本表!I19</f>
        <v>31858516</v>
      </c>
      <c r="J56" s="76">
        <f>资产资本表!J19</f>
        <v>48464682</v>
      </c>
      <c r="K56" s="76">
        <f>资产资本表!K19</f>
        <v>53327271</v>
      </c>
      <c r="L56" s="76">
        <f>资产资本表!L19</f>
        <v>50197923</v>
      </c>
      <c r="M56" s="76">
        <f>资产资本表!M19</f>
        <v>49480454</v>
      </c>
      <c r="N56" s="76">
        <f>资产资本表!N19</f>
        <v>48900473</v>
      </c>
      <c r="O56" s="76">
        <f>资产资本表!O19</f>
        <v>48164967</v>
      </c>
      <c r="P56" s="76">
        <f>资产资本表!P19</f>
        <v>47840278</v>
      </c>
      <c r="Q56" s="76">
        <f>资产资本表!Q19</f>
        <v>47229640</v>
      </c>
      <c r="R56" s="76">
        <f>资产资本表!R19</f>
        <v>34122714</v>
      </c>
      <c r="S56" s="76">
        <f>资产资本表!S19</f>
        <v>31691005</v>
      </c>
      <c r="T56" s="76">
        <f>资产资本表!T19</f>
        <v>30523074</v>
      </c>
      <c r="U56" s="76">
        <f>资产资本表!U19</f>
        <v>30472850</v>
      </c>
      <c r="V56" s="76">
        <f>资产资本表!V19</f>
        <v>29053620</v>
      </c>
      <c r="W56" s="76">
        <f>资产资本表!W19</f>
        <v>28728878</v>
      </c>
      <c r="X56" s="76">
        <f>资产资本表!X19</f>
        <v>28739943</v>
      </c>
      <c r="Y56" s="76">
        <f>资产资本表!Y19</f>
        <v>28520653</v>
      </c>
      <c r="Z56" s="76">
        <f>资产资本表!Z19</f>
        <v>28224838</v>
      </c>
      <c r="AA56" s="76">
        <f>资产资本表!AA19</f>
        <v>27029317</v>
      </c>
      <c r="AB56" s="76">
        <f>资产资本表!AB19</f>
        <v>26918902</v>
      </c>
      <c r="AC56" s="76">
        <f>资产资本表!AC19</f>
        <v>9696608</v>
      </c>
      <c r="AD56" s="76">
        <f>资产资本表!AD19</f>
        <v>10000000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5.3491552918826377</v>
      </c>
      <c r="F57" s="117">
        <f t="shared" ref="F57:BQ57" si="24">F49/F56</f>
        <v>73.547680043382783</v>
      </c>
      <c r="G57" s="117">
        <f t="shared" si="24"/>
        <v>58.549980591455665</v>
      </c>
      <c r="H57" s="117">
        <f t="shared" si="24"/>
        <v>18.229540556124185</v>
      </c>
      <c r="I57" s="117">
        <f t="shared" si="24"/>
        <v>268.87452682981217</v>
      </c>
      <c r="J57" s="117">
        <f t="shared" si="24"/>
        <v>129.01921128874838</v>
      </c>
      <c r="K57" s="117">
        <f t="shared" si="24"/>
        <v>76.816470975985254</v>
      </c>
      <c r="L57" s="117">
        <f t="shared" si="24"/>
        <v>39.928502998022445</v>
      </c>
      <c r="M57" s="117">
        <f t="shared" si="24"/>
        <v>156.8971049053026</v>
      </c>
      <c r="N57" s="117">
        <f t="shared" si="24"/>
        <v>118.98699836707101</v>
      </c>
      <c r="O57" s="117">
        <f t="shared" si="24"/>
        <v>79.634787645551583</v>
      </c>
      <c r="P57" s="117">
        <f t="shared" si="24"/>
        <v>39.561857834521781</v>
      </c>
      <c r="Q57" s="117">
        <f t="shared" si="24"/>
        <v>169.88105962696307</v>
      </c>
      <c r="R57" s="117">
        <f t="shared" si="24"/>
        <v>175.43379919897345</v>
      </c>
      <c r="S57" s="117">
        <f t="shared" si="24"/>
        <v>125.18268505527041</v>
      </c>
      <c r="T57" s="117">
        <f t="shared" si="24"/>
        <v>63.567886052368117</v>
      </c>
      <c r="U57" s="117">
        <f t="shared" si="24"/>
        <v>224.17601179410525</v>
      </c>
      <c r="V57" s="117">
        <f t="shared" si="24"/>
        <v>169.65785475269519</v>
      </c>
      <c r="W57" s="117">
        <f t="shared" si="24"/>
        <v>110.73715019430971</v>
      </c>
      <c r="X57" s="117">
        <f t="shared" si="24"/>
        <v>50.846684038308638</v>
      </c>
      <c r="Y57" s="117">
        <f t="shared" si="24"/>
        <v>206.35146807473166</v>
      </c>
      <c r="Z57" s="117">
        <f t="shared" si="24"/>
        <v>154.2509756831908</v>
      </c>
      <c r="AA57" s="117">
        <f t="shared" si="24"/>
        <v>102.68786739968309</v>
      </c>
      <c r="AB57" s="117">
        <f t="shared" si="24"/>
        <v>45.905855892636332</v>
      </c>
      <c r="AC57" s="117">
        <f t="shared" si="24"/>
        <v>530.89170542936256</v>
      </c>
      <c r="AD57" s="117">
        <f t="shared" si="24"/>
        <v>364.70543880000002</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11434948841</v>
      </c>
      <c r="F63" s="76">
        <f t="shared" ref="F63:BQ63" si="26">F49</f>
        <v>7910226267</v>
      </c>
      <c r="G63" s="76">
        <f t="shared" si="26"/>
        <v>4941976922</v>
      </c>
      <c r="H63" s="76">
        <f t="shared" si="26"/>
        <v>2434199647</v>
      </c>
      <c r="I63" s="76">
        <f t="shared" si="26"/>
        <v>8565943415</v>
      </c>
      <c r="J63" s="76">
        <f t="shared" si="26"/>
        <v>6252875047</v>
      </c>
      <c r="K63" s="76">
        <f t="shared" si="26"/>
        <v>4096412765</v>
      </c>
      <c r="L63" s="76">
        <f t="shared" si="26"/>
        <v>2004327919</v>
      </c>
      <c r="M63" s="76">
        <f t="shared" si="26"/>
        <v>7763339982</v>
      </c>
      <c r="N63" s="76">
        <f t="shared" si="26"/>
        <v>5818520501</v>
      </c>
      <c r="O63" s="76">
        <f t="shared" si="26"/>
        <v>3835606919</v>
      </c>
      <c r="P63" s="76">
        <f t="shared" si="26"/>
        <v>1892650277</v>
      </c>
      <c r="Q63" s="76">
        <f t="shared" si="26"/>
        <v>8023421289</v>
      </c>
      <c r="R63" s="76">
        <f t="shared" si="26"/>
        <v>5986277356</v>
      </c>
      <c r="S63" s="76">
        <f t="shared" si="26"/>
        <v>3967165098</v>
      </c>
      <c r="T63" s="76">
        <f t="shared" si="26"/>
        <v>1940287290</v>
      </c>
      <c r="U63" s="76">
        <f t="shared" si="26"/>
        <v>6831281981</v>
      </c>
      <c r="V63" s="76">
        <f t="shared" si="26"/>
        <v>4929174842</v>
      </c>
      <c r="W63" s="76">
        <f t="shared" si="26"/>
        <v>3181354078</v>
      </c>
      <c r="X63" s="76">
        <f t="shared" si="26"/>
        <v>1461330801</v>
      </c>
      <c r="Y63" s="76">
        <f t="shared" si="26"/>
        <v>5885278617</v>
      </c>
      <c r="Z63" s="76">
        <f t="shared" si="26"/>
        <v>4353708800</v>
      </c>
      <c r="AA63" s="76">
        <f t="shared" si="26"/>
        <v>2775582920</v>
      </c>
      <c r="AB63" s="76">
        <f t="shared" si="26"/>
        <v>1235735236</v>
      </c>
      <c r="AC63" s="76">
        <f t="shared" si="26"/>
        <v>5147848758</v>
      </c>
      <c r="AD63" s="76">
        <f t="shared" si="26"/>
        <v>3647054388</v>
      </c>
      <c r="AE63" s="76">
        <f t="shared" si="26"/>
        <v>2311450599</v>
      </c>
      <c r="AF63" s="76">
        <f t="shared" si="26"/>
        <v>1075326251</v>
      </c>
      <c r="AG63" s="76">
        <f t="shared" si="26"/>
        <v>4026399958</v>
      </c>
      <c r="AH63" s="76">
        <f t="shared" si="26"/>
        <v>2848000427</v>
      </c>
      <c r="AI63" s="76">
        <f t="shared" si="26"/>
        <v>1785904167</v>
      </c>
      <c r="AJ63" s="76">
        <f t="shared" si="26"/>
        <v>813017762</v>
      </c>
      <c r="AK63" s="76">
        <f t="shared" si="26"/>
        <v>3245985345</v>
      </c>
      <c r="AL63" s="76">
        <f t="shared" si="26"/>
        <v>2347475020</v>
      </c>
      <c r="AM63" s="76">
        <f t="shared" si="26"/>
        <v>1471579835</v>
      </c>
      <c r="AN63" s="76">
        <f t="shared" si="26"/>
        <v>658678544</v>
      </c>
      <c r="AO63" s="76">
        <f t="shared" si="26"/>
        <v>2621391286</v>
      </c>
      <c r="AP63" s="76">
        <f t="shared" si="26"/>
        <v>2029326550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6111900085</v>
      </c>
      <c r="F64" s="76">
        <f>资产资本表!F22+资产资本表!F23-资产资本表!F37</f>
        <v>5629739855</v>
      </c>
      <c r="G64" s="76">
        <f>资产资本表!G22+资产资本表!G23-资产资本表!G37</f>
        <v>5065524195</v>
      </c>
      <c r="H64" s="76">
        <f>资产资本表!H22+资产资本表!H23-资产资本表!H37</f>
        <v>4681885846</v>
      </c>
      <c r="I64" s="76">
        <f>资产资本表!I22+资产资本表!I23-资产资本表!I37</f>
        <v>4164804884</v>
      </c>
      <c r="J64" s="76">
        <f>资产资本表!J22+资产资本表!J23-资产资本表!J37</f>
        <v>4273690332</v>
      </c>
      <c r="K64" s="76">
        <f>资产资本表!K22+资产资本表!K23-资产资本表!K37</f>
        <v>4198288557</v>
      </c>
      <c r="L64" s="76">
        <f>资产资本表!L22+资产资本表!L23-资产资本表!L37</f>
        <v>3968676828</v>
      </c>
      <c r="M64" s="76">
        <f>资产资本表!M22+资产资本表!M23-资产资本表!M37</f>
        <v>3755313868</v>
      </c>
      <c r="N64" s="76">
        <f>资产资本表!N22+资产资本表!N23-资产资本表!N37</f>
        <v>3702360791</v>
      </c>
      <c r="O64" s="76">
        <f>资产资本表!O22+资产资本表!O23-资产资本表!O37</f>
        <v>3907860323</v>
      </c>
      <c r="P64" s="76">
        <f>资产资本表!P22+资产资本表!P23-资产资本表!P37</f>
        <v>3933593508</v>
      </c>
      <c r="Q64" s="76">
        <f>资产资本表!Q22+资产资本表!Q23-资产资本表!Q37</f>
        <v>3577907337</v>
      </c>
      <c r="R64" s="76">
        <f>资产资本表!R22+资产资本表!R23-资产资本表!R37</f>
        <v>3576074374</v>
      </c>
      <c r="S64" s="76">
        <f>资产资本表!S22+资产资本表!S23-资产资本表!S37</f>
        <v>3689002338</v>
      </c>
      <c r="T64" s="76">
        <f>资产资本表!T22+资产资本表!T23-资产资本表!T37</f>
        <v>3691074947</v>
      </c>
      <c r="U64" s="76">
        <f>资产资本表!U22+资产资本表!U23-资产资本表!U37</f>
        <v>3189836484</v>
      </c>
      <c r="V64" s="76">
        <f>资产资本表!V22+资产资本表!V23-资产资本表!V37</f>
        <v>3169334970</v>
      </c>
      <c r="W64" s="76">
        <f>资产资本表!W22+资产资本表!W23-资产资本表!W37</f>
        <v>3049754871</v>
      </c>
      <c r="X64" s="76">
        <f>资产资本表!X22+资产资本表!X23-资产资本表!X37</f>
        <v>2919204765</v>
      </c>
      <c r="Y64" s="76">
        <f>资产资本表!Y22+资产资本表!Y23-资产资本表!Y37</f>
        <v>2633334150</v>
      </c>
      <c r="Z64" s="76">
        <f>资产资本表!Z22+资产资本表!Z23-资产资本表!Z37</f>
        <v>2534465455</v>
      </c>
      <c r="AA64" s="76">
        <f>资产资本表!AA22+资产资本表!AA23-资产资本表!AA37</f>
        <v>2340048225</v>
      </c>
      <c r="AB64" s="76">
        <f>资产资本表!AB22+资产资本表!AB23-资产资本表!AB37</f>
        <v>2253141578</v>
      </c>
      <c r="AC64" s="76">
        <f>资产资本表!AC22+资产资本表!AC23-资产资本表!AC37</f>
        <v>2249813820</v>
      </c>
      <c r="AD64" s="76">
        <f>资产资本表!AD22+资产资本表!AD23-资产资本表!AD37</f>
        <v>1783347860</v>
      </c>
      <c r="AE64" s="76">
        <f>资产资本表!AE22+资产资本表!AE23-资产资本表!AE37</f>
        <v>1573664989</v>
      </c>
      <c r="AF64" s="76">
        <f>资产资本表!AF22+资产资本表!AF23-资产资本表!AF37</f>
        <v>1543224229</v>
      </c>
      <c r="AG64" s="76">
        <f>资产资本表!AG22+资产资本表!AG23-资产资本表!AG37</f>
        <v>1552020542</v>
      </c>
      <c r="AH64" s="76">
        <f>资产资本表!AH22+资产资本表!AH23-资产资本表!AH37</f>
        <v>1384468943</v>
      </c>
      <c r="AI64" s="76">
        <f>资产资本表!AI22+资产资本表!AI23-资产资本表!AI37</f>
        <v>1211930290</v>
      </c>
      <c r="AJ64" s="76">
        <f>资产资本表!AJ22+资产资本表!AJ23-资产资本表!AJ37</f>
        <v>1070607846</v>
      </c>
      <c r="AK64" s="76">
        <f>资产资本表!AK22+资产资本表!AK23-资产资本表!AK37</f>
        <v>1105695943</v>
      </c>
      <c r="AL64" s="76">
        <f>资产资本表!AL22+资产资本表!AL23-资产资本表!AL37</f>
        <v>838335252</v>
      </c>
      <c r="AM64" s="76">
        <f>资产资本表!AM22+资产资本表!AM23-资产资本表!AM37</f>
        <v>482232160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2.225411525482901</v>
      </c>
      <c r="F65" s="155">
        <f t="shared" ref="F65:BQ65" si="28">F63/(F64+J64)*2</f>
        <v>1.5974720107349407</v>
      </c>
      <c r="G65" s="155">
        <f t="shared" si="28"/>
        <v>1.0669423172296002</v>
      </c>
      <c r="H65" s="155">
        <f t="shared" si="28"/>
        <v>0.56278411907613679</v>
      </c>
      <c r="I65" s="155">
        <f t="shared" si="28"/>
        <v>2.16308459083064</v>
      </c>
      <c r="J65" s="155">
        <f t="shared" si="28"/>
        <v>1.5679124796402086</v>
      </c>
      <c r="K65" s="155">
        <f t="shared" si="28"/>
        <v>1.0106927039316851</v>
      </c>
      <c r="L65" s="155">
        <f t="shared" si="28"/>
        <v>0.50727900559639882</v>
      </c>
      <c r="M65" s="155">
        <f t="shared" si="28"/>
        <v>2.1173069146493857</v>
      </c>
      <c r="N65" s="155">
        <f t="shared" si="28"/>
        <v>1.5988383132076716</v>
      </c>
      <c r="O65" s="155">
        <f t="shared" si="28"/>
        <v>1.0097870897919079</v>
      </c>
      <c r="P65" s="155">
        <f t="shared" si="28"/>
        <v>0.49645444603138483</v>
      </c>
      <c r="Q65" s="155">
        <f t="shared" si="28"/>
        <v>2.3710771273888027</v>
      </c>
      <c r="R65" s="155">
        <f t="shared" si="28"/>
        <v>1.7749189265510645</v>
      </c>
      <c r="S65" s="155">
        <f t="shared" si="28"/>
        <v>1.1774174302352431</v>
      </c>
      <c r="T65" s="155">
        <f t="shared" si="28"/>
        <v>0.58705149389599687</v>
      </c>
      <c r="U65" s="155">
        <f t="shared" si="28"/>
        <v>2.3462413899101278</v>
      </c>
      <c r="V65" s="155">
        <f t="shared" si="28"/>
        <v>1.7283826483111915</v>
      </c>
      <c r="W65" s="155">
        <f t="shared" si="28"/>
        <v>1.1805084606378355</v>
      </c>
      <c r="X65" s="155">
        <f t="shared" si="28"/>
        <v>0.56505527824048107</v>
      </c>
      <c r="Y65" s="155">
        <f t="shared" si="28"/>
        <v>2.4104445137262553</v>
      </c>
      <c r="Z65" s="155">
        <f t="shared" si="28"/>
        <v>2.0166266961451527</v>
      </c>
      <c r="AA65" s="155">
        <f t="shared" si="28"/>
        <v>1.4183885063786894</v>
      </c>
      <c r="AB65" s="155">
        <f t="shared" si="28"/>
        <v>0.65100957011121874</v>
      </c>
      <c r="AC65" s="155">
        <f t="shared" si="28"/>
        <v>2.7080868169605963</v>
      </c>
      <c r="AD65" s="155">
        <f t="shared" si="28"/>
        <v>2.3025664770425802</v>
      </c>
      <c r="AE65" s="155">
        <f t="shared" si="28"/>
        <v>1.6595738917462459</v>
      </c>
      <c r="AF65" s="155">
        <f t="shared" si="28"/>
        <v>0.82279673685617316</v>
      </c>
      <c r="AG65" s="155">
        <f t="shared" si="28"/>
        <v>3.0299695100848951</v>
      </c>
      <c r="AH65" s="155">
        <f t="shared" si="28"/>
        <v>2.5625292892701239</v>
      </c>
      <c r="AI65" s="155">
        <f t="shared" si="28"/>
        <v>2.1083033294711497</v>
      </c>
      <c r="AJ65" s="155">
        <f t="shared" si="28"/>
        <v>1.5187965697012087</v>
      </c>
      <c r="AK65" s="155">
        <f t="shared" si="28"/>
        <v>5.871388722279141</v>
      </c>
      <c r="AL65" s="155">
        <f t="shared" si="28"/>
        <v>5.6003252025956796</v>
      </c>
      <c r="AM65" s="155">
        <f t="shared" si="28"/>
        <v>6.1032007280476686</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164.01460845350712</v>
      </c>
      <c r="F66" s="83">
        <f t="shared" ref="F66:BQ66" si="30">F62/F65</f>
        <v>228.48600635705432</v>
      </c>
      <c r="G66" s="83">
        <f t="shared" si="30"/>
        <v>342.0990939301679</v>
      </c>
      <c r="H66" s="83">
        <f t="shared" si="30"/>
        <v>648.56130020012279</v>
      </c>
      <c r="I66" s="83">
        <f t="shared" si="30"/>
        <v>168.74051137308385</v>
      </c>
      <c r="J66" s="83">
        <f t="shared" si="30"/>
        <v>232.79360598224025</v>
      </c>
      <c r="K66" s="83">
        <f t="shared" si="30"/>
        <v>361.13845343902983</v>
      </c>
      <c r="L66" s="83">
        <f t="shared" si="30"/>
        <v>719.52514488723227</v>
      </c>
      <c r="M66" s="83">
        <f t="shared" si="30"/>
        <v>172.38880082741429</v>
      </c>
      <c r="N66" s="83">
        <f t="shared" si="30"/>
        <v>228.29075146924535</v>
      </c>
      <c r="O66" s="83">
        <f t="shared" si="30"/>
        <v>361.4623356644592</v>
      </c>
      <c r="P66" s="83">
        <f t="shared" si="30"/>
        <v>735.21347813032867</v>
      </c>
      <c r="Q66" s="83">
        <f t="shared" si="30"/>
        <v>153.93847622407952</v>
      </c>
      <c r="R66" s="83">
        <f t="shared" si="30"/>
        <v>205.64319560739042</v>
      </c>
      <c r="S66" s="83">
        <f t="shared" si="30"/>
        <v>310.00050672519302</v>
      </c>
      <c r="T66" s="83">
        <f t="shared" si="30"/>
        <v>621.75124975435983</v>
      </c>
      <c r="U66" s="83">
        <f t="shared" si="30"/>
        <v>155.56796567039561</v>
      </c>
      <c r="V66" s="83">
        <f t="shared" si="30"/>
        <v>211.1800881342119</v>
      </c>
      <c r="W66" s="83">
        <f t="shared" si="30"/>
        <v>309.18880479923746</v>
      </c>
      <c r="X66" s="83">
        <f t="shared" si="30"/>
        <v>645.95450048103112</v>
      </c>
      <c r="Y66" s="83">
        <f t="shared" si="30"/>
        <v>151.42435261276941</v>
      </c>
      <c r="Z66" s="83">
        <f t="shared" si="30"/>
        <v>180.99532288137877</v>
      </c>
      <c r="AA66" s="83">
        <f t="shared" si="30"/>
        <v>257.33429054066954</v>
      </c>
      <c r="AB66" s="83">
        <f t="shared" si="30"/>
        <v>560.66764108804614</v>
      </c>
      <c r="AC66" s="83">
        <f t="shared" si="30"/>
        <v>134.78149877397777</v>
      </c>
      <c r="AD66" s="83">
        <f t="shared" si="30"/>
        <v>158.51876748801038</v>
      </c>
      <c r="AE66" s="83">
        <f t="shared" si="30"/>
        <v>219.93597381550617</v>
      </c>
      <c r="AF66" s="83">
        <f t="shared" si="30"/>
        <v>443.6089542535496</v>
      </c>
      <c r="AG66" s="83">
        <f t="shared" si="30"/>
        <v>120.46325838763086</v>
      </c>
      <c r="AH66" s="83">
        <f t="shared" si="30"/>
        <v>142.43739633663336</v>
      </c>
      <c r="AI66" s="83">
        <f t="shared" si="30"/>
        <v>173.12499340005178</v>
      </c>
      <c r="AJ66" s="83">
        <f t="shared" si="30"/>
        <v>240.32184907542035</v>
      </c>
      <c r="AK66" s="83">
        <f t="shared" si="30"/>
        <v>62.165872038926288</v>
      </c>
      <c r="AL66" s="83">
        <f t="shared" si="30"/>
        <v>65.174786605396974</v>
      </c>
      <c r="AM66" s="83">
        <f t="shared" si="30"/>
        <v>59.804685486193826</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5567764890</v>
      </c>
      <c r="F67" s="76">
        <f>股权价值增加表!F5</f>
        <v>4147561099</v>
      </c>
      <c r="G67" s="76">
        <f>股权价值增加表!G5</f>
        <v>2735385730</v>
      </c>
      <c r="H67" s="76">
        <f>股权价值增加表!H5</f>
        <v>1367610341</v>
      </c>
      <c r="I67" s="76">
        <f>股权价值增加表!I5</f>
        <v>4854665753</v>
      </c>
      <c r="J67" s="76">
        <f>股权价值增加表!J5</f>
        <v>3655928230</v>
      </c>
      <c r="K67" s="76">
        <f>股权价值增加表!K5</f>
        <v>2395055109</v>
      </c>
      <c r="L67" s="76">
        <f>股权价值增加表!L5</f>
        <v>1162918698</v>
      </c>
      <c r="M67" s="76">
        <f>股权价值增加表!M5</f>
        <v>4505536126</v>
      </c>
      <c r="N67" s="76">
        <f>股权价值增加表!N5</f>
        <v>3421555615</v>
      </c>
      <c r="O67" s="76">
        <f>股权价值增加表!O5</f>
        <v>2260649526</v>
      </c>
      <c r="P67" s="76">
        <f>股权价值增加表!P5</f>
        <v>1109672221</v>
      </c>
      <c r="Q67" s="76">
        <f>股权价值增加表!Q5</f>
        <v>4607806540</v>
      </c>
      <c r="R67" s="76">
        <f>股权价值增加表!R5</f>
        <v>3443390838</v>
      </c>
      <c r="S67" s="76">
        <f>股权价值增加表!S5</f>
        <v>2297385511</v>
      </c>
      <c r="T67" s="76">
        <f>股权价值增加表!T5</f>
        <v>1177544493</v>
      </c>
      <c r="U67" s="76">
        <f>股权价值增加表!U5</f>
        <v>3712055490</v>
      </c>
      <c r="V67" s="76">
        <f>股权价值增加表!V5</f>
        <v>2668974541</v>
      </c>
      <c r="W67" s="76">
        <f>股权价值增加表!W5</f>
        <v>1743325019</v>
      </c>
      <c r="X67" s="76">
        <f>股权价值增加表!X5</f>
        <v>835704897</v>
      </c>
      <c r="Y67" s="76">
        <f>股权价值增加表!Y5</f>
        <v>3374228753</v>
      </c>
      <c r="Z67" s="76">
        <f>股权价值增加表!Z5</f>
        <v>2538011252</v>
      </c>
      <c r="AA67" s="76">
        <f>股权价值增加表!AA5</f>
        <v>1662668132</v>
      </c>
      <c r="AB67" s="76">
        <f>股权价值增加表!AB5</f>
        <v>775720710</v>
      </c>
      <c r="AC67" s="76">
        <f>股权价值增加表!AC5</f>
        <v>2944996642</v>
      </c>
      <c r="AD67" s="76">
        <f>股权价值增加表!AD5</f>
        <v>2033397474</v>
      </c>
      <c r="AE67" s="76">
        <f>股权价值增加表!AE5</f>
        <v>1291379496</v>
      </c>
      <c r="AF67" s="76">
        <f>股权价值增加表!AF5</f>
        <v>637732213</v>
      </c>
      <c r="AG67" s="76">
        <f>股权价值增加表!AG5</f>
        <v>2373501496</v>
      </c>
      <c r="AH67" s="76">
        <f>股权价值增加表!AH5</f>
        <v>1709252716</v>
      </c>
      <c r="AI67" s="76">
        <f>股权价值增加表!AI5</f>
        <v>1079157650</v>
      </c>
      <c r="AJ67" s="76">
        <f>股权价值增加表!AJ5</f>
        <v>510433114</v>
      </c>
      <c r="AK67" s="76">
        <f>股权价值增加表!AK5</f>
        <v>1991066392</v>
      </c>
      <c r="AL67" s="76">
        <f>股权价值增加表!AL5</f>
        <v>1448227523</v>
      </c>
      <c r="AM67" s="76">
        <f>股权价值增加表!AM5</f>
        <v>929114167</v>
      </c>
      <c r="AN67" s="76">
        <f>股权价值增加表!AN5</f>
        <v>430284199</v>
      </c>
      <c r="AO67" s="76">
        <f>股权价值增加表!AO5</f>
        <v>1673006487</v>
      </c>
      <c r="AP67" s="76">
        <f>股权价值增加表!AP5</f>
        <v>1297556695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2500483830</v>
      </c>
      <c r="F68" s="76">
        <f>资产资本表!F26</f>
        <v>1987051682</v>
      </c>
      <c r="G68" s="76">
        <f>资产资本表!G26</f>
        <v>2058294263</v>
      </c>
      <c r="H68" s="76">
        <f>资产资本表!H26</f>
        <v>2096792772</v>
      </c>
      <c r="I68" s="76">
        <f>资产资本表!I26</f>
        <v>2133159443</v>
      </c>
      <c r="J68" s="76">
        <f>资产资本表!J26</f>
        <v>1885910259</v>
      </c>
      <c r="K68" s="76">
        <f>资产资本表!K26</f>
        <v>1965474140</v>
      </c>
      <c r="L68" s="76">
        <f>资产资本表!L26</f>
        <v>2118694944</v>
      </c>
      <c r="M68" s="76">
        <f>资产资本表!M26</f>
        <v>2207327953</v>
      </c>
      <c r="N68" s="76">
        <f>资产资本表!N26</f>
        <v>2011699929</v>
      </c>
      <c r="O68" s="76">
        <f>资产资本表!O26</f>
        <v>1977530135</v>
      </c>
      <c r="P68" s="76">
        <f>资产资本表!P26</f>
        <v>2089868350</v>
      </c>
      <c r="Q68" s="76">
        <f>资产资本表!Q26</f>
        <v>2073483647</v>
      </c>
      <c r="R68" s="76">
        <f>资产资本表!R26</f>
        <v>1784499578</v>
      </c>
      <c r="S68" s="76">
        <f>资产资本表!S26</f>
        <v>1717465345</v>
      </c>
      <c r="T68" s="76">
        <f>资产资本表!T26</f>
        <v>1693092856</v>
      </c>
      <c r="U68" s="76">
        <f>资产资本表!U26</f>
        <v>1767961037</v>
      </c>
      <c r="V68" s="76">
        <f>资产资本表!V26</f>
        <v>1552379936</v>
      </c>
      <c r="W68" s="76">
        <f>资产资本表!W26</f>
        <v>1395386034</v>
      </c>
      <c r="X68" s="76">
        <f>资产资本表!X26</f>
        <v>1387791329</v>
      </c>
      <c r="Y68" s="76">
        <f>资产资本表!Y26</f>
        <v>1331644242</v>
      </c>
      <c r="Z68" s="76">
        <f>资产资本表!Z26</f>
        <v>1248511438</v>
      </c>
      <c r="AA68" s="76">
        <f>资产资本表!AA26</f>
        <v>1190352497</v>
      </c>
      <c r="AB68" s="76">
        <f>资产资本表!AB26</f>
        <v>1140664580</v>
      </c>
      <c r="AC68" s="76">
        <f>资产资本表!AC26</f>
        <v>1089514665</v>
      </c>
      <c r="AD68" s="76">
        <f>资产资本表!AD26</f>
        <v>1184426131</v>
      </c>
      <c r="AE68" s="76">
        <f>资产资本表!AE26</f>
        <v>1156303177</v>
      </c>
      <c r="AF68" s="76">
        <f>资产资本表!AF26</f>
        <v>905424273</v>
      </c>
      <c r="AG68" s="76">
        <f>资产资本表!AG26</f>
        <v>826849320</v>
      </c>
      <c r="AH68" s="76">
        <f>资产资本表!AH26</f>
        <v>756587980</v>
      </c>
      <c r="AI68" s="76">
        <f>资产资本表!AI26</f>
        <v>729638603</v>
      </c>
      <c r="AJ68" s="76">
        <f>资产资本表!AJ26</f>
        <v>700983560</v>
      </c>
      <c r="AK68" s="76">
        <f>资产资本表!AK26</f>
        <v>595205126</v>
      </c>
      <c r="AL68" s="76">
        <f>资产资本表!AL26</f>
        <v>576729937</v>
      </c>
      <c r="AM68" s="76">
        <f>资产资本表!AM26</f>
        <v>478666162</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2.4031909933348037</v>
      </c>
      <c r="F69" s="155">
        <f t="shared" ref="F69:BQ69" si="32">F67/(F68+J68)*2</f>
        <v>2.1418031791601333</v>
      </c>
      <c r="G69" s="155">
        <f t="shared" si="32"/>
        <v>1.359613902211956</v>
      </c>
      <c r="H69" s="155">
        <f t="shared" si="32"/>
        <v>0.64885035048694228</v>
      </c>
      <c r="I69" s="155">
        <f t="shared" si="32"/>
        <v>2.2369219445142701</v>
      </c>
      <c r="J69" s="155">
        <f t="shared" si="32"/>
        <v>1.8759845411200469</v>
      </c>
      <c r="K69" s="155">
        <f t="shared" si="32"/>
        <v>1.2148376932713318</v>
      </c>
      <c r="L69" s="155">
        <f t="shared" si="32"/>
        <v>0.55264403396661854</v>
      </c>
      <c r="M69" s="155">
        <f t="shared" si="32"/>
        <v>2.1049915516020374</v>
      </c>
      <c r="N69" s="155">
        <f t="shared" si="32"/>
        <v>1.8026216002034796</v>
      </c>
      <c r="O69" s="155">
        <f t="shared" si="32"/>
        <v>1.2236277625974255</v>
      </c>
      <c r="P69" s="155">
        <f t="shared" si="32"/>
        <v>0.58666857024068564</v>
      </c>
      <c r="Q69" s="155">
        <f t="shared" si="32"/>
        <v>2.3989966895485821</v>
      </c>
      <c r="R69" s="155">
        <f t="shared" si="32"/>
        <v>2.0638388791403033</v>
      </c>
      <c r="S69" s="155">
        <f t="shared" si="32"/>
        <v>1.4760650164660496</v>
      </c>
      <c r="T69" s="155">
        <f t="shared" si="32"/>
        <v>0.76441983683330184</v>
      </c>
      <c r="U69" s="155">
        <f t="shared" si="32"/>
        <v>2.3951794863361373</v>
      </c>
      <c r="V69" s="155">
        <f t="shared" si="32"/>
        <v>1.9058036779115732</v>
      </c>
      <c r="W69" s="155">
        <f t="shared" si="32"/>
        <v>1.3484155478982573</v>
      </c>
      <c r="X69" s="155">
        <f t="shared" si="32"/>
        <v>0.66103972311743409</v>
      </c>
      <c r="Y69" s="155">
        <f t="shared" si="32"/>
        <v>2.7872840095249476</v>
      </c>
      <c r="Z69" s="155">
        <f t="shared" si="32"/>
        <v>2.0863759796706893</v>
      </c>
      <c r="AA69" s="155">
        <f t="shared" si="32"/>
        <v>1.4170533414183371</v>
      </c>
      <c r="AB69" s="155">
        <f t="shared" si="32"/>
        <v>0.75824733501932629</v>
      </c>
      <c r="AC69" s="155">
        <f t="shared" si="32"/>
        <v>3.0735253480564655</v>
      </c>
      <c r="AD69" s="155">
        <f t="shared" si="32"/>
        <v>2.095190820588527</v>
      </c>
      <c r="AE69" s="155">
        <f t="shared" si="32"/>
        <v>1.3694797047234406</v>
      </c>
      <c r="AF69" s="155">
        <f t="shared" si="32"/>
        <v>0.79398543744526173</v>
      </c>
      <c r="AG69" s="155">
        <f t="shared" si="32"/>
        <v>3.3381302701542275</v>
      </c>
      <c r="AH69" s="155">
        <f t="shared" si="32"/>
        <v>2.5639087185535812</v>
      </c>
      <c r="AI69" s="155">
        <f t="shared" si="32"/>
        <v>1.7862342039179164</v>
      </c>
      <c r="AJ69" s="155">
        <f t="shared" si="32"/>
        <v>1.4563340515432346</v>
      </c>
      <c r="AK69" s="155">
        <f t="shared" si="32"/>
        <v>6.690353644568579</v>
      </c>
      <c r="AL69" s="155">
        <f t="shared" si="32"/>
        <v>5.0222033922265421</v>
      </c>
      <c r="AM69" s="155">
        <f t="shared" si="32"/>
        <v>3.8820967127398491</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151.88139478398483</v>
      </c>
      <c r="F70" s="83">
        <f t="shared" ref="F70:BQ70" si="34">F62/F69</f>
        <v>170.41715296319978</v>
      </c>
      <c r="G70" s="83">
        <f t="shared" si="34"/>
        <v>268.45856710216145</v>
      </c>
      <c r="H70" s="83">
        <f t="shared" si="34"/>
        <v>562.53340963147923</v>
      </c>
      <c r="I70" s="83">
        <f t="shared" si="34"/>
        <v>163.17064656418168</v>
      </c>
      <c r="J70" s="83">
        <f t="shared" si="34"/>
        <v>194.56450306465672</v>
      </c>
      <c r="K70" s="83">
        <f t="shared" si="34"/>
        <v>300.45165870440104</v>
      </c>
      <c r="L70" s="83">
        <f t="shared" si="34"/>
        <v>660.46130522789133</v>
      </c>
      <c r="M70" s="83">
        <f t="shared" si="34"/>
        <v>173.39737051306022</v>
      </c>
      <c r="N70" s="83">
        <f t="shared" si="34"/>
        <v>202.48287269984942</v>
      </c>
      <c r="O70" s="83">
        <f t="shared" si="34"/>
        <v>298.29333001173927</v>
      </c>
      <c r="P70" s="83">
        <f t="shared" si="34"/>
        <v>622.15707217834381</v>
      </c>
      <c r="Q70" s="83">
        <f t="shared" si="34"/>
        <v>152.14693775533382</v>
      </c>
      <c r="R70" s="83">
        <f t="shared" si="34"/>
        <v>176.85489099422412</v>
      </c>
      <c r="S70" s="83">
        <f t="shared" si="34"/>
        <v>247.27908047971491</v>
      </c>
      <c r="T70" s="83">
        <f t="shared" si="34"/>
        <v>477.48630060681705</v>
      </c>
      <c r="U70" s="83">
        <f t="shared" si="34"/>
        <v>152.38941468989194</v>
      </c>
      <c r="V70" s="83">
        <f t="shared" si="34"/>
        <v>191.52025165570885</v>
      </c>
      <c r="W70" s="83">
        <f t="shared" si="34"/>
        <v>270.6880683546824</v>
      </c>
      <c r="X70" s="83">
        <f t="shared" si="34"/>
        <v>552.16046363851808</v>
      </c>
      <c r="Y70" s="83">
        <f t="shared" si="34"/>
        <v>130.95185088878296</v>
      </c>
      <c r="Z70" s="83">
        <f t="shared" si="34"/>
        <v>174.9444987655634</v>
      </c>
      <c r="AA70" s="83">
        <f t="shared" si="34"/>
        <v>257.57675405124081</v>
      </c>
      <c r="AB70" s="83">
        <f t="shared" si="34"/>
        <v>481.37327115128846</v>
      </c>
      <c r="AC70" s="83">
        <f t="shared" si="34"/>
        <v>118.75613787626858</v>
      </c>
      <c r="AD70" s="83">
        <f t="shared" si="34"/>
        <v>174.20847610313299</v>
      </c>
      <c r="AE70" s="83">
        <f t="shared" si="34"/>
        <v>266.52457772180702</v>
      </c>
      <c r="AF70" s="83">
        <f t="shared" si="34"/>
        <v>459.70616435287394</v>
      </c>
      <c r="AG70" s="83">
        <f t="shared" si="34"/>
        <v>109.34264706905412</v>
      </c>
      <c r="AH70" s="83">
        <f t="shared" si="34"/>
        <v>142.36076244005804</v>
      </c>
      <c r="AI70" s="83">
        <f t="shared" si="34"/>
        <v>204.34050540484051</v>
      </c>
      <c r="AJ70" s="83">
        <f t="shared" si="34"/>
        <v>250.62931105210387</v>
      </c>
      <c r="AK70" s="83">
        <f t="shared" si="34"/>
        <v>54.556159418615707</v>
      </c>
      <c r="AL70" s="83">
        <f t="shared" si="34"/>
        <v>72.677263641881495</v>
      </c>
      <c r="AM70" s="83">
        <f t="shared" si="34"/>
        <v>94.02135675862533</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958429135</v>
      </c>
      <c r="F71" s="76">
        <f>资产资本表!F35+资产资本表!F36-资产资本表!F24</f>
        <v>732783922</v>
      </c>
      <c r="G71" s="76">
        <f>资产资本表!G35+资产资本表!G36-资产资本表!G24</f>
        <v>1211925783</v>
      </c>
      <c r="H71" s="76">
        <f>资产资本表!H35+资产资本表!H36-资产资本表!H24</f>
        <v>1086453435</v>
      </c>
      <c r="I71" s="76">
        <f>资产资本表!I35+资产资本表!I36-资产资本表!I24</f>
        <v>1080949926</v>
      </c>
      <c r="J71" s="76">
        <f>资产资本表!J35+资产资本表!J36-资产资本表!J24</f>
        <v>1350442603</v>
      </c>
      <c r="K71" s="76">
        <f>资产资本表!K35+资产资本表!K36-资产资本表!K24</f>
        <v>1387316030</v>
      </c>
      <c r="L71" s="76">
        <f>资产资本表!L35+资产资本表!L36-资产资本表!L24</f>
        <v>1366269444</v>
      </c>
      <c r="M71" s="76">
        <f>资产资本表!M35+资产资本表!M36-资产资本表!M24</f>
        <v>1254921910</v>
      </c>
      <c r="N71" s="76">
        <f>资产资本表!N35+资产资本表!N36-资产资本表!N24</f>
        <v>1340835565</v>
      </c>
      <c r="O71" s="76">
        <f>资产资本表!O35+资产资本表!O36-资产资本表!O24</f>
        <v>1303242341</v>
      </c>
      <c r="P71" s="76">
        <f>资产资本表!P35+资产资本表!P36-资产资本表!P24</f>
        <v>1287337919</v>
      </c>
      <c r="Q71" s="76">
        <f>资产资本表!Q35+资产资本表!Q36-资产资本表!Q24</f>
        <v>1385154156</v>
      </c>
      <c r="R71" s="76">
        <f>资产资本表!R35+资产资本表!R36-资产资本表!R24</f>
        <v>1269110441</v>
      </c>
      <c r="S71" s="76">
        <f>资产资本表!S35+资产资本表!S36-资产资本表!S24</f>
        <v>1149936130</v>
      </c>
      <c r="T71" s="76">
        <f>资产资本表!T35+资产资本表!T36-资产资本表!T24</f>
        <v>1007637698</v>
      </c>
      <c r="U71" s="76">
        <f>资产资本表!U35+资产资本表!U36-资产资本表!U24</f>
        <v>1093017237</v>
      </c>
      <c r="V71" s="76">
        <f>资产资本表!V35+资产资本表!V36-资产资本表!V24</f>
        <v>1014333761</v>
      </c>
      <c r="W71" s="76">
        <f>资产资本表!W35+资产资本表!W36-资产资本表!W24</f>
        <v>547480547</v>
      </c>
      <c r="X71" s="76">
        <f>资产资本表!X35+资产资本表!X36-资产资本表!X24</f>
        <v>372179606</v>
      </c>
      <c r="Y71" s="76">
        <f>资产资本表!Y35+资产资本表!Y36-资产资本表!Y24</f>
        <v>214708303</v>
      </c>
      <c r="Z71" s="76">
        <f>资产资本表!Z35+资产资本表!Z36-资产资本表!Z24</f>
        <v>230847172</v>
      </c>
      <c r="AA71" s="76">
        <f>资产资本表!AA35+资产资本表!AA36-资产资本表!AA24</f>
        <v>528138164</v>
      </c>
      <c r="AB71" s="76">
        <f>资产资本表!AB35+资产资本表!AB36-资产资本表!AB24</f>
        <v>505781623</v>
      </c>
      <c r="AC71" s="76">
        <f>资产资本表!AC35+资产资本表!AC36-资产资本表!AC24</f>
        <v>476730324</v>
      </c>
      <c r="AD71" s="76">
        <f>资产资本表!AD35+资产资本表!AD36-资产资本表!AD24</f>
        <v>260037029</v>
      </c>
      <c r="AE71" s="76">
        <f>资产资本表!AE35+资产资本表!AE36-资产资本表!AE24</f>
        <v>388178706</v>
      </c>
      <c r="AF71" s="76">
        <f>资产资本表!AF35+资产资本表!AF36-资产资本表!AF24</f>
        <v>310875968</v>
      </c>
      <c r="AG71" s="76">
        <f>资产资本表!AG35+资产资本表!AG36-资产资本表!AG24</f>
        <v>343394143</v>
      </c>
      <c r="AH71" s="76">
        <f>资产资本表!AH35+资产资本表!AH36-资产资本表!AH24</f>
        <v>247380216</v>
      </c>
      <c r="AI71" s="76">
        <f>资产资本表!AI35+资产资本表!AI36-资产资本表!AI24</f>
        <v>248598062</v>
      </c>
      <c r="AJ71" s="76">
        <f>资产资本表!AJ35+资产资本表!AJ36-资产资本表!AJ24</f>
        <v>348555623</v>
      </c>
      <c r="AK71" s="76">
        <f>资产资本表!AK35+资产资本表!AK36-资产资本表!AK24</f>
        <v>447688887</v>
      </c>
      <c r="AL71" s="76">
        <f>资产资本表!AL35+资产资本表!AL36-资产资本表!AL24</f>
        <v>489172652</v>
      </c>
      <c r="AM71" s="76">
        <f>资产资本表!AM35+资产资本表!AM36-资产资本表!AM24</f>
        <v>409085759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5.4602550320094707</v>
      </c>
      <c r="F72" s="155">
        <f t="shared" ref="F72:BQ72" si="36">F67/(F71+J71)*2</f>
        <v>3.9818627971818858</v>
      </c>
      <c r="G72" s="155">
        <f t="shared" si="36"/>
        <v>2.1047566381235341</v>
      </c>
      <c r="H72" s="155">
        <f t="shared" si="36"/>
        <v>1.1151772201493784</v>
      </c>
      <c r="I72" s="155">
        <f t="shared" si="36"/>
        <v>4.1566199636305727</v>
      </c>
      <c r="J72" s="155">
        <f t="shared" si="36"/>
        <v>2.716871316737111</v>
      </c>
      <c r="K72" s="155">
        <f t="shared" si="36"/>
        <v>1.7803405678278073</v>
      </c>
      <c r="L72" s="155">
        <f t="shared" si="36"/>
        <v>0.87648136209968752</v>
      </c>
      <c r="M72" s="155">
        <f t="shared" si="36"/>
        <v>3.4131866002076019</v>
      </c>
      <c r="N72" s="155">
        <f t="shared" si="36"/>
        <v>2.6219359382410152</v>
      </c>
      <c r="O72" s="155">
        <f t="shared" si="36"/>
        <v>1.8430371477037146</v>
      </c>
      <c r="P72" s="155">
        <f t="shared" si="36"/>
        <v>0.96704488952311163</v>
      </c>
      <c r="Q72" s="155">
        <f t="shared" si="36"/>
        <v>3.7187149791297749</v>
      </c>
      <c r="R72" s="155">
        <f t="shared" si="36"/>
        <v>3.0159623212899511</v>
      </c>
      <c r="S72" s="155">
        <f t="shared" si="36"/>
        <v>2.7069199238225701</v>
      </c>
      <c r="T72" s="155">
        <f t="shared" si="36"/>
        <v>1.7068121838831498</v>
      </c>
      <c r="U72" s="155">
        <f t="shared" si="36"/>
        <v>5.6771170654050236</v>
      </c>
      <c r="V72" s="155">
        <f t="shared" si="36"/>
        <v>4.2868862994387014</v>
      </c>
      <c r="W72" s="155">
        <f t="shared" si="36"/>
        <v>3.241529737576311</v>
      </c>
      <c r="X72" s="155">
        <f t="shared" si="36"/>
        <v>1.9037398677658464</v>
      </c>
      <c r="Y72" s="155">
        <f t="shared" si="36"/>
        <v>9.7600238726610797</v>
      </c>
      <c r="Z72" s="155">
        <f t="shared" si="36"/>
        <v>10.340570125621134</v>
      </c>
      <c r="AA72" s="155">
        <f t="shared" si="36"/>
        <v>3.6290243832354632</v>
      </c>
      <c r="AB72" s="155">
        <f t="shared" si="36"/>
        <v>1.899745299740929</v>
      </c>
      <c r="AC72" s="155">
        <f t="shared" si="36"/>
        <v>7.1818285162805662</v>
      </c>
      <c r="AD72" s="155">
        <f t="shared" si="36"/>
        <v>8.0146959687978274</v>
      </c>
      <c r="AE72" s="155">
        <f t="shared" si="36"/>
        <v>4.055988097857238</v>
      </c>
      <c r="AF72" s="155">
        <f t="shared" si="36"/>
        <v>1.9341876297825107</v>
      </c>
      <c r="AG72" s="155">
        <f t="shared" si="36"/>
        <v>6.0006381277070249</v>
      </c>
      <c r="AH72" s="155">
        <f t="shared" si="36"/>
        <v>4.6412220772182238</v>
      </c>
      <c r="AI72" s="155">
        <f t="shared" si="36"/>
        <v>3.2816913402526895</v>
      </c>
      <c r="AJ72" s="155">
        <f t="shared" si="36"/>
        <v>2.9288473937486872</v>
      </c>
      <c r="AK72" s="155">
        <f t="shared" si="36"/>
        <v>8.8948662779739713</v>
      </c>
      <c r="AL72" s="155">
        <f t="shared" si="36"/>
        <v>5.9211303701417881</v>
      </c>
      <c r="AM72" s="155">
        <f t="shared" si="36"/>
        <v>4.5423931122471561</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66.846694496918673</v>
      </c>
      <c r="F73" s="83">
        <f t="shared" ref="F73:BQ73" si="38">F62/F72</f>
        <v>91.665639574101903</v>
      </c>
      <c r="G73" s="83">
        <f t="shared" si="38"/>
        <v>173.41672352458315</v>
      </c>
      <c r="H73" s="83">
        <f t="shared" si="38"/>
        <v>327.30223807038323</v>
      </c>
      <c r="I73" s="83">
        <f t="shared" si="38"/>
        <v>87.811732415679671</v>
      </c>
      <c r="J73" s="83">
        <f t="shared" si="38"/>
        <v>134.34570778212461</v>
      </c>
      <c r="K73" s="83">
        <f t="shared" si="38"/>
        <v>205.01695383223017</v>
      </c>
      <c r="L73" s="83">
        <f t="shared" si="38"/>
        <v>416.43783402947747</v>
      </c>
      <c r="M73" s="83">
        <f t="shared" si="38"/>
        <v>106.93819083251979</v>
      </c>
      <c r="N73" s="83">
        <f t="shared" si="38"/>
        <v>139.21011367076667</v>
      </c>
      <c r="O73" s="83">
        <f t="shared" si="38"/>
        <v>198.04267128026285</v>
      </c>
      <c r="P73" s="83">
        <f t="shared" si="38"/>
        <v>377.43852840171263</v>
      </c>
      <c r="Q73" s="83">
        <f t="shared" si="38"/>
        <v>98.152184840316664</v>
      </c>
      <c r="R73" s="83">
        <f t="shared" si="38"/>
        <v>121.02273208900256</v>
      </c>
      <c r="S73" s="83">
        <f t="shared" si="38"/>
        <v>134.83960008856346</v>
      </c>
      <c r="T73" s="83">
        <f t="shared" si="38"/>
        <v>213.84895388407205</v>
      </c>
      <c r="U73" s="83">
        <f t="shared" si="38"/>
        <v>64.293195964589415</v>
      </c>
      <c r="V73" s="83">
        <f t="shared" si="38"/>
        <v>85.143382517000944</v>
      </c>
      <c r="W73" s="83">
        <f t="shared" si="38"/>
        <v>112.60115733903777</v>
      </c>
      <c r="X73" s="83">
        <f t="shared" si="38"/>
        <v>191.72787531541772</v>
      </c>
      <c r="Y73" s="83">
        <f t="shared" si="38"/>
        <v>37.397449510590427</v>
      </c>
      <c r="Z73" s="83">
        <f t="shared" si="38"/>
        <v>35.297860327413552</v>
      </c>
      <c r="AA73" s="83">
        <f t="shared" si="38"/>
        <v>100.57799602729139</v>
      </c>
      <c r="AB73" s="83">
        <f t="shared" si="38"/>
        <v>192.13101885277757</v>
      </c>
      <c r="AC73" s="83">
        <f t="shared" si="38"/>
        <v>50.82271167747566</v>
      </c>
      <c r="AD73" s="83">
        <f t="shared" si="38"/>
        <v>45.541340734693961</v>
      </c>
      <c r="AE73" s="83">
        <f t="shared" si="38"/>
        <v>89.990402139697608</v>
      </c>
      <c r="AF73" s="83">
        <f t="shared" si="38"/>
        <v>188.70971687531801</v>
      </c>
      <c r="AG73" s="83">
        <f t="shared" si="38"/>
        <v>60.826864115446085</v>
      </c>
      <c r="AH73" s="83">
        <f t="shared" si="38"/>
        <v>78.643080190372501</v>
      </c>
      <c r="AI73" s="83">
        <f t="shared" si="38"/>
        <v>111.2231353153082</v>
      </c>
      <c r="AJ73" s="83">
        <f t="shared" si="38"/>
        <v>124.62240292172737</v>
      </c>
      <c r="AK73" s="83">
        <f t="shared" si="38"/>
        <v>41.034905820207328</v>
      </c>
      <c r="AL73" s="83">
        <f t="shared" si="38"/>
        <v>61.643635114093875</v>
      </c>
      <c r="AM73" s="83">
        <f t="shared" si="38"/>
        <v>80.3541197295079</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315.89600323749198</v>
      </c>
      <c r="F74" s="256">
        <f t="shared" ref="F74:BQ74" si="40">F66+F70</f>
        <v>398.90315932025408</v>
      </c>
      <c r="G74" s="256">
        <f t="shared" si="40"/>
        <v>610.55766103232941</v>
      </c>
      <c r="H74" s="256">
        <f t="shared" si="40"/>
        <v>1211.0947098316019</v>
      </c>
      <c r="I74" s="256">
        <f t="shared" si="40"/>
        <v>331.91115793726556</v>
      </c>
      <c r="J74" s="256">
        <f t="shared" si="40"/>
        <v>427.35810904689697</v>
      </c>
      <c r="K74" s="256">
        <f t="shared" si="40"/>
        <v>661.59011214343082</v>
      </c>
      <c r="L74" s="256">
        <f t="shared" si="40"/>
        <v>1379.9864501151237</v>
      </c>
      <c r="M74" s="256">
        <f t="shared" si="40"/>
        <v>345.78617134047454</v>
      </c>
      <c r="N74" s="256">
        <f t="shared" si="40"/>
        <v>430.77362416909477</v>
      </c>
      <c r="O74" s="256">
        <f t="shared" si="40"/>
        <v>659.75566567619853</v>
      </c>
      <c r="P74" s="256">
        <f t="shared" si="40"/>
        <v>1357.3705503086726</v>
      </c>
      <c r="Q74" s="256">
        <f t="shared" si="40"/>
        <v>306.08541397941337</v>
      </c>
      <c r="R74" s="256">
        <f t="shared" si="40"/>
        <v>382.49808660161455</v>
      </c>
      <c r="S74" s="256">
        <f t="shared" si="40"/>
        <v>557.2795872049079</v>
      </c>
      <c r="T74" s="256">
        <f t="shared" si="40"/>
        <v>1099.237550361177</v>
      </c>
      <c r="U74" s="256">
        <f t="shared" si="40"/>
        <v>307.95738036028752</v>
      </c>
      <c r="V74" s="256">
        <f t="shared" si="40"/>
        <v>402.70033978992075</v>
      </c>
      <c r="W74" s="256">
        <f t="shared" si="40"/>
        <v>579.87687315391986</v>
      </c>
      <c r="X74" s="256">
        <f t="shared" si="40"/>
        <v>1198.1149641195493</v>
      </c>
      <c r="Y74" s="256">
        <f t="shared" si="40"/>
        <v>282.37620350155237</v>
      </c>
      <c r="Z74" s="256">
        <f t="shared" si="40"/>
        <v>355.93982164694216</v>
      </c>
      <c r="AA74" s="256">
        <f t="shared" si="40"/>
        <v>514.91104459191035</v>
      </c>
      <c r="AB74" s="256">
        <f t="shared" si="40"/>
        <v>1042.0409122393346</v>
      </c>
      <c r="AC74" s="256">
        <f t="shared" si="40"/>
        <v>253.53763665024636</v>
      </c>
      <c r="AD74" s="256">
        <f t="shared" si="40"/>
        <v>332.72724359114341</v>
      </c>
      <c r="AE74" s="256">
        <f t="shared" si="40"/>
        <v>486.46055153731322</v>
      </c>
      <c r="AF74" s="256">
        <f t="shared" si="40"/>
        <v>903.31511860642354</v>
      </c>
      <c r="AG74" s="256">
        <f t="shared" si="40"/>
        <v>229.80590545668497</v>
      </c>
      <c r="AH74" s="256">
        <f t="shared" si="40"/>
        <v>284.79815877669137</v>
      </c>
      <c r="AI74" s="256">
        <f t="shared" si="40"/>
        <v>377.46549880489226</v>
      </c>
      <c r="AJ74" s="256">
        <f t="shared" si="40"/>
        <v>490.95116012752419</v>
      </c>
      <c r="AK74" s="256">
        <f t="shared" si="40"/>
        <v>116.72203145754199</v>
      </c>
      <c r="AL74" s="256">
        <f t="shared" si="40"/>
        <v>137.85205024727847</v>
      </c>
      <c r="AM74" s="256">
        <f t="shared" si="40"/>
        <v>153.82604224481915</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249.04930874057331</v>
      </c>
      <c r="F75" s="256">
        <f t="shared" ref="F75:BQ75" si="42">F74-F73</f>
        <v>307.2375197461522</v>
      </c>
      <c r="G75" s="256">
        <f t="shared" si="42"/>
        <v>437.14093750774623</v>
      </c>
      <c r="H75" s="256">
        <f t="shared" si="42"/>
        <v>883.79247176121862</v>
      </c>
      <c r="I75" s="256">
        <f t="shared" si="42"/>
        <v>244.09942552158589</v>
      </c>
      <c r="J75" s="256">
        <f t="shared" si="42"/>
        <v>293.01240126477239</v>
      </c>
      <c r="K75" s="256">
        <f t="shared" si="42"/>
        <v>456.57315831120064</v>
      </c>
      <c r="L75" s="256">
        <f t="shared" si="42"/>
        <v>963.54861608564624</v>
      </c>
      <c r="M75" s="256">
        <f t="shared" si="42"/>
        <v>238.84798050795473</v>
      </c>
      <c r="N75" s="256">
        <f t="shared" si="42"/>
        <v>291.56351049832813</v>
      </c>
      <c r="O75" s="256">
        <f t="shared" si="42"/>
        <v>461.71299439593565</v>
      </c>
      <c r="P75" s="256">
        <f t="shared" si="42"/>
        <v>979.93202190696002</v>
      </c>
      <c r="Q75" s="256">
        <f t="shared" si="42"/>
        <v>207.93322913909671</v>
      </c>
      <c r="R75" s="256">
        <f t="shared" si="42"/>
        <v>261.475354512612</v>
      </c>
      <c r="S75" s="256">
        <f t="shared" si="42"/>
        <v>422.43998711634447</v>
      </c>
      <c r="T75" s="256">
        <f t="shared" si="42"/>
        <v>885.38859647710501</v>
      </c>
      <c r="U75" s="256">
        <f t="shared" si="42"/>
        <v>243.6641843956981</v>
      </c>
      <c r="V75" s="256">
        <f t="shared" si="42"/>
        <v>317.55695727291982</v>
      </c>
      <c r="W75" s="256">
        <f t="shared" si="42"/>
        <v>467.27571581488212</v>
      </c>
      <c r="X75" s="256">
        <f t="shared" si="42"/>
        <v>1006.3870888041316</v>
      </c>
      <c r="Y75" s="256">
        <f t="shared" si="42"/>
        <v>244.97875399096193</v>
      </c>
      <c r="Z75" s="256">
        <f t="shared" si="42"/>
        <v>320.6419613195286</v>
      </c>
      <c r="AA75" s="256">
        <f t="shared" si="42"/>
        <v>414.33304856461893</v>
      </c>
      <c r="AB75" s="256">
        <f t="shared" si="42"/>
        <v>849.90989338655709</v>
      </c>
      <c r="AC75" s="256">
        <f t="shared" si="42"/>
        <v>202.71492497277069</v>
      </c>
      <c r="AD75" s="256">
        <f t="shared" si="42"/>
        <v>287.18590285644945</v>
      </c>
      <c r="AE75" s="256">
        <f t="shared" si="42"/>
        <v>396.47014939761561</v>
      </c>
      <c r="AF75" s="256">
        <f t="shared" si="42"/>
        <v>714.60540173110553</v>
      </c>
      <c r="AG75" s="256">
        <f t="shared" si="42"/>
        <v>168.97904134123888</v>
      </c>
      <c r="AH75" s="256">
        <f t="shared" si="42"/>
        <v>206.15507858631887</v>
      </c>
      <c r="AI75" s="256">
        <f t="shared" si="42"/>
        <v>266.24236348958408</v>
      </c>
      <c r="AJ75" s="256">
        <f t="shared" si="42"/>
        <v>366.32875720579682</v>
      </c>
      <c r="AK75" s="256">
        <f t="shared" si="42"/>
        <v>75.68712563733466</v>
      </c>
      <c r="AL75" s="256">
        <f t="shared" si="42"/>
        <v>76.208415133184587</v>
      </c>
      <c r="AM75" s="256">
        <f t="shared" si="42"/>
        <v>73.471922515311249</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-7653954780</v>
      </c>
      <c r="F76" s="120">
        <f t="shared" ref="F76:BQ76" si="44">F71-F64-F68</f>
        <v>-6884007615</v>
      </c>
      <c r="G76" s="120">
        <f t="shared" si="44"/>
        <v>-5911892675</v>
      </c>
      <c r="H76" s="120">
        <f t="shared" si="44"/>
        <v>-5692225183</v>
      </c>
      <c r="I76" s="120">
        <f t="shared" si="44"/>
        <v>-5217014401</v>
      </c>
      <c r="J76" s="120">
        <f t="shared" si="44"/>
        <v>-4809157988</v>
      </c>
      <c r="K76" s="120">
        <f t="shared" si="44"/>
        <v>-4776446667</v>
      </c>
      <c r="L76" s="120">
        <f t="shared" si="44"/>
        <v>-4721102328</v>
      </c>
      <c r="M76" s="120">
        <f t="shared" si="44"/>
        <v>-4707719911</v>
      </c>
      <c r="N76" s="120">
        <f t="shared" si="44"/>
        <v>-4373225155</v>
      </c>
      <c r="O76" s="120">
        <f t="shared" si="44"/>
        <v>-4582148117</v>
      </c>
      <c r="P76" s="120">
        <f t="shared" si="44"/>
        <v>-4736123939</v>
      </c>
      <c r="Q76" s="120">
        <f t="shared" si="44"/>
        <v>-4266236828</v>
      </c>
      <c r="R76" s="120">
        <f t="shared" si="44"/>
        <v>-4091463511</v>
      </c>
      <c r="S76" s="120">
        <f t="shared" si="44"/>
        <v>-4256531553</v>
      </c>
      <c r="T76" s="120">
        <f t="shared" si="44"/>
        <v>-4376530105</v>
      </c>
      <c r="U76" s="120">
        <f t="shared" si="44"/>
        <v>-3864780284</v>
      </c>
      <c r="V76" s="120">
        <f t="shared" si="44"/>
        <v>-3707381145</v>
      </c>
      <c r="W76" s="120">
        <f t="shared" si="44"/>
        <v>-3897660358</v>
      </c>
      <c r="X76" s="120">
        <f t="shared" si="44"/>
        <v>-3934816488</v>
      </c>
      <c r="Y76" s="120">
        <f t="shared" si="44"/>
        <v>-3750270089</v>
      </c>
      <c r="Z76" s="120">
        <f t="shared" si="44"/>
        <v>-3552129721</v>
      </c>
      <c r="AA76" s="120">
        <f t="shared" si="44"/>
        <v>-3002262558</v>
      </c>
      <c r="AB76" s="120">
        <f t="shared" si="44"/>
        <v>-2888024535</v>
      </c>
      <c r="AC76" s="120">
        <f t="shared" si="44"/>
        <v>-2862598161</v>
      </c>
      <c r="AD76" s="120">
        <f t="shared" si="44"/>
        <v>-2707736962</v>
      </c>
      <c r="AE76" s="120">
        <f t="shared" si="44"/>
        <v>-2341789460</v>
      </c>
      <c r="AF76" s="120">
        <f t="shared" si="44"/>
        <v>-2137772534</v>
      </c>
      <c r="AG76" s="120">
        <f t="shared" si="44"/>
        <v>-2035475719</v>
      </c>
      <c r="AH76" s="120">
        <f t="shared" si="44"/>
        <v>-1893676707</v>
      </c>
      <c r="AI76" s="120">
        <f t="shared" si="44"/>
        <v>-1692970831</v>
      </c>
      <c r="AJ76" s="120">
        <f t="shared" si="44"/>
        <v>-1423035783</v>
      </c>
      <c r="AK76" s="120">
        <f t="shared" si="44"/>
        <v>-1253212182</v>
      </c>
      <c r="AL76" s="120">
        <f t="shared" si="44"/>
        <v>-925892537</v>
      </c>
      <c r="AM76" s="120">
        <f t="shared" si="44"/>
        <v>-551812563</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11434948841</v>
      </c>
      <c r="F81" s="76">
        <f>股权价值增加表!F4</f>
        <v>7910226267</v>
      </c>
      <c r="G81" s="76">
        <f>股权价值增加表!G4</f>
        <v>4941976922</v>
      </c>
      <c r="H81" s="76">
        <f>股权价值增加表!H4</f>
        <v>2434199647</v>
      </c>
      <c r="I81" s="76">
        <f>股权价值增加表!I4</f>
        <v>8565943415</v>
      </c>
      <c r="J81" s="76">
        <f>股权价值增加表!J4</f>
        <v>6252875047</v>
      </c>
      <c r="K81" s="76">
        <f>股权价值增加表!K4</f>
        <v>4096412765</v>
      </c>
      <c r="L81" s="76">
        <f>股权价值增加表!L4</f>
        <v>2004327919</v>
      </c>
      <c r="M81" s="76">
        <f>股权价值增加表!M4</f>
        <v>7763339982</v>
      </c>
      <c r="N81" s="76">
        <f>股权价值增加表!N4</f>
        <v>5818520501</v>
      </c>
      <c r="O81" s="76">
        <f>股权价值增加表!O4</f>
        <v>3835606919</v>
      </c>
      <c r="P81" s="76">
        <f>股权价值增加表!P4</f>
        <v>1892650277</v>
      </c>
      <c r="Q81" s="76">
        <f>股权价值增加表!Q4</f>
        <v>8023421289</v>
      </c>
      <c r="R81" s="76">
        <f>股权价值增加表!R4</f>
        <v>5986277356</v>
      </c>
      <c r="S81" s="76">
        <f>股权价值增加表!S4</f>
        <v>3967165098</v>
      </c>
      <c r="T81" s="76">
        <f>股权价值增加表!T4</f>
        <v>1940287290</v>
      </c>
      <c r="U81" s="76">
        <f>股权价值增加表!U4</f>
        <v>6831281981</v>
      </c>
      <c r="V81" s="76">
        <f>股权价值增加表!V4</f>
        <v>4929174842</v>
      </c>
      <c r="W81" s="76">
        <f>股权价值增加表!W4</f>
        <v>3181354078</v>
      </c>
      <c r="X81" s="76">
        <f>股权价值增加表!X4</f>
        <v>1461330801</v>
      </c>
      <c r="Y81" s="76">
        <f>股权价值增加表!Y4</f>
        <v>5885278617</v>
      </c>
      <c r="Z81" s="76">
        <f>股权价值增加表!Z4</f>
        <v>4353708800</v>
      </c>
      <c r="AA81" s="76">
        <f>股权价值增加表!AA4</f>
        <v>2775582920</v>
      </c>
      <c r="AB81" s="76">
        <f>股权价值增加表!AB4</f>
        <v>1235735236</v>
      </c>
      <c r="AC81" s="76">
        <f>股权价值增加表!AC4</f>
        <v>5147848758</v>
      </c>
      <c r="AD81" s="76">
        <f>股权价值增加表!AD4</f>
        <v>3647054388</v>
      </c>
      <c r="AE81" s="76">
        <f>股权价值增加表!AE4</f>
        <v>2311450599</v>
      </c>
      <c r="AF81" s="76">
        <f>股权价值增加表!AF4</f>
        <v>1075326251</v>
      </c>
      <c r="AG81" s="76">
        <f>股权价值增加表!AG4</f>
        <v>4026399958</v>
      </c>
      <c r="AH81" s="76">
        <f>股权价值增加表!AH4</f>
        <v>2848000427</v>
      </c>
      <c r="AI81" s="76">
        <f>股权价值增加表!AI4</f>
        <v>1785904167</v>
      </c>
      <c r="AJ81" s="76">
        <f>股权价值增加表!AJ4</f>
        <v>813017762</v>
      </c>
      <c r="AK81" s="76">
        <f>股权价值增加表!AK4</f>
        <v>3245985345</v>
      </c>
      <c r="AL81" s="76">
        <f>股权价值增加表!AL4</f>
        <v>2347475020</v>
      </c>
      <c r="AM81" s="76">
        <f>股权价值增加表!AM4</f>
        <v>1471579835</v>
      </c>
      <c r="AN81" s="76">
        <f>股权价值增加表!AN4</f>
        <v>658678544</v>
      </c>
      <c r="AO81" s="76">
        <f>股权价值增加表!AO4</f>
        <v>2621391286</v>
      </c>
      <c r="AP81" s="76">
        <f>股权价值增加表!AP4</f>
        <v>2029326550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16211029070</v>
      </c>
      <c r="F82" s="76">
        <f>投资和筹资活动现金流表!F34</f>
        <v>14173611677</v>
      </c>
      <c r="G82" s="76">
        <f>投资和筹资活动现金流表!G34</f>
        <v>14017657937</v>
      </c>
      <c r="H82" s="76">
        <f>投资和筹资活动现金流表!H34</f>
        <v>13873439037</v>
      </c>
      <c r="I82" s="76">
        <f>投资和筹资活动现金流表!I34</f>
        <v>13548090050</v>
      </c>
      <c r="J82" s="76">
        <f>投资和筹资活动现金流表!J34</f>
        <v>13498356112</v>
      </c>
      <c r="K82" s="76">
        <f>投资和筹资活动现金流表!K34</f>
        <v>13414405048</v>
      </c>
      <c r="L82" s="76">
        <f>投资和筹资活动现金流表!L34</f>
        <v>13276747053</v>
      </c>
      <c r="M82" s="76">
        <f>投资和筹资活动现金流表!M34</f>
        <v>12979892276</v>
      </c>
      <c r="N82" s="76">
        <f>投资和筹资活动现金流表!N34</f>
        <v>12910547669</v>
      </c>
      <c r="O82" s="76">
        <f>投资和筹资活动现金流表!O34</f>
        <v>12647688447</v>
      </c>
      <c r="P82" s="76">
        <f>投资和筹资活动现金流表!P34</f>
        <v>12341378439</v>
      </c>
      <c r="Q82" s="76">
        <f>投资和筹资活动现金流表!Q34</f>
        <v>11933548035</v>
      </c>
      <c r="R82" s="76">
        <f>投资和筹资活动现金流表!R34</f>
        <v>11411654276</v>
      </c>
      <c r="S82" s="76">
        <f>投资和筹资活动现金流表!S34</f>
        <v>10387417854</v>
      </c>
      <c r="T82" s="76">
        <f>投资和筹资活动现金流表!T34</f>
        <v>9809715469</v>
      </c>
      <c r="U82" s="76">
        <f>投资和筹资活动现金流表!U34</f>
        <v>9603048891</v>
      </c>
      <c r="V82" s="76">
        <f>投资和筹资活动现金流表!V34</f>
        <v>9161974936</v>
      </c>
      <c r="W82" s="76">
        <f>投资和筹资活动现金流表!W34</f>
        <v>8577347926</v>
      </c>
      <c r="X82" s="76">
        <f>投资和筹资活动现金流表!X34</f>
        <v>7908293897</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0.70538081152179444</v>
      </c>
      <c r="F83" s="155">
        <f t="shared" ref="F83:BQ83" si="46">F81/F82</f>
        <v>0.55809531453695693</v>
      </c>
      <c r="G83" s="155">
        <f t="shared" si="46"/>
        <v>0.35255368223499833</v>
      </c>
      <c r="H83" s="155">
        <f t="shared" si="46"/>
        <v>0.17545755169342445</v>
      </c>
      <c r="I83" s="155">
        <f t="shared" si="46"/>
        <v>0.63226206671101959</v>
      </c>
      <c r="J83" s="155">
        <f t="shared" si="46"/>
        <v>0.46323233696888555</v>
      </c>
      <c r="K83" s="155">
        <f t="shared" si="46"/>
        <v>0.30537416682603813</v>
      </c>
      <c r="L83" s="155">
        <f t="shared" si="46"/>
        <v>0.15096528622552194</v>
      </c>
      <c r="M83" s="155">
        <f t="shared" si="46"/>
        <v>0.59810511650813336</v>
      </c>
      <c r="N83" s="155">
        <f t="shared" si="46"/>
        <v>0.45067960323411127</v>
      </c>
      <c r="O83" s="155">
        <f t="shared" si="46"/>
        <v>0.30326544926158394</v>
      </c>
      <c r="P83" s="155">
        <f t="shared" si="46"/>
        <v>0.15335809418330729</v>
      </c>
      <c r="Q83" s="155">
        <f t="shared" si="46"/>
        <v>0.67234164269235286</v>
      </c>
      <c r="R83" s="155">
        <f t="shared" si="46"/>
        <v>0.52457577238295927</v>
      </c>
      <c r="S83" s="155">
        <f t="shared" si="46"/>
        <v>0.38192023790323587</v>
      </c>
      <c r="T83" s="155">
        <f t="shared" si="46"/>
        <v>0.19779241264760072</v>
      </c>
      <c r="U83" s="155">
        <f t="shared" si="46"/>
        <v>0.71136594830859323</v>
      </c>
      <c r="V83" s="155">
        <f t="shared" si="46"/>
        <v>0.5380035283257405</v>
      </c>
      <c r="W83" s="155">
        <f t="shared" si="46"/>
        <v>0.37090183416211348</v>
      </c>
      <c r="X83" s="155">
        <f t="shared" si="46"/>
        <v>0.18478458439112305</v>
      </c>
      <c r="Y83" s="155">
        <f t="shared" si="46"/>
        <v>1.0909609116373715</v>
      </c>
      <c r="Z83" s="155">
        <f t="shared" si="46"/>
        <v>0.79139307246679602</v>
      </c>
      <c r="AA83" s="155">
        <f t="shared" si="46"/>
        <v>0.49760646604889486</v>
      </c>
      <c r="AB83" s="155">
        <f t="shared" si="46"/>
        <v>0.21693708705299347</v>
      </c>
      <c r="AC83" s="155">
        <f t="shared" si="46"/>
        <v>0.89069241126087151</v>
      </c>
      <c r="AD83" s="155">
        <f t="shared" si="46"/>
        <v>0.62438946311877364</v>
      </c>
      <c r="AE83" s="155">
        <f t="shared" si="46"/>
        <v>0.42534337344791467</v>
      </c>
      <c r="AF83" s="155">
        <f t="shared" si="46"/>
        <v>0.19481775993537542</v>
      </c>
      <c r="AG83" s="155">
        <f t="shared" si="46"/>
        <v>0.72056838073938034</v>
      </c>
      <c r="AH83" s="155">
        <f t="shared" si="46"/>
        <v>0.50970406263213464</v>
      </c>
      <c r="AI83" s="155">
        <f t="shared" si="46"/>
        <v>0.34508654336259986</v>
      </c>
      <c r="AJ83" s="155">
        <f t="shared" si="46"/>
        <v>0.17893946229324006</v>
      </c>
      <c r="AK83" s="155">
        <f t="shared" si="46"/>
        <v>0.72477036266096573</v>
      </c>
      <c r="AL83" s="155">
        <f t="shared" si="46"/>
        <v>0.51926367174787791</v>
      </c>
      <c r="AM83" s="155">
        <f t="shared" si="46"/>
        <v>0.40641548637333064</v>
      </c>
      <c r="AN83" s="155">
        <f t="shared" si="46"/>
        <v>0.17874621211387332</v>
      </c>
      <c r="AO83" s="155">
        <f t="shared" si="46"/>
        <v>0.74394456326172476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11065168592</v>
      </c>
      <c r="F84" s="76">
        <f>资产资本表!F52</f>
        <v>9200960260</v>
      </c>
      <c r="G84" s="76">
        <f>资产资本表!G52</f>
        <v>9313654914</v>
      </c>
      <c r="H84" s="76">
        <f>资产资本表!H52</f>
        <v>9456339473</v>
      </c>
      <c r="I84" s="76">
        <f>资产资本表!I52</f>
        <v>9585755344</v>
      </c>
      <c r="J84" s="76">
        <f>资产资本表!J52</f>
        <v>9080085844</v>
      </c>
      <c r="K84" s="76">
        <f>资产资本表!K52</f>
        <v>6778494527</v>
      </c>
      <c r="L84" s="76">
        <f>资产资本表!L52</f>
        <v>5950061583</v>
      </c>
      <c r="M84" s="76">
        <f>资产资本表!M52</f>
        <v>6039146034</v>
      </c>
      <c r="N84" s="76">
        <f>资产资本表!N52</f>
        <v>5922117108</v>
      </c>
      <c r="O84" s="76">
        <f>资产资本表!O52</f>
        <v>5985751031</v>
      </c>
      <c r="P84" s="76">
        <f>资产资本表!P52</f>
        <v>6039351072</v>
      </c>
      <c r="Q84" s="76">
        <f>资产资本表!Q52</f>
        <v>5960676721</v>
      </c>
      <c r="R84" s="76">
        <f>资产资本表!R52</f>
        <v>5647760322</v>
      </c>
      <c r="S84" s="76">
        <f>资产资本表!S52</f>
        <v>5747509870</v>
      </c>
      <c r="T84" s="76">
        <f>资产资本表!T52</f>
        <v>5129743300</v>
      </c>
      <c r="U84" s="76">
        <f>资产资本表!U52</f>
        <v>5101749181</v>
      </c>
      <c r="V84" s="76">
        <f>资产资本表!V52</f>
        <v>4743066811</v>
      </c>
      <c r="W84" s="76">
        <f>资产资本表!W52</f>
        <v>2223412019</v>
      </c>
      <c r="X84" s="76">
        <f>资产资本表!X52</f>
        <v>2213459410</v>
      </c>
      <c r="Y84" s="76">
        <f>资产资本表!Y52</f>
        <v>2085341425</v>
      </c>
      <c r="Z84" s="76">
        <f>资产资本表!Z52</f>
        <v>1730854657</v>
      </c>
      <c r="AA84" s="76">
        <f>资产资本表!AA52</f>
        <v>1722671203</v>
      </c>
      <c r="AB84" s="76">
        <f>资产资本表!AB52</f>
        <v>1721301843</v>
      </c>
      <c r="AC84" s="76">
        <f>资产资本表!AC52</f>
        <v>1511918837</v>
      </c>
      <c r="AD84" s="76">
        <f>资产资本表!AD52</f>
        <v>1385711008</v>
      </c>
      <c r="AE84" s="76">
        <f>资产资本表!AE52</f>
        <v>1383298110</v>
      </c>
      <c r="AF84" s="76">
        <f>资产资本表!AF52</f>
        <v>1215969770</v>
      </c>
      <c r="AG84" s="76">
        <f>资产资本表!AG52</f>
        <v>1008002267</v>
      </c>
      <c r="AH84" s="76">
        <f>资产资本表!AH52</f>
        <v>833034861</v>
      </c>
      <c r="AI84" s="76">
        <f>资产资本表!AI52</f>
        <v>774499539</v>
      </c>
      <c r="AJ84" s="76">
        <f>资产资本表!AJ52</f>
        <v>766260798</v>
      </c>
      <c r="AK84" s="76">
        <f>资产资本表!AK52</f>
        <v>745881028</v>
      </c>
      <c r="AL84" s="76">
        <f>资产资本表!AL52</f>
        <v>646026284</v>
      </c>
      <c r="AM84" s="76">
        <f>资产资本表!AM52</f>
        <v>471346049</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1.0334184017103316</v>
      </c>
      <c r="F85" s="155">
        <f t="shared" ref="F85:BQ85" si="48">F81/F84</f>
        <v>0.85971746898948131</v>
      </c>
      <c r="G85" s="155">
        <f t="shared" si="48"/>
        <v>0.5306162798206504</v>
      </c>
      <c r="H85" s="155">
        <f t="shared" si="48"/>
        <v>0.25741457928305067</v>
      </c>
      <c r="I85" s="155">
        <f t="shared" si="48"/>
        <v>0.89361172986348647</v>
      </c>
      <c r="J85" s="155">
        <f t="shared" si="48"/>
        <v>0.68863611582833406</v>
      </c>
      <c r="K85" s="155">
        <f t="shared" si="48"/>
        <v>0.60432486132182139</v>
      </c>
      <c r="L85" s="155">
        <f t="shared" si="48"/>
        <v>0.33685834861383485</v>
      </c>
      <c r="M85" s="155">
        <f t="shared" si="48"/>
        <v>1.2855029400337232</v>
      </c>
      <c r="N85" s="155">
        <f t="shared" si="48"/>
        <v>0.9825068290425979</v>
      </c>
      <c r="O85" s="155">
        <f t="shared" si="48"/>
        <v>0.64078958498867111</v>
      </c>
      <c r="P85" s="155">
        <f t="shared" si="48"/>
        <v>0.31338636460046482</v>
      </c>
      <c r="Q85" s="155">
        <f t="shared" si="48"/>
        <v>1.3460587890520492</v>
      </c>
      <c r="R85" s="155">
        <f t="shared" si="48"/>
        <v>1.0599382790167915</v>
      </c>
      <c r="S85" s="155">
        <f t="shared" si="48"/>
        <v>0.6902406760025277</v>
      </c>
      <c r="T85" s="155">
        <f t="shared" si="48"/>
        <v>0.37824257014966034</v>
      </c>
      <c r="U85" s="155">
        <f t="shared" si="48"/>
        <v>1.3390078066638691</v>
      </c>
      <c r="V85" s="155">
        <f t="shared" si="48"/>
        <v>1.0392379104946157</v>
      </c>
      <c r="W85" s="155">
        <f t="shared" si="48"/>
        <v>1.4308432493905665</v>
      </c>
      <c r="X85" s="155">
        <f t="shared" si="48"/>
        <v>0.66020221305978233</v>
      </c>
      <c r="Y85" s="155">
        <f t="shared" si="48"/>
        <v>2.8222134497711808</v>
      </c>
      <c r="Z85" s="155">
        <f t="shared" si="48"/>
        <v>2.5153520443744575</v>
      </c>
      <c r="AA85" s="155">
        <f t="shared" si="48"/>
        <v>1.6112087525271066</v>
      </c>
      <c r="AB85" s="155">
        <f t="shared" si="48"/>
        <v>0.71790734496994324</v>
      </c>
      <c r="AC85" s="155">
        <f t="shared" si="48"/>
        <v>3.404844646432565</v>
      </c>
      <c r="AD85" s="155">
        <f t="shared" si="48"/>
        <v>2.6319011445711196</v>
      </c>
      <c r="AE85" s="155">
        <f t="shared" si="48"/>
        <v>1.6709706911982984</v>
      </c>
      <c r="AF85" s="155">
        <f t="shared" si="48"/>
        <v>0.88433633592716698</v>
      </c>
      <c r="AG85" s="155">
        <f t="shared" si="48"/>
        <v>3.9944354192608178</v>
      </c>
      <c r="AH85" s="155">
        <f t="shared" si="48"/>
        <v>3.418825022017896</v>
      </c>
      <c r="AI85" s="155">
        <f t="shared" si="48"/>
        <v>2.3058815106667221</v>
      </c>
      <c r="AJ85" s="155">
        <f t="shared" si="48"/>
        <v>1.0610196477779359</v>
      </c>
      <c r="AK85" s="155">
        <f t="shared" si="48"/>
        <v>4.3518808270318416</v>
      </c>
      <c r="AL85" s="155">
        <f t="shared" si="48"/>
        <v>3.6337144140098174</v>
      </c>
      <c r="AM85" s="155">
        <f t="shared" si="48"/>
        <v>3.1220794957803921</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1088992443</v>
      </c>
      <c r="F86" s="76">
        <f>资产资本表!F53</f>
        <v>2835706010</v>
      </c>
      <c r="G86" s="76">
        <f>资产资本表!G53</f>
        <v>2622654777</v>
      </c>
      <c r="H86" s="76">
        <f>资产资本表!H53</f>
        <v>2348261884</v>
      </c>
      <c r="I86" s="76">
        <f>资产资本表!I53</f>
        <v>2106219842</v>
      </c>
      <c r="J86" s="76">
        <f>资产资本表!J53</f>
        <v>2566345922</v>
      </c>
      <c r="K86" s="76">
        <f>资产资本表!K53</f>
        <v>4896951830</v>
      </c>
      <c r="L86" s="76">
        <f>资产资本表!L53</f>
        <v>5641849566</v>
      </c>
      <c r="M86" s="76">
        <f>资产资本表!M53</f>
        <v>5317974996</v>
      </c>
      <c r="N86" s="76">
        <f>资产资本表!N53</f>
        <v>5196889718</v>
      </c>
      <c r="O86" s="76">
        <f>资产资本表!O53</f>
        <v>5005354297</v>
      </c>
      <c r="P86" s="76">
        <f>资产资本表!P53</f>
        <v>4603773459</v>
      </c>
      <c r="Q86" s="76">
        <f>资产资本表!Q53</f>
        <v>4341321555</v>
      </c>
      <c r="R86" s="76">
        <f>资产资本表!R53</f>
        <v>4039644614</v>
      </c>
      <c r="S86" s="76">
        <f>资产资本表!S53</f>
        <v>2898227210</v>
      </c>
      <c r="T86" s="76">
        <f>资产资本表!T53</f>
        <v>3015302501</v>
      </c>
      <c r="U86" s="76">
        <f>资产资本表!U53</f>
        <v>2852281447</v>
      </c>
      <c r="V86" s="76">
        <f>资产资本表!V53</f>
        <v>2801961021</v>
      </c>
      <c r="W86" s="76">
        <f>资产资本表!W53</f>
        <v>4723569573</v>
      </c>
      <c r="X86" s="76">
        <f>资产资本表!X53</f>
        <v>4113866404</v>
      </c>
      <c r="Y86" s="76">
        <f>资产资本表!Y53</f>
        <v>3701743016</v>
      </c>
      <c r="Z86" s="76">
        <f>资产资本表!Z53</f>
        <v>3582866892</v>
      </c>
      <c r="AA86" s="76">
        <f>资产资本表!AA53</f>
        <v>2102743128</v>
      </c>
      <c r="AB86" s="76">
        <f>资产资本表!AB53</f>
        <v>1804769139</v>
      </c>
      <c r="AC86" s="76">
        <f>资产资本表!AC53</f>
        <v>1577006612</v>
      </c>
      <c r="AD86" s="76">
        <f>资产资本表!AD53</f>
        <v>840487523</v>
      </c>
      <c r="AE86" s="76">
        <f>资产资本表!AE53</f>
        <v>523681827</v>
      </c>
      <c r="AF86" s="76">
        <f>资产资本表!AF53</f>
        <v>359092142</v>
      </c>
      <c r="AG86" s="76">
        <f>资产资本表!AG53</f>
        <v>417342403</v>
      </c>
      <c r="AH86" s="76">
        <f>资产资本表!AH53</f>
        <v>385812627</v>
      </c>
      <c r="AI86" s="76">
        <f>资产资本表!AI53</f>
        <v>229805130</v>
      </c>
      <c r="AJ86" s="76">
        <f>资产资本表!AJ53</f>
        <v>154853335</v>
      </c>
      <c r="AK86" s="76">
        <f>资产资本表!AK53</f>
        <v>136969809</v>
      </c>
      <c r="AL86" s="76">
        <f>资产资本表!AL53</f>
        <v>48310782</v>
      </c>
      <c r="AM86" s="76">
        <f>资产资本表!AM53</f>
        <v>77930791</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10.50048502586349</v>
      </c>
      <c r="F87" s="54">
        <f t="shared" ref="F87:BQ87" si="50">F81/F86</f>
        <v>2.7895085876691428</v>
      </c>
      <c r="G87" s="54">
        <f t="shared" si="50"/>
        <v>1.8843413800931224</v>
      </c>
      <c r="H87" s="54">
        <f t="shared" si="50"/>
        <v>1.0365963283676072</v>
      </c>
      <c r="I87" s="54">
        <f t="shared" si="50"/>
        <v>4.0669749872197816</v>
      </c>
      <c r="J87" s="54">
        <f t="shared" si="50"/>
        <v>2.4364895602721477</v>
      </c>
      <c r="K87" s="54">
        <f t="shared" si="50"/>
        <v>0.83652298556508364</v>
      </c>
      <c r="L87" s="54">
        <f t="shared" si="50"/>
        <v>0.35526078736286532</v>
      </c>
      <c r="M87" s="54">
        <f t="shared" si="50"/>
        <v>1.4598301022173517</v>
      </c>
      <c r="N87" s="54">
        <f t="shared" si="50"/>
        <v>1.1196159273588033</v>
      </c>
      <c r="O87" s="54">
        <f t="shared" si="50"/>
        <v>0.76630078340286567</v>
      </c>
      <c r="P87" s="54">
        <f t="shared" si="50"/>
        <v>0.41110847305051984</v>
      </c>
      <c r="Q87" s="54">
        <f t="shared" si="50"/>
        <v>1.84815180984676</v>
      </c>
      <c r="R87" s="54">
        <f t="shared" si="50"/>
        <v>1.4818821772721416</v>
      </c>
      <c r="S87" s="54">
        <f t="shared" si="50"/>
        <v>1.3688247368293807</v>
      </c>
      <c r="T87" s="54">
        <f t="shared" si="50"/>
        <v>0.64348014481350368</v>
      </c>
      <c r="U87" s="54">
        <f t="shared" si="50"/>
        <v>2.3950238109163706</v>
      </c>
      <c r="V87" s="54">
        <f t="shared" si="50"/>
        <v>1.7591875136938244</v>
      </c>
      <c r="W87" s="54">
        <f t="shared" si="50"/>
        <v>0.67350634490167594</v>
      </c>
      <c r="X87" s="54">
        <f t="shared" si="50"/>
        <v>0.35522077225918591</v>
      </c>
      <c r="Y87" s="54">
        <f t="shared" si="50"/>
        <v>1.5898668793490336</v>
      </c>
      <c r="Z87" s="54">
        <f t="shared" si="50"/>
        <v>1.215146677572972</v>
      </c>
      <c r="AA87" s="54">
        <f t="shared" si="50"/>
        <v>1.3199819241068993</v>
      </c>
      <c r="AB87" s="54">
        <f t="shared" si="50"/>
        <v>0.68470543367375258</v>
      </c>
      <c r="AC87" s="54">
        <f t="shared" si="50"/>
        <v>3.2643165341401881</v>
      </c>
      <c r="AD87" s="54">
        <f t="shared" si="50"/>
        <v>4.3392130022137163</v>
      </c>
      <c r="AE87" s="54">
        <f t="shared" si="50"/>
        <v>4.4138453538507072</v>
      </c>
      <c r="AF87" s="54">
        <f t="shared" si="50"/>
        <v>2.9945691515577635</v>
      </c>
      <c r="AG87" s="54">
        <f t="shared" si="50"/>
        <v>9.6477135538034453</v>
      </c>
      <c r="AH87" s="54">
        <f t="shared" si="50"/>
        <v>7.3818227494145754</v>
      </c>
      <c r="AI87" s="54">
        <f t="shared" si="50"/>
        <v>7.7713851165985721</v>
      </c>
      <c r="AJ87" s="54">
        <f t="shared" si="50"/>
        <v>5.2502438000447329</v>
      </c>
      <c r="AK87" s="54">
        <f t="shared" si="50"/>
        <v>23.698546188379368</v>
      </c>
      <c r="AL87" s="54">
        <f t="shared" si="50"/>
        <v>48.591120301054119</v>
      </c>
      <c r="AM87" s="54">
        <f t="shared" si="50"/>
        <v>18.883163074785163</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2729874</v>
      </c>
      <c r="F88" s="76">
        <f>资产资本表!F54</f>
        <v>3753428</v>
      </c>
      <c r="G88" s="76">
        <f>资产资本表!G54</f>
        <v>2411784</v>
      </c>
      <c r="H88" s="76">
        <f>资产资本表!H54</f>
        <v>16000</v>
      </c>
      <c r="I88" s="76">
        <f>资产资本表!I54</f>
        <v>16000</v>
      </c>
      <c r="J88" s="76">
        <f>资产资本表!J54</f>
        <v>3770803</v>
      </c>
      <c r="K88" s="76">
        <f>资产资本表!K54</f>
        <v>7136077</v>
      </c>
      <c r="L88" s="76">
        <f>资产资本表!L54</f>
        <v>8454129</v>
      </c>
      <c r="M88" s="76">
        <f>资产资本表!M54</f>
        <v>9305532</v>
      </c>
      <c r="N88" s="76">
        <f>资产资本表!N54</f>
        <v>6952196</v>
      </c>
      <c r="O88" s="76">
        <f>资产资本表!O54</f>
        <v>4912450</v>
      </c>
      <c r="P88" s="76">
        <f>资产资本表!P54</f>
        <v>21732051</v>
      </c>
      <c r="Q88" s="76">
        <f>资产资本表!Q54</f>
        <v>22109493</v>
      </c>
      <c r="R88" s="76">
        <f>资产资本表!R54</f>
        <v>30982759</v>
      </c>
      <c r="S88" s="76">
        <f>资产资本表!S54</f>
        <v>24651170</v>
      </c>
      <c r="T88" s="76">
        <f>资产资本表!T54</f>
        <v>33376063</v>
      </c>
      <c r="U88" s="76">
        <f>资产资本表!U54</f>
        <v>48587647</v>
      </c>
      <c r="V88" s="76">
        <f>资产资本表!V54</f>
        <v>44278495</v>
      </c>
      <c r="W88" s="76">
        <f>资产资本表!W54</f>
        <v>53293980</v>
      </c>
      <c r="X88" s="76">
        <f>资产资本表!X54</f>
        <v>50886718</v>
      </c>
      <c r="Y88" s="76">
        <f>资产资本表!Y54</f>
        <v>69617047</v>
      </c>
      <c r="Z88" s="76">
        <f>资产资本表!Z54</f>
        <v>57162168</v>
      </c>
      <c r="AA88" s="76">
        <f>资产资本表!AA54</f>
        <v>117610792</v>
      </c>
      <c r="AB88" s="76">
        <f>资产资本表!AB54</f>
        <v>36616162</v>
      </c>
      <c r="AC88" s="76">
        <f>资产资本表!AC54</f>
        <v>4797571</v>
      </c>
      <c r="AD88" s="76">
        <f>资产资本表!AD54</f>
        <v>734891749</v>
      </c>
      <c r="AE88" s="76">
        <f>资产资本表!AE54</f>
        <v>623753675</v>
      </c>
      <c r="AF88" s="76">
        <f>资产资本表!AF54</f>
        <v>360646284</v>
      </c>
      <c r="AG88" s="76">
        <f>资产资本表!AG54</f>
        <v>173579459</v>
      </c>
      <c r="AH88" s="76">
        <f>资产资本表!AH54</f>
        <v>60954208</v>
      </c>
      <c r="AI88" s="76">
        <f>资产资本表!AI54</f>
        <v>51607646</v>
      </c>
      <c r="AJ88" s="76">
        <f>资产资本表!AJ54</f>
        <v>97194622</v>
      </c>
      <c r="AK88" s="76">
        <f>资产资本表!AK54</f>
        <v>65789676</v>
      </c>
      <c r="AL88" s="76">
        <f>资产资本表!AL54</f>
        <v>56143444</v>
      </c>
      <c r="AM88" s="76">
        <f>资产资本表!AM54</f>
        <v>32683060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365616</v>
      </c>
      <c r="G89" s="76">
        <f>资产资本表!G55</f>
        <v>158201</v>
      </c>
      <c r="H89" s="76">
        <f>资产资本表!H55</f>
        <v>107446</v>
      </c>
      <c r="I89" s="76">
        <f>资产资本表!I55</f>
        <v>0</v>
      </c>
      <c r="J89" s="76">
        <f>资产资本表!J55</f>
        <v>37890</v>
      </c>
      <c r="K89" s="76">
        <f>资产资本表!K55</f>
        <v>329708</v>
      </c>
      <c r="L89" s="76">
        <f>资产资本表!L55</f>
        <v>308103</v>
      </c>
      <c r="M89" s="76">
        <f>资产资本表!M55</f>
        <v>0</v>
      </c>
      <c r="N89" s="76">
        <f>资产资本表!N55</f>
        <v>0</v>
      </c>
      <c r="O89" s="76">
        <f>资产资本表!O55</f>
        <v>0</v>
      </c>
      <c r="P89" s="76">
        <f>资产资本表!P55</f>
        <v>209162</v>
      </c>
      <c r="Q89" s="76">
        <f>资产资本表!Q55</f>
        <v>0</v>
      </c>
      <c r="R89" s="76">
        <f>资产资本表!R55</f>
        <v>37775553</v>
      </c>
      <c r="S89" s="76">
        <f>资产资本表!S55</f>
        <v>37729340</v>
      </c>
      <c r="T89" s="76">
        <f>资产资本表!T55</f>
        <v>36376423</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1047036415</v>
      </c>
      <c r="F92" s="76">
        <f>资产资本表!F58</f>
        <v>986390530</v>
      </c>
      <c r="G92" s="76">
        <f>资产资本表!G58</f>
        <v>1021153869</v>
      </c>
      <c r="H92" s="76">
        <f>资产资本表!H58</f>
        <v>1004012988</v>
      </c>
      <c r="I92" s="76">
        <f>资产资本表!I58</f>
        <v>1020799390</v>
      </c>
      <c r="J92" s="76">
        <f>资产资本表!J58</f>
        <v>997663750</v>
      </c>
      <c r="K92" s="76">
        <f>资产资本表!K58</f>
        <v>1008996623</v>
      </c>
      <c r="L92" s="76">
        <f>资产资本表!L58</f>
        <v>1016895802</v>
      </c>
      <c r="M92" s="76">
        <f>资产资本表!M58</f>
        <v>1031683032</v>
      </c>
      <c r="N92" s="76">
        <f>资产资本表!N58</f>
        <v>969066663</v>
      </c>
      <c r="O92" s="76">
        <f>资产资本表!O58</f>
        <v>982955257</v>
      </c>
      <c r="P92" s="76">
        <f>资产资本表!P58</f>
        <v>986309783</v>
      </c>
      <c r="Q92" s="76">
        <f>资产资本表!Q58</f>
        <v>979668847</v>
      </c>
      <c r="R92" s="76">
        <f>资产资本表!R58</f>
        <v>1073230654</v>
      </c>
      <c r="S92" s="76">
        <f>资产资本表!S58</f>
        <v>1078650289</v>
      </c>
      <c r="T92" s="76">
        <f>资产资本表!T58</f>
        <v>1034481564</v>
      </c>
      <c r="U92" s="76">
        <f>资产资本表!U58</f>
        <v>1048164836</v>
      </c>
      <c r="V92" s="76">
        <f>资产资本表!V58</f>
        <v>1035969931</v>
      </c>
      <c r="W92" s="76">
        <f>资产资本表!W58</f>
        <v>1034877948</v>
      </c>
      <c r="X92" s="76">
        <f>资产资本表!X58</f>
        <v>972382118</v>
      </c>
      <c r="Y92" s="76">
        <f>资产资本表!Y58</f>
        <v>987518068</v>
      </c>
      <c r="Z92" s="76">
        <f>资产资本表!Z58</f>
        <v>949478917</v>
      </c>
      <c r="AA92" s="76">
        <f>资产资本表!AA58</f>
        <v>963030792</v>
      </c>
      <c r="AB92" s="76">
        <f>资产资本表!AB58</f>
        <v>909108560</v>
      </c>
      <c r="AC92" s="76">
        <f>资产资本表!AC58</f>
        <v>893256680</v>
      </c>
      <c r="AD92" s="76">
        <f>资产资本表!AD58</f>
        <v>778959730</v>
      </c>
      <c r="AE92" s="76">
        <f>资产资本表!AE58</f>
        <v>769851579</v>
      </c>
      <c r="AF92" s="76">
        <f>资产资本表!AF58</f>
        <v>481730831</v>
      </c>
      <c r="AG92" s="76">
        <f>资产资本表!AG58</f>
        <v>339817381</v>
      </c>
      <c r="AH92" s="76">
        <f>资产资本表!AH58</f>
        <v>127406506</v>
      </c>
      <c r="AI92" s="76">
        <f>资产资本表!AI58</f>
        <v>84322457</v>
      </c>
      <c r="AJ92" s="76">
        <f>资产资本表!AJ58</f>
        <v>79733020</v>
      </c>
      <c r="AK92" s="76">
        <f>资产资本表!AK58</f>
        <v>80215139</v>
      </c>
      <c r="AL92" s="76">
        <f>资产资本表!AL58</f>
        <v>79876959</v>
      </c>
      <c r="AM92" s="76">
        <f>资产资本表!AM58</f>
        <v>78194930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10.921252286148997</v>
      </c>
      <c r="F93" s="155">
        <f t="shared" ref="F93:BQ93" si="52">F81/F92</f>
        <v>8.0193655823115009</v>
      </c>
      <c r="G93" s="155">
        <f t="shared" si="52"/>
        <v>4.8396006439652437</v>
      </c>
      <c r="H93" s="155">
        <f t="shared" si="52"/>
        <v>2.4244702768725537</v>
      </c>
      <c r="I93" s="155">
        <f t="shared" si="52"/>
        <v>8.3914072626943863</v>
      </c>
      <c r="J93" s="155">
        <f t="shared" si="52"/>
        <v>6.2675175348407715</v>
      </c>
      <c r="K93" s="155">
        <f t="shared" si="52"/>
        <v>4.0598874878494016</v>
      </c>
      <c r="L93" s="155">
        <f t="shared" si="52"/>
        <v>1.971025856393495</v>
      </c>
      <c r="M93" s="155">
        <f t="shared" si="52"/>
        <v>7.5249274643493411</v>
      </c>
      <c r="N93" s="155">
        <f t="shared" si="52"/>
        <v>6.0042520531944046</v>
      </c>
      <c r="O93" s="155">
        <f t="shared" si="52"/>
        <v>3.9021175090983822</v>
      </c>
      <c r="P93" s="155">
        <f t="shared" si="52"/>
        <v>1.9189207180357046</v>
      </c>
      <c r="Q93" s="155">
        <f t="shared" si="52"/>
        <v>8.1899320505799444</v>
      </c>
      <c r="R93" s="155">
        <f t="shared" si="52"/>
        <v>5.5778106352895884</v>
      </c>
      <c r="S93" s="155">
        <f t="shared" si="52"/>
        <v>3.6778974042438697</v>
      </c>
      <c r="T93" s="155">
        <f t="shared" si="52"/>
        <v>1.8756132129581384</v>
      </c>
      <c r="U93" s="155">
        <f t="shared" si="52"/>
        <v>6.5173737434939101</v>
      </c>
      <c r="V93" s="155">
        <f t="shared" si="52"/>
        <v>4.7580288717858545</v>
      </c>
      <c r="W93" s="155">
        <f t="shared" si="52"/>
        <v>3.0741345722442626</v>
      </c>
      <c r="X93" s="155">
        <f t="shared" si="52"/>
        <v>1.5028359468453327</v>
      </c>
      <c r="Y93" s="155">
        <f t="shared" si="52"/>
        <v>5.9596667723957024</v>
      </c>
      <c r="Z93" s="155">
        <f t="shared" si="52"/>
        <v>4.5853664805492462</v>
      </c>
      <c r="AA93" s="155">
        <f t="shared" si="52"/>
        <v>2.8821330979830186</v>
      </c>
      <c r="AB93" s="155">
        <f t="shared" si="52"/>
        <v>1.3592823677735473</v>
      </c>
      <c r="AC93" s="155">
        <f t="shared" si="52"/>
        <v>5.7630117672335794</v>
      </c>
      <c r="AD93" s="155">
        <f t="shared" si="52"/>
        <v>4.6819549811644308</v>
      </c>
      <c r="AE93" s="155">
        <f t="shared" si="52"/>
        <v>3.0024626331252873</v>
      </c>
      <c r="AF93" s="155">
        <f t="shared" si="52"/>
        <v>2.2322138875101394</v>
      </c>
      <c r="AG93" s="155">
        <f t="shared" si="52"/>
        <v>11.848716937760168</v>
      </c>
      <c r="AH93" s="155">
        <f t="shared" si="52"/>
        <v>22.353649875619382</v>
      </c>
      <c r="AI93" s="155">
        <f t="shared" si="52"/>
        <v>21.179460733692807</v>
      </c>
      <c r="AJ93" s="155">
        <f t="shared" si="52"/>
        <v>10.196751132717662</v>
      </c>
      <c r="AK93" s="155">
        <f t="shared" si="52"/>
        <v>40.465994143574321</v>
      </c>
      <c r="AL93" s="155">
        <f t="shared" si="52"/>
        <v>29.388637842359522</v>
      </c>
      <c r="AM93" s="155">
        <f t="shared" si="52"/>
        <v>18.819376588737914</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335606104</v>
      </c>
      <c r="F94" s="76">
        <f>资产资本表!F59</f>
        <v>386890525</v>
      </c>
      <c r="G94" s="76">
        <f>资产资本表!G59</f>
        <v>357184322</v>
      </c>
      <c r="H94" s="76">
        <f>资产资本表!H59</f>
        <v>306290741</v>
      </c>
      <c r="I94" s="76">
        <f>资产资本表!I59</f>
        <v>261456667</v>
      </c>
      <c r="J94" s="76">
        <f>资产资本表!J59</f>
        <v>291363507</v>
      </c>
      <c r="K94" s="76">
        <f>资产资本表!K59</f>
        <v>268472729</v>
      </c>
      <c r="L94" s="76">
        <f>资产资本表!L59</f>
        <v>233934092</v>
      </c>
      <c r="M94" s="76">
        <f>资产资本表!M59</f>
        <v>196597406</v>
      </c>
      <c r="N94" s="76">
        <f>资产资本表!N59</f>
        <v>223401514</v>
      </c>
      <c r="O94" s="76">
        <f>资产资本表!O59</f>
        <v>219071292</v>
      </c>
      <c r="P94" s="76">
        <f>资产资本表!P59</f>
        <v>177994929</v>
      </c>
      <c r="Q94" s="76">
        <f>资产资本表!Q59</f>
        <v>132527870</v>
      </c>
      <c r="R94" s="76">
        <f>资产资本表!R59</f>
        <v>117401931</v>
      </c>
      <c r="S94" s="76">
        <f>资产资本表!S59</f>
        <v>105494631</v>
      </c>
      <c r="T94" s="76">
        <f>资产资本表!T59</f>
        <v>145796740</v>
      </c>
      <c r="U94" s="76">
        <f>资产资本表!U59</f>
        <v>140338648</v>
      </c>
      <c r="V94" s="76">
        <f>资产资本表!V59</f>
        <v>130374482</v>
      </c>
      <c r="W94" s="76">
        <f>资产资本表!W59</f>
        <v>95703770</v>
      </c>
      <c r="X94" s="76">
        <f>资产资本表!X59</f>
        <v>65433791</v>
      </c>
      <c r="Y94" s="76">
        <f>资产资本表!Y59</f>
        <v>46963192</v>
      </c>
      <c r="Z94" s="76">
        <f>资产资本表!Z59</f>
        <v>39163678</v>
      </c>
      <c r="AA94" s="76">
        <f>资产资本表!AA59</f>
        <v>36998035</v>
      </c>
      <c r="AB94" s="76">
        <f>资产资本表!AB59</f>
        <v>34751321</v>
      </c>
      <c r="AC94" s="76">
        <f>资产资本表!AC59</f>
        <v>33216281</v>
      </c>
      <c r="AD94" s="76">
        <f>资产资本表!AD59</f>
        <v>661524</v>
      </c>
      <c r="AE94" s="76">
        <f>资产资本表!AE59</f>
        <v>238092</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158446323</v>
      </c>
      <c r="F95" s="76">
        <f>资产资本表!F60</f>
        <v>158472600</v>
      </c>
      <c r="G95" s="76">
        <f>资产资本表!G60</f>
        <v>158472600</v>
      </c>
      <c r="H95" s="76">
        <f>资产资本表!H60</f>
        <v>158446323</v>
      </c>
      <c r="I95" s="76">
        <f>资产资本表!I60</f>
        <v>158446323</v>
      </c>
      <c r="J95" s="76">
        <f>资产资本表!J60</f>
        <v>157080349</v>
      </c>
      <c r="K95" s="76">
        <f>资产资本表!K60</f>
        <v>157080349</v>
      </c>
      <c r="L95" s="76">
        <f>资产资本表!L60</f>
        <v>157080349</v>
      </c>
      <c r="M95" s="76">
        <f>资产资本表!M60</f>
        <v>157080349</v>
      </c>
      <c r="N95" s="76">
        <f>资产资本表!N60</f>
        <v>157080349</v>
      </c>
      <c r="O95" s="76">
        <f>资产资本表!O60</f>
        <v>157080349</v>
      </c>
      <c r="P95" s="76">
        <f>资产资本表!P60</f>
        <v>157080349</v>
      </c>
      <c r="Q95" s="76">
        <f>资产资本表!Q60</f>
        <v>157080349</v>
      </c>
      <c r="R95" s="76">
        <f>资产资本表!R60</f>
        <v>157080349</v>
      </c>
      <c r="S95" s="76">
        <f>资产资本表!S60</f>
        <v>157080349</v>
      </c>
      <c r="T95" s="76">
        <f>资产资本表!T60</f>
        <v>157080349</v>
      </c>
      <c r="U95" s="76">
        <f>资产资本表!U60</f>
        <v>157080349</v>
      </c>
      <c r="V95" s="76">
        <f>资产资本表!V60</f>
        <v>292080349</v>
      </c>
      <c r="W95" s="76">
        <f>资产资本表!W60</f>
        <v>292080349</v>
      </c>
      <c r="X95" s="76">
        <f>资产资本表!X60</f>
        <v>292080349</v>
      </c>
      <c r="Y95" s="76">
        <f>资产资本表!Y60</f>
        <v>292080349</v>
      </c>
      <c r="Z95" s="76">
        <f>资产资本表!Z60</f>
        <v>296992819</v>
      </c>
      <c r="AA95" s="76">
        <f>资产资本表!AA60</f>
        <v>296992819</v>
      </c>
      <c r="AB95" s="76">
        <f>资产资本表!AB60</f>
        <v>278831345</v>
      </c>
      <c r="AC95" s="76">
        <f>资产资本表!AC60</f>
        <v>278831345</v>
      </c>
      <c r="AD95" s="76">
        <f>资产资本表!AD60</f>
        <v>278811292</v>
      </c>
      <c r="AE95" s="76">
        <f>资产资本表!AE60</f>
        <v>278811292</v>
      </c>
      <c r="AF95" s="76">
        <f>资产资本表!AF60</f>
        <v>208631237</v>
      </c>
      <c r="AG95" s="76">
        <f>资产资本表!AG60</f>
        <v>100664982</v>
      </c>
      <c r="AH95" s="76">
        <f>资产资本表!AH60</f>
        <v>13863856</v>
      </c>
      <c r="AI95" s="76">
        <f>资产资本表!AI60</f>
        <v>3813133</v>
      </c>
      <c r="AJ95" s="76">
        <f>资产资本表!AJ60</f>
        <v>3813133</v>
      </c>
      <c r="AK95" s="76">
        <f>资产资本表!AK60</f>
        <v>3813133</v>
      </c>
      <c r="AL95" s="76">
        <f>资产资本表!AL60</f>
        <v>3813133</v>
      </c>
      <c r="AM95" s="76">
        <f>资产资本表!AM60</f>
        <v>3813133</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13451638</v>
      </c>
      <c r="F96" s="76">
        <f>资产资本表!F61</f>
        <v>13737110</v>
      </c>
      <c r="G96" s="76">
        <f>资产资本表!G61</f>
        <v>13349566</v>
      </c>
      <c r="H96" s="76">
        <f>资产资本表!H61</f>
        <v>11119156</v>
      </c>
      <c r="I96" s="76">
        <f>资产资本表!I61</f>
        <v>11391618</v>
      </c>
      <c r="J96" s="76">
        <f>资产资本表!J61</f>
        <v>8072827</v>
      </c>
      <c r="K96" s="76">
        <f>资产资本表!K61</f>
        <v>8952309</v>
      </c>
      <c r="L96" s="76">
        <f>资产资本表!L61</f>
        <v>17678848</v>
      </c>
      <c r="M96" s="76">
        <f>资产资本表!M61</f>
        <v>10438299</v>
      </c>
      <c r="N96" s="76">
        <f>资产资本表!N61</f>
        <v>11907905</v>
      </c>
      <c r="O96" s="76">
        <f>资产资本表!O61</f>
        <v>13406689</v>
      </c>
      <c r="P96" s="76">
        <f>资产资本表!P61</f>
        <v>14968481</v>
      </c>
      <c r="Q96" s="76">
        <f>资产资本表!Q61</f>
        <v>14934689</v>
      </c>
      <c r="R96" s="76">
        <f>资产资本表!R61</f>
        <v>20478683</v>
      </c>
      <c r="S96" s="76">
        <f>资产资本表!S61</f>
        <v>22096522</v>
      </c>
      <c r="T96" s="76">
        <f>资产资本表!T61</f>
        <v>23792894</v>
      </c>
      <c r="U96" s="76">
        <f>资产资本表!U61</f>
        <v>23875418</v>
      </c>
      <c r="V96" s="76">
        <f>资产资本表!V61</f>
        <v>22489143</v>
      </c>
      <c r="W96" s="76">
        <f>资产资本表!W61</f>
        <v>20697629</v>
      </c>
      <c r="X96" s="76">
        <f>资产资本表!X61</f>
        <v>21070933</v>
      </c>
      <c r="Y96" s="76">
        <f>资产资本表!Y61</f>
        <v>22586421</v>
      </c>
      <c r="Z96" s="76">
        <f>资产资本表!Z61</f>
        <v>21163609</v>
      </c>
      <c r="AA96" s="76">
        <f>资产资本表!AA61</f>
        <v>22543952</v>
      </c>
      <c r="AB96" s="76">
        <f>资产资本表!AB61</f>
        <v>16850840</v>
      </c>
      <c r="AC96" s="76">
        <f>资产资本表!AC61</f>
        <v>18019304</v>
      </c>
      <c r="AD96" s="76">
        <f>资产资本表!AD61</f>
        <v>14548559</v>
      </c>
      <c r="AE96" s="76">
        <f>资产资本表!AE61</f>
        <v>10825601</v>
      </c>
      <c r="AF96" s="76">
        <f>资产资本表!AF61</f>
        <v>7558194</v>
      </c>
      <c r="AG96" s="76">
        <f>资产资本表!AG61</f>
        <v>5109657</v>
      </c>
      <c r="AH96" s="76">
        <f>资产资本表!AH61</f>
        <v>916652</v>
      </c>
      <c r="AI96" s="76">
        <f>资产资本表!AI61</f>
        <v>787137</v>
      </c>
      <c r="AJ96" s="76">
        <f>资产资本表!AJ61</f>
        <v>959472</v>
      </c>
      <c r="AK96" s="76">
        <f>资产资本表!AK61</f>
        <v>1088723</v>
      </c>
      <c r="AL96" s="76">
        <f>资产资本表!AL61</f>
        <v>1444918</v>
      </c>
      <c r="AM96" s="76">
        <f>资产资本表!AM61</f>
        <v>2076005</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225329833</v>
      </c>
      <c r="F97" s="76">
        <f>资产资本表!F62</f>
        <v>247947965</v>
      </c>
      <c r="G97" s="76">
        <f>资产资本表!G62</f>
        <v>234960662</v>
      </c>
      <c r="H97" s="76">
        <f>资产资本表!H62</f>
        <v>220721057</v>
      </c>
      <c r="I97" s="76">
        <f>资产资本表!I62</f>
        <v>195942454</v>
      </c>
      <c r="J97" s="76">
        <f>资产资本表!J62</f>
        <v>172245156</v>
      </c>
      <c r="K97" s="76">
        <f>资产资本表!K62</f>
        <v>152357442</v>
      </c>
      <c r="L97" s="76">
        <f>资产资本表!L62</f>
        <v>136140202</v>
      </c>
      <c r="M97" s="76">
        <f>资产资本表!M62</f>
        <v>121072828</v>
      </c>
      <c r="N97" s="76">
        <f>资产资本表!N62</f>
        <v>110254421</v>
      </c>
      <c r="O97" s="76">
        <f>资产资本表!O62</f>
        <v>102550518</v>
      </c>
      <c r="P97" s="76">
        <f>资产资本表!P62</f>
        <v>90730193</v>
      </c>
      <c r="Q97" s="76">
        <f>资产资本表!Q62</f>
        <v>87552940</v>
      </c>
      <c r="R97" s="76">
        <f>资产资本表!R62</f>
        <v>80689647</v>
      </c>
      <c r="S97" s="76">
        <f>资产资本表!S62</f>
        <v>74345490</v>
      </c>
      <c r="T97" s="76">
        <f>资产资本表!T62</f>
        <v>70845855</v>
      </c>
      <c r="U97" s="76">
        <f>资产资本表!U62</f>
        <v>57173701</v>
      </c>
      <c r="V97" s="76">
        <f>资产资本表!V62</f>
        <v>47869919</v>
      </c>
      <c r="W97" s="76">
        <f>资产资本表!W62</f>
        <v>44190344</v>
      </c>
      <c r="X97" s="76">
        <f>资产资本表!X62</f>
        <v>40963267</v>
      </c>
      <c r="Y97" s="76">
        <f>资产资本表!Y62</f>
        <v>38448830</v>
      </c>
      <c r="Z97" s="76">
        <f>资产资本表!Z62</f>
        <v>35649066</v>
      </c>
      <c r="AA97" s="76">
        <f>资产资本表!AA62</f>
        <v>33945308</v>
      </c>
      <c r="AB97" s="76">
        <f>资产资本表!AB62</f>
        <v>30707635</v>
      </c>
      <c r="AC97" s="76">
        <f>资产资本表!AC62</f>
        <v>26705470</v>
      </c>
      <c r="AD97" s="76">
        <f>资产资本表!AD62</f>
        <v>25635903</v>
      </c>
      <c r="AE97" s="76">
        <f>资产资本表!AE62</f>
        <v>23745982</v>
      </c>
      <c r="AF97" s="76">
        <f>资产资本表!AF62</f>
        <v>23290354</v>
      </c>
      <c r="AG97" s="76">
        <f>资产资本表!AG62</f>
        <v>10152980</v>
      </c>
      <c r="AH97" s="76">
        <f>资产资本表!AH62</f>
        <v>4178870</v>
      </c>
      <c r="AI97" s="76">
        <f>资产资本表!AI62</f>
        <v>3119368</v>
      </c>
      <c r="AJ97" s="76">
        <f>资产资本表!AJ62</f>
        <v>3965802</v>
      </c>
      <c r="AK97" s="76">
        <f>资产资本表!AK62</f>
        <v>4505724</v>
      </c>
      <c r="AL97" s="76">
        <f>资产资本表!AL62</f>
        <v>10682475</v>
      </c>
      <c r="AM97" s="76">
        <f>资产资本表!AM62</f>
        <v>16313449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242668845</v>
      </c>
      <c r="F98" s="76">
        <f>资产资本表!F63</f>
        <v>65768350</v>
      </c>
      <c r="G98" s="76">
        <f>资产资本表!G63</f>
        <v>67840298</v>
      </c>
      <c r="H98" s="76">
        <f>资产资本表!H63</f>
        <v>69920789</v>
      </c>
      <c r="I98" s="76">
        <f>资产资本表!I63</f>
        <v>72005549</v>
      </c>
      <c r="J98" s="76">
        <f>资产资本表!J63</f>
        <v>66970830</v>
      </c>
      <c r="K98" s="76">
        <f>资产资本表!K63</f>
        <v>69397289</v>
      </c>
      <c r="L98" s="76">
        <f>资产资本表!L63</f>
        <v>72262081</v>
      </c>
      <c r="M98" s="76">
        <f>资产资本表!M63</f>
        <v>74351352</v>
      </c>
      <c r="N98" s="76">
        <f>资产资本表!N63</f>
        <v>76878205</v>
      </c>
      <c r="O98" s="76">
        <f>资产资本表!O63</f>
        <v>79426569</v>
      </c>
      <c r="P98" s="76">
        <f>资产资本表!P63</f>
        <v>81976528</v>
      </c>
      <c r="Q98" s="76">
        <f>资产资本表!Q63</f>
        <v>84293164</v>
      </c>
      <c r="R98" s="76">
        <f>资产资本表!R63</f>
        <v>131277864</v>
      </c>
      <c r="S98" s="76">
        <f>资产资本表!S63</f>
        <v>119877747</v>
      </c>
      <c r="T98" s="76">
        <f>资产资本表!T63</f>
        <v>117693402</v>
      </c>
      <c r="U98" s="76">
        <f>资产资本表!U63</f>
        <v>120566334</v>
      </c>
      <c r="V98" s="76">
        <f>资产资本表!V63</f>
        <v>123560515</v>
      </c>
      <c r="W98" s="76">
        <f>资产资本表!W63</f>
        <v>126364701</v>
      </c>
      <c r="X98" s="76">
        <f>资产资本表!X63</f>
        <v>129007582</v>
      </c>
      <c r="Y98" s="76">
        <f>资产资本表!Y63</f>
        <v>131899828</v>
      </c>
      <c r="Z98" s="76">
        <f>资产资本表!Z63</f>
        <v>129505991</v>
      </c>
      <c r="AA98" s="76">
        <f>资产资本表!AA63</f>
        <v>132202469</v>
      </c>
      <c r="AB98" s="76">
        <f>资产资本表!AB63</f>
        <v>122534453</v>
      </c>
      <c r="AC98" s="76">
        <f>资产资本表!AC63</f>
        <v>124110912</v>
      </c>
      <c r="AD98" s="76">
        <f>资产资本表!AD63</f>
        <v>115786533</v>
      </c>
      <c r="AE98" s="76">
        <f>资产资本表!AE63</f>
        <v>118344948</v>
      </c>
      <c r="AF98" s="76">
        <f>资产资本表!AF63</f>
        <v>74644415</v>
      </c>
      <c r="AG98" s="76">
        <f>资产资本表!AG63</f>
        <v>50310326</v>
      </c>
      <c r="AH98" s="76">
        <f>资产资本表!AH63</f>
        <v>0</v>
      </c>
      <c r="AI98" s="76">
        <f>资产资本表!AI63</f>
        <v>0</v>
      </c>
      <c r="AJ98" s="76">
        <f>资产资本表!AJ63</f>
        <v>0</v>
      </c>
      <c r="AK98" s="76">
        <f>资产资本表!AK63</f>
        <v>0</v>
      </c>
      <c r="AL98" s="76">
        <f>资产资本表!AL63</f>
        <v>1018669</v>
      </c>
      <c r="AM98" s="76">
        <f>资产资本表!AM63</f>
        <v>1526959</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295003034</v>
      </c>
      <c r="F99" s="93">
        <f>资产资本表!F64</f>
        <v>390307877</v>
      </c>
      <c r="G99" s="93">
        <f>资产资本表!G64</f>
        <v>367723718</v>
      </c>
      <c r="H99" s="93">
        <f>资产资本表!H64</f>
        <v>393039793</v>
      </c>
      <c r="I99" s="93">
        <f>资产资本表!I64</f>
        <v>334650219</v>
      </c>
      <c r="J99" s="93">
        <f>资产资本表!J64</f>
        <v>330305731</v>
      </c>
      <c r="K99" s="93">
        <f>资产资本表!K64</f>
        <v>239386532</v>
      </c>
      <c r="L99" s="93">
        <f>资产资本表!L64</f>
        <v>221226805</v>
      </c>
      <c r="M99" s="93">
        <f>资产资本表!M64</f>
        <v>204193695</v>
      </c>
      <c r="N99" s="93">
        <f>资产资本表!N64</f>
        <v>421057671</v>
      </c>
      <c r="O99" s="93">
        <f>资产资本表!O64</f>
        <v>285521946</v>
      </c>
      <c r="P99" s="93">
        <f>资产资本表!P64</f>
        <v>358469031</v>
      </c>
      <c r="Q99" s="93">
        <f>资产资本表!Q64</f>
        <v>347526280</v>
      </c>
      <c r="R99" s="93">
        <f>资产资本表!R64</f>
        <v>329567399</v>
      </c>
      <c r="S99" s="93">
        <f>资产资本表!S64</f>
        <v>367022327</v>
      </c>
      <c r="T99" s="93">
        <f>资产资本表!T64</f>
        <v>289477055</v>
      </c>
      <c r="U99" s="93">
        <f>资产资本表!U64</f>
        <v>300405163</v>
      </c>
      <c r="V99" s="93">
        <f>资产资本表!V64</f>
        <v>306911514</v>
      </c>
      <c r="W99" s="93">
        <f>资产资本表!W64</f>
        <v>352873785</v>
      </c>
      <c r="X99" s="93">
        <f>资产资本表!X64</f>
        <v>401491313</v>
      </c>
      <c r="Y99" s="93">
        <f>资产资本表!Y64</f>
        <v>352352646</v>
      </c>
      <c r="Z99" s="93">
        <f>资产资本表!Z64</f>
        <v>196673579</v>
      </c>
      <c r="AA99" s="93">
        <f>资产资本表!AA64</f>
        <v>836075522</v>
      </c>
      <c r="AB99" s="93">
        <f>资产资本表!AB64</f>
        <v>631507397</v>
      </c>
      <c r="AC99" s="93">
        <f>资产资本表!AC64</f>
        <v>449136311</v>
      </c>
      <c r="AD99" s="93">
        <f>资产资本表!AD64</f>
        <v>0</v>
      </c>
      <c r="AE99" s="93">
        <f>资产资本表!AE64</f>
        <v>113186</v>
      </c>
      <c r="AF99" s="93">
        <f>资产资本表!AF64</f>
        <v>1199</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10325461968</v>
      </c>
      <c r="F100" s="197">
        <f t="shared" ref="F100:BQ100" si="54">(F84+J84)/2</f>
        <v>9140523052</v>
      </c>
      <c r="G100" s="197">
        <f t="shared" si="54"/>
        <v>8046074720.5</v>
      </c>
      <c r="H100" s="197">
        <f t="shared" si="54"/>
        <v>7703200528</v>
      </c>
      <c r="I100" s="197">
        <f t="shared" si="54"/>
        <v>7812450689</v>
      </c>
      <c r="J100" s="197">
        <f t="shared" si="54"/>
        <v>7501101476</v>
      </c>
      <c r="K100" s="197">
        <f t="shared" si="54"/>
        <v>6382122779</v>
      </c>
      <c r="L100" s="197">
        <f t="shared" si="54"/>
        <v>5994706327.5</v>
      </c>
      <c r="M100" s="197">
        <f t="shared" si="54"/>
        <v>5999911377.5</v>
      </c>
      <c r="N100" s="197">
        <f t="shared" si="54"/>
        <v>5784938715</v>
      </c>
      <c r="O100" s="197">
        <f t="shared" si="54"/>
        <v>5866630450.5</v>
      </c>
      <c r="P100" s="197">
        <f t="shared" si="54"/>
        <v>5584547186</v>
      </c>
      <c r="Q100" s="197">
        <f t="shared" si="54"/>
        <v>5531212951</v>
      </c>
      <c r="R100" s="197">
        <f t="shared" si="54"/>
        <v>5195413566.5</v>
      </c>
      <c r="S100" s="197">
        <f t="shared" si="54"/>
        <v>3985460944.5</v>
      </c>
      <c r="T100" s="197">
        <f t="shared" si="54"/>
        <v>3671601355</v>
      </c>
      <c r="U100" s="197">
        <f t="shared" si="54"/>
        <v>3593545303</v>
      </c>
      <c r="V100" s="197">
        <f t="shared" si="54"/>
        <v>3236960734</v>
      </c>
      <c r="W100" s="197">
        <f t="shared" si="54"/>
        <v>1973041611</v>
      </c>
      <c r="X100" s="197">
        <f t="shared" si="54"/>
        <v>1967380626.5</v>
      </c>
      <c r="Y100" s="197">
        <f t="shared" si="54"/>
        <v>1798630131</v>
      </c>
      <c r="Z100" s="197">
        <f t="shared" si="54"/>
        <v>1558282832.5</v>
      </c>
      <c r="AA100" s="197">
        <f t="shared" si="54"/>
        <v>1552984656.5</v>
      </c>
      <c r="AB100" s="197">
        <f t="shared" si="54"/>
        <v>1468635806.5</v>
      </c>
      <c r="AC100" s="197">
        <f t="shared" si="54"/>
        <v>1259960552</v>
      </c>
      <c r="AD100" s="197">
        <f t="shared" si="54"/>
        <v>1109372934.5</v>
      </c>
      <c r="AE100" s="197">
        <f t="shared" si="54"/>
        <v>1078898824.5</v>
      </c>
      <c r="AF100" s="197">
        <f t="shared" si="54"/>
        <v>991115284</v>
      </c>
      <c r="AG100" s="197">
        <f t="shared" si="54"/>
        <v>876941647.5</v>
      </c>
      <c r="AH100" s="197">
        <f t="shared" si="54"/>
        <v>739530572.5</v>
      </c>
      <c r="AI100" s="197">
        <f t="shared" si="54"/>
        <v>622922794</v>
      </c>
      <c r="AJ100" s="197">
        <f t="shared" si="54"/>
        <v>383130399</v>
      </c>
      <c r="AK100" s="197">
        <f t="shared" si="54"/>
        <v>372940514</v>
      </c>
      <c r="AL100" s="197">
        <f t="shared" si="54"/>
        <v>323013142</v>
      </c>
      <c r="AM100" s="197">
        <f t="shared" si="54"/>
        <v>235673024.5</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0.93314999063504556</v>
      </c>
      <c r="F101" s="252">
        <f t="shared" ref="F101:BQ101" si="56">F100/F84</f>
        <v>0.99343142386314365</v>
      </c>
      <c r="G101" s="252">
        <f t="shared" si="56"/>
        <v>0.86390088475421045</v>
      </c>
      <c r="H101" s="252">
        <f t="shared" si="56"/>
        <v>0.81460702103540061</v>
      </c>
      <c r="I101" s="252">
        <f t="shared" si="56"/>
        <v>0.81500626801309273</v>
      </c>
      <c r="J101" s="252">
        <f t="shared" si="56"/>
        <v>0.82610468721026775</v>
      </c>
      <c r="K101" s="252">
        <f t="shared" si="56"/>
        <v>0.94152510613954499</v>
      </c>
      <c r="L101" s="252">
        <f t="shared" si="56"/>
        <v>1.0075032407441891</v>
      </c>
      <c r="M101" s="252">
        <f t="shared" si="56"/>
        <v>0.99350327740393896</v>
      </c>
      <c r="N101" s="252">
        <f t="shared" si="56"/>
        <v>0.97683625796344187</v>
      </c>
      <c r="O101" s="252">
        <f t="shared" si="56"/>
        <v>0.98009930919560828</v>
      </c>
      <c r="P101" s="252">
        <f t="shared" si="56"/>
        <v>0.92469325254022916</v>
      </c>
      <c r="Q101" s="252">
        <f t="shared" si="56"/>
        <v>0.9279505012430953</v>
      </c>
      <c r="R101" s="252">
        <f t="shared" si="56"/>
        <v>0.91990687817647798</v>
      </c>
      <c r="S101" s="252">
        <f t="shared" si="56"/>
        <v>0.69342394091443293</v>
      </c>
      <c r="T101" s="252">
        <f t="shared" si="56"/>
        <v>0.71574758039062114</v>
      </c>
      <c r="U101" s="252">
        <f t="shared" si="56"/>
        <v>0.70437514184020011</v>
      </c>
      <c r="V101" s="252">
        <f t="shared" si="56"/>
        <v>0.68246155135173781</v>
      </c>
      <c r="W101" s="252">
        <f t="shared" si="56"/>
        <v>0.88739360682569024</v>
      </c>
      <c r="X101" s="252">
        <f t="shared" si="56"/>
        <v>0.8888261594550767</v>
      </c>
      <c r="Y101" s="252">
        <f t="shared" si="56"/>
        <v>0.86251110222873939</v>
      </c>
      <c r="Z101" s="252">
        <f t="shared" si="56"/>
        <v>0.9002967558240218</v>
      </c>
      <c r="AA101" s="252">
        <f t="shared" si="56"/>
        <v>0.90149800716207829</v>
      </c>
      <c r="AB101" s="252">
        <f t="shared" si="56"/>
        <v>0.85321224308943011</v>
      </c>
      <c r="AC101" s="252">
        <f t="shared" si="56"/>
        <v>0.83335197708102904</v>
      </c>
      <c r="AD101" s="252">
        <f t="shared" si="56"/>
        <v>0.80058030000148483</v>
      </c>
      <c r="AE101" s="252">
        <f t="shared" si="56"/>
        <v>0.77994672059517234</v>
      </c>
      <c r="AF101" s="252">
        <f t="shared" si="56"/>
        <v>0.81508217428793484</v>
      </c>
      <c r="AG101" s="252">
        <f t="shared" si="56"/>
        <v>0.86997983656320488</v>
      </c>
      <c r="AH101" s="252">
        <f t="shared" si="56"/>
        <v>0.88775465124262065</v>
      </c>
      <c r="AI101" s="252">
        <f t="shared" si="56"/>
        <v>0.8042907227605206</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8" width="19.33203125" hidden="1" customWidth="1"/>
    <col min="9" max="9" width="19.33203125" bestFit="1" customWidth="1"/>
    <col min="10" max="10" width="21.44140625" hidden="1" customWidth="1"/>
    <col min="11" max="12" width="19.33203125" hidden="1" customWidth="1"/>
    <col min="13" max="13" width="19.33203125" bestFit="1" customWidth="1"/>
    <col min="14" max="14" width="21.44140625" hidden="1" customWidth="1"/>
    <col min="15" max="16" width="19.33203125" hidden="1" customWidth="1"/>
    <col min="17" max="17" width="19.332031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20.21875" hidden="1" customWidth="1"/>
    <col min="37" max="37" width="19.33203125" bestFit="1" customWidth="1"/>
    <col min="38" max="39" width="19.33203125" hidden="1" customWidth="1"/>
    <col min="40" max="40" width="17.777343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12076365191</v>
      </c>
      <c r="F2" s="26">
        <f>现金流量表!F4</f>
        <v>8192771057</v>
      </c>
      <c r="G2" s="26">
        <f>现金流量表!G4</f>
        <v>5138316315</v>
      </c>
      <c r="H2" s="26">
        <f>现金流量表!H4</f>
        <v>2280047600</v>
      </c>
      <c r="I2" s="26">
        <f>现金流量表!I4</f>
        <v>9498688592</v>
      </c>
      <c r="J2" s="26">
        <f>现金流量表!J4</f>
        <v>6819736946</v>
      </c>
      <c r="K2" s="26">
        <f>现金流量表!K4</f>
        <v>4256726138</v>
      </c>
      <c r="L2" s="26">
        <f>现金流量表!L4</f>
        <v>2163839596</v>
      </c>
      <c r="M2" s="26">
        <f>现金流量表!M4</f>
        <v>8812835085</v>
      </c>
      <c r="N2" s="26">
        <f>现金流量表!N4</f>
        <v>6633711924</v>
      </c>
      <c r="O2" s="26">
        <f>现金流量表!O4</f>
        <v>4143601432</v>
      </c>
      <c r="P2" s="26">
        <f>现金流量表!P4</f>
        <v>1932180671</v>
      </c>
      <c r="Q2" s="26">
        <f>现金流量表!Q4</f>
        <v>8857754812</v>
      </c>
      <c r="R2" s="26">
        <f>现金流量表!R4</f>
        <v>6590141128</v>
      </c>
      <c r="S2" s="26">
        <f>现金流量表!S4</f>
        <v>4114178253</v>
      </c>
      <c r="T2" s="26">
        <f>现金流量表!T4</f>
        <v>1767382837</v>
      </c>
      <c r="U2" s="26">
        <f>现金流量表!U4</f>
        <v>7434265847</v>
      </c>
      <c r="V2" s="26">
        <f>现金流量表!V4</f>
        <v>5267389775</v>
      </c>
      <c r="W2" s="26">
        <f>现金流量表!W4</f>
        <v>3321264935</v>
      </c>
      <c r="X2" s="26">
        <f>现金流量表!X4</f>
        <v>1420413218</v>
      </c>
      <c r="Y2" s="26">
        <f>现金流量表!Y4</f>
        <v>6499050754</v>
      </c>
      <c r="Z2" s="26">
        <f>现金流量表!Z4</f>
        <v>4818904579</v>
      </c>
      <c r="AA2" s="26">
        <f>现金流量表!AA4</f>
        <v>3163957763</v>
      </c>
      <c r="AB2" s="26">
        <f>现金流量表!AB4</f>
        <v>1428950317</v>
      </c>
      <c r="AC2" s="26">
        <f>现金流量表!AC4</f>
        <v>5140776972</v>
      </c>
      <c r="AD2" s="26">
        <f>现金流量表!AD4</f>
        <v>3931550482</v>
      </c>
      <c r="AE2" s="26">
        <f>现金流量表!AE4</f>
        <v>2591540548</v>
      </c>
      <c r="AF2" s="26">
        <f>现金流量表!AF4</f>
        <v>1253163749</v>
      </c>
      <c r="AG2" s="26">
        <f>现金流量表!AG4</f>
        <v>4040072677</v>
      </c>
      <c r="AH2" s="26">
        <f>现金流量表!AH4</f>
        <v>2783835684</v>
      </c>
      <c r="AI2" s="26">
        <f>现金流量表!AI4</f>
        <v>1700074640</v>
      </c>
      <c r="AJ2" s="26">
        <f>现金流量表!AJ4</f>
        <v>754615333</v>
      </c>
      <c r="AK2" s="26">
        <f>现金流量表!AK4</f>
        <v>3230517442</v>
      </c>
      <c r="AL2" s="26">
        <f>现金流量表!AL4</f>
        <v>2220293380</v>
      </c>
      <c r="AM2" s="26">
        <f>现金流量表!AM4</f>
        <v>1343440991</v>
      </c>
      <c r="AN2" s="26">
        <f>现金流量表!AN4</f>
        <v>566972788</v>
      </c>
      <c r="AO2" s="26">
        <f>现金流量表!AO4</f>
        <v>2726223461</v>
      </c>
      <c r="AP2" s="26">
        <f>现金流量表!AP4</f>
        <v>2171484511</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11434948841</v>
      </c>
      <c r="F3" s="26">
        <f>利润表!F3</f>
        <v>7910226267</v>
      </c>
      <c r="G3" s="26">
        <f>利润表!G3</f>
        <v>4941976922</v>
      </c>
      <c r="H3" s="26">
        <f>利润表!H3</f>
        <v>2434199647</v>
      </c>
      <c r="I3" s="26">
        <f>利润表!I3</f>
        <v>8565943415</v>
      </c>
      <c r="J3" s="26">
        <f>利润表!J3</f>
        <v>6252875047</v>
      </c>
      <c r="K3" s="26">
        <f>利润表!K3</f>
        <v>4096412765</v>
      </c>
      <c r="L3" s="26">
        <f>利润表!L3</f>
        <v>2004327919</v>
      </c>
      <c r="M3" s="26">
        <f>利润表!M3</f>
        <v>7763339982</v>
      </c>
      <c r="N3" s="26">
        <f>利润表!N3</f>
        <v>5818520501</v>
      </c>
      <c r="O3" s="26">
        <f>利润表!O3</f>
        <v>3835606919</v>
      </c>
      <c r="P3" s="26">
        <f>利润表!P3</f>
        <v>1892650277</v>
      </c>
      <c r="Q3" s="26">
        <f>利润表!Q3</f>
        <v>8023421289</v>
      </c>
      <c r="R3" s="26">
        <f>利润表!R3</f>
        <v>5986277356</v>
      </c>
      <c r="S3" s="26">
        <f>利润表!S3</f>
        <v>3967165098</v>
      </c>
      <c r="T3" s="26">
        <f>利润表!T3</f>
        <v>1940287290</v>
      </c>
      <c r="U3" s="26">
        <f>利润表!U3</f>
        <v>6831281981</v>
      </c>
      <c r="V3" s="26">
        <f>利润表!V3</f>
        <v>4929174842</v>
      </c>
      <c r="W3" s="26">
        <f>利润表!W3</f>
        <v>3181354078</v>
      </c>
      <c r="X3" s="26">
        <f>利润表!X3</f>
        <v>1461330801</v>
      </c>
      <c r="Y3" s="26">
        <f>利润表!Y3</f>
        <v>5885278617</v>
      </c>
      <c r="Z3" s="26">
        <f>利润表!Z3</f>
        <v>4353708800</v>
      </c>
      <c r="AA3" s="26">
        <f>利润表!AA3</f>
        <v>2775582920</v>
      </c>
      <c r="AB3" s="26">
        <f>利润表!AB3</f>
        <v>1235735236</v>
      </c>
      <c r="AC3" s="26">
        <f>利润表!AC3</f>
        <v>5147848758</v>
      </c>
      <c r="AD3" s="26">
        <f>利润表!AD3</f>
        <v>3647054388</v>
      </c>
      <c r="AE3" s="26">
        <f>利润表!AE3</f>
        <v>2311450599</v>
      </c>
      <c r="AF3" s="26">
        <f>利润表!AF3</f>
        <v>1075326251</v>
      </c>
      <c r="AG3" s="26">
        <f>利润表!AG3</f>
        <v>4026399958</v>
      </c>
      <c r="AH3" s="26">
        <f>利润表!AH3</f>
        <v>2848000427</v>
      </c>
      <c r="AI3" s="26">
        <f>利润表!AI3</f>
        <v>1785904167</v>
      </c>
      <c r="AJ3" s="26">
        <f>利润表!AJ3</f>
        <v>813017762</v>
      </c>
      <c r="AK3" s="26">
        <f>利润表!AK3</f>
        <v>3245985345</v>
      </c>
      <c r="AL3" s="26">
        <f>利润表!AL3</f>
        <v>2347475020</v>
      </c>
      <c r="AM3" s="26">
        <f>利润表!AM3</f>
        <v>1471579835</v>
      </c>
      <c r="AN3" s="26">
        <f>利润表!AN3</f>
        <v>658678544</v>
      </c>
      <c r="AO3" s="26">
        <f>利润表!AO3</f>
        <v>2621391286</v>
      </c>
      <c r="AP3" s="26">
        <f>利润表!AP3</f>
        <v>2029326550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0.90264327317486348</v>
      </c>
      <c r="F5" s="28">
        <f t="shared" ref="F5:BQ5" si="2">(F2/(1+F4))/F3</f>
        <v>0.88522985164140133</v>
      </c>
      <c r="G5" s="28">
        <f t="shared" si="2"/>
        <v>0.8886571943716266</v>
      </c>
      <c r="H5" s="28">
        <f t="shared" si="2"/>
        <v>0.80057469192404029</v>
      </c>
      <c r="I5" s="28">
        <f t="shared" si="2"/>
        <v>0.94776919071203769</v>
      </c>
      <c r="J5" s="28">
        <f t="shared" si="2"/>
        <v>0.93218478744073918</v>
      </c>
      <c r="K5" s="28">
        <f t="shared" si="2"/>
        <v>0.88814962678109621</v>
      </c>
      <c r="L5" s="28">
        <f t="shared" si="2"/>
        <v>0.9227210450969886</v>
      </c>
      <c r="M5" s="28">
        <f t="shared" si="2"/>
        <v>0.97024446912689388</v>
      </c>
      <c r="N5" s="28">
        <f t="shared" si="2"/>
        <v>0.97444689767916182</v>
      </c>
      <c r="O5" s="28">
        <f t="shared" si="2"/>
        <v>0.92333228098186293</v>
      </c>
      <c r="P5" s="28">
        <f t="shared" si="2"/>
        <v>0.87255236268891057</v>
      </c>
      <c r="Q5" s="28">
        <f t="shared" si="2"/>
        <v>0.9435788469597598</v>
      </c>
      <c r="R5" s="28">
        <f t="shared" si="2"/>
        <v>0.94091852410669619</v>
      </c>
      <c r="S5" s="28">
        <f t="shared" si="2"/>
        <v>0.88637391748670036</v>
      </c>
      <c r="T5" s="28">
        <f t="shared" si="2"/>
        <v>0.77853605966131001</v>
      </c>
      <c r="U5" s="28">
        <f t="shared" si="2"/>
        <v>0.93014362328725442</v>
      </c>
      <c r="V5" s="28">
        <f t="shared" si="2"/>
        <v>0.91334608469849898</v>
      </c>
      <c r="W5" s="28">
        <f t="shared" si="2"/>
        <v>0.892289229376523</v>
      </c>
      <c r="X5" s="28">
        <f t="shared" si="2"/>
        <v>0.83076904327358492</v>
      </c>
      <c r="Y5" s="28">
        <f t="shared" si="2"/>
        <v>0.94383708838232461</v>
      </c>
      <c r="Z5" s="28">
        <f t="shared" si="2"/>
        <v>0.94602603242393302</v>
      </c>
      <c r="AA5" s="28">
        <f t="shared" si="2"/>
        <v>0.97429530380360763</v>
      </c>
      <c r="AB5" s="28">
        <f t="shared" si="2"/>
        <v>0.9883387813867901</v>
      </c>
      <c r="AC5" s="28">
        <f t="shared" si="2"/>
        <v>0.85352672122829143</v>
      </c>
      <c r="AD5" s="28">
        <f t="shared" si="2"/>
        <v>0.92137357981867241</v>
      </c>
      <c r="AE5" s="28">
        <f t="shared" si="2"/>
        <v>0.95826920217364386</v>
      </c>
      <c r="AF5" s="28">
        <f t="shared" si="2"/>
        <v>0.99605131591865825</v>
      </c>
      <c r="AG5" s="28">
        <f t="shared" si="2"/>
        <v>0.85760322027240354</v>
      </c>
      <c r="AH5" s="28">
        <f t="shared" si="2"/>
        <v>0.8354446565051511</v>
      </c>
      <c r="AI5" s="28">
        <f t="shared" si="2"/>
        <v>0.81362442325453621</v>
      </c>
      <c r="AJ5" s="28">
        <f t="shared" si="2"/>
        <v>0.79330415672452437</v>
      </c>
      <c r="AK5" s="28">
        <f t="shared" si="2"/>
        <v>0.85062799900084551</v>
      </c>
      <c r="AL5" s="28">
        <f t="shared" si="2"/>
        <v>0.80839482141652341</v>
      </c>
      <c r="AM5" s="28">
        <f t="shared" si="2"/>
        <v>0.78027717962570697</v>
      </c>
      <c r="AN5" s="28">
        <f t="shared" si="2"/>
        <v>0.73570352474655154</v>
      </c>
      <c r="AO5" s="28">
        <f t="shared" si="2"/>
        <v>0.88888123442942668</v>
      </c>
      <c r="AP5" s="28">
        <f t="shared" si="2"/>
        <v>0.91457418103624943</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7875394429</v>
      </c>
      <c r="F6" s="26">
        <f>现金流量表!F8</f>
        <v>4931699436</v>
      </c>
      <c r="G6" s="26">
        <f>现金流量表!G8</f>
        <v>2901558859</v>
      </c>
      <c r="H6" s="26">
        <f>现金流量表!H8</f>
        <v>1328939479</v>
      </c>
      <c r="I6" s="26">
        <f>现金流量表!I8</f>
        <v>5128587866</v>
      </c>
      <c r="J6" s="26">
        <f>现金流量表!J8</f>
        <v>3366008552</v>
      </c>
      <c r="K6" s="26">
        <f>现金流量表!K8</f>
        <v>2085617211</v>
      </c>
      <c r="L6" s="26">
        <f>现金流量表!L8</f>
        <v>992467387</v>
      </c>
      <c r="M6" s="26">
        <f>现金流量表!M8</f>
        <v>5123611306</v>
      </c>
      <c r="N6" s="26">
        <f>现金流量表!N8</f>
        <v>3492799859</v>
      </c>
      <c r="O6" s="26">
        <f>现金流量表!O8</f>
        <v>2165618993</v>
      </c>
      <c r="P6" s="26">
        <f>现金流量表!P8</f>
        <v>1112022966</v>
      </c>
      <c r="Q6" s="26">
        <f>现金流量表!Q8</f>
        <v>5348553679</v>
      </c>
      <c r="R6" s="26">
        <f>现金流量表!R8</f>
        <v>3616990486</v>
      </c>
      <c r="S6" s="26">
        <f>现金流量表!S8</f>
        <v>2138658259</v>
      </c>
      <c r="T6" s="26">
        <f>现金流量表!T8</f>
        <v>1018954583</v>
      </c>
      <c r="U6" s="26">
        <f>现金流量表!U8</f>
        <v>4762387649</v>
      </c>
      <c r="V6" s="26">
        <f>现金流量表!V8</f>
        <v>2928686922</v>
      </c>
      <c r="W6" s="26">
        <f>现金流量表!W8</f>
        <v>1847612063</v>
      </c>
      <c r="X6" s="26">
        <f>现金流量表!X8</f>
        <v>926135815</v>
      </c>
      <c r="Y6" s="26">
        <f>现金流量表!Y8</f>
        <v>4370036284</v>
      </c>
      <c r="Z6" s="26">
        <f>现金流量表!Z8</f>
        <v>3192590944</v>
      </c>
      <c r="AA6" s="26">
        <f>现金流量表!AA8</f>
        <v>1864537487</v>
      </c>
      <c r="AB6" s="26">
        <f>现金流量表!AB8</f>
        <v>934535637</v>
      </c>
      <c r="AC6" s="26">
        <f>现金流量表!AC8</f>
        <v>3453938148</v>
      </c>
      <c r="AD6" s="26">
        <f>现金流量表!AD8</f>
        <v>2810036595</v>
      </c>
      <c r="AE6" s="26">
        <f>现金流量表!AE8</f>
        <v>1806620737</v>
      </c>
      <c r="AF6" s="26">
        <f>现金流量表!AF8</f>
        <v>880681227</v>
      </c>
      <c r="AG6" s="26">
        <f>现金流量表!AG8</f>
        <v>2934258891</v>
      </c>
      <c r="AH6" s="26">
        <f>现金流量表!AH8</f>
        <v>2261970201</v>
      </c>
      <c r="AI6" s="26">
        <f>现金流量表!AI8</f>
        <v>1493128893</v>
      </c>
      <c r="AJ6" s="26">
        <f>现金流量表!AJ8</f>
        <v>671147686</v>
      </c>
      <c r="AK6" s="26">
        <f>现金流量表!AK8</f>
        <v>2210503504</v>
      </c>
      <c r="AL6" s="26">
        <f>现金流量表!AL8</f>
        <v>1543692486</v>
      </c>
      <c r="AM6" s="26">
        <f>现金流量表!AM8</f>
        <v>916915440</v>
      </c>
      <c r="AN6" s="26">
        <f>现金流量表!AN8</f>
        <v>386607587</v>
      </c>
      <c r="AO6" s="26">
        <f>现金流量表!AO8</f>
        <v>1844060904</v>
      </c>
      <c r="AP6" s="26">
        <f>现金流量表!AP8</f>
        <v>1548125853</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1329918275</v>
      </c>
      <c r="F7" s="26">
        <f>现金流量表!F9</f>
        <v>1136996133</v>
      </c>
      <c r="G7" s="26">
        <f>现金流量表!G9</f>
        <v>722801520</v>
      </c>
      <c r="H7" s="26">
        <f>现金流量表!H9</f>
        <v>380955210</v>
      </c>
      <c r="I7" s="26">
        <f>现金流量表!I9</f>
        <v>1284102585</v>
      </c>
      <c r="J7" s="26">
        <f>现金流量表!J9</f>
        <v>1075175363</v>
      </c>
      <c r="K7" s="26">
        <f>现金流量表!K9</f>
        <v>698022751</v>
      </c>
      <c r="L7" s="26">
        <f>现金流量表!L9</f>
        <v>395038375</v>
      </c>
      <c r="M7" s="26">
        <f>现金流量表!M9</f>
        <v>1176949411</v>
      </c>
      <c r="N7" s="26">
        <f>现金流量表!N9</f>
        <v>1009204608</v>
      </c>
      <c r="O7" s="26">
        <f>现金流量表!O9</f>
        <v>684818632</v>
      </c>
      <c r="P7" s="26">
        <f>现金流量表!P9</f>
        <v>365914989</v>
      </c>
      <c r="Q7" s="26">
        <f>现金流量表!Q9</f>
        <v>1178996542</v>
      </c>
      <c r="R7" s="26">
        <f>现金流量表!R9</f>
        <v>886965565</v>
      </c>
      <c r="S7" s="26">
        <f>现金流量表!S9</f>
        <v>602651003</v>
      </c>
      <c r="T7" s="26">
        <f>现金流量表!T9</f>
        <v>306206463</v>
      </c>
      <c r="U7" s="26">
        <f>现金流量表!U9</f>
        <v>978854249</v>
      </c>
      <c r="V7" s="26">
        <f>现金流量表!V9</f>
        <v>688950559</v>
      </c>
      <c r="W7" s="26">
        <f>现金流量表!W9</f>
        <v>430520267</v>
      </c>
      <c r="X7" s="26">
        <f>现金流量表!X9</f>
        <v>224332274</v>
      </c>
      <c r="Y7" s="26">
        <f>现金流量表!Y9</f>
        <v>754888814</v>
      </c>
      <c r="Z7" s="26">
        <f>现金流量表!Z9</f>
        <v>529507513</v>
      </c>
      <c r="AA7" s="26">
        <f>现金流量表!AA9</f>
        <v>327500693</v>
      </c>
      <c r="AB7" s="26">
        <f>现金流量表!AB9</f>
        <v>170996864</v>
      </c>
      <c r="AC7" s="26">
        <f>现金流量表!AC9</f>
        <v>556226888</v>
      </c>
      <c r="AD7" s="26">
        <f>现金流量表!AD9</f>
        <v>387659818</v>
      </c>
      <c r="AE7" s="26">
        <f>现金流量表!AE9</f>
        <v>237570789</v>
      </c>
      <c r="AF7" s="26">
        <f>现金流量表!AF9</f>
        <v>126403305</v>
      </c>
      <c r="AG7" s="26">
        <f>现金流量表!AG9</f>
        <v>412739237</v>
      </c>
      <c r="AH7" s="26">
        <f>现金流量表!AH9</f>
        <v>298336325</v>
      </c>
      <c r="AI7" s="26">
        <f>现金流量表!AI9</f>
        <v>193906917</v>
      </c>
      <c r="AJ7" s="26">
        <f>现金流量表!AJ9</f>
        <v>100745683</v>
      </c>
      <c r="AK7" s="26">
        <f>现金流量表!AK9</f>
        <v>316121257</v>
      </c>
      <c r="AL7" s="26">
        <f>现金流量表!AL9</f>
        <v>225893427</v>
      </c>
      <c r="AM7" s="26">
        <f>现金流量表!AM9</f>
        <v>138924664</v>
      </c>
      <c r="AN7" s="26">
        <f>现金流量表!AN9</f>
        <v>78208971</v>
      </c>
      <c r="AO7" s="26">
        <f>现金流量表!AO9</f>
        <v>235618249</v>
      </c>
      <c r="AP7" s="26">
        <f>现金流量表!AP9</f>
        <v>177953233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5567764890</v>
      </c>
      <c r="F8" s="58">
        <f>利润表!F6</f>
        <v>4147561099</v>
      </c>
      <c r="G8" s="58">
        <f>利润表!G6</f>
        <v>2735385730</v>
      </c>
      <c r="H8" s="58">
        <f>利润表!H6</f>
        <v>1367610341</v>
      </c>
      <c r="I8" s="58">
        <f>利润表!I6</f>
        <v>4854665753</v>
      </c>
      <c r="J8" s="58">
        <f>利润表!J6</f>
        <v>3655928230</v>
      </c>
      <c r="K8" s="58">
        <f>利润表!K6</f>
        <v>2395055109</v>
      </c>
      <c r="L8" s="58">
        <f>利润表!L6</f>
        <v>1162918698</v>
      </c>
      <c r="M8" s="58">
        <f>利润表!M6</f>
        <v>4505536126</v>
      </c>
      <c r="N8" s="58">
        <f>利润表!N6</f>
        <v>3421555615</v>
      </c>
      <c r="O8" s="58">
        <f>利润表!O6</f>
        <v>2260649526</v>
      </c>
      <c r="P8" s="58">
        <f>利润表!P6</f>
        <v>1109672221</v>
      </c>
      <c r="Q8" s="58">
        <f>利润表!Q6</f>
        <v>4607806540</v>
      </c>
      <c r="R8" s="58">
        <f>利润表!R6</f>
        <v>3443390838</v>
      </c>
      <c r="S8" s="58">
        <f>利润表!S6</f>
        <v>2297385511</v>
      </c>
      <c r="T8" s="58">
        <f>利润表!T6</f>
        <v>1177544493</v>
      </c>
      <c r="U8" s="58">
        <f>利润表!U6</f>
        <v>3712055490</v>
      </c>
      <c r="V8" s="58">
        <f>利润表!V6</f>
        <v>2668974541</v>
      </c>
      <c r="W8" s="58">
        <f>利润表!W6</f>
        <v>1743325019</v>
      </c>
      <c r="X8" s="58">
        <f>利润表!X6</f>
        <v>835704897</v>
      </c>
      <c r="Y8" s="58">
        <f>利润表!Y6</f>
        <v>3374228753</v>
      </c>
      <c r="Z8" s="58">
        <f>利润表!Z6</f>
        <v>2538011252</v>
      </c>
      <c r="AA8" s="58">
        <f>利润表!AA6</f>
        <v>1662668132</v>
      </c>
      <c r="AB8" s="58">
        <f>利润表!AB6</f>
        <v>775720710</v>
      </c>
      <c r="AC8" s="58">
        <f>利润表!AC6</f>
        <v>2944996642</v>
      </c>
      <c r="AD8" s="58">
        <f>利润表!AD6</f>
        <v>2033397474</v>
      </c>
      <c r="AE8" s="58">
        <f>利润表!AE6</f>
        <v>1291379496</v>
      </c>
      <c r="AF8" s="58">
        <f>利润表!AF6</f>
        <v>637732213</v>
      </c>
      <c r="AG8" s="58">
        <f>利润表!AG6</f>
        <v>2373501496</v>
      </c>
      <c r="AH8" s="58">
        <f>利润表!AH6</f>
        <v>1709252716</v>
      </c>
      <c r="AI8" s="58">
        <f>利润表!AI6</f>
        <v>1079157650</v>
      </c>
      <c r="AJ8" s="58">
        <f>利润表!AJ6</f>
        <v>510433114</v>
      </c>
      <c r="AK8" s="58">
        <f>利润表!AK6</f>
        <v>1991066392</v>
      </c>
      <c r="AL8" s="58">
        <f>利润表!AL6</f>
        <v>1448227523</v>
      </c>
      <c r="AM8" s="58">
        <f>利润表!AM6</f>
        <v>929114167</v>
      </c>
      <c r="AN8" s="58">
        <f>利润表!AN6</f>
        <v>430284199</v>
      </c>
      <c r="AO8" s="58">
        <f>利润表!AO6</f>
        <v>1673006487</v>
      </c>
      <c r="AP8" s="58">
        <f>利润表!AP6</f>
        <v>1297556695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184611624</v>
      </c>
      <c r="F9" s="58">
        <f>利润表!F7</f>
        <v>127131509</v>
      </c>
      <c r="G9" s="58">
        <f>利润表!G7</f>
        <v>79873142</v>
      </c>
      <c r="H9" s="58">
        <f>利润表!H7</f>
        <v>34112184</v>
      </c>
      <c r="I9" s="58">
        <f>利润表!I7</f>
        <v>118874479</v>
      </c>
      <c r="J9" s="58">
        <f>利润表!J7</f>
        <v>55745659</v>
      </c>
      <c r="K9" s="58">
        <f>利润表!K7</f>
        <v>34917968</v>
      </c>
      <c r="L9" s="58">
        <f>利润表!L7</f>
        <v>16921985</v>
      </c>
      <c r="M9" s="58">
        <f>利润表!M7</f>
        <v>75601000</v>
      </c>
      <c r="N9" s="58">
        <f>利润表!N7</f>
        <v>53640386</v>
      </c>
      <c r="O9" s="58">
        <f>利润表!O7</f>
        <v>35888520</v>
      </c>
      <c r="P9" s="58">
        <f>利润表!P7</f>
        <v>17123039</v>
      </c>
      <c r="Q9" s="58">
        <f>利润表!Q7</f>
        <v>71494637</v>
      </c>
      <c r="R9" s="58">
        <f>利润表!R7</f>
        <v>52845082</v>
      </c>
      <c r="S9" s="58">
        <f>利润表!S7</f>
        <v>36346655</v>
      </c>
      <c r="T9" s="58">
        <f>利润表!T7</f>
        <v>16650193</v>
      </c>
      <c r="U9" s="58">
        <f>利润表!U7</f>
        <v>66638406</v>
      </c>
      <c r="V9" s="58">
        <f>利润表!V7</f>
        <v>46405072</v>
      </c>
      <c r="W9" s="58">
        <f>利润表!W7</f>
        <v>30266978</v>
      </c>
      <c r="X9" s="58">
        <f>利润表!X7</f>
        <v>11969879</v>
      </c>
      <c r="Y9" s="58">
        <f>利润表!Y7</f>
        <v>59131232</v>
      </c>
      <c r="Z9" s="58">
        <f>利润表!Z7</f>
        <v>42564961</v>
      </c>
      <c r="AA9" s="58">
        <f>利润表!AA7</f>
        <v>27679796</v>
      </c>
      <c r="AB9" s="58">
        <f>利润表!AB7</f>
        <v>10785761</v>
      </c>
      <c r="AC9" s="58">
        <f>利润表!AC7</f>
        <v>44037393</v>
      </c>
      <c r="AD9" s="58">
        <f>利润表!AD7</f>
        <v>31059996</v>
      </c>
      <c r="AE9" s="58">
        <f>利润表!AE7</f>
        <v>19931706</v>
      </c>
      <c r="AF9" s="58">
        <f>利润表!AF7</f>
        <v>8494646</v>
      </c>
      <c r="AG9" s="58">
        <f>利润表!AG7</f>
        <v>31382046</v>
      </c>
      <c r="AH9" s="58">
        <f>利润表!AH7</f>
        <v>20823699</v>
      </c>
      <c r="AI9" s="58">
        <f>利润表!AI7</f>
        <v>12953612</v>
      </c>
      <c r="AJ9" s="58">
        <f>利润表!AJ7</f>
        <v>5570544</v>
      </c>
      <c r="AK9" s="58">
        <f>利润表!AK7</f>
        <v>25671908</v>
      </c>
      <c r="AL9" s="58">
        <f>利润表!AL7</f>
        <v>18895354</v>
      </c>
      <c r="AM9" s="58">
        <f>利润表!AM7</f>
        <v>11609707</v>
      </c>
      <c r="AN9" s="58">
        <f>利润表!AN7</f>
        <v>5095496</v>
      </c>
      <c r="AO9" s="58">
        <f>利润表!AO7</f>
        <v>19701337</v>
      </c>
      <c r="AP9" s="58">
        <f>利润表!AP7</f>
        <v>13198119</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3073854652</v>
      </c>
      <c r="F10" s="58">
        <f>利润表!F8</f>
        <v>1704336301</v>
      </c>
      <c r="G10" s="58">
        <f>利润表!G8</f>
        <v>862245688</v>
      </c>
      <c r="H10" s="58">
        <f>利润表!H8</f>
        <v>351912428</v>
      </c>
      <c r="I10" s="58">
        <f>利润表!I8</f>
        <v>1254482776</v>
      </c>
      <c r="J10" s="58">
        <f>利润表!J8</f>
        <v>848138326</v>
      </c>
      <c r="K10" s="58">
        <f>利润表!K8</f>
        <v>513674864</v>
      </c>
      <c r="L10" s="58">
        <f>利润表!L8</f>
        <v>240728870</v>
      </c>
      <c r="M10" s="58">
        <f>利润表!M8</f>
        <v>1027936868</v>
      </c>
      <c r="N10" s="58">
        <f>利润表!N8</f>
        <v>759799990</v>
      </c>
      <c r="O10" s="58">
        <f>利润表!O8</f>
        <v>475971194</v>
      </c>
      <c r="P10" s="58">
        <f>利润表!P8</f>
        <v>241650249</v>
      </c>
      <c r="Q10" s="58">
        <f>利润表!Q8</f>
        <v>1048872374</v>
      </c>
      <c r="R10" s="58">
        <f>利润表!R8</f>
        <v>792993951</v>
      </c>
      <c r="S10" s="58">
        <f>利润表!S8</f>
        <v>516766863</v>
      </c>
      <c r="T10" s="58">
        <f>利润表!T8</f>
        <v>248540691</v>
      </c>
      <c r="U10" s="58">
        <f>利润表!U8</f>
        <v>887038828</v>
      </c>
      <c r="V10" s="58">
        <f>利润表!V8</f>
        <v>626987603</v>
      </c>
      <c r="W10" s="58">
        <f>利润表!W8</f>
        <v>406716430</v>
      </c>
      <c r="X10" s="58">
        <f>利润表!X8</f>
        <v>191492781</v>
      </c>
      <c r="Y10" s="58">
        <f>利润表!Y8</f>
        <v>696745226</v>
      </c>
      <c r="Z10" s="58">
        <f>利润表!Z8</f>
        <v>528388630</v>
      </c>
      <c r="AA10" s="58">
        <f>利润表!AA8</f>
        <v>330655134</v>
      </c>
      <c r="AB10" s="58">
        <f>利润表!AB8</f>
        <v>154531032</v>
      </c>
      <c r="AC10" s="58">
        <f>利润表!AC8</f>
        <v>692364218</v>
      </c>
      <c r="AD10" s="58">
        <f>利润表!AD8</f>
        <v>520039681</v>
      </c>
      <c r="AE10" s="58">
        <f>利润表!AE8</f>
        <v>362503272</v>
      </c>
      <c r="AF10" s="58">
        <f>利润表!AF8</f>
        <v>184708227</v>
      </c>
      <c r="AG10" s="58">
        <f>利润表!AG8</f>
        <v>592443804</v>
      </c>
      <c r="AH10" s="58">
        <f>利润表!AH8</f>
        <v>438005584</v>
      </c>
      <c r="AI10" s="58">
        <f>利润表!AI8</f>
        <v>277373928</v>
      </c>
      <c r="AJ10" s="58">
        <f>利润表!AJ8</f>
        <v>133201394</v>
      </c>
      <c r="AK10" s="58">
        <f>利润表!AK8</f>
        <v>500889281</v>
      </c>
      <c r="AL10" s="58">
        <f>利润表!AL8</f>
        <v>377616264</v>
      </c>
      <c r="AM10" s="58">
        <f>利润表!AM8</f>
        <v>227561911</v>
      </c>
      <c r="AN10" s="58">
        <f>利润表!AN8</f>
        <v>100813043</v>
      </c>
      <c r="AO10" s="58">
        <f>利润表!AO8</f>
        <v>394463783</v>
      </c>
      <c r="AP10" s="58">
        <f>利润表!AP8</f>
        <v>311085363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1450093310</v>
      </c>
      <c r="F11" s="58">
        <f>利润表!F9</f>
        <v>980169095</v>
      </c>
      <c r="G11" s="58">
        <f>利润表!G9</f>
        <v>643354788</v>
      </c>
      <c r="H11" s="58">
        <f>利润表!H9</f>
        <v>345089547</v>
      </c>
      <c r="I11" s="58">
        <f>利润表!I9</f>
        <v>1251982426</v>
      </c>
      <c r="J11" s="58">
        <f>利润表!J9</f>
        <v>864495345</v>
      </c>
      <c r="K11" s="58">
        <f>利润表!K9</f>
        <v>560890132</v>
      </c>
      <c r="L11" s="58">
        <f>利润表!L9</f>
        <v>279073543</v>
      </c>
      <c r="M11" s="58">
        <f>利润表!M9</f>
        <v>1061016496</v>
      </c>
      <c r="N11" s="58">
        <f>利润表!N9</f>
        <v>744383996</v>
      </c>
      <c r="O11" s="58">
        <f>利润表!O9</f>
        <v>475305428</v>
      </c>
      <c r="P11" s="58">
        <f>利润表!P9</f>
        <v>219814062</v>
      </c>
      <c r="Q11" s="58">
        <f>利润表!Q9</f>
        <v>855345809</v>
      </c>
      <c r="R11" s="58">
        <f>利润表!R9</f>
        <v>615676147</v>
      </c>
      <c r="S11" s="58">
        <f>利润表!S9</f>
        <v>407805250</v>
      </c>
      <c r="T11" s="58">
        <f>利润表!T9</f>
        <v>196061666</v>
      </c>
      <c r="U11" s="58">
        <f>利润表!U9</f>
        <v>695188446</v>
      </c>
      <c r="V11" s="58">
        <f>利润表!V9</f>
        <v>526659832</v>
      </c>
      <c r="W11" s="58">
        <f>利润表!W9</f>
        <v>338093787</v>
      </c>
      <c r="X11" s="58">
        <f>利润表!X9</f>
        <v>163756845</v>
      </c>
      <c r="Y11" s="58">
        <f>利润表!Y9</f>
        <v>518868813</v>
      </c>
      <c r="Z11" s="58">
        <f>利润表!Z9</f>
        <v>366707315</v>
      </c>
      <c r="AA11" s="58">
        <f>利润表!AA9</f>
        <v>228966029</v>
      </c>
      <c r="AB11" s="58">
        <f>利润表!AB9</f>
        <v>102201560</v>
      </c>
      <c r="AC11" s="58">
        <f>利润表!AC9</f>
        <v>392151251</v>
      </c>
      <c r="AD11" s="58">
        <f>利润表!AD9</f>
        <v>282033365</v>
      </c>
      <c r="AE11" s="58">
        <f>利润表!AE9</f>
        <v>173614225</v>
      </c>
      <c r="AF11" s="58">
        <f>利润表!AF9</f>
        <v>75472141</v>
      </c>
      <c r="AG11" s="58">
        <f>利润表!AG9</f>
        <v>262997850</v>
      </c>
      <c r="AH11" s="58">
        <f>利润表!AH9</f>
        <v>157181660</v>
      </c>
      <c r="AI11" s="58">
        <f>利润表!AI9</f>
        <v>97136759</v>
      </c>
      <c r="AJ11" s="58">
        <f>利润表!AJ9</f>
        <v>44684349</v>
      </c>
      <c r="AK11" s="58">
        <f>利润表!AK9</f>
        <v>172115313</v>
      </c>
      <c r="AL11" s="58">
        <f>利润表!AL9</f>
        <v>114706020</v>
      </c>
      <c r="AM11" s="58">
        <f>利润表!AM9</f>
        <v>71987965</v>
      </c>
      <c r="AN11" s="58">
        <f>利润表!AN9</f>
        <v>32633264</v>
      </c>
      <c r="AO11" s="58">
        <f>利润表!AO9</f>
        <v>130631648</v>
      </c>
      <c r="AP11" s="58">
        <f>利润表!AP9</f>
        <v>122377308</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10276324476</v>
      </c>
      <c r="F12" s="58">
        <f t="shared" ref="F12:BQ12" si="4">SUM(F8:F11)</f>
        <v>6959198004</v>
      </c>
      <c r="G12" s="58">
        <f t="shared" si="4"/>
        <v>4320859348</v>
      </c>
      <c r="H12" s="58">
        <f t="shared" si="4"/>
        <v>2098724500</v>
      </c>
      <c r="I12" s="58">
        <f t="shared" si="4"/>
        <v>7480005434</v>
      </c>
      <c r="J12" s="58">
        <f t="shared" si="4"/>
        <v>5424307560</v>
      </c>
      <c r="K12" s="58">
        <f t="shared" si="4"/>
        <v>3504538073</v>
      </c>
      <c r="L12" s="58">
        <f t="shared" si="4"/>
        <v>1699643096</v>
      </c>
      <c r="M12" s="58">
        <f t="shared" si="4"/>
        <v>6670090490</v>
      </c>
      <c r="N12" s="58">
        <f t="shared" si="4"/>
        <v>4979379987</v>
      </c>
      <c r="O12" s="58">
        <f t="shared" si="4"/>
        <v>3247814668</v>
      </c>
      <c r="P12" s="58">
        <f t="shared" si="4"/>
        <v>1588259571</v>
      </c>
      <c r="Q12" s="58">
        <f t="shared" si="4"/>
        <v>6583519360</v>
      </c>
      <c r="R12" s="58">
        <f t="shared" si="4"/>
        <v>4904906018</v>
      </c>
      <c r="S12" s="58">
        <f t="shared" si="4"/>
        <v>3258304279</v>
      </c>
      <c r="T12" s="58">
        <f t="shared" si="4"/>
        <v>1638797043</v>
      </c>
      <c r="U12" s="58">
        <f t="shared" si="4"/>
        <v>5360921170</v>
      </c>
      <c r="V12" s="58">
        <f t="shared" si="4"/>
        <v>3869027048</v>
      </c>
      <c r="W12" s="58">
        <f t="shared" si="4"/>
        <v>2518402214</v>
      </c>
      <c r="X12" s="58">
        <f t="shared" si="4"/>
        <v>1202924402</v>
      </c>
      <c r="Y12" s="58">
        <f t="shared" si="4"/>
        <v>4648974024</v>
      </c>
      <c r="Z12" s="58">
        <f t="shared" si="4"/>
        <v>3475672158</v>
      </c>
      <c r="AA12" s="58">
        <f t="shared" si="4"/>
        <v>2249969091</v>
      </c>
      <c r="AB12" s="58">
        <f t="shared" si="4"/>
        <v>1043239063</v>
      </c>
      <c r="AC12" s="58">
        <f t="shared" si="4"/>
        <v>4073549504</v>
      </c>
      <c r="AD12" s="58">
        <f t="shared" si="4"/>
        <v>2866530516</v>
      </c>
      <c r="AE12" s="58">
        <f t="shared" si="4"/>
        <v>1847428699</v>
      </c>
      <c r="AF12" s="58">
        <f t="shared" si="4"/>
        <v>906407227</v>
      </c>
      <c r="AG12" s="58">
        <f t="shared" si="4"/>
        <v>3260325196</v>
      </c>
      <c r="AH12" s="58">
        <f t="shared" si="4"/>
        <v>2325263659</v>
      </c>
      <c r="AI12" s="58">
        <f t="shared" si="4"/>
        <v>1466621949</v>
      </c>
      <c r="AJ12" s="58">
        <f t="shared" si="4"/>
        <v>693889401</v>
      </c>
      <c r="AK12" s="58">
        <f t="shared" si="4"/>
        <v>2689742894</v>
      </c>
      <c r="AL12" s="58">
        <f t="shared" si="4"/>
        <v>1959445161</v>
      </c>
      <c r="AM12" s="58">
        <f t="shared" si="4"/>
        <v>1240273750</v>
      </c>
      <c r="AN12" s="58">
        <f t="shared" si="4"/>
        <v>568826002</v>
      </c>
      <c r="AO12" s="58">
        <f t="shared" si="4"/>
        <v>2217803255</v>
      </c>
      <c r="AP12" s="58">
        <f t="shared" si="4"/>
        <v>1744217485</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0.78442682920327145</v>
      </c>
      <c r="F13" s="28">
        <f t="shared" ref="F13:BQ13" si="6">(F6/(1+F4)+F7)/F12</f>
        <v>0.7690719322830929</v>
      </c>
      <c r="G13" s="28">
        <f t="shared" si="6"/>
        <v>0.74123365256834939</v>
      </c>
      <c r="H13" s="28">
        <f t="shared" si="6"/>
        <v>0.72272512116145238</v>
      </c>
      <c r="I13" s="28">
        <f t="shared" si="6"/>
        <v>0.75768808826224077</v>
      </c>
      <c r="J13" s="28">
        <f t="shared" si="6"/>
        <v>0.72859175214703098</v>
      </c>
      <c r="K13" s="28">
        <f t="shared" si="6"/>
        <v>0.70782554281027865</v>
      </c>
      <c r="L13" s="28">
        <f t="shared" si="6"/>
        <v>0.73150716280238637</v>
      </c>
      <c r="M13" s="28">
        <f t="shared" si="6"/>
        <v>0.83298785552055721</v>
      </c>
      <c r="N13" s="28">
        <f t="shared" si="6"/>
        <v>0.80220903871868432</v>
      </c>
      <c r="O13" s="28">
        <f t="shared" si="6"/>
        <v>0.78076346574142153</v>
      </c>
      <c r="P13" s="28">
        <f t="shared" si="6"/>
        <v>0.82880782998107272</v>
      </c>
      <c r="Q13" s="28">
        <f t="shared" si="6"/>
        <v>0.87345530990505071</v>
      </c>
      <c r="R13" s="28">
        <f t="shared" si="6"/>
        <v>0.81110839029924509</v>
      </c>
      <c r="S13" s="28">
        <f t="shared" si="6"/>
        <v>0.74595981122619459</v>
      </c>
      <c r="T13" s="28">
        <f t="shared" si="6"/>
        <v>0.71827553083487783</v>
      </c>
      <c r="U13" s="28">
        <f t="shared" si="6"/>
        <v>0.94186631045296521</v>
      </c>
      <c r="V13" s="28">
        <f t="shared" si="6"/>
        <v>0.82503992212582111</v>
      </c>
      <c r="W13" s="28">
        <f t="shared" si="6"/>
        <v>0.79799639042157766</v>
      </c>
      <c r="X13" s="28">
        <f t="shared" si="6"/>
        <v>0.84452634343481603</v>
      </c>
      <c r="Y13" s="28">
        <f t="shared" si="6"/>
        <v>0.96579643977992402</v>
      </c>
      <c r="Z13" s="28">
        <f t="shared" si="6"/>
        <v>0.93743528544472365</v>
      </c>
      <c r="AA13" s="28">
        <f t="shared" si="6"/>
        <v>0.85384394143247533</v>
      </c>
      <c r="AB13" s="28">
        <f t="shared" si="6"/>
        <v>0.92955230117979937</v>
      </c>
      <c r="AC13" s="28">
        <f t="shared" si="6"/>
        <v>0.861241718490108</v>
      </c>
      <c r="AD13" s="28">
        <f t="shared" si="6"/>
        <v>0.97309290165155871</v>
      </c>
      <c r="AE13" s="28">
        <f t="shared" si="6"/>
        <v>0.96441669332007496</v>
      </c>
      <c r="AF13" s="28">
        <f t="shared" si="6"/>
        <v>0.96989771953340509</v>
      </c>
      <c r="AG13" s="28">
        <f t="shared" si="6"/>
        <v>0.89581641200532636</v>
      </c>
      <c r="AH13" s="28">
        <f t="shared" si="6"/>
        <v>0.95973812710009088</v>
      </c>
      <c r="AI13" s="28">
        <f t="shared" si="6"/>
        <v>1.0023615554287884</v>
      </c>
      <c r="AJ13" s="28">
        <f t="shared" si="6"/>
        <v>0.97187849084136813</v>
      </c>
      <c r="AK13" s="28">
        <f t="shared" si="6"/>
        <v>0.81994472263787832</v>
      </c>
      <c r="AL13" s="28">
        <f t="shared" si="6"/>
        <v>0.78863585719890794</v>
      </c>
      <c r="AM13" s="28">
        <f t="shared" si="6"/>
        <v>0.74387857862541262</v>
      </c>
      <c r="AN13" s="28">
        <f t="shared" si="6"/>
        <v>0.71839684649777147</v>
      </c>
      <c r="AO13" s="28">
        <f t="shared" si="6"/>
        <v>0.8169068539712423</v>
      </c>
      <c r="AP13" s="28">
        <f t="shared" si="6"/>
        <v>0.86063678162450585</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1102520828</v>
      </c>
      <c r="F14" s="26">
        <f>现金流量表!F13</f>
        <v>843713178</v>
      </c>
      <c r="G14" s="26">
        <f>现金流量表!G13</f>
        <v>704639130</v>
      </c>
      <c r="H14" s="26">
        <f>现金流量表!H13</f>
        <v>207044923</v>
      </c>
      <c r="I14" s="26">
        <f>现金流量表!I13</f>
        <v>1725407415</v>
      </c>
      <c r="J14" s="26">
        <f>现金流量表!J13</f>
        <v>1488042574</v>
      </c>
      <c r="K14" s="26">
        <f>现金流量表!K13</f>
        <v>937393207</v>
      </c>
      <c r="L14" s="26">
        <f>现金流量表!L13</f>
        <v>534132570</v>
      </c>
      <c r="M14" s="26">
        <f>现金流量表!M13</f>
        <v>1239429436</v>
      </c>
      <c r="N14" s="26">
        <f>现金流量表!N13</f>
        <v>1137480228</v>
      </c>
      <c r="O14" s="26">
        <f>现金流量表!O13</f>
        <v>652067110</v>
      </c>
      <c r="P14" s="26">
        <f>现金流量表!P13</f>
        <v>61723002</v>
      </c>
      <c r="Q14" s="26">
        <f>现金流量表!Q13</f>
        <v>1218735938</v>
      </c>
      <c r="R14" s="26">
        <f>现金流量表!R13</f>
        <v>1011385882</v>
      </c>
      <c r="S14" s="26">
        <f>现金流量表!S13</f>
        <v>633948520</v>
      </c>
      <c r="T14" s="26">
        <f>现金流量表!T13</f>
        <v>75302437</v>
      </c>
      <c r="U14" s="26">
        <f>现金流量表!U13</f>
        <v>1050373845</v>
      </c>
      <c r="V14" s="26">
        <f>现金流量表!V13</f>
        <v>819615540</v>
      </c>
      <c r="W14" s="26">
        <f>现金流量表!W13</f>
        <v>458221124</v>
      </c>
      <c r="X14" s="26">
        <f>现金流量表!X13</f>
        <v>45511568</v>
      </c>
      <c r="Y14" s="26">
        <f>现金流量表!Y13</f>
        <v>402771467</v>
      </c>
      <c r="Z14" s="26">
        <f>现金流量表!Z13</f>
        <v>307462860</v>
      </c>
      <c r="AA14" s="26">
        <f>现金流量表!AA13</f>
        <v>431363962</v>
      </c>
      <c r="AB14" s="26">
        <f>现金流量表!AB13</f>
        <v>122100378</v>
      </c>
      <c r="AC14" s="26">
        <f>现金流量表!AC13</f>
        <v>342931058</v>
      </c>
      <c r="AD14" s="26">
        <f>现金流量表!AD13</f>
        <v>215312869</v>
      </c>
      <c r="AE14" s="26">
        <f>现金流量表!AE13</f>
        <v>192451861</v>
      </c>
      <c r="AF14" s="26">
        <f>现金流量表!AF13</f>
        <v>53979185</v>
      </c>
      <c r="AG14" s="26">
        <f>现金流量表!AG13</f>
        <v>149292039</v>
      </c>
      <c r="AH14" s="26">
        <f>现金流量表!AH13</f>
        <v>-181739621</v>
      </c>
      <c r="AI14" s="26">
        <f>现金流量表!AI13</f>
        <v>-248943029</v>
      </c>
      <c r="AJ14" s="26">
        <f>现金流量表!AJ13</f>
        <v>-107419641</v>
      </c>
      <c r="AK14" s="26">
        <f>现金流量表!AK13</f>
        <v>250688633</v>
      </c>
      <c r="AL14" s="26">
        <f>现金流量表!AL13</f>
        <v>94073305</v>
      </c>
      <c r="AM14" s="26">
        <f>现金流量表!AM13</f>
        <v>82139739</v>
      </c>
      <c r="AN14" s="26">
        <f>现金流量表!AN13</f>
        <v>17468177</v>
      </c>
      <c r="AO14" s="26">
        <f>现金流量表!AO13</f>
        <v>221075877</v>
      </c>
      <c r="AP14" s="26">
        <f>现金流量表!AP13</f>
        <v>168423194</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526890014.12240762</v>
      </c>
      <c r="F15" s="26">
        <f>股权价值增加表!F17</f>
        <v>750399884.18391991</v>
      </c>
      <c r="G15" s="26">
        <f>股权价值增加表!G17</f>
        <v>490412106.32828569</v>
      </c>
      <c r="H15" s="26">
        <f>股权价值增加表!H17</f>
        <v>328897362.79385149</v>
      </c>
      <c r="I15" s="26">
        <f>股权价值增加表!I17</f>
        <v>865650712.83259571</v>
      </c>
      <c r="J15" s="26">
        <f>股权价值增加表!J17</f>
        <v>766587112.82434523</v>
      </c>
      <c r="K15" s="26">
        <f>股权价值增加表!K17</f>
        <v>538232797.33408797</v>
      </c>
      <c r="L15" s="26">
        <f>股权价值增加表!L17</f>
        <v>294123119.76550567</v>
      </c>
      <c r="M15" s="26">
        <f>股权价值增加表!M17</f>
        <v>692420789.2546773</v>
      </c>
      <c r="N15" s="26">
        <f>股权价值增加表!N17</f>
        <v>676417762.67197788</v>
      </c>
      <c r="O15" s="26">
        <f>股权价值增加表!O17</f>
        <v>486734189.05530655</v>
      </c>
      <c r="P15" s="26">
        <f>股权价值增加表!P17</f>
        <v>257032301.85906723</v>
      </c>
      <c r="Q15" s="26">
        <f>股权价值增加表!Q17</f>
        <v>1155241596.3514321</v>
      </c>
      <c r="R15" s="26">
        <f>股权价值增加表!R17</f>
        <v>970740025.6179074</v>
      </c>
      <c r="S15" s="26">
        <f>股权价值增加表!S17</f>
        <v>627419536.69600773</v>
      </c>
      <c r="T15" s="26">
        <f>股权价值增加表!T17</f>
        <v>269786151.69487375</v>
      </c>
      <c r="U15" s="26">
        <f>股权价值增加表!U17</f>
        <v>1213462524.334265</v>
      </c>
      <c r="V15" s="26">
        <f>股权价值增加表!V17</f>
        <v>955553931.20155954</v>
      </c>
      <c r="W15" s="26">
        <f>股权价值增加表!W17</f>
        <v>602338088.1228869</v>
      </c>
      <c r="X15" s="26">
        <f>股权价值增加表!X17</f>
        <v>239137152.05657282</v>
      </c>
      <c r="Y15" s="26">
        <f>股权价值增加表!Y17</f>
        <v>1164926652.9638162</v>
      </c>
      <c r="Z15" s="26">
        <f>股权价值增加表!Z17</f>
        <v>815874602.88204658</v>
      </c>
      <c r="AA15" s="26">
        <f>股权价值增加表!AA17</f>
        <v>487742653.76366258</v>
      </c>
      <c r="AB15" s="26">
        <f>股权价值增加表!AB17</f>
        <v>185881290.91455272</v>
      </c>
      <c r="AC15" s="26">
        <f>股权价值增加表!AC17</f>
        <v>967668011.75975609</v>
      </c>
      <c r="AD15" s="26">
        <f>股权价值增加表!AD17</f>
        <v>689576355.39499319</v>
      </c>
      <c r="AE15" s="26">
        <f>股权价值增加表!AE17</f>
        <v>410698125.18566549</v>
      </c>
      <c r="AF15" s="26">
        <f>股权价值增加表!AF17</f>
        <v>145898558.5397853</v>
      </c>
      <c r="AG15" s="26">
        <f>股权价值增加表!AG17</f>
        <v>666087352.64682925</v>
      </c>
      <c r="AH15" s="26">
        <f>股权价值增加表!AH17</f>
        <v>463622532.26655751</v>
      </c>
      <c r="AI15" s="26">
        <f>股权价值增加表!AI17</f>
        <v>281424479.06068873</v>
      </c>
      <c r="AJ15" s="26">
        <f>股权价值增加表!AJ17</f>
        <v>102290074.36801204</v>
      </c>
      <c r="AK15" s="26">
        <f>股权价值增加表!AK17</f>
        <v>472491116.29005718</v>
      </c>
      <c r="AL15" s="26">
        <f>股权价值增加表!AL17</f>
        <v>317467038.97768486</v>
      </c>
      <c r="AM15" s="26">
        <f>股权价值增加表!AM17</f>
        <v>188242968.47116175</v>
      </c>
      <c r="AN15" s="26">
        <f>股权价值增加表!AN17</f>
        <v>74905212.438274682</v>
      </c>
      <c r="AO15" s="26">
        <f>股权价值增加表!AO17</f>
        <v>352519618.40676355</v>
      </c>
      <c r="AP15" s="26">
        <f>股权价值增加表!AP17</f>
        <v>241285225.28316107</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2.092506592360396</v>
      </c>
      <c r="F16" s="28">
        <f t="shared" ref="F16:BQ16" si="8">F14/F15</f>
        <v>1.124351423531416</v>
      </c>
      <c r="G16" s="28">
        <f t="shared" si="8"/>
        <v>1.4368306183867106</v>
      </c>
      <c r="H16" s="28">
        <f t="shared" si="8"/>
        <v>0.62951226255278003</v>
      </c>
      <c r="I16" s="28">
        <f t="shared" si="8"/>
        <v>1.9931912368605289</v>
      </c>
      <c r="J16" s="28">
        <f t="shared" si="8"/>
        <v>1.9411265192256997</v>
      </c>
      <c r="K16" s="28">
        <f t="shared" si="8"/>
        <v>1.7416129445158059</v>
      </c>
      <c r="L16" s="28">
        <f t="shared" si="8"/>
        <v>1.8160169470045255</v>
      </c>
      <c r="M16" s="28">
        <f t="shared" si="8"/>
        <v>1.789994545562567</v>
      </c>
      <c r="N16" s="28">
        <f t="shared" si="8"/>
        <v>1.6816238288993748</v>
      </c>
      <c r="O16" s="28">
        <f t="shared" si="8"/>
        <v>1.3396780515163422</v>
      </c>
      <c r="P16" s="28">
        <f t="shared" si="8"/>
        <v>0.24013714056003432</v>
      </c>
      <c r="Q16" s="28">
        <f t="shared" si="8"/>
        <v>1.0549619593417519</v>
      </c>
      <c r="R16" s="28">
        <f t="shared" si="8"/>
        <v>1.0418710007926377</v>
      </c>
      <c r="S16" s="28">
        <f t="shared" si="8"/>
        <v>1.0104060886251229</v>
      </c>
      <c r="T16" s="28">
        <f t="shared" si="8"/>
        <v>0.27911898563706311</v>
      </c>
      <c r="U16" s="28">
        <f t="shared" si="8"/>
        <v>0.86560056362371851</v>
      </c>
      <c r="V16" s="28">
        <f t="shared" si="8"/>
        <v>0.85773865109777314</v>
      </c>
      <c r="W16" s="28">
        <f t="shared" si="8"/>
        <v>0.76073742145045187</v>
      </c>
      <c r="X16" s="28">
        <f t="shared" si="8"/>
        <v>0.19031575649622731</v>
      </c>
      <c r="Y16" s="28">
        <f t="shared" si="8"/>
        <v>0.34574834902718166</v>
      </c>
      <c r="Z16" s="28">
        <f t="shared" si="8"/>
        <v>0.37685063233234484</v>
      </c>
      <c r="AA16" s="28">
        <f t="shared" si="8"/>
        <v>0.88440893711342072</v>
      </c>
      <c r="AB16" s="28">
        <f t="shared" si="8"/>
        <v>0.65687287515195925</v>
      </c>
      <c r="AC16" s="28">
        <f t="shared" si="8"/>
        <v>0.35438916429237077</v>
      </c>
      <c r="AD16" s="28">
        <f t="shared" si="8"/>
        <v>0.31223934422268235</v>
      </c>
      <c r="AE16" s="28">
        <f t="shared" si="8"/>
        <v>0.46859688223070833</v>
      </c>
      <c r="AF16" s="28">
        <f t="shared" si="8"/>
        <v>0.36997750725056228</v>
      </c>
      <c r="AG16" s="28">
        <f t="shared" si="8"/>
        <v>0.22413282343037844</v>
      </c>
      <c r="AH16" s="28">
        <f t="shared" si="8"/>
        <v>-0.39199911210421862</v>
      </c>
      <c r="AI16" s="28">
        <f t="shared" si="8"/>
        <v>-0.88458200164711276</v>
      </c>
      <c r="AJ16" s="28">
        <f t="shared" si="8"/>
        <v>-1.0501472568446197</v>
      </c>
      <c r="AK16" s="28">
        <f t="shared" si="8"/>
        <v>0.53056792891340832</v>
      </c>
      <c r="AL16" s="28">
        <f t="shared" si="8"/>
        <v>0.2963246367337446</v>
      </c>
      <c r="AM16" s="28">
        <f t="shared" si="8"/>
        <v>0.43634957346406039</v>
      </c>
      <c r="AN16" s="28">
        <f t="shared" si="8"/>
        <v>0.23320375754083303</v>
      </c>
      <c r="AO16" s="28">
        <f t="shared" si="8"/>
        <v>0.62713070551695105</v>
      </c>
      <c r="AP16" s="28">
        <f t="shared" si="8"/>
        <v>0.69802530926767858</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600947377</v>
      </c>
      <c r="F17" s="26">
        <f>股权价值增加表!F42</f>
        <v>769037642</v>
      </c>
      <c r="G17" s="26">
        <f>股权价值增加表!G42</f>
        <v>514082165</v>
      </c>
      <c r="H17" s="26">
        <f>股权价值增加表!H42</f>
        <v>465426601</v>
      </c>
      <c r="I17" s="26">
        <f>股权价值增加表!I42</f>
        <v>756077374</v>
      </c>
      <c r="J17" s="26">
        <f>股权价值增加表!J42</f>
        <v>744258410</v>
      </c>
      <c r="K17" s="26">
        <f>股权价值增加表!K42</f>
        <v>526624796</v>
      </c>
      <c r="L17" s="26">
        <f>股权价值增加表!L42</f>
        <v>309681570</v>
      </c>
      <c r="M17" s="26">
        <f>股权价值增加表!M42</f>
        <v>237669971</v>
      </c>
      <c r="N17" s="26">
        <f>股权价值增加表!N42</f>
        <v>337645822</v>
      </c>
      <c r="O17" s="26">
        <f>股权价值增加表!O42</f>
        <v>319660315</v>
      </c>
      <c r="P17" s="26">
        <f>股权价值增加表!P42</f>
        <v>185728956</v>
      </c>
      <c r="Q17" s="26">
        <f>股权价值增加表!Q42</f>
        <v>1063677662</v>
      </c>
      <c r="R17" s="26">
        <f>股权价值增加表!R42</f>
        <v>925187872</v>
      </c>
      <c r="S17" s="26">
        <f>股权价值增加表!S42</f>
        <v>562117166</v>
      </c>
      <c r="T17" s="26">
        <f>股权价值增加表!T42</f>
        <v>226781008</v>
      </c>
      <c r="U17" s="26">
        <f>股权价值增加表!U42</f>
        <v>1075248135</v>
      </c>
      <c r="V17" s="26">
        <f>股权价值增加表!V42</f>
        <v>859196421</v>
      </c>
      <c r="W17" s="26">
        <f>股权价值增加表!W42</f>
        <v>540799550</v>
      </c>
      <c r="X17" s="26">
        <f>股权价值增加表!X42</f>
        <v>209576925</v>
      </c>
      <c r="Y17" s="26">
        <f>股权价值增加表!Y42</f>
        <v>1087061380</v>
      </c>
      <c r="Z17" s="26">
        <f>股权价值增加表!Z42</f>
        <v>767324567</v>
      </c>
      <c r="AA17" s="26">
        <f>股权价值增加表!AA42</f>
        <v>461921157</v>
      </c>
      <c r="AB17" s="26">
        <f>股权价值增加表!AB42</f>
        <v>168495611</v>
      </c>
      <c r="AC17" s="26">
        <f>股权价值增加表!AC42</f>
        <v>958407365</v>
      </c>
      <c r="AD17" s="26">
        <f>股权价值增加表!AD42</f>
        <v>684420118</v>
      </c>
      <c r="AE17" s="26">
        <f>股权价值增加表!AE42</f>
        <v>408049193</v>
      </c>
      <c r="AF17" s="26">
        <f>股权价值增加表!AF42</f>
        <v>145177997</v>
      </c>
      <c r="AG17" s="26">
        <f>股权价值增加表!AG42</f>
        <v>658859524</v>
      </c>
      <c r="AH17" s="26">
        <f>股权价值增加表!AH42</f>
        <v>452371012</v>
      </c>
      <c r="AI17" s="26">
        <f>股权价值增加表!AI42</f>
        <v>260653615</v>
      </c>
      <c r="AJ17" s="26">
        <f>股权价值增加表!AJ42</f>
        <v>93093999</v>
      </c>
      <c r="AK17" s="26">
        <f>股权价值增加表!AK42</f>
        <v>434171234</v>
      </c>
      <c r="AL17" s="26">
        <f>股权价值增加表!AL42</f>
        <v>292412210</v>
      </c>
      <c r="AM17" s="26">
        <f>股权价值增加表!AM42</f>
        <v>171657051</v>
      </c>
      <c r="AN17" s="26">
        <f>股权价值增加表!AN42</f>
        <v>66975897</v>
      </c>
      <c r="AO17" s="26">
        <f>股权价值增加表!AO42</f>
        <v>310964569</v>
      </c>
      <c r="AP17" s="26">
        <f>股权价值增加表!AP42</f>
        <v>215485911</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1.8346378904321268</v>
      </c>
      <c r="F18" s="28">
        <f t="shared" ref="F18:BQ18" si="10">F14/F17</f>
        <v>1.0971025758970587</v>
      </c>
      <c r="G18" s="28">
        <f t="shared" si="10"/>
        <v>1.3706741411657415</v>
      </c>
      <c r="H18" s="28">
        <f t="shared" si="10"/>
        <v>0.44484978416607518</v>
      </c>
      <c r="I18" s="28">
        <f t="shared" si="10"/>
        <v>2.282051380365735</v>
      </c>
      <c r="J18" s="28">
        <f t="shared" si="10"/>
        <v>1.9993627938984257</v>
      </c>
      <c r="K18" s="28">
        <f t="shared" si="10"/>
        <v>1.780002032034967</v>
      </c>
      <c r="L18" s="28">
        <f t="shared" si="10"/>
        <v>1.7247799731834219</v>
      </c>
      <c r="M18" s="28">
        <f t="shared" si="10"/>
        <v>5.2149181101217028</v>
      </c>
      <c r="N18" s="28">
        <f t="shared" si="10"/>
        <v>3.3688562211796005</v>
      </c>
      <c r="O18" s="28">
        <f t="shared" si="10"/>
        <v>2.0398750780183645</v>
      </c>
      <c r="P18" s="28">
        <f t="shared" si="10"/>
        <v>0.33232837425737749</v>
      </c>
      <c r="Q18" s="28">
        <f t="shared" si="10"/>
        <v>1.1457756250220097</v>
      </c>
      <c r="R18" s="28">
        <f t="shared" si="10"/>
        <v>1.0931681149404431</v>
      </c>
      <c r="S18" s="28">
        <f t="shared" si="10"/>
        <v>1.1277871560321644</v>
      </c>
      <c r="T18" s="28">
        <f t="shared" si="10"/>
        <v>0.33204913261519675</v>
      </c>
      <c r="U18" s="28">
        <f t="shared" si="10"/>
        <v>0.9768664653391842</v>
      </c>
      <c r="V18" s="28">
        <f t="shared" si="10"/>
        <v>0.95393267472653964</v>
      </c>
      <c r="W18" s="28">
        <f t="shared" si="10"/>
        <v>0.84730307930174864</v>
      </c>
      <c r="X18" s="28">
        <f t="shared" si="10"/>
        <v>0.21715925071426637</v>
      </c>
      <c r="Y18" s="28">
        <f t="shared" si="10"/>
        <v>0.37051400630201764</v>
      </c>
      <c r="Z18" s="28">
        <f t="shared" si="10"/>
        <v>0.40069466458252989</v>
      </c>
      <c r="AA18" s="28">
        <f t="shared" si="10"/>
        <v>0.93384759598703548</v>
      </c>
      <c r="AB18" s="28">
        <f t="shared" si="10"/>
        <v>0.72465019875206127</v>
      </c>
      <c r="AC18" s="28">
        <f t="shared" si="10"/>
        <v>0.35781346275443116</v>
      </c>
      <c r="AD18" s="28">
        <f t="shared" si="10"/>
        <v>0.31459167160249957</v>
      </c>
      <c r="AE18" s="28">
        <f t="shared" si="10"/>
        <v>0.47163887173770247</v>
      </c>
      <c r="AF18" s="28">
        <f t="shared" si="10"/>
        <v>0.37181381556049431</v>
      </c>
      <c r="AG18" s="28">
        <f t="shared" si="10"/>
        <v>0.22659160801627876</v>
      </c>
      <c r="AH18" s="28">
        <f t="shared" si="10"/>
        <v>-0.40174904266412192</v>
      </c>
      <c r="AI18" s="28">
        <f t="shared" si="10"/>
        <v>-0.95507222871242359</v>
      </c>
      <c r="AJ18" s="28">
        <f t="shared" si="10"/>
        <v>-1.1538836246576969</v>
      </c>
      <c r="AK18" s="28">
        <f t="shared" si="10"/>
        <v>0.57739576777212287</v>
      </c>
      <c r="AL18" s="28">
        <f t="shared" si="10"/>
        <v>0.32171469515585549</v>
      </c>
      <c r="AM18" s="28">
        <f t="shared" si="10"/>
        <v>0.47851071960918168</v>
      </c>
      <c r="AN18" s="28">
        <f t="shared" si="10"/>
        <v>0.26081288616410764</v>
      </c>
      <c r="AO18" s="28">
        <f t="shared" si="10"/>
        <v>0.71093590408365781</v>
      </c>
      <c r="AP18" s="28">
        <f t="shared" si="10"/>
        <v>0.78159724326478119</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306371225</v>
      </c>
      <c r="F19" s="26">
        <f>现金流量表!F48</f>
        <v>0</v>
      </c>
      <c r="G19" s="26">
        <f>现金流量表!G48</f>
        <v>51310092</v>
      </c>
      <c r="H19" s="26">
        <f>现金流量表!H48</f>
        <v>0</v>
      </c>
      <c r="I19" s="26">
        <f>现金流量表!I48</f>
        <v>140914753</v>
      </c>
      <c r="J19" s="26">
        <f>现金流量表!J48</f>
        <v>0</v>
      </c>
      <c r="K19" s="26">
        <f>现金流量表!K48</f>
        <v>35069524</v>
      </c>
      <c r="L19" s="26">
        <f>现金流量表!L48</f>
        <v>0</v>
      </c>
      <c r="M19" s="26">
        <f>现金流量表!M48</f>
        <v>87149089</v>
      </c>
      <c r="N19" s="26">
        <f>现金流量表!N48</f>
        <v>0</v>
      </c>
      <c r="O19" s="26">
        <f>现金流量表!O48</f>
        <v>24296915</v>
      </c>
      <c r="P19" s="26">
        <f>现金流量表!P48</f>
        <v>0</v>
      </c>
      <c r="Q19" s="26">
        <f>现金流量表!Q48</f>
        <v>153162683</v>
      </c>
      <c r="R19" s="26">
        <f>现金流量表!R48</f>
        <v>0</v>
      </c>
      <c r="S19" s="26">
        <f>现金流量表!S48</f>
        <v>2324990</v>
      </c>
      <c r="T19" s="26">
        <f>现金流量表!T48</f>
        <v>0</v>
      </c>
      <c r="U19" s="26">
        <f>现金流量表!U48</f>
        <v>160109856</v>
      </c>
      <c r="V19" s="26">
        <f>现金流量表!V48</f>
        <v>0</v>
      </c>
      <c r="W19" s="26">
        <f>现金流量表!W48</f>
        <v>1940775</v>
      </c>
      <c r="X19" s="26">
        <f>现金流量表!X48</f>
        <v>0</v>
      </c>
      <c r="Y19" s="26">
        <f>现金流量表!Y48</f>
        <v>10936196</v>
      </c>
      <c r="Z19" s="26">
        <f>现金流量表!Z48</f>
        <v>0</v>
      </c>
      <c r="AA19" s="26">
        <f>现金流量表!AA48</f>
        <v>1408314</v>
      </c>
      <c r="AB19" s="26">
        <f>现金流量表!AB48</f>
        <v>0</v>
      </c>
      <c r="AC19" s="26">
        <f>现金流量表!AC48</f>
        <v>3563206</v>
      </c>
      <c r="AD19" s="26">
        <f>现金流量表!AD48</f>
        <v>0</v>
      </c>
      <c r="AE19" s="26">
        <f>现金流量表!AE48</f>
        <v>2043528</v>
      </c>
      <c r="AF19" s="26">
        <f>现金流量表!AF48</f>
        <v>0</v>
      </c>
      <c r="AG19" s="26">
        <f>现金流量表!AG48</f>
        <v>3875863</v>
      </c>
      <c r="AH19" s="26">
        <f>现金流量表!AH48</f>
        <v>0</v>
      </c>
      <c r="AI19" s="26">
        <f>现金流量表!AI48</f>
        <v>2376264</v>
      </c>
      <c r="AJ19" s="26">
        <f>现金流量表!AJ48</f>
        <v>0</v>
      </c>
      <c r="AK19" s="26">
        <f>现金流量表!AK48</f>
        <v>4622250</v>
      </c>
      <c r="AL19" s="26">
        <f>现金流量表!AL48</f>
        <v>0</v>
      </c>
      <c r="AM19" s="26">
        <f>现金流量表!AM48</f>
        <v>3169297</v>
      </c>
      <c r="AN19" s="26">
        <f>现金流量表!AN48</f>
        <v>0</v>
      </c>
      <c r="AO19" s="26">
        <f>现金流量表!AO48</f>
        <v>3505355</v>
      </c>
      <c r="AP19" s="26">
        <f>现金流量表!AP48</f>
        <v>7966777</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732168584</v>
      </c>
      <c r="F20" s="26">
        <f>现金流量表!F49</f>
        <v>0</v>
      </c>
      <c r="G20" s="26">
        <f>现金流量表!G49</f>
        <v>369954679</v>
      </c>
      <c r="H20" s="26">
        <f>现金流量表!H49</f>
        <v>0</v>
      </c>
      <c r="I20" s="26">
        <f>现金流量表!I49</f>
        <v>581415018</v>
      </c>
      <c r="J20" s="26">
        <f>现金流量表!J49</f>
        <v>0</v>
      </c>
      <c r="K20" s="26">
        <f>现金流量表!K49</f>
        <v>261987284</v>
      </c>
      <c r="L20" s="26">
        <f>现金流量表!L49</f>
        <v>0</v>
      </c>
      <c r="M20" s="26">
        <f>现金流量表!M49</f>
        <v>501902151</v>
      </c>
      <c r="N20" s="26">
        <f>现金流量表!N49</f>
        <v>0</v>
      </c>
      <c r="O20" s="26">
        <f>现金流量表!O49</f>
        <v>250596973</v>
      </c>
      <c r="P20" s="26">
        <f>现金流量表!P49</f>
        <v>0</v>
      </c>
      <c r="Q20" s="26">
        <f>现金流量表!Q49</f>
        <v>432936867</v>
      </c>
      <c r="R20" s="26">
        <f>现金流量表!R49</f>
        <v>0</v>
      </c>
      <c r="S20" s="26">
        <f>现金流量表!S49</f>
        <v>197040898</v>
      </c>
      <c r="T20" s="26">
        <f>现金流量表!T49</f>
        <v>0</v>
      </c>
      <c r="U20" s="26">
        <f>现金流量表!U49</f>
        <v>265981607</v>
      </c>
      <c r="V20" s="26">
        <f>现金流量表!V49</f>
        <v>0</v>
      </c>
      <c r="W20" s="26">
        <f>现金流量表!W49</f>
        <v>106599609</v>
      </c>
      <c r="X20" s="26">
        <f>现金流量表!X49</f>
        <v>0</v>
      </c>
      <c r="Y20" s="26">
        <f>现金流量表!Y49</f>
        <v>171666213</v>
      </c>
      <c r="Z20" s="26">
        <f>现金流量表!Z49</f>
        <v>0</v>
      </c>
      <c r="AA20" s="26">
        <f>现金流量表!AA49</f>
        <v>80686673</v>
      </c>
      <c r="AB20" s="26">
        <f>现金流量表!AB49</f>
        <v>0</v>
      </c>
      <c r="AC20" s="26">
        <f>现金流量表!AC49</f>
        <v>137806621</v>
      </c>
      <c r="AD20" s="26">
        <f>现金流量表!AD49</f>
        <v>0</v>
      </c>
      <c r="AE20" s="26">
        <f>现金流量表!AE49</f>
        <v>63143846</v>
      </c>
      <c r="AF20" s="26">
        <f>现金流量表!AF49</f>
        <v>0</v>
      </c>
      <c r="AG20" s="26">
        <f>现金流量表!AG49</f>
        <v>88557362</v>
      </c>
      <c r="AH20" s="26">
        <f>现金流量表!AH49</f>
        <v>0</v>
      </c>
      <c r="AI20" s="26">
        <f>现金流量表!AI49</f>
        <v>41301398</v>
      </c>
      <c r="AJ20" s="26">
        <f>现金流量表!AJ49</f>
        <v>0</v>
      </c>
      <c r="AK20" s="26">
        <f>现金流量表!AK49</f>
        <v>72965535</v>
      </c>
      <c r="AL20" s="26">
        <f>现金流量表!AL49</f>
        <v>0</v>
      </c>
      <c r="AM20" s="26">
        <f>现金流量表!AM49</f>
        <v>34818948</v>
      </c>
      <c r="AN20" s="26">
        <f>现金流量表!AN49</f>
        <v>0</v>
      </c>
      <c r="AO20" s="26">
        <f>现金流量表!AO49</f>
        <v>59907215</v>
      </c>
      <c r="AP20" s="26">
        <f>现金流量表!AP49</f>
        <v>48356136</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68926149</v>
      </c>
      <c r="F21" s="26">
        <f>现金流量表!F50</f>
        <v>0</v>
      </c>
      <c r="G21" s="26">
        <f>现金流量表!G50</f>
        <v>34387326</v>
      </c>
      <c r="H21" s="26">
        <f>现金流量表!H50</f>
        <v>0</v>
      </c>
      <c r="I21" s="26">
        <f>现金流量表!I50</f>
        <v>69354134</v>
      </c>
      <c r="J21" s="26">
        <f>现金流量表!J50</f>
        <v>0</v>
      </c>
      <c r="K21" s="26">
        <f>现金流量表!K50</f>
        <v>34672560</v>
      </c>
      <c r="L21" s="26">
        <f>现金流量表!L50</f>
        <v>0</v>
      </c>
      <c r="M21" s="26">
        <f>现金流量表!M50</f>
        <v>66834918</v>
      </c>
      <c r="N21" s="26">
        <f>现金流量表!N50</f>
        <v>0</v>
      </c>
      <c r="O21" s="26">
        <f>现金流量表!O50</f>
        <v>32944773</v>
      </c>
      <c r="P21" s="26">
        <f>现金流量表!P50</f>
        <v>0</v>
      </c>
      <c r="Q21" s="26">
        <f>现金流量表!Q50</f>
        <v>63409965</v>
      </c>
      <c r="R21" s="26">
        <f>现金流量表!R50</f>
        <v>0</v>
      </c>
      <c r="S21" s="26">
        <f>现金流量表!S50</f>
        <v>30232373</v>
      </c>
      <c r="T21" s="26">
        <f>现金流量表!T50</f>
        <v>0</v>
      </c>
      <c r="U21" s="26">
        <f>现金流量表!U50</f>
        <v>59703878</v>
      </c>
      <c r="V21" s="26">
        <f>现金流量表!V50</f>
        <v>0</v>
      </c>
      <c r="W21" s="26">
        <f>现金流量表!W50</f>
        <v>29965556</v>
      </c>
      <c r="X21" s="26">
        <f>现金流量表!X50</f>
        <v>0</v>
      </c>
      <c r="Y21" s="26">
        <f>现金流量表!Y50</f>
        <v>60059749</v>
      </c>
      <c r="Z21" s="26">
        <f>现金流量表!Z50</f>
        <v>0</v>
      </c>
      <c r="AA21" s="26">
        <f>现金流量表!AA50</f>
        <v>28026031</v>
      </c>
      <c r="AB21" s="26">
        <f>现金流量表!AB50</f>
        <v>0</v>
      </c>
      <c r="AC21" s="26">
        <f>现金流量表!AC50</f>
        <v>47932379</v>
      </c>
      <c r="AD21" s="26">
        <f>现金流量表!AD50</f>
        <v>0</v>
      </c>
      <c r="AE21" s="26">
        <f>现金流量表!AE50</f>
        <v>18217175</v>
      </c>
      <c r="AF21" s="26">
        <f>现金流量表!AF50</f>
        <v>0</v>
      </c>
      <c r="AG21" s="26">
        <f>现金流量表!AG50</f>
        <v>4047939</v>
      </c>
      <c r="AH21" s="26">
        <f>现金流量表!AH50</f>
        <v>0</v>
      </c>
      <c r="AI21" s="26">
        <f>现金流量表!AI50</f>
        <v>948516</v>
      </c>
      <c r="AJ21" s="26">
        <f>现金流量表!AJ50</f>
        <v>0</v>
      </c>
      <c r="AK21" s="26">
        <f>现金流量表!AK50</f>
        <v>1924009</v>
      </c>
      <c r="AL21" s="26">
        <f>现金流量表!AL50</f>
        <v>0</v>
      </c>
      <c r="AM21" s="26">
        <f>现金流量表!AM50</f>
        <v>951294</v>
      </c>
      <c r="AN21" s="26">
        <f>现金流量表!AN50</f>
        <v>0</v>
      </c>
      <c r="AO21" s="26">
        <f>现金流量表!AO50</f>
        <v>1877061</v>
      </c>
      <c r="AP21" s="26">
        <f>现金流量表!AP50</f>
        <v>1947949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4568615</v>
      </c>
      <c r="F22" s="26">
        <f>现金流量表!F51</f>
        <v>0</v>
      </c>
      <c r="G22" s="26">
        <f>现金流量表!G51</f>
        <v>1500864</v>
      </c>
      <c r="H22" s="26">
        <f>现金流量表!H51</f>
        <v>0</v>
      </c>
      <c r="I22" s="26">
        <f>现金流量表!I51</f>
        <v>4419651</v>
      </c>
      <c r="J22" s="26">
        <f>现金流量表!J51</f>
        <v>0</v>
      </c>
      <c r="K22" s="26">
        <f>现金流量表!K51</f>
        <v>2328200</v>
      </c>
      <c r="L22" s="26">
        <f>现金流量表!L51</f>
        <v>0</v>
      </c>
      <c r="M22" s="26">
        <f>现金流量表!M51</f>
        <v>6188140</v>
      </c>
      <c r="N22" s="26">
        <f>现金流量表!N51</f>
        <v>0</v>
      </c>
      <c r="O22" s="26">
        <f>现金流量表!O51</f>
        <v>3165295</v>
      </c>
      <c r="P22" s="26">
        <f>现金流量表!P51</f>
        <v>0</v>
      </c>
      <c r="Q22" s="26">
        <f>现金流量表!Q51</f>
        <v>10564410</v>
      </c>
      <c r="R22" s="26">
        <f>现金流量表!R51</f>
        <v>0</v>
      </c>
      <c r="S22" s="26">
        <f>现金流量表!S51</f>
        <v>3324816</v>
      </c>
      <c r="T22" s="26">
        <f>现金流量表!T51</f>
        <v>0</v>
      </c>
      <c r="U22" s="26">
        <f>现金流量表!U51</f>
        <v>6228710</v>
      </c>
      <c r="V22" s="26">
        <f>现金流量表!V51</f>
        <v>0</v>
      </c>
      <c r="W22" s="26">
        <f>现金流量表!W51</f>
        <v>3091093</v>
      </c>
      <c r="X22" s="26">
        <f>现金流量表!X51</f>
        <v>0</v>
      </c>
      <c r="Y22" s="26">
        <f>现金流量表!Y51</f>
        <v>5224976</v>
      </c>
      <c r="Z22" s="26">
        <f>现金流量表!Z51</f>
        <v>0</v>
      </c>
      <c r="AA22" s="26">
        <f>现金流量表!AA51</f>
        <v>2420232</v>
      </c>
      <c r="AB22" s="26">
        <f>现金流量表!AB51</f>
        <v>0</v>
      </c>
      <c r="AC22" s="26">
        <f>现金流量表!AC51</f>
        <v>3162937</v>
      </c>
      <c r="AD22" s="26">
        <f>现金流量表!AD51</f>
        <v>0</v>
      </c>
      <c r="AE22" s="26">
        <f>现金流量表!AE51</f>
        <v>947864</v>
      </c>
      <c r="AF22" s="26">
        <f>现金流量表!AF51</f>
        <v>0</v>
      </c>
      <c r="AG22" s="26">
        <f>现金流量表!AG51</f>
        <v>533926</v>
      </c>
      <c r="AH22" s="26">
        <f>现金流量表!AH51</f>
        <v>0</v>
      </c>
      <c r="AI22" s="26">
        <f>现金流量表!AI51</f>
        <v>301586</v>
      </c>
      <c r="AJ22" s="26">
        <f>现金流量表!AJ51</f>
        <v>0</v>
      </c>
      <c r="AK22" s="26">
        <f>现金流量表!AK51</f>
        <v>459242</v>
      </c>
      <c r="AL22" s="26">
        <f>现金流量表!AL51</f>
        <v>0</v>
      </c>
      <c r="AM22" s="26">
        <f>现金流量表!AM51</f>
        <v>407004</v>
      </c>
      <c r="AN22" s="26">
        <f>现金流量表!AN51</f>
        <v>0</v>
      </c>
      <c r="AO22" s="26">
        <f>现金流量表!AO51</f>
        <v>780064</v>
      </c>
      <c r="AP22" s="26">
        <f>现金流量表!AP51</f>
        <v>148082</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21336538</v>
      </c>
      <c r="F23" s="26">
        <f>现金流量表!F54</f>
        <v>0</v>
      </c>
      <c r="G23" s="26">
        <f>现金流量表!G54</f>
        <v>2656883</v>
      </c>
      <c r="H23" s="26">
        <f>现金流量表!H54</f>
        <v>0</v>
      </c>
      <c r="I23" s="26">
        <f>现金流量表!I54</f>
        <v>14678935</v>
      </c>
      <c r="J23" s="26">
        <f>现金流量表!J54</f>
        <v>0</v>
      </c>
      <c r="K23" s="26">
        <f>现金流量表!K54</f>
        <v>10507404</v>
      </c>
      <c r="L23" s="26">
        <f>现金流量表!L54</f>
        <v>0</v>
      </c>
      <c r="M23" s="26">
        <f>现金流量表!M54</f>
        <v>4369473</v>
      </c>
      <c r="N23" s="26">
        <f>现金流量表!N54</f>
        <v>0</v>
      </c>
      <c r="O23" s="26">
        <f>现金流量表!O54</f>
        <v>1198799</v>
      </c>
      <c r="P23" s="26">
        <f>现金流量表!P54</f>
        <v>0</v>
      </c>
      <c r="Q23" s="26">
        <f>现金流量表!Q54</f>
        <v>15232162</v>
      </c>
      <c r="R23" s="26">
        <f>现金流量表!R54</f>
        <v>0</v>
      </c>
      <c r="S23" s="26">
        <f>现金流量表!S54</f>
        <v>4950431</v>
      </c>
      <c r="T23" s="26">
        <f>现金流量表!T54</f>
        <v>0</v>
      </c>
      <c r="U23" s="26">
        <f>现金流量表!U54</f>
        <v>-43777847</v>
      </c>
      <c r="V23" s="26">
        <f>现金流量表!V54</f>
        <v>0</v>
      </c>
      <c r="W23" s="26">
        <f>现金流量表!W54</f>
        <v>2984538</v>
      </c>
      <c r="X23" s="26">
        <f>现金流量表!X54</f>
        <v>0</v>
      </c>
      <c r="Y23" s="26">
        <f>现金流量表!Y54</f>
        <v>4320412</v>
      </c>
      <c r="Z23" s="26">
        <f>现金流量表!Z54</f>
        <v>0</v>
      </c>
      <c r="AA23" s="26">
        <f>现金流量表!AA54</f>
        <v>1012577</v>
      </c>
      <c r="AB23" s="26">
        <f>现金流量表!AB54</f>
        <v>0</v>
      </c>
      <c r="AC23" s="26">
        <f>现金流量表!AC54</f>
        <v>2076295</v>
      </c>
      <c r="AD23" s="26">
        <f>现金流量表!AD54</f>
        <v>0</v>
      </c>
      <c r="AE23" s="26">
        <f>现金流量表!AE54</f>
        <v>1549623</v>
      </c>
      <c r="AF23" s="26">
        <f>现金流量表!AF54</f>
        <v>0</v>
      </c>
      <c r="AG23" s="26">
        <f>现金流量表!AG54</f>
        <v>10086099</v>
      </c>
      <c r="AH23" s="26">
        <f>现金流量表!AH54</f>
        <v>0</v>
      </c>
      <c r="AI23" s="26">
        <f>现金流量表!AI54</f>
        <v>1055932</v>
      </c>
      <c r="AJ23" s="26">
        <f>现金流量表!AJ54</f>
        <v>0</v>
      </c>
      <c r="AK23" s="26">
        <f>现金流量表!AK54</f>
        <v>9642616</v>
      </c>
      <c r="AL23" s="26">
        <f>现金流量表!AL54</f>
        <v>0</v>
      </c>
      <c r="AM23" s="26">
        <f>现金流量表!AM54</f>
        <v>4255868</v>
      </c>
      <c r="AN23" s="26">
        <f>现金流量表!AN54</f>
        <v>0</v>
      </c>
      <c r="AO23" s="26">
        <f>现金流量表!AO54</f>
        <v>3628382</v>
      </c>
      <c r="AP23" s="26">
        <f>现金流量表!AP54</f>
        <v>259868</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1133371111</v>
      </c>
      <c r="F25" s="28">
        <f t="shared" ref="F25:BQ25" si="12">SUM(F19:F24)</f>
        <v>0</v>
      </c>
      <c r="G25" s="28">
        <f t="shared" si="12"/>
        <v>459809844</v>
      </c>
      <c r="H25" s="28">
        <f t="shared" si="12"/>
        <v>0</v>
      </c>
      <c r="I25" s="28">
        <f t="shared" si="12"/>
        <v>810782491</v>
      </c>
      <c r="J25" s="28">
        <f t="shared" si="12"/>
        <v>0</v>
      </c>
      <c r="K25" s="28">
        <f t="shared" si="12"/>
        <v>344564972</v>
      </c>
      <c r="L25" s="28">
        <f t="shared" si="12"/>
        <v>0</v>
      </c>
      <c r="M25" s="28">
        <f t="shared" si="12"/>
        <v>666443771</v>
      </c>
      <c r="N25" s="28">
        <f t="shared" si="12"/>
        <v>0</v>
      </c>
      <c r="O25" s="28">
        <f t="shared" si="12"/>
        <v>312202755</v>
      </c>
      <c r="P25" s="28">
        <f t="shared" si="12"/>
        <v>0</v>
      </c>
      <c r="Q25" s="28">
        <f t="shared" si="12"/>
        <v>675306087</v>
      </c>
      <c r="R25" s="28">
        <f t="shared" si="12"/>
        <v>0</v>
      </c>
      <c r="S25" s="28">
        <f t="shared" si="12"/>
        <v>237873508</v>
      </c>
      <c r="T25" s="28">
        <f t="shared" si="12"/>
        <v>0</v>
      </c>
      <c r="U25" s="28">
        <f t="shared" si="12"/>
        <v>448246204</v>
      </c>
      <c r="V25" s="28">
        <f t="shared" si="12"/>
        <v>0</v>
      </c>
      <c r="W25" s="28">
        <f t="shared" si="12"/>
        <v>144581571</v>
      </c>
      <c r="X25" s="28">
        <f t="shared" si="12"/>
        <v>0</v>
      </c>
      <c r="Y25" s="28">
        <f t="shared" si="12"/>
        <v>252207546</v>
      </c>
      <c r="Z25" s="28">
        <f t="shared" si="12"/>
        <v>0</v>
      </c>
      <c r="AA25" s="28">
        <f t="shared" si="12"/>
        <v>113553827</v>
      </c>
      <c r="AB25" s="28">
        <f t="shared" si="12"/>
        <v>0</v>
      </c>
      <c r="AC25" s="28">
        <f t="shared" si="12"/>
        <v>194541438</v>
      </c>
      <c r="AD25" s="28">
        <f t="shared" si="12"/>
        <v>0</v>
      </c>
      <c r="AE25" s="28">
        <f t="shared" si="12"/>
        <v>85902036</v>
      </c>
      <c r="AF25" s="28">
        <f t="shared" si="12"/>
        <v>0</v>
      </c>
      <c r="AG25" s="28">
        <f t="shared" si="12"/>
        <v>107101189</v>
      </c>
      <c r="AH25" s="28">
        <f t="shared" si="12"/>
        <v>0</v>
      </c>
      <c r="AI25" s="28">
        <f t="shared" si="12"/>
        <v>45983696</v>
      </c>
      <c r="AJ25" s="28">
        <f t="shared" si="12"/>
        <v>0</v>
      </c>
      <c r="AK25" s="28">
        <f t="shared" si="12"/>
        <v>89613652</v>
      </c>
      <c r="AL25" s="28">
        <f t="shared" si="12"/>
        <v>0</v>
      </c>
      <c r="AM25" s="28">
        <f t="shared" si="12"/>
        <v>43602411</v>
      </c>
      <c r="AN25" s="28">
        <f t="shared" si="12"/>
        <v>0</v>
      </c>
      <c r="AO25" s="28">
        <f t="shared" si="12"/>
        <v>69698077</v>
      </c>
      <c r="AP25" s="28">
        <f t="shared" si="12"/>
        <v>58678812</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-30850283</v>
      </c>
      <c r="F26" s="28">
        <f t="shared" ref="F26:BQ26" si="14">F14-F25</f>
        <v>843713178</v>
      </c>
      <c r="G26" s="28">
        <f t="shared" si="14"/>
        <v>244829286</v>
      </c>
      <c r="H26" s="28">
        <f t="shared" si="14"/>
        <v>207044923</v>
      </c>
      <c r="I26" s="28">
        <f t="shared" si="14"/>
        <v>914624924</v>
      </c>
      <c r="J26" s="28">
        <f t="shared" si="14"/>
        <v>1488042574</v>
      </c>
      <c r="K26" s="28">
        <f t="shared" si="14"/>
        <v>592828235</v>
      </c>
      <c r="L26" s="28">
        <f t="shared" si="14"/>
        <v>534132570</v>
      </c>
      <c r="M26" s="28">
        <f t="shared" si="14"/>
        <v>572985665</v>
      </c>
      <c r="N26" s="28">
        <f t="shared" si="14"/>
        <v>1137480228</v>
      </c>
      <c r="O26" s="28">
        <f t="shared" si="14"/>
        <v>339864355</v>
      </c>
      <c r="P26" s="28">
        <f t="shared" si="14"/>
        <v>61723002</v>
      </c>
      <c r="Q26" s="28">
        <f t="shared" si="14"/>
        <v>543429851</v>
      </c>
      <c r="R26" s="28">
        <f t="shared" si="14"/>
        <v>1011385882</v>
      </c>
      <c r="S26" s="28">
        <f t="shared" si="14"/>
        <v>396075012</v>
      </c>
      <c r="T26" s="28">
        <f t="shared" si="14"/>
        <v>75302437</v>
      </c>
      <c r="U26" s="28">
        <f t="shared" si="14"/>
        <v>602127641</v>
      </c>
      <c r="V26" s="28">
        <f t="shared" si="14"/>
        <v>819615540</v>
      </c>
      <c r="W26" s="28">
        <f t="shared" si="14"/>
        <v>313639553</v>
      </c>
      <c r="X26" s="28">
        <f t="shared" si="14"/>
        <v>45511568</v>
      </c>
      <c r="Y26" s="28">
        <f t="shared" si="14"/>
        <v>150563921</v>
      </c>
      <c r="Z26" s="28">
        <f t="shared" si="14"/>
        <v>307462860</v>
      </c>
      <c r="AA26" s="28">
        <f t="shared" si="14"/>
        <v>317810135</v>
      </c>
      <c r="AB26" s="28">
        <f t="shared" si="14"/>
        <v>122100378</v>
      </c>
      <c r="AC26" s="28">
        <f t="shared" si="14"/>
        <v>148389620</v>
      </c>
      <c r="AD26" s="28">
        <f t="shared" si="14"/>
        <v>215312869</v>
      </c>
      <c r="AE26" s="28">
        <f t="shared" si="14"/>
        <v>106549825</v>
      </c>
      <c r="AF26" s="28">
        <f t="shared" si="14"/>
        <v>53979185</v>
      </c>
      <c r="AG26" s="28">
        <f t="shared" si="14"/>
        <v>42190850</v>
      </c>
      <c r="AH26" s="28">
        <f t="shared" si="14"/>
        <v>-181739621</v>
      </c>
      <c r="AI26" s="28">
        <f t="shared" si="14"/>
        <v>-294926725</v>
      </c>
      <c r="AJ26" s="28">
        <f t="shared" si="14"/>
        <v>-107419641</v>
      </c>
      <c r="AK26" s="28">
        <f t="shared" si="14"/>
        <v>161074981</v>
      </c>
      <c r="AL26" s="28">
        <f t="shared" si="14"/>
        <v>94073305</v>
      </c>
      <c r="AM26" s="28">
        <f t="shared" si="14"/>
        <v>38537328</v>
      </c>
      <c r="AN26" s="28">
        <f t="shared" si="14"/>
        <v>17468177</v>
      </c>
      <c r="AO26" s="28">
        <f t="shared" si="14"/>
        <v>151377800</v>
      </c>
      <c r="AP26" s="28">
        <f t="shared" si="14"/>
        <v>109744382</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-30850283</v>
      </c>
      <c r="F27" s="26">
        <f t="shared" ref="F27:BQ27" si="16">F26-F24</f>
        <v>843713178</v>
      </c>
      <c r="G27" s="26">
        <f t="shared" si="16"/>
        <v>244829286</v>
      </c>
      <c r="H27" s="26">
        <f t="shared" si="16"/>
        <v>207044923</v>
      </c>
      <c r="I27" s="26">
        <f t="shared" si="16"/>
        <v>914624924</v>
      </c>
      <c r="J27" s="26">
        <f t="shared" si="16"/>
        <v>1488042574</v>
      </c>
      <c r="K27" s="26">
        <f t="shared" si="16"/>
        <v>592828235</v>
      </c>
      <c r="L27" s="26">
        <f t="shared" si="16"/>
        <v>534132570</v>
      </c>
      <c r="M27" s="26">
        <f t="shared" si="16"/>
        <v>572985665</v>
      </c>
      <c r="N27" s="26">
        <f t="shared" si="16"/>
        <v>1137480228</v>
      </c>
      <c r="O27" s="26">
        <f t="shared" si="16"/>
        <v>339864355</v>
      </c>
      <c r="P27" s="26">
        <f t="shared" si="16"/>
        <v>61723002</v>
      </c>
      <c r="Q27" s="26">
        <f t="shared" si="16"/>
        <v>543429851</v>
      </c>
      <c r="R27" s="26">
        <f t="shared" si="16"/>
        <v>1011385882</v>
      </c>
      <c r="S27" s="26">
        <f t="shared" si="16"/>
        <v>396075012</v>
      </c>
      <c r="T27" s="26">
        <f t="shared" si="16"/>
        <v>75302437</v>
      </c>
      <c r="U27" s="26">
        <f t="shared" si="16"/>
        <v>602127641</v>
      </c>
      <c r="V27" s="26">
        <f t="shared" si="16"/>
        <v>819615540</v>
      </c>
      <c r="W27" s="26">
        <f t="shared" si="16"/>
        <v>313639553</v>
      </c>
      <c r="X27" s="26">
        <f t="shared" si="16"/>
        <v>45511568</v>
      </c>
      <c r="Y27" s="26">
        <f t="shared" si="16"/>
        <v>150563921</v>
      </c>
      <c r="Z27" s="26">
        <f t="shared" si="16"/>
        <v>307462860</v>
      </c>
      <c r="AA27" s="26">
        <f t="shared" si="16"/>
        <v>317810135</v>
      </c>
      <c r="AB27" s="26">
        <f t="shared" si="16"/>
        <v>122100378</v>
      </c>
      <c r="AC27" s="26">
        <f t="shared" si="16"/>
        <v>148389620</v>
      </c>
      <c r="AD27" s="26">
        <f t="shared" si="16"/>
        <v>215312869</v>
      </c>
      <c r="AE27" s="26">
        <f t="shared" si="16"/>
        <v>106549825</v>
      </c>
      <c r="AF27" s="26">
        <f t="shared" si="16"/>
        <v>53979185</v>
      </c>
      <c r="AG27" s="26">
        <f t="shared" si="16"/>
        <v>42190850</v>
      </c>
      <c r="AH27" s="26">
        <f t="shared" si="16"/>
        <v>-181739621</v>
      </c>
      <c r="AI27" s="26">
        <f t="shared" si="16"/>
        <v>-294926725</v>
      </c>
      <c r="AJ27" s="26">
        <f t="shared" si="16"/>
        <v>-107419641</v>
      </c>
      <c r="AK27" s="26">
        <f t="shared" si="16"/>
        <v>161074981</v>
      </c>
      <c r="AL27" s="26">
        <f t="shared" si="16"/>
        <v>94073305</v>
      </c>
      <c r="AM27" s="26">
        <f t="shared" si="16"/>
        <v>38537328</v>
      </c>
      <c r="AN27" s="26">
        <f t="shared" si="16"/>
        <v>17468177</v>
      </c>
      <c r="AO27" s="26">
        <f t="shared" si="16"/>
        <v>151377800</v>
      </c>
      <c r="AP27" s="26">
        <f t="shared" si="16"/>
        <v>109744382</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-1.0337299828492319</v>
      </c>
      <c r="F28" s="63">
        <f t="shared" ref="F28:BQ28" si="18">(F27-J27)/J27</f>
        <v>-0.43300467826534106</v>
      </c>
      <c r="G28" s="63">
        <f t="shared" si="18"/>
        <v>-0.58701480201934042</v>
      </c>
      <c r="H28" s="63">
        <f t="shared" si="18"/>
        <v>-0.61237165709628982</v>
      </c>
      <c r="I28" s="63">
        <f t="shared" si="18"/>
        <v>0.59624398980382864</v>
      </c>
      <c r="J28" s="63">
        <f t="shared" si="18"/>
        <v>0.30819203478937307</v>
      </c>
      <c r="K28" s="63">
        <f t="shared" si="18"/>
        <v>0.74430835796239947</v>
      </c>
      <c r="L28" s="63">
        <f t="shared" si="18"/>
        <v>7.6537036873222721</v>
      </c>
      <c r="M28" s="63">
        <f t="shared" si="18"/>
        <v>5.4387542284643473E-2</v>
      </c>
      <c r="N28" s="63">
        <f t="shared" si="18"/>
        <v>0.12467481328753609</v>
      </c>
      <c r="O28" s="63">
        <f t="shared" si="18"/>
        <v>-0.14191922059450698</v>
      </c>
      <c r="P28" s="63">
        <f t="shared" si="18"/>
        <v>-0.1803319459634487</v>
      </c>
      <c r="Q28" s="63">
        <f t="shared" si="18"/>
        <v>-9.7483965198003592E-2</v>
      </c>
      <c r="R28" s="63">
        <f t="shared" si="18"/>
        <v>0.23397597122182431</v>
      </c>
      <c r="S28" s="63">
        <f t="shared" si="18"/>
        <v>0.26283502259678326</v>
      </c>
      <c r="T28" s="63">
        <f t="shared" si="18"/>
        <v>0.65457795257680418</v>
      </c>
      <c r="U28" s="63">
        <f t="shared" si="18"/>
        <v>2.9991495771420564</v>
      </c>
      <c r="V28" s="63">
        <f t="shared" si="18"/>
        <v>1.6657383594233137</v>
      </c>
      <c r="W28" s="63">
        <f t="shared" si="18"/>
        <v>-1.3122872875026469E-2</v>
      </c>
      <c r="X28" s="63">
        <f t="shared" si="18"/>
        <v>-0.62726103927376864</v>
      </c>
      <c r="Y28" s="63">
        <f t="shared" si="18"/>
        <v>1.4652648884740051E-2</v>
      </c>
      <c r="Z28" s="63">
        <f t="shared" si="18"/>
        <v>0.42798180818444254</v>
      </c>
      <c r="AA28" s="63">
        <f t="shared" si="18"/>
        <v>1.9827372780762427</v>
      </c>
      <c r="AB28" s="63">
        <f t="shared" si="18"/>
        <v>1.261990024488143</v>
      </c>
      <c r="AC28" s="63">
        <f t="shared" si="18"/>
        <v>2.5171043010510572</v>
      </c>
      <c r="AD28" s="63">
        <f t="shared" si="18"/>
        <v>-2.1847326841294556</v>
      </c>
      <c r="AE28" s="63">
        <f t="shared" si="18"/>
        <v>-1.3612755846388624</v>
      </c>
      <c r="AF28" s="63">
        <f t="shared" si="18"/>
        <v>-1.502507590767316</v>
      </c>
      <c r="AG28" s="63">
        <f t="shared" si="18"/>
        <v>-0.7380670186141447</v>
      </c>
      <c r="AH28" s="63">
        <f t="shared" si="18"/>
        <v>-2.9318936546345427</v>
      </c>
      <c r="AI28" s="63">
        <f t="shared" si="18"/>
        <v>-8.6530143708977434</v>
      </c>
      <c r="AJ28" s="63">
        <f t="shared" si="18"/>
        <v>-7.1494477071076163</v>
      </c>
      <c r="AK28" s="63">
        <f t="shared" si="18"/>
        <v>6.405946578692516E-2</v>
      </c>
      <c r="AL28" s="63">
        <f t="shared" si="18"/>
        <v>-0.14279616609440654</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-1.5519682759460356</v>
      </c>
      <c r="F31" s="112"/>
      <c r="G31" s="112"/>
      <c r="H31" s="112"/>
      <c r="I31" s="112" t="e">
        <f>POWER(E27/Y27,1/6)-1</f>
        <v>#NUM!</v>
      </c>
      <c r="M31" s="112">
        <f>POWER(E27/AC27,1/7)-1</f>
        <v>-1.7990074049431457</v>
      </c>
      <c r="Q31" s="115" t="s">
        <v>603</v>
      </c>
      <c r="R31" s="115"/>
      <c r="S31" s="115"/>
      <c r="T31" s="115"/>
      <c r="U31" s="115">
        <f>POWER(E14/U14,1/5)-1</f>
        <v>9.7377212733489316E-3</v>
      </c>
      <c r="V31" s="115"/>
      <c r="W31" s="115"/>
      <c r="X31" s="115"/>
      <c r="Y31" s="115">
        <f>POWER(E14/Y14,1/6)-1</f>
        <v>0.18273654903250169</v>
      </c>
      <c r="Z31" s="115"/>
      <c r="AA31" s="115"/>
      <c r="AB31" s="115"/>
      <c r="AC31" s="115">
        <f>POWER(E14/AC14,1/7)-1</f>
        <v>0.18155592768691986</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C2" sqref="C2"/>
    </sheetView>
  </sheetViews>
  <sheetFormatPr defaultRowHeight="14.4" x14ac:dyDescent="0.25"/>
  <cols>
    <col min="1" max="1" width="43.5546875" style="17" bestFit="1" customWidth="1"/>
    <col min="2" max="2" width="25.109375" style="26" bestFit="1" customWidth="1"/>
    <col min="3" max="3" width="38" bestFit="1" customWidth="1"/>
    <col min="4" max="4" width="22.6640625" bestFit="1" customWidth="1"/>
    <col min="5" max="5" width="18.33203125" bestFit="1" customWidth="1"/>
    <col min="6" max="8" width="17.21875" bestFit="1" customWidth="1"/>
    <col min="9" max="9" width="22.6640625" bestFit="1" customWidth="1"/>
    <col min="10" max="11" width="19.33203125" bestFit="1" customWidth="1"/>
    <col min="12" max="12" width="40.21875" bestFit="1" customWidth="1"/>
    <col min="13" max="18" width="19.33203125" bestFit="1" customWidth="1"/>
    <col min="19" max="19" width="21.5546875" bestFit="1" customWidth="1"/>
    <col min="20" max="74" width="9.44140625" bestFit="1" customWidth="1"/>
  </cols>
  <sheetData>
    <row r="1" spans="1:10" ht="16.2" customHeight="1" x14ac:dyDescent="0.25">
      <c r="A1" s="68" t="s">
        <v>514</v>
      </c>
      <c r="B1" s="69">
        <f>自由现金流分析表!E1</f>
        <v>43100</v>
      </c>
      <c r="C1" s="191" t="s">
        <v>751</v>
      </c>
      <c r="D1" s="274">
        <v>0.08</v>
      </c>
      <c r="E1" s="262" t="s">
        <v>750</v>
      </c>
      <c r="F1" s="63">
        <f>平均资本成本表!E13</f>
        <v>6.6742467860594235E-2</v>
      </c>
    </row>
    <row r="2" spans="1:10" x14ac:dyDescent="0.25">
      <c r="A2" s="70" t="s">
        <v>515</v>
      </c>
      <c r="B2" s="71">
        <f>(自由现金流分析表!E27+自由现金流分析表!I27+自由现金流分析表!M27)/3</f>
        <v>485586768.66666669</v>
      </c>
      <c r="C2" t="s">
        <v>548</v>
      </c>
      <c r="D2" s="63"/>
      <c r="E2" s="63"/>
      <c r="F2" s="56"/>
    </row>
    <row r="3" spans="1:10" s="63" customFormat="1" x14ac:dyDescent="0.25">
      <c r="A3" s="72" t="s">
        <v>516</v>
      </c>
      <c r="B3" s="98">
        <v>0.2</v>
      </c>
      <c r="D3" s="190"/>
      <c r="E3" s="190"/>
      <c r="F3" s="260"/>
    </row>
    <row r="4" spans="1:10" s="63" customFormat="1" x14ac:dyDescent="0.25">
      <c r="A4" s="72" t="s">
        <v>517</v>
      </c>
      <c r="B4" s="98">
        <f>F1</f>
        <v>6.6742467860594235E-2</v>
      </c>
      <c r="D4" s="190"/>
      <c r="E4" s="190"/>
      <c r="F4" s="261"/>
    </row>
    <row r="5" spans="1:10" x14ac:dyDescent="0.25">
      <c r="A5" s="70" t="s">
        <v>518</v>
      </c>
      <c r="B5" s="71">
        <f>B2*(1+B3)/(B4-B3)</f>
        <v>-4372766875.1242599</v>
      </c>
      <c r="D5" s="63"/>
      <c r="E5" s="63"/>
    </row>
    <row r="6" spans="1:10" x14ac:dyDescent="0.25">
      <c r="A6" s="70" t="s">
        <v>519</v>
      </c>
      <c r="B6" s="71">
        <f>资产资本表!E17</f>
        <v>1242670243</v>
      </c>
      <c r="D6" s="190"/>
      <c r="E6" s="190"/>
      <c r="F6" s="190"/>
      <c r="G6" s="190"/>
    </row>
    <row r="7" spans="1:10" x14ac:dyDescent="0.25">
      <c r="A7" s="70" t="s">
        <v>520</v>
      </c>
      <c r="B7" s="71">
        <f>资产资本表!E19</f>
        <v>2137711137</v>
      </c>
      <c r="D7" s="190"/>
      <c r="E7" s="190"/>
      <c r="F7" s="190"/>
      <c r="G7" s="190"/>
    </row>
    <row r="8" spans="1:10" x14ac:dyDescent="0.25">
      <c r="A8" s="70" t="s">
        <v>521</v>
      </c>
      <c r="B8" s="197">
        <f>资产资本表!E89</f>
        <v>7626617139</v>
      </c>
      <c r="C8" s="272" t="s">
        <v>748</v>
      </c>
      <c r="D8" s="273">
        <f>B2/B4</f>
        <v>7275529123.0902252</v>
      </c>
      <c r="E8" s="63"/>
      <c r="F8" s="190"/>
      <c r="G8" s="190"/>
    </row>
    <row r="9" spans="1:10" x14ac:dyDescent="0.25">
      <c r="A9" s="70" t="s">
        <v>522</v>
      </c>
      <c r="B9" s="197">
        <f>B5+B6+B7-B8</f>
        <v>-8619002634.1242599</v>
      </c>
      <c r="C9" s="272" t="s">
        <v>749</v>
      </c>
      <c r="D9" s="273">
        <f>(D8+资产资本结构分析表!$E$2+资产资本结构分析表!$E$3)/B55</f>
        <v>7.3999378493682118</v>
      </c>
      <c r="E9" s="190"/>
      <c r="F9" s="190"/>
      <c r="G9" s="190"/>
    </row>
    <row r="10" spans="1:10" x14ac:dyDescent="0.25">
      <c r="A10" s="70" t="s">
        <v>523</v>
      </c>
      <c r="B10" s="73">
        <f>资产资本表!E103/资产资本表!E107</f>
        <v>1.4973454133410034E-2</v>
      </c>
      <c r="D10" s="190"/>
      <c r="E10" s="190"/>
      <c r="F10" s="190"/>
      <c r="G10" s="190"/>
    </row>
    <row r="11" spans="1:10" x14ac:dyDescent="0.25">
      <c r="A11" s="70" t="s">
        <v>549</v>
      </c>
      <c r="B11" s="197">
        <f>B9*(1-B10)</f>
        <v>-8489946393.5064602</v>
      </c>
      <c r="C11" s="269" t="s">
        <v>745</v>
      </c>
      <c r="D11" s="270">
        <f>资产资本结构分析表!E2</f>
        <v>1242670243</v>
      </c>
      <c r="E11" s="63"/>
      <c r="F11" s="190"/>
      <c r="G11" s="190"/>
    </row>
    <row r="12" spans="1:10" x14ac:dyDescent="0.25">
      <c r="A12" s="70" t="s">
        <v>524</v>
      </c>
      <c r="B12" s="268">
        <f>B55</f>
        <v>1440000000</v>
      </c>
      <c r="C12" s="269" t="s">
        <v>746</v>
      </c>
      <c r="D12" s="271">
        <f>D11/B55</f>
        <v>0.86296544652777774</v>
      </c>
      <c r="E12" s="190"/>
      <c r="F12" s="190"/>
      <c r="G12" s="190"/>
    </row>
    <row r="13" spans="1:10" ht="15" thickBot="1" x14ac:dyDescent="0.3">
      <c r="A13" s="74" t="s">
        <v>525</v>
      </c>
      <c r="B13" s="75">
        <f>B11/B12</f>
        <v>-5.8957961066017086</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0.03</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485586768.66666669</v>
      </c>
      <c r="D19" s="89">
        <f>C19*(1+$D$17)</f>
        <v>558424783.9666667</v>
      </c>
      <c r="E19" s="89">
        <f>D19*(1+$D$17)</f>
        <v>642188501.56166661</v>
      </c>
      <c r="F19" s="89">
        <f>E19*(1+$D$17)</f>
        <v>738516776.79591656</v>
      </c>
      <c r="G19" s="89">
        <f>F19*(1+$D$17)</f>
        <v>849294293.31530392</v>
      </c>
      <c r="H19" s="89">
        <f>G19*(1+$D$17)</f>
        <v>976688437.31259942</v>
      </c>
      <c r="I19" s="89">
        <f>H19*(1+I17)</f>
        <v>1005989090.4319774</v>
      </c>
      <c r="J19" s="76"/>
    </row>
    <row r="20" spans="1:10" s="26" customFormat="1" x14ac:dyDescent="0.25">
      <c r="A20" s="99" t="s">
        <v>528</v>
      </c>
      <c r="B20" s="95">
        <f>B4</f>
        <v>6.6742467860594235E-2</v>
      </c>
      <c r="C20" s="89"/>
      <c r="D20" s="89">
        <f t="shared" ref="D20:I20" si="0">(1+$B$20)^D18</f>
        <v>1.0667424678605943</v>
      </c>
      <c r="E20" s="89">
        <f t="shared" si="0"/>
        <v>1.1379394927373112</v>
      </c>
      <c r="F20" s="89">
        <f t="shared" si="0"/>
        <v>1.2138883827586322</v>
      </c>
      <c r="G20" s="89">
        <f t="shared" si="0"/>
        <v>1.2949062891312491</v>
      </c>
      <c r="H20" s="89">
        <f t="shared" si="0"/>
        <v>1.3813315305160729</v>
      </c>
      <c r="I20" s="89">
        <f t="shared" si="0"/>
        <v>1.4735250057963676</v>
      </c>
      <c r="J20" s="76"/>
    </row>
    <row r="21" spans="1:10" s="26" customFormat="1" x14ac:dyDescent="0.25">
      <c r="A21" s="301" t="s">
        <v>529</v>
      </c>
      <c r="B21" s="301"/>
      <c r="C21" s="89"/>
      <c r="D21" s="89">
        <f>D19/D20</f>
        <v>523486034.15650612</v>
      </c>
      <c r="E21" s="89">
        <f>E19/E20</f>
        <v>564343276.29923749</v>
      </c>
      <c r="F21" s="89">
        <f>F19/F20</f>
        <v>608389360.41021669</v>
      </c>
      <c r="G21" s="89">
        <f>G19/G20</f>
        <v>655873170.47096467</v>
      </c>
      <c r="H21" s="89">
        <f>H19/H20</f>
        <v>707063015.45705199</v>
      </c>
      <c r="I21" s="89">
        <f>I19/((B20-I17)*I20)</f>
        <v>18580929596.33831</v>
      </c>
      <c r="J21" s="76"/>
    </row>
    <row r="22" spans="1:10" s="26" customFormat="1" x14ac:dyDescent="0.25">
      <c r="A22" s="301" t="s">
        <v>547</v>
      </c>
      <c r="B22" s="301"/>
      <c r="C22" s="89"/>
      <c r="D22" s="297">
        <f>SUM(D21:H21)</f>
        <v>3059154856.7939768</v>
      </c>
      <c r="E22" s="298"/>
      <c r="F22" s="298"/>
      <c r="G22" s="298"/>
      <c r="H22" s="299"/>
      <c r="I22" s="89">
        <f>I21</f>
        <v>18580929596.33831</v>
      </c>
      <c r="J22" s="76"/>
    </row>
    <row r="23" spans="1:10" x14ac:dyDescent="0.25">
      <c r="A23" s="92" t="s">
        <v>530</v>
      </c>
      <c r="B23" s="76">
        <f>D22+I22</f>
        <v>21640084453.132286</v>
      </c>
      <c r="C23" s="77"/>
      <c r="D23" s="77"/>
      <c r="E23" s="77"/>
      <c r="F23" s="77"/>
      <c r="G23" s="77"/>
      <c r="H23" s="77"/>
      <c r="I23" s="79"/>
      <c r="J23" s="77"/>
    </row>
    <row r="24" spans="1:10" x14ac:dyDescent="0.25">
      <c r="A24" s="92" t="s">
        <v>531</v>
      </c>
      <c r="B24" s="76">
        <f>B23</f>
        <v>21640084453.132286</v>
      </c>
      <c r="C24" s="77"/>
      <c r="D24" s="77"/>
      <c r="E24" s="77"/>
      <c r="F24" s="77"/>
      <c r="G24" s="77"/>
      <c r="H24" s="77"/>
      <c r="I24" s="79"/>
      <c r="J24" s="77"/>
    </row>
    <row r="25" spans="1:10" x14ac:dyDescent="0.25">
      <c r="A25" s="70" t="s">
        <v>532</v>
      </c>
      <c r="B25" s="71">
        <f>资产资本表!E17</f>
        <v>1242670243</v>
      </c>
      <c r="C25" s="77"/>
      <c r="D25" s="77"/>
      <c r="E25" s="77"/>
      <c r="F25" s="77"/>
      <c r="G25" s="77"/>
      <c r="H25" s="77"/>
      <c r="I25" s="79"/>
      <c r="J25" s="77"/>
    </row>
    <row r="26" spans="1:10" x14ac:dyDescent="0.25">
      <c r="A26" s="70" t="s">
        <v>533</v>
      </c>
      <c r="B26" s="71">
        <f>资产资本表!E19</f>
        <v>2137711137</v>
      </c>
      <c r="C26" s="77"/>
      <c r="D26" s="77"/>
      <c r="E26" s="77"/>
      <c r="F26" s="77"/>
      <c r="G26" s="77"/>
      <c r="H26" s="77"/>
      <c r="I26" s="79"/>
      <c r="J26" s="77"/>
    </row>
    <row r="27" spans="1:10" x14ac:dyDescent="0.25">
      <c r="A27" s="70" t="s">
        <v>534</v>
      </c>
      <c r="B27" s="71">
        <f>资产资本表!E89</f>
        <v>7626617139</v>
      </c>
      <c r="C27" s="77"/>
      <c r="D27" s="77"/>
      <c r="E27" s="77"/>
      <c r="F27" s="77"/>
      <c r="G27" s="77"/>
      <c r="H27" s="77"/>
      <c r="I27" s="79"/>
      <c r="J27" s="77"/>
    </row>
    <row r="28" spans="1:10" s="2" customFormat="1" x14ac:dyDescent="0.25">
      <c r="A28" s="82" t="s">
        <v>535</v>
      </c>
      <c r="B28" s="83">
        <f>B24+B25+B26-B27</f>
        <v>17393848694.132286</v>
      </c>
      <c r="C28" s="80"/>
      <c r="D28" s="80"/>
      <c r="E28" s="80"/>
      <c r="F28" s="80"/>
      <c r="G28" s="80"/>
      <c r="H28" s="80"/>
      <c r="I28" s="81"/>
      <c r="J28" s="80"/>
    </row>
    <row r="29" spans="1:10" x14ac:dyDescent="0.25">
      <c r="A29" s="70" t="s">
        <v>536</v>
      </c>
      <c r="B29" s="78">
        <f>资产资本表!E103/资产资本表!E107</f>
        <v>1.4973454133410034E-2</v>
      </c>
      <c r="C29" s="302" t="s">
        <v>543</v>
      </c>
      <c r="D29" s="302"/>
      <c r="E29" s="302"/>
      <c r="F29" s="77"/>
      <c r="G29" s="77"/>
      <c r="H29" s="77"/>
      <c r="I29" s="79"/>
      <c r="J29" s="77"/>
    </row>
    <row r="30" spans="1:10" s="2" customFormat="1" x14ac:dyDescent="0.25">
      <c r="A30" s="82" t="s">
        <v>537</v>
      </c>
      <c r="B30" s="83">
        <f>B28*(1-B29)</f>
        <v>17133402698.507223</v>
      </c>
      <c r="C30" s="91">
        <v>0.4</v>
      </c>
      <c r="D30" s="91">
        <v>0.3</v>
      </c>
      <c r="E30" s="91">
        <v>0.2</v>
      </c>
      <c r="F30" s="80"/>
      <c r="G30" s="80"/>
      <c r="H30" s="80"/>
      <c r="I30" s="81"/>
      <c r="J30" s="80"/>
    </row>
    <row r="31" spans="1:10" x14ac:dyDescent="0.25">
      <c r="A31" s="70" t="s">
        <v>747</v>
      </c>
      <c r="B31" s="101">
        <f>B55</f>
        <v>1440000000</v>
      </c>
      <c r="C31" s="215">
        <f>$B$32*(1-C30)</f>
        <v>7.1389177910446753</v>
      </c>
      <c r="D31" s="215">
        <f>$B$32*(1-D30)</f>
        <v>8.3287374228854549</v>
      </c>
      <c r="E31" s="215">
        <f>$B$32*(1-E30)</f>
        <v>9.5185570547262355</v>
      </c>
      <c r="F31" s="77"/>
      <c r="G31" s="77"/>
      <c r="H31" s="77"/>
      <c r="I31" s="79"/>
      <c r="J31" s="77"/>
    </row>
    <row r="32" spans="1:10" s="2" customFormat="1" ht="15" thickBot="1" x14ac:dyDescent="0.3">
      <c r="A32" s="84" t="s">
        <v>538</v>
      </c>
      <c r="B32" s="85">
        <f>B30/B31</f>
        <v>11.898196318407793</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485586768.66666669</v>
      </c>
      <c r="D39" s="89">
        <f>$C$39*(1+$D$37)^D38</f>
        <v>558424783.9666667</v>
      </c>
      <c r="E39" s="89">
        <f>$C$39*(1+$D$37)^E38</f>
        <v>642188501.56166661</v>
      </c>
      <c r="F39" s="89">
        <f>$C$39*(1+$D$37)^F38</f>
        <v>738516776.79591644</v>
      </c>
      <c r="G39" s="89">
        <f>$C$39*(1+$D$37)^G38</f>
        <v>849294293.31530392</v>
      </c>
      <c r="H39" s="89">
        <f>$C$39*(1+$D$37)^H38</f>
        <v>976688437.31259954</v>
      </c>
      <c r="I39" s="89">
        <f>H39*(1+$I$37)</f>
        <v>1064590396.6707336</v>
      </c>
      <c r="J39" s="89">
        <f t="shared" ref="J39:N39" si="1">I39*(1+$I$37)</f>
        <v>1160403532.3710997</v>
      </c>
      <c r="K39" s="89">
        <f t="shared" si="1"/>
        <v>1264839850.2844987</v>
      </c>
      <c r="L39" s="89">
        <f t="shared" si="1"/>
        <v>1378675436.8101037</v>
      </c>
      <c r="M39" s="89">
        <f t="shared" si="1"/>
        <v>1502756226.123013</v>
      </c>
      <c r="N39" s="89">
        <f t="shared" si="1"/>
        <v>1638004286.4740844</v>
      </c>
      <c r="O39" s="89">
        <f t="shared" ref="O39" si="2">N39*(1+$I$37)</f>
        <v>1785424672.256752</v>
      </c>
      <c r="P39" s="89">
        <f t="shared" ref="P39" si="3">O39*(1+$I$37)</f>
        <v>1946112892.7598598</v>
      </c>
      <c r="Q39" s="89">
        <f t="shared" ref="Q39" si="4">P39*(1+$I$37)</f>
        <v>2121263053.1082473</v>
      </c>
      <c r="R39" s="89">
        <f t="shared" ref="R39" si="5">Q39*(1+$I$37)</f>
        <v>2312176727.8879895</v>
      </c>
      <c r="S39" s="89">
        <f>R39*(1+S37)</f>
        <v>2358420262.4457493</v>
      </c>
    </row>
    <row r="40" spans="1:19" s="23" customFormat="1" x14ac:dyDescent="0.25">
      <c r="A40" s="210" t="s">
        <v>528</v>
      </c>
      <c r="B40" s="209">
        <f>B4</f>
        <v>6.6742467860594235E-2</v>
      </c>
      <c r="C40" s="215"/>
      <c r="D40" s="215">
        <f>(1+$B$40)^D38</f>
        <v>1.0667424678605943</v>
      </c>
      <c r="E40" s="215">
        <f t="shared" ref="E40:R40" si="6">(1+$B$40)^E38</f>
        <v>1.1379394927373112</v>
      </c>
      <c r="F40" s="215">
        <f t="shared" si="6"/>
        <v>1.2138883827586322</v>
      </c>
      <c r="G40" s="215">
        <f t="shared" si="6"/>
        <v>1.2949062891312491</v>
      </c>
      <c r="H40" s="215">
        <f t="shared" si="6"/>
        <v>1.3813315305160729</v>
      </c>
      <c r="I40" s="215">
        <f t="shared" si="6"/>
        <v>1.4735250057963676</v>
      </c>
      <c r="J40" s="215">
        <f t="shared" si="6"/>
        <v>1.5718717011375136</v>
      </c>
      <c r="K40" s="215">
        <f t="shared" si="6"/>
        <v>1.676782297631662</v>
      </c>
      <c r="L40" s="215">
        <f t="shared" si="6"/>
        <v>1.7886948862405567</v>
      </c>
      <c r="M40" s="215">
        <f t="shared" si="6"/>
        <v>1.9080767971978767</v>
      </c>
      <c r="N40" s="215">
        <f t="shared" si="6"/>
        <v>2.0354265515104015</v>
      </c>
      <c r="O40" s="215">
        <f t="shared" si="6"/>
        <v>2.1712759427071848</v>
      </c>
      <c r="P40" s="215">
        <f t="shared" si="6"/>
        <v>2.3161922575298011</v>
      </c>
      <c r="Q40" s="215">
        <f t="shared" si="6"/>
        <v>2.4707806448369412</v>
      </c>
      <c r="R40" s="215">
        <f t="shared" si="6"/>
        <v>2.635686642615549</v>
      </c>
      <c r="S40" s="183">
        <f>(1+$B$40)^S38</f>
        <v>2.8115988736509157</v>
      </c>
    </row>
    <row r="41" spans="1:19" s="193" customFormat="1" x14ac:dyDescent="0.25">
      <c r="A41" s="313" t="s">
        <v>529</v>
      </c>
      <c r="B41" s="314"/>
      <c r="C41" s="89"/>
      <c r="D41" s="89">
        <f t="shared" ref="D41:R41" si="7">D39/D40</f>
        <v>523486034.15650612</v>
      </c>
      <c r="E41" s="89">
        <f t="shared" si="7"/>
        <v>564343276.29923749</v>
      </c>
      <c r="F41" s="89">
        <f t="shared" si="7"/>
        <v>608389360.41021657</v>
      </c>
      <c r="G41" s="89">
        <f t="shared" si="7"/>
        <v>655873170.47096467</v>
      </c>
      <c r="H41" s="89">
        <f t="shared" si="7"/>
        <v>707063015.45705211</v>
      </c>
      <c r="I41" s="89">
        <f t="shared" si="7"/>
        <v>722478676.9705174</v>
      </c>
      <c r="J41" s="89">
        <f t="shared" si="7"/>
        <v>738230436.70253277</v>
      </c>
      <c r="K41" s="89">
        <f t="shared" si="7"/>
        <v>754325622.39653695</v>
      </c>
      <c r="L41" s="89">
        <f t="shared" si="7"/>
        <v>770771721.55826771</v>
      </c>
      <c r="M41" s="89">
        <f t="shared" si="7"/>
        <v>787576384.93896008</v>
      </c>
      <c r="N41" s="89">
        <f t="shared" si="7"/>
        <v>804747430.09448934</v>
      </c>
      <c r="O41" s="89">
        <f t="shared" si="7"/>
        <v>822292845.02210867</v>
      </c>
      <c r="P41" s="89">
        <f t="shared" si="7"/>
        <v>840220791.87647939</v>
      </c>
      <c r="Q41" s="89">
        <f t="shared" si="7"/>
        <v>858539610.76671767</v>
      </c>
      <c r="R41" s="89">
        <f t="shared" si="7"/>
        <v>877257823.63622665</v>
      </c>
      <c r="S41" s="89">
        <f>S39/((B40-S37)*S40)</f>
        <v>17945526258.855812</v>
      </c>
    </row>
    <row r="42" spans="1:19" s="23" customFormat="1" x14ac:dyDescent="0.25">
      <c r="A42" s="315" t="s">
        <v>547</v>
      </c>
      <c r="B42" s="316"/>
      <c r="C42" s="215"/>
      <c r="D42" s="308">
        <f>SUM(D41:H41)</f>
        <v>3059154856.7939768</v>
      </c>
      <c r="E42" s="309"/>
      <c r="F42" s="309"/>
      <c r="G42" s="309"/>
      <c r="H42" s="310"/>
      <c r="I42" s="308">
        <f>SUM(I41:R41)</f>
        <v>7976441343.9628372</v>
      </c>
      <c r="J42" s="309"/>
      <c r="K42" s="309"/>
      <c r="L42" s="309"/>
      <c r="M42" s="309"/>
      <c r="N42" s="309"/>
      <c r="O42" s="309"/>
      <c r="P42" s="309"/>
      <c r="Q42" s="309"/>
      <c r="R42" s="310"/>
      <c r="S42" s="215">
        <f>S41</f>
        <v>17945526258.855812</v>
      </c>
    </row>
    <row r="43" spans="1:19" x14ac:dyDescent="0.25">
      <c r="A43" s="206" t="s">
        <v>545</v>
      </c>
      <c r="B43" s="197">
        <f>D42+I42+S42</f>
        <v>28981122459.612625</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28981122459.612625</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1242670243</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2137711137</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7626617139</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24734886700.612625</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1.4973454133410034E-2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24364520009.105907</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1440000000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16.919805561879102</v>
      </c>
      <c r="C52" s="208">
        <f>$B$52*(1-C51)</f>
        <v>10.15188333712746</v>
      </c>
      <c r="D52" s="208">
        <f>$B$52*(1-D51)</f>
        <v>11.843863893315371</v>
      </c>
      <c r="E52" s="208">
        <f>$B$52*(1-E51)</f>
        <v>13.535844449503282</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2422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1440000000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2.37669971</v>
      </c>
      <c r="F64" s="168">
        <v>0</v>
      </c>
      <c r="G64" s="166">
        <v>16.47</v>
      </c>
      <c r="H64" s="168">
        <f>G64*D64</f>
        <v>55.997999999999998</v>
      </c>
      <c r="I64" s="168">
        <f>C64*D64</f>
        <v>59.125999999999998</v>
      </c>
      <c r="J64" s="168">
        <f>H64/E64</f>
        <v>23.561243250204292</v>
      </c>
      <c r="K64" s="168">
        <f>I64/E64</f>
        <v>24.877353984277633</v>
      </c>
      <c r="L64" s="263">
        <v>0</v>
      </c>
    </row>
    <row r="65" spans="1:12" s="26" customFormat="1" x14ac:dyDescent="0.25">
      <c r="A65" s="179">
        <f>股权价值增加表!I1</f>
        <v>42735</v>
      </c>
      <c r="B65" s="167">
        <v>42543</v>
      </c>
      <c r="C65" s="166">
        <v>23.13</v>
      </c>
      <c r="D65" s="166">
        <v>3.64</v>
      </c>
      <c r="E65" s="168">
        <f>股权价值增加表!I42/100000000</f>
        <v>7.5607737400000001</v>
      </c>
      <c r="F65" s="168">
        <f>(E65-E64)/E64*100</f>
        <v>218.12069939622282</v>
      </c>
      <c r="G65" s="166">
        <v>23.11</v>
      </c>
      <c r="H65" s="168">
        <f t="shared" ref="H65:H66" si="8">G65*D65</f>
        <v>84.120400000000004</v>
      </c>
      <c r="I65" s="168">
        <f t="shared" ref="I65:I66" si="9">C65*D65</f>
        <v>84.193200000000004</v>
      </c>
      <c r="J65" s="168">
        <f t="shared" ref="J65:J66" si="10">H65/E65</f>
        <v>11.12589833960565</v>
      </c>
      <c r="K65" s="168">
        <f t="shared" ref="K65:K66" si="11">I65/E65</f>
        <v>11.135526983776664</v>
      </c>
      <c r="L65" s="263">
        <f>K65/F65</f>
        <v>5.1052133129046336E-2</v>
      </c>
    </row>
    <row r="66" spans="1:12" s="26" customFormat="1" x14ac:dyDescent="0.25">
      <c r="A66" s="179">
        <f>股权价值增加表!E1</f>
        <v>43100</v>
      </c>
      <c r="B66" s="167">
        <v>42872</v>
      </c>
      <c r="C66" s="166">
        <v>16.399999999999999</v>
      </c>
      <c r="D66" s="166">
        <v>9.09</v>
      </c>
      <c r="E66" s="168">
        <f>股权价值增加表!E42/100000000</f>
        <v>6.0094737699999996</v>
      </c>
      <c r="F66" s="168">
        <f t="shared" ref="F66" si="12">(E66-E65)/E65*100</f>
        <v>-20.517740952793019</v>
      </c>
      <c r="G66" s="166">
        <v>15.76</v>
      </c>
      <c r="H66" s="168">
        <f t="shared" si="8"/>
        <v>143.25839999999999</v>
      </c>
      <c r="I66" s="168">
        <f t="shared" si="9"/>
        <v>149.07599999999999</v>
      </c>
      <c r="J66" s="168">
        <f t="shared" si="10"/>
        <v>23.838759512548801</v>
      </c>
      <c r="K66" s="168">
        <f t="shared" si="11"/>
        <v>24.806830964835047</v>
      </c>
      <c r="L66" s="263">
        <f t="shared" ref="L66" si="13">K66/F66</f>
        <v>-1.2090429946410921</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-27.947102097094263</v>
      </c>
      <c r="G69" s="171">
        <v>10.119999999999999</v>
      </c>
      <c r="H69" s="172">
        <f>G69*D69</f>
        <v>91.990799999999993</v>
      </c>
      <c r="I69" s="172">
        <f>C69*D69</f>
        <v>105.8985</v>
      </c>
      <c r="J69" s="172">
        <f>H69/E69</f>
        <v>21.244988452655885</v>
      </c>
      <c r="K69" s="172">
        <f>I69/E69</f>
        <v>24.456928406466513</v>
      </c>
      <c r="L69" s="266">
        <f>K69/F69</f>
        <v>-0.87511500553788613</v>
      </c>
    </row>
    <row r="70" spans="1:12" s="26" customFormat="1" ht="15" thickBot="1" x14ac:dyDescent="0.3">
      <c r="A70" s="173" t="s">
        <v>626</v>
      </c>
      <c r="B70" s="174">
        <v>43305</v>
      </c>
      <c r="C70" s="175">
        <v>11.65</v>
      </c>
      <c r="D70" s="175">
        <v>9.09</v>
      </c>
      <c r="E70" s="175">
        <v>3.86</v>
      </c>
      <c r="F70" s="176">
        <f>(E70-E66)/E66*100</f>
        <v>-35.768086396023989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-0.76702019380704622</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2019-02-11T03:18:38Z</dcterms:modified>
</cp:coreProperties>
</file>