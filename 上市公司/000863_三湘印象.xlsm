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D13E68D8-55C6-44EF-A8AE-4F20E7786B7A}"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M87" i="11"/>
  <c r="BU100" i="11"/>
  <c r="BU101" i="11" s="1"/>
  <c r="BM100" i="11"/>
  <c r="BM101" i="11" s="1"/>
  <c r="BE100" i="11"/>
  <c r="BE101" i="11" s="1"/>
  <c r="AW100" i="11"/>
  <c r="AW101" i="11" s="1"/>
  <c r="AO100" i="11"/>
  <c r="AO101" i="11" s="1"/>
  <c r="AG100" i="11"/>
  <c r="AG101" i="11" s="1"/>
  <c r="Y100" i="11"/>
  <c r="Y101" i="11" s="1"/>
  <c r="Q100" i="11"/>
  <c r="Q101" i="11" s="1"/>
  <c r="I100" i="11"/>
  <c r="I101" i="11" s="1"/>
  <c r="BE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K2" i="10"/>
  <c r="AJ2" i="10"/>
  <c r="AI2" i="10"/>
  <c r="AH2" i="10"/>
  <c r="AG2" i="10"/>
  <c r="AF2" i="10"/>
  <c r="AE2" i="10"/>
  <c r="AD2" i="10"/>
  <c r="AC2" i="10"/>
  <c r="AB2" i="10"/>
  <c r="AA2" i="10"/>
  <c r="Z2" i="10"/>
  <c r="Y2" i="10"/>
  <c r="X2" i="10"/>
  <c r="W2" i="10"/>
  <c r="V2" i="10"/>
  <c r="U2" i="10"/>
  <c r="T2" i="10"/>
  <c r="S2" i="10"/>
  <c r="R2" i="10"/>
  <c r="Q2" i="10"/>
  <c r="P2" i="10"/>
  <c r="O2" i="10"/>
  <c r="N2" i="10"/>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N3" i="10"/>
  <c r="V3" i="10"/>
  <c r="AD3" i="10"/>
  <c r="AL3" i="10"/>
  <c r="AT3" i="10"/>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8" i="10" s="1"/>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T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BL13" i="12"/>
  <c r="Y26" i="12"/>
  <c r="Y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I9" i="10" l="1"/>
  <c r="CC9" i="10"/>
  <c r="BO9" i="10"/>
  <c r="BQ32" i="9"/>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3" i="11" l="1"/>
  <c r="BZ49" i="10"/>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<sst xmlns="http://schemas.openxmlformats.org/spreadsheetml/2006/main" count="1033" uniqueCount="756">
  <si>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</si>
  <si>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</si>
  <si>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</si>
  <si>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</si>
  <si>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</si>
  <si>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</si>
  <si>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</si>
  <si>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</si>
  <si>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</si>
  <si>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</si>
  <si>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</si>
  <si>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</si>
  <si>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</si>
  <si>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</si>
  <si>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</si>
  <si>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</si>
  <si>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</si>
  <si>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</si>
  <si>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</si>
  <si>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</si>
  <si>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</si>
  <si>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</si>
  <si>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</si>
  <si>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</si>
  <si>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</si>
  <si>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</si>
  <si>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</si>
  <si>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</si>
  <si>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</si>
  <si>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</si>
  <si>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</si>
  <si>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</si>
  <si>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</si>
  <si>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</si>
  <si>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</si>
  <si>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</si>
  <si>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</si>
  <si>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</si>
  <si>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</si>
  <si>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</si>
  <si>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</si>
  <si>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</si>
  <si>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</si>
  <si>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</si>
  <si>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</si>
  <si>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</si>
  <si>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</si>
  <si>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</si>
  <si>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</si>
  <si>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</si>
  <si>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</si>
  <si>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</si>
  <si>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</si>
  <si>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</si>
  <si>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</si>
  <si>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</si>
  <si>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</si>
  <si>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</si>
  <si>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</si>
  <si>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</si>
  <si>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</si>
  <si>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</si>
  <si>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</si>
  <si>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</si>
  <si>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</si>
  <si>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</si>
  <si>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</si>
  <si>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</si>
  <si>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</si>
  <si>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</si>
  <si>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</si>
  <si>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</si>
  <si>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</si>
  <si>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</si>
  <si>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</si>
  <si>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</si>
  <si>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</si>
  <si>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</si>
  <si>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</si>
  <si>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</si>
  <si>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</si>
  <si>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</si>
  <si>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</si>
  <si>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</si>
  <si>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</si>
  <si>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</si>
  <si>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</si>
  <si>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</si>
  <si>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</si>
  <si>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</si>
  <si>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</si>
  <si>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</si>
  <si>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</si>
  <si>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</si>
  <si>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</si>
  <si>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</si>
  <si>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</si>
  <si>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</si>
  <si>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</si>
  <si>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</si>
  <si>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</si>
  <si>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</si>
  <si>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</si>
  <si>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</si>
  <si>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</si>
  <si>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</si>
  <si>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</si>
  <si>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</si>
  <si>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</si>
  <si>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</si>
  <si>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</si>
  <si>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</si>
  <si>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</si>
  <si>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</si>
  <si>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</si>
  <si>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</si>
  <si>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</si>
  <si>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</si>
  <si>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</si>
  <si>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</si>
  <si>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</si>
  <si>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</si>
  <si>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</si>
  <si>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</si>
  <si>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</si>
  <si>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</si>
  <si>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</si>
  <si>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</si>
  <si>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</si>
  <si>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</si>
  <si>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</si>
  <si>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</si>
  <si>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</si>
  <si>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</si>
  <si>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</si>
  <si>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</si>
  <si>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</si>
  <si>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</si>
  <si>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</si>
  <si>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</si>
  <si>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</si>
  <si>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</si>
  <si>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</si>
  <si>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</si>
  <si>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</si>
  <si>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</si>
  <si>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</si>
  <si>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</si>
  <si>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</si>
  <si>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</si>
  <si>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</si>
  <si>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</si>
  <si>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</si>
  <si>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</si>
  <si>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</si>
  <si>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</si>
  <si>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</si>
  <si>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</si>
  <si>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</si>
  <si>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</si>
  <si>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</si>
  <si>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</si>
  <si>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</si>
  <si>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</si>
  <si>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</si>
  <si>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</si>
  <si>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</si>
  <si>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</si>
  <si>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</si>
  <si>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</si>
  <si>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</si>
  <si>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</si>
  <si>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</si>
  <si>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</si>
  <si>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</si>
  <si>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</si>
  <si>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</si>
  <si>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</si>
  <si>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</si>
  <si>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</si>
  <si>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</si>
  <si>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</si>
  <si>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</si>
  <si>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</si>
  <si>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</si>
  <si>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</si>
  <si>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</si>
  <si>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</si>
  <si>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</si>
  <si>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</si>
  <si>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</si>
  <si>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</si>
  <si>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</si>
  <si>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</si>
  <si>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</si>
  <si>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</si>
  <si>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</si>
  <si>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</si>
  <si>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</si>
  <si>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</si>
  <si>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</si>
  <si>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</si>
  <si>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</si>
  <si>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</si>
  <si>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</si>
  <si>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</si>
  <si>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</si>
  <si>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</si>
  <si>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</si>
  <si>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</si>
  <si>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</si>
  <si>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</si>
  <si>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</si>
  <si>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</si>
  <si>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</si>
  <si>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</si>
  <si>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</si>
  <si>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</si>
  <si>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</si>
  <si>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</si>
  <si>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</si>
  <si>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</si>
  <si>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</si>
  <si>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</si>
  <si>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</si>
  <si>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</si>
  <si>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</si>
  <si>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</si>
  <si>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</si>
  <si>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</si>
  <si>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</si>
  <si>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</si>
  <si>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</si>
  <si>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</si>
  <si>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</si>
  <si>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</si>
  <si>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</si>
  <si>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</si>
  <si>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</si>
  <si>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</si>
  <si>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</si>
  <si>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</si>
  <si>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</si>
  <si>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</si>
  <si>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</si>
  <si>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</si>
  <si>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</si>
  <si>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</si>
  <si>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</si>
  <si>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</si>
  <si>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</si>
  <si>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</si>
  <si>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</si>
  <si>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</si>
  <si>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</si>
  <si>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</si>
  <si>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</si>
  <si>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</si>
  <si>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</si>
  <si>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</si>
  <si>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</si>
  <si>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</si>
  <si>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</si>
  <si>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</si>
  <si>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</si>
  <si>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</si>
  <si>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</si>
  <si>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</si>
  <si>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</si>
  <si>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</si>
  <si>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</si>
  <si>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</si>
  <si>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</si>
  <si>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</si>
  <si>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</si>
  <si>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</si>
  <si>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</si>
  <si>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</si>
  <si>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</si>
  <si>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</si>
  <si>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</si>
  <si>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</si>
  <si>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</si>
  <si>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</si>
  <si>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</si>
  <si>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</si>
  <si>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</si>
  <si>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</si>
  <si>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</si>
  <si>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</si>
  <si>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</si>
  <si>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</si>
  <si>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</si>
  <si>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</si>
  <si>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</si>
  <si>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</si>
  <si>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</si>
  <si>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</si>
  <si>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</si>
  <si>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</si>
  <si>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</si>
  <si>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</si>
  <si>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</si>
  <si>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</si>
  <si>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</si>
  <si>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</si>
  <si>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</si>
  <si>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</si>
  <si>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</si>
  <si>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</si>
  <si>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</si>
  <si>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</si>
  <si>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</si>
  <si>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</si>
  <si>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</si>
  <si>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</si>
  <si>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</si>
  <si>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</si>
  <si>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</si>
  <si>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</si>
  <si>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</si>
  <si>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</si>
  <si>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</si>
  <si>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</si>
  <si>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</si>
  <si>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</si>
  <si>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</si>
  <si>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</si>
  <si>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</si>
  <si>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</si>
  <si>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</si>
  <si>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</si>
  <si>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</si>
  <si>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</si>
  <si>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</si>
  <si>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</si>
  <si>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</si>
  <si>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</si>
  <si>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</si>
  <si>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</si>
  <si>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</si>
  <si>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</si>
  <si>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</si>
  <si>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</si>
  <si>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</si>
  <si>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</si>
  <si>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</si>
  <si>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</si>
  <si>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</si>
  <si>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</si>
  <si>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</si>
  <si>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</si>
  <si>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</si>
  <si>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</si>
  <si>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</si>
  <si>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</si>
  <si>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</si>
  <si>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</si>
  <si>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</si>
  <si>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</si>
  <si>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</si>
  <si>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</si>
  <si>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</si>
  <si>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</si>
  <si>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</si>
  <si>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</si>
  <si>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</si>
  <si>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</si>
  <si>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</si>
  <si>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</si>
  <si>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</si>
  <si>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</si>
  <si>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</si>
  <si>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</si>
  <si>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</si>
  <si>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</si>
  <si>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</si>
  <si>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</si>
  <si>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</si>
  <si>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</si>
  <si>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</si>
  <si>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</si>
  <si>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</si>
  <si>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</si>
  <si>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</si>
  <si>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</si>
  <si>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</si>
  <si>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</si>
  <si>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</si>
  <si>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</si>
  <si>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</si>
  <si>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</si>
  <si>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</si>
  <si>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</si>
  <si>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</si>
  <si>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</si>
  <si>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</si>
  <si>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</si>
  <si>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</si>
  <si>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</si>
  <si>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</si>
  <si>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</si>
  <si>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</si>
  <si>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</si>
  <si>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</si>
  <si>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</si>
  <si>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</si>
  <si>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</si>
  <si>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</si>
  <si>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</si>
  <si>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</si>
  <si>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</si>
  <si>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</si>
  <si>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</si>
  <si>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</si>
  <si>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</si>
  <si>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</si>
  <si>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</si>
  <si>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</si>
  <si>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</si>
  <si>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</si>
  <si>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</si>
  <si>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</si>
  <si>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</si>
  <si>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</si>
  <si>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</si>
  <si>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</si>
  <si>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</si>
  <si>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</si>
  <si>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</si>
  <si>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</si>
  <si>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</si>
  <si>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</si>
  <si>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</si>
  <si>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</si>
  <si>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</si>
  <si>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</si>
  <si>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</si>
  <si>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</si>
  <si>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</si>
  <si>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</si>
  <si>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</si>
  <si>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</si>
  <si>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</si>
  <si>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</si>
  <si>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</si>
  <si>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</si>
  <si>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</si>
  <si>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</si>
  <si>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</si>
  <si>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</si>
  <si>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</si>
  <si>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</si>
  <si>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</si>
  <si>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</si>
  <si>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</si>
  <si>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</si>
  <si>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</si>
  <si>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</si>
  <si>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</si>
  <si>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</si>
  <si>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</si>
  <si>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</si>
  <si>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</si>
  <si>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</si>
  <si>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</si>
  <si>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</si>
  <si>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</si>
  <si>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</si>
  <si>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</si>
  <si>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</si>
  <si>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</si>
  <si>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</si>
  <si>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</si>
  <si>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</si>
  <si>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</si>
  <si>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</si>
  <si>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</si>
  <si>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</si>
  <si>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</si>
  <si>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</si>
  <si>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</si>
  <si>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</si>
  <si>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</si>
  <si>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</si>
  <si>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</si>
  <si>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</si>
  <si>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</si>
  <si>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</si>
  <si>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</si>
  <si>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</si>
  <si>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</si>
  <si>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</si>
  <si>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</si>
  <si>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</si>
  <si>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</si>
  <si>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</si>
  <si>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</si>
  <si>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</si>
  <si>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</si>
  <si>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</si>
  <si>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</si>
  <si>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</si>
  <si>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</si>
  <si>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</si>
  <si>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</si>
  <si>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</si>
  <si>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</si>
  <si>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</si>
  <si>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</si>
  <si>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</si>
  <si>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</si>
  <si>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</si>
  <si>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</si>
  <si>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</si>
  <si>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</si>
  <si>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</si>
  <si>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</si>
  <si>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</si>
  <si>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</si>
  <si>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</si>
  <si>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</si>
  <si>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</si>
  <si>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</si>
  <si>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</si>
  <si>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</si>
  <si>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</si>
  <si>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</si>
  <si>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</si>
  <si>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</si>
  <si>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</si>
  <si>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</si>
  <si>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</si>
  <si>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</si>
  <si>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</si>
  <si>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</si>
  <si>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</si>
  <si>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</si>
  <si>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</si>
  <si>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</si>
  <si>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</si>
  <si>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</si>
  <si>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</si>
  <si>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</si>
  <si>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</si>
  <si>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</si>
  <si>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</si>
  <si>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</si>
  <si>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</si>
  <si>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</si>
  <si>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</si>
  <si>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</si>
  <si>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</si>
  <si>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</si>
  <si>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</si>
  <si>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</si>
  <si>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</si>
  <si>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</si>
  <si>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</si>
  <si>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</si>
  <si>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</si>
  <si>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</si>
  <si>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</si>
  <si>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</si>
  <si>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</si>
  <si>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</si>
  <si>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</si>
  <si>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</si>
  <si>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</si>
  <si>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</si>
  <si>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</si>
  <si>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</si>
  <si>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</si>
  <si>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</si>
  <si>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</si>
  <si>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</si>
  <si>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</si>
  <si>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</si>
  <si>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</si>
  <si>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</si>
  <si>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</si>
  <si>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</si>
  <si>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</si>
  <si>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</si>
  <si>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</si>
  <si>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</si>
  <si>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</si>
  <si>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</si>
  <si>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</si>
  <si>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</si>
  <si>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</si>
  <si>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</si>
  <si>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</si>
  <si>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</si>
  <si>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</si>
  <si>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</si>
  <si>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</si>
  <si>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</si>
  <si>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</si>
  <si>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</si>
  <si>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</si>
  <si>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</si>
  <si>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</si>
  <si>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</si>
  <si>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</si>
  <si>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</si>
  <si>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</si>
  <si>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</si>
  <si>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</si>
  <si>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</si>
  <si>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</si>
  <si>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</si>
  <si>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</si>
  <si>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</si>
  <si>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</si>
  <si>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</si>
  <si>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</si>
  <si>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</si>
  <si>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</si>
  <si>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</si>
  <si>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</si>
  <si>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</si>
  <si>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</si>
  <si>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</si>
  <si>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</si>
  <si>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</si>
  <si>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</si>
  <si>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</si>
  <si>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</si>
  <si>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</si>
  <si>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</si>
  <si>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</si>
  <si>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</si>
  <si>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</si>
  <si>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</si>
  <si>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</si>
  <si>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</si>
  <si>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</si>
  <si>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</si>
  <si>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</si>
  <si>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</si>
  <si>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</si>
  <si>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</si>
  <si>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</si>
  <si>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</si>
  <si>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</si>
  <si>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</si>
  <si>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</si>
  <si>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</si>
  <si>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</si>
  <si>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</si>
  <si>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</si>
  <si>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</si>
  <si>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</si>
  <si>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</si>
  <si>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</si>
  <si>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</si>
  <si>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</si>
  <si>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</si>
  <si>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</si>
  <si>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</si>
  <si>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</si>
  <si>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</si>
  <si>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</si>
  <si>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</si>
  <si>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</si>
  <si>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</si>
  <si>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</si>
  <si>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</si>
  <si>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</si>
  <si>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</si>
  <si>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</si>
  <si>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</si>
  <si>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</si>
  <si>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</si>
  <si>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</si>
  <si>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</si>
  <si>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</si>
  <si>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</si>
  <si>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</si>
  <si>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</si>
  <si>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</si>
  <si>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</si>
  <si>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</si>
  <si>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</si>
  <si>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</si>
  <si>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</si>
  <si>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</si>
  <si>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</si>
  <si>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</si>
  <si>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</si>
  <si>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</si>
  <si>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</si>
  <si>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</si>
  <si>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</si>
  <si>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</si>
  <si>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</si>
  <si>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</si>
  <si>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</si>
  <si>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</si>
  <si>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</si>
  <si>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</si>
  <si>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</si>
  <si>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</si>
  <si>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</si>
  <si>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</si>
  <si>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</si>
  <si>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</si>
  <si>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</si>
  <si>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</si>
  <si>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</si>
  <si>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</si>
  <si>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</si>
  <si>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</si>
  <si>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</si>
  <si>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</si>
  <si>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</si>
  <si>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</si>
  <si>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</si>
  <si>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</si>
  <si>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</si>
  <si>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</si>
  <si>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</si>
  <si>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</si>
  <si>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</si>
  <si>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</si>
  <si>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</si>
  <si>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</si>
  <si>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</si>
  <si>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</si>
  <si>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</si>
  <si>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</si>
  <si>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</si>
  <si>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</si>
  <si>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</si>
  <si>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</si>
  <si>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</si>
  <si>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</si>
  <si>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</si>
  <si>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</si>
  <si>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</si>
  <si>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</si>
  <si>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</si>
  <si>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</si>
  <si>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</si>
  <si>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</si>
  <si>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</si>
  <si>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</si>
  <si>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</si>
  <si>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</si>
  <si>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</si>
  <si>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</si>
  <si>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房地产公司估值</t>
    <phoneticPr fontId="1" type="noConversion"/>
  </si>
  <si>
    <t>每股2~3元文化产业价值+每股5~6元三河项目+12~13上海项目-7元每股债务</t>
    <phoneticPr fontId="1" type="noConversion"/>
  </si>
  <si>
    <t>12~15元每股内在价值</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</si>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</sst>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0.3467742568491734</c:v>
                </c:pt>
                <c:pt idx="1">
                  <c:v>0.32296140585653427</c:v>
                </c:pt>
                <c:pt idx="2">
                  <c:v>0.39566408284746291</c:v>
                </c:pt>
                <c:pt idx="3">
                  <c:v>0.36045505557553786</c:v>
                </c:pt>
                <c:pt idx="4">
                  <c:v>0.39812544991903659</c:v>
                </c:pt>
                <c:pt idx="5">
                  <c:v>0.35787648743365119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0.12489514725225875</c:v>
                </c:pt>
                <c:pt idx="1">
                  <c:v>0.15912204281936432</c:v>
                </c:pt>
                <c:pt idx="2">
                  <c:v>-0.15755180470698665</c:v>
                </c:pt>
                <c:pt idx="3">
                  <c:v>7.866736560466879E-2</c:v>
                </c:pt>
                <c:pt idx="4">
                  <c:v>0.16007962692592229</c:v>
                </c:pt>
                <c:pt idx="5">
                  <c:v>0.1708605516828115</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0.21431820349359895</c:v>
                </c:pt>
                <c:pt idx="1">
                  <c:v>0.22009164571318313</c:v>
                </c:pt>
                <c:pt idx="2">
                  <c:v>0.62670589294615431</c:v>
                </c:pt>
                <c:pt idx="3">
                  <c:v>0.23239089295905954</c:v>
                </c:pt>
                <c:pt idx="4">
                  <c:v>0.26771498122806681</c:v>
                </c:pt>
                <c:pt idx="5">
                  <c:v>0.2627676680429587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0.11859744567129311</c:v>
                </c:pt>
                <c:pt idx="1">
                  <c:v>0.15997391644496733</c:v>
                </c:pt>
                <c:pt idx="2">
                  <c:v>0.48289668632729427</c:v>
                </c:pt>
                <c:pt idx="3">
                  <c:v>0.15319541756905561</c:v>
                </c:pt>
                <c:pt idx="4">
                  <c:v>0.18882662190182556</c:v>
                </c:pt>
                <c:pt idx="5">
                  <c:v>0.23022051529093282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0.15915106433542567</c:v>
                </c:pt>
                <c:pt idx="1">
                  <c:v>0.19212856404741069</c:v>
                </c:pt>
                <c:pt idx="2">
                  <c:v>0.19797466236526412</c:v>
                </c:pt>
                <c:pt idx="3">
                  <c:v>0.1419265797829814</c:v>
                </c:pt>
                <c:pt idx="4">
                  <c:v>0.23175808220883151</c:v>
                </c:pt>
                <c:pt idx="5">
                  <c:v>0.25029949137523166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9.0620531124431691E-2</c:v>
                </c:pt>
                <c:pt idx="1">
                  <c:v>0.13989677617935528</c:v>
                </c:pt>
                <c:pt idx="2">
                  <c:v>0.15291035794727242</c:v>
                </c:pt>
                <c:pt idx="3">
                  <c:v>9.3046425465278498E-2</c:v>
                </c:pt>
                <c:pt idx="4">
                  <c:v>0.163364252887856</c:v>
                </c:pt>
                <c:pt idx="5">
                  <c:v>0.21775810720065469</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394305728.31999999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1289411915.25</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102998804.40000001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180911174.27000001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644095790.30999994</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472530097.75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-284002932.72040009</c:v>
                </c:pt>
                <c:pt idx="1">
                  <c:v>408213249.29919988</c:v>
                </c:pt>
                <c:pt idx="2">
                  <c:v>-161664092.87719998</c:v>
                </c:pt>
                <c:pt idx="3">
                  <c:v>-127444351.358</c:v>
                </c:pt>
                <c:pt idx="4">
                  <c:v>298215281.10000026</c:v>
                </c:pt>
                <c:pt idx="5">
                  <c:v>299475687.84960002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6352383930.3800001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6622168000.7600002</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3013768304.3400002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3071108762.3499999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1943003746.25</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1391588016.6300001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1,650,434,359.12 </c:v>
                </c:pt>
                <c:pt idx="5">
                  <c:v>1,640,010,009.53 </c:v>
                </c:pt>
                <c:pt idx="6">
                  <c:v>1,654,274,232.39 </c:v>
                </c:pt>
                <c:pt idx="7">
                  <c:v>980,386,284.47 </c:v>
                </c:pt>
                <c:pt idx="8">
                  <c:v>1,055,825,153.77 </c:v>
                </c:pt>
                <c:pt idx="9">
                  <c:v>1,019,265,918.59 </c:v>
                </c:pt>
                <c:pt idx="10">
                  <c:v>1,031,038,937.44 </c:v>
                </c:pt>
                <c:pt idx="11">
                  <c:v>1,021,605,893.40 </c:v>
                </c:pt>
                <c:pt idx="12">
                  <c:v>1,025,663,336.43 </c:v>
                </c:pt>
                <c:pt idx="13">
                  <c:v>1,017,494,796.95 </c:v>
                </c:pt>
                <c:pt idx="14">
                  <c:v>1,165,470,706.26 </c:v>
                </c:pt>
                <c:pt idx="15">
                  <c:v>1,149,990,899.75 </c:v>
                </c:pt>
                <c:pt idx="16">
                  <c:v>1,152,059,415.05 </c:v>
                </c:pt>
                <c:pt idx="17">
                  <c:v>1,025,046,758.39 </c:v>
                </c:pt>
                <c:pt idx="18">
                  <c:v>703,150,357.21 </c:v>
                </c:pt>
                <c:pt idx="19">
                  <c:v>704,466,106.50 </c:v>
                </c:pt>
                <c:pt idx="20">
                  <c:v>671,471,327.81 </c:v>
                </c:pt>
              </c:strCache>
            </c:strRef>
          </c:tx>
          <c:invertIfNegative val="0"/>
          <c:cat>
            <c:numRef>
              <c:f>投资和筹资活动现金流表!$E$12</c:f>
              <c:numCache>
                <c:formatCode>#,##0.00_ </c:formatCode>
                <c:ptCount val="1"/>
                <c:pt idx="0">
                  <c:v>1650434359.1199999</c:v>
                </c:pt>
              </c:numCache>
            </c:numRef>
          </c:cat>
          <c:val>
            <c:numRef>
              <c:f>投资和筹资活动现金流表!$E$12:$U$12</c:f>
              <c:numCache>
                <c:formatCode>#,##0.00_ </c:formatCode>
                <c:ptCount val="5"/>
                <c:pt idx="0">
                  <c:v>1650434359.1199999</c:v>
                </c:pt>
                <c:pt idx="1">
                  <c:v>1055825153.77</c:v>
                </c:pt>
                <c:pt idx="2">
                  <c:v>1025663336.4300001</c:v>
                </c:pt>
                <c:pt idx="3">
                  <c:v>1152059415.05</c:v>
                </c:pt>
                <c:pt idx="4">
                  <c:v>671471327.80999994</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-4.7263162432943769E-2</c:v>
                </c:pt>
                <c:pt idx="1">
                  <c:v>-5.2421434801369529E-2</c:v>
                </c:pt>
                <c:pt idx="2">
                  <c:v>-1.6635007213367865E-2</c:v>
                </c:pt>
                <c:pt idx="3">
                  <c:v>-1.3599181262122699E-2</c:v>
                </c:pt>
                <c:pt idx="4">
                  <c:v>0.20586774337908123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8.7760167274816414</c:v>
                </c:pt>
                <c:pt idx="1">
                  <c:v>1.118769249966107</c:v>
                </c:pt>
                <c:pt idx="2">
                  <c:v>-85.143614333345297</c:v>
                </c:pt>
                <c:pt idx="3">
                  <c:v>-124.12549124548433</c:v>
                </c:pt>
                <c:pt idx="4">
                  <c:v>-0.50494411113313953</c:v>
                </c:pt>
                <c:pt idx="5">
                  <c:v>11.975644629473695</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14511074.16</c:v>
                </c:pt>
                <c:pt idx="1">
                  <c:v>5536014.29</c:v>
                </c:pt>
                <c:pt idx="2">
                  <c:v>9030713.0199999996</c:v>
                </c:pt>
                <c:pt idx="3">
                  <c:v>11484069.940000001</c:v>
                </c:pt>
                <c:pt idx="4">
                  <c:v>154396537.03</c:v>
                </c:pt>
                <c:pt idx="5">
                  <c:v>49508136.149999999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-304582697.89999998</c:v>
                </c:pt>
                <c:pt idx="1">
                  <c:v>612200388.27999997</c:v>
                </c:pt>
                <c:pt idx="2">
                  <c:v>0</c:v>
                </c:pt>
                <c:pt idx="3">
                  <c:v>0</c:v>
                </c:pt>
                <c:pt idx="4">
                  <c:v>250646983.65000001</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-2545673422.1100001</c:v>
                </c:pt>
                <c:pt idx="1">
                  <c:v>691104491.77999997</c:v>
                </c:pt>
                <c:pt idx="2">
                  <c:v>-768907546.52999997</c:v>
                </c:pt>
                <c:pt idx="3">
                  <c:v>-1425465822.8</c:v>
                </c:pt>
                <c:pt idx="4">
                  <c:v>-204524340.52000001</c:v>
                </c:pt>
                <c:pt idx="5">
                  <c:v>592891844.79999995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1793290046.49</c:v>
                </c:pt>
                <c:pt idx="1">
                  <c:v>596438553.82000005</c:v>
                </c:pt>
                <c:pt idx="2">
                  <c:v>-1393577742.4300001</c:v>
                </c:pt>
                <c:pt idx="3">
                  <c:v>2789393379.79</c:v>
                </c:pt>
                <c:pt idx="4">
                  <c:v>427971635.61000001</c:v>
                </c:pt>
                <c:pt idx="5">
                  <c:v>-210247257.30000001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-276350518.80000001</c:v>
                </c:pt>
                <c:pt idx="1">
                  <c:v>1721121038.8</c:v>
                </c:pt>
                <c:pt idx="2">
                  <c:v>37431809</c:v>
                </c:pt>
                <c:pt idx="3">
                  <c:v>1009310302.76</c:v>
                </c:pt>
                <c:pt idx="4">
                  <c:v>92010000</c:v>
                </c:pt>
                <c:pt idx="5">
                  <c:v>5334000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2134935679.4899998</c:v>
                </c:pt>
                <c:pt idx="1">
                  <c:v>-816314842.88999987</c:v>
                </c:pt>
                <c:pt idx="2">
                  <c:v>-930138812.68000007</c:v>
                </c:pt>
                <c:pt idx="3">
                  <c:v>2384199499.0900002</c:v>
                </c:pt>
                <c:pt idx="4">
                  <c:v>396679812.27999997</c:v>
                </c:pt>
                <c:pt idx="5">
                  <c:v>-139265693.57999998</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2750000000</c:v>
                </c:pt>
                <c:pt idx="1">
                  <c:v>2690780000</c:v>
                </c:pt>
                <c:pt idx="2">
                  <c:v>2157500000</c:v>
                </c:pt>
                <c:pt idx="3">
                  <c:v>3811525129.0799999</c:v>
                </c:pt>
                <c:pt idx="4">
                  <c:v>1227280000</c:v>
                </c:pt>
                <c:pt idx="5">
                  <c:v>332200000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72711694.959999993</c:v>
                </c:pt>
                <c:pt idx="2">
                  <c:v>-527580000</c:v>
                </c:pt>
                <c:pt idx="3">
                  <c:v>-136233051.84999999</c:v>
                </c:pt>
                <c:pt idx="4">
                  <c:v>300000000</c:v>
                </c:pt>
                <c:pt idx="5">
                  <c:v>-510000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132033825.75</c:v>
                </c:pt>
                <c:pt idx="1">
                  <c:v>190076870.66</c:v>
                </c:pt>
                <c:pt idx="2">
                  <c:v>222528015.47</c:v>
                </c:pt>
                <c:pt idx="3">
                  <c:v>114413529.48999999</c:v>
                </c:pt>
                <c:pt idx="4">
                  <c:v>99337359.890000001</c:v>
                </c:pt>
                <c:pt idx="5">
                  <c:v>23183593.739999998</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5477444392.6900005</c:v>
                </c:pt>
                <c:pt idx="1">
                  <c:v>4065988732.1500001</c:v>
                </c:pt>
                <c:pt idx="2">
                  <c:v>4589545926.29</c:v>
                </c:pt>
                <c:pt idx="3">
                  <c:v>5289142100.5</c:v>
                </c:pt>
                <c:pt idx="4">
                  <c:v>2773017956.9099998</c:v>
                </c:pt>
                <c:pt idx="5">
                  <c:v>1367102099.8399999</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6352383930.3800001</c:v>
                </c:pt>
                <c:pt idx="1">
                  <c:v>6622168000.7600002</c:v>
                </c:pt>
                <c:pt idx="2">
                  <c:v>3013768304.3400002</c:v>
                </c:pt>
                <c:pt idx="3">
                  <c:v>3071108762.3499999</c:v>
                </c:pt>
                <c:pt idx="4">
                  <c:v>1943003746.25</c:v>
                </c:pt>
                <c:pt idx="5">
                  <c:v>1391588016.6300001</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12014045508.25</c:v>
                </c:pt>
                <c:pt idx="1">
                  <c:v>10881122711.829998</c:v>
                </c:pt>
                <c:pt idx="2">
                  <c:v>7619805307.7300014</c:v>
                </c:pt>
                <c:pt idx="3">
                  <c:v>8374023907.1299992</c:v>
                </c:pt>
                <c:pt idx="4">
                  <c:v>4729794747.4399996</c:v>
                </c:pt>
                <c:pt idx="5">
                  <c:v>2772463160.75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4.9482889165072791E-2</c:v>
                </c:pt>
                <c:pt idx="1">
                  <c:v>6.0637544440535908E-2</c:v>
                </c:pt>
                <c:pt idx="2">
                  <c:v>5.2600324118886516E-2</c:v>
                </c:pt>
                <c:pt idx="3">
                  <c:v>4.1092227391543251E-2</c:v>
                </c:pt>
                <c:pt idx="4">
                  <c:v>5.2695871924152038E-2</c:v>
                </c:pt>
                <c:pt idx="5">
                  <c:v>4.7137558047570895E-2</c:v>
                </c:pt>
                <c:pt idx="6">
                  <c:v>3.1559712396288221E-2</c:v>
                </c:pt>
                <c:pt idx="7">
                  <c:v>2.3041272343521002</c:v>
                </c:pt>
                <c:pt idx="8">
                  <c:v>4.96292095748821</c:v>
                </c:pt>
                <c:pt idx="9">
                  <c:v>-12.932908017914899</c:v>
                </c:pt>
                <c:pt idx="10">
                  <c:v>-1.2995568069437942</c:v>
                </c:pt>
                <c:pt idx="11">
                  <c:v>-1.8116669412572424</c:v>
                </c:pt>
                <c:pt idx="12">
                  <c:v>-5.2784281412644497E-2</c:v>
                </c:pt>
                <c:pt idx="13">
                  <c:v>1.9551552738137218E-2</c:v>
                </c:pt>
                <c:pt idx="14">
                  <c:v>4.7238026133516499E-2</c:v>
                </c:pt>
                <c:pt idx="15">
                  <c:v>4.6844769604992537E-2</c:v>
                </c:pt>
                <c:pt idx="16">
                  <c:v>3.4656432572810168E-2</c:v>
                </c:pt>
                <c:pt idx="17">
                  <c:v>5.1101310636673447E-2</c:v>
                </c:pt>
                <c:pt idx="18">
                  <c:v>6.1287789364258542E-2</c:v>
                </c:pt>
                <c:pt idx="19">
                  <c:v>5.7041700748730106E-2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-0.356372530204353</c:v>
                </c:pt>
                <c:pt idx="1">
                  <c:v>0.88310281518907185</c:v>
                </c:pt>
                <c:pt idx="2">
                  <c:v>-0.69562153132522875</c:v>
                </c:pt>
                <c:pt idx="3">
                  <c:v>1.8172699374499814</c:v>
                </c:pt>
                <c:pt idx="4">
                  <c:v>-0.21555184370982966</c:v>
                </c:pt>
                <c:pt idx="5">
                  <c:v>0.90443322426167616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-0.10893557988615041</c:v>
                </c:pt>
                <c:pt idx="1">
                  <c:v>0.22675683063382507</c:v>
                </c:pt>
                <c:pt idx="2">
                  <c:v>-8.126250703064368E-2</c:v>
                </c:pt>
                <c:pt idx="3">
                  <c:v>-0.2677291136876821</c:v>
                </c:pt>
                <c:pt idx="4">
                  <c:v>1.5178256012937867</c:v>
                </c:pt>
                <c:pt idx="5">
                  <c:v>0.12260438904264802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0.26010385161078198</c:v>
                </c:pt>
                <c:pt idx="1">
                  <c:v>0.14087559088923948</c:v>
                </c:pt>
                <c:pt idx="2">
                  <c:v>0.1766237687737828</c:v>
                </c:pt>
                <c:pt idx="3">
                  <c:v>0.67438454052428765</c:v>
                </c:pt>
                <c:pt idx="4">
                  <c:v>1.4642496856026106</c:v>
                </c:pt>
                <c:pt idx="5">
                  <c:v>-0.12708378244378746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-2.3300368328278858E-3</c:v>
                </c:pt>
                <c:pt idx="1">
                  <c:v>-0.17893996123163874</c:v>
                </c:pt>
                <c:pt idx="2">
                  <c:v>0.44034186509386491</c:v>
                </c:pt>
                <c:pt idx="3">
                  <c:v>0.30238426211358865</c:v>
                </c:pt>
                <c:pt idx="4">
                  <c:v>0.71491224193132463</c:v>
                </c:pt>
                <c:pt idx="5">
                  <c:v>-8.678345771277178E-3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-0.67643604670464985</c:v>
                </c:pt>
                <c:pt idx="1">
                  <c:v>-0.52265657248045416</c:v>
                </c:pt>
                <c:pt idx="2">
                  <c:v>0.89738712132973908</c:v>
                </c:pt>
                <c:pt idx="3">
                  <c:v>-5.9678403018840531E-2</c:v>
                </c:pt>
                <c:pt idx="4">
                  <c:v>0.32327546771718702</c:v>
                </c:pt>
                <c:pt idx="5">
                  <c:v>6.6962104749231185E-2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-7.61879913019054E-2</c:v>
                </c:pt>
                <c:pt idx="1">
                  <c:v>5.7536221906854683</c:v>
                </c:pt>
                <c:pt idx="2">
                  <c:v>0.49356361524449072</c:v>
                </c:pt>
                <c:pt idx="3">
                  <c:v>0.34512930397836122</c:v>
                </c:pt>
                <c:pt idx="4">
                  <c:v>1.3983887697179599E-3</c:v>
                </c:pt>
                <c:pt idx="5">
                  <c:v>-0.3699997067596838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1.5635297154001415</c:v>
                </c:pt>
                <c:pt idx="1">
                  <c:v>-0.42016456485685688</c:v>
                </c:pt>
                <c:pt idx="2">
                  <c:v>-5.6083400253570059E-2</c:v>
                </c:pt>
                <c:pt idx="3">
                  <c:v>5.1568089265979618</c:v>
                </c:pt>
                <c:pt idx="4">
                  <c:v>-0.47218567161628017</c:v>
                </c:pt>
                <c:pt idx="5">
                  <c:v>3.9034069417466952</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0.21143409163581145</c:v>
                </c:pt>
                <c:pt idx="1">
                  <c:v>-5.8637055735919728E-2</c:v>
                </c:pt>
                <c:pt idx="2">
                  <c:v>-0.14477273341412261</c:v>
                </c:pt>
                <c:pt idx="3">
                  <c:v>0.71330337055554227</c:v>
                </c:pt>
                <c:pt idx="4">
                  <c:v>1.3310260790394317</c:v>
                </c:pt>
                <c:pt idx="5">
                  <c:v>-0.2069955807112685</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7.7084101344052358E-2</c:v>
                </c:pt>
                <c:pt idx="1">
                  <c:v>0.13223481347339852</c:v>
                </c:pt>
                <c:pt idx="2">
                  <c:v>0.10027706346707549</c:v>
                </c:pt>
                <c:pt idx="3">
                  <c:v>0.29977634362526656</c:v>
                </c:pt>
                <c:pt idx="4">
                  <c:v>0.18839128090120227</c:v>
                </c:pt>
                <c:pt idx="5">
                  <c:v>0.40970669694407047</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3.3620304383950646E-2</c:v>
                </c:pt>
                <c:pt idx="1">
                  <c:v>4.1658929218505635E-2</c:v>
                </c:pt>
                <c:pt idx="2">
                  <c:v>4.84930445303043E-2</c:v>
                </c:pt>
                <c:pt idx="3">
                  <c:v>4.8028352530443325E-2</c:v>
                </c:pt>
                <c:pt idx="4">
                  <c:v>0.11612288678219593</c:v>
                </c:pt>
                <c:pt idx="5">
                  <c:v>7.8680785879582049E-2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0.14702193127011787</c:v>
                </c:pt>
                <c:pt idx="1">
                  <c:v>0.17571712322582914</c:v>
                </c:pt>
                <c:pt idx="2">
                  <c:v>3.7154135098806072E-2</c:v>
                </c:pt>
                <c:pt idx="3">
                  <c:v>2.2635657249390914E-2</c:v>
                </c:pt>
                <c:pt idx="4">
                  <c:v>2.9793462398399265E-2</c:v>
                </c:pt>
                <c:pt idx="5">
                  <c:v>5.0756375208943341E-2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0.1909891584031653</c:v>
                </c:pt>
                <c:pt idx="1">
                  <c:v>0.10036497148240135</c:v>
                </c:pt>
                <c:pt idx="2">
                  <c:v>0.15334649843648379</c:v>
                </c:pt>
                <c:pt idx="3">
                  <c:v>0.14096935897213186</c:v>
                </c:pt>
                <c:pt idx="4">
                  <c:v>4.3671851286872308E-2</c:v>
                </c:pt>
                <c:pt idx="5">
                  <c:v>0.16783099072618862</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0.80901084159683467</c:v>
                </c:pt>
                <c:pt idx="1">
                  <c:v>0.89963502851759858</c:v>
                </c:pt>
                <c:pt idx="2">
                  <c:v>0.84665350156351615</c:v>
                </c:pt>
                <c:pt idx="3">
                  <c:v>0.85903064102786808</c:v>
                </c:pt>
                <c:pt idx="4">
                  <c:v>0.95632814871312777</c:v>
                </c:pt>
                <c:pt idx="5">
                  <c:v>0.83216900927381143</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0.98653907796057549</c:v>
                </c:pt>
                <c:pt idx="1">
                  <c:v>1.1456529088147911</c:v>
                </c:pt>
                <c:pt idx="2">
                  <c:v>1.0097210935120149</c:v>
                </c:pt>
                <c:pt idx="3">
                  <c:v>1.334739161634098</c:v>
                </c:pt>
                <c:pt idx="4">
                  <c:v>1.2445379312497085</c:v>
                </c:pt>
                <c:pt idx="5">
                  <c:v>1.7094387476949404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926091901.50999999</c:v>
                </c:pt>
                <c:pt idx="1">
                  <c:v>1438863232.1800001</c:v>
                </c:pt>
                <c:pt idx="2">
                  <c:v>764091700.45000005</c:v>
                </c:pt>
                <c:pt idx="3">
                  <c:v>2510334268.3099999</c:v>
                </c:pt>
                <c:pt idx="4">
                  <c:v>891052090.87</c:v>
                </c:pt>
                <c:pt idx="5">
                  <c:v>1135896723.99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403915866.87</c:v>
                </c:pt>
                <c:pt idx="1">
                  <c:v>453295920.87</c:v>
                </c:pt>
                <c:pt idx="2">
                  <c:v>369507558.10000002</c:v>
                </c:pt>
                <c:pt idx="3">
                  <c:v>402190572.31</c:v>
                </c:pt>
                <c:pt idx="4">
                  <c:v>549237419.96000004</c:v>
                </c:pt>
                <c:pt idx="5">
                  <c:v>218139580.31</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1766328172.9899998</c:v>
                </c:pt>
                <c:pt idx="1">
                  <c:v>1911999580.3899999</c:v>
                </c:pt>
                <c:pt idx="2">
                  <c:v>283107275.83000004</c:v>
                </c:pt>
                <c:pt idx="3">
                  <c:v>189551534.95999998</c:v>
                </c:pt>
                <c:pt idx="4">
                  <c:v>140916961.95999998</c:v>
                </c:pt>
                <c:pt idx="5">
                  <c:v>140720180.44</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12014045508.25</c:v>
                </c:pt>
                <c:pt idx="1">
                  <c:v>10881122711.829998</c:v>
                </c:pt>
                <c:pt idx="2">
                  <c:v>7619805307.7300014</c:v>
                </c:pt>
                <c:pt idx="3">
                  <c:v>8374023907.1299992</c:v>
                </c:pt>
                <c:pt idx="4">
                  <c:v>4729794747.4399996</c:v>
                </c:pt>
                <c:pt idx="5">
                  <c:v>2772463160.75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1046132494.76</c:v>
                </c:pt>
                <c:pt idx="1">
                  <c:v>408082843.14999998</c:v>
                </c:pt>
                <c:pt idx="2">
                  <c:v>703790797.21000004</c:v>
                </c:pt>
                <c:pt idx="3">
                  <c:v>745606971.42000008</c:v>
                </c:pt>
                <c:pt idx="4">
                  <c:v>121102827.83</c:v>
                </c:pt>
                <c:pt idx="5">
                  <c:v>229442099.84</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4431311897.9300003</c:v>
                </c:pt>
                <c:pt idx="1">
                  <c:v>3657905889</c:v>
                </c:pt>
                <c:pt idx="2">
                  <c:v>3885755129.0799999</c:v>
                </c:pt>
                <c:pt idx="3">
                  <c:v>4543535129.0799999</c:v>
                </c:pt>
                <c:pt idx="4">
                  <c:v>2651915129.0799999</c:v>
                </c:pt>
                <c:pt idx="5">
                  <c:v>1137660000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-120040593.25000191</c:v>
                </c:pt>
                <c:pt idx="1">
                  <c:v>1030780389.0299983</c:v>
                </c:pt>
                <c:pt idx="2">
                  <c:v>60300903.239999652</c:v>
                </c:pt>
                <c:pt idx="3">
                  <c:v>1764727296.8899994</c:v>
                </c:pt>
                <c:pt idx="4">
                  <c:v>769949263.03999996</c:v>
                </c:pt>
                <c:pt idx="5">
                  <c:v>906454624.14999962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120040593.25</c:v>
                </c:pt>
                <c:pt idx="1">
                  <c:v>-1030780389.0300001</c:v>
                </c:pt>
                <c:pt idx="2">
                  <c:v>-60300903.24000001</c:v>
                </c:pt>
                <c:pt idx="3">
                  <c:v>-1764727296.8899999</c:v>
                </c:pt>
                <c:pt idx="4">
                  <c:v>-769949263.03999996</c:v>
                </c:pt>
                <c:pt idx="5">
                  <c:v>-906454624.14999998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0.6532257431508266</c:v>
                </c:pt>
                <c:pt idx="1">
                  <c:v>0.67703859414346568</c:v>
                </c:pt>
                <c:pt idx="2">
                  <c:v>0.60433591715253709</c:v>
                </c:pt>
                <c:pt idx="3">
                  <c:v>0.63954494442446219</c:v>
                </c:pt>
                <c:pt idx="4">
                  <c:v>0.60187455008096347</c:v>
                </c:pt>
                <c:pt idx="5">
                  <c:v>0.64212351256634881</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0.3467742568491734</c:v>
                </c:pt>
                <c:pt idx="1">
                  <c:v>0.32296140585653427</c:v>
                </c:pt>
                <c:pt idx="2">
                  <c:v>0.39566408284746291</c:v>
                </c:pt>
                <c:pt idx="3">
                  <c:v>0.36045505557553786</c:v>
                </c:pt>
                <c:pt idx="4">
                  <c:v>0.39812544991903659</c:v>
                </c:pt>
                <c:pt idx="5">
                  <c:v>0.35787648743365119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4.1008329664415345E-2</c:v>
                </c:pt>
                <c:pt idx="1">
                  <c:v>6.1343389697170188E-2</c:v>
                </c:pt>
                <c:pt idx="2">
                  <c:v>8.1928284705376622E-2</c:v>
                </c:pt>
                <c:pt idx="3">
                  <c:v>9.9382182434024274E-2</c:v>
                </c:pt>
                <c:pt idx="4">
                  <c:v>0.11958812660620133</c:v>
                </c:pt>
                <c:pt idx="5">
                  <c:v>0.1006662714753309</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1.8575837387892889E-2</c:v>
                </c:pt>
                <c:pt idx="1">
                  <c:v>1.7974178468324296E-2</c:v>
                </c:pt>
                <c:pt idx="2">
                  <c:v>0.16732657444122853</c:v>
                </c:pt>
                <c:pt idx="3">
                  <c:v>4.4370143058000931E-2</c:v>
                </c:pt>
                <c:pt idx="4">
                  <c:v>1.629344201240945E-2</c:v>
                </c:pt>
                <c:pt idx="5">
                  <c:v>2.1182829443351106E-2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6.0084387567852719E-2</c:v>
                </c:pt>
                <c:pt idx="1">
                  <c:v>2.7170263202658907E-2</c:v>
                </c:pt>
                <c:pt idx="2">
                  <c:v>0.37191994791772948</c:v>
                </c:pt>
                <c:pt idx="3">
                  <c:v>0.11720070159691574</c:v>
                </c:pt>
                <c:pt idx="4">
                  <c:v>3.9229153491971688E-2</c:v>
                </c:pt>
                <c:pt idx="5">
                  <c:v>4.479462559885964E-2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2.0923838610360276E-2</c:v>
                </c:pt>
                <c:pt idx="1">
                  <c:v>8.8549874222375801E-4</c:v>
                </c:pt>
                <c:pt idx="2">
                  <c:v>1.7605705832674072E-3</c:v>
                </c:pt>
                <c:pt idx="3">
                  <c:v>3.573504274592448E-4</c:v>
                </c:pt>
                <c:pt idx="4">
                  <c:v>5.2665483750425788E-4</c:v>
                </c:pt>
                <c:pt idx="5">
                  <c:v>4.4669388516811666E-4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1.249486742751902E-4</c:v>
                </c:pt>
                <c:pt idx="1">
                  <c:v>8.0141910786107859E-5</c:v>
                </c:pt>
                <c:pt idx="2">
                  <c:v>1.123338505864418E-3</c:v>
                </c:pt>
                <c:pt idx="3">
                  <c:v>4.088993828392906E-4</c:v>
                </c:pt>
                <c:pt idx="4">
                  <c:v>1.8474286961107139E-4</c:v>
                </c:pt>
                <c:pt idx="5">
                  <c:v>1.7902878156656371E-4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1.3288473665552676E-2</c:v>
                </c:pt>
                <c:pt idx="1">
                  <c:v>3.0238324433617806E-3</c:v>
                </c:pt>
                <c:pt idx="2">
                  <c:v>2.4410640588784869E-2</c:v>
                </c:pt>
                <c:pt idx="3">
                  <c:v>2.1257978042215766E-2</c:v>
                </c:pt>
                <c:pt idx="4">
                  <c:v>4.7949896426059766E-3</c:v>
                </c:pt>
                <c:pt idx="5">
                  <c:v>5.786610336539307E-3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0.15400581557034909</c:v>
                </c:pt>
                <c:pt idx="1">
                  <c:v>0.11047730446452503</c:v>
                </c:pt>
                <c:pt idx="2">
                  <c:v>0.64846935674225126</c:v>
                </c:pt>
                <c:pt idx="3">
                  <c:v>0.28297725494145526</c:v>
                </c:pt>
                <c:pt idx="4">
                  <c:v>0.18061710946030377</c:v>
                </c:pt>
                <c:pt idx="5">
                  <c:v>0.1730560595208156</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0.12489514725225875</c:v>
                </c:pt>
                <c:pt idx="1">
                  <c:v>0.15912204281936432</c:v>
                </c:pt>
                <c:pt idx="2">
                  <c:v>-0.15755180470698665</c:v>
                </c:pt>
                <c:pt idx="3">
                  <c:v>7.866736560466879E-2</c:v>
                </c:pt>
                <c:pt idx="4">
                  <c:v>0.16007962692592229</c:v>
                </c:pt>
                <c:pt idx="5">
                  <c:v>0.1708605516828115</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1.0234566408003736</c:v>
                </c:pt>
                <c:pt idx="1">
                  <c:v>0.992912591346229</c:v>
                </c:pt>
                <c:pt idx="2">
                  <c:v>-0.32548599751996371</c:v>
                </c:pt>
                <c:pt idx="3">
                  <c:v>0.51634448833437541</c:v>
                </c:pt>
                <c:pt idx="4">
                  <c:v>0.84828394250555361</c:v>
                </c:pt>
                <c:pt idx="5">
                  <c:v>0.74740416143513766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-4.4574613858098952E-2</c:v>
                </c:pt>
                <c:pt idx="1">
                  <c:v>-2.1652037109879665E-3</c:v>
                </c:pt>
                <c:pt idx="2">
                  <c:v>-8.2408352936321223E-3</c:v>
                </c:pt>
                <c:pt idx="3">
                  <c:v>1.0507594146345908E-2</c:v>
                </c:pt>
                <c:pt idx="4">
                  <c:v>1.4767161010306421E-3</c:v>
                </c:pt>
                <c:pt idx="5">
                  <c:v>4.7280574618691576E-2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2.1117973057725298E-2</c:v>
                </c:pt>
                <c:pt idx="1">
                  <c:v>9.2526123647590167E-3</c:v>
                </c:pt>
                <c:pt idx="2">
                  <c:v>1.3337268328135958</c:v>
                </c:pt>
                <c:pt idx="3">
                  <c:v>0.4731479175192787</c:v>
                </c:pt>
                <c:pt idx="4">
                  <c:v>0.15023934139341577</c:v>
                </c:pt>
                <c:pt idx="5">
                  <c:v>0.20531526394617072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9.0620531124431691E-2</c:v>
                </c:pt>
                <c:pt idx="1">
                  <c:v>0.13989677617935528</c:v>
                </c:pt>
                <c:pt idx="2">
                  <c:v>0.15291035794727242</c:v>
                </c:pt>
                <c:pt idx="3">
                  <c:v>9.3046425465278498E-2</c:v>
                </c:pt>
                <c:pt idx="4">
                  <c:v>0.163364252887856</c:v>
                </c:pt>
                <c:pt idx="5">
                  <c:v>0.21775810720065469</c:v>
                </c:pt>
                <c:pt idx="6">
                  <c:v>0.2542403732682309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1.0234566408003736</c:v>
                </c:pt>
                <c:pt idx="1">
                  <c:v>0.992912591346229</c:v>
                </c:pt>
                <c:pt idx="2">
                  <c:v>-0.32548599751996371</c:v>
                </c:pt>
                <c:pt idx="3">
                  <c:v>0.51634448833437541</c:v>
                </c:pt>
                <c:pt idx="4">
                  <c:v>0.84828394250555361</c:v>
                </c:pt>
                <c:pt idx="5">
                  <c:v>0.74740416143513766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-4.4574613858098952E-2</c:v>
                </c:pt>
                <c:pt idx="1">
                  <c:v>-2.1652037109879665E-3</c:v>
                </c:pt>
                <c:pt idx="2">
                  <c:v>-8.2408352936321223E-3</c:v>
                </c:pt>
                <c:pt idx="3">
                  <c:v>1.0507594146345908E-2</c:v>
                </c:pt>
                <c:pt idx="4">
                  <c:v>1.4767161010306421E-3</c:v>
                </c:pt>
                <c:pt idx="5">
                  <c:v>4.7280574618691576E-2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2.1117973057725298E-2</c:v>
                </c:pt>
                <c:pt idx="1">
                  <c:v>9.2526123647590167E-3</c:v>
                </c:pt>
                <c:pt idx="2">
                  <c:v>1.3337268328135958</c:v>
                </c:pt>
                <c:pt idx="3">
                  <c:v>0.4731479175192787</c:v>
                </c:pt>
                <c:pt idx="4">
                  <c:v>0.15023934139341577</c:v>
                </c:pt>
                <c:pt idx="5">
                  <c:v>0.20531526394617072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0.2574076222126459</c:v>
                </c:pt>
                <c:pt idx="1">
                  <c:v>0.12705199043408089</c:v>
                </c:pt>
                <c:pt idx="2">
                  <c:v>0.68410275921520047</c:v>
                </c:pt>
                <c:pt idx="3">
                  <c:v>0.3892764988515075</c:v>
                </c:pt>
                <c:pt idx="4">
                  <c:v>0.13431037312253935</c:v>
                </c:pt>
                <c:pt idx="5">
                  <c:v>4.7449432270672998E-2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2473918205.1599998</c:v>
                </c:pt>
                <c:pt idx="1">
                  <c:v>6704848495.9899998</c:v>
                </c:pt>
                <c:pt idx="2">
                  <c:v>519502880.88</c:v>
                </c:pt>
                <c:pt idx="3">
                  <c:v>1270810233.05</c:v>
                </c:pt>
                <c:pt idx="4">
                  <c:v>2776957460.2800002</c:v>
                </c:pt>
                <c:pt idx="5">
                  <c:v>1886509459.79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1616027058.0599999</c:v>
                </c:pt>
                <c:pt idx="1">
                  <c:v>4539441199.6700001</c:v>
                </c:pt>
                <c:pt idx="2">
                  <c:v>313954249.98000002</c:v>
                </c:pt>
                <c:pt idx="3">
                  <c:v>812740259.87</c:v>
                </c:pt>
                <c:pt idx="4">
                  <c:v>1671380022</c:v>
                </c:pt>
                <c:pt idx="5">
                  <c:v>1211372080.8099999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857891147.0999999</c:v>
                </c:pt>
                <c:pt idx="1">
                  <c:v>2165407296.3199997</c:v>
                </c:pt>
                <c:pt idx="2">
                  <c:v>205548630.89999998</c:v>
                </c:pt>
                <c:pt idx="3">
                  <c:v>458069973.17999995</c:v>
                </c:pt>
                <c:pt idx="4">
                  <c:v>1105577438.2800002</c:v>
                </c:pt>
                <c:pt idx="5">
                  <c:v>675137378.98000002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-5.8511478549087281E-2</c:v>
                </c:pt>
                <c:pt idx="1">
                  <c:v>-7.0487073297893889E-3</c:v>
                </c:pt>
                <c:pt idx="2">
                  <c:v>-7.2610536677409302E-3</c:v>
                </c:pt>
                <c:pt idx="3">
                  <c:v>7.7156267790587487E-3</c:v>
                </c:pt>
                <c:pt idx="4">
                  <c:v>1.998843505746483E-3</c:v>
                </c:pt>
                <c:pt idx="5">
                  <c:v>0.10744326245925928</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8.6964543962132542E-3</c:v>
                </c:pt>
                <c:pt idx="1">
                  <c:v>6.190187974922017E-3</c:v>
                </c:pt>
                <c:pt idx="2">
                  <c:v>0.43894973621625566</c:v>
                </c:pt>
                <c:pt idx="3">
                  <c:v>3.648931493013674E-2</c:v>
                </c:pt>
                <c:pt idx="4">
                  <c:v>8.8370917194993057E-2</c:v>
                </c:pt>
                <c:pt idx="5">
                  <c:v>7.7962586174000523E-2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0.27741632384486126</c:v>
                </c:pt>
                <c:pt idx="1">
                  <c:v>0.94741876833960437</c:v>
                </c:pt>
                <c:pt idx="2">
                  <c:v>8.3748929343493428E-2</c:v>
                </c:pt>
                <c:pt idx="3">
                  <c:v>0.24105138100195972</c:v>
                </c:pt>
                <c:pt idx="4">
                  <c:v>0.88196906614876147</c:v>
                </c:pt>
                <c:pt idx="5">
                  <c:v>1.476480866235401</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1.4005994146445662</c:v>
                </c:pt>
                <c:pt idx="1">
                  <c:v>3.5067206942704345</c:v>
                </c:pt>
                <c:pt idx="2">
                  <c:v>1.8350036372500385</c:v>
                </c:pt>
                <c:pt idx="3">
                  <c:v>6.7042993522483059</c:v>
                </c:pt>
                <c:pt idx="4">
                  <c:v>19.70633926289338</c:v>
                </c:pt>
                <c:pt idx="5">
                  <c:v>13.40610461052078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2.6713528118821221</c:v>
                </c:pt>
                <c:pt idx="1">
                  <c:v>4.6598233564086451</c:v>
                </c:pt>
                <c:pt idx="2">
                  <c:v>0.67989598705763554</c:v>
                </c:pt>
                <c:pt idx="3">
                  <c:v>0.506231480441659</c:v>
                </c:pt>
                <c:pt idx="4">
                  <c:v>3.1164928388963786</c:v>
                </c:pt>
                <c:pt idx="5">
                  <c:v>1.660810723322949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6.1248354127079354</c:v>
                </c:pt>
                <c:pt idx="1">
                  <c:v>14.79132766763386</c:v>
                </c:pt>
                <c:pt idx="2">
                  <c:v>1.4059330303046376</c:v>
                </c:pt>
                <c:pt idx="3">
                  <c:v>3.1597215860905021</c:v>
                </c:pt>
                <c:pt idx="4">
                  <c:v>5.0560237874583294</c:v>
                </c:pt>
                <c:pt idx="5">
                  <c:v>8.6481758932013406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1.5981727074695047</c:v>
                </c:pt>
                <c:pt idx="1">
                  <c:v>4.0624751047748289</c:v>
                </c:pt>
                <c:pt idx="2">
                  <c:v>0.49203495391734914</c:v>
                </c:pt>
                <c:pt idx="3">
                  <c:v>1.2390130249495672</c:v>
                </c:pt>
                <c:pt idx="4">
                  <c:v>2.4104290317001391</c:v>
                </c:pt>
                <c:pt idx="5">
                  <c:v>2.996615551510021</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53.015577459199584</c:v>
                </c:pt>
                <c:pt idx="1">
                  <c:v>122.37263027878859</c:v>
                </c:pt>
                <c:pt idx="2">
                  <c:v>9.7195900368582731</c:v>
                </c:pt>
                <c:pt idx="3">
                  <c:v>23.274395716036988</c:v>
                </c:pt>
                <c:pt idx="4">
                  <c:v>55.295893831882331</c:v>
                </c:pt>
                <c:pt idx="5">
                  <c:v>42.572302622180793</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3365.9472439829533</c:v>
                </c:pt>
                <c:pt idx="2">
                  <c:v>10185.332435643564</c:v>
                </c:pt>
                <c:pt idx="3">
                  <c:v>0</c:v>
                </c:pt>
                <c:pt idx="4">
                  <c:v>0</c:v>
                </c:pt>
                <c:pt idx="5">
                  <c:v>1745.900548237787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4.8530480069654702</c:v>
                </c:pt>
                <c:pt idx="1">
                  <c:v>11.756765928427594</c:v>
                </c:pt>
                <c:pt idx="2">
                  <c:v>9964.7539473250108</c:v>
                </c:pt>
                <c:pt idx="3">
                  <c:v>8921.7387214594237</c:v>
                </c:pt>
                <c:pt idx="4">
                  <c:v>32125.544667974464</c:v>
                </c:pt>
                <c:pt idx="5">
                  <c:v>17385.448621027044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-4.5727037558355512</c:v>
                </c:pt>
                <c:pt idx="1">
                  <c:v>-2.4267131674990194</c:v>
                </c:pt>
                <c:pt idx="2">
                  <c:v>-0.17119851447921539</c:v>
                </c:pt>
                <c:pt idx="3">
                  <c:v>-0.92236717464396301</c:v>
                </c:pt>
                <c:pt idx="4">
                  <c:v>-2.3151587590693774</c:v>
                </c:pt>
                <c:pt idx="5">
                  <c:v>-1.2933716223166802</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0.16859747530940811</c:v>
                </c:pt>
                <c:pt idx="1">
                  <c:v>0.42278808275718571</c:v>
                </c:pt>
                <c:pt idx="2">
                  <c:v>3.2152618702734795E-2</c:v>
                </c:pt>
                <c:pt idx="3">
                  <c:v>0.1174784344754798</c:v>
                </c:pt>
                <c:pt idx="4">
                  <c:v>0.34926373461905591</c:v>
                </c:pt>
                <c:pt idx="5">
                  <c:v>0.34274674708383479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3.2129306030943936</c:v>
                </c:pt>
                <c:pt idx="1">
                  <c:v>9.0321588426684176</c:v>
                </c:pt>
                <c:pt idx="2">
                  <c:v>0.85539631480642231</c:v>
                </c:pt>
                <c:pt idx="3">
                  <c:v>2.1074590971739888</c:v>
                </c:pt>
                <c:pt idx="4">
                  <c:v>4.4753180823904248</c:v>
                </c:pt>
                <c:pt idx="5">
                  <c:v>4.2987903996595307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5.0790025579468108E-2</c:v>
                </c:pt>
                <c:pt idx="1">
                  <c:v>0.16300237228449316</c:v>
                </c:pt>
                <c:pt idx="2">
                  <c:v>-1.6337789929352767E-2</c:v>
                </c:pt>
                <c:pt idx="3">
                  <c:v>2.7920776344184849E-2</c:v>
                </c:pt>
                <c:pt idx="4">
                  <c:v>0.19171344256010636</c:v>
                </c:pt>
                <c:pt idx="5">
                  <c:v>0.26120379363605212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0.21934538860992969</c:v>
                </c:pt>
                <c:pt idx="1">
                  <c:v>0.2185317662787328</c:v>
                </c:pt>
                <c:pt idx="2">
                  <c:v>-0.20398399271721865</c:v>
                </c:pt>
                <c:pt idx="3">
                  <c:v>0.1199937567185142</c:v>
                </c:pt>
                <c:pt idx="4">
                  <c:v>0.22709831974394476</c:v>
                </c:pt>
                <c:pt idx="5">
                  <c:v>0.19639364858591415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224187781.70999995</c:v>
                </c:pt>
                <c:pt idx="1">
                  <c:v>937986689.3599999</c:v>
                </c:pt>
                <c:pt idx="2">
                  <c:v>79437371.470000029</c:v>
                </c:pt>
                <c:pt idx="3">
                  <c:v>118244349.63000001</c:v>
                </c:pt>
                <c:pt idx="4">
                  <c:v>453655580.80000025</c:v>
                </c:pt>
                <c:pt idx="5">
                  <c:v>410802729.18000001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6352383930.3800001</c:v>
                </c:pt>
                <c:pt idx="1">
                  <c:v>6622168000.7600002</c:v>
                </c:pt>
                <c:pt idx="2">
                  <c:v>3013768304.3400002</c:v>
                </c:pt>
                <c:pt idx="3">
                  <c:v>3071108762.3499999</c:v>
                </c:pt>
                <c:pt idx="4">
                  <c:v>1943003746.25</c:v>
                </c:pt>
                <c:pt idx="5">
                  <c:v>1391588016.6300001</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2473918205.1599998</c:v>
                </c:pt>
                <c:pt idx="1">
                  <c:v>6704848495.9899998</c:v>
                </c:pt>
                <c:pt idx="2">
                  <c:v>519502880.88</c:v>
                </c:pt>
                <c:pt idx="3">
                  <c:v>1270810233.05</c:v>
                </c:pt>
                <c:pt idx="4">
                  <c:v>2776957460.2800002</c:v>
                </c:pt>
                <c:pt idx="5">
                  <c:v>1886509459.79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542642550.0999999</c:v>
                </c:pt>
                <c:pt idx="1">
                  <c:v>1465222384.4599998</c:v>
                </c:pt>
                <c:pt idx="2">
                  <c:v>-105970271.87000002</c:v>
                </c:pt>
                <c:pt idx="3">
                  <c:v>152489293.94000003</c:v>
                </c:pt>
                <c:pt idx="4">
                  <c:v>630642373.23000026</c:v>
                </c:pt>
                <c:pt idx="5">
                  <c:v>370498475.89999998</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-23633714.579999998</c:v>
                </c:pt>
                <c:pt idx="1">
                  <c:v>-3195150.28</c:v>
                </c:pt>
                <c:pt idx="2">
                  <c:v>-2683014.21</c:v>
                </c:pt>
                <c:pt idx="3">
                  <c:v>3103152.35</c:v>
                </c:pt>
                <c:pt idx="4">
                  <c:v>1097839.6499999999</c:v>
                </c:pt>
                <c:pt idx="5">
                  <c:v>23437628.18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403915866.87</c:v>
                </c:pt>
                <c:pt idx="1">
                  <c:v>453295920.87</c:v>
                </c:pt>
                <c:pt idx="2">
                  <c:v>369507558.10000002</c:v>
                </c:pt>
                <c:pt idx="3">
                  <c:v>402190572.31</c:v>
                </c:pt>
                <c:pt idx="4">
                  <c:v>549237419.96000004</c:v>
                </c:pt>
                <c:pt idx="5">
                  <c:v>218139580.31</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0.57216847165442064</c:v>
                </c:pt>
                <c:pt idx="1">
                  <c:v>0.4530302333402797</c:v>
                </c:pt>
                <c:pt idx="2">
                  <c:v>5.3462826574885867</c:v>
                </c:pt>
                <c:pt idx="3">
                  <c:v>1.2120267246662124</c:v>
                </c:pt>
                <c:pt idx="4">
                  <c:v>0.66908213013883078</c:v>
                </c:pt>
                <c:pt idx="5">
                  <c:v>0.70308036586934219</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1.7105718494888631</c:v>
                </c:pt>
                <c:pt idx="1">
                  <c:v>0.32253724447447374</c:v>
                </c:pt>
                <c:pt idx="2">
                  <c:v>5.898311064810291</c:v>
                </c:pt>
                <c:pt idx="3">
                  <c:v>1.6224109593278102</c:v>
                </c:pt>
                <c:pt idx="4">
                  <c:v>0.90142156180138044</c:v>
                </c:pt>
                <c:pt idx="5">
                  <c:v>0.55580034726050209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-8.2389484868741256</c:v>
                </c:pt>
                <c:pt idx="1">
                  <c:v>0.6477753253074563</c:v>
                </c:pt>
                <c:pt idx="2">
                  <c:v>9.3942644364460683</c:v>
                </c:pt>
                <c:pt idx="3">
                  <c:v>-14.258751456768096</c:v>
                </c:pt>
                <c:pt idx="4">
                  <c:v>-0.46008673340304079</c:v>
                </c:pt>
                <c:pt idx="5">
                  <c:v>1.839393659442611</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-11.35509438869857</c:v>
                </c:pt>
                <c:pt idx="1">
                  <c:v>0.73679562793321651</c:v>
                </c:pt>
                <c:pt idx="2">
                  <c:v>-9.6794182926908938</c:v>
                </c:pt>
                <c:pt idx="3">
                  <c:v>-12.055255301927275</c:v>
                </c:pt>
                <c:pt idx="4">
                  <c:v>-0.45083616112322694</c:v>
                </c:pt>
                <c:pt idx="5">
                  <c:v>1.4432519617955473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-5.3088648419384574</c:v>
                </c:pt>
                <c:pt idx="1">
                  <c:v>-1.784359676007212</c:v>
                </c:pt>
                <c:pt idx="2">
                  <c:v>-0.45225336335693939</c:v>
                </c:pt>
                <c:pt idx="3">
                  <c:v>5.5409725112586887</c:v>
                </c:pt>
                <c:pt idx="4">
                  <c:v>-1.3848554015404289</c:v>
                </c:pt>
                <c:pt idx="5">
                  <c:v>-3.288827369610694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-2545673422.1100001</c:v>
                </c:pt>
                <c:pt idx="1">
                  <c:v>691104491.77999997</c:v>
                </c:pt>
                <c:pt idx="2">
                  <c:v>-768907546.52999997</c:v>
                </c:pt>
                <c:pt idx="3">
                  <c:v>-1425465822.8</c:v>
                </c:pt>
                <c:pt idx="4">
                  <c:v>-204524340.52000001</c:v>
                </c:pt>
                <c:pt idx="5">
                  <c:v>592891844.79999995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308980378.52350187</c:v>
                </c:pt>
                <c:pt idx="1">
                  <c:v>1066889189.4762712</c:v>
                </c:pt>
                <c:pt idx="2">
                  <c:v>-81848616.433122709</c:v>
                </c:pt>
                <c:pt idx="3">
                  <c:v>99971293.21749869</c:v>
                </c:pt>
                <c:pt idx="4">
                  <c:v>444534314.23077905</c:v>
                </c:pt>
                <c:pt idx="5">
                  <c:v>322330047.05456209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224187781.70999995</c:v>
                </c:pt>
                <c:pt idx="1">
                  <c:v>937986689.3599999</c:v>
                </c:pt>
                <c:pt idx="2">
                  <c:v>79437371.470000029</c:v>
                </c:pt>
                <c:pt idx="3">
                  <c:v>118244349.63000001</c:v>
                </c:pt>
                <c:pt idx="4">
                  <c:v>453655580.80000025</c:v>
                </c:pt>
                <c:pt idx="5">
                  <c:v>410802729.18000001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90" bestFit="1" customWidth="1"/>
    <col min="2" max="2" width="12.77734375" style="190" hidden="1" customWidth="1"/>
    <col min="3"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0" width="12.77734375" style="190" hidden="1" customWidth="1"/>
    <col min="11"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2.77734375" style="190" bestFit="1" customWidth="1"/>
    <col min="22" max="23" width="13.88671875" style="190" hidden="1" customWidth="1"/>
    <col min="24" max="24" width="12.77734375" style="190" hidden="1" customWidth="1"/>
    <col min="25" max="25" width="12.77734375" style="190" bestFit="1" customWidth="1"/>
    <col min="26" max="27" width="13.88671875" style="190" hidden="1" customWidth="1"/>
    <col min="28"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2" width="12.77734375" style="190" hidden="1" customWidth="1"/>
    <col min="43" max="43" width="13.88671875" style="190" hidden="1" customWidth="1"/>
    <col min="44" max="44" width="12.77734375" style="190" hidden="1" customWidth="1"/>
    <col min="45" max="45" width="12.77734375" style="190" bestFit="1" customWidth="1"/>
    <col min="46" max="48" width="12.77734375" style="190" hidden="1" customWidth="1"/>
    <col min="49" max="49" width="12.77734375" style="190" bestFit="1" customWidth="1"/>
    <col min="50" max="52" width="13.88671875" style="190" hidden="1" customWidth="1"/>
    <col min="53" max="53" width="13.88671875" style="190" bestFit="1" customWidth="1"/>
    <col min="54" max="56" width="13.88671875" style="190" hidden="1" customWidth="1"/>
    <col min="57" max="57" width="12.777343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107</v>
      </c>
    </row>
    <row r="4" spans="1:82" x14ac:dyDescent="0.25">
      <c r="A4" s="190" t="s">
        <v>108</v>
      </c>
      <c r="B4" s="190">
        <v>359860682.95999998</v>
      </c>
      <c r="C4" s="190">
        <v>754455611.11000001</v>
      </c>
      <c r="D4" s="190">
        <v>277995852.20999998</v>
      </c>
      <c r="E4" s="190">
        <v>436926101.08999997</v>
      </c>
      <c r="F4" s="190">
        <v>929987175.30999994</v>
      </c>
      <c r="G4" s="190">
        <v>397234182.29000002</v>
      </c>
      <c r="H4" s="190">
        <v>346026809.07999998</v>
      </c>
      <c r="I4" s="190">
        <v>998723002.13</v>
      </c>
      <c r="J4" s="190">
        <v>634024893.62</v>
      </c>
      <c r="K4" s="190">
        <v>1310583929.4100001</v>
      </c>
      <c r="L4" s="190">
        <v>1237618464.4100001</v>
      </c>
      <c r="M4" s="190">
        <v>356153357.17000002</v>
      </c>
      <c r="N4" s="190">
        <v>323832045.43000001</v>
      </c>
      <c r="O4" s="190">
        <v>329925239.58999997</v>
      </c>
      <c r="P4" s="190">
        <v>465798612.18000001</v>
      </c>
      <c r="Q4" s="190">
        <v>1969562845.9400001</v>
      </c>
      <c r="R4" s="190">
        <v>443669999.00999999</v>
      </c>
      <c r="S4" s="190">
        <v>331840848.13</v>
      </c>
      <c r="T4" s="190">
        <v>483086631.05000001</v>
      </c>
      <c r="U4" s="190">
        <v>450606371.35000002</v>
      </c>
      <c r="V4" s="190">
        <v>490078767.02999997</v>
      </c>
      <c r="W4" s="190">
        <v>256054900.88</v>
      </c>
      <c r="X4" s="190">
        <v>426862825.61000001</v>
      </c>
      <c r="Y4" s="190">
        <v>823152216.92999995</v>
      </c>
      <c r="Z4" s="190">
        <v>461688678.12</v>
      </c>
      <c r="AA4" s="190">
        <v>238801970.36000001</v>
      </c>
      <c r="AB4" s="190">
        <v>135544730.97999999</v>
      </c>
      <c r="AC4" s="190">
        <v>389505765.57999998</v>
      </c>
      <c r="AD4" s="190">
        <v>466216.12</v>
      </c>
      <c r="AE4" s="190">
        <v>357891.61</v>
      </c>
      <c r="AF4" s="190">
        <v>432840.36</v>
      </c>
      <c r="AG4" s="190">
        <v>1641059.35</v>
      </c>
      <c r="AH4" s="190">
        <v>254163.5</v>
      </c>
      <c r="AI4" s="190">
        <v>408737.88</v>
      </c>
      <c r="AJ4" s="190">
        <v>294989.28000000003</v>
      </c>
      <c r="AK4" s="190">
        <v>567374.21</v>
      </c>
      <c r="AL4" s="190">
        <v>149172.9</v>
      </c>
      <c r="AM4" s="190">
        <v>247962.97</v>
      </c>
      <c r="AN4" s="190">
        <v>528471.81000000006</v>
      </c>
      <c r="AO4" s="190">
        <v>535108.41</v>
      </c>
      <c r="AP4" s="190">
        <v>1997288.68</v>
      </c>
      <c r="AQ4" s="190">
        <v>1596904.73</v>
      </c>
      <c r="AR4" s="190">
        <v>3671275.8</v>
      </c>
      <c r="AS4" s="190">
        <v>15985969.529999999</v>
      </c>
      <c r="AT4" s="190">
        <v>7460925.71</v>
      </c>
      <c r="AU4" s="190">
        <v>8511971.4000000004</v>
      </c>
      <c r="AV4" s="190">
        <v>13812006.470000001</v>
      </c>
      <c r="AW4" s="190">
        <v>10885333.24</v>
      </c>
      <c r="AX4" s="190">
        <v>8527816.3599999994</v>
      </c>
      <c r="AY4" s="190">
        <v>11255685.550000001</v>
      </c>
      <c r="AZ4" s="190">
        <v>0</v>
      </c>
      <c r="BA4" s="190">
        <v>15379893.4</v>
      </c>
      <c r="BB4" s="190">
        <v>10394963.039999999</v>
      </c>
      <c r="BC4" s="190">
        <v>5070086.91</v>
      </c>
      <c r="BD4" s="190">
        <v>6028307.2599999998</v>
      </c>
      <c r="BE4" s="190">
        <v>114701814.88</v>
      </c>
      <c r="BF4" s="190">
        <v>156125796.11000001</v>
      </c>
      <c r="BG4" s="190">
        <v>165748121.43000001</v>
      </c>
      <c r="BH4" s="190">
        <v>218795792.46000001</v>
      </c>
      <c r="BI4" s="190">
        <v>338368175.68000001</v>
      </c>
      <c r="BJ4" s="190">
        <v>289970750.25</v>
      </c>
      <c r="BK4" s="190">
        <v>347845847.88999999</v>
      </c>
      <c r="BL4" s="190">
        <v>355757252.56999999</v>
      </c>
      <c r="BM4" s="190">
        <v>273099947.05000001</v>
      </c>
      <c r="BN4" s="190">
        <v>145294670.44</v>
      </c>
      <c r="BO4" s="190">
        <v>303869580.30000001</v>
      </c>
      <c r="BP4" s="190">
        <v>227671628.03999999</v>
      </c>
      <c r="BQ4" s="190">
        <v>221556058.13999999</v>
      </c>
      <c r="BR4" s="190">
        <v>128024793.77</v>
      </c>
      <c r="BS4" s="190">
        <v>53634572.840000004</v>
      </c>
      <c r="BT4" s="190">
        <v>119104358.29000001</v>
      </c>
      <c r="BU4" s="190">
        <v>69939067.840000004</v>
      </c>
      <c r="BV4" s="190">
        <v>16689141.880000001</v>
      </c>
      <c r="BW4" s="190">
        <v>18229681.219999999</v>
      </c>
      <c r="BX4" s="190">
        <v>54899105</v>
      </c>
      <c r="BY4" s="190">
        <v>84797442.760000005</v>
      </c>
      <c r="BZ4" s="190">
        <v>6152356.9900000002</v>
      </c>
      <c r="CA4" s="190">
        <v>7469187.54</v>
      </c>
      <c r="CB4" s="190">
        <v>9023293.9000000004</v>
      </c>
      <c r="CC4" s="190">
        <v>2977734.29</v>
      </c>
      <c r="CD4" s="190">
        <v>0</v>
      </c>
    </row>
    <row r="5" spans="1:82" x14ac:dyDescent="0.25">
      <c r="A5" s="190" t="s">
        <v>109</v>
      </c>
      <c r="B5" s="190">
        <v>0</v>
      </c>
      <c r="C5" s="190">
        <v>0</v>
      </c>
      <c r="D5" s="190">
        <v>0</v>
      </c>
      <c r="E5" s="190">
        <v>0</v>
      </c>
      <c r="F5" s="190">
        <v>0</v>
      </c>
      <c r="G5" s="190">
        <v>0</v>
      </c>
      <c r="H5" s="190">
        <v>0</v>
      </c>
      <c r="I5" s="190">
        <v>0</v>
      </c>
      <c r="J5" s="190">
        <v>0</v>
      </c>
      <c r="K5" s="190">
        <v>0</v>
      </c>
      <c r="L5" s="190">
        <v>290000000</v>
      </c>
      <c r="M5" s="190">
        <v>0</v>
      </c>
      <c r="N5" s="190">
        <v>0</v>
      </c>
      <c r="O5" s="190">
        <v>0</v>
      </c>
      <c r="P5" s="190">
        <v>0</v>
      </c>
      <c r="Q5" s="190">
        <v>0</v>
      </c>
      <c r="R5" s="190">
        <v>0</v>
      </c>
      <c r="S5" s="190">
        <v>76670</v>
      </c>
      <c r="T5" s="190">
        <v>74970</v>
      </c>
      <c r="U5" s="190">
        <v>81090</v>
      </c>
      <c r="V5" s="190">
        <v>91120</v>
      </c>
      <c r="W5" s="190">
        <v>83130</v>
      </c>
      <c r="X5" s="190">
        <v>121550</v>
      </c>
      <c r="Y5" s="190">
        <v>132940</v>
      </c>
      <c r="Z5" s="190">
        <v>154190</v>
      </c>
      <c r="AA5" s="190">
        <v>131580</v>
      </c>
      <c r="AB5" s="190">
        <v>150450</v>
      </c>
      <c r="AC5" s="190">
        <v>153170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16000000</v>
      </c>
      <c r="BI5" s="190">
        <v>16600472.5</v>
      </c>
      <c r="BJ5" s="190">
        <v>21346898.309999999</v>
      </c>
      <c r="BK5" s="190">
        <v>16000000</v>
      </c>
      <c r="BL5" s="190">
        <v>195000</v>
      </c>
      <c r="BM5" s="190">
        <v>195000</v>
      </c>
      <c r="BN5" s="190">
        <v>200000</v>
      </c>
      <c r="BO5" s="190">
        <v>0</v>
      </c>
      <c r="BP5" s="190">
        <v>0</v>
      </c>
      <c r="BQ5" s="190">
        <v>0</v>
      </c>
      <c r="BR5" s="190">
        <v>12158400</v>
      </c>
      <c r="BS5" s="190">
        <v>0</v>
      </c>
      <c r="BT5" s="190">
        <v>0</v>
      </c>
      <c r="BU5" s="190">
        <v>1000150</v>
      </c>
      <c r="BV5" s="190">
        <v>0</v>
      </c>
      <c r="BW5" s="190">
        <v>5939565.4199999999</v>
      </c>
      <c r="BX5" s="190">
        <v>25470920.780000001</v>
      </c>
      <c r="BY5" s="190">
        <v>0</v>
      </c>
      <c r="BZ5" s="190">
        <v>0</v>
      </c>
      <c r="CA5" s="190">
        <v>0</v>
      </c>
      <c r="CB5" s="190">
        <v>0</v>
      </c>
      <c r="CC5" s="190">
        <v>0</v>
      </c>
      <c r="CD5" s="190">
        <v>0</v>
      </c>
    </row>
    <row r="6" spans="1:8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row>
    <row r="7" spans="1:82" x14ac:dyDescent="0.25">
      <c r="A7" s="190" t="s">
        <v>111</v>
      </c>
      <c r="B7" s="190">
        <v>0</v>
      </c>
      <c r="C7" s="190">
        <v>200000</v>
      </c>
      <c r="D7" s="190">
        <v>200000</v>
      </c>
      <c r="E7" s="190">
        <v>0</v>
      </c>
      <c r="F7" s="190">
        <v>0</v>
      </c>
      <c r="G7" s="190">
        <v>0</v>
      </c>
      <c r="H7" s="190">
        <v>0</v>
      </c>
      <c r="I7" s="190">
        <v>0</v>
      </c>
      <c r="J7" s="190">
        <v>0</v>
      </c>
      <c r="K7" s="190">
        <v>0</v>
      </c>
      <c r="L7" s="190">
        <v>0</v>
      </c>
      <c r="M7" s="190">
        <v>0</v>
      </c>
      <c r="N7" s="190">
        <v>0</v>
      </c>
      <c r="O7" s="190">
        <v>225409</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2986738</v>
      </c>
      <c r="AR7" s="190">
        <v>0</v>
      </c>
      <c r="AS7" s="190">
        <v>0</v>
      </c>
      <c r="AT7" s="190">
        <v>441600</v>
      </c>
      <c r="AU7" s="190">
        <v>190000</v>
      </c>
      <c r="AV7" s="190">
        <v>4660252</v>
      </c>
      <c r="AW7" s="190">
        <v>2088340.2</v>
      </c>
      <c r="AX7" s="190">
        <v>113535.88</v>
      </c>
      <c r="AY7" s="190">
        <v>436839.88</v>
      </c>
      <c r="AZ7" s="190">
        <v>0</v>
      </c>
      <c r="BA7" s="190">
        <v>0</v>
      </c>
      <c r="BB7" s="190">
        <v>112622937.63</v>
      </c>
      <c r="BC7" s="190">
        <v>114130063.63</v>
      </c>
      <c r="BD7" s="190">
        <v>112411977.63</v>
      </c>
      <c r="BE7" s="190">
        <v>122633970.63</v>
      </c>
      <c r="BF7" s="190">
        <v>11495</v>
      </c>
      <c r="BG7" s="190">
        <v>190815</v>
      </c>
      <c r="BH7" s="190">
        <v>8569461.0299999993</v>
      </c>
      <c r="BI7" s="190">
        <v>56950794.780000001</v>
      </c>
      <c r="BJ7" s="190">
        <v>51657069.670000002</v>
      </c>
      <c r="BK7" s="190">
        <v>55394626.57</v>
      </c>
      <c r="BL7" s="190">
        <v>15864298.34</v>
      </c>
      <c r="BM7" s="190">
        <v>44615846.039999999</v>
      </c>
      <c r="BN7" s="190">
        <v>0</v>
      </c>
      <c r="BO7" s="190">
        <v>964763.5</v>
      </c>
      <c r="BP7" s="190">
        <v>7735002</v>
      </c>
      <c r="BQ7" s="190">
        <v>4268000</v>
      </c>
      <c r="BR7" s="190">
        <v>400000</v>
      </c>
      <c r="BS7" s="190">
        <v>0</v>
      </c>
      <c r="BT7" s="190">
        <v>303300.01</v>
      </c>
      <c r="BU7" s="190">
        <v>0</v>
      </c>
      <c r="BV7" s="190">
        <v>0</v>
      </c>
      <c r="BW7" s="190">
        <v>0</v>
      </c>
      <c r="BX7" s="190">
        <v>500000</v>
      </c>
      <c r="BY7" s="190">
        <v>300000</v>
      </c>
      <c r="BZ7" s="190">
        <v>0</v>
      </c>
      <c r="CA7" s="190">
        <v>0</v>
      </c>
      <c r="CB7" s="190">
        <v>0</v>
      </c>
      <c r="CC7" s="190">
        <v>0</v>
      </c>
      <c r="CD7" s="190">
        <v>0</v>
      </c>
    </row>
    <row r="8" spans="1:82" x14ac:dyDescent="0.25">
      <c r="A8" s="190" t="s">
        <v>112</v>
      </c>
      <c r="B8" s="190">
        <v>50715308.520000003</v>
      </c>
      <c r="C8" s="190">
        <v>78572053.5</v>
      </c>
      <c r="D8" s="190">
        <v>66165322.740000002</v>
      </c>
      <c r="E8" s="190">
        <v>159245369.46000001</v>
      </c>
      <c r="F8" s="190">
        <v>149135979.68000001</v>
      </c>
      <c r="G8" s="190">
        <v>145992433.15000001</v>
      </c>
      <c r="H8" s="190">
        <v>84413194.329999998</v>
      </c>
      <c r="I8" s="190">
        <v>66440336.039999999</v>
      </c>
      <c r="J8" s="190">
        <v>84898593.390000001</v>
      </c>
      <c r="K8" s="190">
        <v>65654950.170000002</v>
      </c>
      <c r="L8" s="190">
        <v>19300972.420000002</v>
      </c>
      <c r="M8" s="190">
        <v>22375366.039999999</v>
      </c>
      <c r="N8" s="190">
        <v>19696541.129999999</v>
      </c>
      <c r="O8" s="190">
        <v>22212108.699999999</v>
      </c>
      <c r="P8" s="190">
        <v>17076251.449999999</v>
      </c>
      <c r="Q8" s="190">
        <v>15219652.960000001</v>
      </c>
      <c r="R8" s="190">
        <v>19111440.140000001</v>
      </c>
      <c r="S8" s="190">
        <v>23770320.600000001</v>
      </c>
      <c r="T8" s="190">
        <v>23106340.859999999</v>
      </c>
      <c r="U8" s="190">
        <v>21601707.98</v>
      </c>
      <c r="V8" s="190">
        <v>15788053.09</v>
      </c>
      <c r="W8" s="190">
        <v>30968872.030000001</v>
      </c>
      <c r="X8" s="190">
        <v>52115899.549999997</v>
      </c>
      <c r="Y8" s="190">
        <v>56675054.689999998</v>
      </c>
      <c r="Z8" s="190">
        <v>8823180.6300000008</v>
      </c>
      <c r="AA8" s="190">
        <v>9440905.5199999996</v>
      </c>
      <c r="AB8" s="190">
        <v>20164402.34</v>
      </c>
      <c r="AC8" s="190">
        <v>10462933.1</v>
      </c>
      <c r="AD8" s="190">
        <v>46578221.850000001</v>
      </c>
      <c r="AE8" s="190">
        <v>44826965.850000001</v>
      </c>
      <c r="AF8" s="190">
        <v>44971935.479999997</v>
      </c>
      <c r="AG8" s="190">
        <v>44583885.479999997</v>
      </c>
      <c r="AH8" s="190">
        <v>44959940.460000001</v>
      </c>
      <c r="AI8" s="190">
        <v>44354723.460000001</v>
      </c>
      <c r="AJ8" s="190">
        <v>43636877.109999999</v>
      </c>
      <c r="AK8" s="190">
        <v>43532877.109999999</v>
      </c>
      <c r="AL8" s="190">
        <v>46612063.100000001</v>
      </c>
      <c r="AM8" s="190">
        <v>47051508.979999997</v>
      </c>
      <c r="AN8" s="190">
        <v>46847424.530000001</v>
      </c>
      <c r="AO8" s="190">
        <v>47113906.240000002</v>
      </c>
      <c r="AP8" s="190">
        <v>48522446.799999997</v>
      </c>
      <c r="AQ8" s="190">
        <v>58352169.159999996</v>
      </c>
      <c r="AR8" s="190">
        <v>71869647.599999994</v>
      </c>
      <c r="AS8" s="190">
        <v>73333429.450000003</v>
      </c>
      <c r="AT8" s="190">
        <v>73707897.269999996</v>
      </c>
      <c r="AU8" s="190">
        <v>73499759.469999999</v>
      </c>
      <c r="AV8" s="190">
        <v>64714976</v>
      </c>
      <c r="AW8" s="190">
        <v>71542509.879999995</v>
      </c>
      <c r="AX8" s="190">
        <v>304921599.55000001</v>
      </c>
      <c r="AY8" s="190">
        <v>323992413.77999997</v>
      </c>
      <c r="AZ8" s="190">
        <v>0</v>
      </c>
      <c r="BA8" s="190">
        <v>335622226.51999998</v>
      </c>
      <c r="BB8" s="190">
        <v>274915517.38999999</v>
      </c>
      <c r="BC8" s="190">
        <v>269039365.55000001</v>
      </c>
      <c r="BD8" s="190">
        <v>238259962.81999999</v>
      </c>
      <c r="BE8" s="190">
        <v>194957937.81999999</v>
      </c>
      <c r="BF8" s="190">
        <v>242923561.69999999</v>
      </c>
      <c r="BG8" s="190">
        <v>139564978.96000001</v>
      </c>
      <c r="BH8" s="190">
        <v>205088363.30000001</v>
      </c>
      <c r="BI8" s="190">
        <v>172533160.09999999</v>
      </c>
      <c r="BJ8" s="190">
        <v>212118808.03</v>
      </c>
      <c r="BK8" s="190">
        <v>147491320.75999999</v>
      </c>
      <c r="BL8" s="190">
        <v>154627572.55000001</v>
      </c>
      <c r="BM8" s="190">
        <v>177711999.47999999</v>
      </c>
      <c r="BN8" s="190">
        <v>187792904.43000001</v>
      </c>
      <c r="BO8" s="190">
        <v>147566812.22999999</v>
      </c>
      <c r="BP8" s="190">
        <v>126096010.84</v>
      </c>
      <c r="BQ8" s="190">
        <v>148664934.87</v>
      </c>
      <c r="BR8" s="190">
        <v>120053902.45</v>
      </c>
      <c r="BS8" s="190">
        <v>113086524.76000001</v>
      </c>
      <c r="BT8" s="190">
        <v>35167748.82</v>
      </c>
      <c r="BU8" s="190">
        <v>25012545.960000001</v>
      </c>
      <c r="BV8" s="190">
        <v>26943304.379999999</v>
      </c>
      <c r="BW8" s="190">
        <v>18606816.73</v>
      </c>
      <c r="BX8" s="190">
        <v>14831051.48</v>
      </c>
      <c r="BY8" s="190">
        <v>10842577.07</v>
      </c>
      <c r="BZ8" s="190">
        <v>15679602.27</v>
      </c>
      <c r="CA8" s="190">
        <v>6258132.9299999997</v>
      </c>
      <c r="CB8" s="190">
        <v>7731385.3200000003</v>
      </c>
      <c r="CC8" s="190">
        <v>6996651.0599999996</v>
      </c>
      <c r="CD8" s="190">
        <v>0</v>
      </c>
    </row>
    <row r="9" spans="1:82" x14ac:dyDescent="0.25">
      <c r="A9" s="190" t="s">
        <v>113</v>
      </c>
      <c r="B9" s="190">
        <v>77028629.920000002</v>
      </c>
      <c r="C9" s="190">
        <v>64095769.130000003</v>
      </c>
      <c r="D9" s="190">
        <v>75687679.769999996</v>
      </c>
      <c r="E9" s="190">
        <v>8215901.6600000001</v>
      </c>
      <c r="F9" s="190">
        <v>8473664.7599999998</v>
      </c>
      <c r="G9" s="190">
        <v>3979050.67</v>
      </c>
      <c r="H9" s="190">
        <v>14150238.48</v>
      </c>
      <c r="I9" s="190">
        <v>31635358.899999999</v>
      </c>
      <c r="J9" s="190">
        <v>10992581.380000001</v>
      </c>
      <c r="K9" s="190">
        <v>11940084.039999999</v>
      </c>
      <c r="L9" s="190">
        <v>14230480.859999999</v>
      </c>
      <c r="M9" s="190">
        <v>15689056.880000001</v>
      </c>
      <c r="N9" s="190">
        <v>10481202.48</v>
      </c>
      <c r="O9" s="190">
        <v>7267429.4199999999</v>
      </c>
      <c r="P9" s="190">
        <v>14051221.1</v>
      </c>
      <c r="Q9" s="190">
        <v>6331369.3700000001</v>
      </c>
      <c r="R9" s="190">
        <v>4031630.34</v>
      </c>
      <c r="S9" s="190">
        <v>4124495.08</v>
      </c>
      <c r="T9" s="190">
        <v>209314920.59999999</v>
      </c>
      <c r="U9" s="190">
        <v>79359549.140000001</v>
      </c>
      <c r="V9" s="190">
        <v>31967624.350000001</v>
      </c>
      <c r="W9" s="190">
        <v>7189165.2699999996</v>
      </c>
      <c r="X9" s="190">
        <v>2053807.6</v>
      </c>
      <c r="Y9" s="190">
        <v>3676089.11</v>
      </c>
      <c r="Z9" s="190">
        <v>7884845.2199999997</v>
      </c>
      <c r="AA9" s="190">
        <v>16458588.58</v>
      </c>
      <c r="AB9" s="190">
        <v>6746854.0599999996</v>
      </c>
      <c r="AC9" s="190">
        <v>13443039.93</v>
      </c>
      <c r="AD9" s="190">
        <v>25275740.579999998</v>
      </c>
      <c r="AE9" s="190">
        <v>25275740.579999998</v>
      </c>
      <c r="AF9" s="190">
        <v>25275740.579999998</v>
      </c>
      <c r="AG9" s="190">
        <v>25275740.579999998</v>
      </c>
      <c r="AH9" s="190">
        <v>25400740.579999998</v>
      </c>
      <c r="AI9" s="190">
        <v>25400740.579999998</v>
      </c>
      <c r="AJ9" s="190">
        <v>25400740.579999998</v>
      </c>
      <c r="AK9" s="190">
        <v>25400740.579999998</v>
      </c>
      <c r="AL9" s="190">
        <v>25275740.579999998</v>
      </c>
      <c r="AM9" s="190">
        <v>25275740.579999998</v>
      </c>
      <c r="AN9" s="190">
        <v>25275740.579999998</v>
      </c>
      <c r="AO9" s="190">
        <v>25300740.579999998</v>
      </c>
      <c r="AP9" s="190">
        <v>36838912.140000001</v>
      </c>
      <c r="AQ9" s="190">
        <v>51107989.780000001</v>
      </c>
      <c r="AR9" s="190">
        <v>47773431.890000001</v>
      </c>
      <c r="AS9" s="190">
        <v>37790642.240000002</v>
      </c>
      <c r="AT9" s="190">
        <v>39828039.149999999</v>
      </c>
      <c r="AU9" s="190">
        <v>40178396.68</v>
      </c>
      <c r="AV9" s="190">
        <v>33921878</v>
      </c>
      <c r="AW9" s="190">
        <v>29725132</v>
      </c>
      <c r="AX9" s="190">
        <v>7941599.1399999997</v>
      </c>
      <c r="AY9" s="190">
        <v>15006387.529999999</v>
      </c>
      <c r="AZ9" s="190">
        <v>0</v>
      </c>
      <c r="BA9" s="190">
        <v>4108211.12</v>
      </c>
      <c r="BB9" s="190">
        <v>12536530.34</v>
      </c>
      <c r="BC9" s="190">
        <v>44027501.920000002</v>
      </c>
      <c r="BD9" s="190">
        <v>84072381.230000004</v>
      </c>
      <c r="BE9" s="190">
        <v>38293088.899999999</v>
      </c>
      <c r="BF9" s="190">
        <v>247986785.66999999</v>
      </c>
      <c r="BG9" s="190">
        <v>273824302.54000002</v>
      </c>
      <c r="BH9" s="190">
        <v>146226688.25</v>
      </c>
      <c r="BI9" s="190">
        <v>147610018.12</v>
      </c>
      <c r="BJ9" s="190">
        <v>227332093.99000001</v>
      </c>
      <c r="BK9" s="190">
        <v>211844037.30000001</v>
      </c>
      <c r="BL9" s="190">
        <v>74906622.269999996</v>
      </c>
      <c r="BM9" s="190">
        <v>80138448.150000006</v>
      </c>
      <c r="BN9" s="190">
        <v>362768777.02999997</v>
      </c>
      <c r="BO9" s="190">
        <v>227442974.91</v>
      </c>
      <c r="BP9" s="190">
        <v>313871533.62</v>
      </c>
      <c r="BQ9" s="190">
        <v>267262856.33000001</v>
      </c>
      <c r="BR9" s="190">
        <v>122394811.06</v>
      </c>
      <c r="BS9" s="190">
        <v>38541226.740000002</v>
      </c>
      <c r="BT9" s="190">
        <v>13633507.33</v>
      </c>
      <c r="BU9" s="190">
        <v>13842982.029999999</v>
      </c>
      <c r="BV9" s="190">
        <v>6529064.2400000002</v>
      </c>
      <c r="BW9" s="190">
        <v>5133842.6900000004</v>
      </c>
      <c r="BX9" s="190">
        <v>550000</v>
      </c>
      <c r="BY9" s="190">
        <v>29544.53</v>
      </c>
      <c r="BZ9" s="190">
        <v>368109.49</v>
      </c>
      <c r="CA9" s="190">
        <v>0</v>
      </c>
      <c r="CB9" s="190">
        <v>903794.56</v>
      </c>
      <c r="CC9" s="190">
        <v>0</v>
      </c>
      <c r="CD9" s="190">
        <v>0</v>
      </c>
    </row>
    <row r="10" spans="1:82"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row>
    <row r="11" spans="1:82"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row>
    <row r="12" spans="1:82" x14ac:dyDescent="0.25">
      <c r="A12" s="190" t="s">
        <v>116</v>
      </c>
      <c r="B12" s="190">
        <v>56181941.07</v>
      </c>
      <c r="C12" s="190">
        <v>62775479.090000004</v>
      </c>
      <c r="D12" s="190">
        <v>111491937.38</v>
      </c>
      <c r="E12" s="190">
        <v>95916315.299999997</v>
      </c>
      <c r="F12" s="190">
        <v>94158959.370000005</v>
      </c>
      <c r="G12" s="190">
        <v>98088628.450000003</v>
      </c>
      <c r="H12" s="190">
        <v>99048597.280000001</v>
      </c>
      <c r="I12" s="190">
        <v>103403988.8</v>
      </c>
      <c r="J12" s="190">
        <v>118558716.15000001</v>
      </c>
      <c r="K12" s="190">
        <v>534812305.05000001</v>
      </c>
      <c r="L12" s="190">
        <v>116465792.98</v>
      </c>
      <c r="M12" s="190">
        <v>90881488.469999999</v>
      </c>
      <c r="N12" s="190">
        <v>72084631.239999995</v>
      </c>
      <c r="O12" s="190">
        <v>76690422.939999998</v>
      </c>
      <c r="P12" s="190">
        <v>512457052.20999998</v>
      </c>
      <c r="Q12" s="190">
        <v>609250444.91999996</v>
      </c>
      <c r="R12" s="190">
        <v>72204199.5</v>
      </c>
      <c r="S12" s="190">
        <v>72068144.650000006</v>
      </c>
      <c r="T12" s="190">
        <v>231314897.66</v>
      </c>
      <c r="U12" s="190">
        <v>129313238.66</v>
      </c>
      <c r="V12" s="190">
        <v>117440666.45</v>
      </c>
      <c r="W12" s="190">
        <v>360249217.79000002</v>
      </c>
      <c r="X12" s="190">
        <v>60458375.560000002</v>
      </c>
      <c r="Y12" s="190">
        <v>244498681.59</v>
      </c>
      <c r="Z12" s="190">
        <v>262249539.56</v>
      </c>
      <c r="AA12" s="190">
        <v>80808415.799999997</v>
      </c>
      <c r="AB12" s="190">
        <v>85749240.920000002</v>
      </c>
      <c r="AC12" s="190">
        <v>80026581.180000007</v>
      </c>
      <c r="AD12" s="190">
        <v>21611542.09</v>
      </c>
      <c r="AE12" s="190">
        <v>21252350.100000001</v>
      </c>
      <c r="AF12" s="190">
        <v>21622403.199999999</v>
      </c>
      <c r="AG12" s="190">
        <v>21401379.23</v>
      </c>
      <c r="AH12" s="190">
        <v>13717731.380000001</v>
      </c>
      <c r="AI12" s="190">
        <v>33262606.309999999</v>
      </c>
      <c r="AJ12" s="190">
        <v>33304272.350000001</v>
      </c>
      <c r="AK12" s="190">
        <v>33266247.370000001</v>
      </c>
      <c r="AL12" s="190">
        <v>33234366.989999998</v>
      </c>
      <c r="AM12" s="190">
        <v>37524810.700000003</v>
      </c>
      <c r="AN12" s="190">
        <v>37702157.350000001</v>
      </c>
      <c r="AO12" s="190">
        <v>37413275.340000004</v>
      </c>
      <c r="AP12" s="190">
        <v>34117446.700000003</v>
      </c>
      <c r="AQ12" s="190">
        <v>38739509.200000003</v>
      </c>
      <c r="AR12" s="190">
        <v>36291584.219999999</v>
      </c>
      <c r="AS12" s="190">
        <v>44212759.009999998</v>
      </c>
      <c r="AT12" s="190">
        <v>39731680.229999997</v>
      </c>
      <c r="AU12" s="190">
        <v>42634311.130000003</v>
      </c>
      <c r="AV12" s="190">
        <v>30794441.899999999</v>
      </c>
      <c r="AW12" s="190">
        <v>43953643.399999999</v>
      </c>
      <c r="AX12" s="190">
        <v>191567352.75</v>
      </c>
      <c r="AY12" s="190">
        <v>200157569.08000001</v>
      </c>
      <c r="AZ12" s="190">
        <v>0</v>
      </c>
      <c r="BA12" s="190">
        <v>208531787.05000001</v>
      </c>
      <c r="BB12" s="190">
        <v>456026007.73000002</v>
      </c>
      <c r="BC12" s="190">
        <v>468881238.79000002</v>
      </c>
      <c r="BD12" s="190">
        <v>507404774.93000001</v>
      </c>
      <c r="BE12" s="190">
        <v>570900386.09000003</v>
      </c>
      <c r="BF12" s="190">
        <v>497235323.94</v>
      </c>
      <c r="BG12" s="190">
        <v>375942405.83999997</v>
      </c>
      <c r="BH12" s="190">
        <v>153041959.05000001</v>
      </c>
      <c r="BI12" s="190">
        <v>167860946.31</v>
      </c>
      <c r="BJ12" s="190">
        <v>122540508.15000001</v>
      </c>
      <c r="BK12" s="190">
        <v>118693138.72</v>
      </c>
      <c r="BL12" s="190">
        <v>261641790.06</v>
      </c>
      <c r="BM12" s="190">
        <v>214210003.72</v>
      </c>
      <c r="BN12" s="190">
        <v>42851626.780000001</v>
      </c>
      <c r="BO12" s="190">
        <v>31253144.940000001</v>
      </c>
      <c r="BP12" s="190">
        <v>31392974.329999998</v>
      </c>
      <c r="BQ12" s="190">
        <v>17150553.359999999</v>
      </c>
      <c r="BR12" s="190">
        <v>19512555.030000001</v>
      </c>
      <c r="BS12" s="190">
        <v>29182807.66</v>
      </c>
      <c r="BT12" s="190">
        <v>80083776.519999996</v>
      </c>
      <c r="BU12" s="190">
        <v>58259177.549999997</v>
      </c>
      <c r="BV12" s="190">
        <v>41394112.100000001</v>
      </c>
      <c r="BW12" s="190">
        <v>10991893.73</v>
      </c>
      <c r="BX12" s="190">
        <v>8482773.7200000007</v>
      </c>
      <c r="BY12" s="190">
        <v>7929810.96</v>
      </c>
      <c r="BZ12" s="190">
        <v>2135441.29</v>
      </c>
      <c r="CA12" s="190">
        <v>386872.59</v>
      </c>
      <c r="CB12" s="190">
        <v>2829744.59</v>
      </c>
      <c r="CC12" s="190">
        <v>959946.11</v>
      </c>
      <c r="CD12" s="190">
        <v>0</v>
      </c>
    </row>
    <row r="13" spans="1:8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row>
    <row r="14" spans="1:82" x14ac:dyDescent="0.25">
      <c r="A14" s="190" t="s">
        <v>118</v>
      </c>
      <c r="B14" s="190">
        <v>9421103994.4599991</v>
      </c>
      <c r="C14" s="190">
        <v>9445326752.5599995</v>
      </c>
      <c r="D14" s="190">
        <v>9672542864.9500008</v>
      </c>
      <c r="E14" s="190">
        <v>9542309330.2000008</v>
      </c>
      <c r="F14" s="190">
        <v>10383057307.360001</v>
      </c>
      <c r="G14" s="190">
        <v>8743772680.0300007</v>
      </c>
      <c r="H14" s="190">
        <v>8627018344.2600002</v>
      </c>
      <c r="I14" s="190">
        <v>9627930972.5599995</v>
      </c>
      <c r="J14" s="190">
        <v>10158768619.440001</v>
      </c>
      <c r="K14" s="190">
        <v>10316816910.59</v>
      </c>
      <c r="L14" s="190">
        <v>10421068097.52</v>
      </c>
      <c r="M14" s="190">
        <v>11845906085.790001</v>
      </c>
      <c r="N14" s="190">
        <v>11503312820.610001</v>
      </c>
      <c r="O14" s="190">
        <v>11138768184.77</v>
      </c>
      <c r="P14" s="190">
        <v>9392843785.6900005</v>
      </c>
      <c r="Q14" s="190">
        <v>7683094203.8999996</v>
      </c>
      <c r="R14" s="190">
        <v>7602049994.46</v>
      </c>
      <c r="S14" s="190">
        <v>7453896770.5100002</v>
      </c>
      <c r="T14" s="190">
        <v>7083805762.1199999</v>
      </c>
      <c r="U14" s="190">
        <v>6153322045.5799999</v>
      </c>
      <c r="V14" s="190">
        <v>5348121150.3900003</v>
      </c>
      <c r="W14" s="190">
        <v>4874749086.2399998</v>
      </c>
      <c r="X14" s="190">
        <v>4056980013.4699998</v>
      </c>
      <c r="Y14" s="190">
        <v>3417554380.0700002</v>
      </c>
      <c r="Z14" s="190">
        <v>4078382633.6399999</v>
      </c>
      <c r="AA14" s="190">
        <v>3910230086.1500001</v>
      </c>
      <c r="AB14" s="190">
        <v>3768850765.1799998</v>
      </c>
      <c r="AC14" s="190">
        <v>3651058764.2800002</v>
      </c>
      <c r="AD14" s="190">
        <v>19355884.109999999</v>
      </c>
      <c r="AE14" s="190">
        <v>18808726.010000002</v>
      </c>
      <c r="AF14" s="190">
        <v>19514320.219999999</v>
      </c>
      <c r="AG14" s="190">
        <v>19264870.390000001</v>
      </c>
      <c r="AH14" s="190">
        <v>19732875.420000002</v>
      </c>
      <c r="AI14" s="190">
        <v>19771125.850000001</v>
      </c>
      <c r="AJ14" s="190">
        <v>23111757.109999999</v>
      </c>
      <c r="AK14" s="190">
        <v>23142765.629999999</v>
      </c>
      <c r="AL14" s="190">
        <v>25359071.190000001</v>
      </c>
      <c r="AM14" s="190">
        <v>25263748.219999999</v>
      </c>
      <c r="AN14" s="190">
        <v>25505086.949999999</v>
      </c>
      <c r="AO14" s="190">
        <v>25348142.280000001</v>
      </c>
      <c r="AP14" s="190">
        <v>26218213.969999999</v>
      </c>
      <c r="AQ14" s="190">
        <v>18528739.989999998</v>
      </c>
      <c r="AR14" s="190">
        <v>26279042.390000001</v>
      </c>
      <c r="AS14" s="190">
        <v>30860825.219999999</v>
      </c>
      <c r="AT14" s="190">
        <v>20548577.129999999</v>
      </c>
      <c r="AU14" s="190">
        <v>28345243.879999999</v>
      </c>
      <c r="AV14" s="190">
        <v>24210480.18</v>
      </c>
      <c r="AW14" s="190">
        <v>27871509.199999999</v>
      </c>
      <c r="AX14" s="190">
        <v>60165909.909999996</v>
      </c>
      <c r="AY14" s="190">
        <v>28564889.66</v>
      </c>
      <c r="AZ14" s="190">
        <v>0</v>
      </c>
      <c r="BA14" s="190">
        <v>31829490.390000001</v>
      </c>
      <c r="BB14" s="190">
        <v>39981721.890000001</v>
      </c>
      <c r="BC14" s="190">
        <v>37295667.759999998</v>
      </c>
      <c r="BD14" s="190">
        <v>59925567.890000001</v>
      </c>
      <c r="BE14" s="190">
        <v>51829476.880000003</v>
      </c>
      <c r="BF14" s="190">
        <v>62973409.020000003</v>
      </c>
      <c r="BG14" s="190">
        <v>70498657.629999995</v>
      </c>
      <c r="BH14" s="190">
        <v>85060022.730000004</v>
      </c>
      <c r="BI14" s="190">
        <v>94910534.700000003</v>
      </c>
      <c r="BJ14" s="190">
        <v>76129128.390000001</v>
      </c>
      <c r="BK14" s="190">
        <v>79277917.400000006</v>
      </c>
      <c r="BL14" s="190">
        <v>83465031.900000006</v>
      </c>
      <c r="BM14" s="190">
        <v>102494464.62</v>
      </c>
      <c r="BN14" s="190">
        <v>135019073.19</v>
      </c>
      <c r="BO14" s="190">
        <v>154151487.52000001</v>
      </c>
      <c r="BP14" s="190">
        <v>151806770.84999999</v>
      </c>
      <c r="BQ14" s="190">
        <v>135923924.69</v>
      </c>
      <c r="BR14" s="190">
        <v>130830684.44</v>
      </c>
      <c r="BS14" s="190">
        <v>102966150.25</v>
      </c>
      <c r="BT14" s="190">
        <v>52325547.43</v>
      </c>
      <c r="BU14" s="190">
        <v>42414007.18</v>
      </c>
      <c r="BV14" s="190">
        <v>44999749.789999999</v>
      </c>
      <c r="BW14" s="190">
        <v>41391786.549999997</v>
      </c>
      <c r="BX14" s="190">
        <v>41836311.399999999</v>
      </c>
      <c r="BY14" s="190">
        <v>36697300.979999997</v>
      </c>
      <c r="BZ14" s="190">
        <v>35959171.329999998</v>
      </c>
      <c r="CA14" s="190">
        <v>38974673.93</v>
      </c>
      <c r="CB14" s="190">
        <v>47780169.710000001</v>
      </c>
      <c r="CC14" s="190">
        <v>39290771.439999998</v>
      </c>
      <c r="CD14" s="190">
        <v>0</v>
      </c>
    </row>
    <row r="15" spans="1:82"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c r="BW16" s="190">
        <v>0</v>
      </c>
      <c r="BX16" s="190">
        <v>0</v>
      </c>
      <c r="BY16" s="190">
        <v>0</v>
      </c>
      <c r="BZ16" s="190">
        <v>0</v>
      </c>
      <c r="CA16" s="190">
        <v>0</v>
      </c>
      <c r="CB16" s="190">
        <v>0</v>
      </c>
      <c r="CC16" s="190">
        <v>0</v>
      </c>
      <c r="CD16" s="190">
        <v>0</v>
      </c>
    </row>
    <row r="17" spans="1:8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153775.99</v>
      </c>
      <c r="AY17" s="190">
        <v>228242.11</v>
      </c>
      <c r="AZ17" s="190">
        <v>0</v>
      </c>
      <c r="BA17" s="190">
        <v>0</v>
      </c>
      <c r="BB17" s="190">
        <v>12051267.189999999</v>
      </c>
      <c r="BC17" s="190">
        <v>11944389.560000001</v>
      </c>
      <c r="BD17" s="190">
        <v>15122346.380000001</v>
      </c>
      <c r="BE17" s="190">
        <v>13953019.66</v>
      </c>
      <c r="BF17" s="190">
        <v>18893429.640000001</v>
      </c>
      <c r="BG17" s="190">
        <v>16216987.640000001</v>
      </c>
      <c r="BH17" s="190">
        <v>16785216.850000001</v>
      </c>
      <c r="BI17" s="190">
        <v>21599663.289999999</v>
      </c>
      <c r="BJ17" s="190">
        <v>21977879.289999999</v>
      </c>
      <c r="BK17" s="190">
        <v>21847287.199999999</v>
      </c>
      <c r="BL17" s="190">
        <v>22309727.91</v>
      </c>
      <c r="BM17" s="190">
        <v>27751056.649999999</v>
      </c>
      <c r="BN17" s="190">
        <v>27052075.010000002</v>
      </c>
      <c r="BO17" s="190">
        <v>30084982.390000001</v>
      </c>
      <c r="BP17" s="190">
        <v>30135898.059999999</v>
      </c>
      <c r="BQ17" s="190">
        <v>21925358.93</v>
      </c>
      <c r="BR17" s="190">
        <v>29233087.420000002</v>
      </c>
      <c r="BS17" s="190">
        <v>898744.76</v>
      </c>
      <c r="BT17" s="190">
        <v>1018960.78</v>
      </c>
      <c r="BU17" s="190">
        <v>536883.19999999995</v>
      </c>
      <c r="BV17" s="190">
        <v>946248.33</v>
      </c>
      <c r="BW17" s="190">
        <v>1209202.79</v>
      </c>
      <c r="BX17" s="190">
        <v>1121133.6100000001</v>
      </c>
      <c r="BY17" s="190">
        <v>1568534.31</v>
      </c>
      <c r="BZ17" s="190">
        <v>1040000</v>
      </c>
      <c r="CA17" s="190">
        <v>1040000</v>
      </c>
      <c r="CB17" s="190">
        <v>1336457.1499999999</v>
      </c>
      <c r="CC17" s="190">
        <v>1888915.09</v>
      </c>
      <c r="CD17" s="190">
        <v>0</v>
      </c>
    </row>
    <row r="18" spans="1:8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c r="BV18" s="190">
        <v>0</v>
      </c>
      <c r="BW18" s="190">
        <v>0</v>
      </c>
      <c r="BX18" s="190">
        <v>0</v>
      </c>
      <c r="BY18" s="190">
        <v>0</v>
      </c>
      <c r="BZ18" s="190">
        <v>0</v>
      </c>
      <c r="CA18" s="190">
        <v>0</v>
      </c>
      <c r="CB18" s="190">
        <v>0</v>
      </c>
      <c r="CC18" s="190">
        <v>0</v>
      </c>
      <c r="CD18" s="190">
        <v>0</v>
      </c>
    </row>
    <row r="19" spans="1:82" x14ac:dyDescent="0.25">
      <c r="A19" s="190" t="s">
        <v>123</v>
      </c>
      <c r="B19" s="190">
        <v>653921080.70000005</v>
      </c>
      <c r="C19" s="190">
        <v>193131882.58000001</v>
      </c>
      <c r="D19" s="190">
        <v>10721604.51</v>
      </c>
      <c r="E19" s="190">
        <v>3476437.49</v>
      </c>
      <c r="F19" s="190">
        <v>19880440.800000001</v>
      </c>
      <c r="G19" s="190">
        <v>313811262.81</v>
      </c>
      <c r="H19" s="190">
        <v>290036377.06999999</v>
      </c>
      <c r="I19" s="190">
        <v>2661788.75</v>
      </c>
      <c r="J19" s="190">
        <v>289000000</v>
      </c>
      <c r="K19" s="190">
        <v>291000000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47000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124</v>
      </c>
      <c r="B20" s="190">
        <v>10618811637.629999</v>
      </c>
      <c r="C20" s="190">
        <v>10598557547.969999</v>
      </c>
      <c r="D20" s="190">
        <v>10214805261.559999</v>
      </c>
      <c r="E20" s="190">
        <v>10246089455.200001</v>
      </c>
      <c r="F20" s="190">
        <v>11584693527.280001</v>
      </c>
      <c r="G20" s="190">
        <v>9702878237.3999996</v>
      </c>
      <c r="H20" s="190">
        <v>9460693560.5</v>
      </c>
      <c r="I20" s="190">
        <v>10830795447.18</v>
      </c>
      <c r="J20" s="190">
        <v>11296243403.98</v>
      </c>
      <c r="K20" s="190">
        <v>12530808179.26</v>
      </c>
      <c r="L20" s="190">
        <v>12098683808.190001</v>
      </c>
      <c r="M20" s="190">
        <v>12331005354.35</v>
      </c>
      <c r="N20" s="190">
        <v>11929407240.889999</v>
      </c>
      <c r="O20" s="190">
        <v>11575088794.42</v>
      </c>
      <c r="P20" s="190">
        <v>10402226922.629999</v>
      </c>
      <c r="Q20" s="190">
        <v>10283458517.09</v>
      </c>
      <c r="R20" s="190">
        <v>8141067263.4499998</v>
      </c>
      <c r="S20" s="190">
        <v>7885777248.9700003</v>
      </c>
      <c r="T20" s="190">
        <v>8030703522.29</v>
      </c>
      <c r="U20" s="190">
        <v>6834284002.71</v>
      </c>
      <c r="V20" s="190">
        <v>6003487381.3100004</v>
      </c>
      <c r="W20" s="190">
        <v>5529294372.21</v>
      </c>
      <c r="X20" s="190">
        <v>4598592471.79</v>
      </c>
      <c r="Y20" s="190">
        <v>4545689362.3900003</v>
      </c>
      <c r="Z20" s="190">
        <v>4819183067.1700001</v>
      </c>
      <c r="AA20" s="190">
        <v>4255871546.4099998</v>
      </c>
      <c r="AB20" s="190">
        <v>4017206443.48</v>
      </c>
      <c r="AC20" s="190">
        <v>4144650254.0700002</v>
      </c>
      <c r="AD20" s="190">
        <v>113287604.75</v>
      </c>
      <c r="AE20" s="190">
        <v>110521674.15000001</v>
      </c>
      <c r="AF20" s="190">
        <v>111817239.84</v>
      </c>
      <c r="AG20" s="190">
        <v>112166935.03</v>
      </c>
      <c r="AH20" s="190">
        <v>104065451.34</v>
      </c>
      <c r="AI20" s="190">
        <v>123197934.08</v>
      </c>
      <c r="AJ20" s="190">
        <v>125748636.43000001</v>
      </c>
      <c r="AK20" s="190">
        <v>125910004.90000001</v>
      </c>
      <c r="AL20" s="190">
        <v>130630414.76000001</v>
      </c>
      <c r="AM20" s="190">
        <v>135363771.44999999</v>
      </c>
      <c r="AN20" s="190">
        <v>135858881.22</v>
      </c>
      <c r="AO20" s="190">
        <v>135711172.84999999</v>
      </c>
      <c r="AP20" s="190">
        <v>147694308.28999999</v>
      </c>
      <c r="AQ20" s="190">
        <v>171312050.86000001</v>
      </c>
      <c r="AR20" s="190">
        <v>185884981.90000001</v>
      </c>
      <c r="AS20" s="190">
        <v>202183625.44999999</v>
      </c>
      <c r="AT20" s="190">
        <v>181718719.49000001</v>
      </c>
      <c r="AU20" s="190">
        <v>193359682.56</v>
      </c>
      <c r="AV20" s="190">
        <v>172114034.55000001</v>
      </c>
      <c r="AW20" s="190">
        <v>186113467.91999999</v>
      </c>
      <c r="AX20" s="190">
        <v>573391589.58000004</v>
      </c>
      <c r="AY20" s="190">
        <v>579642027.59000003</v>
      </c>
      <c r="AZ20" s="190">
        <v>0</v>
      </c>
      <c r="BA20" s="190">
        <v>595471608.48000002</v>
      </c>
      <c r="BB20" s="190">
        <v>918528945.21000004</v>
      </c>
      <c r="BC20" s="190">
        <v>950388314.12</v>
      </c>
      <c r="BD20" s="190">
        <v>1023225318.14</v>
      </c>
      <c r="BE20" s="190">
        <v>1107269694.8599999</v>
      </c>
      <c r="BF20" s="190">
        <v>1226149801.0799999</v>
      </c>
      <c r="BG20" s="190">
        <v>1041986269.04</v>
      </c>
      <c r="BH20" s="190">
        <v>849567503.66999996</v>
      </c>
      <c r="BI20" s="190">
        <v>1016433765.48</v>
      </c>
      <c r="BJ20" s="190">
        <v>1023073136.08</v>
      </c>
      <c r="BK20" s="190">
        <v>998394175.84000003</v>
      </c>
      <c r="BL20" s="190">
        <v>968767295.60000002</v>
      </c>
      <c r="BM20" s="190">
        <v>920216765.71000004</v>
      </c>
      <c r="BN20" s="190">
        <v>900979126.88</v>
      </c>
      <c r="BO20" s="190">
        <v>895333745.78999996</v>
      </c>
      <c r="BP20" s="190">
        <v>888709817.74000001</v>
      </c>
      <c r="BQ20" s="190">
        <v>816751686.32000005</v>
      </c>
      <c r="BR20" s="190">
        <v>562608234.16999996</v>
      </c>
      <c r="BS20" s="190">
        <v>338310027.00999999</v>
      </c>
      <c r="BT20" s="190">
        <v>296058306.13999999</v>
      </c>
      <c r="BU20" s="190">
        <v>206746922.44999999</v>
      </c>
      <c r="BV20" s="190">
        <v>137445800.27000001</v>
      </c>
      <c r="BW20" s="190">
        <v>101446968.68000001</v>
      </c>
      <c r="BX20" s="190">
        <v>147646802.84</v>
      </c>
      <c r="BY20" s="190">
        <v>142165210.61000001</v>
      </c>
      <c r="BZ20" s="190">
        <v>61334681.369999997</v>
      </c>
      <c r="CA20" s="190">
        <v>54128866.990000002</v>
      </c>
      <c r="CB20" s="190">
        <v>69604845.230000004</v>
      </c>
      <c r="CC20" s="190">
        <v>52114017.990000002</v>
      </c>
      <c r="CD20" s="190">
        <v>0</v>
      </c>
    </row>
    <row r="21" spans="1:82" x14ac:dyDescent="0.25">
      <c r="A21" s="190" t="s">
        <v>125</v>
      </c>
    </row>
    <row r="22" spans="1:8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row>
    <row r="23" spans="1:82" x14ac:dyDescent="0.25">
      <c r="A23" s="190" t="s">
        <v>127</v>
      </c>
      <c r="B23" s="190">
        <v>40000000</v>
      </c>
      <c r="C23" s="190">
        <v>40000000</v>
      </c>
      <c r="D23" s="190">
        <v>40000000</v>
      </c>
      <c r="E23" s="190">
        <v>25000000</v>
      </c>
      <c r="F23" s="190">
        <v>45200000</v>
      </c>
      <c r="G23" s="190">
        <v>45200000</v>
      </c>
      <c r="H23" s="190">
        <v>45200000</v>
      </c>
      <c r="I23" s="190">
        <v>45200000</v>
      </c>
      <c r="J23" s="190">
        <v>20200000</v>
      </c>
      <c r="K23" s="190">
        <v>20200000</v>
      </c>
      <c r="L23" s="190">
        <v>0</v>
      </c>
      <c r="M23" s="190">
        <v>0</v>
      </c>
      <c r="N23" s="190">
        <v>50050000</v>
      </c>
      <c r="O23" s="190">
        <v>50050000</v>
      </c>
      <c r="P23" s="190">
        <v>119350000</v>
      </c>
      <c r="Q23" s="190">
        <v>119350000</v>
      </c>
      <c r="R23" s="190">
        <v>150150000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c r="BV23" s="190">
        <v>0</v>
      </c>
      <c r="BW23" s="190">
        <v>0</v>
      </c>
      <c r="BX23" s="190">
        <v>0</v>
      </c>
      <c r="BY23" s="190">
        <v>0</v>
      </c>
      <c r="BZ23" s="190">
        <v>0</v>
      </c>
      <c r="CA23" s="190">
        <v>0</v>
      </c>
      <c r="CB23" s="190">
        <v>0</v>
      </c>
      <c r="CC23" s="190">
        <v>0</v>
      </c>
      <c r="CD23" s="190">
        <v>0</v>
      </c>
    </row>
    <row r="24" spans="1:8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c r="BH24" s="190">
        <v>0</v>
      </c>
      <c r="BI24" s="190">
        <v>0</v>
      </c>
      <c r="BJ24" s="190">
        <v>0</v>
      </c>
      <c r="BK24" s="190">
        <v>0</v>
      </c>
      <c r="BL24" s="190">
        <v>0</v>
      </c>
      <c r="BM24" s="190">
        <v>0</v>
      </c>
      <c r="BN24" s="190">
        <v>0</v>
      </c>
      <c r="BO24" s="190">
        <v>0</v>
      </c>
      <c r="BP24" s="190">
        <v>0</v>
      </c>
      <c r="BQ24" s="190">
        <v>0</v>
      </c>
      <c r="BR24" s="190">
        <v>0</v>
      </c>
      <c r="BS24" s="190">
        <v>60221.84</v>
      </c>
      <c r="BT24" s="190">
        <v>0</v>
      </c>
      <c r="BU24" s="190">
        <v>66921.84</v>
      </c>
      <c r="BV24" s="190">
        <v>0</v>
      </c>
      <c r="BW24" s="190">
        <v>66921.84</v>
      </c>
      <c r="BX24" s="190">
        <v>66921.84</v>
      </c>
      <c r="BY24" s="190">
        <v>0</v>
      </c>
      <c r="BZ24" s="190">
        <v>0</v>
      </c>
      <c r="CA24" s="190">
        <v>0</v>
      </c>
      <c r="CB24" s="190">
        <v>0</v>
      </c>
      <c r="CC24" s="190">
        <v>0</v>
      </c>
      <c r="CD24" s="190">
        <v>0</v>
      </c>
    </row>
    <row r="25" spans="1:82"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c r="BH25" s="190">
        <v>0</v>
      </c>
      <c r="BI25" s="190">
        <v>0</v>
      </c>
      <c r="BJ25" s="190">
        <v>0</v>
      </c>
      <c r="BK25" s="190">
        <v>0</v>
      </c>
      <c r="BL25" s="190">
        <v>0</v>
      </c>
      <c r="BM25" s="190">
        <v>0</v>
      </c>
      <c r="BN25" s="190">
        <v>0</v>
      </c>
      <c r="BO25" s="190">
        <v>0</v>
      </c>
      <c r="BP25" s="190">
        <v>0</v>
      </c>
      <c r="BQ25" s="190">
        <v>0</v>
      </c>
      <c r="BR25" s="190">
        <v>0</v>
      </c>
      <c r="BS25" s="190">
        <v>0</v>
      </c>
      <c r="BT25" s="190">
        <v>0</v>
      </c>
      <c r="BU25" s="190">
        <v>0</v>
      </c>
      <c r="BV25" s="190">
        <v>0</v>
      </c>
      <c r="BW25" s="190">
        <v>0</v>
      </c>
      <c r="BX25" s="190">
        <v>0</v>
      </c>
      <c r="BY25" s="190">
        <v>0</v>
      </c>
      <c r="BZ25" s="190">
        <v>0</v>
      </c>
      <c r="CA25" s="190">
        <v>0</v>
      </c>
      <c r="CB25" s="190">
        <v>0</v>
      </c>
      <c r="CC25" s="190">
        <v>0</v>
      </c>
      <c r="CD25" s="190">
        <v>0</v>
      </c>
    </row>
    <row r="26" spans="1:82" x14ac:dyDescent="0.25">
      <c r="A26" s="190" t="s">
        <v>130</v>
      </c>
      <c r="B26" s="190">
        <v>394315358.72000003</v>
      </c>
      <c r="C26" s="190">
        <v>386565958.77999997</v>
      </c>
      <c r="D26" s="190">
        <v>403844311.47000003</v>
      </c>
      <c r="E26" s="190">
        <v>403915866.87</v>
      </c>
      <c r="F26" s="190">
        <v>447363408.45999998</v>
      </c>
      <c r="G26" s="190">
        <v>444375867.52999997</v>
      </c>
      <c r="H26" s="190">
        <v>453022802.99000001</v>
      </c>
      <c r="I26" s="190">
        <v>453295920.87</v>
      </c>
      <c r="J26" s="190">
        <v>455520618.37</v>
      </c>
      <c r="K26" s="190">
        <v>455552971.31</v>
      </c>
      <c r="L26" s="190">
        <v>369416304.49000001</v>
      </c>
      <c r="M26" s="190">
        <v>369507558.10000002</v>
      </c>
      <c r="N26" s="190">
        <v>371618200.89999998</v>
      </c>
      <c r="O26" s="190">
        <v>401620545.66000003</v>
      </c>
      <c r="P26" s="190">
        <v>402085418.17000002</v>
      </c>
      <c r="Q26" s="190">
        <v>402190572.31</v>
      </c>
      <c r="R26" s="190">
        <v>401226841.66000003</v>
      </c>
      <c r="S26" s="190">
        <v>551819434.76999998</v>
      </c>
      <c r="T26" s="190">
        <v>549570492.28999996</v>
      </c>
      <c r="U26" s="190">
        <v>549237419.96000004</v>
      </c>
      <c r="V26" s="190">
        <v>554732945.21000004</v>
      </c>
      <c r="W26" s="190">
        <v>247513091</v>
      </c>
      <c r="X26" s="190">
        <v>247812784.97999999</v>
      </c>
      <c r="Y26" s="190">
        <v>218139580.31</v>
      </c>
      <c r="Z26" s="190">
        <v>221938920.36000001</v>
      </c>
      <c r="AA26" s="190">
        <v>215834322.86000001</v>
      </c>
      <c r="AB26" s="190">
        <v>193607895.25999999</v>
      </c>
      <c r="AC26" s="190">
        <v>194315631.08000001</v>
      </c>
      <c r="AD26" s="190">
        <v>45031970.539999999</v>
      </c>
      <c r="AE26" s="190">
        <v>45031970.539999999</v>
      </c>
      <c r="AF26" s="190">
        <v>45031970.539999999</v>
      </c>
      <c r="AG26" s="190">
        <v>45031970.539999999</v>
      </c>
      <c r="AH26" s="190">
        <v>45036417.539999999</v>
      </c>
      <c r="AI26" s="190">
        <v>45036417.539999999</v>
      </c>
      <c r="AJ26" s="190">
        <v>45036417.539999999</v>
      </c>
      <c r="AK26" s="190">
        <v>45036417.539999999</v>
      </c>
      <c r="AL26" s="190">
        <v>46232321.960000001</v>
      </c>
      <c r="AM26" s="190">
        <v>46249721.060000002</v>
      </c>
      <c r="AN26" s="190">
        <v>46249915.490000002</v>
      </c>
      <c r="AO26" s="190">
        <v>46249915.490000002</v>
      </c>
      <c r="AP26" s="190">
        <v>46448435.030000001</v>
      </c>
      <c r="AQ26" s="190">
        <v>46448435.030000001</v>
      </c>
      <c r="AR26" s="190">
        <v>46621892.890000001</v>
      </c>
      <c r="AS26" s="190">
        <v>46621892.890000001</v>
      </c>
      <c r="AT26" s="190">
        <v>51021782.5</v>
      </c>
      <c r="AU26" s="190">
        <v>51021782.5</v>
      </c>
      <c r="AV26" s="190">
        <v>51047379.210000001</v>
      </c>
      <c r="AW26" s="190">
        <v>48209000.299999997</v>
      </c>
      <c r="AX26" s="190">
        <v>31080094.460000001</v>
      </c>
      <c r="AY26" s="190">
        <v>24038511.09</v>
      </c>
      <c r="AZ26" s="190">
        <v>0</v>
      </c>
      <c r="BA26" s="190">
        <v>23940760.68</v>
      </c>
      <c r="BB26" s="190">
        <v>21123595.420000002</v>
      </c>
      <c r="BC26" s="190">
        <v>21132708.809999999</v>
      </c>
      <c r="BD26" s="190">
        <v>21656552.77</v>
      </c>
      <c r="BE26" s="190">
        <v>22011331.800000001</v>
      </c>
      <c r="BF26" s="190">
        <v>21828507.649999999</v>
      </c>
      <c r="BG26" s="190">
        <v>21912655.920000002</v>
      </c>
      <c r="BH26" s="190">
        <v>21923525.120000001</v>
      </c>
      <c r="BI26" s="190">
        <v>21958922.329999998</v>
      </c>
      <c r="BJ26" s="190">
        <v>418858.82</v>
      </c>
      <c r="BK26" s="190">
        <v>418858.82</v>
      </c>
      <c r="BL26" s="190">
        <v>468493.93</v>
      </c>
      <c r="BM26" s="190">
        <v>468493.93</v>
      </c>
      <c r="BN26" s="190">
        <v>518129.04</v>
      </c>
      <c r="BO26" s="190">
        <v>518129.04</v>
      </c>
      <c r="BP26" s="190">
        <v>567764.15</v>
      </c>
      <c r="BQ26" s="190">
        <v>567764.15</v>
      </c>
      <c r="BR26" s="190">
        <v>1538688.4</v>
      </c>
      <c r="BS26" s="190">
        <v>37201034.369999997</v>
      </c>
      <c r="BT26" s="190">
        <v>28320562.699999999</v>
      </c>
      <c r="BU26" s="190">
        <v>22912443.02</v>
      </c>
      <c r="BV26" s="190">
        <v>22460635.140000001</v>
      </c>
      <c r="BW26" s="190">
        <v>21867618.27</v>
      </c>
      <c r="BX26" s="190">
        <v>10386134.18</v>
      </c>
      <c r="BY26" s="190">
        <v>10451921.84</v>
      </c>
      <c r="BZ26" s="190">
        <v>8624172.8399999999</v>
      </c>
      <c r="CA26" s="190">
        <v>8826522.8399999999</v>
      </c>
      <c r="CB26" s="190">
        <v>371522.84</v>
      </c>
      <c r="CC26" s="190">
        <v>381522.84</v>
      </c>
      <c r="CD26" s="190">
        <v>0</v>
      </c>
    </row>
    <row r="27" spans="1:82" x14ac:dyDescent="0.25">
      <c r="A27" s="190" t="s">
        <v>131</v>
      </c>
      <c r="B27" s="190">
        <v>449646582.89999998</v>
      </c>
      <c r="C27" s="190">
        <v>454081347.60000002</v>
      </c>
      <c r="D27" s="190">
        <v>457970976.87</v>
      </c>
      <c r="E27" s="190">
        <v>464165800.42000002</v>
      </c>
      <c r="F27" s="190">
        <v>381547725.36000001</v>
      </c>
      <c r="G27" s="190">
        <v>381330981.06999999</v>
      </c>
      <c r="H27" s="190">
        <v>385189779.07999998</v>
      </c>
      <c r="I27" s="190">
        <v>394940230.05000001</v>
      </c>
      <c r="J27" s="190">
        <v>401972007.54000002</v>
      </c>
      <c r="K27" s="190">
        <v>406741414.81999999</v>
      </c>
      <c r="L27" s="190">
        <v>405698159.06999999</v>
      </c>
      <c r="M27" s="190">
        <v>407938343.27999997</v>
      </c>
      <c r="N27" s="190">
        <v>411335918.17000002</v>
      </c>
      <c r="O27" s="190">
        <v>414547606.12</v>
      </c>
      <c r="P27" s="190">
        <v>418050205.45999998</v>
      </c>
      <c r="Q27" s="190">
        <v>421421422.37</v>
      </c>
      <c r="R27" s="190">
        <v>429350235.95999998</v>
      </c>
      <c r="S27" s="190">
        <v>431880923.38</v>
      </c>
      <c r="T27" s="190">
        <v>431932613.39999998</v>
      </c>
      <c r="U27" s="190">
        <v>440364629.51999998</v>
      </c>
      <c r="V27" s="190">
        <v>306017684.12</v>
      </c>
      <c r="W27" s="190">
        <v>306827976.38</v>
      </c>
      <c r="X27" s="190">
        <v>311168730.72000003</v>
      </c>
      <c r="Y27" s="190">
        <v>312611567.06</v>
      </c>
      <c r="Z27" s="190">
        <v>309441669.12</v>
      </c>
      <c r="AA27" s="190">
        <v>202877261.91999999</v>
      </c>
      <c r="AB27" s="190">
        <v>205099388.62</v>
      </c>
      <c r="AC27" s="190">
        <v>206789766.06999999</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132</v>
      </c>
      <c r="B28" s="190">
        <v>43817268.009999998</v>
      </c>
      <c r="C28" s="190">
        <v>45126256.780000001</v>
      </c>
      <c r="D28" s="190">
        <v>44550507.969999999</v>
      </c>
      <c r="E28" s="190">
        <v>46663986.770000003</v>
      </c>
      <c r="F28" s="190">
        <v>36750341.479999997</v>
      </c>
      <c r="G28" s="190">
        <v>35660218.950000003</v>
      </c>
      <c r="H28" s="190">
        <v>44510133.579999998</v>
      </c>
      <c r="I28" s="190">
        <v>54790425.609999999</v>
      </c>
      <c r="J28" s="190">
        <v>55991510.399999999</v>
      </c>
      <c r="K28" s="190">
        <v>56910992.909999996</v>
      </c>
      <c r="L28" s="190">
        <v>51481299.600000001</v>
      </c>
      <c r="M28" s="190">
        <v>53449052.780000001</v>
      </c>
      <c r="N28" s="190">
        <v>53451297.420000002</v>
      </c>
      <c r="O28" s="190">
        <v>53398282.380000003</v>
      </c>
      <c r="P28" s="190">
        <v>53921713.939999998</v>
      </c>
      <c r="Q28" s="190">
        <v>54601212.789999999</v>
      </c>
      <c r="R28" s="190">
        <v>55551232</v>
      </c>
      <c r="S28" s="190">
        <v>51315100.079999998</v>
      </c>
      <c r="T28" s="190">
        <v>51022910.189999998</v>
      </c>
      <c r="U28" s="190">
        <v>50219957.899999999</v>
      </c>
      <c r="V28" s="190">
        <v>40977281.799999997</v>
      </c>
      <c r="W28" s="190">
        <v>42031136.460000001</v>
      </c>
      <c r="X28" s="190">
        <v>42929939.670000002</v>
      </c>
      <c r="Y28" s="190">
        <v>44313070.789999999</v>
      </c>
      <c r="Z28" s="190">
        <v>43488231.719999999</v>
      </c>
      <c r="AA28" s="190">
        <v>44695623.43</v>
      </c>
      <c r="AB28" s="190">
        <v>46314688.729999997</v>
      </c>
      <c r="AC28" s="190">
        <v>47435215.689999998</v>
      </c>
      <c r="AD28" s="190">
        <v>12935591.060000001</v>
      </c>
      <c r="AE28" s="190">
        <v>13176737.189999999</v>
      </c>
      <c r="AF28" s="190">
        <v>13436261.210000001</v>
      </c>
      <c r="AG28" s="190">
        <v>13648790.42</v>
      </c>
      <c r="AH28" s="190">
        <v>13981880.59</v>
      </c>
      <c r="AI28" s="190">
        <v>14208863.68</v>
      </c>
      <c r="AJ28" s="190">
        <v>14442055.15</v>
      </c>
      <c r="AK28" s="190">
        <v>14664039.220000001</v>
      </c>
      <c r="AL28" s="190">
        <v>14908237.68</v>
      </c>
      <c r="AM28" s="190">
        <v>15145479.619999999</v>
      </c>
      <c r="AN28" s="190">
        <v>15758861.4</v>
      </c>
      <c r="AO28" s="190">
        <v>16017225.939999999</v>
      </c>
      <c r="AP28" s="190">
        <v>16469277.970000001</v>
      </c>
      <c r="AQ28" s="190">
        <v>16951061.210000001</v>
      </c>
      <c r="AR28" s="190">
        <v>18056786.350000001</v>
      </c>
      <c r="AS28" s="190">
        <v>18410648.32</v>
      </c>
      <c r="AT28" s="190">
        <v>18426514.780000001</v>
      </c>
      <c r="AU28" s="190">
        <v>18214588.199999999</v>
      </c>
      <c r="AV28" s="190">
        <v>18580973.600000001</v>
      </c>
      <c r="AW28" s="190">
        <v>18631160.129999999</v>
      </c>
      <c r="AX28" s="190">
        <v>23220972.899999999</v>
      </c>
      <c r="AY28" s="190">
        <v>23886518.359999999</v>
      </c>
      <c r="AZ28" s="190">
        <v>0</v>
      </c>
      <c r="BA28" s="190">
        <v>24880336.690000001</v>
      </c>
      <c r="BB28" s="190">
        <v>26104003.739999998</v>
      </c>
      <c r="BC28" s="190">
        <v>26974911.09</v>
      </c>
      <c r="BD28" s="190">
        <v>27762674.07</v>
      </c>
      <c r="BE28" s="190">
        <v>28657882.440000001</v>
      </c>
      <c r="BF28" s="190">
        <v>29420892.600000001</v>
      </c>
      <c r="BG28" s="190">
        <v>30175266.190000001</v>
      </c>
      <c r="BH28" s="190">
        <v>31588351.030000001</v>
      </c>
      <c r="BI28" s="190">
        <v>32774502.600000001</v>
      </c>
      <c r="BJ28" s="190">
        <v>31822167.640000001</v>
      </c>
      <c r="BK28" s="190">
        <v>33149938.859999999</v>
      </c>
      <c r="BL28" s="190">
        <v>34253200.100000001</v>
      </c>
      <c r="BM28" s="190">
        <v>35051852.729999997</v>
      </c>
      <c r="BN28" s="190">
        <v>35561019.520000003</v>
      </c>
      <c r="BO28" s="190">
        <v>36549827.079999998</v>
      </c>
      <c r="BP28" s="190">
        <v>37321058.369999997</v>
      </c>
      <c r="BQ28" s="190">
        <v>38195270.840000004</v>
      </c>
      <c r="BR28" s="190">
        <v>32948492.649999999</v>
      </c>
      <c r="BS28" s="190">
        <v>54190155.490000002</v>
      </c>
      <c r="BT28" s="190">
        <v>50806621.990000002</v>
      </c>
      <c r="BU28" s="190">
        <v>51301593.939999998</v>
      </c>
      <c r="BV28" s="190">
        <v>26267358.530000001</v>
      </c>
      <c r="BW28" s="190">
        <v>27161045.039999999</v>
      </c>
      <c r="BX28" s="190">
        <v>24858484.649999999</v>
      </c>
      <c r="BY28" s="190">
        <v>25452650.620000001</v>
      </c>
      <c r="BZ28" s="190">
        <v>26097698.739999998</v>
      </c>
      <c r="CA28" s="190">
        <v>27096649.809999999</v>
      </c>
      <c r="CB28" s="190">
        <v>48172200.109999999</v>
      </c>
      <c r="CC28" s="190">
        <v>51894985.060000002</v>
      </c>
      <c r="CD28" s="190">
        <v>0</v>
      </c>
    </row>
    <row r="29" spans="1:82" x14ac:dyDescent="0.25">
      <c r="A29" s="190" t="s">
        <v>133</v>
      </c>
      <c r="B29" s="190">
        <v>0</v>
      </c>
      <c r="C29" s="190">
        <v>0</v>
      </c>
      <c r="D29" s="190">
        <v>1945693.46</v>
      </c>
      <c r="E29" s="190">
        <v>0</v>
      </c>
      <c r="F29" s="190">
        <v>9497750.8800000008</v>
      </c>
      <c r="G29" s="190">
        <v>9136502.9000000004</v>
      </c>
      <c r="H29" s="190">
        <v>2632616.59</v>
      </c>
      <c r="I29" s="190">
        <v>1991964.82</v>
      </c>
      <c r="J29" s="190">
        <v>799451.74</v>
      </c>
      <c r="K29" s="190">
        <v>234976.74</v>
      </c>
      <c r="L29" s="190">
        <v>155157.01999999999</v>
      </c>
      <c r="M29" s="190">
        <v>51005</v>
      </c>
      <c r="N29" s="190">
        <v>18233</v>
      </c>
      <c r="O29" s="190">
        <v>0</v>
      </c>
      <c r="P29" s="190">
        <v>0</v>
      </c>
      <c r="Q29" s="190">
        <v>0</v>
      </c>
      <c r="R29" s="190">
        <v>0</v>
      </c>
      <c r="S29" s="190">
        <v>0</v>
      </c>
      <c r="T29" s="190">
        <v>0</v>
      </c>
      <c r="U29" s="190">
        <v>0</v>
      </c>
      <c r="V29" s="190">
        <v>0</v>
      </c>
      <c r="W29" s="190">
        <v>0</v>
      </c>
      <c r="X29" s="190">
        <v>1080536.6100000001</v>
      </c>
      <c r="Y29" s="190">
        <v>1080536.6100000001</v>
      </c>
      <c r="Z29" s="190">
        <v>582036.61</v>
      </c>
      <c r="AA29" s="190">
        <v>96337531.209999993</v>
      </c>
      <c r="AB29" s="190">
        <v>94801155.780000001</v>
      </c>
      <c r="AC29" s="190">
        <v>77618578.530000001</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8009176.1399999997</v>
      </c>
      <c r="BS29" s="190">
        <v>11585396.5</v>
      </c>
      <c r="BT29" s="190">
        <v>11585396.5</v>
      </c>
      <c r="BU29" s="190">
        <v>26334135.809999999</v>
      </c>
      <c r="BV29" s="190">
        <v>48339406.060000002</v>
      </c>
      <c r="BW29" s="190">
        <v>46998388.700000003</v>
      </c>
      <c r="BX29" s="190">
        <v>157347.39000000001</v>
      </c>
      <c r="BY29" s="190">
        <v>154875.92000000001</v>
      </c>
      <c r="BZ29" s="190">
        <v>0</v>
      </c>
      <c r="CA29" s="190">
        <v>505548.15</v>
      </c>
      <c r="CB29" s="190">
        <v>572928.27</v>
      </c>
      <c r="CC29" s="190">
        <v>1388646.51</v>
      </c>
      <c r="CD29" s="190">
        <v>0</v>
      </c>
    </row>
    <row r="30" spans="1:82"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row r="32" spans="1:8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c r="BW32" s="190">
        <v>0</v>
      </c>
      <c r="BX32" s="190">
        <v>0</v>
      </c>
      <c r="BY32" s="190">
        <v>0</v>
      </c>
      <c r="BZ32" s="190">
        <v>0</v>
      </c>
      <c r="CA32" s="190">
        <v>0</v>
      </c>
      <c r="CB32" s="190">
        <v>0</v>
      </c>
      <c r="CC32" s="190">
        <v>0</v>
      </c>
      <c r="CD32" s="190">
        <v>0</v>
      </c>
    </row>
    <row r="33" spans="1:8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c r="BW33" s="190">
        <v>0</v>
      </c>
      <c r="BX33" s="190">
        <v>0</v>
      </c>
      <c r="BY33" s="190">
        <v>0</v>
      </c>
      <c r="BZ33" s="190">
        <v>0</v>
      </c>
      <c r="CA33" s="190">
        <v>0</v>
      </c>
      <c r="CB33" s="190">
        <v>0</v>
      </c>
      <c r="CC33" s="190">
        <v>0</v>
      </c>
      <c r="CD33" s="190">
        <v>0</v>
      </c>
    </row>
    <row r="34" spans="1:8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0</v>
      </c>
      <c r="CC34" s="190">
        <v>0</v>
      </c>
      <c r="CD34" s="190">
        <v>0</v>
      </c>
    </row>
    <row r="35" spans="1:82" x14ac:dyDescent="0.25">
      <c r="A35" s="190" t="s">
        <v>139</v>
      </c>
      <c r="B35" s="190">
        <v>464336281</v>
      </c>
      <c r="C35" s="190">
        <v>479479474.98000002</v>
      </c>
      <c r="D35" s="190">
        <v>494622993.95999998</v>
      </c>
      <c r="E35" s="190">
        <v>509765862.94</v>
      </c>
      <c r="F35" s="190">
        <v>524718475.76999998</v>
      </c>
      <c r="G35" s="190">
        <v>539801339.98000002</v>
      </c>
      <c r="H35" s="190">
        <v>554908457.21000004</v>
      </c>
      <c r="I35" s="190">
        <v>570297013.38</v>
      </c>
      <c r="J35" s="190">
        <v>585664861.53999996</v>
      </c>
      <c r="K35" s="190">
        <v>601077633.82000005</v>
      </c>
      <c r="L35" s="190">
        <v>46116.54</v>
      </c>
      <c r="M35" s="190">
        <v>52134.04</v>
      </c>
      <c r="N35" s="190">
        <v>138387.22</v>
      </c>
      <c r="O35" s="190">
        <v>143904.73000000001</v>
      </c>
      <c r="P35" s="190">
        <v>149422.24</v>
      </c>
      <c r="Q35" s="190">
        <v>142439.75</v>
      </c>
      <c r="R35" s="190">
        <v>116457.26</v>
      </c>
      <c r="S35" s="190">
        <v>82104.77</v>
      </c>
      <c r="T35" s="190">
        <v>80122.28</v>
      </c>
      <c r="U35" s="190">
        <v>86440.79</v>
      </c>
      <c r="V35" s="190">
        <v>234458.3</v>
      </c>
      <c r="W35" s="190">
        <v>187475.81</v>
      </c>
      <c r="X35" s="190">
        <v>189315</v>
      </c>
      <c r="Y35" s="190">
        <v>108510.83</v>
      </c>
      <c r="Z35" s="190">
        <v>0</v>
      </c>
      <c r="AA35" s="190">
        <v>0</v>
      </c>
      <c r="AB35" s="190">
        <v>0</v>
      </c>
      <c r="AC35" s="190">
        <v>0</v>
      </c>
      <c r="AD35" s="190">
        <v>0</v>
      </c>
      <c r="AE35" s="190">
        <v>0</v>
      </c>
      <c r="AF35" s="190">
        <v>0</v>
      </c>
      <c r="AG35" s="190">
        <v>0</v>
      </c>
      <c r="AH35" s="190">
        <v>0</v>
      </c>
      <c r="AI35" s="190">
        <v>0</v>
      </c>
      <c r="AJ35" s="190">
        <v>1950</v>
      </c>
      <c r="AK35" s="190">
        <v>3900</v>
      </c>
      <c r="AL35" s="190">
        <v>5850</v>
      </c>
      <c r="AM35" s="190">
        <v>7800</v>
      </c>
      <c r="AN35" s="190">
        <v>9750</v>
      </c>
      <c r="AO35" s="190">
        <v>11700</v>
      </c>
      <c r="AP35" s="190">
        <v>13650</v>
      </c>
      <c r="AQ35" s="190">
        <v>15600</v>
      </c>
      <c r="AR35" s="190">
        <v>17550</v>
      </c>
      <c r="AS35" s="190">
        <v>19500</v>
      </c>
      <c r="AT35" s="190">
        <v>44971.99</v>
      </c>
      <c r="AU35" s="190">
        <v>23400</v>
      </c>
      <c r="AV35" s="190">
        <v>28970.15</v>
      </c>
      <c r="AW35" s="190">
        <v>27300</v>
      </c>
      <c r="AX35" s="190">
        <v>29250</v>
      </c>
      <c r="AY35" s="190">
        <v>31200</v>
      </c>
      <c r="AZ35" s="190">
        <v>0</v>
      </c>
      <c r="BA35" s="190">
        <v>35100</v>
      </c>
      <c r="BB35" s="190">
        <v>7645185.1200000001</v>
      </c>
      <c r="BC35" s="190">
        <v>7987506.8399999999</v>
      </c>
      <c r="BD35" s="190">
        <v>8329828.5599999996</v>
      </c>
      <c r="BE35" s="190">
        <v>8672150.2799999993</v>
      </c>
      <c r="BF35" s="190">
        <v>9014472</v>
      </c>
      <c r="BG35" s="190">
        <v>9360642.3200000003</v>
      </c>
      <c r="BH35" s="190">
        <v>10151241.09</v>
      </c>
      <c r="BI35" s="190">
        <v>10945688.460000001</v>
      </c>
      <c r="BJ35" s="190">
        <v>11998958.15</v>
      </c>
      <c r="BK35" s="190">
        <v>12707131.4</v>
      </c>
      <c r="BL35" s="190">
        <v>14111932.1</v>
      </c>
      <c r="BM35" s="190">
        <v>14123477.9</v>
      </c>
      <c r="BN35" s="190">
        <v>15814680.439999999</v>
      </c>
      <c r="BO35" s="190">
        <v>16266757.609999999</v>
      </c>
      <c r="BP35" s="190">
        <v>16718834.779999999</v>
      </c>
      <c r="BQ35" s="190">
        <v>17088228.629999999</v>
      </c>
      <c r="BR35" s="190">
        <v>19547987.190000001</v>
      </c>
      <c r="BS35" s="190">
        <v>18118333.440000001</v>
      </c>
      <c r="BT35" s="190">
        <v>19263333.420000002</v>
      </c>
      <c r="BU35" s="190">
        <v>20408333.399999999</v>
      </c>
      <c r="BV35" s="190">
        <v>8638333.3800000008</v>
      </c>
      <c r="BW35" s="190">
        <v>8583333.3599999994</v>
      </c>
      <c r="BX35" s="190">
        <v>9083333.3399999999</v>
      </c>
      <c r="BY35" s="190">
        <v>9583333.3399999999</v>
      </c>
      <c r="BZ35" s="190">
        <v>0</v>
      </c>
      <c r="CA35" s="190">
        <v>0</v>
      </c>
      <c r="CB35" s="190">
        <v>0</v>
      </c>
      <c r="CC35" s="190">
        <v>0</v>
      </c>
      <c r="CD35" s="190">
        <v>0</v>
      </c>
    </row>
    <row r="36" spans="1:82"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0</v>
      </c>
      <c r="CC36" s="190">
        <v>0</v>
      </c>
      <c r="CD36" s="190">
        <v>0</v>
      </c>
    </row>
    <row r="37" spans="1:82" x14ac:dyDescent="0.25">
      <c r="A37" s="190" t="s">
        <v>141</v>
      </c>
      <c r="B37" s="190">
        <v>1250851256.3399999</v>
      </c>
      <c r="C37" s="190">
        <v>1250851256.3399999</v>
      </c>
      <c r="D37" s="190">
        <v>1250851256.3399999</v>
      </c>
      <c r="E37" s="190">
        <v>1250851256.3399999</v>
      </c>
      <c r="F37" s="190">
        <v>1250851256.3399999</v>
      </c>
      <c r="G37" s="190">
        <v>1250851256.3399999</v>
      </c>
      <c r="H37" s="190">
        <v>1250851256.3399999</v>
      </c>
      <c r="I37" s="190">
        <v>1335586970.1700001</v>
      </c>
      <c r="J37" s="190">
        <v>1342086874.1800001</v>
      </c>
      <c r="K37" s="190">
        <v>1342086874.1800001</v>
      </c>
      <c r="L37" s="190">
        <v>89749996.019999996</v>
      </c>
      <c r="M37" s="190">
        <v>89749996.019999996</v>
      </c>
      <c r="N37" s="190">
        <v>89749996.019999996</v>
      </c>
      <c r="O37" s="190">
        <v>89749996.019999996</v>
      </c>
      <c r="P37" s="190">
        <v>89749996.019999996</v>
      </c>
      <c r="Q37" s="190">
        <v>89749996.019999996</v>
      </c>
      <c r="R37" s="190">
        <v>89749996.019999996</v>
      </c>
      <c r="S37" s="190">
        <v>89749996.019999996</v>
      </c>
      <c r="T37" s="190">
        <v>89749996.019999996</v>
      </c>
      <c r="U37" s="190">
        <v>89749996.019999996</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1258309.6399999999</v>
      </c>
      <c r="AU37" s="190">
        <v>1258309.6399999999</v>
      </c>
      <c r="AV37" s="190">
        <v>1258309.6399999999</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0</v>
      </c>
      <c r="CC37" s="190">
        <v>0</v>
      </c>
      <c r="CD37" s="190">
        <v>0</v>
      </c>
    </row>
    <row r="38" spans="1:82" x14ac:dyDescent="0.25">
      <c r="A38" s="190" t="s">
        <v>142</v>
      </c>
      <c r="B38" s="190">
        <v>5480360.3300000001</v>
      </c>
      <c r="C38" s="190">
        <v>5544664.1100000003</v>
      </c>
      <c r="D38" s="190">
        <v>5296182.83</v>
      </c>
      <c r="E38" s="190">
        <v>4164534.27</v>
      </c>
      <c r="F38" s="190">
        <v>1457214.23</v>
      </c>
      <c r="G38" s="190">
        <v>2401313.58</v>
      </c>
      <c r="H38" s="190">
        <v>4635962.7300000004</v>
      </c>
      <c r="I38" s="190">
        <v>6508216.2599999998</v>
      </c>
      <c r="J38" s="190">
        <v>7277067.04</v>
      </c>
      <c r="K38" s="190">
        <v>9149320.5700000003</v>
      </c>
      <c r="L38" s="190">
        <v>10855450.68</v>
      </c>
      <c r="M38" s="190">
        <v>12523129.300000001</v>
      </c>
      <c r="N38" s="190">
        <v>12957821.029999999</v>
      </c>
      <c r="O38" s="190">
        <v>14319994.560000001</v>
      </c>
      <c r="P38" s="190">
        <v>16192248.09</v>
      </c>
      <c r="Q38" s="190">
        <v>18682406.489999998</v>
      </c>
      <c r="R38" s="190">
        <v>13504030</v>
      </c>
      <c r="S38" s="190">
        <v>13504030</v>
      </c>
      <c r="T38" s="190">
        <v>11636765</v>
      </c>
      <c r="U38" s="190">
        <v>11474973.039999999</v>
      </c>
      <c r="V38" s="190">
        <v>0</v>
      </c>
      <c r="W38" s="190">
        <v>6226.02</v>
      </c>
      <c r="X38" s="190">
        <v>14393.67</v>
      </c>
      <c r="Y38" s="190">
        <v>22561.32</v>
      </c>
      <c r="Z38" s="190">
        <v>30728.97</v>
      </c>
      <c r="AA38" s="190">
        <v>38896.620000000003</v>
      </c>
      <c r="AB38" s="190">
        <v>47064.27</v>
      </c>
      <c r="AC38" s="190">
        <v>55231.92</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15203</v>
      </c>
      <c r="BG38" s="190">
        <v>0</v>
      </c>
      <c r="BH38" s="190">
        <v>0</v>
      </c>
      <c r="BI38" s="190">
        <v>0</v>
      </c>
      <c r="BJ38" s="190">
        <v>674147.93</v>
      </c>
      <c r="BK38" s="190">
        <v>888553.52</v>
      </c>
      <c r="BL38" s="190">
        <v>1062287.33</v>
      </c>
      <c r="BM38" s="190">
        <v>1324073.54</v>
      </c>
      <c r="BN38" s="190">
        <v>2868067.59</v>
      </c>
      <c r="BO38" s="190">
        <v>3062169.4</v>
      </c>
      <c r="BP38" s="190">
        <v>2438296.81</v>
      </c>
      <c r="BQ38" s="190">
        <v>2672660.36</v>
      </c>
      <c r="BR38" s="190">
        <v>1585952.89</v>
      </c>
      <c r="BS38" s="190">
        <v>2760567.41</v>
      </c>
      <c r="BT38" s="190">
        <v>804511.01</v>
      </c>
      <c r="BU38" s="190">
        <v>791639.26</v>
      </c>
      <c r="BV38" s="190">
        <v>909784.56</v>
      </c>
      <c r="BW38" s="190">
        <v>1012561.78</v>
      </c>
      <c r="BX38" s="190">
        <v>814000</v>
      </c>
      <c r="BY38" s="190">
        <v>0</v>
      </c>
      <c r="BZ38" s="190">
        <v>0</v>
      </c>
      <c r="CA38" s="190">
        <v>0</v>
      </c>
      <c r="CB38" s="190">
        <v>0</v>
      </c>
      <c r="CC38" s="190">
        <v>0</v>
      </c>
      <c r="CD38" s="190">
        <v>0</v>
      </c>
    </row>
    <row r="39" spans="1:82" x14ac:dyDescent="0.25">
      <c r="A39" s="190" t="s">
        <v>143</v>
      </c>
      <c r="B39" s="190">
        <v>161918049.44</v>
      </c>
      <c r="C39" s="190">
        <v>157169365.88</v>
      </c>
      <c r="D39" s="190">
        <v>125419127.45</v>
      </c>
      <c r="E39" s="190">
        <v>119290694.5</v>
      </c>
      <c r="F39" s="190">
        <v>140811617.41999999</v>
      </c>
      <c r="G39" s="190">
        <v>130507096.54000001</v>
      </c>
      <c r="H39" s="190">
        <v>122698772.59999999</v>
      </c>
      <c r="I39" s="190">
        <v>168610588.13</v>
      </c>
      <c r="J39" s="190">
        <v>132784492.90000001</v>
      </c>
      <c r="K39" s="190">
        <v>124606922.22</v>
      </c>
      <c r="L39" s="190">
        <v>142733797.06999999</v>
      </c>
      <c r="M39" s="190">
        <v>212303931.27000001</v>
      </c>
      <c r="N39" s="190">
        <v>169746060.84999999</v>
      </c>
      <c r="O39" s="190">
        <v>147008603.99000001</v>
      </c>
      <c r="P39" s="190">
        <v>131206885.5</v>
      </c>
      <c r="Q39" s="190">
        <v>128625282.72</v>
      </c>
      <c r="R39" s="190">
        <v>117746000.06999999</v>
      </c>
      <c r="S39" s="190">
        <v>116869113.26000001</v>
      </c>
      <c r="T39" s="190">
        <v>105747996.59</v>
      </c>
      <c r="U39" s="190">
        <v>100675993.84</v>
      </c>
      <c r="V39" s="190">
        <v>123084388.95999999</v>
      </c>
      <c r="W39" s="190">
        <v>106584451.54000001</v>
      </c>
      <c r="X39" s="190">
        <v>101270405.84999999</v>
      </c>
      <c r="Y39" s="190">
        <v>95195500.890000001</v>
      </c>
      <c r="Z39" s="190">
        <v>68122137.840000004</v>
      </c>
      <c r="AA39" s="190">
        <v>70530873.409999996</v>
      </c>
      <c r="AB39" s="190">
        <v>99553882.730000004</v>
      </c>
      <c r="AC39" s="190">
        <v>98256235.670000002</v>
      </c>
      <c r="AD39" s="190">
        <v>0</v>
      </c>
      <c r="AE39" s="190">
        <v>0</v>
      </c>
      <c r="AF39" s="190">
        <v>0</v>
      </c>
      <c r="AG39" s="190">
        <v>0</v>
      </c>
      <c r="AH39" s="190">
        <v>0</v>
      </c>
      <c r="AI39" s="190">
        <v>0</v>
      </c>
      <c r="AJ39" s="190">
        <v>0</v>
      </c>
      <c r="AK39" s="190">
        <v>0</v>
      </c>
      <c r="AL39" s="190">
        <v>0</v>
      </c>
      <c r="AM39" s="190">
        <v>0</v>
      </c>
      <c r="AN39" s="190">
        <v>0</v>
      </c>
      <c r="AO39" s="190">
        <v>0</v>
      </c>
      <c r="AP39" s="190">
        <v>1436839.85</v>
      </c>
      <c r="AQ39" s="190">
        <v>1543926.48</v>
      </c>
      <c r="AR39" s="190">
        <v>1643020.23</v>
      </c>
      <c r="AS39" s="190">
        <v>1643020.23</v>
      </c>
      <c r="AT39" s="190">
        <v>7459482.3300000001</v>
      </c>
      <c r="AU39" s="190">
        <v>7497375.2999999998</v>
      </c>
      <c r="AV39" s="190">
        <v>7682614.4100000001</v>
      </c>
      <c r="AW39" s="190">
        <v>3414075.72</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0</v>
      </c>
      <c r="CD39" s="190">
        <v>0</v>
      </c>
    </row>
    <row r="40" spans="1:82"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631816.43999999994</v>
      </c>
      <c r="BW40" s="190">
        <v>0</v>
      </c>
      <c r="BX40" s="190">
        <v>0</v>
      </c>
      <c r="BY40" s="190">
        <v>625431.11</v>
      </c>
      <c r="BZ40" s="190">
        <v>0</v>
      </c>
      <c r="CA40" s="190">
        <v>0</v>
      </c>
      <c r="CB40" s="190">
        <v>0</v>
      </c>
      <c r="CC40" s="190">
        <v>0</v>
      </c>
      <c r="CD40" s="190">
        <v>0</v>
      </c>
    </row>
    <row r="41" spans="1:82" x14ac:dyDescent="0.25">
      <c r="A41" s="190" t="s">
        <v>145</v>
      </c>
      <c r="B41" s="190">
        <v>2810365156.7399998</v>
      </c>
      <c r="C41" s="190">
        <v>2818818324.4699998</v>
      </c>
      <c r="D41" s="190">
        <v>2824501050.3499999</v>
      </c>
      <c r="E41" s="190">
        <v>2823818002.1100001</v>
      </c>
      <c r="F41" s="190">
        <v>2838197789.9400001</v>
      </c>
      <c r="G41" s="190">
        <v>2839264576.8899999</v>
      </c>
      <c r="H41" s="190">
        <v>2863649781.1199999</v>
      </c>
      <c r="I41" s="190">
        <v>3031221329.29</v>
      </c>
      <c r="J41" s="190">
        <v>3002296883.71</v>
      </c>
      <c r="K41" s="190">
        <v>3016561106.5700002</v>
      </c>
      <c r="L41" s="190">
        <v>1070136280.49</v>
      </c>
      <c r="M41" s="190">
        <v>1145575149.79</v>
      </c>
      <c r="N41" s="190">
        <v>1159065914.6099999</v>
      </c>
      <c r="O41" s="190">
        <v>1170838933.46</v>
      </c>
      <c r="P41" s="190">
        <v>1230705889.4200001</v>
      </c>
      <c r="Q41" s="190">
        <v>1234763332.45</v>
      </c>
      <c r="R41" s="190">
        <v>1257394792.97</v>
      </c>
      <c r="S41" s="190">
        <v>1255220702.28</v>
      </c>
      <c r="T41" s="190">
        <v>1239740895.77</v>
      </c>
      <c r="U41" s="190">
        <v>1241809411.0699999</v>
      </c>
      <c r="V41" s="190">
        <v>1025046758.39</v>
      </c>
      <c r="W41" s="190">
        <v>703150357.21000004</v>
      </c>
      <c r="X41" s="190">
        <v>704466106.5</v>
      </c>
      <c r="Y41" s="190">
        <v>671471327.80999994</v>
      </c>
      <c r="Z41" s="190">
        <v>643603724.62</v>
      </c>
      <c r="AA41" s="190">
        <v>630314509.45000005</v>
      </c>
      <c r="AB41" s="190">
        <v>639424075.38999999</v>
      </c>
      <c r="AC41" s="190">
        <v>624470658.96000004</v>
      </c>
      <c r="AD41" s="190">
        <v>57967561.600000001</v>
      </c>
      <c r="AE41" s="190">
        <v>58208707.729999997</v>
      </c>
      <c r="AF41" s="190">
        <v>58468231.75</v>
      </c>
      <c r="AG41" s="190">
        <v>58680760.960000001</v>
      </c>
      <c r="AH41" s="190">
        <v>59018298.130000003</v>
      </c>
      <c r="AI41" s="190">
        <v>59245281.219999999</v>
      </c>
      <c r="AJ41" s="190">
        <v>59480422.689999998</v>
      </c>
      <c r="AK41" s="190">
        <v>59704356.759999998</v>
      </c>
      <c r="AL41" s="190">
        <v>61146409.640000001</v>
      </c>
      <c r="AM41" s="190">
        <v>61403000.68</v>
      </c>
      <c r="AN41" s="190">
        <v>62018526.890000001</v>
      </c>
      <c r="AO41" s="190">
        <v>62278841.43</v>
      </c>
      <c r="AP41" s="190">
        <v>64368202.850000001</v>
      </c>
      <c r="AQ41" s="190">
        <v>64959022.719999999</v>
      </c>
      <c r="AR41" s="190">
        <v>66339249.469999999</v>
      </c>
      <c r="AS41" s="190">
        <v>66695061.439999998</v>
      </c>
      <c r="AT41" s="190">
        <v>78211061.239999995</v>
      </c>
      <c r="AU41" s="190">
        <v>78015455.640000001</v>
      </c>
      <c r="AV41" s="190">
        <v>78598247.010000005</v>
      </c>
      <c r="AW41" s="190">
        <v>70281536.150000006</v>
      </c>
      <c r="AX41" s="190">
        <v>54330317.359999999</v>
      </c>
      <c r="AY41" s="190">
        <v>47956229.450000003</v>
      </c>
      <c r="AZ41" s="190">
        <v>629546709.39999998</v>
      </c>
      <c r="BA41" s="190">
        <v>48856197.369999997</v>
      </c>
      <c r="BB41" s="190">
        <v>54872784.280000001</v>
      </c>
      <c r="BC41" s="190">
        <v>56095126.740000002</v>
      </c>
      <c r="BD41" s="190">
        <v>57749055.399999999</v>
      </c>
      <c r="BE41" s="190">
        <v>59341364.520000003</v>
      </c>
      <c r="BF41" s="190">
        <v>60279075.25</v>
      </c>
      <c r="BG41" s="190">
        <v>61448564.43</v>
      </c>
      <c r="BH41" s="190">
        <v>63663117.240000002</v>
      </c>
      <c r="BI41" s="190">
        <v>65679113.390000001</v>
      </c>
      <c r="BJ41" s="190">
        <v>44914132.539999999</v>
      </c>
      <c r="BK41" s="190">
        <v>47164482.600000001</v>
      </c>
      <c r="BL41" s="190">
        <v>49895913.460000001</v>
      </c>
      <c r="BM41" s="190">
        <v>50967898.100000001</v>
      </c>
      <c r="BN41" s="190">
        <v>54761896.590000004</v>
      </c>
      <c r="BO41" s="190">
        <v>56396883.130000003</v>
      </c>
      <c r="BP41" s="190">
        <v>57045954.109999999</v>
      </c>
      <c r="BQ41" s="190">
        <v>58523923.979999997</v>
      </c>
      <c r="BR41" s="190">
        <v>63630297.270000003</v>
      </c>
      <c r="BS41" s="190">
        <v>123915709.05</v>
      </c>
      <c r="BT41" s="190">
        <v>111228433.48999999</v>
      </c>
      <c r="BU41" s="190">
        <v>122353815.67</v>
      </c>
      <c r="BV41" s="190">
        <v>107247334.11</v>
      </c>
      <c r="BW41" s="190">
        <v>106178842.34999999</v>
      </c>
      <c r="BX41" s="190">
        <v>45918652.969999999</v>
      </c>
      <c r="BY41" s="190">
        <v>46268212.829999998</v>
      </c>
      <c r="BZ41" s="190">
        <v>34721871.579999998</v>
      </c>
      <c r="CA41" s="190">
        <v>36428720.799999997</v>
      </c>
      <c r="CB41" s="190">
        <v>49116651.219999999</v>
      </c>
      <c r="CC41" s="190">
        <v>53665154.409999996</v>
      </c>
      <c r="CD41" s="190">
        <v>0</v>
      </c>
    </row>
    <row r="42" spans="1:82" x14ac:dyDescent="0.25">
      <c r="A42" s="190" t="s">
        <v>146</v>
      </c>
      <c r="B42" s="190">
        <v>13429176794.370001</v>
      </c>
      <c r="C42" s="190">
        <v>13417375872.440001</v>
      </c>
      <c r="D42" s="190">
        <v>13039306311.91</v>
      </c>
      <c r="E42" s="190">
        <v>13069907457.309999</v>
      </c>
      <c r="F42" s="190">
        <v>14422891317.219999</v>
      </c>
      <c r="G42" s="190">
        <v>12542142814.290001</v>
      </c>
      <c r="H42" s="190">
        <v>12324343341.620001</v>
      </c>
      <c r="I42" s="190">
        <v>13862016776.469999</v>
      </c>
      <c r="J42" s="190">
        <v>14298540287.690001</v>
      </c>
      <c r="K42" s="190">
        <v>15547369285.83</v>
      </c>
      <c r="L42" s="190">
        <v>13168820088.68</v>
      </c>
      <c r="M42" s="190">
        <v>13476580504.139999</v>
      </c>
      <c r="N42" s="190">
        <v>13088473155.5</v>
      </c>
      <c r="O42" s="190">
        <v>12745927727.879999</v>
      </c>
      <c r="P42" s="190">
        <v>11632932812.049999</v>
      </c>
      <c r="Q42" s="190">
        <v>11518221849.540001</v>
      </c>
      <c r="R42" s="190">
        <v>9398462056.4200001</v>
      </c>
      <c r="S42" s="190">
        <v>9140997951.25</v>
      </c>
      <c r="T42" s="190">
        <v>9270444418.0599995</v>
      </c>
      <c r="U42" s="190">
        <v>8076093413.7799997</v>
      </c>
      <c r="V42" s="190">
        <v>7028534139.6999998</v>
      </c>
      <c r="W42" s="190">
        <v>6232444729.4200001</v>
      </c>
      <c r="X42" s="190">
        <v>5303058578.29</v>
      </c>
      <c r="Y42" s="190">
        <v>5217160690.1999998</v>
      </c>
      <c r="Z42" s="190">
        <v>5462786791.79</v>
      </c>
      <c r="AA42" s="190">
        <v>4886186055.8599997</v>
      </c>
      <c r="AB42" s="190">
        <v>4656630518.8699999</v>
      </c>
      <c r="AC42" s="190">
        <v>4769120913.0299997</v>
      </c>
      <c r="AD42" s="190">
        <v>171255166.34999999</v>
      </c>
      <c r="AE42" s="190">
        <v>168730381.88</v>
      </c>
      <c r="AF42" s="190">
        <v>170285471.59</v>
      </c>
      <c r="AG42" s="190">
        <v>170847695.99000001</v>
      </c>
      <c r="AH42" s="190">
        <v>163083749.47</v>
      </c>
      <c r="AI42" s="190">
        <v>182443215.30000001</v>
      </c>
      <c r="AJ42" s="190">
        <v>185229059.12</v>
      </c>
      <c r="AK42" s="190">
        <v>185614361.66</v>
      </c>
      <c r="AL42" s="190">
        <v>191776824.40000001</v>
      </c>
      <c r="AM42" s="190">
        <v>196766772.13</v>
      </c>
      <c r="AN42" s="190">
        <v>197877408.11000001</v>
      </c>
      <c r="AO42" s="190">
        <v>197990014.28</v>
      </c>
      <c r="AP42" s="190">
        <v>212062511.13999999</v>
      </c>
      <c r="AQ42" s="190">
        <v>236271073.58000001</v>
      </c>
      <c r="AR42" s="190">
        <v>252224231.37</v>
      </c>
      <c r="AS42" s="190">
        <v>268878686.88999999</v>
      </c>
      <c r="AT42" s="190">
        <v>259929780.72999999</v>
      </c>
      <c r="AU42" s="190">
        <v>271375138.19999999</v>
      </c>
      <c r="AV42" s="190">
        <v>250712281.56</v>
      </c>
      <c r="AW42" s="190">
        <v>256395004.06999999</v>
      </c>
      <c r="AX42" s="190">
        <v>627721906.94000006</v>
      </c>
      <c r="AY42" s="190">
        <v>627598257.03999996</v>
      </c>
      <c r="AZ42" s="190">
        <v>629546709.39999998</v>
      </c>
      <c r="BA42" s="190">
        <v>644327805.85000002</v>
      </c>
      <c r="BB42" s="190">
        <v>973401729.49000001</v>
      </c>
      <c r="BC42" s="190">
        <v>1006483440.86</v>
      </c>
      <c r="BD42" s="190">
        <v>1080974373.54</v>
      </c>
      <c r="BE42" s="190">
        <v>1166611059.3800001</v>
      </c>
      <c r="BF42" s="190">
        <v>1286428876.3299999</v>
      </c>
      <c r="BG42" s="190">
        <v>1103434833.47</v>
      </c>
      <c r="BH42" s="190">
        <v>913230620.90999997</v>
      </c>
      <c r="BI42" s="190">
        <v>1082112878.8699999</v>
      </c>
      <c r="BJ42" s="190">
        <v>1067987268.62</v>
      </c>
      <c r="BK42" s="190">
        <v>1045558658.4400001</v>
      </c>
      <c r="BL42" s="190">
        <v>1018663209.0599999</v>
      </c>
      <c r="BM42" s="190">
        <v>971184663.80999994</v>
      </c>
      <c r="BN42" s="190">
        <v>955741023.47000003</v>
      </c>
      <c r="BO42" s="190">
        <v>951730628.91999996</v>
      </c>
      <c r="BP42" s="190">
        <v>945755771.85000002</v>
      </c>
      <c r="BQ42" s="190">
        <v>875275610.29999995</v>
      </c>
      <c r="BR42" s="190">
        <v>626238531.44000006</v>
      </c>
      <c r="BS42" s="190">
        <v>462225736.06</v>
      </c>
      <c r="BT42" s="190">
        <v>407286739.63</v>
      </c>
      <c r="BU42" s="190">
        <v>329100738.12</v>
      </c>
      <c r="BV42" s="190">
        <v>244693134.38</v>
      </c>
      <c r="BW42" s="190">
        <v>207625811.03</v>
      </c>
      <c r="BX42" s="190">
        <v>193565455.81</v>
      </c>
      <c r="BY42" s="190">
        <v>188433423.44</v>
      </c>
      <c r="BZ42" s="190">
        <v>96056552.950000003</v>
      </c>
      <c r="CA42" s="190">
        <v>90557587.790000007</v>
      </c>
      <c r="CB42" s="190">
        <v>118721496.45</v>
      </c>
      <c r="CC42" s="190">
        <v>105779172.40000001</v>
      </c>
      <c r="CD42" s="190">
        <v>0</v>
      </c>
    </row>
    <row r="43" spans="1:82" x14ac:dyDescent="0.25">
      <c r="A43" s="190" t="s">
        <v>147</v>
      </c>
    </row>
    <row r="44" spans="1:82" x14ac:dyDescent="0.25">
      <c r="A44" s="190" t="s">
        <v>148</v>
      </c>
      <c r="B44" s="190">
        <v>0</v>
      </c>
      <c r="C44" s="190">
        <v>0</v>
      </c>
      <c r="D44" s="190">
        <v>0</v>
      </c>
      <c r="E44" s="190">
        <v>0</v>
      </c>
      <c r="F44" s="190">
        <v>0</v>
      </c>
      <c r="G44" s="190">
        <v>0</v>
      </c>
      <c r="H44" s="190">
        <v>0</v>
      </c>
      <c r="I44" s="190">
        <v>0</v>
      </c>
      <c r="J44" s="190">
        <v>0</v>
      </c>
      <c r="K44" s="190">
        <v>0</v>
      </c>
      <c r="L44" s="190">
        <v>100000000</v>
      </c>
      <c r="M44" s="190">
        <v>100000000</v>
      </c>
      <c r="N44" s="190">
        <v>100000000</v>
      </c>
      <c r="O44" s="190">
        <v>360000000</v>
      </c>
      <c r="P44" s="190">
        <v>360000000</v>
      </c>
      <c r="Q44" s="190">
        <v>365800000</v>
      </c>
      <c r="R44" s="190">
        <v>0</v>
      </c>
      <c r="S44" s="190">
        <v>0</v>
      </c>
      <c r="T44" s="190">
        <v>0</v>
      </c>
      <c r="U44" s="190">
        <v>0</v>
      </c>
      <c r="V44" s="190">
        <v>11100000</v>
      </c>
      <c r="W44" s="190">
        <v>15000000</v>
      </c>
      <c r="X44" s="190">
        <v>15000000</v>
      </c>
      <c r="Y44" s="190">
        <v>12200000</v>
      </c>
      <c r="Z44" s="190">
        <v>3900000</v>
      </c>
      <c r="AA44" s="190">
        <v>9470000</v>
      </c>
      <c r="AB44" s="190">
        <v>19000000</v>
      </c>
      <c r="AC44" s="190">
        <v>19000000</v>
      </c>
      <c r="AD44" s="190">
        <v>597576275.12</v>
      </c>
      <c r="AE44" s="190">
        <v>597576275.12</v>
      </c>
      <c r="AF44" s="190">
        <v>597576275.12</v>
      </c>
      <c r="AG44" s="190">
        <v>597576275.12</v>
      </c>
      <c r="AH44" s="190">
        <v>597576275.12</v>
      </c>
      <c r="AI44" s="190">
        <v>617163623.49000001</v>
      </c>
      <c r="AJ44" s="190">
        <v>617163623.49000001</v>
      </c>
      <c r="AK44" s="190">
        <v>617163623.49000001</v>
      </c>
      <c r="AL44" s="190">
        <v>617163623.49000001</v>
      </c>
      <c r="AM44" s="190">
        <v>617163623.49000001</v>
      </c>
      <c r="AN44" s="190">
        <v>617163623.49000001</v>
      </c>
      <c r="AO44" s="190">
        <v>617163623.49000001</v>
      </c>
      <c r="AP44" s="190">
        <v>617170000.13999999</v>
      </c>
      <c r="AQ44" s="190">
        <v>617170000.13999999</v>
      </c>
      <c r="AR44" s="190">
        <v>621170000.13999999</v>
      </c>
      <c r="AS44" s="190">
        <v>654018991.17999995</v>
      </c>
      <c r="AT44" s="190">
        <v>657018991.17999995</v>
      </c>
      <c r="AU44" s="190">
        <v>657018991.17999995</v>
      </c>
      <c r="AV44" s="190">
        <v>657018991.17999995</v>
      </c>
      <c r="AW44" s="190">
        <v>661019060.19000006</v>
      </c>
      <c r="AX44" s="190">
        <v>673178551.63</v>
      </c>
      <c r="AY44" s="190">
        <v>673178551.63</v>
      </c>
      <c r="AZ44" s="190">
        <v>0</v>
      </c>
      <c r="BA44" s="190">
        <v>673578551.63</v>
      </c>
      <c r="BB44" s="190">
        <v>426102066.17000002</v>
      </c>
      <c r="BC44" s="190">
        <v>426202066.17000002</v>
      </c>
      <c r="BD44" s="190">
        <v>428569933.24000001</v>
      </c>
      <c r="BE44" s="190">
        <v>454455698.52999997</v>
      </c>
      <c r="BF44" s="190">
        <v>303913984.10000002</v>
      </c>
      <c r="BG44" s="190">
        <v>303915753</v>
      </c>
      <c r="BH44" s="190">
        <v>284000000</v>
      </c>
      <c r="BI44" s="190">
        <v>243680000</v>
      </c>
      <c r="BJ44" s="190">
        <v>492180000</v>
      </c>
      <c r="BK44" s="190">
        <v>437180000</v>
      </c>
      <c r="BL44" s="190">
        <v>429540000</v>
      </c>
      <c r="BM44" s="190">
        <v>253000000</v>
      </c>
      <c r="BN44" s="190">
        <v>346000000</v>
      </c>
      <c r="BO44" s="190">
        <v>444500000</v>
      </c>
      <c r="BP44" s="190">
        <v>369500000</v>
      </c>
      <c r="BQ44" s="190">
        <v>193000000</v>
      </c>
      <c r="BR44" s="190">
        <v>92000000</v>
      </c>
      <c r="BS44" s="190">
        <v>80000000</v>
      </c>
      <c r="BT44" s="190">
        <v>85000000</v>
      </c>
      <c r="BU44" s="190">
        <v>48000000</v>
      </c>
      <c r="BV44" s="190">
        <v>43600000</v>
      </c>
      <c r="BW44" s="190">
        <v>40600000</v>
      </c>
      <c r="BX44" s="190">
        <v>40600000</v>
      </c>
      <c r="BY44" s="190">
        <v>33000000</v>
      </c>
      <c r="BZ44" s="190">
        <v>24170000</v>
      </c>
      <c r="CA44" s="190">
        <v>24170000</v>
      </c>
      <c r="CB44" s="190">
        <v>26170000</v>
      </c>
      <c r="CC44" s="190">
        <v>22470000</v>
      </c>
      <c r="CD44" s="190">
        <v>0</v>
      </c>
    </row>
    <row r="45" spans="1:8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row>
    <row r="46" spans="1:82" x14ac:dyDescent="0.25">
      <c r="A46" s="190" t="s">
        <v>150</v>
      </c>
      <c r="B46" s="190">
        <v>0</v>
      </c>
      <c r="C46" s="190">
        <v>13146867.470000001</v>
      </c>
      <c r="D46" s="190">
        <v>5808846.0700000003</v>
      </c>
      <c r="E46" s="190">
        <v>7258695</v>
      </c>
      <c r="F46" s="190">
        <v>14879515.24</v>
      </c>
      <c r="G46" s="190">
        <v>15657853.359999999</v>
      </c>
      <c r="H46" s="190">
        <v>6555800.8200000003</v>
      </c>
      <c r="I46" s="190">
        <v>1523436.5</v>
      </c>
      <c r="J46" s="190">
        <v>4490664.55</v>
      </c>
      <c r="K46" s="190">
        <v>15735362.050000001</v>
      </c>
      <c r="L46" s="190">
        <v>21580489.32</v>
      </c>
      <c r="M46" s="190">
        <v>10223610.699999999</v>
      </c>
      <c r="N46" s="190">
        <v>3715330.7</v>
      </c>
      <c r="O46" s="190">
        <v>7299982.4400000004</v>
      </c>
      <c r="P46" s="190">
        <v>10349040.08</v>
      </c>
      <c r="Q46" s="190">
        <v>11102179.5</v>
      </c>
      <c r="R46" s="190">
        <v>16614248</v>
      </c>
      <c r="S46" s="190">
        <v>24129807.059999999</v>
      </c>
      <c r="T46" s="190">
        <v>25035532.359999999</v>
      </c>
      <c r="U46" s="190">
        <v>19623061.800000001</v>
      </c>
      <c r="V46" s="190">
        <v>7836251.25</v>
      </c>
      <c r="W46" s="190">
        <v>623124.71</v>
      </c>
      <c r="X46" s="190">
        <v>976436.46</v>
      </c>
      <c r="Y46" s="190">
        <v>2369165.2400000002</v>
      </c>
      <c r="Z46" s="190">
        <v>3666537.04</v>
      </c>
      <c r="AA46" s="190">
        <v>3900311.74</v>
      </c>
      <c r="AB46" s="190">
        <v>7768298.2999999998</v>
      </c>
      <c r="AC46" s="190">
        <v>12964909.449999999</v>
      </c>
      <c r="AD46" s="190">
        <v>80461335.450000003</v>
      </c>
      <c r="AE46" s="190">
        <v>80461335.450000003</v>
      </c>
      <c r="AF46" s="190">
        <v>80461335.450000003</v>
      </c>
      <c r="AG46" s="190">
        <v>80461335.450000003</v>
      </c>
      <c r="AH46" s="190">
        <v>80461335.450000003</v>
      </c>
      <c r="AI46" s="190">
        <v>80461335.450000003</v>
      </c>
      <c r="AJ46" s="190">
        <v>80461335.450000003</v>
      </c>
      <c r="AK46" s="190">
        <v>80461335.450000003</v>
      </c>
      <c r="AL46" s="190">
        <v>80461335.450000003</v>
      </c>
      <c r="AM46" s="190">
        <v>80461335.450000003</v>
      </c>
      <c r="AN46" s="190">
        <v>80461335.450000003</v>
      </c>
      <c r="AO46" s="190">
        <v>80461335.450000003</v>
      </c>
      <c r="AP46" s="190">
        <v>85461335.450000003</v>
      </c>
      <c r="AQ46" s="190">
        <v>85461335.450000003</v>
      </c>
      <c r="AR46" s="190">
        <v>85461335.450000003</v>
      </c>
      <c r="AS46" s="190">
        <v>85461335.450000003</v>
      </c>
      <c r="AT46" s="190">
        <v>85461335.450000003</v>
      </c>
      <c r="AU46" s="190">
        <v>85461335.450000003</v>
      </c>
      <c r="AV46" s="190">
        <v>85461335.450000003</v>
      </c>
      <c r="AW46" s="190">
        <v>85461335.450000003</v>
      </c>
      <c r="AX46" s="190">
        <v>85461335.450000003</v>
      </c>
      <c r="AY46" s="190">
        <v>85461335.450000003</v>
      </c>
      <c r="AZ46" s="190">
        <v>0</v>
      </c>
      <c r="BA46" s="190">
        <v>85611335.450000003</v>
      </c>
      <c r="BB46" s="190">
        <v>334374045.69999999</v>
      </c>
      <c r="BC46" s="190">
        <v>334574045.69999999</v>
      </c>
      <c r="BD46" s="190">
        <v>339924045.69999999</v>
      </c>
      <c r="BE46" s="190">
        <v>397612710.25</v>
      </c>
      <c r="BF46" s="190">
        <v>446405361.88</v>
      </c>
      <c r="BG46" s="190">
        <v>309579659.25999999</v>
      </c>
      <c r="BH46" s="190">
        <v>202078213.00999999</v>
      </c>
      <c r="BI46" s="190">
        <v>363959350.75999999</v>
      </c>
      <c r="BJ46" s="190">
        <v>179945508</v>
      </c>
      <c r="BK46" s="190">
        <v>217603156.22</v>
      </c>
      <c r="BL46" s="190">
        <v>147117153.13</v>
      </c>
      <c r="BM46" s="190">
        <v>269459775.64999998</v>
      </c>
      <c r="BN46" s="190">
        <v>261671509.5</v>
      </c>
      <c r="BO46" s="190">
        <v>151081989.24000001</v>
      </c>
      <c r="BP46" s="190">
        <v>225396335.74000001</v>
      </c>
      <c r="BQ46" s="190">
        <v>207818190</v>
      </c>
      <c r="BR46" s="190">
        <v>125000000</v>
      </c>
      <c r="BS46" s="190">
        <v>0</v>
      </c>
      <c r="BT46" s="190">
        <v>0</v>
      </c>
      <c r="BU46" s="190">
        <v>0</v>
      </c>
      <c r="BV46" s="190">
        <v>0</v>
      </c>
      <c r="BW46" s="190">
        <v>0</v>
      </c>
      <c r="BX46" s="190">
        <v>0</v>
      </c>
      <c r="BY46" s="190">
        <v>0</v>
      </c>
      <c r="BZ46" s="190">
        <v>300000</v>
      </c>
      <c r="CA46" s="190">
        <v>300000</v>
      </c>
      <c r="CB46" s="190">
        <v>0</v>
      </c>
      <c r="CC46" s="190">
        <v>0</v>
      </c>
      <c r="CD46" s="190">
        <v>0</v>
      </c>
    </row>
    <row r="47" spans="1:82" x14ac:dyDescent="0.25">
      <c r="A47" s="190" t="s">
        <v>151</v>
      </c>
      <c r="B47" s="190">
        <v>0</v>
      </c>
      <c r="C47" s="190">
        <v>311707260.47000003</v>
      </c>
      <c r="D47" s="190">
        <v>367737803.29000002</v>
      </c>
      <c r="E47" s="190">
        <v>368658787.86000001</v>
      </c>
      <c r="F47" s="190">
        <v>454146536.14999998</v>
      </c>
      <c r="G47" s="190">
        <v>305564976.41000003</v>
      </c>
      <c r="H47" s="190">
        <v>273873896.11000001</v>
      </c>
      <c r="I47" s="190">
        <v>668362387.90999997</v>
      </c>
      <c r="J47" s="190">
        <v>404959216.97000003</v>
      </c>
      <c r="K47" s="190">
        <v>471558418.77999997</v>
      </c>
      <c r="L47" s="190">
        <v>409195235.02999997</v>
      </c>
      <c r="M47" s="190">
        <v>372388002.69999999</v>
      </c>
      <c r="N47" s="190">
        <v>365694342.20999998</v>
      </c>
      <c r="O47" s="190">
        <v>374406468.74000001</v>
      </c>
      <c r="P47" s="190">
        <v>317935644.92000002</v>
      </c>
      <c r="Q47" s="190">
        <v>362362285.79000002</v>
      </c>
      <c r="R47" s="190">
        <v>300023690.11000001</v>
      </c>
      <c r="S47" s="190">
        <v>321836059.02999997</v>
      </c>
      <c r="T47" s="190">
        <v>360807515.75</v>
      </c>
      <c r="U47" s="190">
        <v>463902118.83999997</v>
      </c>
      <c r="V47" s="190">
        <v>355644761.5</v>
      </c>
      <c r="W47" s="190">
        <v>255269704.78999999</v>
      </c>
      <c r="X47" s="190">
        <v>179774651.53</v>
      </c>
      <c r="Y47" s="190">
        <v>344073685.20999998</v>
      </c>
      <c r="Z47" s="190">
        <v>157974512.22</v>
      </c>
      <c r="AA47" s="190">
        <v>133907092.88</v>
      </c>
      <c r="AB47" s="190">
        <v>123320645.87</v>
      </c>
      <c r="AC47" s="190">
        <v>221298782.43000001</v>
      </c>
      <c r="AD47" s="190">
        <v>82437626.5</v>
      </c>
      <c r="AE47" s="190">
        <v>80315971.5</v>
      </c>
      <c r="AF47" s="190">
        <v>80109691.5</v>
      </c>
      <c r="AG47" s="190">
        <v>79448491.5</v>
      </c>
      <c r="AH47" s="190">
        <v>79292941.409999996</v>
      </c>
      <c r="AI47" s="190">
        <v>78834594.409999996</v>
      </c>
      <c r="AJ47" s="190">
        <v>78260742.409999996</v>
      </c>
      <c r="AK47" s="190">
        <v>78198739.5</v>
      </c>
      <c r="AL47" s="190">
        <v>77443942.280000001</v>
      </c>
      <c r="AM47" s="190">
        <v>77399502.140000001</v>
      </c>
      <c r="AN47" s="190">
        <v>77109235.230000004</v>
      </c>
      <c r="AO47" s="190">
        <v>77026235.280000001</v>
      </c>
      <c r="AP47" s="190">
        <v>76976646.650000006</v>
      </c>
      <c r="AQ47" s="190">
        <v>83653935.790000007</v>
      </c>
      <c r="AR47" s="190">
        <v>90643218.829999998</v>
      </c>
      <c r="AS47" s="190">
        <v>96676190.079999998</v>
      </c>
      <c r="AT47" s="190">
        <v>100632770.78</v>
      </c>
      <c r="AU47" s="190">
        <v>102474702.16</v>
      </c>
      <c r="AV47" s="190">
        <v>93232517.069999993</v>
      </c>
      <c r="AW47" s="190">
        <v>89718925.650000006</v>
      </c>
      <c r="AX47" s="190">
        <v>95392331.579999998</v>
      </c>
      <c r="AY47" s="190">
        <v>86243780.170000002</v>
      </c>
      <c r="AZ47" s="190">
        <v>0</v>
      </c>
      <c r="BA47" s="190">
        <v>85914994.849999994</v>
      </c>
      <c r="BB47" s="190">
        <v>64480718.5</v>
      </c>
      <c r="BC47" s="190">
        <v>93620949.180000007</v>
      </c>
      <c r="BD47" s="190">
        <v>123710743.90000001</v>
      </c>
      <c r="BE47" s="190">
        <v>112170406.73999999</v>
      </c>
      <c r="BF47" s="190">
        <v>169514107.97</v>
      </c>
      <c r="BG47" s="190">
        <v>76534540.469999999</v>
      </c>
      <c r="BH47" s="190">
        <v>75437990.5</v>
      </c>
      <c r="BI47" s="190">
        <v>122350422.97</v>
      </c>
      <c r="BJ47" s="190">
        <v>38391114.990000002</v>
      </c>
      <c r="BK47" s="190">
        <v>36676993.289999999</v>
      </c>
      <c r="BL47" s="190">
        <v>75705294.390000001</v>
      </c>
      <c r="BM47" s="190">
        <v>88028811.849999994</v>
      </c>
      <c r="BN47" s="190">
        <v>24390492.82</v>
      </c>
      <c r="BO47" s="190">
        <v>32893640.23</v>
      </c>
      <c r="BP47" s="190">
        <v>29924394.559999999</v>
      </c>
      <c r="BQ47" s="190">
        <v>159146478.19</v>
      </c>
      <c r="BR47" s="190">
        <v>90902714.200000003</v>
      </c>
      <c r="BS47" s="190">
        <v>8142083.9000000004</v>
      </c>
      <c r="BT47" s="190">
        <v>10091136.699999999</v>
      </c>
      <c r="BU47" s="190">
        <v>4744387.8600000003</v>
      </c>
      <c r="BV47" s="190">
        <v>7248163.0899999999</v>
      </c>
      <c r="BW47" s="190">
        <v>4426893.71</v>
      </c>
      <c r="BX47" s="190">
        <v>3760297.17</v>
      </c>
      <c r="BY47" s="190">
        <v>5144338.5</v>
      </c>
      <c r="BZ47" s="190">
        <v>4652527.22</v>
      </c>
      <c r="CA47" s="190">
        <v>2875589.84</v>
      </c>
      <c r="CB47" s="190">
        <v>7067813.8200000003</v>
      </c>
      <c r="CC47" s="190">
        <v>5798063.1799999997</v>
      </c>
      <c r="CD47" s="190">
        <v>0</v>
      </c>
    </row>
    <row r="48" spans="1:82" x14ac:dyDescent="0.25">
      <c r="A48" s="190" t="s">
        <v>152</v>
      </c>
      <c r="B48" s="190">
        <v>1207635538.6500001</v>
      </c>
      <c r="C48" s="190">
        <v>916133548.65999997</v>
      </c>
      <c r="D48" s="190">
        <v>208332762.69</v>
      </c>
      <c r="E48" s="190">
        <v>141011089.65000001</v>
      </c>
      <c r="F48" s="190">
        <v>1063475822.39</v>
      </c>
      <c r="G48" s="190">
        <v>820693455.99000001</v>
      </c>
      <c r="H48" s="190">
        <v>601684567.52999997</v>
      </c>
      <c r="I48" s="190">
        <v>1166711999.97</v>
      </c>
      <c r="J48" s="190">
        <v>2461415734.9000001</v>
      </c>
      <c r="K48" s="190">
        <v>2298841415.7199998</v>
      </c>
      <c r="L48" s="190">
        <v>2750412975.4299998</v>
      </c>
      <c r="M48" s="190">
        <v>4447971848.1999998</v>
      </c>
      <c r="N48" s="190">
        <v>3421117210.0900002</v>
      </c>
      <c r="O48" s="190">
        <v>2570108443.04</v>
      </c>
      <c r="P48" s="190">
        <v>1919419456.3699999</v>
      </c>
      <c r="Q48" s="190">
        <v>1658634721.05</v>
      </c>
      <c r="R48" s="190">
        <v>1717061318.6300001</v>
      </c>
      <c r="S48" s="190">
        <v>1596762468.6500001</v>
      </c>
      <c r="T48" s="190">
        <v>1376926935.3800001</v>
      </c>
      <c r="U48" s="190">
        <v>1133727530.73</v>
      </c>
      <c r="V48" s="190">
        <v>2705498923.4899998</v>
      </c>
      <c r="W48" s="190">
        <v>2315728572.2800002</v>
      </c>
      <c r="X48" s="190">
        <v>1758184738.1900001</v>
      </c>
      <c r="Y48" s="190">
        <v>1343484034.49</v>
      </c>
      <c r="Z48" s="190">
        <v>2217972178.1500001</v>
      </c>
      <c r="AA48" s="190">
        <v>2052824174.8399999</v>
      </c>
      <c r="AB48" s="190">
        <v>1727555902.45</v>
      </c>
      <c r="AC48" s="190">
        <v>1640850259.8199999</v>
      </c>
      <c r="AD48" s="190">
        <v>4515662.0999999996</v>
      </c>
      <c r="AE48" s="190">
        <v>4515662.0999999996</v>
      </c>
      <c r="AF48" s="190">
        <v>4515662.0999999996</v>
      </c>
      <c r="AG48" s="190">
        <v>4515662.0999999996</v>
      </c>
      <c r="AH48" s="190">
        <v>4515662.0999999996</v>
      </c>
      <c r="AI48" s="190">
        <v>4515662.0999999996</v>
      </c>
      <c r="AJ48" s="190">
        <v>4515662.0999999996</v>
      </c>
      <c r="AK48" s="190">
        <v>4515662.0999999996</v>
      </c>
      <c r="AL48" s="190">
        <v>4515666.51</v>
      </c>
      <c r="AM48" s="190">
        <v>4535552.1900000004</v>
      </c>
      <c r="AN48" s="190">
        <v>4535552.16</v>
      </c>
      <c r="AO48" s="190">
        <v>4535552.16</v>
      </c>
      <c r="AP48" s="190">
        <v>4087990.47</v>
      </c>
      <c r="AQ48" s="190">
        <v>19384614.34</v>
      </c>
      <c r="AR48" s="190">
        <v>12035485.66</v>
      </c>
      <c r="AS48" s="190">
        <v>10177474.779999999</v>
      </c>
      <c r="AT48" s="190">
        <v>16133138.630000001</v>
      </c>
      <c r="AU48" s="190">
        <v>16057286.050000001</v>
      </c>
      <c r="AV48" s="190">
        <v>17022219.329999998</v>
      </c>
      <c r="AW48" s="190">
        <v>12657215.560000001</v>
      </c>
      <c r="AX48" s="190">
        <v>7024289.21</v>
      </c>
      <c r="AY48" s="190">
        <v>5792877.5599999996</v>
      </c>
      <c r="AZ48" s="190">
        <v>0</v>
      </c>
      <c r="BA48" s="190">
        <v>5469408.1299999999</v>
      </c>
      <c r="BB48" s="190">
        <v>4357150.68</v>
      </c>
      <c r="BC48" s="190">
        <v>7804244.3300000001</v>
      </c>
      <c r="BD48" s="190">
        <v>14386177.18</v>
      </c>
      <c r="BE48" s="190">
        <v>18761848.359999999</v>
      </c>
      <c r="BF48" s="190">
        <v>20083440.379999999</v>
      </c>
      <c r="BG48" s="190">
        <v>73537172.290000007</v>
      </c>
      <c r="BH48" s="190">
        <v>637137.55000000005</v>
      </c>
      <c r="BI48" s="190">
        <v>5929619.8700000001</v>
      </c>
      <c r="BJ48" s="190">
        <v>7068076.4000000004</v>
      </c>
      <c r="BK48" s="190">
        <v>9325700.4000000004</v>
      </c>
      <c r="BL48" s="190">
        <v>6893416.4000000004</v>
      </c>
      <c r="BM48" s="190">
        <v>12641969.960000001</v>
      </c>
      <c r="BN48" s="190">
        <v>168418.4</v>
      </c>
      <c r="BO48" s="190">
        <v>146418.4</v>
      </c>
      <c r="BP48" s="190">
        <v>3236409.5</v>
      </c>
      <c r="BQ48" s="190">
        <v>1528009.5</v>
      </c>
      <c r="BR48" s="190">
        <v>984644.49</v>
      </c>
      <c r="BS48" s="190">
        <v>19240043.780000001</v>
      </c>
      <c r="BT48" s="190">
        <v>7019392.8399999999</v>
      </c>
      <c r="BU48" s="190">
        <v>4145298.46</v>
      </c>
      <c r="BV48" s="190">
        <v>967960.29</v>
      </c>
      <c r="BW48" s="190">
        <v>3079675.64</v>
      </c>
      <c r="BX48" s="190">
        <v>530765</v>
      </c>
      <c r="BY48" s="190">
        <v>2489125.52</v>
      </c>
      <c r="BZ48" s="190">
        <v>4245209.37</v>
      </c>
      <c r="CA48" s="190">
        <v>3656757.59</v>
      </c>
      <c r="CB48" s="190">
        <v>5488865.8899999997</v>
      </c>
      <c r="CC48" s="190">
        <v>5388075.0800000001</v>
      </c>
      <c r="CD48" s="190">
        <v>0</v>
      </c>
    </row>
    <row r="49" spans="1:8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0</v>
      </c>
      <c r="CC49" s="190">
        <v>0</v>
      </c>
      <c r="CD49" s="190">
        <v>0</v>
      </c>
    </row>
    <row r="50" spans="1:82" x14ac:dyDescent="0.25">
      <c r="A50" s="190" t="s">
        <v>154</v>
      </c>
      <c r="B50" s="190">
        <v>7322842.5099999998</v>
      </c>
      <c r="C50" s="190">
        <v>162737.68</v>
      </c>
      <c r="D50" s="190">
        <v>379534.41</v>
      </c>
      <c r="E50" s="190">
        <v>545244.34</v>
      </c>
      <c r="F50" s="190">
        <v>121393.74</v>
      </c>
      <c r="G50" s="190">
        <v>391788.2</v>
      </c>
      <c r="H50" s="190">
        <v>589150.14</v>
      </c>
      <c r="I50" s="190">
        <v>1052739.3500000001</v>
      </c>
      <c r="J50" s="190">
        <v>431459.76</v>
      </c>
      <c r="K50" s="190">
        <v>930531.49</v>
      </c>
      <c r="L50" s="190">
        <v>131311.87</v>
      </c>
      <c r="M50" s="190">
        <v>354067.03</v>
      </c>
      <c r="N50" s="190">
        <v>396871.22</v>
      </c>
      <c r="O50" s="190">
        <v>519916.4</v>
      </c>
      <c r="P50" s="190">
        <v>345215.42</v>
      </c>
      <c r="Q50" s="190">
        <v>430664.05</v>
      </c>
      <c r="R50" s="190">
        <v>425001.11</v>
      </c>
      <c r="S50" s="190">
        <v>463719.66</v>
      </c>
      <c r="T50" s="190">
        <v>400290.53</v>
      </c>
      <c r="U50" s="190">
        <v>316172.46999999997</v>
      </c>
      <c r="V50" s="190">
        <v>342270.06</v>
      </c>
      <c r="W50" s="190">
        <v>346198.6</v>
      </c>
      <c r="X50" s="190">
        <v>122477.75999999999</v>
      </c>
      <c r="Y50" s="190">
        <v>366194.86</v>
      </c>
      <c r="Z50" s="190">
        <v>433657.65</v>
      </c>
      <c r="AA50" s="190">
        <v>286050.63</v>
      </c>
      <c r="AB50" s="190">
        <v>144670.23000000001</v>
      </c>
      <c r="AC50" s="190">
        <v>198664.67</v>
      </c>
      <c r="AD50" s="190">
        <v>2484903.4</v>
      </c>
      <c r="AE50" s="190">
        <v>2349850.38</v>
      </c>
      <c r="AF50" s="190">
        <v>2150048.79</v>
      </c>
      <c r="AG50" s="190">
        <v>2412640.2599999998</v>
      </c>
      <c r="AH50" s="190">
        <v>3058125.01</v>
      </c>
      <c r="AI50" s="190">
        <v>2674259.0699999998</v>
      </c>
      <c r="AJ50" s="190">
        <v>2946059.32</v>
      </c>
      <c r="AK50" s="190">
        <v>2724121.36</v>
      </c>
      <c r="AL50" s="190">
        <v>2467261.65</v>
      </c>
      <c r="AM50" s="190">
        <v>2222979.13</v>
      </c>
      <c r="AN50" s="190">
        <v>2356493.36</v>
      </c>
      <c r="AO50" s="190">
        <v>2352445.36</v>
      </c>
      <c r="AP50" s="190">
        <v>2290208.42</v>
      </c>
      <c r="AQ50" s="190">
        <v>2501884.09</v>
      </c>
      <c r="AR50" s="190">
        <v>2430422.4300000002</v>
      </c>
      <c r="AS50" s="190">
        <v>2181209.9</v>
      </c>
      <c r="AT50" s="190">
        <v>9349823.0399999991</v>
      </c>
      <c r="AU50" s="190">
        <v>9121036.6600000001</v>
      </c>
      <c r="AV50" s="190">
        <v>8747347.7300000004</v>
      </c>
      <c r="AW50" s="190">
        <v>7824075.8099999996</v>
      </c>
      <c r="AX50" s="190">
        <v>5970941.2699999996</v>
      </c>
      <c r="AY50" s="190">
        <v>5707130.6699999999</v>
      </c>
      <c r="AZ50" s="190">
        <v>0</v>
      </c>
      <c r="BA50" s="190">
        <v>5009495.3499999996</v>
      </c>
      <c r="BB50" s="190">
        <v>4969584.0199999996</v>
      </c>
      <c r="BC50" s="190">
        <v>4799601.95</v>
      </c>
      <c r="BD50" s="190">
        <v>4482734.53</v>
      </c>
      <c r="BE50" s="190">
        <v>4247750.84</v>
      </c>
      <c r="BF50" s="190">
        <v>3767559.02</v>
      </c>
      <c r="BG50" s="190">
        <v>3532300.47</v>
      </c>
      <c r="BH50" s="190">
        <v>3445437.18</v>
      </c>
      <c r="BI50" s="190">
        <v>3143382.67</v>
      </c>
      <c r="BJ50" s="190">
        <v>3142587.25</v>
      </c>
      <c r="BK50" s="190">
        <v>2738001.31</v>
      </c>
      <c r="BL50" s="190">
        <v>2306002.09</v>
      </c>
      <c r="BM50" s="190">
        <v>2155835.34</v>
      </c>
      <c r="BN50" s="190">
        <v>1801919.37</v>
      </c>
      <c r="BO50" s="190">
        <v>1541897.76</v>
      </c>
      <c r="BP50" s="190">
        <v>1286353.22</v>
      </c>
      <c r="BQ50" s="190">
        <v>1074455.03</v>
      </c>
      <c r="BR50" s="190">
        <v>903448.4</v>
      </c>
      <c r="BS50" s="190">
        <v>1579279.14</v>
      </c>
      <c r="BT50" s="190">
        <v>1348782.37</v>
      </c>
      <c r="BU50" s="190">
        <v>926659.74</v>
      </c>
      <c r="BV50" s="190">
        <v>815695.92</v>
      </c>
      <c r="BW50" s="190">
        <v>456670.39</v>
      </c>
      <c r="BX50" s="190">
        <v>158556.38</v>
      </c>
      <c r="BY50" s="190">
        <v>-67311.94</v>
      </c>
      <c r="BZ50" s="190">
        <v>-40354.11</v>
      </c>
      <c r="CA50" s="190">
        <v>5255.39</v>
      </c>
      <c r="CB50" s="190">
        <v>38624.43</v>
      </c>
      <c r="CC50" s="190">
        <v>91916.77</v>
      </c>
      <c r="CD50" s="190">
        <v>0</v>
      </c>
    </row>
    <row r="51" spans="1:82" x14ac:dyDescent="0.25">
      <c r="A51" s="190" t="s">
        <v>155</v>
      </c>
      <c r="B51" s="190">
        <v>-3318810.61</v>
      </c>
      <c r="C51" s="190">
        <v>1073654.1299999999</v>
      </c>
      <c r="D51" s="190">
        <v>12777222.68</v>
      </c>
      <c r="E51" s="190">
        <v>60719234.770000003</v>
      </c>
      <c r="F51" s="190">
        <v>-19257699.57</v>
      </c>
      <c r="G51" s="190">
        <v>-33174989.190000001</v>
      </c>
      <c r="H51" s="190">
        <v>6560958.0099999998</v>
      </c>
      <c r="I51" s="190">
        <v>144239931.22999999</v>
      </c>
      <c r="J51" s="190">
        <v>-275652824.01999998</v>
      </c>
      <c r="K51" s="190">
        <v>-286593948.16000003</v>
      </c>
      <c r="L51" s="190">
        <v>-124558688.81999999</v>
      </c>
      <c r="M51" s="190">
        <v>-198541964.25999999</v>
      </c>
      <c r="N51" s="190">
        <v>-197929815.38</v>
      </c>
      <c r="O51" s="190">
        <v>-248743404.5</v>
      </c>
      <c r="P51" s="190">
        <v>-190461671.68000001</v>
      </c>
      <c r="Q51" s="190">
        <v>-141800124.47</v>
      </c>
      <c r="R51" s="190">
        <v>-148123706.38999999</v>
      </c>
      <c r="S51" s="190">
        <v>-145239837.08000001</v>
      </c>
      <c r="T51" s="190">
        <v>-10023980.550000001</v>
      </c>
      <c r="U51" s="190">
        <v>26378001.370000001</v>
      </c>
      <c r="V51" s="190">
        <v>-170876185.84</v>
      </c>
      <c r="W51" s="190">
        <v>-125768193.09</v>
      </c>
      <c r="X51" s="190">
        <v>-22999704.899999999</v>
      </c>
      <c r="Y51" s="190">
        <v>54004107.329999998</v>
      </c>
      <c r="Z51" s="190">
        <v>-57247652.530000001</v>
      </c>
      <c r="AA51" s="190">
        <v>-68676974.450000003</v>
      </c>
      <c r="AB51" s="190">
        <v>17386289.170000002</v>
      </c>
      <c r="AC51" s="190">
        <v>80599572.769999996</v>
      </c>
      <c r="AD51" s="190">
        <v>-3650821.57</v>
      </c>
      <c r="AE51" s="190">
        <v>-3615506.06</v>
      </c>
      <c r="AF51" s="190">
        <v>-3600480.23</v>
      </c>
      <c r="AG51" s="190">
        <v>-3580449.66</v>
      </c>
      <c r="AH51" s="190">
        <v>-3688323.07</v>
      </c>
      <c r="AI51" s="190">
        <v>-3725232.62</v>
      </c>
      <c r="AJ51" s="190">
        <v>-3901443.01</v>
      </c>
      <c r="AK51" s="190">
        <v>-3910979.14</v>
      </c>
      <c r="AL51" s="190">
        <v>-3956631.26</v>
      </c>
      <c r="AM51" s="190">
        <v>-4014347.47</v>
      </c>
      <c r="AN51" s="190">
        <v>-3839328.15</v>
      </c>
      <c r="AO51" s="190">
        <v>-4106762.79</v>
      </c>
      <c r="AP51" s="190">
        <v>-2925368.47</v>
      </c>
      <c r="AQ51" s="190">
        <v>-2701672.04</v>
      </c>
      <c r="AR51" s="190">
        <v>-2375035.21</v>
      </c>
      <c r="AS51" s="190">
        <v>-2247779.5499999998</v>
      </c>
      <c r="AT51" s="190">
        <v>-2447035.15</v>
      </c>
      <c r="AU51" s="190">
        <v>-1818104.66</v>
      </c>
      <c r="AV51" s="190">
        <v>-2193842.19</v>
      </c>
      <c r="AW51" s="190">
        <v>-1925475.71</v>
      </c>
      <c r="AX51" s="190">
        <v>-6230100.0999999996</v>
      </c>
      <c r="AY51" s="190">
        <v>-2095957.65</v>
      </c>
      <c r="AZ51" s="190">
        <v>0</v>
      </c>
      <c r="BA51" s="190">
        <v>-2543148.89</v>
      </c>
      <c r="BB51" s="190">
        <v>-2102745.88</v>
      </c>
      <c r="BC51" s="190">
        <v>-2157753.33</v>
      </c>
      <c r="BD51" s="190">
        <v>-1851046.96</v>
      </c>
      <c r="BE51" s="190">
        <v>-1892008.18</v>
      </c>
      <c r="BF51" s="190">
        <v>-5018327.17</v>
      </c>
      <c r="BG51" s="190">
        <v>242467.1</v>
      </c>
      <c r="BH51" s="190">
        <v>4388720.97</v>
      </c>
      <c r="BI51" s="190">
        <v>4514629.0599999996</v>
      </c>
      <c r="BJ51" s="190">
        <v>162607.26</v>
      </c>
      <c r="BK51" s="190">
        <v>-1377390.46</v>
      </c>
      <c r="BL51" s="190">
        <v>-982131.79</v>
      </c>
      <c r="BM51" s="190">
        <v>4794596.54</v>
      </c>
      <c r="BN51" s="190">
        <v>-1328091.9099999999</v>
      </c>
      <c r="BO51" s="190">
        <v>-2054217.61</v>
      </c>
      <c r="BP51" s="190">
        <v>-2645508.9900000002</v>
      </c>
      <c r="BQ51" s="190">
        <v>-3778075.84</v>
      </c>
      <c r="BR51" s="190">
        <v>16158984.76</v>
      </c>
      <c r="BS51" s="190">
        <v>10046896.82</v>
      </c>
      <c r="BT51" s="190">
        <v>23180.84</v>
      </c>
      <c r="BU51" s="190">
        <v>-655246.25</v>
      </c>
      <c r="BV51" s="190">
        <v>1286513.9099999999</v>
      </c>
      <c r="BW51" s="190">
        <v>399568.93</v>
      </c>
      <c r="BX51" s="190">
        <v>1088234.7</v>
      </c>
      <c r="BY51" s="190">
        <v>958502.33</v>
      </c>
      <c r="BZ51" s="190">
        <v>1642436.98</v>
      </c>
      <c r="CA51" s="190">
        <v>-228926.66</v>
      </c>
      <c r="CB51" s="190">
        <v>-260754.65</v>
      </c>
      <c r="CC51" s="190">
        <v>138198.79999999999</v>
      </c>
      <c r="CD51" s="190">
        <v>0</v>
      </c>
    </row>
    <row r="52" spans="1:82" x14ac:dyDescent="0.25">
      <c r="A52" s="190" t="s">
        <v>156</v>
      </c>
      <c r="B52" s="190">
        <v>0</v>
      </c>
      <c r="C52" s="190">
        <v>19917708.109999999</v>
      </c>
      <c r="D52" s="190">
        <v>6274913.4199999999</v>
      </c>
      <c r="E52" s="190">
        <v>55980494.759999998</v>
      </c>
      <c r="F52" s="190">
        <v>36804744.229999997</v>
      </c>
      <c r="G52" s="190">
        <v>21775769.23</v>
      </c>
      <c r="H52" s="190">
        <v>4967577</v>
      </c>
      <c r="I52" s="190">
        <v>54712843.149999999</v>
      </c>
      <c r="J52" s="190">
        <v>38264986.090000004</v>
      </c>
      <c r="K52" s="190">
        <v>23796210.390000001</v>
      </c>
      <c r="L52" s="190">
        <v>9791538.1999999993</v>
      </c>
      <c r="M52" s="190">
        <v>9910797.2100000009</v>
      </c>
      <c r="N52" s="190">
        <v>9311137.6600000001</v>
      </c>
      <c r="O52" s="190">
        <v>12539423.550000001</v>
      </c>
      <c r="P52" s="190">
        <v>14293525.939999999</v>
      </c>
      <c r="Q52" s="190">
        <v>11806971.42</v>
      </c>
      <c r="R52" s="190">
        <v>7151098.4699999997</v>
      </c>
      <c r="S52" s="190">
        <v>7246219.0300000003</v>
      </c>
      <c r="T52" s="190">
        <v>7704194.1399999997</v>
      </c>
      <c r="U52" s="190">
        <v>6102827.8300000001</v>
      </c>
      <c r="V52" s="190">
        <v>3300726.21</v>
      </c>
      <c r="W52" s="190">
        <v>2267274.9900000002</v>
      </c>
      <c r="X52" s="190">
        <v>2174580.84</v>
      </c>
      <c r="Y52" s="190">
        <v>2282099.84</v>
      </c>
      <c r="Z52" s="190">
        <v>2177418.48</v>
      </c>
      <c r="AA52" s="190">
        <v>2502785.2400000002</v>
      </c>
      <c r="AB52" s="190">
        <v>1786136.25</v>
      </c>
      <c r="AC52" s="190">
        <v>2792383.86</v>
      </c>
      <c r="AD52" s="190">
        <v>101952653.75</v>
      </c>
      <c r="AE52" s="190">
        <v>90564288.890000001</v>
      </c>
      <c r="AF52" s="190">
        <v>80677434.599999994</v>
      </c>
      <c r="AG52" s="190">
        <v>75027013.780000001</v>
      </c>
      <c r="AH52" s="190">
        <v>82909869.629999995</v>
      </c>
      <c r="AI52" s="190">
        <v>71521504.769999996</v>
      </c>
      <c r="AJ52" s="190">
        <v>65100760.5</v>
      </c>
      <c r="AK52" s="190">
        <v>70901110.829999998</v>
      </c>
      <c r="AL52" s="190">
        <v>124782789.18000001</v>
      </c>
      <c r="AM52" s="190">
        <v>111456193.95</v>
      </c>
      <c r="AN52" s="190">
        <v>112334752.01000001</v>
      </c>
      <c r="AO52" s="190">
        <v>108329957.87</v>
      </c>
      <c r="AP52" s="190">
        <v>143045624.56</v>
      </c>
      <c r="AQ52" s="190">
        <v>129434928.19</v>
      </c>
      <c r="AR52" s="190">
        <v>118052667.48</v>
      </c>
      <c r="AS52" s="190">
        <v>117558871.23999999</v>
      </c>
      <c r="AT52" s="190">
        <v>0</v>
      </c>
      <c r="AU52" s="190">
        <v>0</v>
      </c>
      <c r="AV52" s="190">
        <v>0</v>
      </c>
      <c r="AW52" s="190">
        <v>126295325.19</v>
      </c>
      <c r="AX52" s="190">
        <v>0</v>
      </c>
      <c r="AY52" s="190">
        <v>0</v>
      </c>
      <c r="AZ52" s="190">
        <v>0</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0</v>
      </c>
      <c r="BT52" s="190">
        <v>0</v>
      </c>
      <c r="BU52" s="190">
        <v>0</v>
      </c>
      <c r="BV52" s="190">
        <v>0</v>
      </c>
      <c r="BW52" s="190">
        <v>0</v>
      </c>
      <c r="BX52" s="190">
        <v>0</v>
      </c>
      <c r="BY52" s="190">
        <v>0</v>
      </c>
      <c r="BZ52" s="190">
        <v>0</v>
      </c>
      <c r="CA52" s="190">
        <v>0</v>
      </c>
      <c r="CB52" s="190">
        <v>0</v>
      </c>
      <c r="CC52" s="190">
        <v>0</v>
      </c>
      <c r="CD52" s="190">
        <v>0</v>
      </c>
    </row>
    <row r="53" spans="1:82" x14ac:dyDescent="0.25">
      <c r="A53" s="190" t="s">
        <v>157</v>
      </c>
      <c r="B53" s="190">
        <v>0</v>
      </c>
      <c r="C53" s="190">
        <v>456350518.80000001</v>
      </c>
      <c r="D53" s="190">
        <v>184217185.18000001</v>
      </c>
      <c r="E53" s="190">
        <v>184217185.18000001</v>
      </c>
      <c r="F53" s="190">
        <v>182364869.02000001</v>
      </c>
      <c r="G53" s="190">
        <v>184384008.16</v>
      </c>
      <c r="H53" s="190">
        <v>184384008.16</v>
      </c>
      <c r="I53" s="190">
        <v>192965978.91999999</v>
      </c>
      <c r="J53" s="190">
        <v>341996801.04000002</v>
      </c>
      <c r="K53" s="190">
        <v>203117840.84</v>
      </c>
      <c r="L53" s="190">
        <v>3117840.84</v>
      </c>
      <c r="M53" s="190">
        <v>3117840.84</v>
      </c>
      <c r="N53" s="190">
        <v>3117840.84</v>
      </c>
      <c r="O53" s="190">
        <v>93247993.879999995</v>
      </c>
      <c r="P53" s="190">
        <v>399808.02</v>
      </c>
      <c r="Q53" s="190">
        <v>399808.02</v>
      </c>
      <c r="R53" s="190">
        <v>399808.02</v>
      </c>
      <c r="S53" s="190">
        <v>399808.02</v>
      </c>
      <c r="T53" s="190">
        <v>399808.02</v>
      </c>
      <c r="U53" s="190">
        <v>399808.02</v>
      </c>
      <c r="V53" s="190">
        <v>399808.02</v>
      </c>
      <c r="W53" s="190">
        <v>399808.02</v>
      </c>
      <c r="X53" s="190">
        <v>399808.02</v>
      </c>
      <c r="Y53" s="190">
        <v>399808.02</v>
      </c>
      <c r="Z53" s="190">
        <v>399808.02</v>
      </c>
      <c r="AA53" s="190">
        <v>399808.02</v>
      </c>
      <c r="AB53" s="190">
        <v>399808.02</v>
      </c>
      <c r="AC53" s="190">
        <v>399808.02</v>
      </c>
      <c r="AD53" s="190">
        <v>399808.02</v>
      </c>
      <c r="AE53" s="190">
        <v>399808.02</v>
      </c>
      <c r="AF53" s="190">
        <v>399808.02</v>
      </c>
      <c r="AG53" s="190">
        <v>399808.02</v>
      </c>
      <c r="AH53" s="190">
        <v>399808.02</v>
      </c>
      <c r="AI53" s="190">
        <v>399808.02</v>
      </c>
      <c r="AJ53" s="190">
        <v>399808.02</v>
      </c>
      <c r="AK53" s="190">
        <v>399808.02</v>
      </c>
      <c r="AL53" s="190">
        <v>399808.02</v>
      </c>
      <c r="AM53" s="190">
        <v>399808.02</v>
      </c>
      <c r="AN53" s="190">
        <v>0</v>
      </c>
      <c r="AO53" s="190">
        <v>399808.02</v>
      </c>
      <c r="AP53" s="190">
        <v>0</v>
      </c>
      <c r="AQ53" s="190">
        <v>0</v>
      </c>
      <c r="AR53" s="190">
        <v>0</v>
      </c>
      <c r="AS53" s="190">
        <v>399808.02</v>
      </c>
      <c r="AT53" s="190">
        <v>0</v>
      </c>
      <c r="AU53" s="190">
        <v>0</v>
      </c>
      <c r="AV53" s="190">
        <v>0</v>
      </c>
      <c r="AW53" s="190">
        <v>0</v>
      </c>
      <c r="AX53" s="190">
        <v>399808.02</v>
      </c>
      <c r="AY53" s="190">
        <v>399808.02</v>
      </c>
      <c r="AZ53" s="190">
        <v>0</v>
      </c>
      <c r="BA53" s="190">
        <v>399808.02</v>
      </c>
      <c r="BB53" s="190">
        <v>399808.02</v>
      </c>
      <c r="BC53" s="190">
        <v>399808.02</v>
      </c>
      <c r="BD53" s="190">
        <v>399808.02</v>
      </c>
      <c r="BE53" s="190">
        <v>399808.02</v>
      </c>
      <c r="BF53" s="190">
        <v>399808.02</v>
      </c>
      <c r="BG53" s="190">
        <v>399808.02</v>
      </c>
      <c r="BH53" s="190">
        <v>399808.02</v>
      </c>
      <c r="BI53" s="190">
        <v>399808.02</v>
      </c>
      <c r="BJ53" s="190">
        <v>2098607.86</v>
      </c>
      <c r="BK53" s="190">
        <v>2098607.86</v>
      </c>
      <c r="BL53" s="190">
        <v>2098607.86</v>
      </c>
      <c r="BM53" s="190">
        <v>2098607.86</v>
      </c>
      <c r="BN53" s="190">
        <v>2098607.86</v>
      </c>
      <c r="BO53" s="190">
        <v>2098607.86</v>
      </c>
      <c r="BP53" s="190">
        <v>2098607.86</v>
      </c>
      <c r="BQ53" s="190">
        <v>2098607.86</v>
      </c>
      <c r="BR53" s="190">
        <v>2901470.58</v>
      </c>
      <c r="BS53" s="190">
        <v>4068607.86</v>
      </c>
      <c r="BT53" s="190">
        <v>-280653.48</v>
      </c>
      <c r="BU53" s="190">
        <v>0</v>
      </c>
      <c r="BV53" s="190">
        <v>0</v>
      </c>
      <c r="BW53" s="190">
        <v>0</v>
      </c>
      <c r="BX53" s="190">
        <v>0</v>
      </c>
      <c r="BY53" s="190">
        <v>0</v>
      </c>
      <c r="BZ53" s="190">
        <v>0</v>
      </c>
      <c r="CA53" s="190">
        <v>3301834.11</v>
      </c>
      <c r="CB53" s="190">
        <v>0</v>
      </c>
      <c r="CC53" s="190">
        <v>7050299.3300000001</v>
      </c>
      <c r="CD53" s="190">
        <v>0</v>
      </c>
    </row>
    <row r="54" spans="1:82" x14ac:dyDescent="0.25">
      <c r="A54" s="190" t="s">
        <v>158</v>
      </c>
      <c r="B54" s="190">
        <v>483919319.00999999</v>
      </c>
      <c r="C54" s="190">
        <v>265458775.69999999</v>
      </c>
      <c r="D54" s="190">
        <v>235865124.47999999</v>
      </c>
      <c r="E54" s="190">
        <v>312833908.58999997</v>
      </c>
      <c r="F54" s="190">
        <v>316205279.60000002</v>
      </c>
      <c r="G54" s="190">
        <v>397260401.81</v>
      </c>
      <c r="H54" s="190">
        <v>444565612.29000002</v>
      </c>
      <c r="I54" s="190">
        <v>772700349.5</v>
      </c>
      <c r="J54" s="190">
        <v>777874685.90999997</v>
      </c>
      <c r="K54" s="190">
        <v>1453004501.74</v>
      </c>
      <c r="L54" s="190">
        <v>806068437.32000005</v>
      </c>
      <c r="M54" s="190">
        <v>1139357659.46</v>
      </c>
      <c r="N54" s="190">
        <v>1259790578.79</v>
      </c>
      <c r="O54" s="190">
        <v>1482582554.21</v>
      </c>
      <c r="P54" s="190">
        <v>1157251203.1400001</v>
      </c>
      <c r="Q54" s="190">
        <v>1151218413.6800001</v>
      </c>
      <c r="R54" s="190">
        <v>1974958688.26</v>
      </c>
      <c r="S54" s="190">
        <v>1839250186.8800001</v>
      </c>
      <c r="T54" s="190">
        <v>2001294606.76</v>
      </c>
      <c r="U54" s="190">
        <v>1591061381.5</v>
      </c>
      <c r="V54" s="190">
        <v>944506078.44000006</v>
      </c>
      <c r="W54" s="190">
        <v>1069667380.01</v>
      </c>
      <c r="X54" s="190">
        <v>724895216.54999995</v>
      </c>
      <c r="Y54" s="190">
        <v>700400342.32000005</v>
      </c>
      <c r="Z54" s="190">
        <v>754553248.35000002</v>
      </c>
      <c r="AA54" s="190">
        <v>261933448.12</v>
      </c>
      <c r="AB54" s="190">
        <v>345167450.88999999</v>
      </c>
      <c r="AC54" s="190">
        <v>335357124.51999998</v>
      </c>
      <c r="AD54" s="190">
        <v>44098162.210000001</v>
      </c>
      <c r="AE54" s="190">
        <v>43090381.210000001</v>
      </c>
      <c r="AF54" s="190">
        <v>42400482.420000002</v>
      </c>
      <c r="AG54" s="190">
        <v>42512299.939999998</v>
      </c>
      <c r="AH54" s="190">
        <v>39915818</v>
      </c>
      <c r="AI54" s="190">
        <v>39530785.920000002</v>
      </c>
      <c r="AJ54" s="190">
        <v>39565451.079999998</v>
      </c>
      <c r="AK54" s="190">
        <v>39565231.82</v>
      </c>
      <c r="AL54" s="190">
        <v>39769991.850000001</v>
      </c>
      <c r="AM54" s="190">
        <v>42285517.630000003</v>
      </c>
      <c r="AN54" s="190">
        <v>28938328.100000001</v>
      </c>
      <c r="AO54" s="190">
        <v>30645219.460000001</v>
      </c>
      <c r="AP54" s="190">
        <v>9597007.9299999997</v>
      </c>
      <c r="AQ54" s="190">
        <v>10732246.880000001</v>
      </c>
      <c r="AR54" s="190">
        <v>9562107.1099999994</v>
      </c>
      <c r="AS54" s="190">
        <v>11921480.640000001</v>
      </c>
      <c r="AT54" s="190">
        <v>10793114.609999999</v>
      </c>
      <c r="AU54" s="190">
        <v>14258669.369999999</v>
      </c>
      <c r="AV54" s="190">
        <v>2159578.2999999998</v>
      </c>
      <c r="AW54" s="190">
        <v>14287650.6</v>
      </c>
      <c r="AX54" s="190">
        <v>7837242.54</v>
      </c>
      <c r="AY54" s="190">
        <v>13338359.91</v>
      </c>
      <c r="AZ54" s="190">
        <v>0</v>
      </c>
      <c r="BA54" s="190">
        <v>8004683.6900000004</v>
      </c>
      <c r="BB54" s="190">
        <v>12605314.470000001</v>
      </c>
      <c r="BC54" s="190">
        <v>9314693.1600000001</v>
      </c>
      <c r="BD54" s="190">
        <v>10516645.57</v>
      </c>
      <c r="BE54" s="190">
        <v>13088564.34</v>
      </c>
      <c r="BF54" s="190">
        <v>25303028.960000001</v>
      </c>
      <c r="BG54" s="190">
        <v>9584927.5500000007</v>
      </c>
      <c r="BH54" s="190">
        <v>18604814.969999999</v>
      </c>
      <c r="BI54" s="190">
        <v>15624398.83</v>
      </c>
      <c r="BJ54" s="190">
        <v>8305383.29</v>
      </c>
      <c r="BK54" s="190">
        <v>8381640.1200000001</v>
      </c>
      <c r="BL54" s="190">
        <v>29876635.34</v>
      </c>
      <c r="BM54" s="190">
        <v>12683084.57</v>
      </c>
      <c r="BN54" s="190">
        <v>2195986.9700000002</v>
      </c>
      <c r="BO54" s="190">
        <v>2028136.52</v>
      </c>
      <c r="BP54" s="190">
        <v>6742142.4400000004</v>
      </c>
      <c r="BQ54" s="190">
        <v>6226746.29</v>
      </c>
      <c r="BR54" s="190">
        <v>2673905.89</v>
      </c>
      <c r="BS54" s="190">
        <v>40866491.18</v>
      </c>
      <c r="BT54" s="190">
        <v>514081.42</v>
      </c>
      <c r="BU54" s="190">
        <v>6951681.54</v>
      </c>
      <c r="BV54" s="190">
        <v>5784797.8499999996</v>
      </c>
      <c r="BW54" s="190">
        <v>459687.13</v>
      </c>
      <c r="BX54" s="190">
        <v>2044664.49</v>
      </c>
      <c r="BY54" s="190">
        <v>1013625.69</v>
      </c>
      <c r="BZ54" s="190">
        <v>68278.02</v>
      </c>
      <c r="CA54" s="190">
        <v>722805.93</v>
      </c>
      <c r="CB54" s="190">
        <v>49558.33</v>
      </c>
      <c r="CC54" s="190">
        <v>1200760.18</v>
      </c>
      <c r="CD54" s="190">
        <v>0</v>
      </c>
    </row>
    <row r="55" spans="1:8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98375934.859999999</v>
      </c>
      <c r="AY55" s="190">
        <v>85220634.859999999</v>
      </c>
      <c r="AZ55" s="190">
        <v>0</v>
      </c>
      <c r="BA55" s="190">
        <v>59174999.140000001</v>
      </c>
      <c r="BB55" s="190">
        <v>33541268.109999999</v>
      </c>
      <c r="BC55" s="190">
        <v>20479268.109999999</v>
      </c>
      <c r="BD55" s="190">
        <v>12325765.109999999</v>
      </c>
      <c r="BE55" s="190">
        <v>0</v>
      </c>
      <c r="BF55" s="190">
        <v>1223000</v>
      </c>
      <c r="BG55" s="190">
        <v>0</v>
      </c>
      <c r="BH55" s="190">
        <v>0</v>
      </c>
      <c r="BI55" s="190">
        <v>0</v>
      </c>
      <c r="BJ55" s="190">
        <v>912710.4</v>
      </c>
      <c r="BK55" s="190">
        <v>228326.89</v>
      </c>
      <c r="BL55" s="190">
        <v>228326.89</v>
      </c>
      <c r="BM55" s="190">
        <v>1460272.36</v>
      </c>
      <c r="BN55" s="190">
        <v>0</v>
      </c>
      <c r="BO55" s="190">
        <v>0</v>
      </c>
      <c r="BP55" s="190">
        <v>0</v>
      </c>
      <c r="BQ55" s="190">
        <v>0</v>
      </c>
      <c r="BR55" s="190">
        <v>804436.84</v>
      </c>
      <c r="BS55" s="190">
        <v>1009534.41</v>
      </c>
      <c r="BT55" s="190">
        <v>0</v>
      </c>
      <c r="BU55" s="190">
        <v>9059.58</v>
      </c>
      <c r="BV55" s="190">
        <v>31821.85</v>
      </c>
      <c r="BW55" s="190">
        <v>0</v>
      </c>
      <c r="BX55" s="190">
        <v>0</v>
      </c>
      <c r="BY55" s="190">
        <v>0</v>
      </c>
      <c r="BZ55" s="190">
        <v>639997.62</v>
      </c>
      <c r="CA55" s="190">
        <v>954107</v>
      </c>
      <c r="CB55" s="190">
        <v>2811266.83</v>
      </c>
      <c r="CC55" s="190">
        <v>1693066.07</v>
      </c>
      <c r="CD55" s="190">
        <v>0</v>
      </c>
    </row>
    <row r="56" spans="1:8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row>
    <row r="57" spans="1:8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row>
    <row r="58" spans="1:82" x14ac:dyDescent="0.25">
      <c r="A58" s="190" t="s">
        <v>162</v>
      </c>
      <c r="B58" s="190">
        <v>1413172833.6500001</v>
      </c>
      <c r="C58" s="190">
        <v>1013345577.55</v>
      </c>
      <c r="D58" s="190">
        <v>1190516443.8</v>
      </c>
      <c r="E58" s="190">
        <v>990152000</v>
      </c>
      <c r="F58" s="190">
        <v>317500000</v>
      </c>
      <c r="G58" s="190">
        <v>650000000</v>
      </c>
      <c r="H58" s="190">
        <v>350000000</v>
      </c>
      <c r="I58" s="190">
        <v>353370000</v>
      </c>
      <c r="J58" s="190">
        <v>723400000</v>
      </c>
      <c r="K58" s="190">
        <v>435330000</v>
      </c>
      <c r="L58" s="190">
        <v>435000000</v>
      </c>
      <c r="M58" s="190">
        <v>593880000</v>
      </c>
      <c r="N58" s="190">
        <v>550000000</v>
      </c>
      <c r="O58" s="190">
        <v>350000000</v>
      </c>
      <c r="P58" s="190">
        <v>550000000</v>
      </c>
      <c r="Q58" s="190">
        <v>368000000</v>
      </c>
      <c r="R58" s="190">
        <v>200000000</v>
      </c>
      <c r="S58" s="190">
        <v>98000000</v>
      </c>
      <c r="T58" s="190">
        <v>115000000</v>
      </c>
      <c r="U58" s="190">
        <v>115000000</v>
      </c>
      <c r="V58" s="190">
        <v>141000000</v>
      </c>
      <c r="W58" s="190">
        <v>26000000</v>
      </c>
      <c r="X58" s="190">
        <v>26000000</v>
      </c>
      <c r="Y58" s="190">
        <v>214960000</v>
      </c>
      <c r="Z58" s="190">
        <v>295960000</v>
      </c>
      <c r="AA58" s="190">
        <v>15000000</v>
      </c>
      <c r="AB58" s="190">
        <v>15000000</v>
      </c>
      <c r="AC58" s="190">
        <v>25000000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c r="BV58" s="190">
        <v>0</v>
      </c>
      <c r="BW58" s="190">
        <v>0</v>
      </c>
      <c r="BX58" s="190">
        <v>0</v>
      </c>
      <c r="BY58" s="190">
        <v>7550000</v>
      </c>
      <c r="BZ58" s="190">
        <v>0</v>
      </c>
      <c r="CA58" s="190">
        <v>0</v>
      </c>
      <c r="CB58" s="190">
        <v>0</v>
      </c>
      <c r="CC58" s="190">
        <v>0</v>
      </c>
      <c r="CD58" s="190">
        <v>0</v>
      </c>
    </row>
    <row r="59" spans="1:82"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399808.02</v>
      </c>
      <c r="AO59" s="190">
        <v>0</v>
      </c>
      <c r="AP59" s="190">
        <v>399808.02</v>
      </c>
      <c r="AQ59" s="190">
        <v>399808.02</v>
      </c>
      <c r="AR59" s="190">
        <v>399808.02</v>
      </c>
      <c r="AS59" s="190">
        <v>0</v>
      </c>
      <c r="AT59" s="190">
        <v>165729733.21000001</v>
      </c>
      <c r="AU59" s="190">
        <v>152623233.21000001</v>
      </c>
      <c r="AV59" s="190">
        <v>139516633.21000001</v>
      </c>
      <c r="AW59" s="190">
        <v>399808.02</v>
      </c>
      <c r="AX59" s="190">
        <v>0</v>
      </c>
      <c r="AY59" s="190">
        <v>0</v>
      </c>
      <c r="AZ59" s="190">
        <v>0</v>
      </c>
      <c r="BA59" s="190">
        <v>0</v>
      </c>
      <c r="BB59" s="190">
        <v>0</v>
      </c>
      <c r="BC59" s="190">
        <v>0</v>
      </c>
      <c r="BD59" s="190">
        <v>0</v>
      </c>
      <c r="BE59" s="190">
        <v>24050000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row>
    <row r="60" spans="1:82" x14ac:dyDescent="0.25">
      <c r="A60" s="190" t="s">
        <v>164</v>
      </c>
      <c r="B60" s="190">
        <v>3437366726.98</v>
      </c>
      <c r="C60" s="190">
        <v>2997296648.5700002</v>
      </c>
      <c r="D60" s="190">
        <v>2211909836.02</v>
      </c>
      <c r="E60" s="190">
        <v>2121376640.1500001</v>
      </c>
      <c r="F60" s="190">
        <v>2366240460.8000002</v>
      </c>
      <c r="G60" s="190">
        <v>2362553263.9699998</v>
      </c>
      <c r="H60" s="190">
        <v>1873181570.0599999</v>
      </c>
      <c r="I60" s="190">
        <v>3355639666.5300002</v>
      </c>
      <c r="J60" s="190">
        <v>4477180725.1999998</v>
      </c>
      <c r="K60" s="190">
        <v>4615720332.8500004</v>
      </c>
      <c r="L60" s="190">
        <v>4410739139.1899996</v>
      </c>
      <c r="M60" s="190">
        <v>6478661861.8800001</v>
      </c>
      <c r="N60" s="190">
        <v>5515213496.1300001</v>
      </c>
      <c r="O60" s="190">
        <v>5001961377.7600002</v>
      </c>
      <c r="P60" s="190">
        <v>4139532222.21</v>
      </c>
      <c r="Q60" s="190">
        <v>3787954919.04</v>
      </c>
      <c r="R60" s="190">
        <v>4068510146.21</v>
      </c>
      <c r="S60" s="190">
        <v>3742848431.25</v>
      </c>
      <c r="T60" s="190">
        <v>3877544902.3899999</v>
      </c>
      <c r="U60" s="190">
        <v>3356510902.5599999</v>
      </c>
      <c r="V60" s="190">
        <v>3998752633.1300001</v>
      </c>
      <c r="W60" s="190">
        <v>3559533870.3099999</v>
      </c>
      <c r="X60" s="190">
        <v>2684528204.4499998</v>
      </c>
      <c r="Y60" s="190">
        <v>2674539437.3099999</v>
      </c>
      <c r="Z60" s="190">
        <v>3379789707.3800001</v>
      </c>
      <c r="AA60" s="190">
        <v>2411546697.02</v>
      </c>
      <c r="AB60" s="190">
        <v>2257529201.1799998</v>
      </c>
      <c r="AC60" s="190">
        <v>2338461505.54</v>
      </c>
      <c r="AD60" s="190">
        <v>910275604.98000002</v>
      </c>
      <c r="AE60" s="190">
        <v>895658066.61000001</v>
      </c>
      <c r="AF60" s="190">
        <v>884690257.76999998</v>
      </c>
      <c r="AG60" s="190">
        <v>878773076.50999999</v>
      </c>
      <c r="AH60" s="190">
        <v>884441511.66999996</v>
      </c>
      <c r="AI60" s="190">
        <v>891376340.61000001</v>
      </c>
      <c r="AJ60" s="190">
        <v>884511999.36000001</v>
      </c>
      <c r="AK60" s="190">
        <v>890018653.42999995</v>
      </c>
      <c r="AL60" s="190">
        <v>943047787.16999996</v>
      </c>
      <c r="AM60" s="190">
        <v>931910164.52999997</v>
      </c>
      <c r="AN60" s="190">
        <v>919459799.66999996</v>
      </c>
      <c r="AO60" s="190">
        <v>916807414.29999995</v>
      </c>
      <c r="AP60" s="190">
        <v>936103253.16999996</v>
      </c>
      <c r="AQ60" s="190">
        <v>946037080.86000001</v>
      </c>
      <c r="AR60" s="190">
        <v>937380009.90999997</v>
      </c>
      <c r="AS60" s="190">
        <v>976147581.74000001</v>
      </c>
      <c r="AT60" s="190">
        <v>1042671871.75</v>
      </c>
      <c r="AU60" s="190">
        <v>1035197149.42</v>
      </c>
      <c r="AV60" s="190">
        <v>1000964780.08</v>
      </c>
      <c r="AW60" s="190">
        <v>995737920.75999999</v>
      </c>
      <c r="AX60" s="190">
        <v>991459787.73000002</v>
      </c>
      <c r="AY60" s="190">
        <v>977299982.24000001</v>
      </c>
      <c r="AZ60" s="190">
        <v>0</v>
      </c>
      <c r="BA60" s="190">
        <v>944670855</v>
      </c>
      <c r="BB60" s="190">
        <v>902772142.99000001</v>
      </c>
      <c r="BC60" s="190">
        <v>919078518.5</v>
      </c>
      <c r="BD60" s="190">
        <v>956505317.76999998</v>
      </c>
      <c r="BE60" s="190">
        <v>1022894778.9</v>
      </c>
      <c r="BF60" s="190">
        <v>965584196.96000004</v>
      </c>
      <c r="BG60" s="190">
        <v>777327186.85000002</v>
      </c>
      <c r="BH60" s="190">
        <v>589042147.78999996</v>
      </c>
      <c r="BI60" s="190">
        <v>759648897.17999995</v>
      </c>
      <c r="BJ60" s="190">
        <v>732252327.45000005</v>
      </c>
      <c r="BK60" s="190">
        <v>712884099.22000003</v>
      </c>
      <c r="BL60" s="190">
        <v>692785122.45000005</v>
      </c>
      <c r="BM60" s="190">
        <v>646378142.27999997</v>
      </c>
      <c r="BN60" s="190">
        <v>637089928.76999998</v>
      </c>
      <c r="BO60" s="190">
        <v>632288078.04999995</v>
      </c>
      <c r="BP60" s="190">
        <v>635572914.62</v>
      </c>
      <c r="BQ60" s="190">
        <v>567215345.83000004</v>
      </c>
      <c r="BR60" s="190">
        <v>332723050.32999998</v>
      </c>
      <c r="BS60" s="190">
        <v>165199743.62</v>
      </c>
      <c r="BT60" s="190">
        <v>121891068.04000001</v>
      </c>
      <c r="BU60" s="190">
        <v>64156036.719999999</v>
      </c>
      <c r="BV60" s="190">
        <v>59750451.780000001</v>
      </c>
      <c r="BW60" s="190">
        <v>49428877.229999997</v>
      </c>
      <c r="BX60" s="190">
        <v>48199869.380000003</v>
      </c>
      <c r="BY60" s="190">
        <v>50142198.090000004</v>
      </c>
      <c r="BZ60" s="190">
        <v>35694606.600000001</v>
      </c>
      <c r="CA60" s="190">
        <v>35765158.229999997</v>
      </c>
      <c r="CB60" s="190">
        <v>51892207.640000001</v>
      </c>
      <c r="CC60" s="190">
        <v>43830379.409999996</v>
      </c>
      <c r="CD60" s="190">
        <v>0</v>
      </c>
    </row>
    <row r="61" spans="1:82" x14ac:dyDescent="0.25">
      <c r="A61" s="190" t="s">
        <v>165</v>
      </c>
    </row>
    <row r="62" spans="1:82" x14ac:dyDescent="0.25">
      <c r="A62" s="190" t="s">
        <v>166</v>
      </c>
      <c r="B62" s="190">
        <v>3684500000</v>
      </c>
      <c r="C62" s="190">
        <v>4169500000</v>
      </c>
      <c r="D62" s="190">
        <v>4405500000</v>
      </c>
      <c r="E62" s="190">
        <v>3844000000</v>
      </c>
      <c r="F62" s="190">
        <v>4459000000</v>
      </c>
      <c r="G62" s="190">
        <v>2540000000</v>
      </c>
      <c r="H62" s="190">
        <v>2857500000</v>
      </c>
      <c r="I62" s="190">
        <v>2669300000</v>
      </c>
      <c r="J62" s="190">
        <v>2447300000</v>
      </c>
      <c r="K62" s="190">
        <v>3391500000</v>
      </c>
      <c r="L62" s="190">
        <v>4227330000</v>
      </c>
      <c r="M62" s="190">
        <v>3885095129.0799999</v>
      </c>
      <c r="N62" s="190">
        <v>4370975129.0799999</v>
      </c>
      <c r="O62" s="190">
        <v>4462875129.0799999</v>
      </c>
      <c r="P62" s="190">
        <v>4369875129.0799999</v>
      </c>
      <c r="Q62" s="190">
        <v>4542875129.0799999</v>
      </c>
      <c r="R62" s="190">
        <v>3253675129.0799999</v>
      </c>
      <c r="S62" s="190">
        <v>3301675129.0799999</v>
      </c>
      <c r="T62" s="190">
        <v>3303675129.0799999</v>
      </c>
      <c r="U62" s="190">
        <v>2651255129.0799999</v>
      </c>
      <c r="V62" s="190">
        <v>1509000000</v>
      </c>
      <c r="W62" s="190">
        <v>1198000000</v>
      </c>
      <c r="X62" s="190">
        <v>1200000000</v>
      </c>
      <c r="Y62" s="190">
        <v>1137000000</v>
      </c>
      <c r="Z62" s="190">
        <v>956000000</v>
      </c>
      <c r="AA62" s="190">
        <v>1377960000</v>
      </c>
      <c r="AB62" s="190">
        <v>1423960000</v>
      </c>
      <c r="AC62" s="190">
        <v>1433960000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12094.66</v>
      </c>
      <c r="AY62" s="190">
        <v>12094.66</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600000</v>
      </c>
      <c r="BQ62" s="190">
        <v>0</v>
      </c>
      <c r="BR62" s="190">
        <v>0</v>
      </c>
      <c r="BS62" s="190">
        <v>3194150</v>
      </c>
      <c r="BT62" s="190">
        <v>3134930</v>
      </c>
      <c r="BU62" s="190">
        <v>3075710</v>
      </c>
      <c r="BV62" s="190">
        <v>3016490</v>
      </c>
      <c r="BW62" s="190">
        <v>2957270</v>
      </c>
      <c r="BX62" s="190">
        <v>2898050</v>
      </c>
      <c r="BY62" s="190">
        <v>2838830</v>
      </c>
      <c r="BZ62" s="190">
        <v>19229610</v>
      </c>
      <c r="CA62" s="190">
        <v>19200000</v>
      </c>
      <c r="CB62" s="190">
        <v>36067551.43</v>
      </c>
      <c r="CC62" s="190">
        <v>35460426.859999999</v>
      </c>
      <c r="CD62" s="190">
        <v>0</v>
      </c>
    </row>
    <row r="63" spans="1:82" x14ac:dyDescent="0.25">
      <c r="A63" s="190" t="s">
        <v>167</v>
      </c>
      <c r="B63" s="190">
        <v>0</v>
      </c>
      <c r="C63" s="190">
        <v>0</v>
      </c>
      <c r="D63" s="190">
        <v>0</v>
      </c>
      <c r="E63" s="190">
        <v>587311897.92999995</v>
      </c>
      <c r="F63" s="190">
        <v>992527974.39999998</v>
      </c>
      <c r="G63" s="190">
        <v>991198377.48000002</v>
      </c>
      <c r="H63" s="190">
        <v>989891141.01999998</v>
      </c>
      <c r="I63" s="190">
        <v>988605889</v>
      </c>
      <c r="J63" s="190">
        <v>987364945.28999996</v>
      </c>
      <c r="K63" s="190">
        <v>986122177.52999997</v>
      </c>
      <c r="L63" s="190">
        <v>984920310.01999998</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row>
    <row r="64" spans="1:82"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660000</v>
      </c>
      <c r="BG64" s="190">
        <v>660000</v>
      </c>
      <c r="BH64" s="190">
        <v>660000</v>
      </c>
      <c r="BI64" s="190">
        <v>660000</v>
      </c>
      <c r="BJ64" s="190">
        <v>800000</v>
      </c>
      <c r="BK64" s="190">
        <v>800000</v>
      </c>
      <c r="BL64" s="190">
        <v>600000</v>
      </c>
      <c r="BM64" s="190">
        <v>600000</v>
      </c>
      <c r="BN64" s="190">
        <v>600000</v>
      </c>
      <c r="BO64" s="190">
        <v>600000</v>
      </c>
      <c r="BP64" s="190">
        <v>0</v>
      </c>
      <c r="BQ64" s="190">
        <v>600000</v>
      </c>
      <c r="BR64" s="190">
        <v>600000</v>
      </c>
      <c r="BS64" s="190">
        <v>1602319.06</v>
      </c>
      <c r="BT64" s="190">
        <v>1129106.31</v>
      </c>
      <c r="BU64" s="190">
        <v>1505475.07</v>
      </c>
      <c r="BV64" s="190">
        <v>0</v>
      </c>
      <c r="BW64" s="190">
        <v>0</v>
      </c>
      <c r="BX64" s="190">
        <v>0</v>
      </c>
      <c r="BY64" s="190">
        <v>0</v>
      </c>
      <c r="BZ64" s="190">
        <v>0</v>
      </c>
      <c r="CA64" s="190">
        <v>0</v>
      </c>
      <c r="CB64" s="190">
        <v>0</v>
      </c>
      <c r="CC64" s="190">
        <v>0</v>
      </c>
      <c r="CD64" s="190">
        <v>0</v>
      </c>
    </row>
    <row r="65" spans="1:8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c r="BH65" s="190">
        <v>0</v>
      </c>
      <c r="BI65" s="190">
        <v>0</v>
      </c>
      <c r="BJ65" s="190">
        <v>0</v>
      </c>
      <c r="BK65" s="190">
        <v>0</v>
      </c>
      <c r="BL65" s="190">
        <v>0</v>
      </c>
      <c r="BM65" s="190">
        <v>0</v>
      </c>
      <c r="BN65" s="190">
        <v>0</v>
      </c>
      <c r="BO65" s="190">
        <v>0</v>
      </c>
      <c r="BP65" s="190">
        <v>0</v>
      </c>
      <c r="BQ65" s="190">
        <v>0</v>
      </c>
      <c r="BR65" s="190">
        <v>0</v>
      </c>
      <c r="BS65" s="190">
        <v>0</v>
      </c>
      <c r="BT65" s="190">
        <v>0</v>
      </c>
      <c r="BU65" s="190">
        <v>0</v>
      </c>
      <c r="BV65" s="190">
        <v>0</v>
      </c>
      <c r="BW65" s="190">
        <v>0</v>
      </c>
      <c r="BX65" s="190">
        <v>0</v>
      </c>
      <c r="BY65" s="190">
        <v>0</v>
      </c>
      <c r="BZ65" s="190">
        <v>0</v>
      </c>
      <c r="CA65" s="190">
        <v>0</v>
      </c>
      <c r="CB65" s="190">
        <v>0</v>
      </c>
      <c r="CC65" s="190">
        <v>0</v>
      </c>
      <c r="CD65" s="190">
        <v>0</v>
      </c>
    </row>
    <row r="66" spans="1:8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660000</v>
      </c>
      <c r="AE66" s="190">
        <v>660000</v>
      </c>
      <c r="AF66" s="190">
        <v>660000</v>
      </c>
      <c r="AG66" s="190">
        <v>660000</v>
      </c>
      <c r="AH66" s="190">
        <v>660000</v>
      </c>
      <c r="AI66" s="190">
        <v>660000</v>
      </c>
      <c r="AJ66" s="190">
        <v>660000</v>
      </c>
      <c r="AK66" s="190">
        <v>660000</v>
      </c>
      <c r="AL66" s="190">
        <v>660000</v>
      </c>
      <c r="AM66" s="190">
        <v>660000</v>
      </c>
      <c r="AN66" s="190">
        <v>660000</v>
      </c>
      <c r="AO66" s="190">
        <v>660000</v>
      </c>
      <c r="AP66" s="190">
        <v>660000</v>
      </c>
      <c r="AQ66" s="190">
        <v>660000</v>
      </c>
      <c r="AR66" s="190">
        <v>660000</v>
      </c>
      <c r="AS66" s="190">
        <v>660000</v>
      </c>
      <c r="AT66" s="190">
        <v>0</v>
      </c>
      <c r="AU66" s="190">
        <v>0</v>
      </c>
      <c r="AV66" s="190">
        <v>0</v>
      </c>
      <c r="AW66" s="190">
        <v>660000</v>
      </c>
      <c r="AX66" s="190">
        <v>660000</v>
      </c>
      <c r="AY66" s="190">
        <v>660000</v>
      </c>
      <c r="AZ66" s="190">
        <v>0</v>
      </c>
      <c r="BA66" s="190">
        <v>660000</v>
      </c>
      <c r="BB66" s="190">
        <v>1110000</v>
      </c>
      <c r="BC66" s="190">
        <v>1110000</v>
      </c>
      <c r="BD66" s="190">
        <v>1110000</v>
      </c>
      <c r="BE66" s="190">
        <v>1110000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row>
    <row r="67" spans="1:82" x14ac:dyDescent="0.25">
      <c r="A67" s="190" t="s">
        <v>171</v>
      </c>
      <c r="B67" s="190">
        <v>0</v>
      </c>
      <c r="C67" s="190">
        <v>0</v>
      </c>
      <c r="D67" s="190">
        <v>0</v>
      </c>
      <c r="E67" s="190">
        <v>0</v>
      </c>
      <c r="F67" s="190">
        <v>0</v>
      </c>
      <c r="G67" s="190">
        <v>0</v>
      </c>
      <c r="H67" s="190">
        <v>0</v>
      </c>
      <c r="I67" s="190">
        <v>0</v>
      </c>
      <c r="J67" s="190">
        <v>13373236.26</v>
      </c>
      <c r="K67" s="190">
        <v>13373236.26</v>
      </c>
      <c r="L67" s="190">
        <v>13373236.26</v>
      </c>
      <c r="M67" s="190">
        <v>13373236.26</v>
      </c>
      <c r="N67" s="190">
        <v>13373236.26</v>
      </c>
      <c r="O67" s="190">
        <v>13373236.26</v>
      </c>
      <c r="P67" s="190">
        <v>13373236.26</v>
      </c>
      <c r="Q67" s="190">
        <v>13373236.26</v>
      </c>
      <c r="R67" s="190">
        <v>13373236.26</v>
      </c>
      <c r="S67" s="190">
        <v>13373236.26</v>
      </c>
      <c r="T67" s="190">
        <v>13373236.26</v>
      </c>
      <c r="U67" s="190">
        <v>13373236.26</v>
      </c>
      <c r="V67" s="190">
        <v>13373236.26</v>
      </c>
      <c r="W67" s="190">
        <v>13373236.26</v>
      </c>
      <c r="X67" s="190">
        <v>13373236.26</v>
      </c>
      <c r="Y67" s="190">
        <v>13373236.26</v>
      </c>
      <c r="Z67" s="190">
        <v>18535859.530000001</v>
      </c>
      <c r="AA67" s="190">
        <v>18535859.530000001</v>
      </c>
      <c r="AB67" s="190">
        <v>18535859.530000001</v>
      </c>
      <c r="AC67" s="190">
        <v>18535859.530000001</v>
      </c>
      <c r="AD67" s="190">
        <v>316240978.26999998</v>
      </c>
      <c r="AE67" s="190">
        <v>316240978.26999998</v>
      </c>
      <c r="AF67" s="190">
        <v>316240978.26999998</v>
      </c>
      <c r="AG67" s="190">
        <v>316240978.26999998</v>
      </c>
      <c r="AH67" s="190">
        <v>316240978.26999998</v>
      </c>
      <c r="AI67" s="190">
        <v>316240978.26999998</v>
      </c>
      <c r="AJ67" s="190">
        <v>324726262.42000002</v>
      </c>
      <c r="AK67" s="190">
        <v>324726262.42000002</v>
      </c>
      <c r="AL67" s="190">
        <v>324639251.38</v>
      </c>
      <c r="AM67" s="190">
        <v>324459315.93000001</v>
      </c>
      <c r="AN67" s="190">
        <v>313740102.94</v>
      </c>
      <c r="AO67" s="190">
        <v>317740102.94</v>
      </c>
      <c r="AP67" s="190">
        <v>340518636.64999998</v>
      </c>
      <c r="AQ67" s="190">
        <v>274118636.64999998</v>
      </c>
      <c r="AR67" s="190">
        <v>332508883.82999998</v>
      </c>
      <c r="AS67" s="190">
        <v>332508883.82999998</v>
      </c>
      <c r="AT67" s="190">
        <v>331404880.41000003</v>
      </c>
      <c r="AU67" s="190">
        <v>331404880.41000003</v>
      </c>
      <c r="AV67" s="190">
        <v>331404880.41000003</v>
      </c>
      <c r="AW67" s="190">
        <v>331404880.41000003</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c r="BV67" s="190">
        <v>0</v>
      </c>
      <c r="BW67" s="190">
        <v>0</v>
      </c>
      <c r="BX67" s="190">
        <v>0</v>
      </c>
      <c r="BY67" s="190">
        <v>0</v>
      </c>
      <c r="BZ67" s="190">
        <v>0</v>
      </c>
      <c r="CA67" s="190">
        <v>0</v>
      </c>
      <c r="CB67" s="190">
        <v>0</v>
      </c>
      <c r="CC67" s="190">
        <v>0</v>
      </c>
      <c r="CD67" s="190">
        <v>0</v>
      </c>
    </row>
    <row r="68" spans="1:82" x14ac:dyDescent="0.25">
      <c r="A68" s="190" t="s">
        <v>172</v>
      </c>
      <c r="B68" s="190">
        <v>150952504.65000001</v>
      </c>
      <c r="C68" s="190">
        <v>154705558.19</v>
      </c>
      <c r="D68" s="190">
        <v>156645859.43000001</v>
      </c>
      <c r="E68" s="190">
        <v>164408161.83000001</v>
      </c>
      <c r="F68" s="190">
        <v>157570396.31999999</v>
      </c>
      <c r="G68" s="190">
        <v>161395157.93000001</v>
      </c>
      <c r="H68" s="190">
        <v>165654165.59999999</v>
      </c>
      <c r="I68" s="190">
        <v>225785597.97999999</v>
      </c>
      <c r="J68" s="190">
        <v>253491883.38999999</v>
      </c>
      <c r="K68" s="190">
        <v>264183678.34</v>
      </c>
      <c r="L68" s="190">
        <v>108750830.04000001</v>
      </c>
      <c r="M68" s="190">
        <v>85021972.579999998</v>
      </c>
      <c r="N68" s="190">
        <v>85121290.519999996</v>
      </c>
      <c r="O68" s="190">
        <v>102219397.22</v>
      </c>
      <c r="P68" s="190">
        <v>102275937.98999999</v>
      </c>
      <c r="Q68" s="190">
        <v>102249802.81</v>
      </c>
      <c r="R68" s="190">
        <v>96759371.430000007</v>
      </c>
      <c r="S68" s="190">
        <v>103752935.95</v>
      </c>
      <c r="T68" s="190">
        <v>110982580.88</v>
      </c>
      <c r="U68" s="190">
        <v>111290399.63</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0</v>
      </c>
      <c r="BO68" s="190">
        <v>0</v>
      </c>
      <c r="BP68" s="190">
        <v>0</v>
      </c>
      <c r="BQ68" s="190">
        <v>0</v>
      </c>
      <c r="BR68" s="190">
        <v>0</v>
      </c>
      <c r="BS68" s="190">
        <v>0</v>
      </c>
      <c r="BT68" s="190">
        <v>0</v>
      </c>
      <c r="BU68" s="190">
        <v>0</v>
      </c>
      <c r="BV68" s="190">
        <v>0</v>
      </c>
      <c r="BW68" s="190">
        <v>0</v>
      </c>
      <c r="BX68" s="190">
        <v>0</v>
      </c>
      <c r="BY68" s="190">
        <v>0</v>
      </c>
      <c r="BZ68" s="190">
        <v>0</v>
      </c>
      <c r="CA68" s="190">
        <v>0</v>
      </c>
      <c r="CB68" s="190">
        <v>0</v>
      </c>
      <c r="CC68" s="190">
        <v>0</v>
      </c>
      <c r="CD68" s="190">
        <v>0</v>
      </c>
    </row>
    <row r="69" spans="1:82" x14ac:dyDescent="0.25">
      <c r="A69" s="190" t="s">
        <v>173</v>
      </c>
      <c r="B69" s="190">
        <v>426827.02</v>
      </c>
      <c r="C69" s="190">
        <v>426827.02</v>
      </c>
      <c r="D69" s="190">
        <v>426827.02</v>
      </c>
      <c r="E69" s="190">
        <v>426827.02</v>
      </c>
      <c r="F69" s="190">
        <v>517622.2</v>
      </c>
      <c r="G69" s="190">
        <v>517622.2</v>
      </c>
      <c r="H69" s="190">
        <v>517622.2</v>
      </c>
      <c r="I69" s="190">
        <v>517622.2</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c r="BH69" s="190">
        <v>0</v>
      </c>
      <c r="BI69" s="190">
        <v>0</v>
      </c>
      <c r="BJ69" s="190">
        <v>0</v>
      </c>
      <c r="BK69" s="190">
        <v>0</v>
      </c>
      <c r="BL69" s="190">
        <v>0</v>
      </c>
      <c r="BM69" s="190">
        <v>0</v>
      </c>
      <c r="BN69" s="190">
        <v>0</v>
      </c>
      <c r="BO69" s="190">
        <v>0</v>
      </c>
      <c r="BP69" s="190">
        <v>0</v>
      </c>
      <c r="BQ69" s="190">
        <v>0</v>
      </c>
      <c r="BR69" s="190">
        <v>0</v>
      </c>
      <c r="BS69" s="190">
        <v>0</v>
      </c>
      <c r="BT69" s="190">
        <v>0</v>
      </c>
      <c r="BU69" s="190">
        <v>0</v>
      </c>
      <c r="BV69" s="190">
        <v>0</v>
      </c>
      <c r="BW69" s="190">
        <v>0</v>
      </c>
      <c r="BX69" s="190">
        <v>0</v>
      </c>
      <c r="BY69" s="190">
        <v>0</v>
      </c>
      <c r="BZ69" s="190">
        <v>0</v>
      </c>
      <c r="CA69" s="190">
        <v>0</v>
      </c>
      <c r="CB69" s="190">
        <v>0</v>
      </c>
      <c r="CC69" s="190">
        <v>0</v>
      </c>
      <c r="CD69" s="190">
        <v>0</v>
      </c>
    </row>
    <row r="70" spans="1:82" x14ac:dyDescent="0.25">
      <c r="A70" s="190" t="s">
        <v>174</v>
      </c>
      <c r="B70" s="190">
        <v>0</v>
      </c>
      <c r="C70" s="190">
        <v>0</v>
      </c>
      <c r="D70" s="190">
        <v>0</v>
      </c>
      <c r="E70" s="190">
        <v>0</v>
      </c>
      <c r="F70" s="190">
        <v>0</v>
      </c>
      <c r="G70" s="190">
        <v>0</v>
      </c>
      <c r="H70" s="190">
        <v>0</v>
      </c>
      <c r="I70" s="190">
        <v>0</v>
      </c>
      <c r="J70" s="190">
        <v>660000</v>
      </c>
      <c r="K70" s="190">
        <v>660000</v>
      </c>
      <c r="L70" s="190">
        <v>660000</v>
      </c>
      <c r="M70" s="190">
        <v>660000</v>
      </c>
      <c r="N70" s="190">
        <v>660000</v>
      </c>
      <c r="O70" s="190">
        <v>660000</v>
      </c>
      <c r="P70" s="190">
        <v>660000</v>
      </c>
      <c r="Q70" s="190">
        <v>660000</v>
      </c>
      <c r="R70" s="190">
        <v>660000</v>
      </c>
      <c r="S70" s="190">
        <v>660000</v>
      </c>
      <c r="T70" s="190">
        <v>660000</v>
      </c>
      <c r="U70" s="190">
        <v>660000</v>
      </c>
      <c r="V70" s="190">
        <v>660000</v>
      </c>
      <c r="W70" s="190">
        <v>660000</v>
      </c>
      <c r="X70" s="190">
        <v>660000</v>
      </c>
      <c r="Y70" s="190">
        <v>660000</v>
      </c>
      <c r="Z70" s="190">
        <v>660000</v>
      </c>
      <c r="AA70" s="190">
        <v>660000</v>
      </c>
      <c r="AB70" s="190">
        <v>660000</v>
      </c>
      <c r="AC70" s="190">
        <v>660000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660000</v>
      </c>
      <c r="AU70" s="190">
        <v>660000</v>
      </c>
      <c r="AV70" s="190">
        <v>660000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1374000</v>
      </c>
      <c r="BU70" s="190">
        <v>560000</v>
      </c>
      <c r="BV70" s="190">
        <v>2436497.25</v>
      </c>
      <c r="BW70" s="190">
        <v>2258212.61</v>
      </c>
      <c r="BX70" s="190">
        <v>3010950.15</v>
      </c>
      <c r="BY70" s="190">
        <v>3010950.15</v>
      </c>
      <c r="BZ70" s="190">
        <v>0</v>
      </c>
      <c r="CA70" s="190">
        <v>0</v>
      </c>
      <c r="CB70" s="190">
        <v>0</v>
      </c>
      <c r="CC70" s="190">
        <v>0</v>
      </c>
      <c r="CD70" s="190">
        <v>0</v>
      </c>
    </row>
    <row r="71" spans="1:82" x14ac:dyDescent="0.25">
      <c r="A71" s="190" t="s">
        <v>175</v>
      </c>
      <c r="B71" s="190">
        <v>3835879331.6700001</v>
      </c>
      <c r="C71" s="190">
        <v>4324632385.21</v>
      </c>
      <c r="D71" s="190">
        <v>4562572686.4499998</v>
      </c>
      <c r="E71" s="190">
        <v>4596146886.7799997</v>
      </c>
      <c r="F71" s="190">
        <v>5609615992.9200001</v>
      </c>
      <c r="G71" s="190">
        <v>3693111157.6100001</v>
      </c>
      <c r="H71" s="190">
        <v>4013562928.8200002</v>
      </c>
      <c r="I71" s="190">
        <v>3884209109.1799998</v>
      </c>
      <c r="J71" s="190">
        <v>3702190064.9400001</v>
      </c>
      <c r="K71" s="190">
        <v>4655839092.1300001</v>
      </c>
      <c r="L71" s="190">
        <v>5335034376.3199997</v>
      </c>
      <c r="M71" s="190">
        <v>3984150337.9200001</v>
      </c>
      <c r="N71" s="190">
        <v>4470129655.8599997</v>
      </c>
      <c r="O71" s="190">
        <v>4579127762.5600004</v>
      </c>
      <c r="P71" s="190">
        <v>4486184303.3299999</v>
      </c>
      <c r="Q71" s="190">
        <v>4659158168.1499996</v>
      </c>
      <c r="R71" s="190">
        <v>3364467736.77</v>
      </c>
      <c r="S71" s="190">
        <v>3419461301.29</v>
      </c>
      <c r="T71" s="190">
        <v>3428690946.2199998</v>
      </c>
      <c r="U71" s="190">
        <v>2776578764.9699998</v>
      </c>
      <c r="V71" s="190">
        <v>1523033236.26</v>
      </c>
      <c r="W71" s="190">
        <v>1212033236.26</v>
      </c>
      <c r="X71" s="190">
        <v>1214033236.26</v>
      </c>
      <c r="Y71" s="190">
        <v>1151033236.26</v>
      </c>
      <c r="Z71" s="190">
        <v>975195859.52999997</v>
      </c>
      <c r="AA71" s="190">
        <v>1397155859.53</v>
      </c>
      <c r="AB71" s="190">
        <v>1443155859.53</v>
      </c>
      <c r="AC71" s="190">
        <v>1453155859.53</v>
      </c>
      <c r="AD71" s="190">
        <v>316900978.26999998</v>
      </c>
      <c r="AE71" s="190">
        <v>316900978.26999998</v>
      </c>
      <c r="AF71" s="190">
        <v>316900978.26999998</v>
      </c>
      <c r="AG71" s="190">
        <v>316900978.26999998</v>
      </c>
      <c r="AH71" s="190">
        <v>316900978.26999998</v>
      </c>
      <c r="AI71" s="190">
        <v>316900978.26999998</v>
      </c>
      <c r="AJ71" s="190">
        <v>325386262.42000002</v>
      </c>
      <c r="AK71" s="190">
        <v>325386262.42000002</v>
      </c>
      <c r="AL71" s="190">
        <v>325299251.38</v>
      </c>
      <c r="AM71" s="190">
        <v>325119315.93000001</v>
      </c>
      <c r="AN71" s="190">
        <v>314400102.94</v>
      </c>
      <c r="AO71" s="190">
        <v>318400102.94</v>
      </c>
      <c r="AP71" s="190">
        <v>341178636.64999998</v>
      </c>
      <c r="AQ71" s="190">
        <v>274778636.64999998</v>
      </c>
      <c r="AR71" s="190">
        <v>333168883.82999998</v>
      </c>
      <c r="AS71" s="190">
        <v>333168883.82999998</v>
      </c>
      <c r="AT71" s="190">
        <v>332064880.41000003</v>
      </c>
      <c r="AU71" s="190">
        <v>332064880.41000003</v>
      </c>
      <c r="AV71" s="190">
        <v>332064880.41000003</v>
      </c>
      <c r="AW71" s="190">
        <v>332064880.41000003</v>
      </c>
      <c r="AX71" s="190">
        <v>672094.66</v>
      </c>
      <c r="AY71" s="190">
        <v>672094.66</v>
      </c>
      <c r="AZ71" s="190">
        <v>0</v>
      </c>
      <c r="BA71" s="190">
        <v>660000</v>
      </c>
      <c r="BB71" s="190">
        <v>1110000</v>
      </c>
      <c r="BC71" s="190">
        <v>1110000</v>
      </c>
      <c r="BD71" s="190">
        <v>1110000</v>
      </c>
      <c r="BE71" s="190">
        <v>1110000</v>
      </c>
      <c r="BF71" s="190">
        <v>660000</v>
      </c>
      <c r="BG71" s="190">
        <v>660000</v>
      </c>
      <c r="BH71" s="190">
        <v>660000</v>
      </c>
      <c r="BI71" s="190">
        <v>660000</v>
      </c>
      <c r="BJ71" s="190">
        <v>800000</v>
      </c>
      <c r="BK71" s="190">
        <v>800000</v>
      </c>
      <c r="BL71" s="190">
        <v>600000</v>
      </c>
      <c r="BM71" s="190">
        <v>600000</v>
      </c>
      <c r="BN71" s="190">
        <v>600000</v>
      </c>
      <c r="BO71" s="190">
        <v>600000</v>
      </c>
      <c r="BP71" s="190">
        <v>600000</v>
      </c>
      <c r="BQ71" s="190">
        <v>600000</v>
      </c>
      <c r="BR71" s="190">
        <v>600000</v>
      </c>
      <c r="BS71" s="190">
        <v>4796469.0599999996</v>
      </c>
      <c r="BT71" s="190">
        <v>5604639.3099999996</v>
      </c>
      <c r="BU71" s="190">
        <v>5107788.07</v>
      </c>
      <c r="BV71" s="190">
        <v>5452987.25</v>
      </c>
      <c r="BW71" s="190">
        <v>5215482.6100000003</v>
      </c>
      <c r="BX71" s="190">
        <v>5909000.1500000004</v>
      </c>
      <c r="BY71" s="190">
        <v>5849780.1500000004</v>
      </c>
      <c r="BZ71" s="190">
        <v>19229610</v>
      </c>
      <c r="CA71" s="190">
        <v>19200000</v>
      </c>
      <c r="CB71" s="190">
        <v>36067551.43</v>
      </c>
      <c r="CC71" s="190">
        <v>35460426.859999999</v>
      </c>
      <c r="CD71" s="190">
        <v>0</v>
      </c>
    </row>
    <row r="72" spans="1:82" x14ac:dyDescent="0.25">
      <c r="A72" s="190" t="s">
        <v>176</v>
      </c>
      <c r="B72" s="190">
        <v>7273246058.6499996</v>
      </c>
      <c r="C72" s="190">
        <v>7321929033.7799997</v>
      </c>
      <c r="D72" s="190">
        <v>6774482522.4700003</v>
      </c>
      <c r="E72" s="190">
        <v>6717523526.9300003</v>
      </c>
      <c r="F72" s="190">
        <v>7975856453.7200003</v>
      </c>
      <c r="G72" s="190">
        <v>6055664421.5799999</v>
      </c>
      <c r="H72" s="190">
        <v>5886744498.8800001</v>
      </c>
      <c r="I72" s="190">
        <v>7239848775.71</v>
      </c>
      <c r="J72" s="190">
        <v>8179370790.1400003</v>
      </c>
      <c r="K72" s="190">
        <v>9271559424.9799995</v>
      </c>
      <c r="L72" s="190">
        <v>9745773515.5100002</v>
      </c>
      <c r="M72" s="190">
        <v>10462812199.799999</v>
      </c>
      <c r="N72" s="190">
        <v>9985343151.9899998</v>
      </c>
      <c r="O72" s="190">
        <v>9581089140.3199997</v>
      </c>
      <c r="P72" s="190">
        <v>8625716525.5400009</v>
      </c>
      <c r="Q72" s="190">
        <v>8447113087.1899996</v>
      </c>
      <c r="R72" s="190">
        <v>7432977882.9799995</v>
      </c>
      <c r="S72" s="190">
        <v>7162309732.54</v>
      </c>
      <c r="T72" s="190">
        <v>7306235848.6099997</v>
      </c>
      <c r="U72" s="190">
        <v>6133089667.5299997</v>
      </c>
      <c r="V72" s="190">
        <v>5521785869.3900003</v>
      </c>
      <c r="W72" s="190">
        <v>4771567106.5699997</v>
      </c>
      <c r="X72" s="190">
        <v>3898561440.71</v>
      </c>
      <c r="Y72" s="190">
        <v>3825572673.5700002</v>
      </c>
      <c r="Z72" s="190">
        <v>4354985566.9099998</v>
      </c>
      <c r="AA72" s="190">
        <v>3808702556.5500002</v>
      </c>
      <c r="AB72" s="190">
        <v>3700685060.71</v>
      </c>
      <c r="AC72" s="190">
        <v>3791617365.0700002</v>
      </c>
      <c r="AD72" s="190">
        <v>1227176583.25</v>
      </c>
      <c r="AE72" s="190">
        <v>1212559044.8800001</v>
      </c>
      <c r="AF72" s="190">
        <v>1201591236.04</v>
      </c>
      <c r="AG72" s="190">
        <v>1195674054.78</v>
      </c>
      <c r="AH72" s="190">
        <v>1201342489.9400001</v>
      </c>
      <c r="AI72" s="190">
        <v>1208277318.8800001</v>
      </c>
      <c r="AJ72" s="190">
        <v>1209898261.78</v>
      </c>
      <c r="AK72" s="190">
        <v>1215404915.8499999</v>
      </c>
      <c r="AL72" s="190">
        <v>1268347038.55</v>
      </c>
      <c r="AM72" s="190">
        <v>1257029480.46</v>
      </c>
      <c r="AN72" s="190">
        <v>1233859902.6099999</v>
      </c>
      <c r="AO72" s="190">
        <v>1235207517.24</v>
      </c>
      <c r="AP72" s="190">
        <v>1277281889.8199999</v>
      </c>
      <c r="AQ72" s="190">
        <v>1220815717.51</v>
      </c>
      <c r="AR72" s="190">
        <v>1270548893.74</v>
      </c>
      <c r="AS72" s="190">
        <v>1309316465.5699999</v>
      </c>
      <c r="AT72" s="190">
        <v>1374736752.1600001</v>
      </c>
      <c r="AU72" s="190">
        <v>1367262029.8299999</v>
      </c>
      <c r="AV72" s="190">
        <v>1333029660.49</v>
      </c>
      <c r="AW72" s="190">
        <v>1327802801.1700001</v>
      </c>
      <c r="AX72" s="190">
        <v>992131882.38999999</v>
      </c>
      <c r="AY72" s="190">
        <v>977972076.89999998</v>
      </c>
      <c r="AZ72" s="190">
        <v>0</v>
      </c>
      <c r="BA72" s="190">
        <v>945330855</v>
      </c>
      <c r="BB72" s="190">
        <v>903882142.99000001</v>
      </c>
      <c r="BC72" s="190">
        <v>920188518.5</v>
      </c>
      <c r="BD72" s="190">
        <v>957615317.76999998</v>
      </c>
      <c r="BE72" s="190">
        <v>1024004778.9</v>
      </c>
      <c r="BF72" s="190">
        <v>966244196.96000004</v>
      </c>
      <c r="BG72" s="190">
        <v>777987186.85000002</v>
      </c>
      <c r="BH72" s="190">
        <v>589702147.78999996</v>
      </c>
      <c r="BI72" s="190">
        <v>760308897.17999995</v>
      </c>
      <c r="BJ72" s="190">
        <v>733052327.45000005</v>
      </c>
      <c r="BK72" s="190">
        <v>713684099.22000003</v>
      </c>
      <c r="BL72" s="190">
        <v>693385122.45000005</v>
      </c>
      <c r="BM72" s="190">
        <v>646978142.27999997</v>
      </c>
      <c r="BN72" s="190">
        <v>637689928.76999998</v>
      </c>
      <c r="BO72" s="190">
        <v>632888078.04999995</v>
      </c>
      <c r="BP72" s="190">
        <v>636172914.62</v>
      </c>
      <c r="BQ72" s="190">
        <v>567815345.83000004</v>
      </c>
      <c r="BR72" s="190">
        <v>333323050.32999998</v>
      </c>
      <c r="BS72" s="190">
        <v>169996212.68000001</v>
      </c>
      <c r="BT72" s="190">
        <v>127495707.34999999</v>
      </c>
      <c r="BU72" s="190">
        <v>69263824.790000007</v>
      </c>
      <c r="BV72" s="190">
        <v>65203439.030000001</v>
      </c>
      <c r="BW72" s="190">
        <v>54644359.840000004</v>
      </c>
      <c r="BX72" s="190">
        <v>54108869.530000001</v>
      </c>
      <c r="BY72" s="190">
        <v>55991978.240000002</v>
      </c>
      <c r="BZ72" s="190">
        <v>54924216.600000001</v>
      </c>
      <c r="CA72" s="190">
        <v>54965158.229999997</v>
      </c>
      <c r="CB72" s="190">
        <v>87959759.069999993</v>
      </c>
      <c r="CC72" s="190">
        <v>79290806.269999996</v>
      </c>
      <c r="CD72" s="190">
        <v>0</v>
      </c>
    </row>
    <row r="73" spans="1:82" x14ac:dyDescent="0.25">
      <c r="A73" s="190" t="s">
        <v>177</v>
      </c>
    </row>
    <row r="74" spans="1:82" x14ac:dyDescent="0.25">
      <c r="A74" s="190" t="s">
        <v>178</v>
      </c>
      <c r="B74" s="190">
        <v>868305684</v>
      </c>
      <c r="C74" s="190">
        <v>878787180</v>
      </c>
      <c r="D74" s="190">
        <v>878787180</v>
      </c>
      <c r="E74" s="190">
        <v>878787180</v>
      </c>
      <c r="F74" s="190">
        <v>878787180</v>
      </c>
      <c r="G74" s="190">
        <v>880021332</v>
      </c>
      <c r="H74" s="190">
        <v>880021332</v>
      </c>
      <c r="I74" s="190">
        <v>880021332</v>
      </c>
      <c r="J74" s="190">
        <v>880021332</v>
      </c>
      <c r="K74" s="190">
        <v>885824188</v>
      </c>
      <c r="L74" s="190">
        <v>453516496</v>
      </c>
      <c r="M74" s="190">
        <v>453516496</v>
      </c>
      <c r="N74" s="190">
        <v>453516496</v>
      </c>
      <c r="O74" s="190">
        <v>453516496</v>
      </c>
      <c r="P74" s="190">
        <v>425516496</v>
      </c>
      <c r="Q74" s="190">
        <v>425516496</v>
      </c>
      <c r="R74" s="190">
        <v>235725511</v>
      </c>
      <c r="S74" s="190">
        <v>235725511</v>
      </c>
      <c r="T74" s="190">
        <v>235725511</v>
      </c>
      <c r="U74" s="190">
        <v>235725511</v>
      </c>
      <c r="V74" s="190">
        <v>235725511</v>
      </c>
      <c r="W74" s="190">
        <v>235725511</v>
      </c>
      <c r="X74" s="190">
        <v>235725511</v>
      </c>
      <c r="Y74" s="190">
        <v>235725511</v>
      </c>
      <c r="Z74" s="190">
        <v>235725511</v>
      </c>
      <c r="AA74" s="190">
        <v>235725511</v>
      </c>
      <c r="AB74" s="190">
        <v>235725511</v>
      </c>
      <c r="AC74" s="190">
        <v>235725511</v>
      </c>
      <c r="AD74" s="190">
        <v>174620264</v>
      </c>
      <c r="AE74" s="190">
        <v>174620264</v>
      </c>
      <c r="AF74" s="190">
        <v>174620264</v>
      </c>
      <c r="AG74" s="190">
        <v>174620264</v>
      </c>
      <c r="AH74" s="190">
        <v>174620264</v>
      </c>
      <c r="AI74" s="190">
        <v>174620264</v>
      </c>
      <c r="AJ74" s="190">
        <v>174620264</v>
      </c>
      <c r="AK74" s="190">
        <v>174620264</v>
      </c>
      <c r="AL74" s="190">
        <v>174620264</v>
      </c>
      <c r="AM74" s="190">
        <v>174620264</v>
      </c>
      <c r="AN74" s="190">
        <v>174620264</v>
      </c>
      <c r="AO74" s="190">
        <v>174620264</v>
      </c>
      <c r="AP74" s="190">
        <v>174620264</v>
      </c>
      <c r="AQ74" s="190">
        <v>174620264</v>
      </c>
      <c r="AR74" s="190">
        <v>174620264</v>
      </c>
      <c r="AS74" s="190">
        <v>174620264</v>
      </c>
      <c r="AT74" s="190">
        <v>174620264</v>
      </c>
      <c r="AU74" s="190">
        <v>174620264</v>
      </c>
      <c r="AV74" s="190">
        <v>174620264</v>
      </c>
      <c r="AW74" s="190">
        <v>135620262</v>
      </c>
      <c r="AX74" s="190">
        <v>135620262</v>
      </c>
      <c r="AY74" s="190">
        <v>135620262</v>
      </c>
      <c r="AZ74" s="190">
        <v>0</v>
      </c>
      <c r="BA74" s="190">
        <v>135620262</v>
      </c>
      <c r="BB74" s="190">
        <v>135620262</v>
      </c>
      <c r="BC74" s="190">
        <v>135620262</v>
      </c>
      <c r="BD74" s="190">
        <v>135620262</v>
      </c>
      <c r="BE74" s="190">
        <v>135620262</v>
      </c>
      <c r="BF74" s="190">
        <v>135620262</v>
      </c>
      <c r="BG74" s="190">
        <v>135620262</v>
      </c>
      <c r="BH74" s="190">
        <v>135620262</v>
      </c>
      <c r="BI74" s="190">
        <v>135620262</v>
      </c>
      <c r="BJ74" s="190">
        <v>135620262</v>
      </c>
      <c r="BK74" s="190">
        <v>135620262</v>
      </c>
      <c r="BL74" s="190">
        <v>135620262</v>
      </c>
      <c r="BM74" s="190">
        <v>135620262</v>
      </c>
      <c r="BN74" s="190">
        <v>135620262</v>
      </c>
      <c r="BO74" s="190">
        <v>135620262</v>
      </c>
      <c r="BP74" s="190">
        <v>135620262</v>
      </c>
      <c r="BQ74" s="190">
        <v>135620262</v>
      </c>
      <c r="BR74" s="190">
        <v>135620262</v>
      </c>
      <c r="BS74" s="190">
        <v>135620262</v>
      </c>
      <c r="BT74" s="190">
        <v>67810131</v>
      </c>
      <c r="BU74" s="190">
        <v>67810131</v>
      </c>
      <c r="BV74" s="190">
        <v>60023109</v>
      </c>
      <c r="BW74" s="190">
        <v>50019258</v>
      </c>
      <c r="BX74" s="190">
        <v>50019258</v>
      </c>
      <c r="BY74" s="190">
        <v>50019258</v>
      </c>
      <c r="BZ74" s="190">
        <v>37019258</v>
      </c>
      <c r="CA74" s="190">
        <v>20000000</v>
      </c>
      <c r="CB74" s="190">
        <v>20000000</v>
      </c>
      <c r="CC74" s="190">
        <v>20000000</v>
      </c>
      <c r="CD74" s="190">
        <v>0</v>
      </c>
    </row>
    <row r="75" spans="1:82" x14ac:dyDescent="0.25">
      <c r="A75" s="190" t="s">
        <v>179</v>
      </c>
      <c r="B75" s="190">
        <v>3201713463.3400002</v>
      </c>
      <c r="C75" s="190">
        <v>3240809443.4200001</v>
      </c>
      <c r="D75" s="190">
        <v>3240809443.4200001</v>
      </c>
      <c r="E75" s="190">
        <v>3240809443.4200001</v>
      </c>
      <c r="F75" s="190">
        <v>3253415845.21</v>
      </c>
      <c r="G75" s="190">
        <v>3257599620.4899998</v>
      </c>
      <c r="H75" s="190">
        <v>3251998739.73</v>
      </c>
      <c r="I75" s="190">
        <v>3250061030.9000001</v>
      </c>
      <c r="J75" s="190">
        <v>3248250190.9299998</v>
      </c>
      <c r="K75" s="190">
        <v>3262620645.9699998</v>
      </c>
      <c r="L75" s="190">
        <v>882572147.88999999</v>
      </c>
      <c r="M75" s="190">
        <v>882572147.88999999</v>
      </c>
      <c r="N75" s="190">
        <v>882759617.32000005</v>
      </c>
      <c r="O75" s="190">
        <v>882759617.32000005</v>
      </c>
      <c r="P75" s="190">
        <v>809679617.32000005</v>
      </c>
      <c r="Q75" s="190">
        <v>809679617.32000005</v>
      </c>
      <c r="R75" s="190">
        <v>160299.56</v>
      </c>
      <c r="S75" s="190">
        <v>159381.26999999999</v>
      </c>
      <c r="T75" s="190">
        <v>159381.26999999999</v>
      </c>
      <c r="U75" s="190">
        <v>159381.26999999999</v>
      </c>
      <c r="V75" s="190">
        <v>159381.26999999999</v>
      </c>
      <c r="W75" s="190">
        <v>159381.26999999999</v>
      </c>
      <c r="X75" s="190">
        <v>159381.26999999999</v>
      </c>
      <c r="Y75" s="190">
        <v>105493.59</v>
      </c>
      <c r="Z75" s="190">
        <v>2416419.69</v>
      </c>
      <c r="AA75" s="190">
        <v>2416419.69</v>
      </c>
      <c r="AB75" s="190">
        <v>2310926.1</v>
      </c>
      <c r="AC75" s="190">
        <v>2310926.1</v>
      </c>
      <c r="AD75" s="190">
        <v>20527531.399999999</v>
      </c>
      <c r="AE75" s="190">
        <v>20527531.399999999</v>
      </c>
      <c r="AF75" s="190">
        <v>20527531.399999999</v>
      </c>
      <c r="AG75" s="190">
        <v>20527531.399999999</v>
      </c>
      <c r="AH75" s="190">
        <v>20527531.399999999</v>
      </c>
      <c r="AI75" s="190">
        <v>20527531.399999999</v>
      </c>
      <c r="AJ75" s="190">
        <v>20527531.399999999</v>
      </c>
      <c r="AK75" s="190">
        <v>20527531.399999999</v>
      </c>
      <c r="AL75" s="190">
        <v>20527531.399999999</v>
      </c>
      <c r="AM75" s="190">
        <v>20527531.399999999</v>
      </c>
      <c r="AN75" s="190">
        <v>20527531.399999999</v>
      </c>
      <c r="AO75" s="190">
        <v>20527531.399999999</v>
      </c>
      <c r="AP75" s="190">
        <v>20527531.399999999</v>
      </c>
      <c r="AQ75" s="190">
        <v>20527531.399999999</v>
      </c>
      <c r="AR75" s="190">
        <v>20527531.399999999</v>
      </c>
      <c r="AS75" s="190">
        <v>20527531.399999999</v>
      </c>
      <c r="AT75" s="190">
        <v>21951848.879999999</v>
      </c>
      <c r="AU75" s="190">
        <v>22001848.879999999</v>
      </c>
      <c r="AV75" s="190">
        <v>22001848.879999999</v>
      </c>
      <c r="AW75" s="190">
        <v>59966533.399999999</v>
      </c>
      <c r="AX75" s="190">
        <v>60652251.18</v>
      </c>
      <c r="AY75" s="190">
        <v>60652251.18</v>
      </c>
      <c r="AZ75" s="190">
        <v>0</v>
      </c>
      <c r="BA75" s="190">
        <v>60652251.18</v>
      </c>
      <c r="BB75" s="190">
        <v>60507622.420000002</v>
      </c>
      <c r="BC75" s="190">
        <v>60507622.420000002</v>
      </c>
      <c r="BD75" s="190">
        <v>60507622.420000002</v>
      </c>
      <c r="BE75" s="190">
        <v>60507622.420000002</v>
      </c>
      <c r="BF75" s="190">
        <v>60507622.420000002</v>
      </c>
      <c r="BG75" s="190">
        <v>60507622.420000002</v>
      </c>
      <c r="BH75" s="190">
        <v>60507622.420000002</v>
      </c>
      <c r="BI75" s="190">
        <v>60507622.420000002</v>
      </c>
      <c r="BJ75" s="190">
        <v>59267788.640000001</v>
      </c>
      <c r="BK75" s="190">
        <v>59267788.640000001</v>
      </c>
      <c r="BL75" s="190">
        <v>59267788.640000001</v>
      </c>
      <c r="BM75" s="190">
        <v>59267788.640000001</v>
      </c>
      <c r="BN75" s="190">
        <v>59267788.640000001</v>
      </c>
      <c r="BO75" s="190">
        <v>59267788.640000001</v>
      </c>
      <c r="BP75" s="190">
        <v>59267788.640000001</v>
      </c>
      <c r="BQ75" s="190">
        <v>59267788.640000001</v>
      </c>
      <c r="BR75" s="190">
        <v>59267788.640000001</v>
      </c>
      <c r="BS75" s="190">
        <v>58515051.090000004</v>
      </c>
      <c r="BT75" s="190">
        <v>125199684.97</v>
      </c>
      <c r="BU75" s="190">
        <v>125199684.97</v>
      </c>
      <c r="BV75" s="190">
        <v>58011956.590000004</v>
      </c>
      <c r="BW75" s="190">
        <v>58011956.590000004</v>
      </c>
      <c r="BX75" s="190">
        <v>57970867.57</v>
      </c>
      <c r="BY75" s="190">
        <v>57970867.57</v>
      </c>
      <c r="BZ75" s="190">
        <v>0.56999999999999995</v>
      </c>
      <c r="CA75" s="190">
        <v>-213374.95</v>
      </c>
      <c r="CB75" s="190">
        <v>0</v>
      </c>
      <c r="CC75" s="190">
        <v>0</v>
      </c>
      <c r="CD75" s="190">
        <v>0</v>
      </c>
    </row>
    <row r="76" spans="1:82" x14ac:dyDescent="0.25">
      <c r="A76" s="190" t="s">
        <v>180</v>
      </c>
      <c r="B76" s="190">
        <v>0</v>
      </c>
      <c r="C76" s="190">
        <v>49577476.079999998</v>
      </c>
      <c r="D76" s="190">
        <v>49189660.729999997</v>
      </c>
      <c r="E76" s="190">
        <v>49189660.729999997</v>
      </c>
      <c r="F76" s="190">
        <v>49189660.729999997</v>
      </c>
      <c r="G76" s="190">
        <v>55146206.619999997</v>
      </c>
      <c r="H76" s="190">
        <v>100552047.29000001</v>
      </c>
      <c r="I76" s="190">
        <v>100552047.29000001</v>
      </c>
      <c r="J76" s="190">
        <v>100413158.55</v>
      </c>
      <c r="K76" s="190">
        <v>123682611.11</v>
      </c>
      <c r="L76" s="190">
        <v>123682611.11</v>
      </c>
      <c r="M76" s="190">
        <v>123682611.11</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0</v>
      </c>
      <c r="BZ76" s="190">
        <v>0</v>
      </c>
      <c r="CA76" s="190">
        <v>0</v>
      </c>
      <c r="CB76" s="190">
        <v>0</v>
      </c>
      <c r="CC76" s="190">
        <v>0</v>
      </c>
      <c r="CD76" s="190">
        <v>0</v>
      </c>
    </row>
    <row r="77" spans="1:82" x14ac:dyDescent="0.25">
      <c r="A77" s="190" t="s">
        <v>181</v>
      </c>
      <c r="B77" s="190">
        <v>-2786848.25</v>
      </c>
      <c r="C77" s="190">
        <v>-339126.77</v>
      </c>
      <c r="D77" s="190">
        <v>2439981.13</v>
      </c>
      <c r="E77" s="190">
        <v>138440.17000000001</v>
      </c>
      <c r="F77" s="190">
        <v>-730479.31</v>
      </c>
      <c r="G77" s="190">
        <v>-1941849.74</v>
      </c>
      <c r="H77" s="190">
        <v>-3015806.5</v>
      </c>
      <c r="I77" s="190">
        <v>-3758963.96</v>
      </c>
      <c r="J77" s="190">
        <v>-1257693.52</v>
      </c>
      <c r="K77" s="190">
        <v>-1089681.45</v>
      </c>
      <c r="L77" s="190">
        <v>391317.83</v>
      </c>
      <c r="M77" s="190">
        <v>48682.21</v>
      </c>
      <c r="N77" s="190">
        <v>42819.96</v>
      </c>
      <c r="O77" s="190">
        <v>-246.81</v>
      </c>
      <c r="P77" s="190">
        <v>-110.83</v>
      </c>
      <c r="Q77" s="190">
        <v>-14.77</v>
      </c>
      <c r="R77" s="190">
        <v>22.98</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row>
    <row r="78" spans="1:8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row>
    <row r="79" spans="1:82" x14ac:dyDescent="0.25">
      <c r="A79" s="190" t="s">
        <v>183</v>
      </c>
      <c r="B79" s="190">
        <v>199455337.50999999</v>
      </c>
      <c r="C79" s="190">
        <v>199455337.50999999</v>
      </c>
      <c r="D79" s="190">
        <v>199455337.50999999</v>
      </c>
      <c r="E79" s="190">
        <v>199455337.50999999</v>
      </c>
      <c r="F79" s="190">
        <v>188862939.80000001</v>
      </c>
      <c r="G79" s="190">
        <v>188862939.80000001</v>
      </c>
      <c r="H79" s="190">
        <v>188862939.80000001</v>
      </c>
      <c r="I79" s="190">
        <v>188862939.80000001</v>
      </c>
      <c r="J79" s="190">
        <v>123059121.70999999</v>
      </c>
      <c r="K79" s="190">
        <v>123059121.70999999</v>
      </c>
      <c r="L79" s="190">
        <v>123059121.70999999</v>
      </c>
      <c r="M79" s="190">
        <v>123059121.70999999</v>
      </c>
      <c r="N79" s="190">
        <v>109396308.86</v>
      </c>
      <c r="O79" s="190">
        <v>109396308.86</v>
      </c>
      <c r="P79" s="190">
        <v>109396308.86</v>
      </c>
      <c r="Q79" s="190">
        <v>109396308.86</v>
      </c>
      <c r="R79" s="190">
        <v>93097561.680000007</v>
      </c>
      <c r="S79" s="190">
        <v>93097561.680000007</v>
      </c>
      <c r="T79" s="190">
        <v>93097561.680000007</v>
      </c>
      <c r="U79" s="190">
        <v>93097561.680000007</v>
      </c>
      <c r="V79" s="190">
        <v>63012041.219999999</v>
      </c>
      <c r="W79" s="190">
        <v>63012041.219999999</v>
      </c>
      <c r="X79" s="190">
        <v>63012041.219999999</v>
      </c>
      <c r="Y79" s="190">
        <v>63012041.219999999</v>
      </c>
      <c r="Z79" s="190">
        <v>50563718.979999997</v>
      </c>
      <c r="AA79" s="190">
        <v>50563718.979999997</v>
      </c>
      <c r="AB79" s="190">
        <v>50563718.979999997</v>
      </c>
      <c r="AC79" s="190">
        <v>50563718.979999997</v>
      </c>
      <c r="AD79" s="190">
        <v>21571944.789999999</v>
      </c>
      <c r="AE79" s="190">
        <v>21571944.789999999</v>
      </c>
      <c r="AF79" s="190">
        <v>21571944.789999999</v>
      </c>
      <c r="AG79" s="190">
        <v>21571944.789999999</v>
      </c>
      <c r="AH79" s="190">
        <v>21571944.789999999</v>
      </c>
      <c r="AI79" s="190">
        <v>21571944.789999999</v>
      </c>
      <c r="AJ79" s="190">
        <v>21571944.789999999</v>
      </c>
      <c r="AK79" s="190">
        <v>21571944.789999999</v>
      </c>
      <c r="AL79" s="190">
        <v>21571944.789999999</v>
      </c>
      <c r="AM79" s="190">
        <v>21571944.789999999</v>
      </c>
      <c r="AN79" s="190">
        <v>21571944.789999999</v>
      </c>
      <c r="AO79" s="190">
        <v>21571944.789999999</v>
      </c>
      <c r="AP79" s="190">
        <v>21571944.789999999</v>
      </c>
      <c r="AQ79" s="190">
        <v>21571944.789999999</v>
      </c>
      <c r="AR79" s="190">
        <v>21571944.789999999</v>
      </c>
      <c r="AS79" s="190">
        <v>21571944.789999999</v>
      </c>
      <c r="AT79" s="190">
        <v>21571944.789999999</v>
      </c>
      <c r="AU79" s="190">
        <v>21571944.789999999</v>
      </c>
      <c r="AV79" s="190">
        <v>21571944.789999999</v>
      </c>
      <c r="AW79" s="190">
        <v>21571944.789999999</v>
      </c>
      <c r="AX79" s="190">
        <v>21571944.789999999</v>
      </c>
      <c r="AY79" s="190">
        <v>21571944.789999999</v>
      </c>
      <c r="AZ79" s="190">
        <v>0</v>
      </c>
      <c r="BA79" s="190">
        <v>21571944.789999999</v>
      </c>
      <c r="BB79" s="190">
        <v>22482685.129999999</v>
      </c>
      <c r="BC79" s="190">
        <v>22482685.129999999</v>
      </c>
      <c r="BD79" s="190">
        <v>22482685.129999999</v>
      </c>
      <c r="BE79" s="190">
        <v>22482685.129999999</v>
      </c>
      <c r="BF79" s="190">
        <v>21579696.260000002</v>
      </c>
      <c r="BG79" s="190">
        <v>21579696.260000002</v>
      </c>
      <c r="BH79" s="190">
        <v>22490436.600000001</v>
      </c>
      <c r="BI79" s="190">
        <v>22482685.129999999</v>
      </c>
      <c r="BJ79" s="190">
        <v>26963659.27</v>
      </c>
      <c r="BK79" s="190">
        <v>26963659.27</v>
      </c>
      <c r="BL79" s="190">
        <v>26963659.27</v>
      </c>
      <c r="BM79" s="190">
        <v>26963659.27</v>
      </c>
      <c r="BN79" s="190">
        <v>24408649.969999999</v>
      </c>
      <c r="BO79" s="190">
        <v>24408649.969999999</v>
      </c>
      <c r="BP79" s="190">
        <v>24408649.969999999</v>
      </c>
      <c r="BQ79" s="190">
        <v>24408649.969999999</v>
      </c>
      <c r="BR79" s="190">
        <v>19100978.469999999</v>
      </c>
      <c r="BS79" s="190">
        <v>19100978.469999999</v>
      </c>
      <c r="BT79" s="190">
        <v>10207141.859999999</v>
      </c>
      <c r="BU79" s="190">
        <v>10207141.85</v>
      </c>
      <c r="BV79" s="190">
        <v>4386465.8600000003</v>
      </c>
      <c r="BW79" s="190">
        <v>6753461.6699999999</v>
      </c>
      <c r="BX79" s="190">
        <v>2304393.67</v>
      </c>
      <c r="BY79" s="190">
        <v>2196653.7799999998</v>
      </c>
      <c r="BZ79" s="190">
        <v>0</v>
      </c>
      <c r="CA79" s="190">
        <v>6615870.6799999997</v>
      </c>
      <c r="CB79" s="190">
        <v>4659260.6100000003</v>
      </c>
      <c r="CC79" s="190">
        <v>2143254.92</v>
      </c>
      <c r="CD79" s="190">
        <v>0</v>
      </c>
    </row>
    <row r="80" spans="1:8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row>
    <row r="81" spans="1:82" x14ac:dyDescent="0.25">
      <c r="A81" s="190" t="s">
        <v>185</v>
      </c>
      <c r="B81" s="190">
        <v>1956509806.72</v>
      </c>
      <c r="C81" s="190">
        <v>1882858583.47</v>
      </c>
      <c r="D81" s="190">
        <v>2038475010.05</v>
      </c>
      <c r="E81" s="190">
        <v>2118011143.8699999</v>
      </c>
      <c r="F81" s="190">
        <v>2201060088.9400001</v>
      </c>
      <c r="G81" s="190">
        <v>2232134132.0900002</v>
      </c>
      <c r="H81" s="190">
        <v>2224928181.3499999</v>
      </c>
      <c r="I81" s="190">
        <v>2139569480.4400001</v>
      </c>
      <c r="J81" s="190">
        <v>1948913446.24</v>
      </c>
      <c r="K81" s="190">
        <v>2099112069.5999999</v>
      </c>
      <c r="L81" s="190">
        <v>2053163618.28</v>
      </c>
      <c r="M81" s="190">
        <v>1638363677.3</v>
      </c>
      <c r="N81" s="190">
        <v>1560432847.22</v>
      </c>
      <c r="O81" s="190">
        <v>1635737740.7</v>
      </c>
      <c r="P81" s="190">
        <v>1572725361.4300001</v>
      </c>
      <c r="Q81" s="190">
        <v>1640237817.54</v>
      </c>
      <c r="R81" s="190">
        <v>1543082325.49</v>
      </c>
      <c r="S81" s="190">
        <v>1548694741.1800001</v>
      </c>
      <c r="T81" s="190">
        <v>1527872571.71</v>
      </c>
      <c r="U81" s="190">
        <v>1510383870.54</v>
      </c>
      <c r="V81" s="190">
        <v>1102500388.5599999</v>
      </c>
      <c r="W81" s="190">
        <v>1129336861.3399999</v>
      </c>
      <c r="X81" s="190">
        <v>1066828632</v>
      </c>
      <c r="Y81" s="190">
        <v>1060341698.88</v>
      </c>
      <c r="Z81" s="190">
        <v>784849286.64999998</v>
      </c>
      <c r="AA81" s="190">
        <v>749647717.25</v>
      </c>
      <c r="AB81" s="190">
        <v>624146682.94000006</v>
      </c>
      <c r="AC81" s="190">
        <v>640288687.39999998</v>
      </c>
      <c r="AD81" s="190">
        <v>-1272194940.1300001</v>
      </c>
      <c r="AE81" s="190">
        <v>-1260091067.2</v>
      </c>
      <c r="AF81" s="190">
        <v>-1247741435.1099999</v>
      </c>
      <c r="AG81" s="190">
        <v>-1241270849.51</v>
      </c>
      <c r="AH81" s="190">
        <v>-1255638190.5</v>
      </c>
      <c r="AI81" s="190">
        <v>-1243216938.8800001</v>
      </c>
      <c r="AJ81" s="190">
        <v>-1242177468</v>
      </c>
      <c r="AK81" s="190">
        <v>-1246831532.4000001</v>
      </c>
      <c r="AL81" s="190">
        <v>-1294149788.0999999</v>
      </c>
      <c r="AM81" s="190">
        <v>-1277939361.98</v>
      </c>
      <c r="AN81" s="190">
        <v>-1253739734.9100001</v>
      </c>
      <c r="AO81" s="190">
        <v>-1254960386.4000001</v>
      </c>
      <c r="AP81" s="190">
        <v>-1283234351.8299999</v>
      </c>
      <c r="AQ81" s="190">
        <v>-1202692517.5699999</v>
      </c>
      <c r="AR81" s="190">
        <v>-1237504465.3</v>
      </c>
      <c r="AS81" s="190">
        <v>-1259856165.4400001</v>
      </c>
      <c r="AT81" s="190">
        <v>-1333939656.6800001</v>
      </c>
      <c r="AU81" s="190">
        <v>-1315442593.1800001</v>
      </c>
      <c r="AV81" s="190">
        <v>-1302027306.21</v>
      </c>
      <c r="AW81" s="190">
        <v>-1290229570.8499999</v>
      </c>
      <c r="AX81" s="190">
        <v>-584766567.00999999</v>
      </c>
      <c r="AY81" s="190">
        <v>-570551778.64999998</v>
      </c>
      <c r="AZ81" s="190">
        <v>0</v>
      </c>
      <c r="BA81" s="190">
        <v>-521818981.72000003</v>
      </c>
      <c r="BB81" s="190">
        <v>-152554403.47999999</v>
      </c>
      <c r="BC81" s="190">
        <v>-136037668.50999999</v>
      </c>
      <c r="BD81" s="190">
        <v>-99128768.969999999</v>
      </c>
      <c r="BE81" s="190">
        <v>-80139442.700000003</v>
      </c>
      <c r="BF81" s="190">
        <v>98996604.840000004</v>
      </c>
      <c r="BG81" s="190">
        <v>107740065.94</v>
      </c>
      <c r="BH81" s="190">
        <v>103827758.77</v>
      </c>
      <c r="BI81" s="190">
        <v>101958237.09999999</v>
      </c>
      <c r="BJ81" s="190">
        <v>89163691.680000007</v>
      </c>
      <c r="BK81" s="190">
        <v>86082448.390000001</v>
      </c>
      <c r="BL81" s="190">
        <v>79722180.890000001</v>
      </c>
      <c r="BM81" s="190">
        <v>78547973.319999993</v>
      </c>
      <c r="BN81" s="190">
        <v>74506011.819999993</v>
      </c>
      <c r="BO81" s="190">
        <v>75049128.310000002</v>
      </c>
      <c r="BP81" s="190">
        <v>66002158.57</v>
      </c>
      <c r="BQ81" s="190">
        <v>63837671.289999999</v>
      </c>
      <c r="BR81" s="190">
        <v>54949240.659999996</v>
      </c>
      <c r="BS81" s="190">
        <v>37253058.380000003</v>
      </c>
      <c r="BT81" s="190">
        <v>37091487.659999996</v>
      </c>
      <c r="BU81" s="190">
        <v>21963546.879999999</v>
      </c>
      <c r="BV81" s="190">
        <v>21924044.27</v>
      </c>
      <c r="BW81" s="190">
        <v>22489644.050000001</v>
      </c>
      <c r="BX81" s="190">
        <v>16267434.560000001</v>
      </c>
      <c r="BY81" s="190">
        <v>10340362.76</v>
      </c>
      <c r="BZ81" s="190">
        <v>4113077.78</v>
      </c>
      <c r="CA81" s="190">
        <v>9189933.8300000001</v>
      </c>
      <c r="CB81" s="190">
        <v>6102476.7699999996</v>
      </c>
      <c r="CC81" s="190">
        <v>4345111.21</v>
      </c>
      <c r="CD81" s="190">
        <v>0</v>
      </c>
    </row>
    <row r="82" spans="1:82" x14ac:dyDescent="0.25">
      <c r="A82" s="190" t="s">
        <v>186</v>
      </c>
      <c r="B82" s="190">
        <v>6223197443.3199997</v>
      </c>
      <c r="C82" s="190">
        <v>6151993941.5500002</v>
      </c>
      <c r="D82" s="190">
        <v>6310777291.3800001</v>
      </c>
      <c r="E82" s="190">
        <v>6388011884.2399998</v>
      </c>
      <c r="F82" s="190">
        <v>6472205913.9099998</v>
      </c>
      <c r="G82" s="190">
        <v>6501529968.0200005</v>
      </c>
      <c r="H82" s="190">
        <v>6442243339.0900002</v>
      </c>
      <c r="I82" s="190">
        <v>6354203771.8900003</v>
      </c>
      <c r="J82" s="190">
        <v>6098573238.8100004</v>
      </c>
      <c r="K82" s="190">
        <v>6245843732.7200003</v>
      </c>
      <c r="L82" s="190">
        <v>3389020090.5999999</v>
      </c>
      <c r="M82" s="190">
        <v>2973877514</v>
      </c>
      <c r="N82" s="190">
        <v>3006148089.3600001</v>
      </c>
      <c r="O82" s="190">
        <v>3081409916.0700002</v>
      </c>
      <c r="P82" s="190">
        <v>2917317672.7800002</v>
      </c>
      <c r="Q82" s="190">
        <v>2984830224.9499998</v>
      </c>
      <c r="R82" s="190">
        <v>1872065720.71</v>
      </c>
      <c r="S82" s="190">
        <v>1877677244.25</v>
      </c>
      <c r="T82" s="190">
        <v>1856855054.24</v>
      </c>
      <c r="U82" s="190">
        <v>1839366288.6400001</v>
      </c>
      <c r="V82" s="190">
        <v>1401397322.05</v>
      </c>
      <c r="W82" s="190">
        <v>1428233794.8299999</v>
      </c>
      <c r="X82" s="190">
        <v>1365725565.49</v>
      </c>
      <c r="Y82" s="190">
        <v>1359184744.6900001</v>
      </c>
      <c r="Z82" s="190">
        <v>1073554936.3200001</v>
      </c>
      <c r="AA82" s="190">
        <v>1038353366.92</v>
      </c>
      <c r="AB82" s="190">
        <v>912746839.01999998</v>
      </c>
      <c r="AC82" s="190">
        <v>928888843.48000002</v>
      </c>
      <c r="AD82" s="190">
        <v>-1055475199.9400001</v>
      </c>
      <c r="AE82" s="190">
        <v>-1043371327.01</v>
      </c>
      <c r="AF82" s="190">
        <v>-1031021694.92</v>
      </c>
      <c r="AG82" s="190">
        <v>-1024551109.3200001</v>
      </c>
      <c r="AH82" s="190">
        <v>-1038918450.3099999</v>
      </c>
      <c r="AI82" s="190">
        <v>-1026497198.6900001</v>
      </c>
      <c r="AJ82" s="190">
        <v>-1025457727.8099999</v>
      </c>
      <c r="AK82" s="190">
        <v>-1030111792.21</v>
      </c>
      <c r="AL82" s="190">
        <v>-1077430047.9100001</v>
      </c>
      <c r="AM82" s="190">
        <v>-1061219621.79</v>
      </c>
      <c r="AN82" s="190">
        <v>-1037019994.72</v>
      </c>
      <c r="AO82" s="190">
        <v>-1038240646.21</v>
      </c>
      <c r="AP82" s="190">
        <v>-1066514611.64</v>
      </c>
      <c r="AQ82" s="190">
        <v>-985972777.38</v>
      </c>
      <c r="AR82" s="190">
        <v>-1020784725.11</v>
      </c>
      <c r="AS82" s="190">
        <v>-1043136425.25</v>
      </c>
      <c r="AT82" s="190">
        <v>-1115795599.01</v>
      </c>
      <c r="AU82" s="190">
        <v>-1097248535.51</v>
      </c>
      <c r="AV82" s="190">
        <v>-1083833248.54</v>
      </c>
      <c r="AW82" s="190">
        <v>-1073070830.66</v>
      </c>
      <c r="AX82" s="190">
        <v>-366922109.04000002</v>
      </c>
      <c r="AY82" s="190">
        <v>-352707320.68000001</v>
      </c>
      <c r="AZ82" s="190">
        <v>-322803201.73000002</v>
      </c>
      <c r="BA82" s="190">
        <v>-303974523.75</v>
      </c>
      <c r="BB82" s="190">
        <v>66056166.07</v>
      </c>
      <c r="BC82" s="190">
        <v>82572901.040000007</v>
      </c>
      <c r="BD82" s="190">
        <v>119481800.58</v>
      </c>
      <c r="BE82" s="190">
        <v>138471126.84999999</v>
      </c>
      <c r="BF82" s="190">
        <v>316704185.51999998</v>
      </c>
      <c r="BG82" s="190">
        <v>325447646.62</v>
      </c>
      <c r="BH82" s="190">
        <v>322446079.79000002</v>
      </c>
      <c r="BI82" s="190">
        <v>320568806.64999998</v>
      </c>
      <c r="BJ82" s="190">
        <v>311015401.58999997</v>
      </c>
      <c r="BK82" s="190">
        <v>307934158.30000001</v>
      </c>
      <c r="BL82" s="190">
        <v>301573890.80000001</v>
      </c>
      <c r="BM82" s="190">
        <v>300399683.23000002</v>
      </c>
      <c r="BN82" s="190">
        <v>293802712.43000001</v>
      </c>
      <c r="BO82" s="190">
        <v>294345828.92000002</v>
      </c>
      <c r="BP82" s="190">
        <v>285298859.18000001</v>
      </c>
      <c r="BQ82" s="190">
        <v>283134371.89999998</v>
      </c>
      <c r="BR82" s="190">
        <v>268938269.76999998</v>
      </c>
      <c r="BS82" s="190">
        <v>250489349.94</v>
      </c>
      <c r="BT82" s="190">
        <v>240308445.49000001</v>
      </c>
      <c r="BU82" s="190">
        <v>225180504.69999999</v>
      </c>
      <c r="BV82" s="190">
        <v>144345575.72</v>
      </c>
      <c r="BW82" s="190">
        <v>137274320.31</v>
      </c>
      <c r="BX82" s="190">
        <v>126561953.8</v>
      </c>
      <c r="BY82" s="190">
        <v>120527142.11</v>
      </c>
      <c r="BZ82" s="190">
        <v>41132336.350000001</v>
      </c>
      <c r="CA82" s="190">
        <v>35592429.560000002</v>
      </c>
      <c r="CB82" s="190">
        <v>30761737.379999999</v>
      </c>
      <c r="CC82" s="190">
        <v>26488366.129999999</v>
      </c>
      <c r="CD82" s="190">
        <v>0</v>
      </c>
    </row>
    <row r="83" spans="1:82" x14ac:dyDescent="0.25">
      <c r="A83" s="190" t="s">
        <v>187</v>
      </c>
      <c r="B83" s="190">
        <v>-67266707.599999994</v>
      </c>
      <c r="C83" s="190">
        <v>-56547102.890000001</v>
      </c>
      <c r="D83" s="190">
        <v>-45953501.939999998</v>
      </c>
      <c r="E83" s="190">
        <v>-35627953.859999999</v>
      </c>
      <c r="F83" s="190">
        <v>-25171050.41</v>
      </c>
      <c r="G83" s="190">
        <v>-15051575.310000001</v>
      </c>
      <c r="H83" s="190">
        <v>-4644496.3499999996</v>
      </c>
      <c r="I83" s="190">
        <v>267964228.87</v>
      </c>
      <c r="J83" s="190">
        <v>20596258.739999998</v>
      </c>
      <c r="K83" s="190">
        <v>29966128.129999999</v>
      </c>
      <c r="L83" s="190">
        <v>34026482.57</v>
      </c>
      <c r="M83" s="190">
        <v>39890790.340000004</v>
      </c>
      <c r="N83" s="190">
        <v>96981914.150000006</v>
      </c>
      <c r="O83" s="190">
        <v>83428671.489999995</v>
      </c>
      <c r="P83" s="190">
        <v>89898613.730000004</v>
      </c>
      <c r="Q83" s="190">
        <v>86278537.400000006</v>
      </c>
      <c r="R83" s="190">
        <v>93418452.730000004</v>
      </c>
      <c r="S83" s="190">
        <v>101010974.45999999</v>
      </c>
      <c r="T83" s="190">
        <v>107353515.20999999</v>
      </c>
      <c r="U83" s="190">
        <v>103637457.61</v>
      </c>
      <c r="V83" s="190">
        <v>105350948.26000001</v>
      </c>
      <c r="W83" s="190">
        <v>32643828.02</v>
      </c>
      <c r="X83" s="190">
        <v>38771572.090000004</v>
      </c>
      <c r="Y83" s="190">
        <v>32403271.940000001</v>
      </c>
      <c r="Z83" s="190">
        <v>34246288.560000002</v>
      </c>
      <c r="AA83" s="190">
        <v>39130132.390000001</v>
      </c>
      <c r="AB83" s="190">
        <v>43198619.140000001</v>
      </c>
      <c r="AC83" s="190">
        <v>48614704.479999997</v>
      </c>
      <c r="AD83" s="190">
        <v>-446216.96000000002</v>
      </c>
      <c r="AE83" s="190">
        <v>-457335.99</v>
      </c>
      <c r="AF83" s="190">
        <v>-284069.53000000003</v>
      </c>
      <c r="AG83" s="190">
        <v>-275249.46999999997</v>
      </c>
      <c r="AH83" s="190">
        <v>659709.84</v>
      </c>
      <c r="AI83" s="190">
        <v>663095.11</v>
      </c>
      <c r="AJ83" s="190">
        <v>788525.15</v>
      </c>
      <c r="AK83" s="190">
        <v>321238.02</v>
      </c>
      <c r="AL83" s="190">
        <v>859833.76</v>
      </c>
      <c r="AM83" s="190">
        <v>956913.46</v>
      </c>
      <c r="AN83" s="190">
        <v>1037500.22</v>
      </c>
      <c r="AO83" s="190">
        <v>1023143.25</v>
      </c>
      <c r="AP83" s="190">
        <v>1295232.96</v>
      </c>
      <c r="AQ83" s="190">
        <v>1428133.45</v>
      </c>
      <c r="AR83" s="190">
        <v>2460062.7400000002</v>
      </c>
      <c r="AS83" s="190">
        <v>2698646.57</v>
      </c>
      <c r="AT83" s="190">
        <v>988627.58</v>
      </c>
      <c r="AU83" s="190">
        <v>1361643.88</v>
      </c>
      <c r="AV83" s="190">
        <v>1515869.61</v>
      </c>
      <c r="AW83" s="190">
        <v>1663033.56</v>
      </c>
      <c r="AX83" s="190">
        <v>2512133.59</v>
      </c>
      <c r="AY83" s="190">
        <v>2333500.8199999998</v>
      </c>
      <c r="AZ83" s="190">
        <v>0</v>
      </c>
      <c r="BA83" s="190">
        <v>2971474.6</v>
      </c>
      <c r="BB83" s="190">
        <v>3463420.43</v>
      </c>
      <c r="BC83" s="190">
        <v>3722021.32</v>
      </c>
      <c r="BD83" s="190">
        <v>3877255.19</v>
      </c>
      <c r="BE83" s="190">
        <v>4135153.63</v>
      </c>
      <c r="BF83" s="190">
        <v>3480493.85</v>
      </c>
      <c r="BG83" s="190">
        <v>0</v>
      </c>
      <c r="BH83" s="190">
        <v>1082393.33</v>
      </c>
      <c r="BI83" s="190">
        <v>1235175.04</v>
      </c>
      <c r="BJ83" s="190">
        <v>23919539.579999998</v>
      </c>
      <c r="BK83" s="190">
        <v>23940400.920000002</v>
      </c>
      <c r="BL83" s="190">
        <v>23704195.809999999</v>
      </c>
      <c r="BM83" s="190">
        <v>23806838.300000001</v>
      </c>
      <c r="BN83" s="190">
        <v>24248382.27</v>
      </c>
      <c r="BO83" s="190">
        <v>24496721.949999999</v>
      </c>
      <c r="BP83" s="190">
        <v>24283998.050000001</v>
      </c>
      <c r="BQ83" s="190">
        <v>24325892.57</v>
      </c>
      <c r="BR83" s="190">
        <v>23977211.34</v>
      </c>
      <c r="BS83" s="190">
        <v>41740173.439999998</v>
      </c>
      <c r="BT83" s="190">
        <v>39482586.789999999</v>
      </c>
      <c r="BU83" s="190">
        <v>34656408.630000003</v>
      </c>
      <c r="BV83" s="190">
        <v>35144119.630000003</v>
      </c>
      <c r="BW83" s="190">
        <v>15707130.880000001</v>
      </c>
      <c r="BX83" s="190">
        <v>12894632.48</v>
      </c>
      <c r="BY83" s="190">
        <v>11914303.09</v>
      </c>
      <c r="BZ83" s="190">
        <v>0</v>
      </c>
      <c r="CA83" s="190">
        <v>0</v>
      </c>
      <c r="CB83" s="190">
        <v>0</v>
      </c>
      <c r="CC83" s="190">
        <v>0</v>
      </c>
      <c r="CD83" s="190">
        <v>0</v>
      </c>
    </row>
    <row r="84" spans="1:82" x14ac:dyDescent="0.25">
      <c r="A84" s="190" t="s">
        <v>188</v>
      </c>
      <c r="B84" s="190">
        <v>6155930735.7200003</v>
      </c>
      <c r="C84" s="190">
        <v>6095446838.6599998</v>
      </c>
      <c r="D84" s="190">
        <v>6264823789.4399996</v>
      </c>
      <c r="E84" s="190">
        <v>6352383930.3800001</v>
      </c>
      <c r="F84" s="190">
        <v>6447034863.5</v>
      </c>
      <c r="G84" s="190">
        <v>6486478392.71</v>
      </c>
      <c r="H84" s="190">
        <v>6437598842.7399998</v>
      </c>
      <c r="I84" s="190">
        <v>6622168000.7600002</v>
      </c>
      <c r="J84" s="190">
        <v>6119169497.5500002</v>
      </c>
      <c r="K84" s="190">
        <v>6275809860.8500004</v>
      </c>
      <c r="L84" s="190">
        <v>3423046573.1700001</v>
      </c>
      <c r="M84" s="190">
        <v>3013768304.3400002</v>
      </c>
      <c r="N84" s="190">
        <v>3103130003.5100002</v>
      </c>
      <c r="O84" s="190">
        <v>3164838587.5599999</v>
      </c>
      <c r="P84" s="190">
        <v>3007216286.5100002</v>
      </c>
      <c r="Q84" s="190">
        <v>3071108762.3499999</v>
      </c>
      <c r="R84" s="190">
        <v>1965484173.4400001</v>
      </c>
      <c r="S84" s="190">
        <v>1978688218.71</v>
      </c>
      <c r="T84" s="190">
        <v>1964208569.45</v>
      </c>
      <c r="U84" s="190">
        <v>1943003746.25</v>
      </c>
      <c r="V84" s="190">
        <v>1506748270.3099999</v>
      </c>
      <c r="W84" s="190">
        <v>1460877622.8499999</v>
      </c>
      <c r="X84" s="190">
        <v>1404497137.5799999</v>
      </c>
      <c r="Y84" s="190">
        <v>1391588016.6300001</v>
      </c>
      <c r="Z84" s="190">
        <v>1107801224.8800001</v>
      </c>
      <c r="AA84" s="190">
        <v>1077483499.3099999</v>
      </c>
      <c r="AB84" s="190">
        <v>955945458.15999997</v>
      </c>
      <c r="AC84" s="190">
        <v>977503547.96000004</v>
      </c>
      <c r="AD84" s="190">
        <v>-1055921416.9</v>
      </c>
      <c r="AE84" s="190">
        <v>-1043828663</v>
      </c>
      <c r="AF84" s="190">
        <v>-1031305764.45</v>
      </c>
      <c r="AG84" s="190">
        <v>-1024826358.79</v>
      </c>
      <c r="AH84" s="190">
        <v>-1038258740.47</v>
      </c>
      <c r="AI84" s="190">
        <v>-1025834103.58</v>
      </c>
      <c r="AJ84" s="190">
        <v>-1024669202.66</v>
      </c>
      <c r="AK84" s="190">
        <v>-1029790554.1900001</v>
      </c>
      <c r="AL84" s="190">
        <v>-1076570214.1500001</v>
      </c>
      <c r="AM84" s="190">
        <v>-1060262708.33</v>
      </c>
      <c r="AN84" s="190">
        <v>-1035982494.5</v>
      </c>
      <c r="AO84" s="190">
        <v>-1037217502.96</v>
      </c>
      <c r="AP84" s="190">
        <v>-1065219378.6799999</v>
      </c>
      <c r="AQ84" s="190">
        <v>-984544643.92999995</v>
      </c>
      <c r="AR84" s="190">
        <v>-1018324662.37</v>
      </c>
      <c r="AS84" s="190">
        <v>-1040437778.6799999</v>
      </c>
      <c r="AT84" s="190">
        <v>-1114806971.4300001</v>
      </c>
      <c r="AU84" s="190">
        <v>-1095886891.6300001</v>
      </c>
      <c r="AV84" s="190">
        <v>-1082317378.9300001</v>
      </c>
      <c r="AW84" s="190">
        <v>-1071407797.1</v>
      </c>
      <c r="AX84" s="190">
        <v>-364409975.44999999</v>
      </c>
      <c r="AY84" s="190">
        <v>-350373819.86000001</v>
      </c>
      <c r="AZ84" s="190">
        <v>-322803201.73000002</v>
      </c>
      <c r="BA84" s="190">
        <v>-301003049.14999998</v>
      </c>
      <c r="BB84" s="190">
        <v>69519586.5</v>
      </c>
      <c r="BC84" s="190">
        <v>86294922.359999999</v>
      </c>
      <c r="BD84" s="190">
        <v>123359055.77</v>
      </c>
      <c r="BE84" s="190">
        <v>142606280.47999999</v>
      </c>
      <c r="BF84" s="190">
        <v>320184679.37</v>
      </c>
      <c r="BG84" s="190">
        <v>325447646.62</v>
      </c>
      <c r="BH84" s="190">
        <v>323528473.12</v>
      </c>
      <c r="BI84" s="190">
        <v>321803981.69</v>
      </c>
      <c r="BJ84" s="190">
        <v>334934941.17000002</v>
      </c>
      <c r="BK84" s="190">
        <v>331874559.22000003</v>
      </c>
      <c r="BL84" s="190">
        <v>325278086.61000001</v>
      </c>
      <c r="BM84" s="190">
        <v>324206521.52999997</v>
      </c>
      <c r="BN84" s="190">
        <v>318051094.69999999</v>
      </c>
      <c r="BO84" s="190">
        <v>318842550.87</v>
      </c>
      <c r="BP84" s="190">
        <v>309582857.23000002</v>
      </c>
      <c r="BQ84" s="190">
        <v>307460264.47000003</v>
      </c>
      <c r="BR84" s="190">
        <v>292915481.11000001</v>
      </c>
      <c r="BS84" s="190">
        <v>292229523.38</v>
      </c>
      <c r="BT84" s="190">
        <v>279791032.27999997</v>
      </c>
      <c r="BU84" s="190">
        <v>259836913.33000001</v>
      </c>
      <c r="BV84" s="190">
        <v>179489695.34999999</v>
      </c>
      <c r="BW84" s="190">
        <v>152981451.19</v>
      </c>
      <c r="BX84" s="190">
        <v>139456586.28</v>
      </c>
      <c r="BY84" s="190">
        <v>132441445.2</v>
      </c>
      <c r="BZ84" s="190">
        <v>41132336.350000001</v>
      </c>
      <c r="CA84" s="190">
        <v>35592429.560000002</v>
      </c>
      <c r="CB84" s="190">
        <v>30761737.379999999</v>
      </c>
      <c r="CC84" s="190">
        <v>26488366.129999999</v>
      </c>
      <c r="CD84" s="190">
        <v>0</v>
      </c>
    </row>
    <row r="85" spans="1:82" x14ac:dyDescent="0.25">
      <c r="A85" s="190" t="s">
        <v>189</v>
      </c>
      <c r="B85" s="190">
        <v>13429176794.370001</v>
      </c>
      <c r="C85" s="190">
        <v>13417375872.440001</v>
      </c>
      <c r="D85" s="190">
        <v>13039306311.91</v>
      </c>
      <c r="E85" s="190">
        <v>13069907457.309999</v>
      </c>
      <c r="F85" s="190">
        <v>14422891317.219999</v>
      </c>
      <c r="G85" s="190">
        <v>12542142814.290001</v>
      </c>
      <c r="H85" s="190">
        <v>12324343341.620001</v>
      </c>
      <c r="I85" s="190">
        <v>13862016776.469999</v>
      </c>
      <c r="J85" s="190">
        <v>14298540287.690001</v>
      </c>
      <c r="K85" s="190">
        <v>15547369285.83</v>
      </c>
      <c r="L85" s="190">
        <v>13168820088.68</v>
      </c>
      <c r="M85" s="190">
        <v>13476580504.139999</v>
      </c>
      <c r="N85" s="190">
        <v>13088473155.5</v>
      </c>
      <c r="O85" s="190">
        <v>12745927727.879999</v>
      </c>
      <c r="P85" s="190">
        <v>11632932812.049999</v>
      </c>
      <c r="Q85" s="190">
        <v>11518221849.540001</v>
      </c>
      <c r="R85" s="190">
        <v>9398462056.4200001</v>
      </c>
      <c r="S85" s="190">
        <v>9140997951.25</v>
      </c>
      <c r="T85" s="190">
        <v>9270444418.0599995</v>
      </c>
      <c r="U85" s="190">
        <v>8076093413.7799997</v>
      </c>
      <c r="V85" s="190">
        <v>7028534139.6999998</v>
      </c>
      <c r="W85" s="190">
        <v>6232444729.4200001</v>
      </c>
      <c r="X85" s="190">
        <v>5303058578.29</v>
      </c>
      <c r="Y85" s="190">
        <v>5217160690.1999998</v>
      </c>
      <c r="Z85" s="190">
        <v>5462786791.79</v>
      </c>
      <c r="AA85" s="190">
        <v>4886186055.8599997</v>
      </c>
      <c r="AB85" s="190">
        <v>4656630518.8699999</v>
      </c>
      <c r="AC85" s="190">
        <v>4769120913.0299997</v>
      </c>
      <c r="AD85" s="190">
        <v>171255166.34999999</v>
      </c>
      <c r="AE85" s="190">
        <v>168730381.88</v>
      </c>
      <c r="AF85" s="190">
        <v>170285471.59</v>
      </c>
      <c r="AG85" s="190">
        <v>170847695.99000001</v>
      </c>
      <c r="AH85" s="190">
        <v>163083749.47</v>
      </c>
      <c r="AI85" s="190">
        <v>182443215.30000001</v>
      </c>
      <c r="AJ85" s="190">
        <v>185229059.12</v>
      </c>
      <c r="AK85" s="190">
        <v>185614361.66</v>
      </c>
      <c r="AL85" s="190">
        <v>191776824.40000001</v>
      </c>
      <c r="AM85" s="190">
        <v>196766772.13</v>
      </c>
      <c r="AN85" s="190">
        <v>197877408.11000001</v>
      </c>
      <c r="AO85" s="190">
        <v>197990014.28</v>
      </c>
      <c r="AP85" s="190">
        <v>212062511.13999999</v>
      </c>
      <c r="AQ85" s="190">
        <v>236271073.58000001</v>
      </c>
      <c r="AR85" s="190">
        <v>252224231.37</v>
      </c>
      <c r="AS85" s="190">
        <v>268878686.88999999</v>
      </c>
      <c r="AT85" s="190">
        <v>259929780.72999999</v>
      </c>
      <c r="AU85" s="190">
        <v>271375138.19999999</v>
      </c>
      <c r="AV85" s="190">
        <v>250712281.56</v>
      </c>
      <c r="AW85" s="190">
        <v>256395004.06999999</v>
      </c>
      <c r="AX85" s="190">
        <v>627721906.94000006</v>
      </c>
      <c r="AY85" s="190">
        <v>627598257.03999996</v>
      </c>
      <c r="AZ85" s="190">
        <v>-322803201.73000002</v>
      </c>
      <c r="BA85" s="190">
        <v>644327805.85000002</v>
      </c>
      <c r="BB85" s="190">
        <v>973401729.49000001</v>
      </c>
      <c r="BC85" s="190">
        <v>1006483440.86</v>
      </c>
      <c r="BD85" s="190">
        <v>1080974373.54</v>
      </c>
      <c r="BE85" s="190">
        <v>1166611059.3800001</v>
      </c>
      <c r="BF85" s="190">
        <v>1286428876.3299999</v>
      </c>
      <c r="BG85" s="190">
        <v>1103434833.47</v>
      </c>
      <c r="BH85" s="190">
        <v>913230620.90999997</v>
      </c>
      <c r="BI85" s="190">
        <v>1082112878.8699999</v>
      </c>
      <c r="BJ85" s="190">
        <v>1067987268.62</v>
      </c>
      <c r="BK85" s="190">
        <v>1045558658.4400001</v>
      </c>
      <c r="BL85" s="190">
        <v>1018663209.0599999</v>
      </c>
      <c r="BM85" s="190">
        <v>971184663.80999994</v>
      </c>
      <c r="BN85" s="190">
        <v>955741023.47000003</v>
      </c>
      <c r="BO85" s="190">
        <v>951730628.91999996</v>
      </c>
      <c r="BP85" s="190">
        <v>945755771.85000002</v>
      </c>
      <c r="BQ85" s="190">
        <v>875275610.29999995</v>
      </c>
      <c r="BR85" s="190">
        <v>626238531.44000006</v>
      </c>
      <c r="BS85" s="190">
        <v>462225736.06</v>
      </c>
      <c r="BT85" s="190">
        <v>407286739.63</v>
      </c>
      <c r="BU85" s="190">
        <v>329100738.12</v>
      </c>
      <c r="BV85" s="190">
        <v>244693134.38</v>
      </c>
      <c r="BW85" s="190">
        <v>207625811.03</v>
      </c>
      <c r="BX85" s="190">
        <v>193565455.81</v>
      </c>
      <c r="BY85" s="190">
        <v>188433423.44</v>
      </c>
      <c r="BZ85" s="190">
        <v>96056552.950000003</v>
      </c>
      <c r="CA85" s="190">
        <v>90557587.790000007</v>
      </c>
      <c r="CB85" s="190">
        <v>118721496.45</v>
      </c>
      <c r="CC85" s="190">
        <v>105779172.40000001</v>
      </c>
      <c r="CD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9" width="13.88671875" style="190" hidden="1" customWidth="1"/>
    <col min="20" max="20" width="12.77734375" style="190" hidden="1" customWidth="1"/>
    <col min="21" max="21" width="13.88671875" style="190" bestFit="1" customWidth="1"/>
    <col min="22" max="22" width="12.77734375" style="190" hidden="1" customWidth="1"/>
    <col min="23" max="23" width="13.88671875" style="190" hidden="1" customWidth="1"/>
    <col min="24" max="24" width="12.77734375" style="190" hidden="1" customWidth="1"/>
    <col min="25" max="25" width="13.88671875" style="190" bestFit="1" customWidth="1"/>
    <col min="26" max="26" width="13.88671875" style="190" hidden="1" customWidth="1"/>
    <col min="27" max="27" width="12.77734375" style="190" hidden="1" customWidth="1"/>
    <col min="28" max="28" width="13.88671875" style="190" hidden="1" customWidth="1"/>
    <col min="29" max="29" width="12.77734375" style="190" bestFit="1" customWidth="1"/>
    <col min="30" max="31" width="13.88671875" style="190" hidden="1" customWidth="1"/>
    <col min="32" max="32" width="12.777343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3" width="13.88671875" style="190" hidden="1" customWidth="1"/>
    <col min="44" max="44" width="12.77734375" style="190" hidden="1" customWidth="1"/>
    <col min="45" max="45" width="13.88671875" style="190" bestFit="1" customWidth="1"/>
    <col min="46" max="48" width="13.88671875" style="190" hidden="1" customWidth="1"/>
    <col min="49" max="49" width="13.88671875" style="190" bestFit="1" customWidth="1"/>
    <col min="50" max="52" width="13.88671875" style="190" hidden="1" customWidth="1"/>
    <col min="53" max="53" width="13.88671875" style="190" bestFit="1" customWidth="1"/>
    <col min="54" max="56" width="13.88671875" style="190" hidden="1" customWidth="1"/>
    <col min="57" max="57" width="13.88671875" style="190" bestFit="1" customWidth="1"/>
    <col min="58" max="60" width="12.77734375" style="190" hidden="1" customWidth="1"/>
    <col min="61" max="61" width="12.77734375" style="190" bestFit="1" customWidth="1"/>
    <col min="62" max="64" width="12.77734375" style="190" hidden="1" customWidth="1"/>
    <col min="65" max="65" width="12.77734375" style="190" bestFit="1" customWidth="1"/>
    <col min="66" max="68" width="12.77734375" style="190" hidden="1" customWidth="1"/>
    <col min="69" max="69" width="12.77734375" style="190" bestFit="1" customWidth="1"/>
    <col min="70" max="70" width="12.77734375" style="190" hidden="1" customWidth="1"/>
    <col min="71" max="71" width="12.77734375" style="190" bestFit="1" customWidth="1"/>
    <col min="72" max="72" width="12.77734375" style="190" hidden="1" customWidth="1"/>
    <col min="73" max="73" width="12.77734375" style="190" bestFit="1" customWidth="1"/>
    <col min="74" max="74" width="12.77734375" style="190" hidden="1" customWidth="1"/>
    <col min="75" max="75" width="12.77734375" style="190" bestFit="1" customWidth="1"/>
    <col min="76" max="76" width="12.77734375" style="190" hidden="1" customWidth="1"/>
    <col min="77" max="77" width="12.77734375" style="190" bestFit="1" customWidth="1"/>
    <col min="78" max="78" width="12.77734375" style="190" hidden="1" customWidth="1"/>
    <col min="79" max="81" width="12.77734375" style="190" bestFit="1" customWidth="1"/>
    <col min="82" max="82" width="9.5546875" style="190" hidden="1" customWidth="1"/>
    <col min="83" max="16384" width="8.88671875" style="190"/>
  </cols>
  <sheetData>
    <row r="1" spans="1:82"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row>
    <row r="2" spans="1:8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c r="BU2" s="190" t="s">
        <v>106</v>
      </c>
      <c r="BV2" s="190" t="s">
        <v>106</v>
      </c>
      <c r="BW2" s="190" t="s">
        <v>106</v>
      </c>
      <c r="BX2" s="190" t="s">
        <v>106</v>
      </c>
      <c r="BY2" s="190" t="s">
        <v>106</v>
      </c>
      <c r="BZ2" s="190" t="s">
        <v>106</v>
      </c>
      <c r="CA2" s="190" t="s">
        <v>106</v>
      </c>
      <c r="CB2" s="190" t="s">
        <v>106</v>
      </c>
      <c r="CC2" s="190" t="s">
        <v>106</v>
      </c>
    </row>
    <row r="3" spans="1:82" x14ac:dyDescent="0.25">
      <c r="A3" s="190" t="s">
        <v>190</v>
      </c>
      <c r="B3" s="190">
        <v>1379450690.1300001</v>
      </c>
      <c r="C3" s="190">
        <v>894393133.5</v>
      </c>
      <c r="D3" s="190">
        <v>174256852.81</v>
      </c>
      <c r="E3" s="190">
        <v>2473918205.1599998</v>
      </c>
      <c r="F3" s="190">
        <v>1008208630.3099999</v>
      </c>
      <c r="G3" s="190">
        <v>878288856.76999998</v>
      </c>
      <c r="H3" s="190">
        <v>630272076.14999998</v>
      </c>
      <c r="I3" s="190">
        <v>6704848495.9899998</v>
      </c>
      <c r="J3" s="190">
        <v>4576608658.5100002</v>
      </c>
      <c r="K3" s="190">
        <v>3995822264.8899999</v>
      </c>
      <c r="L3" s="190">
        <v>2925433262.5500002</v>
      </c>
      <c r="M3" s="190">
        <v>519502880.88</v>
      </c>
      <c r="N3" s="190">
        <v>367419981.04000002</v>
      </c>
      <c r="O3" s="190">
        <v>217567191.96000001</v>
      </c>
      <c r="P3" s="190">
        <v>144601402.62</v>
      </c>
      <c r="Q3" s="190">
        <v>1270810233.05</v>
      </c>
      <c r="R3" s="190">
        <v>893502435.89999998</v>
      </c>
      <c r="S3" s="190">
        <v>679685555.03999996</v>
      </c>
      <c r="T3" s="190">
        <v>301403886.20999998</v>
      </c>
      <c r="U3" s="190">
        <v>2776957460.2800002</v>
      </c>
      <c r="V3" s="190">
        <v>326513513.94</v>
      </c>
      <c r="W3" s="190">
        <v>251933246.53999999</v>
      </c>
      <c r="X3" s="190">
        <v>159552882.02000001</v>
      </c>
      <c r="Y3" s="190">
        <v>1886509459.79</v>
      </c>
      <c r="Z3" s="190">
        <v>362275701.70999998</v>
      </c>
      <c r="AA3" s="190">
        <v>92328849.569999993</v>
      </c>
      <c r="AB3" s="190">
        <v>38430091.479999997</v>
      </c>
      <c r="AC3" s="190">
        <v>911117929.50999999</v>
      </c>
      <c r="AD3" s="190">
        <v>2325028.98</v>
      </c>
      <c r="AE3" s="190">
        <v>719549.52</v>
      </c>
      <c r="AF3" s="190">
        <v>454838.86</v>
      </c>
      <c r="AG3" s="190">
        <v>1972005.12</v>
      </c>
      <c r="AH3" s="190">
        <v>2247045.88</v>
      </c>
      <c r="AI3" s="190">
        <v>1644331.61</v>
      </c>
      <c r="AJ3" s="190">
        <v>118276.34</v>
      </c>
      <c r="AK3" s="190">
        <v>2319583.5699999998</v>
      </c>
      <c r="AL3" s="190">
        <v>1059567.43</v>
      </c>
      <c r="AM3" s="190">
        <v>714108.94</v>
      </c>
      <c r="AN3" s="190">
        <v>317568.12</v>
      </c>
      <c r="AO3" s="190">
        <v>29625077.149999999</v>
      </c>
      <c r="AP3" s="190">
        <v>39690074.759999998</v>
      </c>
      <c r="AQ3" s="190">
        <v>38358193.560000002</v>
      </c>
      <c r="AR3" s="190">
        <v>19981743.039999999</v>
      </c>
      <c r="AS3" s="190">
        <v>276226954.25999999</v>
      </c>
      <c r="AT3" s="190">
        <v>212112113.97</v>
      </c>
      <c r="AU3" s="190">
        <v>151644166.93000001</v>
      </c>
      <c r="AV3" s="190">
        <v>63063671.619999997</v>
      </c>
      <c r="AW3" s="190">
        <v>229176151.38999999</v>
      </c>
      <c r="AX3" s="190">
        <v>126125572.09</v>
      </c>
      <c r="AY3" s="190">
        <v>70840155.810000002</v>
      </c>
      <c r="AZ3" s="190">
        <v>40009471.130000003</v>
      </c>
      <c r="BA3" s="190">
        <v>221745760.09</v>
      </c>
      <c r="BB3" s="190">
        <v>199810636.08000001</v>
      </c>
      <c r="BC3" s="190">
        <v>173086494.44</v>
      </c>
      <c r="BD3" s="190">
        <v>100146046.31</v>
      </c>
      <c r="BE3" s="190">
        <v>802031313.57000005</v>
      </c>
      <c r="BF3" s="190">
        <v>607294097.42999995</v>
      </c>
      <c r="BG3" s="190">
        <v>386725469.05000001</v>
      </c>
      <c r="BH3" s="190">
        <v>169912280.74000001</v>
      </c>
      <c r="BI3" s="190">
        <v>869817025.36000001</v>
      </c>
      <c r="BJ3" s="190">
        <v>565880172.08000004</v>
      </c>
      <c r="BK3" s="190">
        <v>315347767.18000001</v>
      </c>
      <c r="BL3" s="190">
        <v>130281275.70999999</v>
      </c>
      <c r="BM3" s="190">
        <v>999050509.49000001</v>
      </c>
      <c r="BN3" s="190">
        <v>673254922.34000003</v>
      </c>
      <c r="BO3" s="190">
        <v>425651976.61000001</v>
      </c>
      <c r="BP3" s="190">
        <v>207852439.46000001</v>
      </c>
      <c r="BQ3" s="190">
        <v>765263961.45000005</v>
      </c>
      <c r="BR3" s="190">
        <v>230558710.11000001</v>
      </c>
      <c r="BS3" s="190">
        <v>200713844.22</v>
      </c>
      <c r="BT3" s="190">
        <v>104052271.91</v>
      </c>
      <c r="BU3" s="190">
        <v>102280731.3</v>
      </c>
      <c r="BV3" s="190">
        <v>40263702.859999999</v>
      </c>
      <c r="BW3" s="190">
        <v>73300115.700000003</v>
      </c>
      <c r="BX3" s="190">
        <v>31045743.600000001</v>
      </c>
      <c r="BY3" s="190">
        <v>64591996.619999997</v>
      </c>
      <c r="BZ3" s="190">
        <v>32156710.449999999</v>
      </c>
      <c r="CA3" s="190">
        <v>73487956.930000007</v>
      </c>
      <c r="CB3" s="190">
        <v>90320186.430000007</v>
      </c>
      <c r="CC3" s="190">
        <v>72534689.709999993</v>
      </c>
      <c r="CD3" s="190">
        <v>0</v>
      </c>
    </row>
    <row r="4" spans="1:82" x14ac:dyDescent="0.25">
      <c r="A4" s="190" t="s">
        <v>191</v>
      </c>
      <c r="B4" s="190">
        <v>1379450690.1300001</v>
      </c>
      <c r="C4" s="190">
        <v>894393133.5</v>
      </c>
      <c r="D4" s="190">
        <v>174256852.81</v>
      </c>
      <c r="E4" s="190">
        <v>2473918205.1599998</v>
      </c>
      <c r="F4" s="190">
        <v>1008208630.3099999</v>
      </c>
      <c r="G4" s="190">
        <v>878288856.76999998</v>
      </c>
      <c r="H4" s="190">
        <v>630272076.14999998</v>
      </c>
      <c r="I4" s="190">
        <v>6704848495.9899998</v>
      </c>
      <c r="J4" s="190">
        <v>4576608658.5100002</v>
      </c>
      <c r="K4" s="190">
        <v>3995822264.8899999</v>
      </c>
      <c r="L4" s="190">
        <v>2925433262.5500002</v>
      </c>
      <c r="M4" s="190">
        <v>519502880.88</v>
      </c>
      <c r="N4" s="190">
        <v>367419981.04000002</v>
      </c>
      <c r="O4" s="190">
        <v>217567191.96000001</v>
      </c>
      <c r="P4" s="190">
        <v>144601402.62</v>
      </c>
      <c r="Q4" s="190">
        <v>1270810233.05</v>
      </c>
      <c r="R4" s="190">
        <v>893502435.89999998</v>
      </c>
      <c r="S4" s="190">
        <v>679685555.03999996</v>
      </c>
      <c r="T4" s="190">
        <v>301403886.20999998</v>
      </c>
      <c r="U4" s="190">
        <v>2776957460.2800002</v>
      </c>
      <c r="V4" s="190">
        <v>326513513.94</v>
      </c>
      <c r="W4" s="190">
        <v>251933246.53999999</v>
      </c>
      <c r="X4" s="190">
        <v>159552882.02000001</v>
      </c>
      <c r="Y4" s="190">
        <v>1886509459.79</v>
      </c>
      <c r="Z4" s="190">
        <v>362275701.70999998</v>
      </c>
      <c r="AA4" s="190">
        <v>92328849.569999993</v>
      </c>
      <c r="AB4" s="190">
        <v>38430091.479999997</v>
      </c>
      <c r="AC4" s="190">
        <v>911117929.50999999</v>
      </c>
      <c r="AD4" s="190">
        <v>2325028.98</v>
      </c>
      <c r="AE4" s="190">
        <v>719549.52</v>
      </c>
      <c r="AF4" s="190">
        <v>454838.86</v>
      </c>
      <c r="AG4" s="190">
        <v>1972005.12</v>
      </c>
      <c r="AH4" s="190">
        <v>2247045.88</v>
      </c>
      <c r="AI4" s="190">
        <v>1644331.61</v>
      </c>
      <c r="AJ4" s="190">
        <v>118276.34</v>
      </c>
      <c r="AK4" s="190">
        <v>2319583.5699999998</v>
      </c>
      <c r="AL4" s="190">
        <v>1059567.43</v>
      </c>
      <c r="AM4" s="190">
        <v>714108.94</v>
      </c>
      <c r="AN4" s="190">
        <v>317568.12</v>
      </c>
      <c r="AO4" s="190">
        <v>29625077.149999999</v>
      </c>
      <c r="AP4" s="190">
        <v>39690074.759999998</v>
      </c>
      <c r="AQ4" s="190">
        <v>38358193.560000002</v>
      </c>
      <c r="AR4" s="190">
        <v>19981743.039999999</v>
      </c>
      <c r="AS4" s="190">
        <v>276226954.25999999</v>
      </c>
      <c r="AT4" s="190">
        <v>212112113.97</v>
      </c>
      <c r="AU4" s="190">
        <v>151644166.93000001</v>
      </c>
      <c r="AV4" s="190">
        <v>63063671.619999997</v>
      </c>
      <c r="AW4" s="190">
        <v>229176151.38999999</v>
      </c>
      <c r="AX4" s="190">
        <v>126125572.09</v>
      </c>
      <c r="AY4" s="190">
        <v>70840155.810000002</v>
      </c>
      <c r="AZ4" s="190">
        <v>40009471.130000003</v>
      </c>
      <c r="BA4" s="190">
        <v>221398699.53999999</v>
      </c>
      <c r="BB4" s="190">
        <v>200305982.11000001</v>
      </c>
      <c r="BC4" s="190">
        <v>173464164.24000001</v>
      </c>
      <c r="BD4" s="190">
        <v>100452203.73</v>
      </c>
      <c r="BE4" s="190">
        <v>801751161.67999995</v>
      </c>
      <c r="BF4" s="190">
        <v>607574415.46000004</v>
      </c>
      <c r="BG4" s="190">
        <v>387005787.07999998</v>
      </c>
      <c r="BH4" s="190">
        <v>169994827.43000001</v>
      </c>
      <c r="BI4" s="190">
        <v>866672859.30999994</v>
      </c>
      <c r="BJ4" s="190">
        <v>563313712.90999997</v>
      </c>
      <c r="BK4" s="190">
        <v>312828694.13</v>
      </c>
      <c r="BL4" s="190">
        <v>129824200.04000001</v>
      </c>
      <c r="BM4" s="190">
        <v>996144233.25</v>
      </c>
      <c r="BN4" s="190">
        <v>672287661.65999997</v>
      </c>
      <c r="BO4" s="190">
        <v>424822929.56</v>
      </c>
      <c r="BP4" s="190">
        <v>207516777.69999999</v>
      </c>
      <c r="BQ4" s="190">
        <v>761826036.83000004</v>
      </c>
      <c r="BR4" s="190">
        <v>229750188.44999999</v>
      </c>
      <c r="BS4" s="190">
        <v>198550035.96000001</v>
      </c>
      <c r="BT4" s="190">
        <v>103771025.11</v>
      </c>
      <c r="BU4" s="190">
        <v>101468040.58</v>
      </c>
      <c r="BV4" s="190">
        <v>39700177.020000003</v>
      </c>
      <c r="BW4" s="190">
        <v>71986605.340000004</v>
      </c>
      <c r="BX4" s="190">
        <v>30318598.989999998</v>
      </c>
      <c r="BY4" s="190">
        <v>61924611.850000001</v>
      </c>
      <c r="BZ4" s="190">
        <v>31098969.670000002</v>
      </c>
      <c r="CA4" s="190">
        <v>71088754.129999995</v>
      </c>
      <c r="CB4" s="190">
        <v>89207139.980000004</v>
      </c>
      <c r="CC4" s="190">
        <v>71981187.920000002</v>
      </c>
      <c r="CD4" s="190">
        <v>0</v>
      </c>
    </row>
    <row r="5" spans="1:82" x14ac:dyDescent="0.25">
      <c r="A5" s="190" t="s">
        <v>192</v>
      </c>
      <c r="B5" s="190">
        <v>1251997190.6400001</v>
      </c>
      <c r="C5" s="190">
        <v>846397501.47000003</v>
      </c>
      <c r="D5" s="190">
        <v>265419957.84</v>
      </c>
      <c r="E5" s="190">
        <v>2096851303.6900001</v>
      </c>
      <c r="F5" s="190">
        <v>940161110.91999996</v>
      </c>
      <c r="G5" s="190">
        <v>764696484.33000004</v>
      </c>
      <c r="H5" s="190">
        <v>513397292.26999998</v>
      </c>
      <c r="I5" s="190">
        <v>5440065912.1899996</v>
      </c>
      <c r="J5" s="190">
        <v>3984495866.5900002</v>
      </c>
      <c r="K5" s="190">
        <v>3368558159.4099998</v>
      </c>
      <c r="L5" s="190">
        <v>2367727132.9699998</v>
      </c>
      <c r="M5" s="190">
        <v>852460964.38999999</v>
      </c>
      <c r="N5" s="190">
        <v>596068859.12</v>
      </c>
      <c r="O5" s="190">
        <v>377856989.75</v>
      </c>
      <c r="P5" s="190">
        <v>213694072.40000001</v>
      </c>
      <c r="Q5" s="190">
        <v>1255649270.5999999</v>
      </c>
      <c r="R5" s="190">
        <v>876495832.67999995</v>
      </c>
      <c r="S5" s="190">
        <v>657336282.50999999</v>
      </c>
      <c r="T5" s="190">
        <v>274503678.25</v>
      </c>
      <c r="U5" s="190">
        <v>2256219521.7399998</v>
      </c>
      <c r="V5" s="190">
        <v>412124267.13999999</v>
      </c>
      <c r="W5" s="190">
        <v>285658640.22000003</v>
      </c>
      <c r="X5" s="190">
        <v>148537332.69999999</v>
      </c>
      <c r="Y5" s="190">
        <v>1548313255.3599999</v>
      </c>
      <c r="Z5" s="190">
        <v>341072472.87</v>
      </c>
      <c r="AA5" s="190">
        <v>122073136.90000001</v>
      </c>
      <c r="AB5" s="190">
        <v>61918694.700000003</v>
      </c>
      <c r="AC5" s="190">
        <v>712066494.13</v>
      </c>
      <c r="AD5" s="190">
        <v>41864082.130000003</v>
      </c>
      <c r="AE5" s="190">
        <v>28165848.77</v>
      </c>
      <c r="AF5" s="190">
        <v>12672188.560000001</v>
      </c>
      <c r="AG5" s="190">
        <v>28343582.649999999</v>
      </c>
      <c r="AH5" s="190">
        <v>42055452.090000004</v>
      </c>
      <c r="AI5" s="190">
        <v>29028100.93</v>
      </c>
      <c r="AJ5" s="190">
        <v>12185640</v>
      </c>
      <c r="AK5" s="190">
        <v>42108373.850000001</v>
      </c>
      <c r="AL5" s="190">
        <v>43156636.590000004</v>
      </c>
      <c r="AM5" s="190">
        <v>28299061.210000001</v>
      </c>
      <c r="AN5" s="190">
        <v>14287926.17</v>
      </c>
      <c r="AO5" s="190">
        <v>92521878.739999995</v>
      </c>
      <c r="AP5" s="190">
        <v>101646999.97</v>
      </c>
      <c r="AQ5" s="190">
        <v>84168360.760000005</v>
      </c>
      <c r="AR5" s="190">
        <v>38291314.740000002</v>
      </c>
      <c r="AS5" s="190">
        <v>274442703.50999999</v>
      </c>
      <c r="AT5" s="190">
        <v>260322197.99000001</v>
      </c>
      <c r="AU5" s="190">
        <v>181020294.38999999</v>
      </c>
      <c r="AV5" s="190">
        <v>79097264.530000001</v>
      </c>
      <c r="AW5" s="190">
        <v>679311512</v>
      </c>
      <c r="AX5" s="190">
        <v>189603479.71000001</v>
      </c>
      <c r="AY5" s="190">
        <v>120215088.45999999</v>
      </c>
      <c r="AZ5" s="190">
        <v>58515880.950000003</v>
      </c>
      <c r="BA5" s="190">
        <v>656350036.22000003</v>
      </c>
      <c r="BB5" s="190">
        <v>272129488.25999999</v>
      </c>
      <c r="BC5" s="190">
        <v>228638292.15000001</v>
      </c>
      <c r="BD5" s="190">
        <v>119100336.56999999</v>
      </c>
      <c r="BE5" s="190">
        <v>960572365.77999997</v>
      </c>
      <c r="BF5" s="190">
        <v>610783971.64999998</v>
      </c>
      <c r="BG5" s="190">
        <v>382386885.12</v>
      </c>
      <c r="BH5" s="190">
        <v>167801905.12</v>
      </c>
      <c r="BI5" s="190">
        <v>848629369.01999998</v>
      </c>
      <c r="BJ5" s="190">
        <v>552179092.40999997</v>
      </c>
      <c r="BK5" s="190">
        <v>306143515.83999997</v>
      </c>
      <c r="BL5" s="190">
        <v>128809122.93000001</v>
      </c>
      <c r="BM5" s="190">
        <v>978235745</v>
      </c>
      <c r="BN5" s="190">
        <v>659254302.77999997</v>
      </c>
      <c r="BO5" s="190">
        <v>413430841.73000002</v>
      </c>
      <c r="BP5" s="190">
        <v>205297918.62</v>
      </c>
      <c r="BQ5" s="190">
        <v>736921774.78999996</v>
      </c>
      <c r="BR5" s="190">
        <v>213663878.78</v>
      </c>
      <c r="BS5" s="190">
        <v>159344367.93000001</v>
      </c>
      <c r="BT5" s="190">
        <v>84381984.469999999</v>
      </c>
      <c r="BU5" s="190">
        <v>87344894.849999994</v>
      </c>
      <c r="BV5" s="190">
        <v>35635372.840000004</v>
      </c>
      <c r="BW5" s="190">
        <v>56938341.909999996</v>
      </c>
      <c r="BX5" s="190">
        <v>23584131.68</v>
      </c>
      <c r="BY5" s="190">
        <v>50099255.740000002</v>
      </c>
      <c r="BZ5" s="190">
        <v>25800630.210000001</v>
      </c>
      <c r="CA5" s="190">
        <v>60159983.329999998</v>
      </c>
      <c r="CB5" s="190">
        <v>72965145.829999998</v>
      </c>
      <c r="CC5" s="190">
        <v>57863154.840000004</v>
      </c>
      <c r="CD5" s="190">
        <v>0</v>
      </c>
    </row>
    <row r="6" spans="1:82" x14ac:dyDescent="0.25">
      <c r="A6" s="190" t="s">
        <v>193</v>
      </c>
      <c r="B6" s="190">
        <v>875869449.64999998</v>
      </c>
      <c r="C6" s="190">
        <v>587663634.25</v>
      </c>
      <c r="D6" s="190">
        <v>134318623.53</v>
      </c>
      <c r="E6" s="190">
        <v>1616027058.0599999</v>
      </c>
      <c r="F6" s="190">
        <v>600153230.5</v>
      </c>
      <c r="G6" s="190">
        <v>508306514.16000003</v>
      </c>
      <c r="H6" s="190">
        <v>365987243.24000001</v>
      </c>
      <c r="I6" s="190">
        <v>4539441199.6700001</v>
      </c>
      <c r="J6" s="190">
        <v>3382976744.8299999</v>
      </c>
      <c r="K6" s="190">
        <v>2928384287.7600002</v>
      </c>
      <c r="L6" s="190">
        <v>2058609440.3299999</v>
      </c>
      <c r="M6" s="190">
        <v>313954249.98000002</v>
      </c>
      <c r="N6" s="190">
        <v>211737968.27000001</v>
      </c>
      <c r="O6" s="190">
        <v>116658735.59</v>
      </c>
      <c r="P6" s="190">
        <v>78663009.230000004</v>
      </c>
      <c r="Q6" s="190">
        <v>812740259.87</v>
      </c>
      <c r="R6" s="190">
        <v>514968866.93000001</v>
      </c>
      <c r="S6" s="190">
        <v>396215248.80000001</v>
      </c>
      <c r="T6" s="190">
        <v>157583419.81999999</v>
      </c>
      <c r="U6" s="190">
        <v>1671380022</v>
      </c>
      <c r="V6" s="190">
        <v>175894801.06</v>
      </c>
      <c r="W6" s="190">
        <v>126409864.45</v>
      </c>
      <c r="X6" s="190">
        <v>75818115.939999998</v>
      </c>
      <c r="Y6" s="190">
        <v>1211372080.8099999</v>
      </c>
      <c r="Z6" s="190">
        <v>172648495.69999999</v>
      </c>
      <c r="AA6" s="190">
        <v>62530779.710000001</v>
      </c>
      <c r="AB6" s="190">
        <v>28367218.780000001</v>
      </c>
      <c r="AC6" s="190">
        <v>470449669.13</v>
      </c>
      <c r="AD6" s="190">
        <v>1705033.33</v>
      </c>
      <c r="AE6" s="190">
        <v>438811.08</v>
      </c>
      <c r="AF6" s="190">
        <v>315678.40000000002</v>
      </c>
      <c r="AG6" s="190">
        <v>4099904.38</v>
      </c>
      <c r="AH6" s="190">
        <v>4345105.6399999997</v>
      </c>
      <c r="AI6" s="190">
        <v>3915105.64</v>
      </c>
      <c r="AJ6" s="190">
        <v>84000</v>
      </c>
      <c r="AK6" s="190">
        <v>3793869.56</v>
      </c>
      <c r="AL6" s="190">
        <v>635376.02</v>
      </c>
      <c r="AM6" s="190">
        <v>424581.18</v>
      </c>
      <c r="AN6" s="190">
        <v>152599.22</v>
      </c>
      <c r="AO6" s="190">
        <v>29569124.870000001</v>
      </c>
      <c r="AP6" s="190">
        <v>38786811.189999998</v>
      </c>
      <c r="AQ6" s="190">
        <v>37424619.420000002</v>
      </c>
      <c r="AR6" s="190">
        <v>19857872.609999999</v>
      </c>
      <c r="AS6" s="190">
        <v>238984727.55000001</v>
      </c>
      <c r="AT6" s="190">
        <v>198543038.46000001</v>
      </c>
      <c r="AU6" s="190">
        <v>140102053.34999999</v>
      </c>
      <c r="AV6" s="190">
        <v>56881135.210000001</v>
      </c>
      <c r="AW6" s="190">
        <v>215780698.36000001</v>
      </c>
      <c r="AX6" s="190">
        <v>117329240.27</v>
      </c>
      <c r="AY6" s="190">
        <v>68868369.069999993</v>
      </c>
      <c r="AZ6" s="190">
        <v>39466456.479999997</v>
      </c>
      <c r="BA6" s="190">
        <v>218314124.33000001</v>
      </c>
      <c r="BB6" s="190">
        <v>197131177.56</v>
      </c>
      <c r="BC6" s="190">
        <v>173158410.75</v>
      </c>
      <c r="BD6" s="190">
        <v>100427642.67</v>
      </c>
      <c r="BE6" s="190">
        <v>758309533.38</v>
      </c>
      <c r="BF6" s="190">
        <v>570889335.45000005</v>
      </c>
      <c r="BG6" s="190">
        <v>354856131.64999998</v>
      </c>
      <c r="BH6" s="190">
        <v>154647892.50999999</v>
      </c>
      <c r="BI6" s="190">
        <v>769721036.62</v>
      </c>
      <c r="BJ6" s="190">
        <v>504092879.63</v>
      </c>
      <c r="BK6" s="190">
        <v>279952562.36000001</v>
      </c>
      <c r="BL6" s="190">
        <v>115370952.12</v>
      </c>
      <c r="BM6" s="190">
        <v>901152413.30999994</v>
      </c>
      <c r="BN6" s="190">
        <v>613747270.54999995</v>
      </c>
      <c r="BO6" s="190">
        <v>384726753.97000003</v>
      </c>
      <c r="BP6" s="190">
        <v>192820990.41999999</v>
      </c>
      <c r="BQ6" s="190">
        <v>685163130.41999996</v>
      </c>
      <c r="BR6" s="190">
        <v>196652588.31</v>
      </c>
      <c r="BS6" s="190">
        <v>125981881.90000001</v>
      </c>
      <c r="BT6" s="190">
        <v>69117475.049999997</v>
      </c>
      <c r="BU6" s="190">
        <v>62179832.670000002</v>
      </c>
      <c r="BV6" s="190">
        <v>25515819.390000001</v>
      </c>
      <c r="BW6" s="190">
        <v>37705823.210000001</v>
      </c>
      <c r="BX6" s="190">
        <v>14688107.789999999</v>
      </c>
      <c r="BY6" s="190">
        <v>37626667.640000001</v>
      </c>
      <c r="BZ6" s="190">
        <v>20236400.73</v>
      </c>
      <c r="CA6" s="190">
        <v>45078924.869999997</v>
      </c>
      <c r="CB6" s="190">
        <v>49854667.170000002</v>
      </c>
      <c r="CC6" s="190">
        <v>39443207.759999998</v>
      </c>
      <c r="CD6" s="190">
        <v>0</v>
      </c>
    </row>
    <row r="7" spans="1:82" x14ac:dyDescent="0.25">
      <c r="A7" s="190" t="s">
        <v>194</v>
      </c>
      <c r="B7" s="190">
        <v>85371857.340000004</v>
      </c>
      <c r="C7" s="190">
        <v>54936163.880000003</v>
      </c>
      <c r="D7" s="190">
        <v>10569547.560000001</v>
      </c>
      <c r="E7" s="190">
        <v>101451253.31999999</v>
      </c>
      <c r="F7" s="190">
        <v>89424917.439999998</v>
      </c>
      <c r="G7" s="190">
        <v>80628114.709999993</v>
      </c>
      <c r="H7" s="190">
        <v>61589906.329999998</v>
      </c>
      <c r="I7" s="190">
        <v>411298134.14999998</v>
      </c>
      <c r="J7" s="190">
        <v>252840463.41999999</v>
      </c>
      <c r="K7" s="190">
        <v>211189956.50999999</v>
      </c>
      <c r="L7" s="190">
        <v>199741282.63</v>
      </c>
      <c r="M7" s="190">
        <v>42561979.93</v>
      </c>
      <c r="N7" s="190">
        <v>22746195.420000002</v>
      </c>
      <c r="O7" s="190">
        <v>10482372.85</v>
      </c>
      <c r="P7" s="190">
        <v>14774642.84</v>
      </c>
      <c r="Q7" s="190">
        <v>126295894.42</v>
      </c>
      <c r="R7" s="190">
        <v>120726515.27</v>
      </c>
      <c r="S7" s="190">
        <v>103259927.25</v>
      </c>
      <c r="T7" s="190">
        <v>30094731.969999999</v>
      </c>
      <c r="U7" s="190">
        <v>332091140.33999997</v>
      </c>
      <c r="V7" s="190">
        <v>45330962.090000004</v>
      </c>
      <c r="W7" s="190">
        <v>38447264.93</v>
      </c>
      <c r="X7" s="190">
        <v>13049064.960000001</v>
      </c>
      <c r="Y7" s="190">
        <v>189907873.41999999</v>
      </c>
      <c r="Z7" s="190">
        <v>65520930.93</v>
      </c>
      <c r="AA7" s="190">
        <v>4236995.6500000004</v>
      </c>
      <c r="AB7" s="190">
        <v>2758656.39</v>
      </c>
      <c r="AC7" s="190">
        <v>121683843.83</v>
      </c>
      <c r="AD7" s="190">
        <v>62306.68</v>
      </c>
      <c r="AE7" s="190">
        <v>43233.440000000002</v>
      </c>
      <c r="AF7" s="190">
        <v>21616.720000000001</v>
      </c>
      <c r="AG7" s="190">
        <v>64301.83</v>
      </c>
      <c r="AH7" s="190">
        <v>25308.78</v>
      </c>
      <c r="AI7" s="190">
        <v>10314.98</v>
      </c>
      <c r="AJ7" s="190">
        <v>5157.49</v>
      </c>
      <c r="AK7" s="190">
        <v>52354.14</v>
      </c>
      <c r="AL7" s="190">
        <v>69241.78</v>
      </c>
      <c r="AM7" s="190">
        <v>56402.91</v>
      </c>
      <c r="AN7" s="190">
        <v>15511.07</v>
      </c>
      <c r="AO7" s="190">
        <v>133622.69</v>
      </c>
      <c r="AP7" s="190">
        <v>104800.8</v>
      </c>
      <c r="AQ7" s="190">
        <v>103612.12</v>
      </c>
      <c r="AR7" s="190">
        <v>63806.25</v>
      </c>
      <c r="AS7" s="190">
        <v>729823.35</v>
      </c>
      <c r="AT7" s="190">
        <v>298035.8</v>
      </c>
      <c r="AU7" s="190">
        <v>186051.24</v>
      </c>
      <c r="AV7" s="190">
        <v>152345.28</v>
      </c>
      <c r="AW7" s="190">
        <v>245314.92</v>
      </c>
      <c r="AX7" s="190">
        <v>107675.08</v>
      </c>
      <c r="AY7" s="190">
        <v>39897.870000000003</v>
      </c>
      <c r="AZ7" s="190">
        <v>8788.2999999999993</v>
      </c>
      <c r="BA7" s="190">
        <v>502263.09</v>
      </c>
      <c r="BB7" s="190">
        <v>295089.95</v>
      </c>
      <c r="BC7" s="190">
        <v>230201.89</v>
      </c>
      <c r="BD7" s="190">
        <v>129787.77</v>
      </c>
      <c r="BE7" s="190">
        <v>625168.99</v>
      </c>
      <c r="BF7" s="190">
        <v>445319.09</v>
      </c>
      <c r="BG7" s="190">
        <v>339085.12</v>
      </c>
      <c r="BH7" s="190">
        <v>157619.75</v>
      </c>
      <c r="BI7" s="190">
        <v>1461794.33</v>
      </c>
      <c r="BJ7" s="190">
        <v>898372.48</v>
      </c>
      <c r="BK7" s="190">
        <v>406107.11</v>
      </c>
      <c r="BL7" s="190">
        <v>83009.600000000006</v>
      </c>
      <c r="BM7" s="190">
        <v>1869168.06</v>
      </c>
      <c r="BN7" s="190">
        <v>1417384.88</v>
      </c>
      <c r="BO7" s="190">
        <v>829062.46</v>
      </c>
      <c r="BP7" s="190">
        <v>666241.77</v>
      </c>
      <c r="BQ7" s="190">
        <v>3218094.36</v>
      </c>
      <c r="BR7" s="190">
        <v>1944718.97</v>
      </c>
      <c r="BS7" s="190">
        <v>3463019.55</v>
      </c>
      <c r="BT7" s="190">
        <v>1539275.07</v>
      </c>
      <c r="BU7" s="190">
        <v>1402513.88</v>
      </c>
      <c r="BV7" s="190">
        <v>392976.86</v>
      </c>
      <c r="BW7" s="190">
        <v>1265989.26</v>
      </c>
      <c r="BX7" s="190">
        <v>488903.67999999999</v>
      </c>
      <c r="BY7" s="190">
        <v>884093.29</v>
      </c>
      <c r="BZ7" s="190">
        <v>226578.78</v>
      </c>
      <c r="CA7" s="190">
        <v>758737.16</v>
      </c>
      <c r="CB7" s="190">
        <v>692701.56</v>
      </c>
      <c r="CC7" s="190">
        <v>346846.66</v>
      </c>
      <c r="CD7" s="190">
        <v>0</v>
      </c>
    </row>
    <row r="8" spans="1:82" x14ac:dyDescent="0.25">
      <c r="A8" s="190" t="s">
        <v>195</v>
      </c>
      <c r="B8" s="190">
        <v>25329566.82</v>
      </c>
      <c r="C8" s="190">
        <v>15858033.619999999</v>
      </c>
      <c r="D8" s="190">
        <v>6256774.6399999997</v>
      </c>
      <c r="E8" s="190">
        <v>45955102.289999999</v>
      </c>
      <c r="F8" s="190">
        <v>36096637.200000003</v>
      </c>
      <c r="G8" s="190">
        <v>26352030.510000002</v>
      </c>
      <c r="H8" s="190">
        <v>8610414.5399999991</v>
      </c>
      <c r="I8" s="190">
        <v>120514143.47</v>
      </c>
      <c r="J8" s="190">
        <v>84617026.969999999</v>
      </c>
      <c r="K8" s="190">
        <v>50856506.030000001</v>
      </c>
      <c r="L8" s="190">
        <v>20227825.170000002</v>
      </c>
      <c r="M8" s="190">
        <v>86926637.469999999</v>
      </c>
      <c r="N8" s="190">
        <v>55320126.909999996</v>
      </c>
      <c r="O8" s="190">
        <v>37191676.270000003</v>
      </c>
      <c r="P8" s="190">
        <v>14289501.99</v>
      </c>
      <c r="Q8" s="190">
        <v>56386031.840000004</v>
      </c>
      <c r="R8" s="190">
        <v>43546455.869999997</v>
      </c>
      <c r="S8" s="190">
        <v>30709436.84</v>
      </c>
      <c r="T8" s="190">
        <v>13580679.880000001</v>
      </c>
      <c r="U8" s="190">
        <v>45246195.350000001</v>
      </c>
      <c r="V8" s="190">
        <v>33414029.710000001</v>
      </c>
      <c r="W8" s="190">
        <v>20895448.82</v>
      </c>
      <c r="X8" s="190">
        <v>9207108.2599999998</v>
      </c>
      <c r="Y8" s="190">
        <v>39961608.130000003</v>
      </c>
      <c r="Z8" s="190">
        <v>25851485.030000001</v>
      </c>
      <c r="AA8" s="190">
        <v>9644357.6400000006</v>
      </c>
      <c r="AB8" s="190">
        <v>4074621.71</v>
      </c>
      <c r="AC8" s="190">
        <v>37176642.43</v>
      </c>
      <c r="AD8" s="190">
        <v>0</v>
      </c>
      <c r="AE8" s="190">
        <v>0</v>
      </c>
      <c r="AF8" s="190">
        <v>0</v>
      </c>
      <c r="AG8" s="190">
        <v>0</v>
      </c>
      <c r="AH8" s="190">
        <v>0</v>
      </c>
      <c r="AI8" s="190">
        <v>0</v>
      </c>
      <c r="AJ8" s="190">
        <v>0</v>
      </c>
      <c r="AK8" s="190">
        <v>0</v>
      </c>
      <c r="AL8" s="190">
        <v>-208622</v>
      </c>
      <c r="AM8" s="190">
        <v>-402411.35</v>
      </c>
      <c r="AN8" s="190">
        <v>0</v>
      </c>
      <c r="AO8" s="190">
        <v>2322996.6800000002</v>
      </c>
      <c r="AP8" s="190">
        <v>2822873.12</v>
      </c>
      <c r="AQ8" s="190">
        <v>2386177.29</v>
      </c>
      <c r="AR8" s="190">
        <v>1239141.08</v>
      </c>
      <c r="AS8" s="190">
        <v>11116450.77</v>
      </c>
      <c r="AT8" s="190">
        <v>8876671.6699999999</v>
      </c>
      <c r="AU8" s="190">
        <v>6574610.2599999998</v>
      </c>
      <c r="AV8" s="190">
        <v>3574313.8</v>
      </c>
      <c r="AW8" s="190">
        <v>13747148.449999999</v>
      </c>
      <c r="AX8" s="190">
        <v>8095603.3899999997</v>
      </c>
      <c r="AY8" s="190">
        <v>5208377.07</v>
      </c>
      <c r="AZ8" s="190">
        <v>2597860.15</v>
      </c>
      <c r="BA8" s="190">
        <v>7668617.2000000002</v>
      </c>
      <c r="BB8" s="190">
        <v>5574907.3200000003</v>
      </c>
      <c r="BC8" s="190">
        <v>3227823.63</v>
      </c>
      <c r="BD8" s="190">
        <v>1658146.67</v>
      </c>
      <c r="BE8" s="190">
        <v>12128003.970000001</v>
      </c>
      <c r="BF8" s="190">
        <v>7326654.3300000001</v>
      </c>
      <c r="BG8" s="190">
        <v>5140689.68</v>
      </c>
      <c r="BH8" s="190">
        <v>2572951.27</v>
      </c>
      <c r="BI8" s="190">
        <v>14507809.52</v>
      </c>
      <c r="BJ8" s="190">
        <v>9700464.6400000006</v>
      </c>
      <c r="BK8" s="190">
        <v>5154955.25</v>
      </c>
      <c r="BL8" s="190">
        <v>2697345.63</v>
      </c>
      <c r="BM8" s="190">
        <v>18616003.309999999</v>
      </c>
      <c r="BN8" s="190">
        <v>12723949.17</v>
      </c>
      <c r="BO8" s="190">
        <v>7435897.4400000004</v>
      </c>
      <c r="BP8" s="190">
        <v>3775848.12</v>
      </c>
      <c r="BQ8" s="190">
        <v>15503561.42</v>
      </c>
      <c r="BR8" s="190">
        <v>3845589.43</v>
      </c>
      <c r="BS8" s="190">
        <v>5632489.0099999998</v>
      </c>
      <c r="BT8" s="190">
        <v>3064819.49</v>
      </c>
      <c r="BU8" s="190">
        <v>4980656.49</v>
      </c>
      <c r="BV8" s="190">
        <v>2431489.89</v>
      </c>
      <c r="BW8" s="190">
        <v>4165780.47</v>
      </c>
      <c r="BX8" s="190">
        <v>1997711.48</v>
      </c>
      <c r="BY8" s="190">
        <v>3325861.95</v>
      </c>
      <c r="BZ8" s="190">
        <v>1540271.99</v>
      </c>
      <c r="CA8" s="190">
        <v>4877014.13</v>
      </c>
      <c r="CB8" s="190">
        <v>7272589.9500000002</v>
      </c>
      <c r="CC8" s="190">
        <v>6196688.6699999999</v>
      </c>
      <c r="CD8" s="190">
        <v>0</v>
      </c>
    </row>
    <row r="9" spans="1:82" x14ac:dyDescent="0.25">
      <c r="A9" s="190" t="s">
        <v>196</v>
      </c>
      <c r="B9" s="190">
        <v>131874369.54000001</v>
      </c>
      <c r="C9" s="190">
        <v>90988246.150000006</v>
      </c>
      <c r="D9" s="190">
        <v>57486396.729999997</v>
      </c>
      <c r="E9" s="190">
        <v>148643860.25</v>
      </c>
      <c r="F9" s="190">
        <v>122399732.97</v>
      </c>
      <c r="G9" s="190">
        <v>88655676.859999999</v>
      </c>
      <c r="H9" s="190">
        <v>47525779.289999999</v>
      </c>
      <c r="I9" s="190">
        <v>182172498.37</v>
      </c>
      <c r="J9" s="190">
        <v>144290524.96000001</v>
      </c>
      <c r="K9" s="190">
        <v>93455186.049999997</v>
      </c>
      <c r="L9" s="190">
        <v>51985543.399999999</v>
      </c>
      <c r="M9" s="190">
        <v>193213484.40000001</v>
      </c>
      <c r="N9" s="190">
        <v>135627590.81999999</v>
      </c>
      <c r="O9" s="190">
        <v>97591166.959999993</v>
      </c>
      <c r="P9" s="190">
        <v>49837232.189999998</v>
      </c>
      <c r="Q9" s="190">
        <v>148939850.91</v>
      </c>
      <c r="R9" s="190">
        <v>118289185.34</v>
      </c>
      <c r="S9" s="190">
        <v>77644059.790000007</v>
      </c>
      <c r="T9" s="190">
        <v>50880135.57</v>
      </c>
      <c r="U9" s="190">
        <v>108937690.45</v>
      </c>
      <c r="V9" s="190">
        <v>80854760.340000004</v>
      </c>
      <c r="W9" s="190">
        <v>54035052.049999997</v>
      </c>
      <c r="X9" s="190">
        <v>32815401.469999999</v>
      </c>
      <c r="Y9" s="190">
        <v>84505484.939999998</v>
      </c>
      <c r="Z9" s="190">
        <v>69971405.079999998</v>
      </c>
      <c r="AA9" s="190">
        <v>41460248.130000003</v>
      </c>
      <c r="AB9" s="190">
        <v>24641457.489999998</v>
      </c>
      <c r="AC9" s="190">
        <v>78469227.819999993</v>
      </c>
      <c r="AD9" s="190">
        <v>2980805.51</v>
      </c>
      <c r="AE9" s="190">
        <v>1957592.03</v>
      </c>
      <c r="AF9" s="190">
        <v>945560.98</v>
      </c>
      <c r="AG9" s="190">
        <v>3608223.67</v>
      </c>
      <c r="AH9" s="190">
        <v>2746005.31</v>
      </c>
      <c r="AI9" s="190">
        <v>1552133.04</v>
      </c>
      <c r="AJ9" s="190">
        <v>706222.42</v>
      </c>
      <c r="AK9" s="190">
        <v>2733963.15</v>
      </c>
      <c r="AL9" s="190">
        <v>2237359.42</v>
      </c>
      <c r="AM9" s="190">
        <v>1408576.38</v>
      </c>
      <c r="AN9" s="190">
        <v>506551.71</v>
      </c>
      <c r="AO9" s="190">
        <v>14063980.23</v>
      </c>
      <c r="AP9" s="190">
        <v>13401357.779999999</v>
      </c>
      <c r="AQ9" s="190">
        <v>11333767.01</v>
      </c>
      <c r="AR9" s="190">
        <v>4663545.7699999996</v>
      </c>
      <c r="AS9" s="190">
        <v>14676262.720000001</v>
      </c>
      <c r="AT9" s="190">
        <v>17641463.170000002</v>
      </c>
      <c r="AU9" s="190">
        <v>12292359.189999999</v>
      </c>
      <c r="AV9" s="190">
        <v>5701844.5199999996</v>
      </c>
      <c r="AW9" s="190">
        <v>24892400.59</v>
      </c>
      <c r="AX9" s="190">
        <v>14382229.800000001</v>
      </c>
      <c r="AY9" s="190">
        <v>9547297.7100000009</v>
      </c>
      <c r="AZ9" s="190">
        <v>3296249.24</v>
      </c>
      <c r="BA9" s="190">
        <v>370569542.62</v>
      </c>
      <c r="BB9" s="190">
        <v>33707498.43</v>
      </c>
      <c r="BC9" s="190">
        <v>29891715.260000002</v>
      </c>
      <c r="BD9" s="190">
        <v>4891753.8600000003</v>
      </c>
      <c r="BE9" s="190">
        <v>159327802.06</v>
      </c>
      <c r="BF9" s="190">
        <v>16591984.41</v>
      </c>
      <c r="BG9" s="190">
        <v>11976014.43</v>
      </c>
      <c r="BH9" s="190">
        <v>5770128.2300000004</v>
      </c>
      <c r="BI9" s="190">
        <v>29244777.52</v>
      </c>
      <c r="BJ9" s="190">
        <v>15903617.050000001</v>
      </c>
      <c r="BK9" s="190">
        <v>9246246.9700000007</v>
      </c>
      <c r="BL9" s="190">
        <v>5246232.58</v>
      </c>
      <c r="BM9" s="190">
        <v>32355008.66</v>
      </c>
      <c r="BN9" s="190">
        <v>18694792.07</v>
      </c>
      <c r="BO9" s="190">
        <v>12261857.93</v>
      </c>
      <c r="BP9" s="190">
        <v>6093179.75</v>
      </c>
      <c r="BQ9" s="190">
        <v>25381286.73</v>
      </c>
      <c r="BR9" s="190">
        <v>9694547.5199999996</v>
      </c>
      <c r="BS9" s="190">
        <v>19561959.190000001</v>
      </c>
      <c r="BT9" s="190">
        <v>8496202.1199999992</v>
      </c>
      <c r="BU9" s="190">
        <v>15025733.48</v>
      </c>
      <c r="BV9" s="190">
        <v>5627860.6699999999</v>
      </c>
      <c r="BW9" s="190">
        <v>10642772.460000001</v>
      </c>
      <c r="BX9" s="190">
        <v>4713830.84</v>
      </c>
      <c r="BY9" s="190">
        <v>4535806.34</v>
      </c>
      <c r="BZ9" s="190">
        <v>2150703.64</v>
      </c>
      <c r="CA9" s="190">
        <v>3276807.82</v>
      </c>
      <c r="CB9" s="190">
        <v>6850825.21</v>
      </c>
      <c r="CC9" s="190">
        <v>5438582.0899999999</v>
      </c>
      <c r="CD9" s="190">
        <v>0</v>
      </c>
    </row>
    <row r="10" spans="1:82" x14ac:dyDescent="0.25">
      <c r="A10" s="190" t="s">
        <v>197</v>
      </c>
      <c r="B10" s="190">
        <v>132405325.75</v>
      </c>
      <c r="C10" s="190">
        <v>96175735.530000001</v>
      </c>
      <c r="D10" s="190">
        <v>57079051.909999996</v>
      </c>
      <c r="E10" s="190">
        <v>133010164.51000001</v>
      </c>
      <c r="F10" s="190">
        <v>91218383.950000003</v>
      </c>
      <c r="G10" s="190">
        <v>59674206.770000003</v>
      </c>
      <c r="H10" s="190">
        <v>29688314.84</v>
      </c>
      <c r="I10" s="190">
        <v>180702801.62</v>
      </c>
      <c r="J10" s="190">
        <v>119914436.59</v>
      </c>
      <c r="K10" s="190">
        <v>84700003.180000007</v>
      </c>
      <c r="L10" s="190">
        <v>37178824.32</v>
      </c>
      <c r="M10" s="190">
        <v>214889991.12</v>
      </c>
      <c r="N10" s="190">
        <v>170275102.06</v>
      </c>
      <c r="O10" s="190">
        <v>115283397.93000001</v>
      </c>
      <c r="P10" s="190">
        <v>55818953.710000001</v>
      </c>
      <c r="Q10" s="190">
        <v>110833108.98</v>
      </c>
      <c r="R10" s="190">
        <v>78504472.430000007</v>
      </c>
      <c r="S10" s="190">
        <v>49328185.32</v>
      </c>
      <c r="T10" s="190">
        <v>22459256.870000001</v>
      </c>
      <c r="U10" s="190">
        <v>97101975.519999996</v>
      </c>
      <c r="V10" s="190">
        <v>75258285.290000007</v>
      </c>
      <c r="W10" s="190">
        <v>45704366.390000001</v>
      </c>
      <c r="X10" s="190">
        <v>17671218.649999999</v>
      </c>
      <c r="Y10" s="190">
        <v>21723515.82</v>
      </c>
      <c r="Z10" s="190">
        <v>7106142.9100000001</v>
      </c>
      <c r="AA10" s="190">
        <v>4111479.1</v>
      </c>
      <c r="AB10" s="190">
        <v>2233963.2200000002</v>
      </c>
      <c r="AC10" s="190">
        <v>6326568.6900000004</v>
      </c>
      <c r="AD10" s="190">
        <v>35397490.259999998</v>
      </c>
      <c r="AE10" s="190">
        <v>24007765.870000001</v>
      </c>
      <c r="AF10" s="190">
        <v>11389332.460000001</v>
      </c>
      <c r="AG10" s="190">
        <v>26985812.25</v>
      </c>
      <c r="AH10" s="190">
        <v>34868054.049999997</v>
      </c>
      <c r="AI10" s="190">
        <v>23479568.960000001</v>
      </c>
      <c r="AJ10" s="190">
        <v>11390260.09</v>
      </c>
      <c r="AK10" s="190">
        <v>32440983.25</v>
      </c>
      <c r="AL10" s="190">
        <v>40799550.640000001</v>
      </c>
      <c r="AM10" s="190">
        <v>27472833.149999999</v>
      </c>
      <c r="AN10" s="190">
        <v>13613264.17</v>
      </c>
      <c r="AO10" s="190">
        <v>33749652.829999998</v>
      </c>
      <c r="AP10" s="190">
        <v>37462416.899999999</v>
      </c>
      <c r="AQ10" s="190">
        <v>23851444.739999998</v>
      </c>
      <c r="AR10" s="190">
        <v>12466949.029999999</v>
      </c>
      <c r="AS10" s="190">
        <v>22982577.600000001</v>
      </c>
      <c r="AT10" s="190">
        <v>38982126.560000002</v>
      </c>
      <c r="AU10" s="190">
        <v>25884358.02</v>
      </c>
      <c r="AV10" s="190">
        <v>12787625.720000001</v>
      </c>
      <c r="AW10" s="190">
        <v>67366465.069999993</v>
      </c>
      <c r="AX10" s="190">
        <v>39429861.75</v>
      </c>
      <c r="AY10" s="190">
        <v>26292277.32</v>
      </c>
      <c r="AZ10" s="190">
        <v>13146526.779999999</v>
      </c>
      <c r="BA10" s="190">
        <v>59295488.979999997</v>
      </c>
      <c r="BB10" s="190">
        <v>35420815</v>
      </c>
      <c r="BC10" s="190">
        <v>22130140.620000001</v>
      </c>
      <c r="BD10" s="190">
        <v>11993005.6</v>
      </c>
      <c r="BE10" s="190">
        <v>30181857.379999999</v>
      </c>
      <c r="BF10" s="190">
        <v>15530678.369999999</v>
      </c>
      <c r="BG10" s="190">
        <v>10074964.24</v>
      </c>
      <c r="BH10" s="190">
        <v>4653313.3600000003</v>
      </c>
      <c r="BI10" s="190">
        <v>33693951.030000001</v>
      </c>
      <c r="BJ10" s="190">
        <v>21583758.609999999</v>
      </c>
      <c r="BK10" s="190">
        <v>11383644.15</v>
      </c>
      <c r="BL10" s="190">
        <v>5411583</v>
      </c>
      <c r="BM10" s="190">
        <v>24243151.66</v>
      </c>
      <c r="BN10" s="190">
        <v>12670906.109999999</v>
      </c>
      <c r="BO10" s="190">
        <v>8177269.9299999997</v>
      </c>
      <c r="BP10" s="190">
        <v>1941658.56</v>
      </c>
      <c r="BQ10" s="190">
        <v>7655701.8600000003</v>
      </c>
      <c r="BR10" s="190">
        <v>1526434.55</v>
      </c>
      <c r="BS10" s="190">
        <v>4688294.22</v>
      </c>
      <c r="BT10" s="190">
        <v>2147488.6800000002</v>
      </c>
      <c r="BU10" s="190">
        <v>3027137.15</v>
      </c>
      <c r="BV10" s="190">
        <v>1667226.03</v>
      </c>
      <c r="BW10" s="190">
        <v>3157976.51</v>
      </c>
      <c r="BX10" s="190">
        <v>1695577.89</v>
      </c>
      <c r="BY10" s="190">
        <v>3726826.52</v>
      </c>
      <c r="BZ10" s="190">
        <v>1646675.07</v>
      </c>
      <c r="CA10" s="190">
        <v>6168499.3499999996</v>
      </c>
      <c r="CB10" s="190">
        <v>8294361.9400000004</v>
      </c>
      <c r="CC10" s="190">
        <v>6437829.6600000001</v>
      </c>
      <c r="CD10" s="190">
        <v>0</v>
      </c>
    </row>
    <row r="11" spans="1:82" x14ac:dyDescent="0.25">
      <c r="A11" s="190" t="s">
        <v>198</v>
      </c>
      <c r="B11" s="190">
        <v>1146621.54</v>
      </c>
      <c r="C11" s="190">
        <v>775688.04</v>
      </c>
      <c r="D11" s="190">
        <v>-290436.53000000003</v>
      </c>
      <c r="E11" s="190">
        <v>51763865.259999998</v>
      </c>
      <c r="F11" s="190">
        <v>868208.86</v>
      </c>
      <c r="G11" s="190">
        <v>1079941.32</v>
      </c>
      <c r="H11" s="190">
        <v>-4365.97</v>
      </c>
      <c r="I11" s="190">
        <v>5937134.9100000001</v>
      </c>
      <c r="J11" s="190">
        <v>-143330.18</v>
      </c>
      <c r="K11" s="190">
        <v>-27780.12</v>
      </c>
      <c r="L11" s="190">
        <v>-15782.88</v>
      </c>
      <c r="M11" s="190">
        <v>914621.49</v>
      </c>
      <c r="N11" s="190">
        <v>361875.64</v>
      </c>
      <c r="O11" s="190">
        <v>649640.14</v>
      </c>
      <c r="P11" s="190">
        <v>310732.44</v>
      </c>
      <c r="Q11" s="190">
        <v>454124.58</v>
      </c>
      <c r="R11" s="190">
        <v>460336.84</v>
      </c>
      <c r="S11" s="190">
        <v>179424.51</v>
      </c>
      <c r="T11" s="190">
        <v>-94545.86</v>
      </c>
      <c r="U11" s="190">
        <v>1462498.08</v>
      </c>
      <c r="V11" s="190">
        <v>1371428.65</v>
      </c>
      <c r="W11" s="190">
        <v>166643.57999999999</v>
      </c>
      <c r="X11" s="190">
        <v>-23576.58</v>
      </c>
      <c r="Y11" s="190">
        <v>842692.24</v>
      </c>
      <c r="Z11" s="190">
        <v>-25986.78</v>
      </c>
      <c r="AA11" s="190">
        <v>89276.67</v>
      </c>
      <c r="AB11" s="190">
        <v>-157222.89000000001</v>
      </c>
      <c r="AC11" s="190">
        <v>-2039457.77</v>
      </c>
      <c r="AD11" s="190">
        <v>1718446.35</v>
      </c>
      <c r="AE11" s="190">
        <v>1718446.35</v>
      </c>
      <c r="AF11" s="190">
        <v>0</v>
      </c>
      <c r="AG11" s="190">
        <v>-6414659.4800000004</v>
      </c>
      <c r="AH11" s="190">
        <v>70978.31</v>
      </c>
      <c r="AI11" s="190">
        <v>70978.31</v>
      </c>
      <c r="AJ11" s="190">
        <v>0</v>
      </c>
      <c r="AK11" s="190">
        <v>3087203.75</v>
      </c>
      <c r="AL11" s="190">
        <v>-376269.27</v>
      </c>
      <c r="AM11" s="190">
        <v>-660921.06000000006</v>
      </c>
      <c r="AN11" s="190">
        <v>0</v>
      </c>
      <c r="AO11" s="190">
        <v>12682501.439999999</v>
      </c>
      <c r="AP11" s="190">
        <v>9068740.1799999997</v>
      </c>
      <c r="AQ11" s="190">
        <v>9068740.1799999997</v>
      </c>
      <c r="AR11" s="190">
        <v>0</v>
      </c>
      <c r="AS11" s="190">
        <v>-14047138.48</v>
      </c>
      <c r="AT11" s="190">
        <v>-4019137.67</v>
      </c>
      <c r="AU11" s="190">
        <v>-4019137.67</v>
      </c>
      <c r="AV11" s="190">
        <v>0</v>
      </c>
      <c r="AW11" s="190">
        <v>357279484.61000001</v>
      </c>
      <c r="AX11" s="190">
        <v>10258869.42</v>
      </c>
      <c r="AY11" s="190">
        <v>10258869.42</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16724.060000000001</v>
      </c>
      <c r="BT11" s="190">
        <v>16724.060000000001</v>
      </c>
      <c r="BU11" s="190">
        <v>729021.18</v>
      </c>
      <c r="BV11" s="190">
        <v>0</v>
      </c>
      <c r="BW11" s="190">
        <v>0</v>
      </c>
      <c r="BX11" s="190">
        <v>0</v>
      </c>
      <c r="BY11" s="190">
        <v>0</v>
      </c>
      <c r="BZ11" s="190">
        <v>0</v>
      </c>
      <c r="CA11" s="190">
        <v>0</v>
      </c>
      <c r="CB11" s="190">
        <v>0</v>
      </c>
      <c r="CC11" s="190">
        <v>0</v>
      </c>
      <c r="CD11" s="190">
        <v>0</v>
      </c>
    </row>
    <row r="12" spans="1:82"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205020</v>
      </c>
      <c r="R12" s="190">
        <v>205020</v>
      </c>
      <c r="S12" s="190">
        <v>-4420</v>
      </c>
      <c r="T12" s="190">
        <v>-6120</v>
      </c>
      <c r="U12" s="190">
        <v>-51850</v>
      </c>
      <c r="V12" s="190">
        <v>-41820</v>
      </c>
      <c r="W12" s="190">
        <v>-49810</v>
      </c>
      <c r="X12" s="190">
        <v>-11390</v>
      </c>
      <c r="Y12" s="190">
        <v>-20230</v>
      </c>
      <c r="Z12" s="190">
        <v>1020</v>
      </c>
      <c r="AA12" s="190">
        <v>-21590</v>
      </c>
      <c r="AB12" s="190">
        <v>-2720</v>
      </c>
      <c r="AC12" s="190">
        <v>-21315.919999999998</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row>
    <row r="13" spans="1:82" x14ac:dyDescent="0.25">
      <c r="A13" s="190" t="s">
        <v>200</v>
      </c>
      <c r="B13" s="190">
        <v>15225385.58</v>
      </c>
      <c r="C13" s="190">
        <v>3678665.1</v>
      </c>
      <c r="D13" s="190">
        <v>385151.76</v>
      </c>
      <c r="E13" s="190">
        <v>-15667022.949999999</v>
      </c>
      <c r="F13" s="190">
        <v>4837392.22</v>
      </c>
      <c r="G13" s="190">
        <v>-3857491.17</v>
      </c>
      <c r="H13" s="190">
        <v>-133493.96</v>
      </c>
      <c r="I13" s="190">
        <v>4354993.04</v>
      </c>
      <c r="J13" s="190">
        <v>5853861.9400000004</v>
      </c>
      <c r="K13" s="190">
        <v>305984.3</v>
      </c>
      <c r="L13" s="190">
        <v>-91253.62</v>
      </c>
      <c r="M13" s="190">
        <v>423275489.80000001</v>
      </c>
      <c r="N13" s="190">
        <v>236467628.59</v>
      </c>
      <c r="O13" s="190">
        <v>236469973.34999999</v>
      </c>
      <c r="P13" s="190">
        <v>-105154.14</v>
      </c>
      <c r="Q13" s="190">
        <v>138530335.78999999</v>
      </c>
      <c r="R13" s="190">
        <v>21576171.57</v>
      </c>
      <c r="S13" s="190">
        <v>22223522.829999998</v>
      </c>
      <c r="T13" s="190">
        <v>-25419.65</v>
      </c>
      <c r="U13" s="190">
        <v>110094219.51000001</v>
      </c>
      <c r="V13" s="190">
        <v>115191249.55</v>
      </c>
      <c r="W13" s="190">
        <v>108369890.55</v>
      </c>
      <c r="X13" s="190">
        <v>-326795.33</v>
      </c>
      <c r="Y13" s="190">
        <v>123437628.18000001</v>
      </c>
      <c r="Z13" s="190">
        <v>126725500.3</v>
      </c>
      <c r="AA13" s="190">
        <v>120512804.08</v>
      </c>
      <c r="AB13" s="190">
        <v>-381233.82</v>
      </c>
      <c r="AC13" s="190">
        <v>80272314.370000005</v>
      </c>
      <c r="AD13" s="190">
        <v>0</v>
      </c>
      <c r="AE13" s="190">
        <v>0</v>
      </c>
      <c r="AF13" s="190">
        <v>0</v>
      </c>
      <c r="AG13" s="190">
        <v>-4447</v>
      </c>
      <c r="AH13" s="190">
        <v>0</v>
      </c>
      <c r="AI13" s="190">
        <v>0</v>
      </c>
      <c r="AJ13" s="190">
        <v>0</v>
      </c>
      <c r="AK13" s="190">
        <v>-1213497.95</v>
      </c>
      <c r="AL13" s="190">
        <v>-17593.53</v>
      </c>
      <c r="AM13" s="190">
        <v>-194.43</v>
      </c>
      <c r="AN13" s="190">
        <v>0</v>
      </c>
      <c r="AO13" s="190">
        <v>62139.56</v>
      </c>
      <c r="AP13" s="190">
        <v>-180631.67999999999</v>
      </c>
      <c r="AQ13" s="190">
        <v>-173457.86</v>
      </c>
      <c r="AR13" s="190">
        <v>0</v>
      </c>
      <c r="AS13" s="190">
        <v>-1587107.41</v>
      </c>
      <c r="AT13" s="190">
        <v>-28551.66</v>
      </c>
      <c r="AU13" s="190">
        <v>-28551.66</v>
      </c>
      <c r="AV13" s="190">
        <v>-2954.95</v>
      </c>
      <c r="AW13" s="190">
        <v>-11639638.17</v>
      </c>
      <c r="AX13" s="190">
        <v>25762.83</v>
      </c>
      <c r="AY13" s="190">
        <v>4179.46</v>
      </c>
      <c r="AZ13" s="190">
        <v>-64039.67</v>
      </c>
      <c r="BA13" s="190">
        <v>-911904.98</v>
      </c>
      <c r="BB13" s="190">
        <v>-887736.38</v>
      </c>
      <c r="BC13" s="190">
        <v>-878622.99</v>
      </c>
      <c r="BD13" s="190">
        <v>-354779.02</v>
      </c>
      <c r="BE13" s="190">
        <v>567973.48</v>
      </c>
      <c r="BF13" s="190">
        <v>1300643.3899999999</v>
      </c>
      <c r="BG13" s="190">
        <v>1384791.66</v>
      </c>
      <c r="BH13" s="190">
        <v>2497.09</v>
      </c>
      <c r="BI13" s="190">
        <v>1902213.52</v>
      </c>
      <c r="BJ13" s="190">
        <v>-210686.6</v>
      </c>
      <c r="BK13" s="190">
        <v>-264505.2</v>
      </c>
      <c r="BL13" s="190">
        <v>0</v>
      </c>
      <c r="BM13" s="190">
        <v>-104270.22</v>
      </c>
      <c r="BN13" s="190">
        <v>-49635.11</v>
      </c>
      <c r="BO13" s="190">
        <v>-49635.11</v>
      </c>
      <c r="BP13" s="190">
        <v>0</v>
      </c>
      <c r="BQ13" s="190">
        <v>12094568.43</v>
      </c>
      <c r="BR13" s="190">
        <v>4899103.54</v>
      </c>
      <c r="BS13" s="190">
        <v>2253890.35</v>
      </c>
      <c r="BT13" s="190">
        <v>341696.84</v>
      </c>
      <c r="BU13" s="190">
        <v>6305282.4699999997</v>
      </c>
      <c r="BV13" s="190">
        <v>4561536.82</v>
      </c>
      <c r="BW13" s="190">
        <v>3813819.28</v>
      </c>
      <c r="BX13" s="190">
        <v>566055.03</v>
      </c>
      <c r="BY13" s="190">
        <v>2892968</v>
      </c>
      <c r="BZ13" s="190">
        <v>13749</v>
      </c>
      <c r="CA13" s="190">
        <v>11700</v>
      </c>
      <c r="CB13" s="190">
        <v>5800</v>
      </c>
      <c r="CC13" s="190">
        <v>20113.599999999999</v>
      </c>
      <c r="CD13" s="190">
        <v>0</v>
      </c>
    </row>
    <row r="14" spans="1:82" x14ac:dyDescent="0.25">
      <c r="A14" s="190" t="s">
        <v>201</v>
      </c>
      <c r="B14" s="190">
        <v>10971325.949999999</v>
      </c>
      <c r="C14" s="190">
        <v>3221926.01</v>
      </c>
      <c r="D14" s="190">
        <v>-71555.399999999994</v>
      </c>
      <c r="E14" s="190">
        <v>-23633714.579999998</v>
      </c>
      <c r="F14" s="190">
        <v>-3101039.81</v>
      </c>
      <c r="G14" s="190">
        <v>-6098553.3399999999</v>
      </c>
      <c r="H14" s="190">
        <v>-273117.88</v>
      </c>
      <c r="I14" s="190">
        <v>-3195150.28</v>
      </c>
      <c r="J14" s="190">
        <v>277466.98</v>
      </c>
      <c r="K14" s="190">
        <v>-290180.08</v>
      </c>
      <c r="L14" s="190">
        <v>-91253.62</v>
      </c>
      <c r="M14" s="190">
        <v>-2683014.21</v>
      </c>
      <c r="N14" s="190">
        <v>-572371.41</v>
      </c>
      <c r="O14" s="190">
        <v>-570026.65</v>
      </c>
      <c r="P14" s="190">
        <v>-105154.14</v>
      </c>
      <c r="Q14" s="190">
        <v>3103152.35</v>
      </c>
      <c r="R14" s="190">
        <v>1780929.72</v>
      </c>
      <c r="S14" s="190">
        <v>2223522.83</v>
      </c>
      <c r="T14" s="190">
        <v>-25419.65</v>
      </c>
      <c r="U14" s="190">
        <v>1097839.6499999999</v>
      </c>
      <c r="V14" s="190">
        <v>6194869.6900000004</v>
      </c>
      <c r="W14" s="190">
        <v>-626489.31000000006</v>
      </c>
      <c r="X14" s="190">
        <v>-326795.33</v>
      </c>
      <c r="Y14" s="190">
        <v>23437628.18</v>
      </c>
      <c r="Z14" s="190">
        <v>20512804.079999998</v>
      </c>
      <c r="AA14" s="190">
        <v>20512804.079999998</v>
      </c>
      <c r="AB14" s="190">
        <v>-381233.82</v>
      </c>
      <c r="AC14" s="190">
        <v>271412.40000000002</v>
      </c>
      <c r="AD14" s="190">
        <v>0</v>
      </c>
      <c r="AE14" s="190">
        <v>0</v>
      </c>
      <c r="AF14" s="190">
        <v>0</v>
      </c>
      <c r="AG14" s="190">
        <v>-4447</v>
      </c>
      <c r="AH14" s="190">
        <v>0</v>
      </c>
      <c r="AI14" s="190">
        <v>0</v>
      </c>
      <c r="AJ14" s="190">
        <v>0</v>
      </c>
      <c r="AK14" s="190">
        <v>-1213497.95</v>
      </c>
      <c r="AL14" s="190">
        <v>-17593.53</v>
      </c>
      <c r="AM14" s="190">
        <v>-194.43</v>
      </c>
      <c r="AN14" s="190">
        <v>0</v>
      </c>
      <c r="AO14" s="190">
        <v>62139.56</v>
      </c>
      <c r="AP14" s="190">
        <v>-173457.86</v>
      </c>
      <c r="AQ14" s="190">
        <v>-173457.86</v>
      </c>
      <c r="AR14" s="190">
        <v>0</v>
      </c>
      <c r="AS14" s="190">
        <v>-1587107.41</v>
      </c>
      <c r="AT14" s="190">
        <v>-28551.66</v>
      </c>
      <c r="AU14" s="190">
        <v>-28551.66</v>
      </c>
      <c r="AV14" s="190">
        <v>-2954.95</v>
      </c>
      <c r="AW14" s="190">
        <v>-11639638.17</v>
      </c>
      <c r="AX14" s="190">
        <v>25762.83</v>
      </c>
      <c r="AY14" s="190">
        <v>4179.46</v>
      </c>
      <c r="AZ14" s="190">
        <v>-3414.68</v>
      </c>
      <c r="BA14" s="190">
        <v>0</v>
      </c>
      <c r="BB14" s="190">
        <v>0</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0</v>
      </c>
      <c r="BV14" s="190">
        <v>0</v>
      </c>
      <c r="BW14" s="190">
        <v>0</v>
      </c>
      <c r="BX14" s="190">
        <v>0</v>
      </c>
      <c r="BY14" s="190">
        <v>0</v>
      </c>
      <c r="BZ14" s="190">
        <v>0</v>
      </c>
      <c r="CA14" s="190">
        <v>0</v>
      </c>
      <c r="CB14" s="190">
        <v>0</v>
      </c>
      <c r="CC14" s="190">
        <v>0</v>
      </c>
      <c r="CD14" s="190">
        <v>0</v>
      </c>
    </row>
    <row r="15" spans="1:82" x14ac:dyDescent="0.25">
      <c r="A15" s="190" t="s">
        <v>202</v>
      </c>
      <c r="B15" s="190">
        <v>0</v>
      </c>
      <c r="C15" s="190">
        <v>0</v>
      </c>
      <c r="D15" s="190">
        <v>-30677.5</v>
      </c>
      <c r="E15" s="190">
        <v>-59542.3</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0</v>
      </c>
    </row>
    <row r="16" spans="1:82" x14ac:dyDescent="0.25">
      <c r="A16" s="190" t="s">
        <v>203</v>
      </c>
      <c r="B16" s="190">
        <v>142918771.62</v>
      </c>
      <c r="C16" s="190">
        <v>51914170.07</v>
      </c>
      <c r="D16" s="190">
        <v>-90808630.769999996</v>
      </c>
      <c r="E16" s="190">
        <v>361431131.39999998</v>
      </c>
      <c r="F16" s="190">
        <v>72884911.609999999</v>
      </c>
      <c r="G16" s="190">
        <v>109734881.27</v>
      </c>
      <c r="H16" s="190">
        <v>116741289.92</v>
      </c>
      <c r="I16" s="190">
        <v>1269137576.8399999</v>
      </c>
      <c r="J16" s="190">
        <v>597966653.86000001</v>
      </c>
      <c r="K16" s="190">
        <v>627570089.77999997</v>
      </c>
      <c r="L16" s="190">
        <v>557614875.96000004</v>
      </c>
      <c r="M16" s="190">
        <v>90317406.290000007</v>
      </c>
      <c r="N16" s="190">
        <v>7818750.5099999998</v>
      </c>
      <c r="O16" s="190">
        <v>76180175.560000002</v>
      </c>
      <c r="P16" s="190">
        <v>-69197823.920000002</v>
      </c>
      <c r="Q16" s="190">
        <v>153896318.24000001</v>
      </c>
      <c r="R16" s="190">
        <v>38787794.789999999</v>
      </c>
      <c r="S16" s="190">
        <v>44568375.359999999</v>
      </c>
      <c r="T16" s="190">
        <v>26868668.309999999</v>
      </c>
      <c r="U16" s="190">
        <v>630780308.04999995</v>
      </c>
      <c r="V16" s="190">
        <v>29538676.350000001</v>
      </c>
      <c r="W16" s="190">
        <v>74594686.870000005</v>
      </c>
      <c r="X16" s="190">
        <v>10677363.99</v>
      </c>
      <c r="Y16" s="190">
        <v>461613602.61000001</v>
      </c>
      <c r="Z16" s="190">
        <v>147929749.13999999</v>
      </c>
      <c r="AA16" s="190">
        <v>90746926.75</v>
      </c>
      <c r="AB16" s="190">
        <v>-23872557.039999999</v>
      </c>
      <c r="AC16" s="190">
        <v>279302433.82999998</v>
      </c>
      <c r="AD16" s="190">
        <v>-39539053.149999999</v>
      </c>
      <c r="AE16" s="190">
        <v>-27446299.25</v>
      </c>
      <c r="AF16" s="190">
        <v>-12217349.699999999</v>
      </c>
      <c r="AG16" s="190">
        <v>-26376024.530000001</v>
      </c>
      <c r="AH16" s="190">
        <v>-39808406.210000001</v>
      </c>
      <c r="AI16" s="190">
        <v>-27383769.32</v>
      </c>
      <c r="AJ16" s="190">
        <v>-12067363.66</v>
      </c>
      <c r="AK16" s="190">
        <v>-41002288.229999997</v>
      </c>
      <c r="AL16" s="190">
        <v>-42114662.689999998</v>
      </c>
      <c r="AM16" s="190">
        <v>-27585146.699999999</v>
      </c>
      <c r="AN16" s="190">
        <v>-13970358.050000001</v>
      </c>
      <c r="AO16" s="190">
        <v>-62834662.030000001</v>
      </c>
      <c r="AP16" s="190">
        <v>-62137556.890000001</v>
      </c>
      <c r="AQ16" s="190">
        <v>-45983625.060000002</v>
      </c>
      <c r="AR16" s="190">
        <v>-18309571.699999999</v>
      </c>
      <c r="AS16" s="190">
        <v>197143.34</v>
      </c>
      <c r="AT16" s="190">
        <v>-48238635.68</v>
      </c>
      <c r="AU16" s="190">
        <v>-29404679.120000001</v>
      </c>
      <c r="AV16" s="190">
        <v>-16036547.859999999</v>
      </c>
      <c r="AW16" s="190">
        <v>-461774998.77999997</v>
      </c>
      <c r="AX16" s="190">
        <v>-63452144.789999999</v>
      </c>
      <c r="AY16" s="190">
        <v>-49370753.189999998</v>
      </c>
      <c r="AZ16" s="190">
        <v>-18570449.489999998</v>
      </c>
      <c r="BA16" s="190">
        <v>-435516181.11000001</v>
      </c>
      <c r="BB16" s="190">
        <v>-73206588.560000002</v>
      </c>
      <c r="BC16" s="190">
        <v>-56430420.700000003</v>
      </c>
      <c r="BD16" s="190">
        <v>-19309069.280000001</v>
      </c>
      <c r="BE16" s="190">
        <v>-157934562</v>
      </c>
      <c r="BF16" s="190">
        <v>-2189230.83</v>
      </c>
      <c r="BG16" s="190">
        <v>5723375.5899999999</v>
      </c>
      <c r="BH16" s="190">
        <v>2112872.71</v>
      </c>
      <c r="BI16" s="190">
        <v>23089869.859999999</v>
      </c>
      <c r="BJ16" s="190">
        <v>13490393.07</v>
      </c>
      <c r="BK16" s="190">
        <v>8939746.1400000006</v>
      </c>
      <c r="BL16" s="190">
        <v>1472152.78</v>
      </c>
      <c r="BM16" s="190">
        <v>21902910.359999999</v>
      </c>
      <c r="BN16" s="190">
        <v>14636344.119999999</v>
      </c>
      <c r="BO16" s="190">
        <v>12856859.439999999</v>
      </c>
      <c r="BP16" s="190">
        <v>2554520.84</v>
      </c>
      <c r="BQ16" s="190">
        <v>40996755.829999998</v>
      </c>
      <c r="BR16" s="190">
        <v>21793934.870000001</v>
      </c>
      <c r="BS16" s="190">
        <v>44654090.700000003</v>
      </c>
      <c r="BT16" s="190">
        <v>20011984.280000001</v>
      </c>
      <c r="BU16" s="190">
        <v>21241118.920000002</v>
      </c>
      <c r="BV16" s="190">
        <v>9189866.8399999999</v>
      </c>
      <c r="BW16" s="190">
        <v>20175593.07</v>
      </c>
      <c r="BX16" s="190">
        <v>8027666.9500000002</v>
      </c>
      <c r="BY16" s="190">
        <v>17385708.879999999</v>
      </c>
      <c r="BZ16" s="190">
        <v>6369829.2400000002</v>
      </c>
      <c r="CA16" s="190">
        <v>13339673.6</v>
      </c>
      <c r="CB16" s="190">
        <v>17360840.600000001</v>
      </c>
      <c r="CC16" s="190">
        <v>14691648.470000001</v>
      </c>
      <c r="CD16" s="190">
        <v>0</v>
      </c>
    </row>
    <row r="17" spans="1:82" x14ac:dyDescent="0.25">
      <c r="A17" s="190" t="s">
        <v>204</v>
      </c>
      <c r="B17" s="190">
        <v>24414945.140000001</v>
      </c>
      <c r="C17" s="190">
        <v>14092083.84</v>
      </c>
      <c r="D17" s="190">
        <v>47042.879999999997</v>
      </c>
      <c r="E17" s="190">
        <v>34953709.079999998</v>
      </c>
      <c r="F17" s="190">
        <v>29797590.41</v>
      </c>
      <c r="G17" s="190">
        <v>24567214.859999999</v>
      </c>
      <c r="H17" s="190">
        <v>3449584.91</v>
      </c>
      <c r="I17" s="190">
        <v>34443641.5</v>
      </c>
      <c r="J17" s="190">
        <v>16224026.32</v>
      </c>
      <c r="K17" s="190">
        <v>13111347.689999999</v>
      </c>
      <c r="L17" s="190">
        <v>2926680.93</v>
      </c>
      <c r="M17" s="190">
        <v>20770440.859999999</v>
      </c>
      <c r="N17" s="190">
        <v>12848602.65</v>
      </c>
      <c r="O17" s="190">
        <v>4582135.53</v>
      </c>
      <c r="P17" s="190">
        <v>3062525.33</v>
      </c>
      <c r="Q17" s="190">
        <v>29720091.73</v>
      </c>
      <c r="R17" s="190">
        <v>21110608.129999999</v>
      </c>
      <c r="S17" s="190">
        <v>15565897.32</v>
      </c>
      <c r="T17" s="190">
        <v>9245253.3900000006</v>
      </c>
      <c r="U17" s="190">
        <v>17289664.079999998</v>
      </c>
      <c r="V17" s="190">
        <v>10772642.689999999</v>
      </c>
      <c r="W17" s="190">
        <v>5412735.3099999996</v>
      </c>
      <c r="X17" s="190">
        <v>3877356.81</v>
      </c>
      <c r="Y17" s="190">
        <v>11383517.689999999</v>
      </c>
      <c r="Z17" s="190">
        <v>6613359.5300000003</v>
      </c>
      <c r="AA17" s="190">
        <v>5065089.8499999996</v>
      </c>
      <c r="AB17" s="190">
        <v>2169452.2799999998</v>
      </c>
      <c r="AC17" s="190">
        <v>16281921.43</v>
      </c>
      <c r="AD17" s="190">
        <v>8468616.0399999991</v>
      </c>
      <c r="AE17" s="190">
        <v>8468616.0399999991</v>
      </c>
      <c r="AF17" s="190">
        <v>5737944.04</v>
      </c>
      <c r="AG17" s="190">
        <v>22856335.780000001</v>
      </c>
      <c r="AH17" s="190">
        <v>31341619.93</v>
      </c>
      <c r="AI17" s="190">
        <v>31341619.93</v>
      </c>
      <c r="AJ17" s="190">
        <v>17188715.190000001</v>
      </c>
      <c r="AK17" s="190">
        <v>55416345.090000004</v>
      </c>
      <c r="AL17" s="190">
        <v>9662003.3200000003</v>
      </c>
      <c r="AM17" s="190">
        <v>11259747.640000001</v>
      </c>
      <c r="AN17" s="190">
        <v>15205902.23</v>
      </c>
      <c r="AO17" s="190">
        <v>52783155.68</v>
      </c>
      <c r="AP17" s="190">
        <v>105214643.53</v>
      </c>
      <c r="AQ17" s="190">
        <v>103493148.02</v>
      </c>
      <c r="AR17" s="190">
        <v>40423188.020000003</v>
      </c>
      <c r="AS17" s="190">
        <v>34315680.939999998</v>
      </c>
      <c r="AT17" s="190">
        <v>26921.05</v>
      </c>
      <c r="AU17" s="190">
        <v>25000</v>
      </c>
      <c r="AV17" s="190">
        <v>21051.5</v>
      </c>
      <c r="AW17" s="190">
        <v>120372.93</v>
      </c>
      <c r="AX17" s="190">
        <v>45437</v>
      </c>
      <c r="AY17" s="190">
        <v>0</v>
      </c>
      <c r="AZ17" s="190">
        <v>0</v>
      </c>
      <c r="BA17" s="190">
        <v>106422.76</v>
      </c>
      <c r="BB17" s="190">
        <v>58850</v>
      </c>
      <c r="BC17" s="190">
        <v>58018</v>
      </c>
      <c r="BD17" s="190">
        <v>0</v>
      </c>
      <c r="BE17" s="190">
        <v>2634.58</v>
      </c>
      <c r="BF17" s="190">
        <v>97409.89</v>
      </c>
      <c r="BG17" s="190">
        <v>1284.8900000000001</v>
      </c>
      <c r="BH17" s="190">
        <v>0</v>
      </c>
      <c r="BI17" s="190">
        <v>42398.14</v>
      </c>
      <c r="BJ17" s="190">
        <v>857.7</v>
      </c>
      <c r="BK17" s="190">
        <v>857.7</v>
      </c>
      <c r="BL17" s="190">
        <v>0</v>
      </c>
      <c r="BM17" s="190">
        <v>0</v>
      </c>
      <c r="BN17" s="190">
        <v>7063.52</v>
      </c>
      <c r="BO17" s="190">
        <v>7063.52</v>
      </c>
      <c r="BP17" s="190">
        <v>0</v>
      </c>
      <c r="BQ17" s="190">
        <v>634718.19999999995</v>
      </c>
      <c r="BR17" s="190">
        <v>489781.51</v>
      </c>
      <c r="BS17" s="190">
        <v>758637.52</v>
      </c>
      <c r="BT17" s="190">
        <v>376368.76</v>
      </c>
      <c r="BU17" s="190">
        <v>768952.38</v>
      </c>
      <c r="BV17" s="190">
        <v>6500</v>
      </c>
      <c r="BW17" s="190">
        <v>823532.95</v>
      </c>
      <c r="BX17" s="190">
        <v>70752.710000000006</v>
      </c>
      <c r="BY17" s="190">
        <v>800395.18</v>
      </c>
      <c r="BZ17" s="190">
        <v>47297.64</v>
      </c>
      <c r="CA17" s="190">
        <v>507666.93</v>
      </c>
      <c r="CB17" s="190">
        <v>1470</v>
      </c>
      <c r="CC17" s="190">
        <v>42917.63</v>
      </c>
      <c r="CD17" s="190">
        <v>0</v>
      </c>
    </row>
    <row r="18" spans="1:82" x14ac:dyDescent="0.25">
      <c r="A18" s="190" t="s">
        <v>205</v>
      </c>
      <c r="B18" s="190">
        <v>75729.89</v>
      </c>
      <c r="C18" s="190">
        <v>57129.89</v>
      </c>
      <c r="D18" s="190">
        <v>6711.1</v>
      </c>
      <c r="E18" s="190">
        <v>2079112.16</v>
      </c>
      <c r="F18" s="190">
        <v>2169642.75</v>
      </c>
      <c r="G18" s="190">
        <v>97664.87</v>
      </c>
      <c r="H18" s="190">
        <v>66756.63</v>
      </c>
      <c r="I18" s="190">
        <v>14169303.09</v>
      </c>
      <c r="J18" s="190">
        <v>2119146.34</v>
      </c>
      <c r="K18" s="190">
        <v>2086449.13</v>
      </c>
      <c r="L18" s="190">
        <v>501407.81</v>
      </c>
      <c r="M18" s="190">
        <v>8089042.75</v>
      </c>
      <c r="N18" s="190">
        <v>955348.38</v>
      </c>
      <c r="O18" s="190">
        <v>438783.76</v>
      </c>
      <c r="P18" s="190">
        <v>436103.04</v>
      </c>
      <c r="Q18" s="190">
        <v>2705235.7</v>
      </c>
      <c r="R18" s="190">
        <v>2241730.2000000002</v>
      </c>
      <c r="S18" s="190">
        <v>1318281.56</v>
      </c>
      <c r="T18" s="190">
        <v>1286994.58</v>
      </c>
      <c r="U18" s="190">
        <v>3974181.82</v>
      </c>
      <c r="V18" s="190">
        <v>2522895.79</v>
      </c>
      <c r="W18" s="190">
        <v>2358360.64</v>
      </c>
      <c r="X18" s="190">
        <v>780</v>
      </c>
      <c r="Y18" s="190">
        <v>467022.55</v>
      </c>
      <c r="Z18" s="190">
        <v>73168.92</v>
      </c>
      <c r="AA18" s="190">
        <v>71155.62</v>
      </c>
      <c r="AB18" s="190">
        <v>1.6</v>
      </c>
      <c r="AC18" s="190">
        <v>271844.07</v>
      </c>
      <c r="AD18" s="190">
        <v>96</v>
      </c>
      <c r="AE18" s="190">
        <v>96</v>
      </c>
      <c r="AF18" s="190">
        <v>0</v>
      </c>
      <c r="AG18" s="190">
        <v>-8483884.1500000004</v>
      </c>
      <c r="AH18" s="190">
        <v>1400</v>
      </c>
      <c r="AI18" s="190">
        <v>1400</v>
      </c>
      <c r="AJ18" s="190">
        <v>0</v>
      </c>
      <c r="AK18" s="190">
        <v>6987108.0899999999</v>
      </c>
      <c r="AL18" s="190">
        <v>6900051.8200000003</v>
      </c>
      <c r="AM18" s="190">
        <v>6719806.3099999996</v>
      </c>
      <c r="AN18" s="190">
        <v>535.72</v>
      </c>
      <c r="AO18" s="190">
        <v>-14812410.449999999</v>
      </c>
      <c r="AP18" s="190">
        <v>67913099.680000007</v>
      </c>
      <c r="AQ18" s="190">
        <v>1512599.68</v>
      </c>
      <c r="AR18" s="190">
        <v>500</v>
      </c>
      <c r="AS18" s="190">
        <v>1164215.68</v>
      </c>
      <c r="AT18" s="190">
        <v>31715.54</v>
      </c>
      <c r="AU18" s="190">
        <v>31564.21</v>
      </c>
      <c r="AV18" s="190">
        <v>11473.39</v>
      </c>
      <c r="AW18" s="190">
        <v>311739020.06999999</v>
      </c>
      <c r="AX18" s="190">
        <v>218.51</v>
      </c>
      <c r="AY18" s="190">
        <v>17.510000000000002</v>
      </c>
      <c r="AZ18" s="190">
        <v>0</v>
      </c>
      <c r="BA18" s="190">
        <v>7697122.3899999997</v>
      </c>
      <c r="BB18" s="190">
        <v>2211.25</v>
      </c>
      <c r="BC18" s="190">
        <v>2211.25</v>
      </c>
      <c r="BD18" s="190">
        <v>1411.25</v>
      </c>
      <c r="BE18" s="190">
        <v>24702517.969999999</v>
      </c>
      <c r="BF18" s="190">
        <v>248192.68</v>
      </c>
      <c r="BG18" s="190">
        <v>4019.35</v>
      </c>
      <c r="BH18" s="190">
        <v>3231</v>
      </c>
      <c r="BI18" s="190">
        <v>107776.23</v>
      </c>
      <c r="BJ18" s="190">
        <v>136024.62</v>
      </c>
      <c r="BK18" s="190">
        <v>104816.46</v>
      </c>
      <c r="BL18" s="190">
        <v>51291.15</v>
      </c>
      <c r="BM18" s="190">
        <v>1793887.22</v>
      </c>
      <c r="BN18" s="190">
        <v>1672986.21</v>
      </c>
      <c r="BO18" s="190">
        <v>25818.53</v>
      </c>
      <c r="BP18" s="190">
        <v>26680.95</v>
      </c>
      <c r="BQ18" s="190">
        <v>889980.22</v>
      </c>
      <c r="BR18" s="190">
        <v>114679.06</v>
      </c>
      <c r="BS18" s="190">
        <v>194859.59</v>
      </c>
      <c r="BT18" s="190">
        <v>20934.169999999998</v>
      </c>
      <c r="BU18" s="190">
        <v>184568.87</v>
      </c>
      <c r="BV18" s="190">
        <v>49111.85</v>
      </c>
      <c r="BW18" s="190">
        <v>83827.42</v>
      </c>
      <c r="BX18" s="190">
        <v>8202.76</v>
      </c>
      <c r="BY18" s="190">
        <v>205427.8</v>
      </c>
      <c r="BZ18" s="190">
        <v>62314.22</v>
      </c>
      <c r="CA18" s="190">
        <v>363273.4</v>
      </c>
      <c r="CB18" s="190">
        <v>188939.35</v>
      </c>
      <c r="CC18" s="190">
        <v>46199.97</v>
      </c>
      <c r="CD18" s="190">
        <v>0</v>
      </c>
    </row>
    <row r="19" spans="1:82" x14ac:dyDescent="0.25">
      <c r="A19" s="190" t="s">
        <v>206</v>
      </c>
      <c r="B19" s="190">
        <v>0</v>
      </c>
      <c r="C19" s="190">
        <v>0</v>
      </c>
      <c r="D19" s="190">
        <v>0</v>
      </c>
      <c r="E19" s="190">
        <v>0</v>
      </c>
      <c r="F19" s="190">
        <v>29461.99</v>
      </c>
      <c r="G19" s="190">
        <v>25898.84</v>
      </c>
      <c r="H19" s="190">
        <v>0</v>
      </c>
      <c r="I19" s="190">
        <v>41800.44</v>
      </c>
      <c r="J19" s="190">
        <v>40859.54</v>
      </c>
      <c r="K19" s="190">
        <v>1062.95</v>
      </c>
      <c r="L19" s="190">
        <v>0.86</v>
      </c>
      <c r="M19" s="190">
        <v>100610.21</v>
      </c>
      <c r="N19" s="190">
        <v>52267.03</v>
      </c>
      <c r="O19" s="190">
        <v>15107.96</v>
      </c>
      <c r="P19" s="190">
        <v>15272.96</v>
      </c>
      <c r="Q19" s="190">
        <v>26247.07</v>
      </c>
      <c r="R19" s="190">
        <v>5076.13</v>
      </c>
      <c r="S19" s="190">
        <v>4037.56</v>
      </c>
      <c r="T19" s="190">
        <v>1403.85</v>
      </c>
      <c r="U19" s="190">
        <v>102132.02</v>
      </c>
      <c r="V19" s="190">
        <v>20959.61</v>
      </c>
      <c r="W19" s="190">
        <v>8360.4599999999991</v>
      </c>
      <c r="X19" s="190">
        <v>780</v>
      </c>
      <c r="Y19" s="190">
        <v>467022.55</v>
      </c>
      <c r="Z19" s="190">
        <v>70168.179999999993</v>
      </c>
      <c r="AA19" s="190">
        <v>71153.919999999998</v>
      </c>
      <c r="AB19" s="190">
        <v>0</v>
      </c>
      <c r="AC19" s="190">
        <v>213303.76</v>
      </c>
      <c r="AD19" s="190">
        <v>0</v>
      </c>
      <c r="AE19" s="190">
        <v>0</v>
      </c>
      <c r="AF19" s="190">
        <v>0</v>
      </c>
      <c r="AG19" s="190">
        <v>0</v>
      </c>
      <c r="AH19" s="190">
        <v>0</v>
      </c>
      <c r="AI19" s="190">
        <v>0</v>
      </c>
      <c r="AJ19" s="190">
        <v>0</v>
      </c>
      <c r="AK19" s="190">
        <v>0</v>
      </c>
      <c r="AL19" s="190">
        <v>0</v>
      </c>
      <c r="AM19" s="190">
        <v>0</v>
      </c>
      <c r="AN19" s="190">
        <v>0</v>
      </c>
      <c r="AO19" s="190">
        <v>0</v>
      </c>
      <c r="AP19" s="190">
        <v>59170.41</v>
      </c>
      <c r="AQ19" s="190">
        <v>59170.41</v>
      </c>
      <c r="AR19" s="190">
        <v>0</v>
      </c>
      <c r="AS19" s="190">
        <v>23030.61</v>
      </c>
      <c r="AT19" s="190">
        <v>10311.83</v>
      </c>
      <c r="AU19" s="190">
        <v>10311.83</v>
      </c>
      <c r="AV19" s="190">
        <v>0</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0</v>
      </c>
      <c r="CC19" s="190">
        <v>0</v>
      </c>
      <c r="CD19" s="190">
        <v>0</v>
      </c>
    </row>
    <row r="20" spans="1:82" x14ac:dyDescent="0.25">
      <c r="A20" s="190" t="s">
        <v>207</v>
      </c>
      <c r="B20" s="190">
        <v>167257986.87</v>
      </c>
      <c r="C20" s="190">
        <v>65949124.020000003</v>
      </c>
      <c r="D20" s="190">
        <v>-90768298.989999995</v>
      </c>
      <c r="E20" s="190">
        <v>394305728.31999999</v>
      </c>
      <c r="F20" s="190">
        <v>100512859.27</v>
      </c>
      <c r="G20" s="190">
        <v>134204431.26000001</v>
      </c>
      <c r="H20" s="190">
        <v>120124118.2</v>
      </c>
      <c r="I20" s="190">
        <v>1289411915.25</v>
      </c>
      <c r="J20" s="190">
        <v>612071533.84000003</v>
      </c>
      <c r="K20" s="190">
        <v>638594988.34000003</v>
      </c>
      <c r="L20" s="190">
        <v>560040149.08000004</v>
      </c>
      <c r="M20" s="190">
        <v>102998804.40000001</v>
      </c>
      <c r="N20" s="190">
        <v>19712004.780000001</v>
      </c>
      <c r="O20" s="190">
        <v>80323527.329999998</v>
      </c>
      <c r="P20" s="190">
        <v>-66571401.630000003</v>
      </c>
      <c r="Q20" s="190">
        <v>180911174.27000001</v>
      </c>
      <c r="R20" s="190">
        <v>57656672.719999999</v>
      </c>
      <c r="S20" s="190">
        <v>58815991.119999997</v>
      </c>
      <c r="T20" s="190">
        <v>34826927.119999997</v>
      </c>
      <c r="U20" s="190">
        <v>644095790.30999994</v>
      </c>
      <c r="V20" s="190">
        <v>37788423.25</v>
      </c>
      <c r="W20" s="190">
        <v>77649061.540000007</v>
      </c>
      <c r="X20" s="190">
        <v>14553940.800000001</v>
      </c>
      <c r="Y20" s="190">
        <v>472530097.75</v>
      </c>
      <c r="Z20" s="190">
        <v>154469939.75</v>
      </c>
      <c r="AA20" s="190">
        <v>95740860.980000004</v>
      </c>
      <c r="AB20" s="190">
        <v>-21703106.359999999</v>
      </c>
      <c r="AC20" s="190">
        <v>295312511.19</v>
      </c>
      <c r="AD20" s="190">
        <v>-31070533.109999999</v>
      </c>
      <c r="AE20" s="190">
        <v>-18977779.210000001</v>
      </c>
      <c r="AF20" s="190">
        <v>-6479405.6600000001</v>
      </c>
      <c r="AG20" s="190">
        <v>4964195.4000000004</v>
      </c>
      <c r="AH20" s="190">
        <v>-8468186.2799999993</v>
      </c>
      <c r="AI20" s="190">
        <v>3956450.61</v>
      </c>
      <c r="AJ20" s="190">
        <v>5121351.53</v>
      </c>
      <c r="AK20" s="190">
        <v>7426948.7699999996</v>
      </c>
      <c r="AL20" s="190">
        <v>-39352711.189999998</v>
      </c>
      <c r="AM20" s="190">
        <v>-23045205.370000001</v>
      </c>
      <c r="AN20" s="190">
        <v>1235008.46</v>
      </c>
      <c r="AO20" s="190">
        <v>4760904.0999999996</v>
      </c>
      <c r="AP20" s="190">
        <v>-24836013.039999999</v>
      </c>
      <c r="AQ20" s="190">
        <v>55996923.280000001</v>
      </c>
      <c r="AR20" s="190">
        <v>22113116.32</v>
      </c>
      <c r="AS20" s="190">
        <v>33348608.600000001</v>
      </c>
      <c r="AT20" s="190">
        <v>-48243430.170000002</v>
      </c>
      <c r="AU20" s="190">
        <v>-29411243.329999998</v>
      </c>
      <c r="AV20" s="190">
        <v>-16026969.75</v>
      </c>
      <c r="AW20" s="190">
        <v>-773393645.91999996</v>
      </c>
      <c r="AX20" s="190">
        <v>-63406926.299999997</v>
      </c>
      <c r="AY20" s="190">
        <v>-49370770.700000003</v>
      </c>
      <c r="AZ20" s="190">
        <v>-18570449.489999998</v>
      </c>
      <c r="BA20" s="190">
        <v>-443106880.74000001</v>
      </c>
      <c r="BB20" s="190">
        <v>-73149949.810000002</v>
      </c>
      <c r="BC20" s="190">
        <v>-56374613.950000003</v>
      </c>
      <c r="BD20" s="190">
        <v>-19310480.530000001</v>
      </c>
      <c r="BE20" s="190">
        <v>-182634445.38999999</v>
      </c>
      <c r="BF20" s="190">
        <v>-2340013.62</v>
      </c>
      <c r="BG20" s="190">
        <v>5720641.1299999999</v>
      </c>
      <c r="BH20" s="190">
        <v>2109641.71</v>
      </c>
      <c r="BI20" s="190">
        <v>23024491.77</v>
      </c>
      <c r="BJ20" s="190">
        <v>13355226.15</v>
      </c>
      <c r="BK20" s="190">
        <v>8835787.3800000008</v>
      </c>
      <c r="BL20" s="190">
        <v>1420861.63</v>
      </c>
      <c r="BM20" s="190">
        <v>20109023.140000001</v>
      </c>
      <c r="BN20" s="190">
        <v>12970421.43</v>
      </c>
      <c r="BO20" s="190">
        <v>12838104.43</v>
      </c>
      <c r="BP20" s="190">
        <v>2527839.89</v>
      </c>
      <c r="BQ20" s="190">
        <v>40741493.810000002</v>
      </c>
      <c r="BR20" s="190">
        <v>22169037.32</v>
      </c>
      <c r="BS20" s="190">
        <v>45217868.630000003</v>
      </c>
      <c r="BT20" s="190">
        <v>20367418.870000001</v>
      </c>
      <c r="BU20" s="190">
        <v>21825502.43</v>
      </c>
      <c r="BV20" s="190">
        <v>9147254.9900000002</v>
      </c>
      <c r="BW20" s="190">
        <v>20915298.600000001</v>
      </c>
      <c r="BX20" s="190">
        <v>8090216.9000000004</v>
      </c>
      <c r="BY20" s="190">
        <v>17980676.260000002</v>
      </c>
      <c r="BZ20" s="190">
        <v>6354812.6600000001</v>
      </c>
      <c r="CA20" s="190">
        <v>13484067.130000001</v>
      </c>
      <c r="CB20" s="190">
        <v>17173371.25</v>
      </c>
      <c r="CC20" s="190">
        <v>14688366.130000001</v>
      </c>
      <c r="CD20" s="190">
        <v>0</v>
      </c>
    </row>
    <row r="21" spans="1:82" x14ac:dyDescent="0.25">
      <c r="A21" s="190" t="s">
        <v>208</v>
      </c>
      <c r="B21" s="190">
        <v>88214040.75</v>
      </c>
      <c r="C21" s="190">
        <v>49836626.409999996</v>
      </c>
      <c r="D21" s="190">
        <v>-906617.09</v>
      </c>
      <c r="E21" s="190">
        <v>169538933.72</v>
      </c>
      <c r="F21" s="190">
        <v>69123726.019999996</v>
      </c>
      <c r="G21" s="190">
        <v>61621779.759999998</v>
      </c>
      <c r="H21" s="190">
        <v>44695283.719999999</v>
      </c>
      <c r="I21" s="190">
        <v>350206224.32999998</v>
      </c>
      <c r="J21" s="190">
        <v>184429046.81999999</v>
      </c>
      <c r="K21" s="190">
        <v>190262968.77000001</v>
      </c>
      <c r="L21" s="190">
        <v>151104515.87</v>
      </c>
      <c r="M21" s="190">
        <v>23411035.969999999</v>
      </c>
      <c r="N21" s="190">
        <v>25665641.109999999</v>
      </c>
      <c r="O21" s="190">
        <v>4825284.22</v>
      </c>
      <c r="P21" s="190">
        <v>7320978.1500000004</v>
      </c>
      <c r="Q21" s="190">
        <v>62117400.299999997</v>
      </c>
      <c r="R21" s="190">
        <v>45177222.649999999</v>
      </c>
      <c r="S21" s="190">
        <v>33131603.629999999</v>
      </c>
      <c r="T21" s="190">
        <v>23622168.350000001</v>
      </c>
      <c r="U21" s="190">
        <v>189926754.56999999</v>
      </c>
      <c r="V21" s="190">
        <v>14692601.57</v>
      </c>
      <c r="W21" s="190">
        <v>20413887.32</v>
      </c>
      <c r="X21" s="190">
        <v>13699251.85</v>
      </c>
      <c r="Y21" s="190">
        <v>61389629.079999998</v>
      </c>
      <c r="Z21" s="190">
        <v>24682262.829999998</v>
      </c>
      <c r="AA21" s="190">
        <v>-3729090.37</v>
      </c>
      <c r="AB21" s="190">
        <v>-145016.56</v>
      </c>
      <c r="AC21" s="190">
        <v>63669548.700000003</v>
      </c>
      <c r="AD21" s="190">
        <v>24525</v>
      </c>
      <c r="AE21" s="190">
        <v>24525</v>
      </c>
      <c r="AF21" s="190">
        <v>0</v>
      </c>
      <c r="AG21" s="190">
        <v>0</v>
      </c>
      <c r="AH21" s="190">
        <v>0</v>
      </c>
      <c r="AI21" s="190">
        <v>0</v>
      </c>
      <c r="AJ21" s="190">
        <v>0</v>
      </c>
      <c r="AK21" s="190">
        <v>0</v>
      </c>
      <c r="AL21" s="190">
        <v>0</v>
      </c>
      <c r="AM21" s="190">
        <v>0</v>
      </c>
      <c r="AN21" s="190">
        <v>0</v>
      </c>
      <c r="AO21" s="190">
        <v>1540628.38</v>
      </c>
      <c r="AP21" s="190">
        <v>103788.53</v>
      </c>
      <c r="AQ21" s="190">
        <v>103788.53</v>
      </c>
      <c r="AR21" s="190">
        <v>0</v>
      </c>
      <c r="AS21" s="190">
        <v>1791515.9</v>
      </c>
      <c r="AT21" s="190">
        <v>243592.48</v>
      </c>
      <c r="AU21" s="190">
        <v>205699.52</v>
      </c>
      <c r="AV21" s="190">
        <v>20460.41</v>
      </c>
      <c r="AW21" s="190">
        <v>-2951913.89</v>
      </c>
      <c r="AX21" s="190">
        <v>50386.31</v>
      </c>
      <c r="AY21" s="190">
        <v>22721.42</v>
      </c>
      <c r="AZ21" s="190">
        <v>-23316.57</v>
      </c>
      <c r="BA21" s="190">
        <v>-63255.83</v>
      </c>
      <c r="BB21" s="190">
        <v>-63255.83</v>
      </c>
      <c r="BC21" s="190">
        <v>-63255.83</v>
      </c>
      <c r="BD21" s="190">
        <v>-63255.83</v>
      </c>
      <c r="BE21" s="190">
        <v>63255.82</v>
      </c>
      <c r="BF21" s="190">
        <v>1824663.69</v>
      </c>
      <c r="BG21" s="190">
        <v>1122351.19</v>
      </c>
      <c r="BH21" s="190">
        <v>436826.76</v>
      </c>
      <c r="BI21" s="190">
        <v>4707943.0599999996</v>
      </c>
      <c r="BJ21" s="190">
        <v>2626806.5</v>
      </c>
      <c r="BK21" s="190">
        <v>1167749.68</v>
      </c>
      <c r="BL21" s="190">
        <v>349296.54</v>
      </c>
      <c r="BM21" s="190">
        <v>3362766.08</v>
      </c>
      <c r="BN21" s="190">
        <v>1724635.12</v>
      </c>
      <c r="BO21" s="190">
        <v>1455818.03</v>
      </c>
      <c r="BP21" s="190">
        <v>405247.13</v>
      </c>
      <c r="BQ21" s="190">
        <v>6573567.2300000004</v>
      </c>
      <c r="BR21" s="190">
        <v>3467183.24</v>
      </c>
      <c r="BS21" s="190">
        <v>5167251.21</v>
      </c>
      <c r="BT21" s="190">
        <v>913299.92</v>
      </c>
      <c r="BU21" s="190">
        <v>1176687.6000000001</v>
      </c>
      <c r="BV21" s="190">
        <v>888358.86</v>
      </c>
      <c r="BW21" s="190">
        <v>732365.81</v>
      </c>
      <c r="BX21" s="190">
        <v>356810</v>
      </c>
      <c r="BY21" s="190">
        <v>2102527.62</v>
      </c>
      <c r="BZ21" s="190">
        <v>814905.87</v>
      </c>
      <c r="CA21" s="190">
        <v>440000</v>
      </c>
      <c r="CB21" s="190">
        <v>400000</v>
      </c>
      <c r="CC21" s="190">
        <v>400000</v>
      </c>
      <c r="CD21" s="190">
        <v>0</v>
      </c>
    </row>
    <row r="22" spans="1:82" x14ac:dyDescent="0.25">
      <c r="A22" s="190" t="s">
        <v>209</v>
      </c>
      <c r="B22" s="190">
        <v>79043946.120000005</v>
      </c>
      <c r="C22" s="190">
        <v>16112497.609999999</v>
      </c>
      <c r="D22" s="190">
        <v>-89861681.900000006</v>
      </c>
      <c r="E22" s="190">
        <v>224766794.59999999</v>
      </c>
      <c r="F22" s="190">
        <v>31389133.25</v>
      </c>
      <c r="G22" s="190">
        <v>72582651.5</v>
      </c>
      <c r="H22" s="190">
        <v>75428834.480000004</v>
      </c>
      <c r="I22" s="190">
        <v>939205690.91999996</v>
      </c>
      <c r="J22" s="190">
        <v>427642487.01999998</v>
      </c>
      <c r="K22" s="190">
        <v>448332019.56999999</v>
      </c>
      <c r="L22" s="190">
        <v>408935633.20999998</v>
      </c>
      <c r="M22" s="190">
        <v>79587768.430000007</v>
      </c>
      <c r="N22" s="190">
        <v>-5953636.3300000001</v>
      </c>
      <c r="O22" s="190">
        <v>75498243.109999999</v>
      </c>
      <c r="P22" s="190">
        <v>-73892379.780000001</v>
      </c>
      <c r="Q22" s="190">
        <v>118793773.97</v>
      </c>
      <c r="R22" s="190">
        <v>12479450.07</v>
      </c>
      <c r="S22" s="190">
        <v>25684387.489999998</v>
      </c>
      <c r="T22" s="190">
        <v>11204758.77</v>
      </c>
      <c r="U22" s="190">
        <v>454169035.74000001</v>
      </c>
      <c r="V22" s="190">
        <v>23095821.68</v>
      </c>
      <c r="W22" s="190">
        <v>57235174.219999999</v>
      </c>
      <c r="X22" s="190">
        <v>854688.95</v>
      </c>
      <c r="Y22" s="190">
        <v>411140468.67000002</v>
      </c>
      <c r="Z22" s="190">
        <v>129787676.92</v>
      </c>
      <c r="AA22" s="190">
        <v>99469951.349999994</v>
      </c>
      <c r="AB22" s="190">
        <v>-21558089.800000001</v>
      </c>
      <c r="AC22" s="190">
        <v>231642962.49000001</v>
      </c>
      <c r="AD22" s="190">
        <v>-31095058.109999999</v>
      </c>
      <c r="AE22" s="190">
        <v>-19002304.210000001</v>
      </c>
      <c r="AF22" s="190">
        <v>-6479405.6600000001</v>
      </c>
      <c r="AG22" s="190">
        <v>4964195.4000000004</v>
      </c>
      <c r="AH22" s="190">
        <v>-8468186.2799999993</v>
      </c>
      <c r="AI22" s="190">
        <v>3956450.61</v>
      </c>
      <c r="AJ22" s="190">
        <v>5121351.53</v>
      </c>
      <c r="AK22" s="190">
        <v>7426948.7699999996</v>
      </c>
      <c r="AL22" s="190">
        <v>-39352711.189999998</v>
      </c>
      <c r="AM22" s="190">
        <v>-23045205.370000001</v>
      </c>
      <c r="AN22" s="190">
        <v>1235008.46</v>
      </c>
      <c r="AO22" s="190">
        <v>3220275.72</v>
      </c>
      <c r="AP22" s="190">
        <v>-24939801.57</v>
      </c>
      <c r="AQ22" s="190">
        <v>55893134.75</v>
      </c>
      <c r="AR22" s="190">
        <v>22113116.32</v>
      </c>
      <c r="AS22" s="190">
        <v>31557092.699999999</v>
      </c>
      <c r="AT22" s="190">
        <v>-48487022.649999999</v>
      </c>
      <c r="AU22" s="190">
        <v>-29616942.850000001</v>
      </c>
      <c r="AV22" s="190">
        <v>-16047430.16</v>
      </c>
      <c r="AW22" s="190">
        <v>-770441732.02999997</v>
      </c>
      <c r="AX22" s="190">
        <v>-63457312.609999999</v>
      </c>
      <c r="AY22" s="190">
        <v>-49393492.119999997</v>
      </c>
      <c r="AZ22" s="190">
        <v>-18547132.920000002</v>
      </c>
      <c r="BA22" s="190">
        <v>-443043624.91000003</v>
      </c>
      <c r="BB22" s="190">
        <v>-73086693.980000004</v>
      </c>
      <c r="BC22" s="190">
        <v>-56311358.119999997</v>
      </c>
      <c r="BD22" s="190">
        <v>-19247224.699999999</v>
      </c>
      <c r="BE22" s="190">
        <v>-182697701.21000001</v>
      </c>
      <c r="BF22" s="190">
        <v>-4164677.31</v>
      </c>
      <c r="BG22" s="190">
        <v>4598289.9400000004</v>
      </c>
      <c r="BH22" s="190">
        <v>1672814.95</v>
      </c>
      <c r="BI22" s="190">
        <v>18316548.710000001</v>
      </c>
      <c r="BJ22" s="190">
        <v>10728419.65</v>
      </c>
      <c r="BK22" s="190">
        <v>7668037.7000000002</v>
      </c>
      <c r="BL22" s="190">
        <v>1071565.0900000001</v>
      </c>
      <c r="BM22" s="190">
        <v>16746257.060000001</v>
      </c>
      <c r="BN22" s="190">
        <v>11245786.310000001</v>
      </c>
      <c r="BO22" s="190">
        <v>11382286.4</v>
      </c>
      <c r="BP22" s="190">
        <v>2122592.7599999998</v>
      </c>
      <c r="BQ22" s="190">
        <v>34167926.579999998</v>
      </c>
      <c r="BR22" s="190">
        <v>18701854.079999998</v>
      </c>
      <c r="BS22" s="190">
        <v>40050617.420000002</v>
      </c>
      <c r="BT22" s="190">
        <v>19454118.949999999</v>
      </c>
      <c r="BU22" s="190">
        <v>20648814.829999998</v>
      </c>
      <c r="BV22" s="190">
        <v>8258896.1299999999</v>
      </c>
      <c r="BW22" s="190">
        <v>20182932.789999999</v>
      </c>
      <c r="BX22" s="190">
        <v>7733406.9000000004</v>
      </c>
      <c r="BY22" s="190">
        <v>15878148.640000001</v>
      </c>
      <c r="BZ22" s="190">
        <v>5539906.79</v>
      </c>
      <c r="CA22" s="190">
        <v>13044067.130000001</v>
      </c>
      <c r="CB22" s="190">
        <v>16773371.25</v>
      </c>
      <c r="CC22" s="190">
        <v>14288366.130000001</v>
      </c>
      <c r="CD22" s="190">
        <v>0</v>
      </c>
    </row>
    <row r="23" spans="1:82" x14ac:dyDescent="0.25">
      <c r="A23" s="190" t="s">
        <v>210</v>
      </c>
      <c r="B23" s="190">
        <v>110682699.86</v>
      </c>
      <c r="C23" s="190">
        <v>37031646.640000001</v>
      </c>
      <c r="D23" s="190">
        <v>-79536133.819999993</v>
      </c>
      <c r="E23" s="190">
        <v>265140596.90000001</v>
      </c>
      <c r="F23" s="190">
        <v>61490608.5</v>
      </c>
      <c r="G23" s="190">
        <v>92564651.650000006</v>
      </c>
      <c r="H23" s="190">
        <v>85358700.909999996</v>
      </c>
      <c r="I23" s="190">
        <v>705325283.11000001</v>
      </c>
      <c r="J23" s="190">
        <v>449428729.13999999</v>
      </c>
      <c r="K23" s="190">
        <v>460748392.30000001</v>
      </c>
      <c r="L23" s="190">
        <v>414799940.98000002</v>
      </c>
      <c r="M23" s="190">
        <v>104636629.84999999</v>
      </c>
      <c r="N23" s="190">
        <v>13042986.92</v>
      </c>
      <c r="O23" s="190">
        <v>88348109.019999996</v>
      </c>
      <c r="P23" s="190">
        <v>-67512456.109999999</v>
      </c>
      <c r="Q23" s="190">
        <v>146152694.18000001</v>
      </c>
      <c r="R23" s="190">
        <v>32698454.949999999</v>
      </c>
      <c r="S23" s="190">
        <v>38310870.640000001</v>
      </c>
      <c r="T23" s="190">
        <v>17488701.170000002</v>
      </c>
      <c r="U23" s="190">
        <v>480127692.12</v>
      </c>
      <c r="V23" s="190">
        <v>42158689.68</v>
      </c>
      <c r="W23" s="190">
        <v>68995162.459999993</v>
      </c>
      <c r="X23" s="190">
        <v>6486933.1200000001</v>
      </c>
      <c r="Y23" s="190">
        <v>433090407.62</v>
      </c>
      <c r="Z23" s="190">
        <v>144560599.25</v>
      </c>
      <c r="AA23" s="190">
        <v>109359029.84999999</v>
      </c>
      <c r="AB23" s="190">
        <v>-16142004.460000001</v>
      </c>
      <c r="AC23" s="190">
        <v>234695258.00999999</v>
      </c>
      <c r="AD23" s="190">
        <v>-30924090.620000001</v>
      </c>
      <c r="AE23" s="190">
        <v>-18820217.690000001</v>
      </c>
      <c r="AF23" s="190">
        <v>-6470585.5999999996</v>
      </c>
      <c r="AG23" s="190">
        <v>5560682.8899999997</v>
      </c>
      <c r="AH23" s="190">
        <v>-8159389.25</v>
      </c>
      <c r="AI23" s="190">
        <v>4260897.1100000003</v>
      </c>
      <c r="AJ23" s="190">
        <v>5138406.24</v>
      </c>
      <c r="AK23" s="190">
        <v>7978154.0099999998</v>
      </c>
      <c r="AL23" s="190">
        <v>-39189401.700000003</v>
      </c>
      <c r="AM23" s="190">
        <v>-22978975.579999998</v>
      </c>
      <c r="AN23" s="190">
        <v>1220651.49</v>
      </c>
      <c r="AO23" s="190">
        <v>4895779.04</v>
      </c>
      <c r="AP23" s="190">
        <v>-23378186.390000001</v>
      </c>
      <c r="AQ23" s="190">
        <v>57163647.869999997</v>
      </c>
      <c r="AR23" s="190">
        <v>22351700.140000001</v>
      </c>
      <c r="AS23" s="190">
        <v>30373405.41</v>
      </c>
      <c r="AT23" s="190">
        <v>-47812616.68</v>
      </c>
      <c r="AU23" s="190">
        <v>-29315553.18</v>
      </c>
      <c r="AV23" s="190">
        <v>-15900266.210000001</v>
      </c>
      <c r="AW23" s="190">
        <v>-768977262.57000005</v>
      </c>
      <c r="AX23" s="190">
        <v>-62997942.090000004</v>
      </c>
      <c r="AY23" s="190">
        <v>-48758175.200000003</v>
      </c>
      <c r="AZ23" s="190">
        <v>-18279552.289999999</v>
      </c>
      <c r="BA23" s="190">
        <v>-442590279.36000001</v>
      </c>
      <c r="BB23" s="190">
        <v>-72414960.780000001</v>
      </c>
      <c r="BC23" s="190">
        <v>-55898225.810000002</v>
      </c>
      <c r="BD23" s="190">
        <v>-18989326.27</v>
      </c>
      <c r="BE23" s="190">
        <v>-182097679.80000001</v>
      </c>
      <c r="BF23" s="190">
        <v>-3916297.62</v>
      </c>
      <c r="BG23" s="190">
        <v>4827163.4800000004</v>
      </c>
      <c r="BH23" s="190">
        <v>1825596.65</v>
      </c>
      <c r="BI23" s="190">
        <v>18929289.640000001</v>
      </c>
      <c r="BJ23" s="190">
        <v>10615718.35</v>
      </c>
      <c r="BK23" s="190">
        <v>7534475.0599999996</v>
      </c>
      <c r="BL23" s="190">
        <v>1174207.56</v>
      </c>
      <c r="BM23" s="190">
        <v>17265311.329999998</v>
      </c>
      <c r="BN23" s="190">
        <v>11323296.609999999</v>
      </c>
      <c r="BO23" s="190">
        <v>11211457.02</v>
      </c>
      <c r="BP23" s="190">
        <v>2164487.2799999998</v>
      </c>
      <c r="BQ23" s="190">
        <v>31892284.41</v>
      </c>
      <c r="BR23" s="190">
        <v>17696182.280000001</v>
      </c>
      <c r="BS23" s="190">
        <v>33557540.060000002</v>
      </c>
      <c r="BT23" s="190">
        <v>15127940.779999999</v>
      </c>
      <c r="BU23" s="190">
        <v>17020110.579999998</v>
      </c>
      <c r="BV23" s="190">
        <v>7071255.4100000001</v>
      </c>
      <c r="BW23" s="190">
        <v>16706089.18</v>
      </c>
      <c r="BX23" s="190">
        <v>6034811.6900000004</v>
      </c>
      <c r="BY23" s="190">
        <v>13963845.550000001</v>
      </c>
      <c r="BZ23" s="190">
        <v>5539906.79</v>
      </c>
      <c r="CA23" s="190">
        <v>13044067.130000001</v>
      </c>
      <c r="CB23" s="190">
        <v>16773371.25</v>
      </c>
      <c r="CC23" s="190">
        <v>14288366.130000001</v>
      </c>
      <c r="CD23" s="190">
        <v>0</v>
      </c>
    </row>
    <row r="24" spans="1:82" x14ac:dyDescent="0.25">
      <c r="A24" s="190" t="s">
        <v>211</v>
      </c>
      <c r="B24" s="190">
        <v>-31638753.739999998</v>
      </c>
      <c r="C24" s="190">
        <v>-20919149.030000001</v>
      </c>
      <c r="D24" s="190">
        <v>-10325548.08</v>
      </c>
      <c r="E24" s="190">
        <v>-40373802.299999997</v>
      </c>
      <c r="F24" s="190">
        <v>-30101475.25</v>
      </c>
      <c r="G24" s="190">
        <v>-19982000.149999999</v>
      </c>
      <c r="H24" s="190">
        <v>-9929866.4299999997</v>
      </c>
      <c r="I24" s="190">
        <v>233880407.81</v>
      </c>
      <c r="J24" s="190">
        <v>-21786242.120000001</v>
      </c>
      <c r="K24" s="190">
        <v>-12416372.73</v>
      </c>
      <c r="L24" s="190">
        <v>-5864307.7699999996</v>
      </c>
      <c r="M24" s="190">
        <v>-25048861.420000002</v>
      </c>
      <c r="N24" s="190">
        <v>-18996623.25</v>
      </c>
      <c r="O24" s="190">
        <v>-12849865.91</v>
      </c>
      <c r="P24" s="190">
        <v>-6379923.6699999999</v>
      </c>
      <c r="Q24" s="190">
        <v>-27358920.210000001</v>
      </c>
      <c r="R24" s="190">
        <v>-20219004.879999999</v>
      </c>
      <c r="S24" s="190">
        <v>-12626483.15</v>
      </c>
      <c r="T24" s="190">
        <v>-6283942.4000000004</v>
      </c>
      <c r="U24" s="190">
        <v>-25958656.379999999</v>
      </c>
      <c r="V24" s="190">
        <v>-19062868</v>
      </c>
      <c r="W24" s="190">
        <v>-11759988.24</v>
      </c>
      <c r="X24" s="190">
        <v>-5632244.1699999999</v>
      </c>
      <c r="Y24" s="190">
        <v>-21949938.949999999</v>
      </c>
      <c r="Z24" s="190">
        <v>-14772922.33</v>
      </c>
      <c r="AA24" s="190">
        <v>-9889078.5</v>
      </c>
      <c r="AB24" s="190">
        <v>-5416085.3399999999</v>
      </c>
      <c r="AC24" s="190">
        <v>-3052295.52</v>
      </c>
      <c r="AD24" s="190">
        <v>-170967.49</v>
      </c>
      <c r="AE24" s="190">
        <v>-182086.52</v>
      </c>
      <c r="AF24" s="190">
        <v>-8820.06</v>
      </c>
      <c r="AG24" s="190">
        <v>-596487.49</v>
      </c>
      <c r="AH24" s="190">
        <v>-308797.03000000003</v>
      </c>
      <c r="AI24" s="190">
        <v>-304446.5</v>
      </c>
      <c r="AJ24" s="190">
        <v>-17054.71</v>
      </c>
      <c r="AK24" s="190">
        <v>-551205.24</v>
      </c>
      <c r="AL24" s="190">
        <v>-163309.49</v>
      </c>
      <c r="AM24" s="190">
        <v>-66229.789999999994</v>
      </c>
      <c r="AN24" s="190">
        <v>14356.97</v>
      </c>
      <c r="AO24" s="190">
        <v>-1675503.32</v>
      </c>
      <c r="AP24" s="190">
        <v>-1561615.18</v>
      </c>
      <c r="AQ24" s="190">
        <v>-1270513.1200000001</v>
      </c>
      <c r="AR24" s="190">
        <v>-238583.82</v>
      </c>
      <c r="AS24" s="190">
        <v>1183687.29</v>
      </c>
      <c r="AT24" s="190">
        <v>-674405.97</v>
      </c>
      <c r="AU24" s="190">
        <v>-301389.67</v>
      </c>
      <c r="AV24" s="190">
        <v>-147163.95000000001</v>
      </c>
      <c r="AW24" s="190">
        <v>-1464469.46</v>
      </c>
      <c r="AX24" s="190">
        <v>-459370.52</v>
      </c>
      <c r="AY24" s="190">
        <v>-635316.92000000004</v>
      </c>
      <c r="AZ24" s="190">
        <v>-267580.63</v>
      </c>
      <c r="BA24" s="190">
        <v>-453345.55</v>
      </c>
      <c r="BB24" s="190">
        <v>-671733.2</v>
      </c>
      <c r="BC24" s="190">
        <v>-413132.31</v>
      </c>
      <c r="BD24" s="190">
        <v>-257898.43</v>
      </c>
      <c r="BE24" s="190">
        <v>-600021.41</v>
      </c>
      <c r="BF24" s="190">
        <v>-248379.69</v>
      </c>
      <c r="BG24" s="190">
        <v>-228873.54</v>
      </c>
      <c r="BH24" s="190">
        <v>-152781.70000000001</v>
      </c>
      <c r="BI24" s="190">
        <v>-612740.93000000005</v>
      </c>
      <c r="BJ24" s="190">
        <v>112701.3</v>
      </c>
      <c r="BK24" s="190">
        <v>133562.64000000001</v>
      </c>
      <c r="BL24" s="190">
        <v>-102642.47</v>
      </c>
      <c r="BM24" s="190">
        <v>-519054.27</v>
      </c>
      <c r="BN24" s="190">
        <v>-77510.3</v>
      </c>
      <c r="BO24" s="190">
        <v>170829.38</v>
      </c>
      <c r="BP24" s="190">
        <v>-41894.519999999997</v>
      </c>
      <c r="BQ24" s="190">
        <v>2275642.17</v>
      </c>
      <c r="BR24" s="190">
        <v>1005671.8</v>
      </c>
      <c r="BS24" s="190">
        <v>6493077.3600000003</v>
      </c>
      <c r="BT24" s="190">
        <v>4326178.17</v>
      </c>
      <c r="BU24" s="190">
        <v>3628704.25</v>
      </c>
      <c r="BV24" s="190">
        <v>1187640.72</v>
      </c>
      <c r="BW24" s="190">
        <v>3476843.61</v>
      </c>
      <c r="BX24" s="190">
        <v>1698595.21</v>
      </c>
      <c r="BY24" s="190">
        <v>1914303.09</v>
      </c>
      <c r="BZ24" s="190">
        <v>0</v>
      </c>
      <c r="CA24" s="190">
        <v>0</v>
      </c>
      <c r="CB24" s="190">
        <v>0</v>
      </c>
      <c r="CC24" s="190">
        <v>0</v>
      </c>
      <c r="CD24" s="190">
        <v>0</v>
      </c>
    </row>
    <row r="25" spans="1:82" x14ac:dyDescent="0.25">
      <c r="A25" s="190" t="s">
        <v>212</v>
      </c>
    </row>
    <row r="26" spans="1:82" x14ac:dyDescent="0.25">
      <c r="A26" s="190" t="s">
        <v>213</v>
      </c>
      <c r="B26" s="190">
        <v>0.08</v>
      </c>
      <c r="C26" s="190">
        <v>0.03</v>
      </c>
      <c r="D26" s="190">
        <v>-0.06</v>
      </c>
      <c r="E26" s="190">
        <v>0.19</v>
      </c>
      <c r="F26" s="190">
        <v>0.04</v>
      </c>
      <c r="G26" s="190">
        <v>7.0000000000000007E-2</v>
      </c>
      <c r="H26" s="190">
        <v>0.06</v>
      </c>
      <c r="I26" s="190">
        <v>0.57999999999999996</v>
      </c>
      <c r="J26" s="190">
        <v>0.41</v>
      </c>
      <c r="K26" s="190">
        <v>0.48</v>
      </c>
      <c r="L26" s="190">
        <v>0.43</v>
      </c>
      <c r="M26" s="190">
        <v>0.11</v>
      </c>
      <c r="N26" s="190">
        <v>0.01</v>
      </c>
      <c r="O26" s="190">
        <v>0.1</v>
      </c>
      <c r="P26" s="190">
        <v>-7.0000000000000007E-2</v>
      </c>
      <c r="Q26" s="190">
        <v>0.19</v>
      </c>
      <c r="R26" s="190">
        <v>0.04</v>
      </c>
      <c r="S26" s="190">
        <v>0.05</v>
      </c>
      <c r="T26" s="190">
        <v>0.02</v>
      </c>
      <c r="U26" s="190">
        <v>0.65</v>
      </c>
      <c r="V26" s="190">
        <v>0.06</v>
      </c>
      <c r="W26" s="190">
        <v>0.09</v>
      </c>
      <c r="X26" s="190">
        <v>0.01</v>
      </c>
      <c r="Y26" s="190">
        <v>0.59</v>
      </c>
      <c r="Z26" s="190">
        <v>0.2</v>
      </c>
      <c r="AA26" s="190">
        <v>0.15</v>
      </c>
      <c r="AB26" s="190">
        <v>-0.02</v>
      </c>
      <c r="AC26" s="190">
        <v>0.42</v>
      </c>
      <c r="AD26" s="190">
        <v>-0.18</v>
      </c>
      <c r="AE26" s="190">
        <v>-0.11</v>
      </c>
      <c r="AF26" s="190">
        <v>-3.6999999999999998E-2</v>
      </c>
      <c r="AG26" s="190">
        <v>0.03</v>
      </c>
      <c r="AH26" s="190">
        <v>-0.05</v>
      </c>
      <c r="AI26" s="190">
        <v>0.02</v>
      </c>
      <c r="AJ26" s="190">
        <v>2.9000000000000001E-2</v>
      </c>
      <c r="AK26" s="190">
        <v>0.05</v>
      </c>
      <c r="AL26" s="190">
        <v>-0.22</v>
      </c>
      <c r="AM26" s="190">
        <v>-0.13</v>
      </c>
      <c r="AN26" s="190">
        <v>7.0000000000000001E-3</v>
      </c>
      <c r="AO26" s="190">
        <v>0.03</v>
      </c>
      <c r="AP26" s="190">
        <v>-0.13389999999999999</v>
      </c>
      <c r="AQ26" s="190">
        <v>0.33</v>
      </c>
      <c r="AR26" s="190">
        <v>0.128</v>
      </c>
      <c r="AS26" s="190">
        <v>0.17</v>
      </c>
      <c r="AT26" s="190">
        <v>-0.27379999999999999</v>
      </c>
      <c r="AU26" s="190">
        <v>-0.17</v>
      </c>
      <c r="AV26" s="190">
        <v>-0.09</v>
      </c>
      <c r="AW26" s="190">
        <v>-4.4000000000000004</v>
      </c>
      <c r="AX26" s="190">
        <v>-0.46450000000000002</v>
      </c>
      <c r="AY26" s="190">
        <v>-0.36</v>
      </c>
      <c r="AZ26" s="190">
        <v>-0.14000000000000001</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row>
    <row r="27" spans="1:82" x14ac:dyDescent="0.25">
      <c r="A27" s="190" t="s">
        <v>214</v>
      </c>
      <c r="B27" s="190">
        <v>0.08</v>
      </c>
      <c r="C27" s="190">
        <v>0.03</v>
      </c>
      <c r="D27" s="190">
        <v>-0.06</v>
      </c>
      <c r="E27" s="190">
        <v>0.19</v>
      </c>
      <c r="F27" s="190">
        <v>0.04</v>
      </c>
      <c r="G27" s="190">
        <v>7.0000000000000007E-2</v>
      </c>
      <c r="H27" s="190">
        <v>0.06</v>
      </c>
      <c r="I27" s="190">
        <v>0.57999999999999996</v>
      </c>
      <c r="J27" s="190">
        <v>0.4</v>
      </c>
      <c r="K27" s="190">
        <v>0.47</v>
      </c>
      <c r="L27" s="190">
        <v>0.43</v>
      </c>
      <c r="M27" s="190">
        <v>0.11</v>
      </c>
      <c r="N27" s="190">
        <v>0.01</v>
      </c>
      <c r="O27" s="190">
        <v>0.1</v>
      </c>
      <c r="P27" s="190">
        <v>-7.0000000000000007E-2</v>
      </c>
      <c r="Q27" s="190">
        <v>0.19</v>
      </c>
      <c r="R27" s="190">
        <v>0.04</v>
      </c>
      <c r="S27" s="190">
        <v>0.05</v>
      </c>
      <c r="T27" s="190">
        <v>0.02</v>
      </c>
      <c r="U27" s="190">
        <v>0.65</v>
      </c>
      <c r="V27" s="190">
        <v>0.06</v>
      </c>
      <c r="W27" s="190">
        <v>0.09</v>
      </c>
      <c r="X27" s="190">
        <v>0.01</v>
      </c>
      <c r="Y27" s="190">
        <v>0.59</v>
      </c>
      <c r="Z27" s="190">
        <v>0.2</v>
      </c>
      <c r="AA27" s="190">
        <v>0.15</v>
      </c>
      <c r="AB27" s="190">
        <v>-0.02</v>
      </c>
      <c r="AC27" s="190">
        <v>0.42</v>
      </c>
      <c r="AD27" s="190">
        <v>-0.18</v>
      </c>
      <c r="AE27" s="190">
        <v>-0.11</v>
      </c>
      <c r="AF27" s="190">
        <v>-3.6999999999999998E-2</v>
      </c>
      <c r="AG27" s="190">
        <v>0.03</v>
      </c>
      <c r="AH27" s="190">
        <v>-0.05</v>
      </c>
      <c r="AI27" s="190">
        <v>0.02</v>
      </c>
      <c r="AJ27" s="190">
        <v>2.9000000000000001E-2</v>
      </c>
      <c r="AK27" s="190">
        <v>0.05</v>
      </c>
      <c r="AL27" s="190">
        <v>-0.22</v>
      </c>
      <c r="AM27" s="190">
        <v>-0.13</v>
      </c>
      <c r="AN27" s="190">
        <v>7.0000000000000001E-3</v>
      </c>
      <c r="AO27" s="190">
        <v>0.03</v>
      </c>
      <c r="AP27" s="190">
        <v>-0.13389999999999999</v>
      </c>
      <c r="AQ27" s="190">
        <v>0.33</v>
      </c>
      <c r="AR27" s="190">
        <v>0.128</v>
      </c>
      <c r="AS27" s="190">
        <v>0.17</v>
      </c>
      <c r="AT27" s="190">
        <v>-0.27379999999999999</v>
      </c>
      <c r="AU27" s="190">
        <v>-0.17</v>
      </c>
      <c r="AV27" s="190">
        <v>-0.09</v>
      </c>
      <c r="AW27" s="190">
        <v>-4.4000000000000004</v>
      </c>
      <c r="AX27" s="190">
        <v>-0.46450000000000002</v>
      </c>
      <c r="AY27" s="190">
        <v>-0.36</v>
      </c>
      <c r="AZ27" s="190">
        <v>-0.14000000000000001</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row>
    <row r="28" spans="1:82" x14ac:dyDescent="0.25">
      <c r="A28" s="190" t="s">
        <v>215</v>
      </c>
      <c r="B28" s="190">
        <v>-2925288.42</v>
      </c>
      <c r="C28" s="190">
        <v>-477566.94</v>
      </c>
      <c r="D28" s="190">
        <v>2301540.96</v>
      </c>
      <c r="E28" s="190">
        <v>3897404.13</v>
      </c>
      <c r="F28" s="190">
        <v>3028484.65</v>
      </c>
      <c r="G28" s="190">
        <v>1817114.22</v>
      </c>
      <c r="H28" s="190">
        <v>743157.46</v>
      </c>
      <c r="I28" s="190">
        <v>-3807646.17</v>
      </c>
      <c r="J28" s="190">
        <v>-1306375.73</v>
      </c>
      <c r="K28" s="190">
        <v>-1138363.6599999999</v>
      </c>
      <c r="L28" s="190">
        <v>342635.62</v>
      </c>
      <c r="M28" s="190">
        <v>48696.98</v>
      </c>
      <c r="N28" s="190">
        <v>42834.73</v>
      </c>
      <c r="O28" s="190">
        <v>-232.04</v>
      </c>
      <c r="P28" s="190">
        <v>-96.06</v>
      </c>
      <c r="Q28" s="190">
        <v>21.08</v>
      </c>
      <c r="R28" s="190">
        <v>58.83</v>
      </c>
      <c r="S28" s="190">
        <v>84.97</v>
      </c>
      <c r="T28" s="190">
        <v>64.430000000000007</v>
      </c>
      <c r="U28" s="190">
        <v>-35.85</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row>
    <row r="29" spans="1:82" x14ac:dyDescent="0.25">
      <c r="A29" s="190" t="s">
        <v>216</v>
      </c>
      <c r="B29" s="190">
        <v>76118657.700000003</v>
      </c>
      <c r="C29" s="190">
        <v>15634930.67</v>
      </c>
      <c r="D29" s="190">
        <v>-87560140.939999998</v>
      </c>
      <c r="E29" s="190">
        <v>228664198.72999999</v>
      </c>
      <c r="F29" s="190">
        <v>34417617.899999999</v>
      </c>
      <c r="G29" s="190">
        <v>74399765.719999999</v>
      </c>
      <c r="H29" s="190">
        <v>76171991.939999998</v>
      </c>
      <c r="I29" s="190">
        <v>935398044.75</v>
      </c>
      <c r="J29" s="190">
        <v>426336111.29000002</v>
      </c>
      <c r="K29" s="190">
        <v>447193655.91000003</v>
      </c>
      <c r="L29" s="190">
        <v>409278268.82999998</v>
      </c>
      <c r="M29" s="190">
        <v>79636465.409999996</v>
      </c>
      <c r="N29" s="190">
        <v>-5910801.5999999996</v>
      </c>
      <c r="O29" s="190">
        <v>75498011.069999993</v>
      </c>
      <c r="P29" s="190">
        <v>-73892475.840000004</v>
      </c>
      <c r="Q29" s="190">
        <v>118793795.05</v>
      </c>
      <c r="R29" s="190">
        <v>12479508.9</v>
      </c>
      <c r="S29" s="190">
        <v>25684472.460000001</v>
      </c>
      <c r="T29" s="190">
        <v>11204823.199999999</v>
      </c>
      <c r="U29" s="190">
        <v>454168999.88999999</v>
      </c>
      <c r="V29" s="190">
        <v>23095821.68</v>
      </c>
      <c r="W29" s="190">
        <v>57235174.219999999</v>
      </c>
      <c r="X29" s="190">
        <v>854688.95</v>
      </c>
      <c r="Y29" s="190">
        <v>411140468.67000002</v>
      </c>
      <c r="Z29" s="190">
        <v>129787676.92</v>
      </c>
      <c r="AA29" s="190">
        <v>99469951.349999994</v>
      </c>
      <c r="AB29" s="190">
        <v>-21558089.800000001</v>
      </c>
      <c r="AC29" s="190">
        <v>231642962.49000001</v>
      </c>
      <c r="AD29" s="190">
        <v>-31095058.109999999</v>
      </c>
      <c r="AE29" s="190">
        <v>-19002304.210000001</v>
      </c>
      <c r="AF29" s="190">
        <v>-6479405.6600000001</v>
      </c>
      <c r="AG29" s="190">
        <v>4964195.4000000004</v>
      </c>
      <c r="AH29" s="190">
        <v>-8468186.2799999993</v>
      </c>
      <c r="AI29" s="190">
        <v>3956450.61</v>
      </c>
      <c r="AJ29" s="190">
        <v>5121351.53</v>
      </c>
      <c r="AK29" s="190">
        <v>7426948.7699999996</v>
      </c>
      <c r="AL29" s="190">
        <v>-39352711.189999998</v>
      </c>
      <c r="AM29" s="190">
        <v>-23045205.370000001</v>
      </c>
      <c r="AN29" s="190">
        <v>1235008.46</v>
      </c>
      <c r="AO29" s="190">
        <v>3220275.72</v>
      </c>
      <c r="AP29" s="190">
        <v>-24939801.57</v>
      </c>
      <c r="AQ29" s="190">
        <v>55893134.75</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row>
    <row r="30" spans="1:82" x14ac:dyDescent="0.25">
      <c r="A30" s="190" t="s">
        <v>217</v>
      </c>
      <c r="B30" s="190">
        <v>107757411.44</v>
      </c>
      <c r="C30" s="190">
        <v>36554079.700000003</v>
      </c>
      <c r="D30" s="190">
        <v>-77234592.859999999</v>
      </c>
      <c r="E30" s="190">
        <v>269038001.02999997</v>
      </c>
      <c r="F30" s="190">
        <v>64519093.149999999</v>
      </c>
      <c r="G30" s="190">
        <v>94381765.870000005</v>
      </c>
      <c r="H30" s="190">
        <v>86101858.370000005</v>
      </c>
      <c r="I30" s="190">
        <v>701517636.94000006</v>
      </c>
      <c r="J30" s="190">
        <v>448122353.41000003</v>
      </c>
      <c r="K30" s="190">
        <v>459610028.63999999</v>
      </c>
      <c r="L30" s="190">
        <v>415142576.60000002</v>
      </c>
      <c r="M30" s="190">
        <v>104685326.83</v>
      </c>
      <c r="N30" s="190">
        <v>13085821.65</v>
      </c>
      <c r="O30" s="190">
        <v>88347876.980000004</v>
      </c>
      <c r="P30" s="190">
        <v>-67512552.170000002</v>
      </c>
      <c r="Q30" s="190">
        <v>146152715.25999999</v>
      </c>
      <c r="R30" s="190">
        <v>32698513.780000001</v>
      </c>
      <c r="S30" s="190">
        <v>38310955.609999999</v>
      </c>
      <c r="T30" s="190">
        <v>17488765.600000001</v>
      </c>
      <c r="U30" s="190">
        <v>480127656.26999998</v>
      </c>
      <c r="V30" s="190">
        <v>42158689.68</v>
      </c>
      <c r="W30" s="190">
        <v>68995162.459999993</v>
      </c>
      <c r="X30" s="190">
        <v>6486933.1200000001</v>
      </c>
      <c r="Y30" s="190">
        <v>433090407.62</v>
      </c>
      <c r="Z30" s="190">
        <v>144560599.25</v>
      </c>
      <c r="AA30" s="190">
        <v>109359029.84999999</v>
      </c>
      <c r="AB30" s="190">
        <v>-16142004.460000001</v>
      </c>
      <c r="AC30" s="190">
        <v>234695258.00999999</v>
      </c>
      <c r="AD30" s="190">
        <v>-30924090.620000001</v>
      </c>
      <c r="AE30" s="190">
        <v>-18820217.690000001</v>
      </c>
      <c r="AF30" s="190">
        <v>-6470585.5999999996</v>
      </c>
      <c r="AG30" s="190">
        <v>5560682.8899999997</v>
      </c>
      <c r="AH30" s="190">
        <v>-8159389.25</v>
      </c>
      <c r="AI30" s="190">
        <v>4260897.1100000003</v>
      </c>
      <c r="AJ30" s="190">
        <v>5138406.24</v>
      </c>
      <c r="AK30" s="190">
        <v>7978154.0099999998</v>
      </c>
      <c r="AL30" s="190">
        <v>-39189401.700000003</v>
      </c>
      <c r="AM30" s="190">
        <v>-22978975.579999998</v>
      </c>
      <c r="AN30" s="190">
        <v>1220651.49</v>
      </c>
      <c r="AO30" s="190">
        <v>4895779.04</v>
      </c>
      <c r="AP30" s="190">
        <v>-23378186.390000001</v>
      </c>
      <c r="AQ30" s="190">
        <v>57163647.869999997</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c r="BK30" s="190">
        <v>0</v>
      </c>
      <c r="BL30" s="190">
        <v>0</v>
      </c>
      <c r="BM30" s="190">
        <v>0</v>
      </c>
      <c r="BN30" s="190">
        <v>0</v>
      </c>
      <c r="BO30" s="190">
        <v>0</v>
      </c>
      <c r="BP30" s="190">
        <v>0</v>
      </c>
      <c r="BQ30" s="190">
        <v>0</v>
      </c>
      <c r="BR30" s="190">
        <v>0</v>
      </c>
      <c r="BS30" s="190">
        <v>0</v>
      </c>
      <c r="BT30" s="190">
        <v>0</v>
      </c>
      <c r="BU30" s="190">
        <v>0</v>
      </c>
      <c r="BV30" s="190">
        <v>0</v>
      </c>
      <c r="BW30" s="190">
        <v>0</v>
      </c>
      <c r="BX30" s="190">
        <v>0</v>
      </c>
      <c r="BY30" s="190">
        <v>0</v>
      </c>
      <c r="BZ30" s="190">
        <v>0</v>
      </c>
      <c r="CA30" s="190">
        <v>0</v>
      </c>
      <c r="CB30" s="190">
        <v>0</v>
      </c>
      <c r="CC30" s="190">
        <v>0</v>
      </c>
      <c r="CD30" s="190">
        <v>0</v>
      </c>
    </row>
    <row r="31" spans="1:82" x14ac:dyDescent="0.25">
      <c r="A31" s="190" t="s">
        <v>218</v>
      </c>
      <c r="B31" s="190">
        <v>-31638753.739999998</v>
      </c>
      <c r="C31" s="190">
        <v>-20919149.030000001</v>
      </c>
      <c r="D31" s="190">
        <v>-10325548.08</v>
      </c>
      <c r="E31" s="190">
        <v>-40373802.299999997</v>
      </c>
      <c r="F31" s="190">
        <v>-30101475.25</v>
      </c>
      <c r="G31" s="190">
        <v>-19982000.149999999</v>
      </c>
      <c r="H31" s="190">
        <v>-9929866.4299999997</v>
      </c>
      <c r="I31" s="190">
        <v>233880407.81</v>
      </c>
      <c r="J31" s="190">
        <v>-21786242.120000001</v>
      </c>
      <c r="K31" s="190">
        <v>-12416372.73</v>
      </c>
      <c r="L31" s="190">
        <v>-5864307.7699999996</v>
      </c>
      <c r="M31" s="190">
        <v>-25048861.420000002</v>
      </c>
      <c r="N31" s="190">
        <v>-18996623.25</v>
      </c>
      <c r="O31" s="190">
        <v>-12849865.91</v>
      </c>
      <c r="P31" s="190">
        <v>-6379923.6699999999</v>
      </c>
      <c r="Q31" s="190">
        <v>-27358920.210000001</v>
      </c>
      <c r="R31" s="190">
        <v>-20219004.879999999</v>
      </c>
      <c r="S31" s="190">
        <v>-12626483.15</v>
      </c>
      <c r="T31" s="190">
        <v>-6283942.4000000004</v>
      </c>
      <c r="U31" s="190">
        <v>-25958656.379999999</v>
      </c>
      <c r="V31" s="190">
        <v>-19062868</v>
      </c>
      <c r="W31" s="190">
        <v>-11759988.24</v>
      </c>
      <c r="X31" s="190">
        <v>-5632244.1699999999</v>
      </c>
      <c r="Y31" s="190">
        <v>-21949938.949999999</v>
      </c>
      <c r="Z31" s="190">
        <v>-14772922.33</v>
      </c>
      <c r="AA31" s="190">
        <v>-9889078.5</v>
      </c>
      <c r="AB31" s="190">
        <v>-5416085.3399999999</v>
      </c>
      <c r="AC31" s="190">
        <v>-3052295.52</v>
      </c>
      <c r="AD31" s="190">
        <v>-170967.49</v>
      </c>
      <c r="AE31" s="190">
        <v>-182086.52</v>
      </c>
      <c r="AF31" s="190">
        <v>-8820.06</v>
      </c>
      <c r="AG31" s="190">
        <v>-596487.49</v>
      </c>
      <c r="AH31" s="190">
        <v>-308797.03000000003</v>
      </c>
      <c r="AI31" s="190">
        <v>-304446.5</v>
      </c>
      <c r="AJ31" s="190">
        <v>-17054.71</v>
      </c>
      <c r="AK31" s="190">
        <v>-551205.24</v>
      </c>
      <c r="AL31" s="190">
        <v>-163309.49</v>
      </c>
      <c r="AM31" s="190">
        <v>-66229.789999999994</v>
      </c>
      <c r="AN31" s="190">
        <v>14356.97</v>
      </c>
      <c r="AO31" s="190">
        <v>-1675503.32</v>
      </c>
      <c r="AP31" s="190">
        <v>-1561615.18</v>
      </c>
      <c r="AQ31" s="190">
        <v>-1270513.1200000001</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c r="BV31" s="190">
        <v>0</v>
      </c>
      <c r="BW31" s="190">
        <v>0</v>
      </c>
      <c r="BX31" s="190">
        <v>0</v>
      </c>
      <c r="BY31" s="190">
        <v>0</v>
      </c>
      <c r="BZ31" s="190">
        <v>0</v>
      </c>
      <c r="CA31" s="190">
        <v>0</v>
      </c>
      <c r="CB31" s="190">
        <v>0</v>
      </c>
      <c r="CC31" s="190">
        <v>0</v>
      </c>
      <c r="CD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U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0" width="12.77734375" style="190" hidden="1" customWidth="1"/>
    <col min="31" max="31" width="13.88671875" style="190" hidden="1" customWidth="1"/>
    <col min="32" max="32" width="12.77734375" style="190" hidden="1" customWidth="1"/>
    <col min="33" max="33" width="13.88671875" style="190" bestFit="1" customWidth="1"/>
    <col min="34" max="34" width="11.6640625" style="190" hidden="1" customWidth="1"/>
    <col min="35" max="35" width="13.88671875" style="190" hidden="1" customWidth="1"/>
    <col min="36" max="36" width="11.6640625" style="190" hidden="1" customWidth="1"/>
    <col min="37" max="37" width="13.88671875" style="190" bestFit="1" customWidth="1"/>
    <col min="38" max="38" width="11.6640625" style="190" hidden="1" customWidth="1"/>
    <col min="39" max="39" width="13.88671875" style="190" hidden="1" customWidth="1"/>
    <col min="40" max="40" width="10.5546875" style="190" hidden="1" customWidth="1"/>
    <col min="41" max="41" width="13.88671875" style="190" bestFit="1" customWidth="1"/>
    <col min="42" max="42" width="13.88671875" style="190" hidden="1" customWidth="1"/>
    <col min="43" max="43" width="12.77734375" style="190" hidden="1" customWidth="1"/>
    <col min="44" max="44" width="13.88671875" style="190" hidden="1" customWidth="1"/>
    <col min="45" max="45" width="13.88671875" style="190" bestFit="1" customWidth="1"/>
    <col min="46" max="48" width="12.77734375" style="190" hidden="1" customWidth="1"/>
    <col min="49" max="49" width="13.88671875" style="190" bestFit="1" customWidth="1"/>
    <col min="50" max="51" width="12.77734375" style="190" hidden="1" customWidth="1"/>
    <col min="52" max="52" width="13.88671875" style="190" hidden="1" customWidth="1"/>
    <col min="53" max="53" width="13.88671875" style="190" bestFit="1" customWidth="1"/>
    <col min="54" max="56" width="13.88671875" style="190" hidden="1" customWidth="1"/>
    <col min="57" max="57" width="13.88671875" style="190" bestFit="1" customWidth="1"/>
    <col min="58" max="60" width="13.88671875" style="190" hidden="1" customWidth="1"/>
    <col min="61" max="61" width="13.88671875" style="190" bestFit="1" customWidth="1"/>
    <col min="62" max="64" width="13.88671875" style="190" hidden="1" customWidth="1"/>
    <col min="65" max="65" width="13.88671875" style="190" bestFit="1" customWidth="1"/>
    <col min="66" max="66" width="13.88671875" style="190" hidden="1" customWidth="1"/>
    <col min="67" max="67" width="13.88671875" style="190" bestFit="1" customWidth="1"/>
    <col min="68" max="68" width="13.88671875" style="190" hidden="1" customWidth="1"/>
    <col min="69" max="69" width="13.88671875" style="190" bestFit="1" customWidth="1"/>
    <col min="70" max="70" width="13.88671875" style="190" hidden="1" customWidth="1"/>
    <col min="71" max="72" width="13.88671875" style="190" bestFit="1" customWidth="1"/>
    <col min="73" max="73" width="9.5546875" style="190" hidden="1" customWidth="1"/>
    <col min="74" max="16384" width="8.88671875" style="190"/>
  </cols>
  <sheetData>
    <row r="1" spans="1:73" x14ac:dyDescent="0.25">
      <c r="A1" s="190">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20020630</v>
      </c>
      <c r="BO1" s="190">
        <v>20011231</v>
      </c>
      <c r="BP1" s="190">
        <v>20010630</v>
      </c>
      <c r="BQ1" s="190">
        <v>20001231</v>
      </c>
      <c r="BR1" s="190">
        <v>20000630</v>
      </c>
      <c r="BS1" s="190">
        <v>19991231</v>
      </c>
      <c r="BT1" s="190">
        <v>19981231</v>
      </c>
      <c r="BU1" s="190">
        <v>19700101</v>
      </c>
    </row>
    <row r="2" spans="1:7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c r="BJ2" s="190" t="s">
        <v>106</v>
      </c>
      <c r="BK2" s="190" t="s">
        <v>106</v>
      </c>
      <c r="BL2" s="190" t="s">
        <v>106</v>
      </c>
      <c r="BM2" s="190" t="s">
        <v>106</v>
      </c>
      <c r="BN2" s="190" t="s">
        <v>106</v>
      </c>
      <c r="BO2" s="190" t="s">
        <v>106</v>
      </c>
      <c r="BP2" s="190" t="s">
        <v>106</v>
      </c>
      <c r="BQ2" s="190" t="s">
        <v>106</v>
      </c>
      <c r="BR2" s="190" t="s">
        <v>106</v>
      </c>
      <c r="BS2" s="190" t="s">
        <v>106</v>
      </c>
      <c r="BT2" s="190" t="s">
        <v>106</v>
      </c>
    </row>
    <row r="3" spans="1:73" x14ac:dyDescent="0.25">
      <c r="A3" s="190" t="s">
        <v>219</v>
      </c>
    </row>
    <row r="4" spans="1:73" x14ac:dyDescent="0.25">
      <c r="A4" s="190" t="s">
        <v>220</v>
      </c>
      <c r="B4" s="190">
        <v>2512519337.6999998</v>
      </c>
      <c r="C4" s="190">
        <v>1705492696.02</v>
      </c>
      <c r="D4" s="190">
        <v>344537109.11000001</v>
      </c>
      <c r="E4" s="190">
        <v>1656132658.1800001</v>
      </c>
      <c r="F4" s="190">
        <v>1015572580.24</v>
      </c>
      <c r="G4" s="190">
        <v>663376128.89999998</v>
      </c>
      <c r="H4" s="190">
        <v>253470371.09999999</v>
      </c>
      <c r="I4" s="190">
        <v>3553873922.02</v>
      </c>
      <c r="J4" s="190">
        <v>2620449402.2600002</v>
      </c>
      <c r="K4" s="190">
        <v>1859129190.74</v>
      </c>
      <c r="L4" s="190">
        <v>1243596286.5799999</v>
      </c>
      <c r="M4" s="190">
        <v>3249568813.8000002</v>
      </c>
      <c r="N4" s="190">
        <v>2121778517.28</v>
      </c>
      <c r="O4" s="190">
        <v>1128602420.24</v>
      </c>
      <c r="P4" s="190">
        <v>410957064.37</v>
      </c>
      <c r="Q4" s="190">
        <v>1802099478.3900001</v>
      </c>
      <c r="R4" s="190">
        <v>1561216197.2</v>
      </c>
      <c r="S4" s="190">
        <v>1214331564.4300001</v>
      </c>
      <c r="T4" s="190">
        <v>590712399.84000003</v>
      </c>
      <c r="U4" s="190">
        <v>2173874757.0100002</v>
      </c>
      <c r="V4" s="190">
        <v>1753833214.1500001</v>
      </c>
      <c r="W4" s="190">
        <v>1259110597.9000001</v>
      </c>
      <c r="X4" s="190">
        <v>587403173.15999997</v>
      </c>
      <c r="Y4" s="190">
        <v>1551850280.6099999</v>
      </c>
      <c r="Z4" s="190">
        <v>0</v>
      </c>
      <c r="AA4" s="190">
        <v>611488005.98000002</v>
      </c>
      <c r="AB4" s="190">
        <v>144866613.91999999</v>
      </c>
      <c r="AC4" s="190">
        <v>1492525820.8800001</v>
      </c>
      <c r="AD4" s="190">
        <v>0</v>
      </c>
      <c r="AE4" s="190">
        <v>0</v>
      </c>
      <c r="AF4" s="190">
        <v>0</v>
      </c>
      <c r="AG4" s="190">
        <v>1356392.3</v>
      </c>
      <c r="AH4" s="190">
        <v>990000</v>
      </c>
      <c r="AI4" s="190">
        <v>990000</v>
      </c>
      <c r="AJ4" s="190">
        <v>0</v>
      </c>
      <c r="AK4" s="190">
        <v>1067174.4099999999</v>
      </c>
      <c r="AL4" s="190">
        <v>765394.76</v>
      </c>
      <c r="AM4" s="190">
        <v>740971.8</v>
      </c>
      <c r="AN4" s="190">
        <v>533976.80000000005</v>
      </c>
      <c r="AO4" s="190">
        <v>64195331.869999997</v>
      </c>
      <c r="AP4" s="190">
        <v>83243103.849999994</v>
      </c>
      <c r="AQ4" s="190">
        <v>80146732.090000004</v>
      </c>
      <c r="AR4" s="190">
        <v>31308146.449999999</v>
      </c>
      <c r="AS4" s="190">
        <v>333871300.74000001</v>
      </c>
      <c r="AT4" s="190">
        <v>256469199.46000001</v>
      </c>
      <c r="AU4" s="190">
        <v>184827898.59999999</v>
      </c>
      <c r="AV4" s="190">
        <v>88130958.420000002</v>
      </c>
      <c r="AW4" s="190">
        <v>317658012.48000002</v>
      </c>
      <c r="AX4" s="190">
        <v>176419425.13999999</v>
      </c>
      <c r="AY4" s="190">
        <v>97616233.650000006</v>
      </c>
      <c r="AZ4" s="190">
        <v>41918566.969999999</v>
      </c>
      <c r="BA4" s="190">
        <v>119525456.18000001</v>
      </c>
      <c r="BB4" s="190">
        <v>83646372.209999993</v>
      </c>
      <c r="BC4" s="190">
        <v>57692779.979999997</v>
      </c>
      <c r="BD4" s="190">
        <v>10213265.58</v>
      </c>
      <c r="BE4" s="190">
        <v>804439941.25999999</v>
      </c>
      <c r="BF4" s="190">
        <v>617470159.15999997</v>
      </c>
      <c r="BG4" s="190">
        <v>544406616.33000004</v>
      </c>
      <c r="BH4" s="190">
        <v>193793743.63</v>
      </c>
      <c r="BI4" s="190">
        <v>968356782.14999998</v>
      </c>
      <c r="BJ4" s="190">
        <v>638623516.97000003</v>
      </c>
      <c r="BK4" s="190">
        <v>444256993.76999998</v>
      </c>
      <c r="BL4" s="190">
        <v>216170532.91</v>
      </c>
      <c r="BM4" s="190">
        <v>1023971890.21</v>
      </c>
      <c r="BN4" s="190">
        <v>483853665.66000003</v>
      </c>
      <c r="BO4" s="190">
        <v>868142368.79999995</v>
      </c>
      <c r="BP4" s="190">
        <v>251702943.63</v>
      </c>
      <c r="BQ4" s="190">
        <v>236019329.78</v>
      </c>
      <c r="BR4" s="190">
        <v>103976965.61</v>
      </c>
      <c r="BS4" s="190">
        <v>103259450.75</v>
      </c>
      <c r="BT4" s="190">
        <v>71762827.719999999</v>
      </c>
      <c r="BU4" s="190">
        <v>0</v>
      </c>
    </row>
    <row r="5" spans="1:73" x14ac:dyDescent="0.25">
      <c r="A5" s="190" t="s">
        <v>221</v>
      </c>
      <c r="B5" s="190">
        <v>0</v>
      </c>
      <c r="C5" s="190">
        <v>0</v>
      </c>
      <c r="D5" s="190">
        <v>0</v>
      </c>
      <c r="E5" s="190">
        <v>0</v>
      </c>
      <c r="F5" s="190">
        <v>0</v>
      </c>
      <c r="G5" s="190">
        <v>0</v>
      </c>
      <c r="H5" s="190">
        <v>0</v>
      </c>
      <c r="I5" s="190">
        <v>0</v>
      </c>
      <c r="J5" s="190">
        <v>0</v>
      </c>
      <c r="K5" s="190">
        <v>0</v>
      </c>
      <c r="L5" s="190">
        <v>0</v>
      </c>
      <c r="M5" s="190">
        <v>63237396</v>
      </c>
      <c r="N5" s="190">
        <v>63238954.939999998</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63255.83</v>
      </c>
      <c r="BB5" s="190">
        <v>0</v>
      </c>
      <c r="BC5" s="190">
        <v>0</v>
      </c>
      <c r="BD5" s="190">
        <v>0</v>
      </c>
      <c r="BE5" s="190">
        <v>41573.82</v>
      </c>
      <c r="BF5" s="190">
        <v>0</v>
      </c>
      <c r="BG5" s="190">
        <v>0</v>
      </c>
      <c r="BH5" s="190">
        <v>0</v>
      </c>
      <c r="BI5" s="190">
        <v>0</v>
      </c>
      <c r="BJ5" s="190">
        <v>0</v>
      </c>
      <c r="BK5" s="190">
        <v>0</v>
      </c>
      <c r="BL5" s="190">
        <v>0</v>
      </c>
      <c r="BM5" s="190">
        <v>1192416.0900000001</v>
      </c>
      <c r="BN5" s="190">
        <v>685359.67</v>
      </c>
      <c r="BO5" s="190">
        <v>560000.74</v>
      </c>
      <c r="BP5" s="190">
        <v>0</v>
      </c>
      <c r="BQ5" s="190">
        <v>0</v>
      </c>
      <c r="BR5" s="190">
        <v>0</v>
      </c>
      <c r="BS5" s="190">
        <v>0</v>
      </c>
      <c r="BT5" s="190">
        <v>0</v>
      </c>
      <c r="BU5" s="190">
        <v>0</v>
      </c>
    </row>
    <row r="6" spans="1:73" x14ac:dyDescent="0.25">
      <c r="A6" s="190" t="s">
        <v>222</v>
      </c>
      <c r="B6" s="190">
        <v>247115400.69999999</v>
      </c>
      <c r="C6" s="190">
        <v>217134528.47</v>
      </c>
      <c r="D6" s="190">
        <v>10750584.189999999</v>
      </c>
      <c r="E6" s="190">
        <v>60907853.329999998</v>
      </c>
      <c r="F6" s="190">
        <v>129791022.64</v>
      </c>
      <c r="G6" s="190">
        <v>78451303.879999995</v>
      </c>
      <c r="H6" s="190">
        <v>14148217.060000001</v>
      </c>
      <c r="I6" s="190">
        <v>51382237.149999999</v>
      </c>
      <c r="J6" s="190">
        <v>1306757430.5799999</v>
      </c>
      <c r="K6" s="190">
        <v>868557420.51999998</v>
      </c>
      <c r="L6" s="190">
        <v>282108700.44999999</v>
      </c>
      <c r="M6" s="190">
        <v>728637731.74000001</v>
      </c>
      <c r="N6" s="190">
        <v>677222479.88</v>
      </c>
      <c r="O6" s="190">
        <v>568009315.78999996</v>
      </c>
      <c r="P6" s="190">
        <v>115240125.98</v>
      </c>
      <c r="Q6" s="190">
        <v>109586038.14</v>
      </c>
      <c r="R6" s="190">
        <v>632625056</v>
      </c>
      <c r="S6" s="190">
        <v>380535126.75</v>
      </c>
      <c r="T6" s="190">
        <v>619665989.37</v>
      </c>
      <c r="U6" s="190">
        <v>377329025.33999997</v>
      </c>
      <c r="V6" s="190">
        <v>845775861.28999996</v>
      </c>
      <c r="W6" s="190">
        <v>428602670.56999999</v>
      </c>
      <c r="X6" s="190">
        <v>187016056.25</v>
      </c>
      <c r="Y6" s="190">
        <v>587851127.36000001</v>
      </c>
      <c r="Z6" s="190">
        <v>128145911.45</v>
      </c>
      <c r="AA6" s="190">
        <v>123929791.45999999</v>
      </c>
      <c r="AB6" s="190">
        <v>24008629.870000001</v>
      </c>
      <c r="AC6" s="190">
        <v>199715841.25</v>
      </c>
      <c r="AD6" s="190">
        <v>1001023.73</v>
      </c>
      <c r="AE6" s="190">
        <v>500880.44</v>
      </c>
      <c r="AF6" s="190">
        <v>591.15</v>
      </c>
      <c r="AG6" s="190">
        <v>24579841.18</v>
      </c>
      <c r="AH6" s="190">
        <v>6274.92</v>
      </c>
      <c r="AI6" s="190">
        <v>359.34</v>
      </c>
      <c r="AJ6" s="190">
        <v>135.75</v>
      </c>
      <c r="AK6" s="190">
        <v>535094.56999999995</v>
      </c>
      <c r="AL6" s="190">
        <v>208245.18</v>
      </c>
      <c r="AM6" s="190">
        <v>52416.92</v>
      </c>
      <c r="AN6" s="190">
        <v>354894.86</v>
      </c>
      <c r="AO6" s="190">
        <v>14839425.1</v>
      </c>
      <c r="AP6" s="190">
        <v>2217370.04</v>
      </c>
      <c r="AQ6" s="190">
        <v>2079735.67</v>
      </c>
      <c r="AR6" s="190">
        <v>3256879.44</v>
      </c>
      <c r="AS6" s="190">
        <v>24322209.280000001</v>
      </c>
      <c r="AT6" s="190">
        <v>11882684.07</v>
      </c>
      <c r="AU6" s="190">
        <v>10772283.41</v>
      </c>
      <c r="AV6" s="190">
        <v>3079079.38</v>
      </c>
      <c r="AW6" s="190">
        <v>24733209.739999998</v>
      </c>
      <c r="AX6" s="190">
        <v>17858134.48</v>
      </c>
      <c r="AY6" s="190">
        <v>17131816.789999999</v>
      </c>
      <c r="AZ6" s="190">
        <v>9546219.6199999992</v>
      </c>
      <c r="BA6" s="190">
        <v>26862719.699999999</v>
      </c>
      <c r="BB6" s="190">
        <v>78721463.069999993</v>
      </c>
      <c r="BC6" s="190">
        <v>63868498.609999999</v>
      </c>
      <c r="BD6" s="190">
        <v>33200771.899999999</v>
      </c>
      <c r="BE6" s="190">
        <v>46830665.049999997</v>
      </c>
      <c r="BF6" s="190">
        <v>366488805.69</v>
      </c>
      <c r="BG6" s="190">
        <v>318759832.91000003</v>
      </c>
      <c r="BH6" s="190">
        <v>541301.21</v>
      </c>
      <c r="BI6" s="190">
        <v>108848209.25</v>
      </c>
      <c r="BJ6" s="190">
        <v>10535248.51</v>
      </c>
      <c r="BK6" s="190">
        <v>9603741.0299999993</v>
      </c>
      <c r="BL6" s="190">
        <v>7141747.0700000003</v>
      </c>
      <c r="BM6" s="190">
        <v>131284011.29000001</v>
      </c>
      <c r="BN6" s="190">
        <v>0</v>
      </c>
      <c r="BO6" s="190">
        <v>0</v>
      </c>
      <c r="BP6" s="190">
        <v>23326026.620000001</v>
      </c>
      <c r="BQ6" s="190">
        <v>13055987.01</v>
      </c>
      <c r="BR6" s="190">
        <v>8924314.2200000007</v>
      </c>
      <c r="BS6" s="190">
        <v>417182.03</v>
      </c>
      <c r="BT6" s="190">
        <v>4960484.8600000003</v>
      </c>
      <c r="BU6" s="190">
        <v>0</v>
      </c>
    </row>
    <row r="7" spans="1:73" x14ac:dyDescent="0.25">
      <c r="A7" s="190" t="s">
        <v>223</v>
      </c>
      <c r="B7" s="190">
        <v>2759634738.4000001</v>
      </c>
      <c r="C7" s="190">
        <v>1922627224.49</v>
      </c>
      <c r="D7" s="190">
        <v>355287693.30000001</v>
      </c>
      <c r="E7" s="190">
        <v>1717040511.51</v>
      </c>
      <c r="F7" s="190">
        <v>1145363602.8800001</v>
      </c>
      <c r="G7" s="190">
        <v>741827432.77999997</v>
      </c>
      <c r="H7" s="190">
        <v>267618588.16</v>
      </c>
      <c r="I7" s="190">
        <v>3605256159.1700001</v>
      </c>
      <c r="J7" s="190">
        <v>3927206832.8400002</v>
      </c>
      <c r="K7" s="190">
        <v>2727686611.2600002</v>
      </c>
      <c r="L7" s="190">
        <v>1525704987.03</v>
      </c>
      <c r="M7" s="190">
        <v>4041443941.54</v>
      </c>
      <c r="N7" s="190">
        <v>2862239952.0999999</v>
      </c>
      <c r="O7" s="190">
        <v>1696611736.03</v>
      </c>
      <c r="P7" s="190">
        <v>526197190.35000002</v>
      </c>
      <c r="Q7" s="190">
        <v>1911685516.53</v>
      </c>
      <c r="R7" s="190">
        <v>2193841253.1999998</v>
      </c>
      <c r="S7" s="190">
        <v>1594866691.1800001</v>
      </c>
      <c r="T7" s="190">
        <v>1210378389.21</v>
      </c>
      <c r="U7" s="190">
        <v>2551203782.3499999</v>
      </c>
      <c r="V7" s="190">
        <v>2599609075.4400001</v>
      </c>
      <c r="W7" s="190">
        <v>1687713268.47</v>
      </c>
      <c r="X7" s="190">
        <v>774419229.40999997</v>
      </c>
      <c r="Y7" s="190">
        <v>2139701407.97</v>
      </c>
      <c r="Z7" s="190">
        <v>1204659577.05</v>
      </c>
      <c r="AA7" s="190">
        <v>735417797.44000006</v>
      </c>
      <c r="AB7" s="190">
        <v>168875243.78999999</v>
      </c>
      <c r="AC7" s="190">
        <v>1692241662.1300001</v>
      </c>
      <c r="AD7" s="190">
        <v>1001023.73</v>
      </c>
      <c r="AE7" s="190">
        <v>500880.44</v>
      </c>
      <c r="AF7" s="190">
        <v>591.15</v>
      </c>
      <c r="AG7" s="190">
        <v>25936233.48</v>
      </c>
      <c r="AH7" s="190">
        <v>996274.92</v>
      </c>
      <c r="AI7" s="190">
        <v>990359.34</v>
      </c>
      <c r="AJ7" s="190">
        <v>135.75</v>
      </c>
      <c r="AK7" s="190">
        <v>1602268.98</v>
      </c>
      <c r="AL7" s="190">
        <v>973639.94</v>
      </c>
      <c r="AM7" s="190">
        <v>793388.72</v>
      </c>
      <c r="AN7" s="190">
        <v>888871.66</v>
      </c>
      <c r="AO7" s="190">
        <v>79034756.969999999</v>
      </c>
      <c r="AP7" s="190">
        <v>85460473.890000001</v>
      </c>
      <c r="AQ7" s="190">
        <v>82226467.760000005</v>
      </c>
      <c r="AR7" s="190">
        <v>34565025.890000001</v>
      </c>
      <c r="AS7" s="190">
        <v>358193510.01999998</v>
      </c>
      <c r="AT7" s="190">
        <v>268351883.53</v>
      </c>
      <c r="AU7" s="190">
        <v>195600182.00999999</v>
      </c>
      <c r="AV7" s="190">
        <v>91210037.799999997</v>
      </c>
      <c r="AW7" s="190">
        <v>342391222.22000003</v>
      </c>
      <c r="AX7" s="190">
        <v>194277559.62</v>
      </c>
      <c r="AY7" s="190">
        <v>114748050.44</v>
      </c>
      <c r="AZ7" s="190">
        <v>51464786.590000004</v>
      </c>
      <c r="BA7" s="190">
        <v>146451431.71000001</v>
      </c>
      <c r="BB7" s="190">
        <v>162367835.28</v>
      </c>
      <c r="BC7" s="190">
        <v>121561278.59</v>
      </c>
      <c r="BD7" s="190">
        <v>43414037.479999997</v>
      </c>
      <c r="BE7" s="190">
        <v>851312180.13</v>
      </c>
      <c r="BF7" s="190">
        <v>983958964.85000002</v>
      </c>
      <c r="BG7" s="190">
        <v>863166449.24000001</v>
      </c>
      <c r="BH7" s="190">
        <v>194335044.84</v>
      </c>
      <c r="BI7" s="190">
        <v>1077204991.4000001</v>
      </c>
      <c r="BJ7" s="190">
        <v>649158765.48000002</v>
      </c>
      <c r="BK7" s="190">
        <v>453860734.80000001</v>
      </c>
      <c r="BL7" s="190">
        <v>223312279.97999999</v>
      </c>
      <c r="BM7" s="190">
        <v>1156448317.5899999</v>
      </c>
      <c r="BN7" s="190">
        <v>484539025.32999998</v>
      </c>
      <c r="BO7" s="190">
        <v>868702369.53999996</v>
      </c>
      <c r="BP7" s="190">
        <v>275028970.25</v>
      </c>
      <c r="BQ7" s="190">
        <v>249075316.78999999</v>
      </c>
      <c r="BR7" s="190">
        <v>112901279.83</v>
      </c>
      <c r="BS7" s="190">
        <v>103676632.78</v>
      </c>
      <c r="BT7" s="190">
        <v>76723312.579999998</v>
      </c>
      <c r="BU7" s="190">
        <v>0</v>
      </c>
    </row>
    <row r="8" spans="1:73" x14ac:dyDescent="0.25">
      <c r="A8" s="190" t="s">
        <v>224</v>
      </c>
      <c r="B8" s="190">
        <v>608848698.53999996</v>
      </c>
      <c r="C8" s="190">
        <v>441538057.77999997</v>
      </c>
      <c r="D8" s="190">
        <v>313021030.05000001</v>
      </c>
      <c r="E8" s="190">
        <v>3651804676.5700002</v>
      </c>
      <c r="F8" s="190">
        <v>3334791856.3400002</v>
      </c>
      <c r="G8" s="190">
        <v>1794231811.54</v>
      </c>
      <c r="H8" s="190">
        <v>1629722481.1900001</v>
      </c>
      <c r="I8" s="190">
        <v>1775969010.27</v>
      </c>
      <c r="J8" s="190">
        <v>1460554890.6600001</v>
      </c>
      <c r="K8" s="190">
        <v>1170052496.8900001</v>
      </c>
      <c r="L8" s="190">
        <v>540587106.86000001</v>
      </c>
      <c r="M8" s="190">
        <v>4172957767.48</v>
      </c>
      <c r="N8" s="190">
        <v>3779940250.1399999</v>
      </c>
      <c r="O8" s="190">
        <v>3280024003.1799998</v>
      </c>
      <c r="P8" s="190">
        <v>1735774594.24</v>
      </c>
      <c r="Q8" s="190">
        <v>2017188608.95</v>
      </c>
      <c r="R8" s="190">
        <v>1891292975.6199999</v>
      </c>
      <c r="S8" s="190">
        <v>1650562701.1800001</v>
      </c>
      <c r="T8" s="190">
        <v>1274503770.52</v>
      </c>
      <c r="U8" s="190">
        <v>2147821024.5799999</v>
      </c>
      <c r="V8" s="190">
        <v>2005877201.73</v>
      </c>
      <c r="W8" s="190">
        <v>1603774002.47</v>
      </c>
      <c r="X8" s="190">
        <v>867718018.00999999</v>
      </c>
      <c r="Y8" s="190">
        <v>883772687.82000005</v>
      </c>
      <c r="Z8" s="190">
        <v>924244278.96000004</v>
      </c>
      <c r="AA8" s="190">
        <v>488143173.75999999</v>
      </c>
      <c r="AB8" s="190">
        <v>265686695.12</v>
      </c>
      <c r="AC8" s="190">
        <v>1601690494.3499999</v>
      </c>
      <c r="AD8" s="190">
        <v>0</v>
      </c>
      <c r="AE8" s="190">
        <v>0</v>
      </c>
      <c r="AF8" s="190">
        <v>0</v>
      </c>
      <c r="AG8" s="190">
        <v>515944.54</v>
      </c>
      <c r="AH8" s="190">
        <v>0</v>
      </c>
      <c r="AI8" s="190">
        <v>0</v>
      </c>
      <c r="AJ8" s="190">
        <v>0</v>
      </c>
      <c r="AK8" s="190">
        <v>0</v>
      </c>
      <c r="AL8" s="190">
        <v>80000</v>
      </c>
      <c r="AM8" s="190">
        <v>0</v>
      </c>
      <c r="AN8" s="190">
        <v>0</v>
      </c>
      <c r="AO8" s="190">
        <v>69199105.930000007</v>
      </c>
      <c r="AP8" s="190">
        <v>75247946.209999993</v>
      </c>
      <c r="AQ8" s="190">
        <v>74839157.209999993</v>
      </c>
      <c r="AR8" s="190">
        <v>34571661.509999998</v>
      </c>
      <c r="AS8" s="190">
        <v>290092855.35000002</v>
      </c>
      <c r="AT8" s="190">
        <v>224541339.87</v>
      </c>
      <c r="AU8" s="190">
        <v>164071605.37</v>
      </c>
      <c r="AV8" s="190">
        <v>71601094.200000003</v>
      </c>
      <c r="AW8" s="190">
        <v>283653574.00999999</v>
      </c>
      <c r="AX8" s="190">
        <v>166098176.47</v>
      </c>
      <c r="AY8" s="190">
        <v>88925132.569999993</v>
      </c>
      <c r="AZ8" s="190">
        <v>53773169.369999997</v>
      </c>
      <c r="BA8" s="190">
        <v>102461909.36</v>
      </c>
      <c r="BB8" s="190">
        <v>77387134.219999999</v>
      </c>
      <c r="BC8" s="190">
        <v>45995737.890000001</v>
      </c>
      <c r="BD8" s="190">
        <v>8146111.0199999996</v>
      </c>
      <c r="BE8" s="190">
        <v>807506458.38999999</v>
      </c>
      <c r="BF8" s="190">
        <v>636203611.39999998</v>
      </c>
      <c r="BG8" s="190">
        <v>504333229.88</v>
      </c>
      <c r="BH8" s="190">
        <v>319889495.48000002</v>
      </c>
      <c r="BI8" s="190">
        <v>827955923.71000004</v>
      </c>
      <c r="BJ8" s="190">
        <v>742479764.46000004</v>
      </c>
      <c r="BK8" s="190">
        <v>456121528.56</v>
      </c>
      <c r="BL8" s="190">
        <v>293059217.27999997</v>
      </c>
      <c r="BM8" s="190">
        <v>1059380281.88</v>
      </c>
      <c r="BN8" s="190">
        <v>513998911.01999998</v>
      </c>
      <c r="BO8" s="190">
        <v>885053554.61000001</v>
      </c>
      <c r="BP8" s="190">
        <v>237938670.25999999</v>
      </c>
      <c r="BQ8" s="190">
        <v>199738079.03</v>
      </c>
      <c r="BR8" s="190">
        <v>79220236.230000004</v>
      </c>
      <c r="BS8" s="190">
        <v>57068893.649999999</v>
      </c>
      <c r="BT8" s="190">
        <v>42033953.369999997</v>
      </c>
      <c r="BU8" s="190">
        <v>0</v>
      </c>
    </row>
    <row r="9" spans="1:73" x14ac:dyDescent="0.25">
      <c r="A9" s="190" t="s">
        <v>225</v>
      </c>
      <c r="B9" s="190">
        <v>112894807.68000001</v>
      </c>
      <c r="C9" s="190">
        <v>70432347.609999999</v>
      </c>
      <c r="D9" s="190">
        <v>42581215.310000002</v>
      </c>
      <c r="E9" s="190">
        <v>149544980.55000001</v>
      </c>
      <c r="F9" s="190">
        <v>106589248.81</v>
      </c>
      <c r="G9" s="190">
        <v>76116551.299999997</v>
      </c>
      <c r="H9" s="190">
        <v>46642043.960000001</v>
      </c>
      <c r="I9" s="190">
        <v>176503307.24000001</v>
      </c>
      <c r="J9" s="190">
        <v>128549191</v>
      </c>
      <c r="K9" s="190">
        <v>89948876.430000007</v>
      </c>
      <c r="L9" s="190">
        <v>57095063.460000001</v>
      </c>
      <c r="M9" s="190">
        <v>188566633.69</v>
      </c>
      <c r="N9" s="190">
        <v>115666919.58</v>
      </c>
      <c r="O9" s="190">
        <v>82319449.780000001</v>
      </c>
      <c r="P9" s="190">
        <v>51541067.259999998</v>
      </c>
      <c r="Q9" s="190">
        <v>132532682.17</v>
      </c>
      <c r="R9" s="190">
        <v>108348347.93000001</v>
      </c>
      <c r="S9" s="190">
        <v>77616599.709999993</v>
      </c>
      <c r="T9" s="190">
        <v>48033099.090000004</v>
      </c>
      <c r="U9" s="190">
        <v>109212317.87</v>
      </c>
      <c r="V9" s="190">
        <v>88910338.25</v>
      </c>
      <c r="W9" s="190">
        <v>62801713.280000001</v>
      </c>
      <c r="X9" s="190">
        <v>39651178.240000002</v>
      </c>
      <c r="Y9" s="190">
        <v>92649467.079999998</v>
      </c>
      <c r="Z9" s="190">
        <v>66779793.280000001</v>
      </c>
      <c r="AA9" s="190">
        <v>42255732.630000003</v>
      </c>
      <c r="AB9" s="190">
        <v>24147121.699999999</v>
      </c>
      <c r="AC9" s="190">
        <v>62908196.43</v>
      </c>
      <c r="AD9" s="190">
        <v>784512.88</v>
      </c>
      <c r="AE9" s="190">
        <v>667033.39</v>
      </c>
      <c r="AF9" s="190">
        <v>646332.01</v>
      </c>
      <c r="AG9" s="190">
        <v>1892956.39</v>
      </c>
      <c r="AH9" s="190">
        <v>1054162.6499999999</v>
      </c>
      <c r="AI9" s="190">
        <v>961930.28</v>
      </c>
      <c r="AJ9" s="190">
        <v>146227.19</v>
      </c>
      <c r="AK9" s="190">
        <v>568763.84</v>
      </c>
      <c r="AL9" s="190">
        <v>453774.32</v>
      </c>
      <c r="AM9" s="190">
        <v>605805.39</v>
      </c>
      <c r="AN9" s="190">
        <v>246091.16</v>
      </c>
      <c r="AO9" s="190">
        <v>3537596.76</v>
      </c>
      <c r="AP9" s="190">
        <v>4829834.68</v>
      </c>
      <c r="AQ9" s="190">
        <v>4102461.52</v>
      </c>
      <c r="AR9" s="190">
        <v>1809629.86</v>
      </c>
      <c r="AS9" s="190">
        <v>11531323.33</v>
      </c>
      <c r="AT9" s="190">
        <v>8748449.1400000006</v>
      </c>
      <c r="AU9" s="190">
        <v>6251530.2300000004</v>
      </c>
      <c r="AV9" s="190">
        <v>3215822.59</v>
      </c>
      <c r="AW9" s="190">
        <v>10520956.140000001</v>
      </c>
      <c r="AX9" s="190">
        <v>8184324.46</v>
      </c>
      <c r="AY9" s="190">
        <v>4805495.46</v>
      </c>
      <c r="AZ9" s="190">
        <v>2340119.8199999998</v>
      </c>
      <c r="BA9" s="190">
        <v>8572558.3300000001</v>
      </c>
      <c r="BB9" s="190">
        <v>6961313.7999999998</v>
      </c>
      <c r="BC9" s="190">
        <v>4440490.96</v>
      </c>
      <c r="BD9" s="190">
        <v>2374860.67</v>
      </c>
      <c r="BE9" s="190">
        <v>11160433.380000001</v>
      </c>
      <c r="BF9" s="190">
        <v>8277752.2400000002</v>
      </c>
      <c r="BG9" s="190">
        <v>5856056.71</v>
      </c>
      <c r="BH9" s="190">
        <v>3163793.33</v>
      </c>
      <c r="BI9" s="190">
        <v>12267786.52</v>
      </c>
      <c r="BJ9" s="190">
        <v>9557499.6600000001</v>
      </c>
      <c r="BK9" s="190">
        <v>6623811.7400000002</v>
      </c>
      <c r="BL9" s="190">
        <v>3777388.42</v>
      </c>
      <c r="BM9" s="190">
        <v>13641585.109999999</v>
      </c>
      <c r="BN9" s="190">
        <v>6957991.6100000003</v>
      </c>
      <c r="BO9" s="190">
        <v>10135821.15</v>
      </c>
      <c r="BP9" s="190">
        <v>4163924.61</v>
      </c>
      <c r="BQ9" s="190">
        <v>13234553.529999999</v>
      </c>
      <c r="BR9" s="190">
        <v>5514474.4699999997</v>
      </c>
      <c r="BS9" s="190">
        <v>10100357.039999999</v>
      </c>
      <c r="BT9" s="190">
        <v>7479513.8899999997</v>
      </c>
      <c r="BU9" s="190">
        <v>0</v>
      </c>
    </row>
    <row r="10" spans="1:73" x14ac:dyDescent="0.25">
      <c r="A10" s="190" t="s">
        <v>226</v>
      </c>
      <c r="B10" s="190">
        <v>337341029.58999997</v>
      </c>
      <c r="C10" s="190">
        <v>259511128.06</v>
      </c>
      <c r="D10" s="190">
        <v>82556111.109999999</v>
      </c>
      <c r="E10" s="190">
        <v>314894650.23000002</v>
      </c>
      <c r="F10" s="190">
        <v>290865880.48000002</v>
      </c>
      <c r="G10" s="190">
        <v>229573493.06</v>
      </c>
      <c r="H10" s="190">
        <v>107693281.55</v>
      </c>
      <c r="I10" s="190">
        <v>658800991.60000002</v>
      </c>
      <c r="J10" s="190">
        <v>648124785.87</v>
      </c>
      <c r="K10" s="190">
        <v>464509466.99000001</v>
      </c>
      <c r="L10" s="190">
        <v>154983303.81999999</v>
      </c>
      <c r="M10" s="190">
        <v>289244789.31</v>
      </c>
      <c r="N10" s="190">
        <v>301544603.06</v>
      </c>
      <c r="O10" s="190">
        <v>205132556.08000001</v>
      </c>
      <c r="P10" s="190">
        <v>72070485.430000007</v>
      </c>
      <c r="Q10" s="190">
        <v>387885450.24000001</v>
      </c>
      <c r="R10" s="190">
        <v>364893285.31999999</v>
      </c>
      <c r="S10" s="190">
        <v>300100195.20999998</v>
      </c>
      <c r="T10" s="190">
        <v>84338740.390000001</v>
      </c>
      <c r="U10" s="190">
        <v>395833046.07999998</v>
      </c>
      <c r="V10" s="190">
        <v>338472919.70999998</v>
      </c>
      <c r="W10" s="190">
        <v>267187710.46000001</v>
      </c>
      <c r="X10" s="190">
        <v>102261159.86</v>
      </c>
      <c r="Y10" s="190">
        <v>305520738.79000002</v>
      </c>
      <c r="Z10" s="190">
        <v>175473634.31</v>
      </c>
      <c r="AA10" s="190">
        <v>130651293.06999999</v>
      </c>
      <c r="AB10" s="190">
        <v>65256472.649999999</v>
      </c>
      <c r="AC10" s="190">
        <v>201026687.44</v>
      </c>
      <c r="AD10" s="190">
        <v>199945.08</v>
      </c>
      <c r="AE10" s="190">
        <v>199945.08</v>
      </c>
      <c r="AF10" s="190">
        <v>74.680000000000007</v>
      </c>
      <c r="AG10" s="190">
        <v>72287.240000000005</v>
      </c>
      <c r="AH10" s="190">
        <v>508.55</v>
      </c>
      <c r="AI10" s="190">
        <v>0</v>
      </c>
      <c r="AJ10" s="190">
        <v>0</v>
      </c>
      <c r="AK10" s="190">
        <v>35454.559999999998</v>
      </c>
      <c r="AL10" s="190">
        <v>7998.27</v>
      </c>
      <c r="AM10" s="190">
        <v>16398.79</v>
      </c>
      <c r="AN10" s="190">
        <v>13211.19</v>
      </c>
      <c r="AO10" s="190">
        <v>1140061.4099999999</v>
      </c>
      <c r="AP10" s="190">
        <v>1178628.3999999999</v>
      </c>
      <c r="AQ10" s="190">
        <v>1142821.25</v>
      </c>
      <c r="AR10" s="190">
        <v>888354.91</v>
      </c>
      <c r="AS10" s="190">
        <v>3387946.22</v>
      </c>
      <c r="AT10" s="190">
        <v>2805052.71</v>
      </c>
      <c r="AU10" s="190">
        <v>2053096.79</v>
      </c>
      <c r="AV10" s="190">
        <v>1354998.14</v>
      </c>
      <c r="AW10" s="190">
        <v>2264582.06</v>
      </c>
      <c r="AX10" s="190">
        <v>1427033.29</v>
      </c>
      <c r="AY10" s="190">
        <v>712510.33</v>
      </c>
      <c r="AZ10" s="190">
        <v>388945.48</v>
      </c>
      <c r="BA10" s="190">
        <v>7610658.4900000002</v>
      </c>
      <c r="BB10" s="190">
        <v>7427052.3099999996</v>
      </c>
      <c r="BC10" s="190">
        <v>6466237.9299999997</v>
      </c>
      <c r="BD10" s="190">
        <v>4131853.44</v>
      </c>
      <c r="BE10" s="190">
        <v>14635837.85</v>
      </c>
      <c r="BF10" s="190">
        <v>12432455.460000001</v>
      </c>
      <c r="BG10" s="190">
        <v>9910654.9199999999</v>
      </c>
      <c r="BH10" s="190">
        <v>3366474.83</v>
      </c>
      <c r="BI10" s="190">
        <v>14637157.24</v>
      </c>
      <c r="BJ10" s="190">
        <v>9520266.8300000001</v>
      </c>
      <c r="BK10" s="190">
        <v>6495534.2800000003</v>
      </c>
      <c r="BL10" s="190">
        <v>2295481.86</v>
      </c>
      <c r="BM10" s="190">
        <v>20655847.510000002</v>
      </c>
      <c r="BN10" s="190">
        <v>11895737.58</v>
      </c>
      <c r="BO10" s="190">
        <v>38399851.990000002</v>
      </c>
      <c r="BP10" s="190">
        <v>24089707.390000001</v>
      </c>
      <c r="BQ10" s="190">
        <v>11717691.800000001</v>
      </c>
      <c r="BR10" s="190">
        <v>5119421.1100000003</v>
      </c>
      <c r="BS10" s="190">
        <v>13409726.970000001</v>
      </c>
      <c r="BT10" s="190">
        <v>7249310.2199999997</v>
      </c>
      <c r="BU10" s="190">
        <v>0</v>
      </c>
    </row>
    <row r="11" spans="1:73" x14ac:dyDescent="0.25">
      <c r="A11" s="190" t="s">
        <v>227</v>
      </c>
      <c r="B11" s="190">
        <v>238607839.05000001</v>
      </c>
      <c r="C11" s="190">
        <v>188400286.12</v>
      </c>
      <c r="D11" s="190">
        <v>91764359.329999998</v>
      </c>
      <c r="E11" s="190">
        <v>146469626.27000001</v>
      </c>
      <c r="F11" s="190">
        <v>163682748.47999999</v>
      </c>
      <c r="G11" s="190">
        <v>87281693.069999993</v>
      </c>
      <c r="H11" s="190">
        <v>48869200.920000002</v>
      </c>
      <c r="I11" s="190">
        <v>302878358.27999997</v>
      </c>
      <c r="J11" s="190">
        <v>1552099077.1099999</v>
      </c>
      <c r="K11" s="190">
        <v>1388696106.97</v>
      </c>
      <c r="L11" s="190">
        <v>683689515.75999999</v>
      </c>
      <c r="M11" s="190">
        <v>159582297.59</v>
      </c>
      <c r="N11" s="190">
        <v>227180695.37</v>
      </c>
      <c r="O11" s="190">
        <v>215710354.58000001</v>
      </c>
      <c r="P11" s="190">
        <v>63146698.530000001</v>
      </c>
      <c r="Q11" s="190">
        <v>799544597.97000003</v>
      </c>
      <c r="R11" s="190">
        <v>295785605.18000001</v>
      </c>
      <c r="S11" s="190">
        <v>184358229.71000001</v>
      </c>
      <c r="T11" s="190">
        <v>352715261.66000003</v>
      </c>
      <c r="U11" s="190">
        <v>102861734.34</v>
      </c>
      <c r="V11" s="190">
        <v>604846461</v>
      </c>
      <c r="W11" s="190">
        <v>242906126.28</v>
      </c>
      <c r="X11" s="190">
        <v>17959422.43</v>
      </c>
      <c r="Y11" s="190">
        <v>264866669.47999999</v>
      </c>
      <c r="Z11" s="190">
        <v>225057458.50999999</v>
      </c>
      <c r="AA11" s="190">
        <v>203187500.28999999</v>
      </c>
      <c r="AB11" s="190">
        <v>23025422.800000001</v>
      </c>
      <c r="AC11" s="190">
        <v>67179275.109999999</v>
      </c>
      <c r="AD11" s="190">
        <v>1188810</v>
      </c>
      <c r="AE11" s="190">
        <v>917069.71</v>
      </c>
      <c r="AF11" s="190">
        <v>562403.44999999995</v>
      </c>
      <c r="AG11" s="190">
        <v>2381360.17</v>
      </c>
      <c r="AH11" s="190">
        <v>254814.43</v>
      </c>
      <c r="AI11" s="190">
        <v>187065.39</v>
      </c>
      <c r="AJ11" s="190">
        <v>126293.49</v>
      </c>
      <c r="AK11" s="190">
        <v>1290224.78</v>
      </c>
      <c r="AL11" s="190">
        <v>1142242.8600000001</v>
      </c>
      <c r="AM11" s="190">
        <v>782769.98</v>
      </c>
      <c r="AN11" s="190">
        <v>636205.91</v>
      </c>
      <c r="AO11" s="190">
        <v>9367770.9199999999</v>
      </c>
      <c r="AP11" s="190">
        <v>11376764.84</v>
      </c>
      <c r="AQ11" s="190">
        <v>10554032.58</v>
      </c>
      <c r="AR11" s="190">
        <v>9599741.1899999995</v>
      </c>
      <c r="AS11" s="190">
        <v>39857140.259999998</v>
      </c>
      <c r="AT11" s="190">
        <v>30749911.289999999</v>
      </c>
      <c r="AU11" s="190">
        <v>21232087.5</v>
      </c>
      <c r="AV11" s="190">
        <v>7798878.29</v>
      </c>
      <c r="AW11" s="190">
        <v>38989523.600000001</v>
      </c>
      <c r="AX11" s="190">
        <v>25177569.190000001</v>
      </c>
      <c r="AY11" s="190">
        <v>24194718.98</v>
      </c>
      <c r="AZ11" s="190">
        <v>6035146.8099999996</v>
      </c>
      <c r="BA11" s="190">
        <v>59029633.5</v>
      </c>
      <c r="BB11" s="190">
        <v>110370189.92</v>
      </c>
      <c r="BC11" s="190">
        <v>110029360.69</v>
      </c>
      <c r="BD11" s="190">
        <v>73745934.260000005</v>
      </c>
      <c r="BE11" s="190">
        <v>336449121.5</v>
      </c>
      <c r="BF11" s="190">
        <v>604720483.23000002</v>
      </c>
      <c r="BG11" s="190">
        <v>586428405.21000004</v>
      </c>
      <c r="BH11" s="190">
        <v>24024348.579999998</v>
      </c>
      <c r="BI11" s="190">
        <v>152941184.15000001</v>
      </c>
      <c r="BJ11" s="190">
        <v>14668375.060000001</v>
      </c>
      <c r="BK11" s="190">
        <v>13287743.550000001</v>
      </c>
      <c r="BL11" s="190">
        <v>12761796.77</v>
      </c>
      <c r="BM11" s="190">
        <v>16238318.08</v>
      </c>
      <c r="BN11" s="190">
        <v>28879364.210000001</v>
      </c>
      <c r="BO11" s="190">
        <v>34854502.200000003</v>
      </c>
      <c r="BP11" s="190">
        <v>2065217.68</v>
      </c>
      <c r="BQ11" s="190">
        <v>31474073.73</v>
      </c>
      <c r="BR11" s="190">
        <v>18591777.5</v>
      </c>
      <c r="BS11" s="190">
        <v>31473249.890000001</v>
      </c>
      <c r="BT11" s="190">
        <v>17378207.210000001</v>
      </c>
      <c r="BU11" s="190">
        <v>0</v>
      </c>
    </row>
    <row r="12" spans="1:73" x14ac:dyDescent="0.25">
      <c r="A12" s="190" t="s">
        <v>228</v>
      </c>
      <c r="B12" s="190">
        <v>1297692374.8599999</v>
      </c>
      <c r="C12" s="190">
        <v>959881819.57000005</v>
      </c>
      <c r="D12" s="190">
        <v>529922715.80000001</v>
      </c>
      <c r="E12" s="190">
        <v>4262713933.6199999</v>
      </c>
      <c r="F12" s="190">
        <v>3895929734.1100001</v>
      </c>
      <c r="G12" s="190">
        <v>2187203548.9699998</v>
      </c>
      <c r="H12" s="190">
        <v>1832927007.6199999</v>
      </c>
      <c r="I12" s="190">
        <v>2914151667.3899999</v>
      </c>
      <c r="J12" s="190">
        <v>3789327944.6399999</v>
      </c>
      <c r="K12" s="190">
        <v>3113206947.2800002</v>
      </c>
      <c r="L12" s="190">
        <v>1436354989.9000001</v>
      </c>
      <c r="M12" s="190">
        <v>4810351488.0699997</v>
      </c>
      <c r="N12" s="190">
        <v>4424332468.1499996</v>
      </c>
      <c r="O12" s="190">
        <v>3783186363.6199999</v>
      </c>
      <c r="P12" s="190">
        <v>1922532845.46</v>
      </c>
      <c r="Q12" s="190">
        <v>3337151339.3299999</v>
      </c>
      <c r="R12" s="190">
        <v>2660320214.0500002</v>
      </c>
      <c r="S12" s="190">
        <v>2212637725.8099999</v>
      </c>
      <c r="T12" s="190">
        <v>1759590871.6600001</v>
      </c>
      <c r="U12" s="190">
        <v>2755728122.8699999</v>
      </c>
      <c r="V12" s="190">
        <v>3038106920.6900001</v>
      </c>
      <c r="W12" s="190">
        <v>2176669552.4899998</v>
      </c>
      <c r="X12" s="190">
        <v>1027589778.54</v>
      </c>
      <c r="Y12" s="190">
        <v>1546809563.1700001</v>
      </c>
      <c r="Z12" s="190">
        <v>1391555165.0599999</v>
      </c>
      <c r="AA12" s="190">
        <v>864237699.75</v>
      </c>
      <c r="AB12" s="190">
        <v>378115712.26999998</v>
      </c>
      <c r="AC12" s="190">
        <v>1932804653.3299999</v>
      </c>
      <c r="AD12" s="190">
        <v>2173267.96</v>
      </c>
      <c r="AE12" s="190">
        <v>1784048.18</v>
      </c>
      <c r="AF12" s="190">
        <v>1208810.1399999999</v>
      </c>
      <c r="AG12" s="190">
        <v>4862548.34</v>
      </c>
      <c r="AH12" s="190">
        <v>1309485.6299999999</v>
      </c>
      <c r="AI12" s="190">
        <v>1148995.67</v>
      </c>
      <c r="AJ12" s="190">
        <v>272520.68</v>
      </c>
      <c r="AK12" s="190">
        <v>1894443.18</v>
      </c>
      <c r="AL12" s="190">
        <v>1684015.45</v>
      </c>
      <c r="AM12" s="190">
        <v>1404974.16</v>
      </c>
      <c r="AN12" s="190">
        <v>895508.26</v>
      </c>
      <c r="AO12" s="190">
        <v>83244535.019999996</v>
      </c>
      <c r="AP12" s="190">
        <v>92633174.129999995</v>
      </c>
      <c r="AQ12" s="190">
        <v>90638472.560000002</v>
      </c>
      <c r="AR12" s="190">
        <v>46869387.469999999</v>
      </c>
      <c r="AS12" s="190">
        <v>344869265.16000003</v>
      </c>
      <c r="AT12" s="190">
        <v>266844753.00999999</v>
      </c>
      <c r="AU12" s="190">
        <v>193608319.88999999</v>
      </c>
      <c r="AV12" s="190">
        <v>83970793.219999999</v>
      </c>
      <c r="AW12" s="190">
        <v>335428635.81</v>
      </c>
      <c r="AX12" s="190">
        <v>200887103.41</v>
      </c>
      <c r="AY12" s="190">
        <v>118637857.34</v>
      </c>
      <c r="AZ12" s="190">
        <v>62537381.479999997</v>
      </c>
      <c r="BA12" s="190">
        <v>177674759.68000001</v>
      </c>
      <c r="BB12" s="190">
        <v>202145690.25</v>
      </c>
      <c r="BC12" s="190">
        <v>166931827.47</v>
      </c>
      <c r="BD12" s="190">
        <v>88398759.390000001</v>
      </c>
      <c r="BE12" s="190">
        <v>1169751851.1199999</v>
      </c>
      <c r="BF12" s="190">
        <v>1261634302.3299999</v>
      </c>
      <c r="BG12" s="190">
        <v>1106528346.72</v>
      </c>
      <c r="BH12" s="190">
        <v>350444112.22000003</v>
      </c>
      <c r="BI12" s="190">
        <v>1007802051.62</v>
      </c>
      <c r="BJ12" s="190">
        <v>776225906.00999999</v>
      </c>
      <c r="BK12" s="190">
        <v>482528618.13</v>
      </c>
      <c r="BL12" s="190">
        <v>311893884.32999998</v>
      </c>
      <c r="BM12" s="190">
        <v>1109916032.5799999</v>
      </c>
      <c r="BN12" s="190">
        <v>561732004.41999996</v>
      </c>
      <c r="BO12" s="190">
        <v>968443729.95000005</v>
      </c>
      <c r="BP12" s="190">
        <v>268257519.94</v>
      </c>
      <c r="BQ12" s="190">
        <v>256164398.09</v>
      </c>
      <c r="BR12" s="190">
        <v>108445909.31</v>
      </c>
      <c r="BS12" s="190">
        <v>112052227.55</v>
      </c>
      <c r="BT12" s="190">
        <v>74140984.689999998</v>
      </c>
      <c r="BU12" s="190">
        <v>0</v>
      </c>
    </row>
    <row r="13" spans="1:73" x14ac:dyDescent="0.25">
      <c r="A13" s="190" t="s">
        <v>229</v>
      </c>
      <c r="B13" s="190">
        <v>1461942363.54</v>
      </c>
      <c r="C13" s="190">
        <v>962745404.91999996</v>
      </c>
      <c r="D13" s="190">
        <v>-174635022.5</v>
      </c>
      <c r="E13" s="190">
        <v>-2545673422.1100001</v>
      </c>
      <c r="F13" s="190">
        <v>-2750566131.23</v>
      </c>
      <c r="G13" s="190">
        <v>-1445376116.1900001</v>
      </c>
      <c r="H13" s="190">
        <v>-1565308419.46</v>
      </c>
      <c r="I13" s="190">
        <v>691104491.77999997</v>
      </c>
      <c r="J13" s="190">
        <v>137878888.19999999</v>
      </c>
      <c r="K13" s="190">
        <v>-385520336.01999998</v>
      </c>
      <c r="L13" s="190">
        <v>89349997.129999995</v>
      </c>
      <c r="M13" s="190">
        <v>-768907546.52999997</v>
      </c>
      <c r="N13" s="190">
        <v>-1562092516.05</v>
      </c>
      <c r="O13" s="190">
        <v>-2086574627.5899999</v>
      </c>
      <c r="P13" s="190">
        <v>-1396335655.1099999</v>
      </c>
      <c r="Q13" s="190">
        <v>-1425465822.8</v>
      </c>
      <c r="R13" s="190">
        <v>-466478960.85000002</v>
      </c>
      <c r="S13" s="190">
        <v>-617771034.63</v>
      </c>
      <c r="T13" s="190">
        <v>-549212482.45000005</v>
      </c>
      <c r="U13" s="190">
        <v>-204524340.52000001</v>
      </c>
      <c r="V13" s="190">
        <v>-438497845.25</v>
      </c>
      <c r="W13" s="190">
        <v>-488956284.01999998</v>
      </c>
      <c r="X13" s="190">
        <v>-253170549.13</v>
      </c>
      <c r="Y13" s="190">
        <v>592891844.79999995</v>
      </c>
      <c r="Z13" s="190">
        <v>-186895588.00999999</v>
      </c>
      <c r="AA13" s="190">
        <v>-128819902.31</v>
      </c>
      <c r="AB13" s="190">
        <v>-209240468.47999999</v>
      </c>
      <c r="AC13" s="190">
        <v>-240562991.19999999</v>
      </c>
      <c r="AD13" s="190">
        <v>-1172244.23</v>
      </c>
      <c r="AE13" s="190">
        <v>-1283167.74</v>
      </c>
      <c r="AF13" s="190">
        <v>-1208218.99</v>
      </c>
      <c r="AG13" s="190">
        <v>21073685.140000001</v>
      </c>
      <c r="AH13" s="190">
        <v>-313210.71000000002</v>
      </c>
      <c r="AI13" s="190">
        <v>-158636.32999999999</v>
      </c>
      <c r="AJ13" s="190">
        <v>-272384.93</v>
      </c>
      <c r="AK13" s="190">
        <v>-292174.2</v>
      </c>
      <c r="AL13" s="190">
        <v>-710375.51</v>
      </c>
      <c r="AM13" s="190">
        <v>-611585.43999999994</v>
      </c>
      <c r="AN13" s="190">
        <v>-6636.6</v>
      </c>
      <c r="AO13" s="190">
        <v>-4209778.05</v>
      </c>
      <c r="AP13" s="190">
        <v>-7172700.2400000002</v>
      </c>
      <c r="AQ13" s="190">
        <v>-8412004.8000000007</v>
      </c>
      <c r="AR13" s="190">
        <v>-12304361.58</v>
      </c>
      <c r="AS13" s="190">
        <v>13324244.859999999</v>
      </c>
      <c r="AT13" s="190">
        <v>1507130.52</v>
      </c>
      <c r="AU13" s="190">
        <v>1991862.12</v>
      </c>
      <c r="AV13" s="190">
        <v>7239244.5800000001</v>
      </c>
      <c r="AW13" s="190">
        <v>6962586.4100000001</v>
      </c>
      <c r="AX13" s="190">
        <v>-6609543.79</v>
      </c>
      <c r="AY13" s="190">
        <v>-3889806.9</v>
      </c>
      <c r="AZ13" s="190">
        <v>-11072594.890000001</v>
      </c>
      <c r="BA13" s="190">
        <v>-31223327.969999999</v>
      </c>
      <c r="BB13" s="190">
        <v>-39777854.969999999</v>
      </c>
      <c r="BC13" s="190">
        <v>-45370548.880000003</v>
      </c>
      <c r="BD13" s="190">
        <v>-44984721.909999996</v>
      </c>
      <c r="BE13" s="190">
        <v>-318439670.99000001</v>
      </c>
      <c r="BF13" s="190">
        <v>-277675337.48000002</v>
      </c>
      <c r="BG13" s="190">
        <v>-243361897.47999999</v>
      </c>
      <c r="BH13" s="190">
        <v>-156109067.38</v>
      </c>
      <c r="BI13" s="190">
        <v>69402939.780000001</v>
      </c>
      <c r="BJ13" s="190">
        <v>-127067140.53</v>
      </c>
      <c r="BK13" s="190">
        <v>-28667883.329999998</v>
      </c>
      <c r="BL13" s="190">
        <v>-88581604.349999994</v>
      </c>
      <c r="BM13" s="190">
        <v>46532285.009999998</v>
      </c>
      <c r="BN13" s="190">
        <v>-77192979.090000004</v>
      </c>
      <c r="BO13" s="190">
        <v>-99741360.409999996</v>
      </c>
      <c r="BP13" s="190">
        <v>6771450.3099999996</v>
      </c>
      <c r="BQ13" s="190">
        <v>-7089081.2999999998</v>
      </c>
      <c r="BR13" s="190">
        <v>4455370.5199999996</v>
      </c>
      <c r="BS13" s="190">
        <v>-8375594.7699999996</v>
      </c>
      <c r="BT13" s="190">
        <v>2582327.89</v>
      </c>
      <c r="BU13" s="190">
        <v>0</v>
      </c>
    </row>
    <row r="14" spans="1:73" x14ac:dyDescent="0.25">
      <c r="A14" s="190" t="s">
        <v>230</v>
      </c>
    </row>
    <row r="15" spans="1:73" x14ac:dyDescent="0.25">
      <c r="A15" s="190" t="s">
        <v>231</v>
      </c>
      <c r="B15" s="190">
        <v>580000000</v>
      </c>
      <c r="C15" s="190">
        <v>150000000</v>
      </c>
      <c r="D15" s="190">
        <v>0</v>
      </c>
      <c r="E15" s="190">
        <v>0</v>
      </c>
      <c r="F15" s="190">
        <v>0</v>
      </c>
      <c r="G15" s="190">
        <v>0</v>
      </c>
      <c r="H15" s="190">
        <v>0</v>
      </c>
      <c r="I15" s="190">
        <v>0</v>
      </c>
      <c r="J15" s="190">
        <v>0</v>
      </c>
      <c r="K15" s="190">
        <v>0</v>
      </c>
      <c r="L15" s="190">
        <v>0</v>
      </c>
      <c r="M15" s="190">
        <v>527580000</v>
      </c>
      <c r="N15" s="190">
        <v>306840000</v>
      </c>
      <c r="O15" s="190">
        <v>306340000</v>
      </c>
      <c r="P15" s="190">
        <v>0</v>
      </c>
      <c r="Q15" s="190">
        <v>136233051.84999999</v>
      </c>
      <c r="R15" s="190">
        <v>0</v>
      </c>
      <c r="S15" s="190">
        <v>0</v>
      </c>
      <c r="T15" s="190">
        <v>0</v>
      </c>
      <c r="U15" s="190">
        <v>0</v>
      </c>
      <c r="V15" s="190">
        <v>0</v>
      </c>
      <c r="W15" s="190">
        <v>0</v>
      </c>
      <c r="X15" s="190">
        <v>0</v>
      </c>
      <c r="Y15" s="190">
        <v>510000</v>
      </c>
      <c r="Z15" s="190">
        <v>510000</v>
      </c>
      <c r="AA15" s="190">
        <v>510000</v>
      </c>
      <c r="AB15" s="190">
        <v>0</v>
      </c>
      <c r="AC15" s="190">
        <v>800901.97</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40100472.5</v>
      </c>
      <c r="BF15" s="190">
        <v>40138366.789999999</v>
      </c>
      <c r="BG15" s="190">
        <v>16638366.789999999</v>
      </c>
      <c r="BH15" s="190">
        <v>638366.79</v>
      </c>
      <c r="BI15" s="190">
        <v>102191826.52</v>
      </c>
      <c r="BJ15" s="190">
        <v>45178643.399999999</v>
      </c>
      <c r="BK15" s="190">
        <v>44925219.409999996</v>
      </c>
      <c r="BL15" s="190">
        <v>0</v>
      </c>
      <c r="BM15" s="190">
        <v>0</v>
      </c>
      <c r="BN15" s="190">
        <v>0</v>
      </c>
      <c r="BO15" s="190">
        <v>46665857.579999998</v>
      </c>
      <c r="BP15" s="190">
        <v>39820000</v>
      </c>
      <c r="BQ15" s="190">
        <v>1006850</v>
      </c>
      <c r="BR15" s="190">
        <v>1000150</v>
      </c>
      <c r="BS15" s="190">
        <v>6016052.7800000003</v>
      </c>
      <c r="BT15" s="190">
        <v>117754600</v>
      </c>
      <c r="BU15" s="190">
        <v>0</v>
      </c>
    </row>
    <row r="16" spans="1:73" x14ac:dyDescent="0.25">
      <c r="A16" s="190" t="s">
        <v>232</v>
      </c>
      <c r="B16" s="190">
        <v>10736569.470000001</v>
      </c>
      <c r="C16" s="190">
        <v>6940573.1900000004</v>
      </c>
      <c r="D16" s="190">
        <v>0</v>
      </c>
      <c r="E16" s="190">
        <v>151992736.44999999</v>
      </c>
      <c r="F16" s="190">
        <v>151982763.84999999</v>
      </c>
      <c r="G16" s="190">
        <v>146275421.38999999</v>
      </c>
      <c r="H16" s="190">
        <v>141360365.22</v>
      </c>
      <c r="I16" s="190">
        <v>8150143.3200000003</v>
      </c>
      <c r="J16" s="190">
        <v>6176394.96</v>
      </c>
      <c r="K16" s="190">
        <v>596164.38</v>
      </c>
      <c r="L16" s="190">
        <v>0</v>
      </c>
      <c r="M16" s="190">
        <v>17728504.010000002</v>
      </c>
      <c r="N16" s="190">
        <v>0</v>
      </c>
      <c r="O16" s="190">
        <v>0</v>
      </c>
      <c r="P16" s="190">
        <v>0</v>
      </c>
      <c r="Q16" s="190">
        <v>30280241.59</v>
      </c>
      <c r="R16" s="190">
        <v>20000000</v>
      </c>
      <c r="S16" s="190">
        <v>20000000</v>
      </c>
      <c r="T16" s="190">
        <v>0</v>
      </c>
      <c r="U16" s="190">
        <v>108996379.86</v>
      </c>
      <c r="V16" s="190">
        <v>108996379.86</v>
      </c>
      <c r="W16" s="190">
        <v>108996379.86</v>
      </c>
      <c r="X16" s="190">
        <v>0</v>
      </c>
      <c r="Y16" s="190">
        <v>100000000</v>
      </c>
      <c r="Z16" s="190">
        <v>100000000</v>
      </c>
      <c r="AA16" s="190">
        <v>100000000</v>
      </c>
      <c r="AB16" s="190">
        <v>0</v>
      </c>
      <c r="AC16" s="190">
        <v>80000000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515564.01</v>
      </c>
      <c r="BF16" s="190">
        <v>477669.72</v>
      </c>
      <c r="BG16" s="190">
        <v>477669.72</v>
      </c>
      <c r="BH16" s="190">
        <v>0</v>
      </c>
      <c r="BI16" s="190">
        <v>-257525.56</v>
      </c>
      <c r="BJ16" s="190">
        <v>0</v>
      </c>
      <c r="BK16" s="190">
        <v>9205.39</v>
      </c>
      <c r="BL16" s="190">
        <v>0</v>
      </c>
      <c r="BM16" s="190">
        <v>0</v>
      </c>
      <c r="BN16" s="190">
        <v>0</v>
      </c>
      <c r="BO16" s="190">
        <v>12654142.42</v>
      </c>
      <c r="BP16" s="190">
        <v>0</v>
      </c>
      <c r="BQ16" s="190">
        <v>499</v>
      </c>
      <c r="BR16" s="190">
        <v>14029000</v>
      </c>
      <c r="BS16" s="190">
        <v>1980969</v>
      </c>
      <c r="BT16" s="190">
        <v>1130000</v>
      </c>
      <c r="BU16" s="190">
        <v>0</v>
      </c>
    </row>
    <row r="17" spans="1:73" x14ac:dyDescent="0.25">
      <c r="A17" s="190" t="s">
        <v>233</v>
      </c>
      <c r="B17" s="190">
        <v>207164</v>
      </c>
      <c r="C17" s="190">
        <v>207164</v>
      </c>
      <c r="D17" s="190">
        <v>5000</v>
      </c>
      <c r="E17" s="190">
        <v>3629.17</v>
      </c>
      <c r="F17" s="190">
        <v>2299.17</v>
      </c>
      <c r="G17" s="190">
        <v>2005</v>
      </c>
      <c r="H17" s="190">
        <v>0</v>
      </c>
      <c r="I17" s="190">
        <v>384721.33</v>
      </c>
      <c r="J17" s="190">
        <v>6929.41</v>
      </c>
      <c r="K17" s="190">
        <v>6</v>
      </c>
      <c r="L17" s="190">
        <v>0</v>
      </c>
      <c r="M17" s="190">
        <v>973873.73</v>
      </c>
      <c r="N17" s="190">
        <v>16559.96</v>
      </c>
      <c r="O17" s="190">
        <v>5108.8500000000004</v>
      </c>
      <c r="P17" s="190">
        <v>5108.8500000000004</v>
      </c>
      <c r="Q17" s="190">
        <v>112455.11</v>
      </c>
      <c r="R17" s="190">
        <v>110006</v>
      </c>
      <c r="S17" s="190">
        <v>21905</v>
      </c>
      <c r="T17" s="190">
        <v>19265</v>
      </c>
      <c r="U17" s="190">
        <v>1138834.79</v>
      </c>
      <c r="V17" s="190">
        <v>854.7</v>
      </c>
      <c r="W17" s="190">
        <v>0</v>
      </c>
      <c r="X17" s="190">
        <v>0</v>
      </c>
      <c r="Y17" s="190">
        <v>465374.17</v>
      </c>
      <c r="Z17" s="190">
        <v>55900</v>
      </c>
      <c r="AA17" s="190">
        <v>55900</v>
      </c>
      <c r="AB17" s="190">
        <v>0</v>
      </c>
      <c r="AC17" s="190">
        <v>66243</v>
      </c>
      <c r="AD17" s="190">
        <v>0</v>
      </c>
      <c r="AE17" s="190">
        <v>0</v>
      </c>
      <c r="AF17" s="190">
        <v>0</v>
      </c>
      <c r="AG17" s="190">
        <v>0</v>
      </c>
      <c r="AH17" s="190">
        <v>0</v>
      </c>
      <c r="AI17" s="190">
        <v>0</v>
      </c>
      <c r="AJ17" s="190">
        <v>0</v>
      </c>
      <c r="AK17" s="190">
        <v>324440</v>
      </c>
      <c r="AL17" s="190">
        <v>324440</v>
      </c>
      <c r="AM17" s="190">
        <v>324440</v>
      </c>
      <c r="AN17" s="190">
        <v>0</v>
      </c>
      <c r="AO17" s="190">
        <v>-28838.15</v>
      </c>
      <c r="AP17" s="190">
        <v>37300</v>
      </c>
      <c r="AQ17" s="190">
        <v>37300</v>
      </c>
      <c r="AR17" s="190">
        <v>0</v>
      </c>
      <c r="AS17" s="190">
        <v>51414.8</v>
      </c>
      <c r="AT17" s="190">
        <v>6403</v>
      </c>
      <c r="AU17" s="190">
        <v>0</v>
      </c>
      <c r="AV17" s="190">
        <v>0</v>
      </c>
      <c r="AW17" s="190">
        <v>324000</v>
      </c>
      <c r="AX17" s="190">
        <v>0</v>
      </c>
      <c r="AY17" s="190">
        <v>0</v>
      </c>
      <c r="AZ17" s="190">
        <v>0</v>
      </c>
      <c r="BA17" s="190">
        <v>13000</v>
      </c>
      <c r="BB17" s="190">
        <v>0</v>
      </c>
      <c r="BC17" s="190">
        <v>0</v>
      </c>
      <c r="BD17" s="190">
        <v>0</v>
      </c>
      <c r="BE17" s="190">
        <v>0</v>
      </c>
      <c r="BF17" s="190">
        <v>0</v>
      </c>
      <c r="BG17" s="190">
        <v>0</v>
      </c>
      <c r="BH17" s="190">
        <v>0</v>
      </c>
      <c r="BI17" s="190">
        <v>15600</v>
      </c>
      <c r="BJ17" s="190">
        <v>15000</v>
      </c>
      <c r="BK17" s="190">
        <v>15000</v>
      </c>
      <c r="BL17" s="190">
        <v>15000</v>
      </c>
      <c r="BM17" s="190">
        <v>20780</v>
      </c>
      <c r="BN17" s="190">
        <v>20780</v>
      </c>
      <c r="BO17" s="190">
        <v>14612840</v>
      </c>
      <c r="BP17" s="190">
        <v>1500</v>
      </c>
      <c r="BQ17" s="190">
        <v>14043996.07</v>
      </c>
      <c r="BR17" s="190">
        <v>0</v>
      </c>
      <c r="BS17" s="190">
        <v>26020</v>
      </c>
      <c r="BT17" s="190">
        <v>260</v>
      </c>
      <c r="BU17" s="190">
        <v>0</v>
      </c>
    </row>
    <row r="18" spans="1:73" x14ac:dyDescent="0.25">
      <c r="A18" s="190" t="s">
        <v>234</v>
      </c>
      <c r="B18" s="190">
        <v>0</v>
      </c>
      <c r="C18" s="190">
        <v>0</v>
      </c>
      <c r="D18" s="190">
        <v>0</v>
      </c>
      <c r="E18" s="190">
        <v>304582697.89999998</v>
      </c>
      <c r="F18" s="190">
        <v>304582697.89999998</v>
      </c>
      <c r="G18" s="190">
        <v>304582697.89999998</v>
      </c>
      <c r="H18" s="190">
        <v>304582697.89999998</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-5200244.92</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c r="BH18" s="190">
        <v>0</v>
      </c>
      <c r="BI18" s="190">
        <v>0</v>
      </c>
      <c r="BJ18" s="190">
        <v>0</v>
      </c>
      <c r="BK18" s="190">
        <v>0</v>
      </c>
      <c r="BL18" s="190">
        <v>0</v>
      </c>
      <c r="BM18" s="190">
        <v>0</v>
      </c>
      <c r="BN18" s="190">
        <v>0</v>
      </c>
      <c r="BO18" s="190">
        <v>0</v>
      </c>
      <c r="BP18" s="190">
        <v>0</v>
      </c>
      <c r="BQ18" s="190">
        <v>0</v>
      </c>
      <c r="BR18" s="190">
        <v>0</v>
      </c>
      <c r="BS18" s="190">
        <v>0</v>
      </c>
      <c r="BT18" s="190">
        <v>0</v>
      </c>
      <c r="BU18" s="190">
        <v>0</v>
      </c>
    </row>
    <row r="19" spans="1:73" x14ac:dyDescent="0.25">
      <c r="A19" s="190" t="s">
        <v>235</v>
      </c>
      <c r="B19" s="190">
        <v>0</v>
      </c>
      <c r="C19" s="190">
        <v>0</v>
      </c>
      <c r="D19" s="190">
        <v>0</v>
      </c>
      <c r="E19" s="190">
        <v>0</v>
      </c>
      <c r="F19" s="190">
        <v>0</v>
      </c>
      <c r="G19" s="190">
        <v>0</v>
      </c>
      <c r="H19" s="190">
        <v>0</v>
      </c>
      <c r="I19" s="190">
        <v>50000000</v>
      </c>
      <c r="J19" s="190">
        <v>0</v>
      </c>
      <c r="K19" s="190">
        <v>0</v>
      </c>
      <c r="L19" s="190">
        <v>0</v>
      </c>
      <c r="M19" s="190">
        <v>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36849.519999999997</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1667.85</v>
      </c>
      <c r="AS19" s="190">
        <v>0</v>
      </c>
      <c r="AT19" s="190">
        <v>67679.63</v>
      </c>
      <c r="AU19" s="190">
        <v>33642.230000000003</v>
      </c>
      <c r="AV19" s="190">
        <v>33847.660000000003</v>
      </c>
      <c r="AW19" s="190">
        <v>1131019.8500000001</v>
      </c>
      <c r="AX19" s="190">
        <v>1186931</v>
      </c>
      <c r="AY19" s="190">
        <v>1165421.93</v>
      </c>
      <c r="AZ19" s="190">
        <v>0</v>
      </c>
      <c r="BA19" s="190">
        <v>2546651.9300000002</v>
      </c>
      <c r="BB19" s="190">
        <v>0</v>
      </c>
      <c r="BC19" s="190">
        <v>0</v>
      </c>
      <c r="BD19" s="190">
        <v>0</v>
      </c>
      <c r="BE19" s="190">
        <v>0</v>
      </c>
      <c r="BF19" s="190">
        <v>0</v>
      </c>
      <c r="BG19" s="190">
        <v>0</v>
      </c>
      <c r="BH19" s="190">
        <v>0</v>
      </c>
      <c r="BI19" s="190">
        <v>0</v>
      </c>
      <c r="BJ19" s="190">
        <v>0</v>
      </c>
      <c r="BK19" s="190">
        <v>0</v>
      </c>
      <c r="BL19" s="190">
        <v>0</v>
      </c>
      <c r="BM19" s="190">
        <v>0</v>
      </c>
      <c r="BN19" s="190">
        <v>0</v>
      </c>
      <c r="BO19" s="190">
        <v>664106.74</v>
      </c>
      <c r="BP19" s="190">
        <v>0</v>
      </c>
      <c r="BQ19" s="190">
        <v>6180718.7199999997</v>
      </c>
      <c r="BR19" s="190">
        <v>0</v>
      </c>
      <c r="BS19" s="190">
        <v>70167.77</v>
      </c>
      <c r="BT19" s="190">
        <v>0</v>
      </c>
      <c r="BU19" s="190">
        <v>0</v>
      </c>
    </row>
    <row r="20" spans="1:73" x14ac:dyDescent="0.25">
      <c r="A20" s="190" t="s">
        <v>236</v>
      </c>
      <c r="B20" s="190">
        <v>590943733.47000003</v>
      </c>
      <c r="C20" s="190">
        <v>157147737.19</v>
      </c>
      <c r="D20" s="190">
        <v>5000</v>
      </c>
      <c r="E20" s="190">
        <v>456579063.51999998</v>
      </c>
      <c r="F20" s="190">
        <v>456567760.92000002</v>
      </c>
      <c r="G20" s="190">
        <v>450860124.29000002</v>
      </c>
      <c r="H20" s="190">
        <v>445943063.12</v>
      </c>
      <c r="I20" s="190">
        <v>58534864.649999999</v>
      </c>
      <c r="J20" s="190">
        <v>6183324.3700000001</v>
      </c>
      <c r="K20" s="190">
        <v>596170.38</v>
      </c>
      <c r="L20" s="190">
        <v>0</v>
      </c>
      <c r="M20" s="190">
        <v>546282377.74000001</v>
      </c>
      <c r="N20" s="190">
        <v>306856559.95999998</v>
      </c>
      <c r="O20" s="190">
        <v>306345108.85000002</v>
      </c>
      <c r="P20" s="190">
        <v>5108.8500000000004</v>
      </c>
      <c r="Q20" s="190">
        <v>166625748.55000001</v>
      </c>
      <c r="R20" s="190">
        <v>20110006</v>
      </c>
      <c r="S20" s="190">
        <v>20021905</v>
      </c>
      <c r="T20" s="190">
        <v>19265</v>
      </c>
      <c r="U20" s="190">
        <v>110135214.65000001</v>
      </c>
      <c r="V20" s="190">
        <v>108997234.56</v>
      </c>
      <c r="W20" s="190">
        <v>108996379.86</v>
      </c>
      <c r="X20" s="190">
        <v>0</v>
      </c>
      <c r="Y20" s="190">
        <v>100975374.17</v>
      </c>
      <c r="Z20" s="190">
        <v>100565900</v>
      </c>
      <c r="AA20" s="190">
        <v>100565900</v>
      </c>
      <c r="AB20" s="190">
        <v>0</v>
      </c>
      <c r="AC20" s="190">
        <v>80903994.489999995</v>
      </c>
      <c r="AD20" s="190">
        <v>0</v>
      </c>
      <c r="AE20" s="190">
        <v>0</v>
      </c>
      <c r="AF20" s="190">
        <v>0</v>
      </c>
      <c r="AG20" s="190">
        <v>0</v>
      </c>
      <c r="AH20" s="190">
        <v>0</v>
      </c>
      <c r="AI20" s="190">
        <v>0</v>
      </c>
      <c r="AJ20" s="190">
        <v>0</v>
      </c>
      <c r="AK20" s="190">
        <v>324440</v>
      </c>
      <c r="AL20" s="190">
        <v>324440</v>
      </c>
      <c r="AM20" s="190">
        <v>324440</v>
      </c>
      <c r="AN20" s="190">
        <v>0</v>
      </c>
      <c r="AO20" s="190">
        <v>-5229083.07</v>
      </c>
      <c r="AP20" s="190">
        <v>37300</v>
      </c>
      <c r="AQ20" s="190">
        <v>37300</v>
      </c>
      <c r="AR20" s="190">
        <v>1667.85</v>
      </c>
      <c r="AS20" s="190">
        <v>51414.8</v>
      </c>
      <c r="AT20" s="190">
        <v>74082.63</v>
      </c>
      <c r="AU20" s="190">
        <v>33642.230000000003</v>
      </c>
      <c r="AV20" s="190">
        <v>33847.660000000003</v>
      </c>
      <c r="AW20" s="190">
        <v>1455019.85</v>
      </c>
      <c r="AX20" s="190">
        <v>1186931</v>
      </c>
      <c r="AY20" s="190">
        <v>1165421.93</v>
      </c>
      <c r="AZ20" s="190">
        <v>0</v>
      </c>
      <c r="BA20" s="190">
        <v>2559651.9300000002</v>
      </c>
      <c r="BB20" s="190">
        <v>0</v>
      </c>
      <c r="BC20" s="190">
        <v>0</v>
      </c>
      <c r="BD20" s="190">
        <v>0</v>
      </c>
      <c r="BE20" s="190">
        <v>40616036.509999998</v>
      </c>
      <c r="BF20" s="190">
        <v>40616036.509999998</v>
      </c>
      <c r="BG20" s="190">
        <v>17116036.510000002</v>
      </c>
      <c r="BH20" s="190">
        <v>638366.79</v>
      </c>
      <c r="BI20" s="190">
        <v>101949900.95999999</v>
      </c>
      <c r="BJ20" s="190">
        <v>45193643.399999999</v>
      </c>
      <c r="BK20" s="190">
        <v>44949424.799999997</v>
      </c>
      <c r="BL20" s="190">
        <v>15000</v>
      </c>
      <c r="BM20" s="190">
        <v>20780</v>
      </c>
      <c r="BN20" s="190">
        <v>20780</v>
      </c>
      <c r="BO20" s="190">
        <v>74596946.739999995</v>
      </c>
      <c r="BP20" s="190">
        <v>39821500</v>
      </c>
      <c r="BQ20" s="190">
        <v>21232063.789999999</v>
      </c>
      <c r="BR20" s="190">
        <v>15029150</v>
      </c>
      <c r="BS20" s="190">
        <v>8093209.5499999998</v>
      </c>
      <c r="BT20" s="190">
        <v>118884860</v>
      </c>
      <c r="BU20" s="190">
        <v>0</v>
      </c>
    </row>
    <row r="21" spans="1:73" x14ac:dyDescent="0.25">
      <c r="A21" s="190" t="s">
        <v>237</v>
      </c>
      <c r="B21" s="190">
        <v>431792.66</v>
      </c>
      <c r="C21" s="190">
        <v>356212.2</v>
      </c>
      <c r="D21" s="190">
        <v>188652.9</v>
      </c>
      <c r="E21" s="190">
        <v>14514703.33</v>
      </c>
      <c r="F21" s="190">
        <v>5640513.71</v>
      </c>
      <c r="G21" s="190">
        <v>2932364.64</v>
      </c>
      <c r="H21" s="190">
        <v>336675.5</v>
      </c>
      <c r="I21" s="190">
        <v>5920735.6200000001</v>
      </c>
      <c r="J21" s="190">
        <v>289445.83</v>
      </c>
      <c r="K21" s="190">
        <v>662114.93999999994</v>
      </c>
      <c r="L21" s="190">
        <v>45393.2</v>
      </c>
      <c r="M21" s="190">
        <v>10004586.75</v>
      </c>
      <c r="N21" s="190">
        <v>2583012.23</v>
      </c>
      <c r="O21" s="190">
        <v>1311919.3500000001</v>
      </c>
      <c r="P21" s="190">
        <v>1126461.1399999999</v>
      </c>
      <c r="Q21" s="190">
        <v>11596525.050000001</v>
      </c>
      <c r="R21" s="190">
        <v>8309476.5199999996</v>
      </c>
      <c r="S21" s="190">
        <v>7958825.3099999996</v>
      </c>
      <c r="T21" s="190">
        <v>1232036.43</v>
      </c>
      <c r="U21" s="190">
        <v>155535371.81999999</v>
      </c>
      <c r="V21" s="190">
        <v>1319886.1100000001</v>
      </c>
      <c r="W21" s="190">
        <v>911479.49</v>
      </c>
      <c r="X21" s="190">
        <v>190396.49</v>
      </c>
      <c r="Y21" s="190">
        <v>49973510.32</v>
      </c>
      <c r="Z21" s="190">
        <v>1161306.8500000001</v>
      </c>
      <c r="AA21" s="190">
        <v>724818.15</v>
      </c>
      <c r="AB21" s="190">
        <v>546914.65</v>
      </c>
      <c r="AC21" s="190">
        <v>41192604.799999997</v>
      </c>
      <c r="AD21" s="190">
        <v>2599</v>
      </c>
      <c r="AE21" s="190">
        <v>0</v>
      </c>
      <c r="AF21" s="190">
        <v>0</v>
      </c>
      <c r="AG21" s="190">
        <v>0</v>
      </c>
      <c r="AH21" s="190">
        <v>0</v>
      </c>
      <c r="AI21" s="190">
        <v>0</v>
      </c>
      <c r="AJ21" s="190">
        <v>0</v>
      </c>
      <c r="AK21" s="190">
        <v>0</v>
      </c>
      <c r="AL21" s="190">
        <v>0</v>
      </c>
      <c r="AM21" s="190">
        <v>0</v>
      </c>
      <c r="AN21" s="190">
        <v>0</v>
      </c>
      <c r="AO21" s="190">
        <v>12000</v>
      </c>
      <c r="AP21" s="190">
        <v>14360</v>
      </c>
      <c r="AQ21" s="190">
        <v>14360</v>
      </c>
      <c r="AR21" s="190">
        <v>12000</v>
      </c>
      <c r="AS21" s="190">
        <v>1275023.3700000001</v>
      </c>
      <c r="AT21" s="190">
        <v>1005547.48</v>
      </c>
      <c r="AU21" s="190">
        <v>398794.48</v>
      </c>
      <c r="AV21" s="190">
        <v>346350</v>
      </c>
      <c r="AW21" s="190">
        <v>352674.98</v>
      </c>
      <c r="AX21" s="190">
        <v>204203.33</v>
      </c>
      <c r="AY21" s="190">
        <v>174563.33</v>
      </c>
      <c r="AZ21" s="190">
        <v>59006</v>
      </c>
      <c r="BA21" s="190">
        <v>215697.33</v>
      </c>
      <c r="BB21" s="190">
        <v>104864</v>
      </c>
      <c r="BC21" s="190">
        <v>70100</v>
      </c>
      <c r="BD21" s="190">
        <v>34200</v>
      </c>
      <c r="BE21" s="190">
        <v>371291.79</v>
      </c>
      <c r="BF21" s="190">
        <v>324530.88</v>
      </c>
      <c r="BG21" s="190">
        <v>333187.88</v>
      </c>
      <c r="BH21" s="190">
        <v>0</v>
      </c>
      <c r="BI21" s="190">
        <v>1236280.6000000001</v>
      </c>
      <c r="BJ21" s="190">
        <v>545714</v>
      </c>
      <c r="BK21" s="190">
        <v>97964</v>
      </c>
      <c r="BL21" s="190">
        <v>82864</v>
      </c>
      <c r="BM21" s="190">
        <v>1062565.19</v>
      </c>
      <c r="BN21" s="190">
        <v>1885797.23</v>
      </c>
      <c r="BO21" s="190">
        <v>8937241.0199999996</v>
      </c>
      <c r="BP21" s="190">
        <v>869152.2</v>
      </c>
      <c r="BQ21" s="190">
        <v>2002883.21</v>
      </c>
      <c r="BR21" s="190">
        <v>862941.88</v>
      </c>
      <c r="BS21" s="190">
        <v>26868082</v>
      </c>
      <c r="BT21" s="190">
        <v>49650300.840000004</v>
      </c>
      <c r="BU21" s="190">
        <v>0</v>
      </c>
    </row>
    <row r="22" spans="1:73" x14ac:dyDescent="0.25">
      <c r="A22" s="190" t="s">
        <v>238</v>
      </c>
      <c r="B22" s="190">
        <v>1229504298</v>
      </c>
      <c r="C22" s="190">
        <v>344504298</v>
      </c>
      <c r="D22" s="190">
        <v>14504298</v>
      </c>
      <c r="E22" s="190">
        <v>0</v>
      </c>
      <c r="F22" s="190">
        <v>251797471.40000001</v>
      </c>
      <c r="G22" s="190">
        <v>551797471.39999998</v>
      </c>
      <c r="H22" s="190">
        <v>539797471.39999998</v>
      </c>
      <c r="I22" s="190">
        <v>72711694.959999993</v>
      </c>
      <c r="J22" s="190">
        <v>832934061.77999997</v>
      </c>
      <c r="K22" s="190">
        <v>362821887.27999997</v>
      </c>
      <c r="L22" s="190">
        <v>290000000</v>
      </c>
      <c r="M22" s="190">
        <v>0</v>
      </c>
      <c r="N22" s="190">
        <v>0</v>
      </c>
      <c r="O22" s="190">
        <v>0</v>
      </c>
      <c r="P22" s="190">
        <v>0</v>
      </c>
      <c r="Q22" s="190">
        <v>0</v>
      </c>
      <c r="R22" s="190">
        <v>0</v>
      </c>
      <c r="S22" s="190">
        <v>0</v>
      </c>
      <c r="T22" s="190">
        <v>0</v>
      </c>
      <c r="U22" s="190">
        <v>300000000</v>
      </c>
      <c r="V22" s="190">
        <v>300000000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675244.1</v>
      </c>
      <c r="AY22" s="190">
        <v>675244.1</v>
      </c>
      <c r="AZ22" s="190">
        <v>675243.1</v>
      </c>
      <c r="BA22" s="190">
        <v>0</v>
      </c>
      <c r="BB22" s="190">
        <v>0</v>
      </c>
      <c r="BC22" s="190">
        <v>0</v>
      </c>
      <c r="BD22" s="190">
        <v>0</v>
      </c>
      <c r="BE22" s="190">
        <v>0</v>
      </c>
      <c r="BF22" s="190">
        <v>0</v>
      </c>
      <c r="BG22" s="190">
        <v>0</v>
      </c>
      <c r="BH22" s="190">
        <v>0</v>
      </c>
      <c r="BI22" s="190">
        <v>73592299.019999996</v>
      </c>
      <c r="BJ22" s="190">
        <v>66486347.810000002</v>
      </c>
      <c r="BK22" s="190">
        <v>60949049.5</v>
      </c>
      <c r="BL22" s="190">
        <v>0</v>
      </c>
      <c r="BM22" s="190">
        <v>200000</v>
      </c>
      <c r="BN22" s="190">
        <v>0</v>
      </c>
      <c r="BO22" s="190">
        <v>12254900</v>
      </c>
      <c r="BP22" s="190">
        <v>12158400</v>
      </c>
      <c r="BQ22" s="190">
        <v>62035200</v>
      </c>
      <c r="BR22" s="190">
        <v>5000000</v>
      </c>
      <c r="BS22" s="190">
        <v>2000300</v>
      </c>
      <c r="BT22" s="190">
        <v>235509200</v>
      </c>
      <c r="BU22" s="190">
        <v>0</v>
      </c>
    </row>
    <row r="23" spans="1:73" x14ac:dyDescent="0.25">
      <c r="A23" s="190" t="s">
        <v>239</v>
      </c>
      <c r="B23" s="190">
        <v>0</v>
      </c>
      <c r="C23" s="190">
        <v>0</v>
      </c>
      <c r="D23" s="190">
        <v>0</v>
      </c>
      <c r="E23" s="190">
        <v>0</v>
      </c>
      <c r="F23" s="190">
        <v>0</v>
      </c>
      <c r="G23" s="190">
        <v>0</v>
      </c>
      <c r="H23" s="190">
        <v>0</v>
      </c>
      <c r="I23" s="190">
        <v>612200388.27999997</v>
      </c>
      <c r="J23" s="190">
        <v>0</v>
      </c>
      <c r="K23" s="190">
        <v>0</v>
      </c>
      <c r="L23" s="190">
        <v>0</v>
      </c>
      <c r="M23" s="190">
        <v>0</v>
      </c>
      <c r="N23" s="190">
        <v>0</v>
      </c>
      <c r="O23" s="190">
        <v>0</v>
      </c>
      <c r="P23" s="190">
        <v>0</v>
      </c>
      <c r="Q23" s="190">
        <v>0</v>
      </c>
      <c r="R23" s="190">
        <v>0</v>
      </c>
      <c r="S23" s="190">
        <v>0</v>
      </c>
      <c r="T23" s="190">
        <v>0</v>
      </c>
      <c r="U23" s="190">
        <v>250646983.65000001</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c r="BH23" s="190">
        <v>0</v>
      </c>
      <c r="BI23" s="190">
        <v>0</v>
      </c>
      <c r="BJ23" s="190">
        <v>0</v>
      </c>
      <c r="BK23" s="190">
        <v>0</v>
      </c>
      <c r="BL23" s="190">
        <v>0</v>
      </c>
      <c r="BM23" s="190">
        <v>0</v>
      </c>
      <c r="BN23" s="190">
        <v>0</v>
      </c>
      <c r="BO23" s="190">
        <v>0</v>
      </c>
      <c r="BP23" s="190">
        <v>0</v>
      </c>
      <c r="BQ23" s="190">
        <v>0</v>
      </c>
      <c r="BR23" s="190">
        <v>0</v>
      </c>
      <c r="BS23" s="190">
        <v>0</v>
      </c>
      <c r="BT23" s="190">
        <v>0</v>
      </c>
      <c r="BU23" s="190">
        <v>0</v>
      </c>
    </row>
    <row r="24" spans="1:73" x14ac:dyDescent="0.25">
      <c r="A24" s="190" t="s">
        <v>240</v>
      </c>
      <c r="B24" s="190">
        <v>0</v>
      </c>
      <c r="C24" s="190">
        <v>0</v>
      </c>
      <c r="D24" s="190">
        <v>0</v>
      </c>
      <c r="E24" s="190">
        <v>251797471.40000001</v>
      </c>
      <c r="F24" s="190">
        <v>0</v>
      </c>
      <c r="G24" s="190">
        <v>0</v>
      </c>
      <c r="H24" s="190">
        <v>0</v>
      </c>
      <c r="I24" s="190">
        <v>800000</v>
      </c>
      <c r="J24" s="190">
        <v>432307.69</v>
      </c>
      <c r="K24" s="190">
        <v>432307.69</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838920.61</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811905.53</v>
      </c>
      <c r="BG24" s="190">
        <v>811905.53</v>
      </c>
      <c r="BH24" s="190">
        <v>0</v>
      </c>
      <c r="BI24" s="190">
        <v>1507517.56</v>
      </c>
      <c r="BJ24" s="190">
        <v>0</v>
      </c>
      <c r="BK24" s="190">
        <v>196.15</v>
      </c>
      <c r="BL24" s="190">
        <v>0</v>
      </c>
      <c r="BM24" s="190">
        <v>0</v>
      </c>
      <c r="BN24" s="190">
        <v>0</v>
      </c>
      <c r="BO24" s="190">
        <v>10332315.6</v>
      </c>
      <c r="BP24" s="190">
        <v>6406363.6500000004</v>
      </c>
      <c r="BQ24" s="190">
        <v>0</v>
      </c>
      <c r="BR24" s="190">
        <v>0</v>
      </c>
      <c r="BS24" s="190">
        <v>7391.66</v>
      </c>
      <c r="BT24" s="190">
        <v>9800000</v>
      </c>
      <c r="BU24" s="190">
        <v>0</v>
      </c>
    </row>
    <row r="25" spans="1:73" x14ac:dyDescent="0.25">
      <c r="A25" s="190" t="s">
        <v>241</v>
      </c>
      <c r="B25" s="190">
        <v>1229936090.6600001</v>
      </c>
      <c r="C25" s="190">
        <v>344860510.19999999</v>
      </c>
      <c r="D25" s="190">
        <v>14692950.9</v>
      </c>
      <c r="E25" s="190">
        <v>266312174.72999999</v>
      </c>
      <c r="F25" s="190">
        <v>257437985.11000001</v>
      </c>
      <c r="G25" s="190">
        <v>554729836.03999996</v>
      </c>
      <c r="H25" s="190">
        <v>540134146.89999998</v>
      </c>
      <c r="I25" s="190">
        <v>691632818.86000001</v>
      </c>
      <c r="J25" s="190">
        <v>833655815.29999995</v>
      </c>
      <c r="K25" s="190">
        <v>363916309.91000003</v>
      </c>
      <c r="L25" s="190">
        <v>290045393.19999999</v>
      </c>
      <c r="M25" s="190">
        <v>10004586.75</v>
      </c>
      <c r="N25" s="190">
        <v>2583012.23</v>
      </c>
      <c r="O25" s="190">
        <v>1311919.3500000001</v>
      </c>
      <c r="P25" s="190">
        <v>1126461.1399999999</v>
      </c>
      <c r="Q25" s="190">
        <v>11596525.050000001</v>
      </c>
      <c r="R25" s="190">
        <v>8309476.5199999996</v>
      </c>
      <c r="S25" s="190">
        <v>7958825.3099999996</v>
      </c>
      <c r="T25" s="190">
        <v>1232036.43</v>
      </c>
      <c r="U25" s="190">
        <v>706182355.47000003</v>
      </c>
      <c r="V25" s="190">
        <v>301319886.11000001</v>
      </c>
      <c r="W25" s="190">
        <v>911479.49</v>
      </c>
      <c r="X25" s="190">
        <v>190396.49</v>
      </c>
      <c r="Y25" s="190">
        <v>49973510.32</v>
      </c>
      <c r="Z25" s="190">
        <v>1161306.8500000001</v>
      </c>
      <c r="AA25" s="190">
        <v>724818.15</v>
      </c>
      <c r="AB25" s="190">
        <v>546914.65</v>
      </c>
      <c r="AC25" s="190">
        <v>41192604.799999997</v>
      </c>
      <c r="AD25" s="190">
        <v>2599</v>
      </c>
      <c r="AE25" s="190">
        <v>0</v>
      </c>
      <c r="AF25" s="190">
        <v>0</v>
      </c>
      <c r="AG25" s="190">
        <v>0</v>
      </c>
      <c r="AH25" s="190">
        <v>0</v>
      </c>
      <c r="AI25" s="190">
        <v>0</v>
      </c>
      <c r="AJ25" s="190">
        <v>0</v>
      </c>
      <c r="AK25" s="190">
        <v>0</v>
      </c>
      <c r="AL25" s="190">
        <v>0</v>
      </c>
      <c r="AM25" s="190">
        <v>0</v>
      </c>
      <c r="AN25" s="190">
        <v>0</v>
      </c>
      <c r="AO25" s="190">
        <v>12000</v>
      </c>
      <c r="AP25" s="190">
        <v>853280.61</v>
      </c>
      <c r="AQ25" s="190">
        <v>14360</v>
      </c>
      <c r="AR25" s="190">
        <v>12000</v>
      </c>
      <c r="AS25" s="190">
        <v>1275023.3700000001</v>
      </c>
      <c r="AT25" s="190">
        <v>1005547.48</v>
      </c>
      <c r="AU25" s="190">
        <v>398794.48</v>
      </c>
      <c r="AV25" s="190">
        <v>346350</v>
      </c>
      <c r="AW25" s="190">
        <v>352674.98</v>
      </c>
      <c r="AX25" s="190">
        <v>879447.43</v>
      </c>
      <c r="AY25" s="190">
        <v>849807.43</v>
      </c>
      <c r="AZ25" s="190">
        <v>734249.1</v>
      </c>
      <c r="BA25" s="190">
        <v>215697.33</v>
      </c>
      <c r="BB25" s="190">
        <v>104864</v>
      </c>
      <c r="BC25" s="190">
        <v>70100</v>
      </c>
      <c r="BD25" s="190">
        <v>34200</v>
      </c>
      <c r="BE25" s="190">
        <v>371291.79</v>
      </c>
      <c r="BF25" s="190">
        <v>1136436.4099999999</v>
      </c>
      <c r="BG25" s="190">
        <v>1145093.4099999999</v>
      </c>
      <c r="BH25" s="190">
        <v>0</v>
      </c>
      <c r="BI25" s="190">
        <v>76336097.180000007</v>
      </c>
      <c r="BJ25" s="190">
        <v>67032061.810000002</v>
      </c>
      <c r="BK25" s="190">
        <v>61047209.649999999</v>
      </c>
      <c r="BL25" s="190">
        <v>82864</v>
      </c>
      <c r="BM25" s="190">
        <v>1262565.19</v>
      </c>
      <c r="BN25" s="190">
        <v>1885797.23</v>
      </c>
      <c r="BO25" s="190">
        <v>31524456.620000001</v>
      </c>
      <c r="BP25" s="190">
        <v>19433915.850000001</v>
      </c>
      <c r="BQ25" s="190">
        <v>64038083.210000001</v>
      </c>
      <c r="BR25" s="190">
        <v>5862941.8799999999</v>
      </c>
      <c r="BS25" s="190">
        <v>27875623.66</v>
      </c>
      <c r="BT25" s="190">
        <v>177204900.84</v>
      </c>
      <c r="BU25" s="190">
        <v>0</v>
      </c>
    </row>
    <row r="26" spans="1:73" x14ac:dyDescent="0.25">
      <c r="A26" s="190" t="s">
        <v>242</v>
      </c>
      <c r="B26" s="190">
        <v>-638992357.19000006</v>
      </c>
      <c r="C26" s="190">
        <v>-187712773.00999999</v>
      </c>
      <c r="D26" s="190">
        <v>-14687950.9</v>
      </c>
      <c r="E26" s="190">
        <v>190266888.78999999</v>
      </c>
      <c r="F26" s="190">
        <v>199129775.81</v>
      </c>
      <c r="G26" s="190">
        <v>-103869711.75</v>
      </c>
      <c r="H26" s="190">
        <v>-94191083.780000001</v>
      </c>
      <c r="I26" s="190">
        <v>-633097954.21000004</v>
      </c>
      <c r="J26" s="190">
        <v>-827472490.92999995</v>
      </c>
      <c r="K26" s="190">
        <v>-363320139.52999997</v>
      </c>
      <c r="L26" s="190">
        <v>-290045393.19999999</v>
      </c>
      <c r="M26" s="190">
        <v>536277790.99000001</v>
      </c>
      <c r="N26" s="190">
        <v>304273547.73000002</v>
      </c>
      <c r="O26" s="190">
        <v>305033189.5</v>
      </c>
      <c r="P26" s="190">
        <v>-1121352.29</v>
      </c>
      <c r="Q26" s="190">
        <v>155029223.5</v>
      </c>
      <c r="R26" s="190">
        <v>11800529.48</v>
      </c>
      <c r="S26" s="190">
        <v>12063079.689999999</v>
      </c>
      <c r="T26" s="190">
        <v>-1212771.43</v>
      </c>
      <c r="U26" s="190">
        <v>-596047140.82000005</v>
      </c>
      <c r="V26" s="190">
        <v>-192322651.55000001</v>
      </c>
      <c r="W26" s="190">
        <v>108084900.37</v>
      </c>
      <c r="X26" s="190">
        <v>-190396.49</v>
      </c>
      <c r="Y26" s="190">
        <v>51001863.850000001</v>
      </c>
      <c r="Z26" s="190">
        <v>99404593.150000006</v>
      </c>
      <c r="AA26" s="190">
        <v>99841081.849999994</v>
      </c>
      <c r="AB26" s="190">
        <v>-546914.65</v>
      </c>
      <c r="AC26" s="190">
        <v>39711389.689999998</v>
      </c>
      <c r="AD26" s="190">
        <v>-2599</v>
      </c>
      <c r="AE26" s="190">
        <v>0</v>
      </c>
      <c r="AF26" s="190">
        <v>0</v>
      </c>
      <c r="AG26" s="190">
        <v>0</v>
      </c>
      <c r="AH26" s="190">
        <v>0</v>
      </c>
      <c r="AI26" s="190">
        <v>0</v>
      </c>
      <c r="AJ26" s="190">
        <v>0</v>
      </c>
      <c r="AK26" s="190">
        <v>324440</v>
      </c>
      <c r="AL26" s="190">
        <v>324440</v>
      </c>
      <c r="AM26" s="190">
        <v>324440</v>
      </c>
      <c r="AN26" s="190">
        <v>0</v>
      </c>
      <c r="AO26" s="190">
        <v>-5241083.07</v>
      </c>
      <c r="AP26" s="190">
        <v>-815980.61</v>
      </c>
      <c r="AQ26" s="190">
        <v>22940</v>
      </c>
      <c r="AR26" s="190">
        <v>-10332.15</v>
      </c>
      <c r="AS26" s="190">
        <v>-1223608.57</v>
      </c>
      <c r="AT26" s="190">
        <v>-931464.85</v>
      </c>
      <c r="AU26" s="190">
        <v>-365152.25</v>
      </c>
      <c r="AV26" s="190">
        <v>-312502.34000000003</v>
      </c>
      <c r="AW26" s="190">
        <v>1102344.8700000001</v>
      </c>
      <c r="AX26" s="190">
        <v>307483.57</v>
      </c>
      <c r="AY26" s="190">
        <v>315614.5</v>
      </c>
      <c r="AZ26" s="190">
        <v>-734249.1</v>
      </c>
      <c r="BA26" s="190">
        <v>2343954.6</v>
      </c>
      <c r="BB26" s="190">
        <v>-104864</v>
      </c>
      <c r="BC26" s="190">
        <v>-70100</v>
      </c>
      <c r="BD26" s="190">
        <v>-34200</v>
      </c>
      <c r="BE26" s="190">
        <v>40244744.719999999</v>
      </c>
      <c r="BF26" s="190">
        <v>39479600.100000001</v>
      </c>
      <c r="BG26" s="190">
        <v>15970943.1</v>
      </c>
      <c r="BH26" s="190">
        <v>638366.79</v>
      </c>
      <c r="BI26" s="190">
        <v>25613803.780000001</v>
      </c>
      <c r="BJ26" s="190">
        <v>-21838418.41</v>
      </c>
      <c r="BK26" s="190">
        <v>-16097784.85</v>
      </c>
      <c r="BL26" s="190">
        <v>-67864</v>
      </c>
      <c r="BM26" s="190">
        <v>-1241785.19</v>
      </c>
      <c r="BN26" s="190">
        <v>-1865017.23</v>
      </c>
      <c r="BO26" s="190">
        <v>43072490.119999997</v>
      </c>
      <c r="BP26" s="190">
        <v>20387584.149999999</v>
      </c>
      <c r="BQ26" s="190">
        <v>-42806019.420000002</v>
      </c>
      <c r="BR26" s="190">
        <v>9166208.1199999992</v>
      </c>
      <c r="BS26" s="190">
        <v>-19782414.109999999</v>
      </c>
      <c r="BT26" s="190">
        <v>-58320040.840000004</v>
      </c>
      <c r="BU26" s="190">
        <v>0</v>
      </c>
    </row>
    <row r="27" spans="1:73" x14ac:dyDescent="0.25">
      <c r="A27" s="190" t="s">
        <v>243</v>
      </c>
    </row>
    <row r="28" spans="1:73" x14ac:dyDescent="0.25">
      <c r="A28" s="190" t="s">
        <v>244</v>
      </c>
      <c r="B28" s="190">
        <v>0</v>
      </c>
      <c r="C28" s="190">
        <v>0</v>
      </c>
      <c r="D28" s="190">
        <v>0</v>
      </c>
      <c r="E28" s="190">
        <v>0</v>
      </c>
      <c r="F28" s="190">
        <v>0</v>
      </c>
      <c r="G28" s="190">
        <v>0</v>
      </c>
      <c r="H28" s="190">
        <v>0</v>
      </c>
      <c r="I28" s="190">
        <v>1859999999</v>
      </c>
      <c r="J28" s="190">
        <v>1857999999</v>
      </c>
      <c r="K28" s="190">
        <v>1857999999</v>
      </c>
      <c r="L28" s="190">
        <v>0</v>
      </c>
      <c r="M28" s="190">
        <v>130280000</v>
      </c>
      <c r="N28" s="190">
        <v>130280000</v>
      </c>
      <c r="O28" s="190">
        <v>111080000</v>
      </c>
      <c r="P28" s="190">
        <v>10000000</v>
      </c>
      <c r="Q28" s="190">
        <v>1009310302.76</v>
      </c>
      <c r="R28" s="190">
        <v>10000000</v>
      </c>
      <c r="S28" s="190">
        <v>10000000</v>
      </c>
      <c r="T28" s="190">
        <v>10000000</v>
      </c>
      <c r="U28" s="190">
        <v>92010000</v>
      </c>
      <c r="V28" s="190">
        <v>92064432</v>
      </c>
      <c r="W28" s="190">
        <v>12054432</v>
      </c>
      <c r="X28" s="190">
        <v>12054432</v>
      </c>
      <c r="Y28" s="190">
        <v>5334000</v>
      </c>
      <c r="Z28" s="190">
        <v>0</v>
      </c>
      <c r="AA28" s="190">
        <v>0</v>
      </c>
      <c r="AB28" s="190">
        <v>0</v>
      </c>
      <c r="AC28" s="190">
        <v>51667000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3500000</v>
      </c>
      <c r="BF28" s="190">
        <v>3500000</v>
      </c>
      <c r="BG28" s="190">
        <v>0</v>
      </c>
      <c r="BH28" s="190">
        <v>0</v>
      </c>
      <c r="BI28" s="190">
        <v>0</v>
      </c>
      <c r="BJ28" s="190">
        <v>0</v>
      </c>
      <c r="BK28" s="190">
        <v>0</v>
      </c>
      <c r="BL28" s="190">
        <v>0</v>
      </c>
      <c r="BM28" s="190">
        <v>0</v>
      </c>
      <c r="BN28" s="190">
        <v>0</v>
      </c>
      <c r="BO28" s="190">
        <v>0</v>
      </c>
      <c r="BP28" s="190">
        <v>0</v>
      </c>
      <c r="BQ28" s="190">
        <v>500000</v>
      </c>
      <c r="BR28" s="190">
        <v>0</v>
      </c>
      <c r="BS28" s="190">
        <v>75923147.5</v>
      </c>
      <c r="BT28" s="190">
        <v>0</v>
      </c>
      <c r="BU28" s="190">
        <v>0</v>
      </c>
    </row>
    <row r="29" spans="1:73" x14ac:dyDescent="0.25">
      <c r="A29" s="190" t="s">
        <v>245</v>
      </c>
      <c r="B29" s="190">
        <v>0</v>
      </c>
      <c r="C29" s="190">
        <v>0</v>
      </c>
      <c r="D29" s="190">
        <v>0</v>
      </c>
      <c r="E29" s="190">
        <v>0</v>
      </c>
      <c r="F29" s="190">
        <v>0</v>
      </c>
      <c r="G29" s="190">
        <v>0</v>
      </c>
      <c r="H29" s="190">
        <v>0</v>
      </c>
      <c r="I29" s="190">
        <v>0</v>
      </c>
      <c r="J29" s="190">
        <v>0</v>
      </c>
      <c r="K29" s="190">
        <v>0</v>
      </c>
      <c r="L29" s="190">
        <v>0</v>
      </c>
      <c r="M29" s="190">
        <v>29200000</v>
      </c>
      <c r="N29" s="190">
        <v>29200000</v>
      </c>
      <c r="O29" s="190">
        <v>10000000</v>
      </c>
      <c r="P29" s="190">
        <v>10000000</v>
      </c>
      <c r="Q29" s="190">
        <v>10000000</v>
      </c>
      <c r="R29" s="190">
        <v>10000000</v>
      </c>
      <c r="S29" s="190">
        <v>10000000</v>
      </c>
      <c r="T29" s="190">
        <v>10000000</v>
      </c>
      <c r="U29" s="190">
        <v>92010000</v>
      </c>
      <c r="V29" s="190">
        <v>92064432</v>
      </c>
      <c r="W29" s="190">
        <v>12054432</v>
      </c>
      <c r="X29" s="190">
        <v>12054432</v>
      </c>
      <c r="Y29" s="190">
        <v>5334000</v>
      </c>
      <c r="Z29" s="190">
        <v>0</v>
      </c>
      <c r="AA29" s="190">
        <v>0</v>
      </c>
      <c r="AB29" s="190">
        <v>0</v>
      </c>
      <c r="AC29" s="190">
        <v>51667000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row>
    <row r="30" spans="1:73" x14ac:dyDescent="0.25">
      <c r="A30" s="190" t="s">
        <v>246</v>
      </c>
      <c r="B30" s="190">
        <v>1015000000</v>
      </c>
      <c r="C30" s="190">
        <v>1015000000</v>
      </c>
      <c r="D30" s="190">
        <v>685000000</v>
      </c>
      <c r="E30" s="190">
        <v>2750000000</v>
      </c>
      <c r="F30" s="190">
        <v>2750000000</v>
      </c>
      <c r="G30" s="190">
        <v>1130000000</v>
      </c>
      <c r="H30" s="190">
        <v>1130000000</v>
      </c>
      <c r="I30" s="190">
        <v>2690780000</v>
      </c>
      <c r="J30" s="190">
        <v>2436000000</v>
      </c>
      <c r="K30" s="190">
        <v>2346000000</v>
      </c>
      <c r="L30" s="190">
        <v>1796000000</v>
      </c>
      <c r="M30" s="190">
        <v>2157500000</v>
      </c>
      <c r="N30" s="190">
        <v>1897500000</v>
      </c>
      <c r="O30" s="190">
        <v>375000000</v>
      </c>
      <c r="P30" s="190">
        <v>150000000</v>
      </c>
      <c r="Q30" s="190">
        <v>3811525129.0799999</v>
      </c>
      <c r="R30" s="190">
        <v>1944525129.0799999</v>
      </c>
      <c r="S30" s="190">
        <v>1889525129.0799999</v>
      </c>
      <c r="T30" s="190">
        <v>1799525129.0799999</v>
      </c>
      <c r="U30" s="190">
        <v>1227280000</v>
      </c>
      <c r="V30" s="190">
        <v>834800000</v>
      </c>
      <c r="W30" s="190">
        <v>167800000</v>
      </c>
      <c r="X30" s="190">
        <v>167800000</v>
      </c>
      <c r="Y30" s="190">
        <v>332200000</v>
      </c>
      <c r="Z30" s="190">
        <v>453900000</v>
      </c>
      <c r="AA30" s="190">
        <v>0</v>
      </c>
      <c r="AB30" s="190">
        <v>0</v>
      </c>
      <c r="AC30" s="190">
        <v>455960000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34000000</v>
      </c>
      <c r="BB30" s="190">
        <v>34000000</v>
      </c>
      <c r="BC30" s="190">
        <v>34000000</v>
      </c>
      <c r="BD30" s="190">
        <v>34000000</v>
      </c>
      <c r="BE30" s="190">
        <v>323000000</v>
      </c>
      <c r="BF30" s="190">
        <v>320000000</v>
      </c>
      <c r="BG30" s="190">
        <v>300000000</v>
      </c>
      <c r="BH30" s="190">
        <v>0</v>
      </c>
      <c r="BI30" s="190">
        <v>898220000</v>
      </c>
      <c r="BJ30" s="190">
        <v>719220000</v>
      </c>
      <c r="BK30" s="190">
        <v>574540000</v>
      </c>
      <c r="BL30" s="190">
        <v>309540000</v>
      </c>
      <c r="BM30" s="190">
        <v>894095741.49000001</v>
      </c>
      <c r="BN30" s="190">
        <v>483500000</v>
      </c>
      <c r="BO30" s="190">
        <v>443000000</v>
      </c>
      <c r="BP30" s="190">
        <v>130000000</v>
      </c>
      <c r="BQ30" s="190">
        <v>85000000</v>
      </c>
      <c r="BR30" s="190">
        <v>500000</v>
      </c>
      <c r="BS30" s="190">
        <v>8000000</v>
      </c>
      <c r="BT30" s="190">
        <v>19600000</v>
      </c>
      <c r="BU30" s="190">
        <v>0</v>
      </c>
    </row>
    <row r="31" spans="1:73" x14ac:dyDescent="0.25">
      <c r="A31" s="190" t="s">
        <v>247</v>
      </c>
      <c r="B31" s="190">
        <v>0</v>
      </c>
      <c r="C31" s="190">
        <v>0</v>
      </c>
      <c r="D31" s="190">
        <v>0</v>
      </c>
      <c r="E31" s="190">
        <v>0</v>
      </c>
      <c r="F31" s="190">
        <v>0</v>
      </c>
      <c r="G31" s="190">
        <v>0</v>
      </c>
      <c r="H31" s="190">
        <v>0</v>
      </c>
      <c r="I31" s="190">
        <v>0</v>
      </c>
      <c r="J31" s="190">
        <v>984800000</v>
      </c>
      <c r="K31" s="190">
        <v>984800000</v>
      </c>
      <c r="L31" s="190">
        <v>984800000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c r="BK31" s="190">
        <v>0</v>
      </c>
      <c r="BL31" s="190">
        <v>0</v>
      </c>
      <c r="BM31" s="190">
        <v>0</v>
      </c>
      <c r="BN31" s="190">
        <v>0</v>
      </c>
      <c r="BO31" s="190">
        <v>0</v>
      </c>
      <c r="BP31" s="190">
        <v>0</v>
      </c>
      <c r="BQ31" s="190">
        <v>0</v>
      </c>
      <c r="BR31" s="190">
        <v>0</v>
      </c>
      <c r="BS31" s="190">
        <v>0</v>
      </c>
      <c r="BT31" s="190">
        <v>0</v>
      </c>
      <c r="BU31" s="190">
        <v>0</v>
      </c>
    </row>
    <row r="32" spans="1:73" x14ac:dyDescent="0.25">
      <c r="A32" s="190" t="s">
        <v>248</v>
      </c>
      <c r="B32" s="190">
        <v>0</v>
      </c>
      <c r="C32" s="190">
        <v>0</v>
      </c>
      <c r="D32" s="190">
        <v>0</v>
      </c>
      <c r="E32" s="190">
        <v>345800000</v>
      </c>
      <c r="F32" s="190">
        <v>0</v>
      </c>
      <c r="G32" s="190">
        <v>0</v>
      </c>
      <c r="H32" s="190">
        <v>0</v>
      </c>
      <c r="I32" s="190">
        <v>607812044.07000005</v>
      </c>
      <c r="J32" s="190">
        <v>600742126</v>
      </c>
      <c r="K32" s="190">
        <v>600742126</v>
      </c>
      <c r="L32" s="190">
        <v>600742126</v>
      </c>
      <c r="M32" s="190">
        <v>837211745</v>
      </c>
      <c r="N32" s="190">
        <v>749523090</v>
      </c>
      <c r="O32" s="190">
        <v>699523090</v>
      </c>
      <c r="P32" s="190">
        <v>217000000</v>
      </c>
      <c r="Q32" s="190">
        <v>2227831777.9299998</v>
      </c>
      <c r="R32" s="190">
        <v>918.29</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76497330</v>
      </c>
      <c r="BF32" s="190">
        <v>0</v>
      </c>
      <c r="BG32" s="190">
        <v>0</v>
      </c>
      <c r="BH32" s="190">
        <v>151500000</v>
      </c>
      <c r="BI32" s="190">
        <v>13376347.380000001</v>
      </c>
      <c r="BJ32" s="190">
        <v>0</v>
      </c>
      <c r="BK32" s="190">
        <v>0</v>
      </c>
      <c r="BL32" s="190">
        <v>0</v>
      </c>
      <c r="BM32" s="190">
        <v>53631152.619999997</v>
      </c>
      <c r="BN32" s="190">
        <v>1195871.6399999999</v>
      </c>
      <c r="BO32" s="190">
        <v>82000000</v>
      </c>
      <c r="BP32" s="190">
        <v>0</v>
      </c>
      <c r="BQ32" s="190">
        <v>0</v>
      </c>
      <c r="BR32" s="190">
        <v>45000000</v>
      </c>
      <c r="BS32" s="190">
        <v>860000</v>
      </c>
      <c r="BT32" s="190">
        <v>0</v>
      </c>
      <c r="BU32" s="190">
        <v>0</v>
      </c>
    </row>
    <row r="33" spans="1:73" x14ac:dyDescent="0.25">
      <c r="A33" s="190" t="s">
        <v>249</v>
      </c>
      <c r="B33" s="190">
        <v>1015000000</v>
      </c>
      <c r="C33" s="190">
        <v>1015000000</v>
      </c>
      <c r="D33" s="190">
        <v>685000000</v>
      </c>
      <c r="E33" s="190">
        <v>3095800000</v>
      </c>
      <c r="F33" s="190">
        <v>2750000000</v>
      </c>
      <c r="G33" s="190">
        <v>1130000000</v>
      </c>
      <c r="H33" s="190">
        <v>1130000000</v>
      </c>
      <c r="I33" s="190">
        <v>5158592043.0699997</v>
      </c>
      <c r="J33" s="190">
        <v>5879542125</v>
      </c>
      <c r="K33" s="190">
        <v>5789542125</v>
      </c>
      <c r="L33" s="190">
        <v>3381542126</v>
      </c>
      <c r="M33" s="190">
        <v>3124991745</v>
      </c>
      <c r="N33" s="190">
        <v>2777303090</v>
      </c>
      <c r="O33" s="190">
        <v>1185603090</v>
      </c>
      <c r="P33" s="190">
        <v>377000000</v>
      </c>
      <c r="Q33" s="190">
        <v>7048667209.7700005</v>
      </c>
      <c r="R33" s="190">
        <v>1954526047.3699999</v>
      </c>
      <c r="S33" s="190">
        <v>1899525129.0799999</v>
      </c>
      <c r="T33" s="190">
        <v>1809525129.0799999</v>
      </c>
      <c r="U33" s="190">
        <v>1319290000</v>
      </c>
      <c r="V33" s="190">
        <v>926864432</v>
      </c>
      <c r="W33" s="190">
        <v>179854432</v>
      </c>
      <c r="X33" s="190">
        <v>179854432</v>
      </c>
      <c r="Y33" s="190">
        <v>337534000</v>
      </c>
      <c r="Z33" s="190">
        <v>453900000</v>
      </c>
      <c r="AA33" s="190">
        <v>0</v>
      </c>
      <c r="AB33" s="190">
        <v>0</v>
      </c>
      <c r="AC33" s="190">
        <v>507627000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34000000</v>
      </c>
      <c r="BB33" s="190">
        <v>34000000</v>
      </c>
      <c r="BC33" s="190">
        <v>34000000</v>
      </c>
      <c r="BD33" s="190">
        <v>34000000</v>
      </c>
      <c r="BE33" s="190">
        <v>402997330</v>
      </c>
      <c r="BF33" s="190">
        <v>323500000</v>
      </c>
      <c r="BG33" s="190">
        <v>300000000</v>
      </c>
      <c r="BH33" s="190">
        <v>151500000</v>
      </c>
      <c r="BI33" s="190">
        <v>911596347.38</v>
      </c>
      <c r="BJ33" s="190">
        <v>719220000</v>
      </c>
      <c r="BK33" s="190">
        <v>574540000</v>
      </c>
      <c r="BL33" s="190">
        <v>309540000</v>
      </c>
      <c r="BM33" s="190">
        <v>947726894.11000001</v>
      </c>
      <c r="BN33" s="190">
        <v>484695871.63999999</v>
      </c>
      <c r="BO33" s="190">
        <v>525000000</v>
      </c>
      <c r="BP33" s="190">
        <v>130000000</v>
      </c>
      <c r="BQ33" s="190">
        <v>85500000</v>
      </c>
      <c r="BR33" s="190">
        <v>45500000</v>
      </c>
      <c r="BS33" s="190">
        <v>84783147.5</v>
      </c>
      <c r="BT33" s="190">
        <v>19600000</v>
      </c>
      <c r="BU33" s="190">
        <v>0</v>
      </c>
    </row>
    <row r="34" spans="1:73" x14ac:dyDescent="0.25">
      <c r="A34" s="190" t="s">
        <v>250</v>
      </c>
      <c r="B34" s="190">
        <v>1345652000</v>
      </c>
      <c r="C34" s="190">
        <v>1260652000</v>
      </c>
      <c r="D34" s="190">
        <v>517652000</v>
      </c>
      <c r="E34" s="190">
        <v>427050000</v>
      </c>
      <c r="F34" s="190">
        <v>78550000</v>
      </c>
      <c r="G34" s="190">
        <v>45050000</v>
      </c>
      <c r="H34" s="190">
        <v>27550000</v>
      </c>
      <c r="I34" s="190">
        <v>3262305129.0799999</v>
      </c>
      <c r="J34" s="190">
        <v>3844275129.0799999</v>
      </c>
      <c r="K34" s="190">
        <v>3098145129.0799999</v>
      </c>
      <c r="L34" s="190">
        <v>1612645129.0799999</v>
      </c>
      <c r="M34" s="190">
        <v>2855200000</v>
      </c>
      <c r="N34" s="190">
        <v>2153200000</v>
      </c>
      <c r="O34" s="190">
        <v>478800000</v>
      </c>
      <c r="P34" s="190">
        <v>146800000</v>
      </c>
      <c r="Q34" s="190">
        <v>1301105129.0799999</v>
      </c>
      <c r="R34" s="190">
        <v>1257105129.0799999</v>
      </c>
      <c r="S34" s="190">
        <v>1256105129.0799999</v>
      </c>
      <c r="T34" s="190">
        <v>1147105129.0799999</v>
      </c>
      <c r="U34" s="190">
        <v>725160000</v>
      </c>
      <c r="V34" s="190">
        <v>537860000</v>
      </c>
      <c r="W34" s="190">
        <v>292960000</v>
      </c>
      <c r="X34" s="190">
        <v>290960000</v>
      </c>
      <c r="Y34" s="190">
        <v>446000000</v>
      </c>
      <c r="Z34" s="190">
        <v>226000000</v>
      </c>
      <c r="AA34" s="190">
        <v>75530000</v>
      </c>
      <c r="AB34" s="190">
        <v>20000000</v>
      </c>
      <c r="AC34" s="190">
        <v>66000000</v>
      </c>
      <c r="AD34" s="190">
        <v>0</v>
      </c>
      <c r="AE34" s="190">
        <v>0</v>
      </c>
      <c r="AF34" s="190">
        <v>0</v>
      </c>
      <c r="AG34" s="190">
        <v>20000000</v>
      </c>
      <c r="AH34" s="190">
        <v>0</v>
      </c>
      <c r="AI34" s="190">
        <v>0</v>
      </c>
      <c r="AJ34" s="190">
        <v>0</v>
      </c>
      <c r="AK34" s="190">
        <v>0</v>
      </c>
      <c r="AL34" s="190">
        <v>0</v>
      </c>
      <c r="AM34" s="190">
        <v>0</v>
      </c>
      <c r="AN34" s="190">
        <v>0</v>
      </c>
      <c r="AO34" s="190">
        <v>6000000</v>
      </c>
      <c r="AP34" s="190">
        <v>6000000</v>
      </c>
      <c r="AQ34" s="190">
        <v>6000000</v>
      </c>
      <c r="AR34" s="190">
        <v>0</v>
      </c>
      <c r="AS34" s="190">
        <v>7000000</v>
      </c>
      <c r="AT34" s="190">
        <v>4000069.01</v>
      </c>
      <c r="AU34" s="190">
        <v>4000069.01</v>
      </c>
      <c r="AV34" s="190">
        <v>4000069.01</v>
      </c>
      <c r="AW34" s="190">
        <v>12559491.439999999</v>
      </c>
      <c r="AX34" s="190">
        <v>550000</v>
      </c>
      <c r="AY34" s="190">
        <v>550000</v>
      </c>
      <c r="AZ34" s="190">
        <v>400000</v>
      </c>
      <c r="BA34" s="190">
        <v>99684365.840000004</v>
      </c>
      <c r="BB34" s="190">
        <v>39910983.32</v>
      </c>
      <c r="BC34" s="190">
        <v>39910983.32</v>
      </c>
      <c r="BD34" s="190">
        <v>39910983.32</v>
      </c>
      <c r="BE34" s="190">
        <v>259764247</v>
      </c>
      <c r="BF34" s="190">
        <v>255764247</v>
      </c>
      <c r="BG34" s="190">
        <v>235764247</v>
      </c>
      <c r="BH34" s="190">
        <v>111180000</v>
      </c>
      <c r="BI34" s="190">
        <v>907540000</v>
      </c>
      <c r="BJ34" s="190">
        <v>480040000</v>
      </c>
      <c r="BK34" s="190">
        <v>390360000</v>
      </c>
      <c r="BL34" s="190">
        <v>133000000</v>
      </c>
      <c r="BM34" s="190">
        <v>834095741.49000001</v>
      </c>
      <c r="BN34" s="190">
        <v>232000000</v>
      </c>
      <c r="BO34" s="190">
        <v>290000000</v>
      </c>
      <c r="BP34" s="190">
        <v>80000000</v>
      </c>
      <c r="BQ34" s="190">
        <v>53000000</v>
      </c>
      <c r="BR34" s="190">
        <v>8000000</v>
      </c>
      <c r="BS34" s="190">
        <v>600000</v>
      </c>
      <c r="BT34" s="190">
        <v>20500000</v>
      </c>
      <c r="BU34" s="190">
        <v>0</v>
      </c>
    </row>
    <row r="35" spans="1:73" x14ac:dyDescent="0.25">
      <c r="A35" s="190" t="s">
        <v>552</v>
      </c>
      <c r="B35" s="190">
        <v>531888984.11000001</v>
      </c>
      <c r="C35" s="190">
        <v>175082447.06999999</v>
      </c>
      <c r="D35" s="190">
        <v>124893861.92</v>
      </c>
      <c r="E35" s="190">
        <v>524434553.94</v>
      </c>
      <c r="F35" s="190">
        <v>183386651.91999999</v>
      </c>
      <c r="G35" s="190">
        <v>137108635.90000001</v>
      </c>
      <c r="H35" s="190">
        <v>95625204.840000004</v>
      </c>
      <c r="I35" s="190">
        <v>438930772</v>
      </c>
      <c r="J35" s="190">
        <v>209553295.78</v>
      </c>
      <c r="K35" s="190">
        <v>152438616.16999999</v>
      </c>
      <c r="L35" s="190">
        <v>85668404.469999999</v>
      </c>
      <c r="M35" s="190">
        <v>527157742.43000001</v>
      </c>
      <c r="N35" s="190">
        <v>436562386.91000003</v>
      </c>
      <c r="O35" s="190">
        <v>236658626.71000001</v>
      </c>
      <c r="P35" s="190">
        <v>116972708.12</v>
      </c>
      <c r="Q35" s="190">
        <v>320103715.43000001</v>
      </c>
      <c r="R35" s="190">
        <v>249679485.09</v>
      </c>
      <c r="S35" s="190">
        <v>156478472.25</v>
      </c>
      <c r="T35" s="190">
        <v>79515171.849999994</v>
      </c>
      <c r="U35" s="190">
        <v>166158364.38999999</v>
      </c>
      <c r="V35" s="190">
        <v>91257385.099999994</v>
      </c>
      <c r="W35" s="190">
        <v>73120364.400000006</v>
      </c>
      <c r="X35" s="190">
        <v>31822877.699999999</v>
      </c>
      <c r="Y35" s="190">
        <v>101781257.3</v>
      </c>
      <c r="Z35" s="190">
        <v>68226092.599999994</v>
      </c>
      <c r="AA35" s="190">
        <v>46194974.759999998</v>
      </c>
      <c r="AB35" s="190">
        <v>24173651.469999999</v>
      </c>
      <c r="AC35" s="190">
        <v>83142595.180000007</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4.1900000000000004</v>
      </c>
      <c r="AU35" s="190">
        <v>2.7</v>
      </c>
      <c r="AV35" s="190">
        <v>0</v>
      </c>
      <c r="AW35" s="190">
        <v>0</v>
      </c>
      <c r="AX35" s="190">
        <v>16.82</v>
      </c>
      <c r="AY35" s="190">
        <v>15.45</v>
      </c>
      <c r="AZ35" s="190">
        <v>7.64</v>
      </c>
      <c r="BA35" s="190">
        <v>3815279.44</v>
      </c>
      <c r="BB35" s="190">
        <v>1353638</v>
      </c>
      <c r="BC35" s="190">
        <v>1120584.22</v>
      </c>
      <c r="BD35" s="190">
        <v>584090.84</v>
      </c>
      <c r="BE35" s="190">
        <v>11697017.529999999</v>
      </c>
      <c r="BF35" s="190">
        <v>11782395.189999999</v>
      </c>
      <c r="BG35" s="190">
        <v>9464852.8699999992</v>
      </c>
      <c r="BH35" s="190">
        <v>4421682.63</v>
      </c>
      <c r="BI35" s="190">
        <v>33804862.310000002</v>
      </c>
      <c r="BJ35" s="190">
        <v>19772485.239999998</v>
      </c>
      <c r="BK35" s="190">
        <v>11037278.359999999</v>
      </c>
      <c r="BL35" s="190">
        <v>5233226.13</v>
      </c>
      <c r="BM35" s="190">
        <v>25377763.530000001</v>
      </c>
      <c r="BN35" s="190">
        <v>9324353.1600000001</v>
      </c>
      <c r="BO35" s="190">
        <v>10409644.41</v>
      </c>
      <c r="BP35" s="190">
        <v>2768813.53</v>
      </c>
      <c r="BQ35" s="190">
        <v>4878193.26</v>
      </c>
      <c r="BR35" s="190">
        <v>1956288.19</v>
      </c>
      <c r="BS35" s="190">
        <v>3038177</v>
      </c>
      <c r="BT35" s="190">
        <v>3990483.17</v>
      </c>
      <c r="BU35" s="190">
        <v>0</v>
      </c>
    </row>
    <row r="36" spans="1:73" x14ac:dyDescent="0.25">
      <c r="A36" s="190" t="s">
        <v>251</v>
      </c>
      <c r="B36" s="190">
        <v>0</v>
      </c>
      <c r="C36" s="190">
        <v>0</v>
      </c>
      <c r="D36" s="190">
        <v>0</v>
      </c>
      <c r="E36" s="190">
        <v>450000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row>
    <row r="37" spans="1:73" x14ac:dyDescent="0.25">
      <c r="A37" s="190" t="s">
        <v>252</v>
      </c>
      <c r="B37" s="190">
        <v>36954025.719999999</v>
      </c>
      <c r="C37" s="190">
        <v>36780854.579999998</v>
      </c>
      <c r="D37" s="190">
        <v>11969432.609999999</v>
      </c>
      <c r="E37" s="190">
        <v>351025399.56999999</v>
      </c>
      <c r="F37" s="190">
        <v>5225399.57</v>
      </c>
      <c r="G37" s="190">
        <v>0</v>
      </c>
      <c r="H37" s="190">
        <v>0</v>
      </c>
      <c r="I37" s="190">
        <v>860917588.16999996</v>
      </c>
      <c r="J37" s="190">
        <v>849547350.08000004</v>
      </c>
      <c r="K37" s="190">
        <v>826742126</v>
      </c>
      <c r="L37" s="190">
        <v>600742126</v>
      </c>
      <c r="M37" s="190">
        <v>1136211745</v>
      </c>
      <c r="N37" s="190">
        <v>575523090</v>
      </c>
      <c r="O37" s="190">
        <v>328240000</v>
      </c>
      <c r="P37" s="190">
        <v>219544690.09999999</v>
      </c>
      <c r="Q37" s="190">
        <v>2638064985.4699998</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0</v>
      </c>
      <c r="BB37" s="190">
        <v>0</v>
      </c>
      <c r="BC37" s="190">
        <v>0</v>
      </c>
      <c r="BD37" s="190">
        <v>0</v>
      </c>
      <c r="BE37" s="190">
        <v>134167011.55</v>
      </c>
      <c r="BF37" s="190">
        <v>0</v>
      </c>
      <c r="BG37" s="190">
        <v>0</v>
      </c>
      <c r="BH37" s="190">
        <v>0</v>
      </c>
      <c r="BI37" s="190">
        <v>0</v>
      </c>
      <c r="BJ37" s="190">
        <v>53631152.619999997</v>
      </c>
      <c r="BK37" s="190">
        <v>53631152.619999997</v>
      </c>
      <c r="BL37" s="190">
        <v>0</v>
      </c>
      <c r="BM37" s="190">
        <v>82000000</v>
      </c>
      <c r="BN37" s="190">
        <v>82000000</v>
      </c>
      <c r="BO37" s="190">
        <v>0</v>
      </c>
      <c r="BP37" s="190">
        <v>0</v>
      </c>
      <c r="BQ37" s="190">
        <v>0</v>
      </c>
      <c r="BR37" s="190">
        <v>0</v>
      </c>
      <c r="BS37" s="190">
        <v>1277575</v>
      </c>
      <c r="BT37" s="190">
        <v>0</v>
      </c>
      <c r="BU37" s="190">
        <v>0</v>
      </c>
    </row>
    <row r="38" spans="1:73" x14ac:dyDescent="0.25">
      <c r="A38" s="190" t="s">
        <v>253</v>
      </c>
      <c r="B38" s="190">
        <v>1914495009.8299999</v>
      </c>
      <c r="C38" s="190">
        <v>1472515301.6500001</v>
      </c>
      <c r="D38" s="190">
        <v>654515294.52999997</v>
      </c>
      <c r="E38" s="190">
        <v>1302509953.51</v>
      </c>
      <c r="F38" s="190">
        <v>267162051.49000001</v>
      </c>
      <c r="G38" s="190">
        <v>182158635.90000001</v>
      </c>
      <c r="H38" s="190">
        <v>123175204.84</v>
      </c>
      <c r="I38" s="190">
        <v>4562153489.25</v>
      </c>
      <c r="J38" s="190">
        <v>4903375774.9399996</v>
      </c>
      <c r="K38" s="190">
        <v>4077325871.25</v>
      </c>
      <c r="L38" s="190">
        <v>2299055659.5500002</v>
      </c>
      <c r="M38" s="190">
        <v>4518569487.4300003</v>
      </c>
      <c r="N38" s="190">
        <v>3165285476.9099998</v>
      </c>
      <c r="O38" s="190">
        <v>1043698626.71</v>
      </c>
      <c r="P38" s="190">
        <v>483317398.22000003</v>
      </c>
      <c r="Q38" s="190">
        <v>4259273829.98</v>
      </c>
      <c r="R38" s="190">
        <v>1506784614.1700001</v>
      </c>
      <c r="S38" s="190">
        <v>1412583601.3299999</v>
      </c>
      <c r="T38" s="190">
        <v>1226620300.9300001</v>
      </c>
      <c r="U38" s="190">
        <v>891318364.38999999</v>
      </c>
      <c r="V38" s="190">
        <v>629117385.10000002</v>
      </c>
      <c r="W38" s="190">
        <v>366080364.39999998</v>
      </c>
      <c r="X38" s="190">
        <v>322782877.69999999</v>
      </c>
      <c r="Y38" s="190">
        <v>547781257.29999995</v>
      </c>
      <c r="Z38" s="190">
        <v>294226092.60000002</v>
      </c>
      <c r="AA38" s="190">
        <v>121724974.76000001</v>
      </c>
      <c r="AB38" s="190">
        <v>44173651.469999999</v>
      </c>
      <c r="AC38" s="190">
        <v>149142595.18000001</v>
      </c>
      <c r="AD38" s="190">
        <v>0</v>
      </c>
      <c r="AE38" s="190">
        <v>0</v>
      </c>
      <c r="AF38" s="190">
        <v>0</v>
      </c>
      <c r="AG38" s="190">
        <v>20000000</v>
      </c>
      <c r="AH38" s="190">
        <v>0</v>
      </c>
      <c r="AI38" s="190">
        <v>0</v>
      </c>
      <c r="AJ38" s="190">
        <v>0</v>
      </c>
      <c r="AK38" s="190">
        <v>0</v>
      </c>
      <c r="AL38" s="190">
        <v>0</v>
      </c>
      <c r="AM38" s="190">
        <v>0</v>
      </c>
      <c r="AN38" s="190">
        <v>0</v>
      </c>
      <c r="AO38" s="190">
        <v>6000000</v>
      </c>
      <c r="AP38" s="190">
        <v>6000000</v>
      </c>
      <c r="AQ38" s="190">
        <v>6000000</v>
      </c>
      <c r="AR38" s="190">
        <v>0</v>
      </c>
      <c r="AS38" s="190">
        <v>7000000</v>
      </c>
      <c r="AT38" s="190">
        <v>4000073.2</v>
      </c>
      <c r="AU38" s="190">
        <v>4000071.71</v>
      </c>
      <c r="AV38" s="190">
        <v>4000069.01</v>
      </c>
      <c r="AW38" s="190">
        <v>12559491.439999999</v>
      </c>
      <c r="AX38" s="190">
        <v>550016.81999999995</v>
      </c>
      <c r="AY38" s="190">
        <v>550015.44999999995</v>
      </c>
      <c r="AZ38" s="190">
        <v>400007.64</v>
      </c>
      <c r="BA38" s="190">
        <v>103499645.28</v>
      </c>
      <c r="BB38" s="190">
        <v>41264621.32</v>
      </c>
      <c r="BC38" s="190">
        <v>41031567.539999999</v>
      </c>
      <c r="BD38" s="190">
        <v>40495074.159999996</v>
      </c>
      <c r="BE38" s="190">
        <v>405628276.07999998</v>
      </c>
      <c r="BF38" s="190">
        <v>267546642.19</v>
      </c>
      <c r="BG38" s="190">
        <v>245229099.87</v>
      </c>
      <c r="BH38" s="190">
        <v>115601682.63</v>
      </c>
      <c r="BI38" s="190">
        <v>941344862.30999994</v>
      </c>
      <c r="BJ38" s="190">
        <v>553443637.86000001</v>
      </c>
      <c r="BK38" s="190">
        <v>455028430.98000002</v>
      </c>
      <c r="BL38" s="190">
        <v>138233226.13</v>
      </c>
      <c r="BM38" s="190">
        <v>941473505.01999998</v>
      </c>
      <c r="BN38" s="190">
        <v>323324353.16000003</v>
      </c>
      <c r="BO38" s="190">
        <v>300409644.41000003</v>
      </c>
      <c r="BP38" s="190">
        <v>82768813.530000001</v>
      </c>
      <c r="BQ38" s="190">
        <v>57878193.259999998</v>
      </c>
      <c r="BR38" s="190">
        <v>9956288.1899999995</v>
      </c>
      <c r="BS38" s="190">
        <v>4915752</v>
      </c>
      <c r="BT38" s="190">
        <v>24490483.170000002</v>
      </c>
      <c r="BU38" s="190">
        <v>0</v>
      </c>
    </row>
    <row r="39" spans="1:73" x14ac:dyDescent="0.25">
      <c r="A39" s="190" t="s">
        <v>254</v>
      </c>
      <c r="B39" s="190">
        <v>-899495009.83000004</v>
      </c>
      <c r="C39" s="190">
        <v>-457515301.64999998</v>
      </c>
      <c r="D39" s="190">
        <v>30484705.469999999</v>
      </c>
      <c r="E39" s="190">
        <v>1793290046.49</v>
      </c>
      <c r="F39" s="190">
        <v>2482837948.5100002</v>
      </c>
      <c r="G39" s="190">
        <v>947841364.10000002</v>
      </c>
      <c r="H39" s="190">
        <v>1006824795.16</v>
      </c>
      <c r="I39" s="190">
        <v>596438553.82000005</v>
      </c>
      <c r="J39" s="190">
        <v>976166350.05999994</v>
      </c>
      <c r="K39" s="190">
        <v>1712216253.75</v>
      </c>
      <c r="L39" s="190">
        <v>1082486466.45</v>
      </c>
      <c r="M39" s="190">
        <v>-1393577742.4300001</v>
      </c>
      <c r="N39" s="190">
        <v>-387982386.91000003</v>
      </c>
      <c r="O39" s="190">
        <v>141904463.28999999</v>
      </c>
      <c r="P39" s="190">
        <v>-106317398.22</v>
      </c>
      <c r="Q39" s="190">
        <v>2789393379.79</v>
      </c>
      <c r="R39" s="190">
        <v>447741433.19999999</v>
      </c>
      <c r="S39" s="190">
        <v>486941527.75</v>
      </c>
      <c r="T39" s="190">
        <v>582904828.14999998</v>
      </c>
      <c r="U39" s="190">
        <v>427971635.61000001</v>
      </c>
      <c r="V39" s="190">
        <v>297747046.89999998</v>
      </c>
      <c r="W39" s="190">
        <v>-186225932.40000001</v>
      </c>
      <c r="X39" s="190">
        <v>-142928445.69999999</v>
      </c>
      <c r="Y39" s="190">
        <v>-210247257.30000001</v>
      </c>
      <c r="Z39" s="190">
        <v>159673907.40000001</v>
      </c>
      <c r="AA39" s="190">
        <v>-121724974.76000001</v>
      </c>
      <c r="AB39" s="190">
        <v>-44173651.469999999</v>
      </c>
      <c r="AC39" s="190">
        <v>358484404.81999999</v>
      </c>
      <c r="AD39" s="190">
        <v>0</v>
      </c>
      <c r="AE39" s="190">
        <v>0</v>
      </c>
      <c r="AF39" s="190">
        <v>0</v>
      </c>
      <c r="AG39" s="190">
        <v>-20000000</v>
      </c>
      <c r="AH39" s="190">
        <v>0</v>
      </c>
      <c r="AI39" s="190">
        <v>0</v>
      </c>
      <c r="AJ39" s="190">
        <v>0</v>
      </c>
      <c r="AK39" s="190">
        <v>0</v>
      </c>
      <c r="AL39" s="190">
        <v>0</v>
      </c>
      <c r="AM39" s="190">
        <v>0</v>
      </c>
      <c r="AN39" s="190">
        <v>0</v>
      </c>
      <c r="AO39" s="190">
        <v>-6000000</v>
      </c>
      <c r="AP39" s="190">
        <v>-6000000</v>
      </c>
      <c r="AQ39" s="190">
        <v>-6000000</v>
      </c>
      <c r="AR39" s="190">
        <v>0</v>
      </c>
      <c r="AS39" s="190">
        <v>-7000000</v>
      </c>
      <c r="AT39" s="190">
        <v>-4000073.2</v>
      </c>
      <c r="AU39" s="190">
        <v>-4000071.71</v>
      </c>
      <c r="AV39" s="190">
        <v>-4000069.01</v>
      </c>
      <c r="AW39" s="190">
        <v>-12559491.439999999</v>
      </c>
      <c r="AX39" s="190">
        <v>-550016.81999999995</v>
      </c>
      <c r="AY39" s="190">
        <v>-550015.44999999995</v>
      </c>
      <c r="AZ39" s="190">
        <v>-400007.64</v>
      </c>
      <c r="BA39" s="190">
        <v>-69499645.280000001</v>
      </c>
      <c r="BB39" s="190">
        <v>-7264621.3200000003</v>
      </c>
      <c r="BC39" s="190">
        <v>-7031567.54</v>
      </c>
      <c r="BD39" s="190">
        <v>-6495074.1600000001</v>
      </c>
      <c r="BE39" s="190">
        <v>-2630946.08</v>
      </c>
      <c r="BF39" s="190">
        <v>55953357.810000002</v>
      </c>
      <c r="BG39" s="190">
        <v>54770900.130000003</v>
      </c>
      <c r="BH39" s="190">
        <v>35898317.369999997</v>
      </c>
      <c r="BI39" s="190">
        <v>-29748514.93</v>
      </c>
      <c r="BJ39" s="190">
        <v>165776362.13999999</v>
      </c>
      <c r="BK39" s="190">
        <v>119511569.02</v>
      </c>
      <c r="BL39" s="190">
        <v>171306773.87</v>
      </c>
      <c r="BM39" s="190">
        <v>6253389.0899999999</v>
      </c>
      <c r="BN39" s="190">
        <v>161371518.47999999</v>
      </c>
      <c r="BO39" s="190">
        <v>224590355.59</v>
      </c>
      <c r="BP39" s="190">
        <v>47231186.469999999</v>
      </c>
      <c r="BQ39" s="190">
        <v>27621806.739999998</v>
      </c>
      <c r="BR39" s="190">
        <v>35543711.810000002</v>
      </c>
      <c r="BS39" s="190">
        <v>79867395.5</v>
      </c>
      <c r="BT39" s="190">
        <v>-4890483.17</v>
      </c>
      <c r="BU39" s="190">
        <v>0</v>
      </c>
    </row>
    <row r="40" spans="1:73" x14ac:dyDescent="0.25">
      <c r="A40" s="190" t="s">
        <v>255</v>
      </c>
      <c r="B40" s="190">
        <v>37818.35</v>
      </c>
      <c r="C40" s="190">
        <v>12179.76</v>
      </c>
      <c r="D40" s="190">
        <v>-91980.95</v>
      </c>
      <c r="E40" s="190">
        <v>-238647.21</v>
      </c>
      <c r="F40" s="190">
        <v>-137419.91</v>
      </c>
      <c r="G40" s="190">
        <v>-84356</v>
      </c>
      <c r="H40" s="190">
        <v>-21484.97</v>
      </c>
      <c r="I40" s="190">
        <v>-1955446.43</v>
      </c>
      <c r="J40" s="190">
        <v>1012289.12</v>
      </c>
      <c r="K40" s="190">
        <v>768294.04</v>
      </c>
      <c r="L40" s="190">
        <v>-325963.14</v>
      </c>
      <c r="M40" s="190">
        <v>2878009.2</v>
      </c>
      <c r="N40" s="190">
        <v>70554.720000000001</v>
      </c>
      <c r="O40" s="190">
        <v>-631.54999999999995</v>
      </c>
      <c r="P40" s="190">
        <v>10171.86</v>
      </c>
      <c r="Q40" s="190">
        <v>-305.89999999999998</v>
      </c>
      <c r="R40" s="190">
        <v>625.83000000000004</v>
      </c>
      <c r="S40" s="190">
        <v>903.97</v>
      </c>
      <c r="T40" s="190">
        <v>685.43</v>
      </c>
      <c r="U40" s="190">
        <v>54000.15</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row>
    <row r="41" spans="1:73" x14ac:dyDescent="0.25">
      <c r="A41" s="190" t="s">
        <v>256</v>
      </c>
      <c r="B41" s="190">
        <v>-76507185.129999995</v>
      </c>
      <c r="C41" s="190">
        <v>317529510.01999998</v>
      </c>
      <c r="D41" s="190">
        <v>-158930248.88</v>
      </c>
      <c r="E41" s="190">
        <v>-562355134.03999996</v>
      </c>
      <c r="F41" s="190">
        <v>-68735826.819999993</v>
      </c>
      <c r="G41" s="190">
        <v>-601488819.84000003</v>
      </c>
      <c r="H41" s="190">
        <v>-652696193.04999995</v>
      </c>
      <c r="I41" s="190">
        <v>652489644.96000004</v>
      </c>
      <c r="J41" s="190">
        <v>287585036.44999999</v>
      </c>
      <c r="K41" s="190">
        <v>964144072.24000001</v>
      </c>
      <c r="L41" s="190">
        <v>881465107.24000001</v>
      </c>
      <c r="M41" s="190">
        <v>-1623329488.77</v>
      </c>
      <c r="N41" s="190">
        <v>-1645730800.51</v>
      </c>
      <c r="O41" s="190">
        <v>-1639637606.3499999</v>
      </c>
      <c r="P41" s="190">
        <v>-1503764233.76</v>
      </c>
      <c r="Q41" s="190">
        <v>1518956474.5899999</v>
      </c>
      <c r="R41" s="190">
        <v>-6936372.3399999999</v>
      </c>
      <c r="S41" s="190">
        <v>-118765523.22</v>
      </c>
      <c r="T41" s="190">
        <v>32480259.699999999</v>
      </c>
      <c r="U41" s="190">
        <v>-372545845.57999998</v>
      </c>
      <c r="V41" s="190">
        <v>-333073449.89999998</v>
      </c>
      <c r="W41" s="190">
        <v>-567097316.04999995</v>
      </c>
      <c r="X41" s="190">
        <v>-396289391.31999999</v>
      </c>
      <c r="Y41" s="190">
        <v>433646451.35000002</v>
      </c>
      <c r="Z41" s="190">
        <v>72182912.540000007</v>
      </c>
      <c r="AA41" s="190">
        <v>-150703795.22</v>
      </c>
      <c r="AB41" s="190">
        <v>-253961034.59999999</v>
      </c>
      <c r="AC41" s="190">
        <v>157632803.31</v>
      </c>
      <c r="AD41" s="190">
        <v>-1174843.23</v>
      </c>
      <c r="AE41" s="190">
        <v>-1283167.74</v>
      </c>
      <c r="AF41" s="190">
        <v>-1208218.99</v>
      </c>
      <c r="AG41" s="190">
        <v>1073685.1399999999</v>
      </c>
      <c r="AH41" s="190">
        <v>-313210.71000000002</v>
      </c>
      <c r="AI41" s="190">
        <v>-158636.32999999999</v>
      </c>
      <c r="AJ41" s="190">
        <v>-272384.93</v>
      </c>
      <c r="AK41" s="190">
        <v>32265.8</v>
      </c>
      <c r="AL41" s="190">
        <v>-385935.51</v>
      </c>
      <c r="AM41" s="190">
        <v>-287145.44</v>
      </c>
      <c r="AN41" s="190">
        <v>-6636.6</v>
      </c>
      <c r="AO41" s="190">
        <v>-15450861.119999999</v>
      </c>
      <c r="AP41" s="190">
        <v>-13988680.85</v>
      </c>
      <c r="AQ41" s="190">
        <v>-14389064.800000001</v>
      </c>
      <c r="AR41" s="190">
        <v>-12314693.73</v>
      </c>
      <c r="AS41" s="190">
        <v>5100636.29</v>
      </c>
      <c r="AT41" s="190">
        <v>-3424407.53</v>
      </c>
      <c r="AU41" s="190">
        <v>-2373361.84</v>
      </c>
      <c r="AV41" s="190">
        <v>2926673.23</v>
      </c>
      <c r="AW41" s="190">
        <v>-4494560.16</v>
      </c>
      <c r="AX41" s="190">
        <v>-6852077.04</v>
      </c>
      <c r="AY41" s="190">
        <v>-4124207.85</v>
      </c>
      <c r="AZ41" s="190">
        <v>-12206851.630000001</v>
      </c>
      <c r="BA41" s="190">
        <v>-98379018.650000006</v>
      </c>
      <c r="BB41" s="190">
        <v>-47147340.289999999</v>
      </c>
      <c r="BC41" s="190">
        <v>-52472216.420000002</v>
      </c>
      <c r="BD41" s="190">
        <v>-51513996.07</v>
      </c>
      <c r="BE41" s="190">
        <v>-280825872.35000002</v>
      </c>
      <c r="BF41" s="190">
        <v>-182242379.56999999</v>
      </c>
      <c r="BG41" s="190">
        <v>-172620054.25</v>
      </c>
      <c r="BH41" s="190">
        <v>-119572383.22</v>
      </c>
      <c r="BI41" s="190">
        <v>65268228.630000003</v>
      </c>
      <c r="BJ41" s="190">
        <v>16870803.199999999</v>
      </c>
      <c r="BK41" s="190">
        <v>74745900.840000004</v>
      </c>
      <c r="BL41" s="190">
        <v>82657305.519999996</v>
      </c>
      <c r="BM41" s="190">
        <v>51543888.909999996</v>
      </c>
      <c r="BN41" s="190">
        <v>82313522.159999996</v>
      </c>
      <c r="BO41" s="190">
        <v>167921485.30000001</v>
      </c>
      <c r="BP41" s="190">
        <v>74390220.930000007</v>
      </c>
      <c r="BQ41" s="190">
        <v>-22273293.98</v>
      </c>
      <c r="BR41" s="190">
        <v>49165290.450000003</v>
      </c>
      <c r="BS41" s="190">
        <v>51709386.619999997</v>
      </c>
      <c r="BT41" s="190">
        <v>-60628196.119999997</v>
      </c>
      <c r="BU41" s="190">
        <v>0</v>
      </c>
    </row>
    <row r="42" spans="1:73" x14ac:dyDescent="0.25">
      <c r="A42" s="190" t="s">
        <v>257</v>
      </c>
      <c r="B42" s="190">
        <v>436367868.08999997</v>
      </c>
      <c r="C42" s="190">
        <v>436367868.08999997</v>
      </c>
      <c r="D42" s="190">
        <v>436926101.08999997</v>
      </c>
      <c r="E42" s="190">
        <v>998723002.13</v>
      </c>
      <c r="F42" s="190">
        <v>998723002.13</v>
      </c>
      <c r="G42" s="190">
        <v>998723002.13</v>
      </c>
      <c r="H42" s="190">
        <v>998723002.13</v>
      </c>
      <c r="I42" s="190">
        <v>346233357.17000002</v>
      </c>
      <c r="J42" s="190">
        <v>346233357.17000002</v>
      </c>
      <c r="K42" s="190">
        <v>346233357.17000002</v>
      </c>
      <c r="L42" s="190">
        <v>356153357.17000002</v>
      </c>
      <c r="M42" s="190">
        <v>1969562845.9400001</v>
      </c>
      <c r="N42" s="190">
        <v>1969562845.9400001</v>
      </c>
      <c r="O42" s="190">
        <v>1969562845.9400001</v>
      </c>
      <c r="P42" s="190">
        <v>1969562845.9400001</v>
      </c>
      <c r="Q42" s="190">
        <v>450606371.35000002</v>
      </c>
      <c r="R42" s="190">
        <v>450606371.35000002</v>
      </c>
      <c r="S42" s="190">
        <v>450606371.35000002</v>
      </c>
      <c r="T42" s="190">
        <v>450606371.35000002</v>
      </c>
      <c r="U42" s="190">
        <v>823152216.92999995</v>
      </c>
      <c r="V42" s="190">
        <v>823152216.92999995</v>
      </c>
      <c r="W42" s="190">
        <v>823152216.92999995</v>
      </c>
      <c r="X42" s="190">
        <v>823152216.92999995</v>
      </c>
      <c r="Y42" s="190">
        <v>389505765.57999998</v>
      </c>
      <c r="Z42" s="190">
        <v>389505765.57999998</v>
      </c>
      <c r="AA42" s="190">
        <v>389505765.57999998</v>
      </c>
      <c r="AB42" s="190">
        <v>389505765.57999998</v>
      </c>
      <c r="AC42" s="190">
        <v>231872962.27000001</v>
      </c>
      <c r="AD42" s="190">
        <v>1641059.35</v>
      </c>
      <c r="AE42" s="190">
        <v>1641059.35</v>
      </c>
      <c r="AF42" s="190">
        <v>1641059.35</v>
      </c>
      <c r="AG42" s="190">
        <v>567374.21</v>
      </c>
      <c r="AH42" s="190">
        <v>567374.21</v>
      </c>
      <c r="AI42" s="190">
        <v>567374.21</v>
      </c>
      <c r="AJ42" s="190">
        <v>567374.21</v>
      </c>
      <c r="AK42" s="190">
        <v>535108.41</v>
      </c>
      <c r="AL42" s="190">
        <v>535108.41</v>
      </c>
      <c r="AM42" s="190">
        <v>535108.41</v>
      </c>
      <c r="AN42" s="190">
        <v>535108.41</v>
      </c>
      <c r="AO42" s="190">
        <v>15985969.529999999</v>
      </c>
      <c r="AP42" s="190">
        <v>15985969.529999999</v>
      </c>
      <c r="AQ42" s="190">
        <v>15985969.529999999</v>
      </c>
      <c r="AR42" s="190">
        <v>15985969.529999999</v>
      </c>
      <c r="AS42" s="190">
        <v>10885333.24</v>
      </c>
      <c r="AT42" s="190">
        <v>10885333.24</v>
      </c>
      <c r="AU42" s="190">
        <v>10885333.24</v>
      </c>
      <c r="AV42" s="190">
        <v>10885333.24</v>
      </c>
      <c r="AW42" s="190">
        <v>15379893.4</v>
      </c>
      <c r="AX42" s="190">
        <v>15379893.4</v>
      </c>
      <c r="AY42" s="190">
        <v>15379893.4</v>
      </c>
      <c r="AZ42" s="190">
        <v>15379893.4</v>
      </c>
      <c r="BA42" s="190">
        <v>113758912.05</v>
      </c>
      <c r="BB42" s="190">
        <v>57542303.329999998</v>
      </c>
      <c r="BC42" s="190">
        <v>57542303.329999998</v>
      </c>
      <c r="BD42" s="190">
        <v>57542303.329999998</v>
      </c>
      <c r="BE42" s="190">
        <v>338368175.68000001</v>
      </c>
      <c r="BF42" s="190">
        <v>273099947.05000001</v>
      </c>
      <c r="BG42" s="190">
        <v>338368175.68000001</v>
      </c>
      <c r="BH42" s="190">
        <v>338368175.68000001</v>
      </c>
      <c r="BI42" s="190">
        <v>273099947.05000001</v>
      </c>
      <c r="BJ42" s="190">
        <v>273099947.05000001</v>
      </c>
      <c r="BK42" s="190">
        <v>273099947.05000001</v>
      </c>
      <c r="BL42" s="190">
        <v>273099947.05000001</v>
      </c>
      <c r="BM42" s="190">
        <v>221556058.13999999</v>
      </c>
      <c r="BN42" s="190">
        <v>221556058.13999999</v>
      </c>
      <c r="BO42" s="190">
        <v>53634572.840000004</v>
      </c>
      <c r="BP42" s="190">
        <v>53634572.840000004</v>
      </c>
      <c r="BQ42" s="190">
        <v>69939067.840000004</v>
      </c>
      <c r="BR42" s="190">
        <v>69939067.840000004</v>
      </c>
      <c r="BS42" s="190">
        <v>18229681.219999999</v>
      </c>
      <c r="BT42" s="190">
        <v>84797442.760000005</v>
      </c>
      <c r="BU42" s="190">
        <v>0</v>
      </c>
    </row>
    <row r="43" spans="1:73" x14ac:dyDescent="0.25">
      <c r="A43" s="190" t="s">
        <v>258</v>
      </c>
      <c r="B43" s="190">
        <v>359860682.95999998</v>
      </c>
      <c r="C43" s="190">
        <v>753897378.11000001</v>
      </c>
      <c r="D43" s="190">
        <v>277995852.20999998</v>
      </c>
      <c r="E43" s="190">
        <v>436367868.08999997</v>
      </c>
      <c r="F43" s="190">
        <v>929987175.30999994</v>
      </c>
      <c r="G43" s="190">
        <v>397234182.29000002</v>
      </c>
      <c r="H43" s="190">
        <v>346026809.07999998</v>
      </c>
      <c r="I43" s="190">
        <v>998723002.13</v>
      </c>
      <c r="J43" s="190">
        <v>633818393.62</v>
      </c>
      <c r="K43" s="190">
        <v>1310377429.4100001</v>
      </c>
      <c r="L43" s="190">
        <v>1237618464.4100001</v>
      </c>
      <c r="M43" s="190">
        <v>346233357.17000002</v>
      </c>
      <c r="N43" s="190">
        <v>323832045.43000001</v>
      </c>
      <c r="O43" s="190">
        <v>329925239.58999997</v>
      </c>
      <c r="P43" s="190">
        <v>465798612.18000001</v>
      </c>
      <c r="Q43" s="190">
        <v>1969562845.9400001</v>
      </c>
      <c r="R43" s="190">
        <v>443669999.00999999</v>
      </c>
      <c r="S43" s="190">
        <v>331840848.13</v>
      </c>
      <c r="T43" s="190">
        <v>483086631.05000001</v>
      </c>
      <c r="U43" s="190">
        <v>450606371.35000002</v>
      </c>
      <c r="V43" s="190">
        <v>490078767.02999997</v>
      </c>
      <c r="W43" s="190">
        <v>256054900.88</v>
      </c>
      <c r="X43" s="190">
        <v>426862825.61000001</v>
      </c>
      <c r="Y43" s="190">
        <v>823152216.92999995</v>
      </c>
      <c r="Z43" s="190">
        <v>461688678.12</v>
      </c>
      <c r="AA43" s="190">
        <v>238801970.36000001</v>
      </c>
      <c r="AB43" s="190">
        <v>135544730.97999999</v>
      </c>
      <c r="AC43" s="190">
        <v>389505765.57999998</v>
      </c>
      <c r="AD43" s="190">
        <v>466216.12</v>
      </c>
      <c r="AE43" s="190">
        <v>357891.61</v>
      </c>
      <c r="AF43" s="190">
        <v>432840.36</v>
      </c>
      <c r="AG43" s="190">
        <v>1641059.35</v>
      </c>
      <c r="AH43" s="190">
        <v>254163.5</v>
      </c>
      <c r="AI43" s="190">
        <v>408737.88</v>
      </c>
      <c r="AJ43" s="190">
        <v>294989.28000000003</v>
      </c>
      <c r="AK43" s="190">
        <v>567374.21</v>
      </c>
      <c r="AL43" s="190">
        <v>149172.9</v>
      </c>
      <c r="AM43" s="190">
        <v>247962.97</v>
      </c>
      <c r="AN43" s="190">
        <v>528471.81000000006</v>
      </c>
      <c r="AO43" s="190">
        <v>535108.41</v>
      </c>
      <c r="AP43" s="190">
        <v>1997288.68</v>
      </c>
      <c r="AQ43" s="190">
        <v>1596904.73</v>
      </c>
      <c r="AR43" s="190">
        <v>3671275.8</v>
      </c>
      <c r="AS43" s="190">
        <v>15985969.529999999</v>
      </c>
      <c r="AT43" s="190">
        <v>7460925.71</v>
      </c>
      <c r="AU43" s="190">
        <v>8511971.4000000004</v>
      </c>
      <c r="AV43" s="190">
        <v>13812006.470000001</v>
      </c>
      <c r="AW43" s="190">
        <v>10885333.24</v>
      </c>
      <c r="AX43" s="190">
        <v>8527816.3599999994</v>
      </c>
      <c r="AY43" s="190">
        <v>11255685.550000001</v>
      </c>
      <c r="AZ43" s="190">
        <v>3173041.77</v>
      </c>
      <c r="BA43" s="190">
        <v>15379893.4</v>
      </c>
      <c r="BB43" s="190">
        <v>10394963.039999999</v>
      </c>
      <c r="BC43" s="190">
        <v>5070086.91</v>
      </c>
      <c r="BD43" s="190">
        <v>6028307.2599999998</v>
      </c>
      <c r="BE43" s="190">
        <v>57542303.329999998</v>
      </c>
      <c r="BF43" s="190">
        <v>289970750.25</v>
      </c>
      <c r="BG43" s="190">
        <v>165748121.43000001</v>
      </c>
      <c r="BH43" s="190">
        <v>218795792.46000001</v>
      </c>
      <c r="BI43" s="190">
        <v>338368175.68000001</v>
      </c>
      <c r="BJ43" s="190">
        <v>289970750.25</v>
      </c>
      <c r="BK43" s="190">
        <v>347845847.88999999</v>
      </c>
      <c r="BL43" s="190">
        <v>355757252.56999999</v>
      </c>
      <c r="BM43" s="190">
        <v>273099947.05000001</v>
      </c>
      <c r="BN43" s="190">
        <v>303869580.30000001</v>
      </c>
      <c r="BO43" s="190">
        <v>221556058.13999999</v>
      </c>
      <c r="BP43" s="190">
        <v>128024793.77</v>
      </c>
      <c r="BQ43" s="190">
        <v>47665773.859999999</v>
      </c>
      <c r="BR43" s="190">
        <v>119104358.29000001</v>
      </c>
      <c r="BS43" s="190">
        <v>69939067.840000004</v>
      </c>
      <c r="BT43" s="190">
        <v>24169246.640000001</v>
      </c>
      <c r="BU43" s="190">
        <v>0</v>
      </c>
    </row>
    <row r="44" spans="1:73" x14ac:dyDescent="0.25">
      <c r="A44" s="190" t="s">
        <v>259</v>
      </c>
    </row>
    <row r="45" spans="1:73" x14ac:dyDescent="0.25">
      <c r="A45" s="190" t="s">
        <v>260</v>
      </c>
      <c r="B45" s="190">
        <v>0</v>
      </c>
      <c r="C45" s="190">
        <v>16112497.609999999</v>
      </c>
      <c r="D45" s="190">
        <v>0</v>
      </c>
      <c r="E45" s="190">
        <v>224766794.59999999</v>
      </c>
      <c r="F45" s="190">
        <v>0</v>
      </c>
      <c r="G45" s="190">
        <v>72582651.5</v>
      </c>
      <c r="H45" s="190">
        <v>0</v>
      </c>
      <c r="I45" s="190">
        <v>939205690.91999996</v>
      </c>
      <c r="J45" s="190">
        <v>0</v>
      </c>
      <c r="K45" s="190">
        <v>448332019.56999999</v>
      </c>
      <c r="L45" s="190">
        <v>0</v>
      </c>
      <c r="M45" s="190">
        <v>79587768.430000007</v>
      </c>
      <c r="N45" s="190">
        <v>0</v>
      </c>
      <c r="O45" s="190">
        <v>75498243.109999999</v>
      </c>
      <c r="P45" s="190">
        <v>0</v>
      </c>
      <c r="Q45" s="190">
        <v>118793773.97</v>
      </c>
      <c r="R45" s="190">
        <v>0</v>
      </c>
      <c r="S45" s="190">
        <v>25684387.489999998</v>
      </c>
      <c r="T45" s="190">
        <v>0</v>
      </c>
      <c r="U45" s="190">
        <v>454169035.74000001</v>
      </c>
      <c r="V45" s="190">
        <v>0</v>
      </c>
      <c r="W45" s="190">
        <v>57235174.219999999</v>
      </c>
      <c r="X45" s="190">
        <v>0</v>
      </c>
      <c r="Y45" s="190">
        <v>411140468.67000002</v>
      </c>
      <c r="Z45" s="190">
        <v>0</v>
      </c>
      <c r="AA45" s="190">
        <v>99469951.349999994</v>
      </c>
      <c r="AB45" s="190">
        <v>0</v>
      </c>
      <c r="AC45" s="190">
        <v>231642962.49000001</v>
      </c>
      <c r="AD45" s="190">
        <v>0</v>
      </c>
      <c r="AE45" s="190">
        <v>-19002304.210000001</v>
      </c>
      <c r="AF45" s="190">
        <v>0</v>
      </c>
      <c r="AG45" s="190">
        <v>4964195.4000000004</v>
      </c>
      <c r="AH45" s="190">
        <v>0</v>
      </c>
      <c r="AI45" s="190">
        <v>3956450.61</v>
      </c>
      <c r="AJ45" s="190">
        <v>0</v>
      </c>
      <c r="AK45" s="190">
        <v>7426948.7699999996</v>
      </c>
      <c r="AL45" s="190">
        <v>0</v>
      </c>
      <c r="AM45" s="190">
        <v>-23045205.370000001</v>
      </c>
      <c r="AN45" s="190">
        <v>0</v>
      </c>
      <c r="AO45" s="190">
        <v>3220275.72</v>
      </c>
      <c r="AP45" s="190">
        <v>0</v>
      </c>
      <c r="AQ45" s="190">
        <v>55893134.75</v>
      </c>
      <c r="AR45" s="190">
        <v>0</v>
      </c>
      <c r="AS45" s="190">
        <v>31557092.699999999</v>
      </c>
      <c r="AT45" s="190">
        <v>0</v>
      </c>
      <c r="AU45" s="190">
        <v>0</v>
      </c>
      <c r="AV45" s="190">
        <v>0</v>
      </c>
      <c r="AW45" s="190">
        <v>-770441732.02999997</v>
      </c>
      <c r="AX45" s="190">
        <v>0</v>
      </c>
      <c r="AY45" s="190">
        <v>0</v>
      </c>
      <c r="AZ45" s="190">
        <v>0</v>
      </c>
      <c r="BA45" s="190">
        <v>-442590279.36000001</v>
      </c>
      <c r="BB45" s="190">
        <v>-72414960.780000001</v>
      </c>
      <c r="BC45" s="190">
        <v>-55898225.810000002</v>
      </c>
      <c r="BD45" s="190">
        <v>-18989326.27</v>
      </c>
      <c r="BE45" s="190">
        <v>-182097679.80000001</v>
      </c>
      <c r="BF45" s="190">
        <v>-3916297.62</v>
      </c>
      <c r="BG45" s="190">
        <v>4827163.4800000004</v>
      </c>
      <c r="BH45" s="190">
        <v>1825596.65</v>
      </c>
      <c r="BI45" s="190">
        <v>18980966.129999999</v>
      </c>
      <c r="BJ45" s="190">
        <v>10615718.35</v>
      </c>
      <c r="BK45" s="190">
        <v>7534475.0599999996</v>
      </c>
      <c r="BL45" s="190">
        <v>1174207.56</v>
      </c>
      <c r="BM45" s="190">
        <v>17265311.329999998</v>
      </c>
      <c r="BN45" s="190">
        <v>11211457.02</v>
      </c>
      <c r="BO45" s="190">
        <v>31892284.41</v>
      </c>
      <c r="BP45" s="190">
        <v>17696182.280000001</v>
      </c>
      <c r="BQ45" s="190">
        <v>33557540.060000002</v>
      </c>
      <c r="BR45" s="190">
        <v>15127940.779999999</v>
      </c>
      <c r="BS45" s="190">
        <v>17020110.579999998</v>
      </c>
      <c r="BT45" s="190">
        <v>16706089.18</v>
      </c>
      <c r="BU45" s="190">
        <v>0</v>
      </c>
    </row>
    <row r="46" spans="1:7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-453345.55</v>
      </c>
      <c r="BB46" s="190">
        <v>-671733.2</v>
      </c>
      <c r="BC46" s="190">
        <v>-413132.31</v>
      </c>
      <c r="BD46" s="190">
        <v>-257898.43</v>
      </c>
      <c r="BE46" s="190">
        <v>-600021.41</v>
      </c>
      <c r="BF46" s="190">
        <v>-248379.69</v>
      </c>
      <c r="BG46" s="190">
        <v>-228873.54</v>
      </c>
      <c r="BH46" s="190">
        <v>-152781.70000000001</v>
      </c>
      <c r="BI46" s="190">
        <v>-612740.93000000005</v>
      </c>
      <c r="BJ46" s="190">
        <v>0</v>
      </c>
      <c r="BK46" s="190">
        <v>133562.64000000001</v>
      </c>
      <c r="BL46" s="190">
        <v>0</v>
      </c>
      <c r="BM46" s="190">
        <v>-519054.27</v>
      </c>
      <c r="BN46" s="190">
        <v>170829.38</v>
      </c>
      <c r="BO46" s="190">
        <v>2275642.17</v>
      </c>
      <c r="BP46" s="190">
        <v>1005671.8</v>
      </c>
      <c r="BQ46" s="190">
        <v>6493077.3600000003</v>
      </c>
      <c r="BR46" s="190">
        <v>4326178.17</v>
      </c>
      <c r="BS46" s="190">
        <v>3628704.25</v>
      </c>
      <c r="BT46" s="190">
        <v>0</v>
      </c>
      <c r="BU46" s="190">
        <v>0</v>
      </c>
    </row>
    <row r="47" spans="1:7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-112701.3</v>
      </c>
      <c r="BK47" s="190">
        <v>0</v>
      </c>
      <c r="BL47" s="190">
        <v>102642.47</v>
      </c>
      <c r="BM47" s="190">
        <v>0</v>
      </c>
      <c r="BN47" s="190">
        <v>0</v>
      </c>
      <c r="BO47" s="190">
        <v>0</v>
      </c>
      <c r="BP47" s="190">
        <v>0</v>
      </c>
      <c r="BQ47" s="190">
        <v>0</v>
      </c>
      <c r="BR47" s="190">
        <v>0</v>
      </c>
      <c r="BS47" s="190">
        <v>0</v>
      </c>
      <c r="BT47" s="190">
        <v>0</v>
      </c>
      <c r="BU47" s="190">
        <v>0</v>
      </c>
    </row>
    <row r="48" spans="1:73" x14ac:dyDescent="0.25">
      <c r="A48" s="190" t="s">
        <v>262</v>
      </c>
      <c r="B48" s="190">
        <v>0</v>
      </c>
      <c r="C48" s="190">
        <v>775688.04</v>
      </c>
      <c r="D48" s="190">
        <v>0</v>
      </c>
      <c r="E48" s="190">
        <v>51763865.259999998</v>
      </c>
      <c r="F48" s="190">
        <v>0</v>
      </c>
      <c r="G48" s="190">
        <v>1079941.32</v>
      </c>
      <c r="H48" s="190">
        <v>0</v>
      </c>
      <c r="I48" s="190">
        <v>5937134.9100000001</v>
      </c>
      <c r="J48" s="190">
        <v>0</v>
      </c>
      <c r="K48" s="190">
        <v>-27780.12</v>
      </c>
      <c r="L48" s="190">
        <v>0</v>
      </c>
      <c r="M48" s="190">
        <v>914621.49</v>
      </c>
      <c r="N48" s="190">
        <v>0</v>
      </c>
      <c r="O48" s="190">
        <v>649640.14</v>
      </c>
      <c r="P48" s="190">
        <v>0</v>
      </c>
      <c r="Q48" s="190">
        <v>454124.58</v>
      </c>
      <c r="R48" s="190">
        <v>0</v>
      </c>
      <c r="S48" s="190">
        <v>179424.51</v>
      </c>
      <c r="T48" s="190">
        <v>0</v>
      </c>
      <c r="U48" s="190">
        <v>1462498.08</v>
      </c>
      <c r="V48" s="190">
        <v>0</v>
      </c>
      <c r="W48" s="190">
        <v>166643.57999999999</v>
      </c>
      <c r="X48" s="190">
        <v>0</v>
      </c>
      <c r="Y48" s="190">
        <v>842692.24</v>
      </c>
      <c r="Z48" s="190">
        <v>0</v>
      </c>
      <c r="AA48" s="190">
        <v>89276.67</v>
      </c>
      <c r="AB48" s="190">
        <v>0</v>
      </c>
      <c r="AC48" s="190">
        <v>-2039457.77</v>
      </c>
      <c r="AD48" s="190">
        <v>0</v>
      </c>
      <c r="AE48" s="190">
        <v>1718446.35</v>
      </c>
      <c r="AF48" s="190">
        <v>0</v>
      </c>
      <c r="AG48" s="190">
        <v>-6414659.4800000004</v>
      </c>
      <c r="AH48" s="190">
        <v>0</v>
      </c>
      <c r="AI48" s="190">
        <v>70978.31</v>
      </c>
      <c r="AJ48" s="190">
        <v>0</v>
      </c>
      <c r="AK48" s="190">
        <v>3087203.75</v>
      </c>
      <c r="AL48" s="190">
        <v>0</v>
      </c>
      <c r="AM48" s="190">
        <v>-660921.06000000006</v>
      </c>
      <c r="AN48" s="190">
        <v>0</v>
      </c>
      <c r="AO48" s="190">
        <v>12682501.439999999</v>
      </c>
      <c r="AP48" s="190">
        <v>0</v>
      </c>
      <c r="AQ48" s="190">
        <v>9068740.1799999997</v>
      </c>
      <c r="AR48" s="190">
        <v>0</v>
      </c>
      <c r="AS48" s="190">
        <v>-14047138.48</v>
      </c>
      <c r="AT48" s="190">
        <v>0</v>
      </c>
      <c r="AU48" s="190">
        <v>0</v>
      </c>
      <c r="AV48" s="190">
        <v>0</v>
      </c>
      <c r="AW48" s="190">
        <v>357279484.61000001</v>
      </c>
      <c r="AX48" s="190">
        <v>0</v>
      </c>
      <c r="AY48" s="190">
        <v>0</v>
      </c>
      <c r="AZ48" s="190">
        <v>0</v>
      </c>
      <c r="BA48" s="190">
        <v>347751469.01999998</v>
      </c>
      <c r="BB48" s="190">
        <v>19773328.289999999</v>
      </c>
      <c r="BC48" s="190">
        <v>19774328.289999999</v>
      </c>
      <c r="BD48" s="190">
        <v>0</v>
      </c>
      <c r="BE48" s="190">
        <v>155093883.78</v>
      </c>
      <c r="BF48" s="190">
        <v>704109.4</v>
      </c>
      <c r="BG48" s="190">
        <v>704109.4</v>
      </c>
      <c r="BH48" s="190">
        <v>0</v>
      </c>
      <c r="BI48" s="190">
        <v>2956392.6</v>
      </c>
      <c r="BJ48" s="190">
        <v>-3276742.16</v>
      </c>
      <c r="BK48" s="190">
        <v>-3276742.16</v>
      </c>
      <c r="BL48" s="190">
        <v>0</v>
      </c>
      <c r="BM48" s="190">
        <v>3412136.55</v>
      </c>
      <c r="BN48" s="190">
        <v>-207863.85</v>
      </c>
      <c r="BO48" s="190">
        <v>-2445043.9500000002</v>
      </c>
      <c r="BP48" s="190">
        <v>-6223031.1600000001</v>
      </c>
      <c r="BQ48" s="190">
        <v>3698819.36</v>
      </c>
      <c r="BR48" s="190">
        <v>1321001.73</v>
      </c>
      <c r="BS48" s="190">
        <v>1724625.54</v>
      </c>
      <c r="BT48" s="190">
        <v>55820.45</v>
      </c>
      <c r="BU48" s="190">
        <v>0</v>
      </c>
    </row>
    <row r="49" spans="1:73" x14ac:dyDescent="0.25">
      <c r="A49" s="190" t="s">
        <v>263</v>
      </c>
      <c r="B49" s="190">
        <v>0</v>
      </c>
      <c r="C49" s="190">
        <v>13251827.08</v>
      </c>
      <c r="D49" s="190">
        <v>0</v>
      </c>
      <c r="E49" s="190">
        <v>26263079.190000001</v>
      </c>
      <c r="F49" s="190">
        <v>0</v>
      </c>
      <c r="G49" s="190">
        <v>10613420.390000001</v>
      </c>
      <c r="H49" s="190">
        <v>0</v>
      </c>
      <c r="I49" s="190">
        <v>16134485.289999999</v>
      </c>
      <c r="J49" s="190">
        <v>0</v>
      </c>
      <c r="K49" s="190">
        <v>10650405.039999999</v>
      </c>
      <c r="L49" s="190">
        <v>0</v>
      </c>
      <c r="M49" s="190">
        <v>20494303.890000001</v>
      </c>
      <c r="N49" s="190">
        <v>0</v>
      </c>
      <c r="O49" s="190">
        <v>10348588.039999999</v>
      </c>
      <c r="P49" s="190">
        <v>0</v>
      </c>
      <c r="Q49" s="190">
        <v>26524614.739999998</v>
      </c>
      <c r="R49" s="190">
        <v>0</v>
      </c>
      <c r="S49" s="190">
        <v>12531668.810000001</v>
      </c>
      <c r="T49" s="190">
        <v>0</v>
      </c>
      <c r="U49" s="190">
        <v>16795863.77</v>
      </c>
      <c r="V49" s="190">
        <v>0</v>
      </c>
      <c r="W49" s="190">
        <v>8712578.6400000006</v>
      </c>
      <c r="X49" s="190">
        <v>0</v>
      </c>
      <c r="Y49" s="190">
        <v>14366943.42</v>
      </c>
      <c r="Z49" s="190">
        <v>0</v>
      </c>
      <c r="AA49" s="190">
        <v>7094238.5</v>
      </c>
      <c r="AB49" s="190">
        <v>0</v>
      </c>
      <c r="AC49" s="190">
        <v>13110699.82</v>
      </c>
      <c r="AD49" s="190">
        <v>0</v>
      </c>
      <c r="AE49" s="190">
        <v>467039.94</v>
      </c>
      <c r="AF49" s="190">
        <v>0</v>
      </c>
      <c r="AG49" s="190">
        <v>1015248.8</v>
      </c>
      <c r="AH49" s="190">
        <v>0</v>
      </c>
      <c r="AI49" s="190">
        <v>455175.54</v>
      </c>
      <c r="AJ49" s="190">
        <v>0</v>
      </c>
      <c r="AK49" s="190">
        <v>968585.92</v>
      </c>
      <c r="AL49" s="190">
        <v>0</v>
      </c>
      <c r="AM49" s="190">
        <v>487145.52</v>
      </c>
      <c r="AN49" s="190">
        <v>0</v>
      </c>
      <c r="AO49" s="190">
        <v>1114517.49</v>
      </c>
      <c r="AP49" s="190">
        <v>0</v>
      </c>
      <c r="AQ49" s="190">
        <v>661292.87</v>
      </c>
      <c r="AR49" s="190">
        <v>0</v>
      </c>
      <c r="AS49" s="190">
        <v>1507581.35</v>
      </c>
      <c r="AT49" s="190">
        <v>0</v>
      </c>
      <c r="AU49" s="190">
        <v>0</v>
      </c>
      <c r="AV49" s="190">
        <v>0</v>
      </c>
      <c r="AW49" s="190">
        <v>2712291.73</v>
      </c>
      <c r="AX49" s="190">
        <v>0</v>
      </c>
      <c r="AY49" s="190">
        <v>0</v>
      </c>
      <c r="AZ49" s="190">
        <v>0</v>
      </c>
      <c r="BA49" s="190">
        <v>3318185.49</v>
      </c>
      <c r="BB49" s="190">
        <v>2731089.03</v>
      </c>
      <c r="BC49" s="190">
        <v>1801821.35</v>
      </c>
      <c r="BD49" s="190">
        <v>929408.37</v>
      </c>
      <c r="BE49" s="190">
        <v>4394775.59</v>
      </c>
      <c r="BF49" s="190">
        <v>2788029.52</v>
      </c>
      <c r="BG49" s="190">
        <v>2340714.59</v>
      </c>
      <c r="BH49" s="190">
        <v>1190011.57</v>
      </c>
      <c r="BI49" s="190">
        <v>5422225.8099999996</v>
      </c>
      <c r="BJ49" s="190">
        <v>3560395.13</v>
      </c>
      <c r="BK49" s="190">
        <v>1725796.44</v>
      </c>
      <c r="BL49" s="190">
        <v>675208.26</v>
      </c>
      <c r="BM49" s="190">
        <v>4899369.3</v>
      </c>
      <c r="BN49" s="190">
        <v>2491289.4300000002</v>
      </c>
      <c r="BO49" s="190">
        <v>3102998.47</v>
      </c>
      <c r="BP49" s="190">
        <v>2005106.66</v>
      </c>
      <c r="BQ49" s="190">
        <v>3592593.68</v>
      </c>
      <c r="BR49" s="190">
        <v>1759521.42</v>
      </c>
      <c r="BS49" s="190">
        <v>2593156.67</v>
      </c>
      <c r="BT49" s="190">
        <v>2378319.8199999998</v>
      </c>
      <c r="BU49" s="190">
        <v>0</v>
      </c>
    </row>
    <row r="50" spans="1:73" x14ac:dyDescent="0.25">
      <c r="A50" s="190" t="s">
        <v>264</v>
      </c>
      <c r="B50" s="190">
        <v>0</v>
      </c>
      <c r="C50" s="190">
        <v>30286387.960000001</v>
      </c>
      <c r="D50" s="190">
        <v>0</v>
      </c>
      <c r="E50" s="190">
        <v>60717985.799999997</v>
      </c>
      <c r="F50" s="190">
        <v>0</v>
      </c>
      <c r="G50" s="190">
        <v>30628267.739999998</v>
      </c>
      <c r="H50" s="190">
        <v>0</v>
      </c>
      <c r="I50" s="190">
        <v>35928240.380000003</v>
      </c>
      <c r="J50" s="190">
        <v>0</v>
      </c>
      <c r="K50" s="190">
        <v>5147619.9400000004</v>
      </c>
      <c r="L50" s="190">
        <v>0</v>
      </c>
      <c r="M50" s="190">
        <v>100305.71</v>
      </c>
      <c r="N50" s="190">
        <v>0</v>
      </c>
      <c r="O50" s="190">
        <v>11035.02</v>
      </c>
      <c r="P50" s="190">
        <v>0</v>
      </c>
      <c r="Q50" s="190">
        <v>22070.04</v>
      </c>
      <c r="R50" s="190">
        <v>0</v>
      </c>
      <c r="S50" s="190">
        <v>11035.02</v>
      </c>
      <c r="T50" s="190">
        <v>0</v>
      </c>
      <c r="U50" s="190">
        <v>22070.04</v>
      </c>
      <c r="V50" s="190">
        <v>0</v>
      </c>
      <c r="W50" s="190">
        <v>11035.02</v>
      </c>
      <c r="X50" s="190">
        <v>0</v>
      </c>
      <c r="Y50" s="190">
        <v>1839.17</v>
      </c>
      <c r="Z50" s="190">
        <v>0</v>
      </c>
      <c r="AA50" s="190">
        <v>0</v>
      </c>
      <c r="AB50" s="190">
        <v>0</v>
      </c>
      <c r="AC50" s="190">
        <v>0</v>
      </c>
      <c r="AD50" s="190">
        <v>0</v>
      </c>
      <c r="AE50" s="190">
        <v>0</v>
      </c>
      <c r="AF50" s="190">
        <v>0</v>
      </c>
      <c r="AG50" s="190">
        <v>3900</v>
      </c>
      <c r="AH50" s="190">
        <v>0</v>
      </c>
      <c r="AI50" s="190">
        <v>3900</v>
      </c>
      <c r="AJ50" s="190">
        <v>0</v>
      </c>
      <c r="AK50" s="190">
        <v>7800</v>
      </c>
      <c r="AL50" s="190">
        <v>0</v>
      </c>
      <c r="AM50" s="190">
        <v>3900</v>
      </c>
      <c r="AN50" s="190">
        <v>0</v>
      </c>
      <c r="AO50" s="190">
        <v>7800</v>
      </c>
      <c r="AP50" s="190">
        <v>0</v>
      </c>
      <c r="AQ50" s="190">
        <v>3900</v>
      </c>
      <c r="AR50" s="190">
        <v>0</v>
      </c>
      <c r="AS50" s="190">
        <v>7800</v>
      </c>
      <c r="AT50" s="190">
        <v>0</v>
      </c>
      <c r="AU50" s="190">
        <v>0</v>
      </c>
      <c r="AV50" s="190">
        <v>0</v>
      </c>
      <c r="AW50" s="190">
        <v>7800</v>
      </c>
      <c r="AX50" s="190">
        <v>0</v>
      </c>
      <c r="AY50" s="190">
        <v>0</v>
      </c>
      <c r="AZ50" s="190">
        <v>0</v>
      </c>
      <c r="BA50" s="190">
        <v>1369286.88</v>
      </c>
      <c r="BB50" s="190">
        <v>1026965.16</v>
      </c>
      <c r="BC50" s="190">
        <v>684643.44</v>
      </c>
      <c r="BD50" s="190">
        <v>342321.72</v>
      </c>
      <c r="BE50" s="190">
        <v>2273538.1800000002</v>
      </c>
      <c r="BF50" s="190">
        <v>1931216.46</v>
      </c>
      <c r="BG50" s="190">
        <v>1585046.14</v>
      </c>
      <c r="BH50" s="190">
        <v>794447.37</v>
      </c>
      <c r="BI50" s="190">
        <v>3177789.4399999999</v>
      </c>
      <c r="BJ50" s="190">
        <v>2124519.75</v>
      </c>
      <c r="BK50" s="190">
        <v>1416346.5</v>
      </c>
      <c r="BL50" s="190">
        <v>11545.8</v>
      </c>
      <c r="BM50" s="190">
        <v>3046750.73</v>
      </c>
      <c r="BN50" s="190">
        <v>903471.02</v>
      </c>
      <c r="BO50" s="190">
        <v>2915366.2</v>
      </c>
      <c r="BP50" s="190">
        <v>1158214.45</v>
      </c>
      <c r="BQ50" s="190">
        <v>2918937.52</v>
      </c>
      <c r="BR50" s="190">
        <v>416924.26</v>
      </c>
      <c r="BS50" s="190">
        <v>3563875.88</v>
      </c>
      <c r="BT50" s="190">
        <v>1228508.78</v>
      </c>
      <c r="BU50" s="190">
        <v>0</v>
      </c>
    </row>
    <row r="51" spans="1:73" x14ac:dyDescent="0.25">
      <c r="A51" s="190" t="s">
        <v>265</v>
      </c>
      <c r="B51" s="190">
        <v>0</v>
      </c>
      <c r="C51" s="190">
        <v>685660.94</v>
      </c>
      <c r="D51" s="190">
        <v>0</v>
      </c>
      <c r="E51" s="190">
        <v>5475214.0700000003</v>
      </c>
      <c r="F51" s="190">
        <v>0</v>
      </c>
      <c r="G51" s="190">
        <v>4165428.66</v>
      </c>
      <c r="H51" s="190">
        <v>0</v>
      </c>
      <c r="I51" s="190">
        <v>8078841.1600000001</v>
      </c>
      <c r="J51" s="190">
        <v>0</v>
      </c>
      <c r="K51" s="190">
        <v>3589088.2</v>
      </c>
      <c r="L51" s="190">
        <v>0</v>
      </c>
      <c r="M51" s="190">
        <v>6159277.1900000004</v>
      </c>
      <c r="N51" s="190">
        <v>0</v>
      </c>
      <c r="O51" s="190">
        <v>3744507.06</v>
      </c>
      <c r="P51" s="190">
        <v>0</v>
      </c>
      <c r="Q51" s="190">
        <v>624084.51</v>
      </c>
      <c r="R51" s="190">
        <v>0</v>
      </c>
      <c r="S51" s="190">
        <v>0</v>
      </c>
      <c r="T51" s="190">
        <v>0</v>
      </c>
      <c r="U51" s="190">
        <v>0</v>
      </c>
      <c r="V51" s="190">
        <v>0</v>
      </c>
      <c r="W51" s="190">
        <v>16335.3</v>
      </c>
      <c r="X51" s="190">
        <v>0</v>
      </c>
      <c r="Y51" s="190">
        <v>32670.6</v>
      </c>
      <c r="Z51" s="190">
        <v>0</v>
      </c>
      <c r="AA51" s="190">
        <v>16335.3</v>
      </c>
      <c r="AB51" s="190">
        <v>0</v>
      </c>
      <c r="AC51" s="190">
        <v>372374.89</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c r="AZ51" s="190">
        <v>0</v>
      </c>
      <c r="BA51" s="190">
        <v>0</v>
      </c>
      <c r="BB51" s="190">
        <v>0</v>
      </c>
      <c r="BC51" s="190">
        <v>0</v>
      </c>
      <c r="BD51" s="190">
        <v>0</v>
      </c>
      <c r="BE51" s="190">
        <v>0</v>
      </c>
      <c r="BF51" s="190">
        <v>0</v>
      </c>
      <c r="BG51" s="190">
        <v>0</v>
      </c>
      <c r="BH51" s="190">
        <v>0</v>
      </c>
      <c r="BI51" s="190">
        <v>35216.03</v>
      </c>
      <c r="BJ51" s="190">
        <v>649925.61</v>
      </c>
      <c r="BK51" s="190">
        <v>435520.02</v>
      </c>
      <c r="BL51" s="190">
        <v>261786.21</v>
      </c>
      <c r="BM51" s="190">
        <v>1583181.82</v>
      </c>
      <c r="BN51" s="190">
        <v>536880.96</v>
      </c>
      <c r="BO51" s="190">
        <v>797104.82</v>
      </c>
      <c r="BP51" s="190">
        <v>1116785.6100000001</v>
      </c>
      <c r="BQ51" s="190">
        <v>0</v>
      </c>
      <c r="BR51" s="190">
        <v>0</v>
      </c>
      <c r="BS51" s="190">
        <v>0</v>
      </c>
      <c r="BT51" s="190">
        <v>0</v>
      </c>
      <c r="BU51" s="190">
        <v>0</v>
      </c>
    </row>
    <row r="52" spans="1:7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13953019.66</v>
      </c>
      <c r="BB52" s="190">
        <v>1901752.47</v>
      </c>
      <c r="BC52" s="190">
        <v>2008630.1</v>
      </c>
      <c r="BD52" s="190">
        <v>-1169326.72</v>
      </c>
      <c r="BE52" s="190">
        <v>7646643.6299999999</v>
      </c>
      <c r="BF52" s="190">
        <v>2792888.65</v>
      </c>
      <c r="BG52" s="190">
        <v>5382675.6500000004</v>
      </c>
      <c r="BH52" s="190">
        <v>4814446.4400000004</v>
      </c>
      <c r="BI52" s="190">
        <v>6002568.3200000003</v>
      </c>
      <c r="BJ52" s="190">
        <v>5773177.3600000003</v>
      </c>
      <c r="BK52" s="190">
        <v>-1198949.08</v>
      </c>
      <c r="BL52" s="190">
        <v>550770.07999999996</v>
      </c>
      <c r="BM52" s="190">
        <v>-5825697.7199999997</v>
      </c>
      <c r="BN52" s="190">
        <v>104914.32</v>
      </c>
      <c r="BO52" s="190">
        <v>905617</v>
      </c>
      <c r="BP52" s="190">
        <v>328227.99</v>
      </c>
      <c r="BQ52" s="190">
        <v>787821.46</v>
      </c>
      <c r="BR52" s="190">
        <v>0</v>
      </c>
      <c r="BS52" s="190">
        <v>0</v>
      </c>
      <c r="BT52" s="190">
        <v>1693306.41</v>
      </c>
      <c r="BU52" s="190">
        <v>0</v>
      </c>
    </row>
    <row r="53" spans="1:7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48244397.259999998</v>
      </c>
      <c r="BB53" s="190">
        <v>22881430.510000002</v>
      </c>
      <c r="BC53" s="190">
        <v>9819430.5099999998</v>
      </c>
      <c r="BD53" s="190">
        <v>1665927.51</v>
      </c>
      <c r="BE53" s="190">
        <v>10659837.6</v>
      </c>
      <c r="BF53" s="190">
        <v>1223000</v>
      </c>
      <c r="BG53" s="190">
        <v>0</v>
      </c>
      <c r="BH53" s="190">
        <v>0</v>
      </c>
      <c r="BI53" s="190">
        <v>-1460272.36</v>
      </c>
      <c r="BJ53" s="190">
        <v>-547561.96</v>
      </c>
      <c r="BK53" s="190">
        <v>-1231945.47</v>
      </c>
      <c r="BL53" s="190">
        <v>-1231945.47</v>
      </c>
      <c r="BM53" s="190">
        <v>1460272.36</v>
      </c>
      <c r="BN53" s="190">
        <v>0</v>
      </c>
      <c r="BO53" s="190">
        <v>0</v>
      </c>
      <c r="BP53" s="190">
        <v>1332705.99</v>
      </c>
      <c r="BQ53" s="190">
        <v>0</v>
      </c>
      <c r="BR53" s="190">
        <v>0</v>
      </c>
      <c r="BS53" s="190">
        <v>0</v>
      </c>
      <c r="BT53" s="190">
        <v>0</v>
      </c>
      <c r="BU53" s="190">
        <v>0</v>
      </c>
    </row>
    <row r="54" spans="1:73" x14ac:dyDescent="0.25">
      <c r="A54" s="190" t="s">
        <v>268</v>
      </c>
      <c r="B54" s="190">
        <v>0</v>
      </c>
      <c r="C54" s="190">
        <v>-239872.94</v>
      </c>
      <c r="D54" s="190">
        <v>0</v>
      </c>
      <c r="E54" s="190">
        <v>59542.3</v>
      </c>
      <c r="F54" s="190">
        <v>0</v>
      </c>
      <c r="G54" s="190">
        <v>25678.84</v>
      </c>
      <c r="H54" s="190">
        <v>0</v>
      </c>
      <c r="I54" s="190">
        <v>742316.92</v>
      </c>
      <c r="J54" s="190">
        <v>0</v>
      </c>
      <c r="K54" s="190">
        <v>-186339.78</v>
      </c>
      <c r="L54" s="190">
        <v>0</v>
      </c>
      <c r="M54" s="190">
        <v>-661256.77</v>
      </c>
      <c r="N54" s="190">
        <v>0</v>
      </c>
      <c r="O54" s="190">
        <v>14891.12</v>
      </c>
      <c r="P54" s="190">
        <v>0</v>
      </c>
      <c r="Q54" s="190">
        <v>-19634.54</v>
      </c>
      <c r="R54" s="190">
        <v>0</v>
      </c>
      <c r="S54" s="190">
        <v>-10892.68</v>
      </c>
      <c r="T54" s="190">
        <v>0</v>
      </c>
      <c r="U54" s="190">
        <v>-655683.78</v>
      </c>
      <c r="V54" s="190">
        <v>0</v>
      </c>
      <c r="W54" s="190">
        <v>8360.4599999999991</v>
      </c>
      <c r="X54" s="190">
        <v>0</v>
      </c>
      <c r="Y54" s="190">
        <v>420284.24</v>
      </c>
      <c r="Z54" s="190">
        <v>0</v>
      </c>
      <c r="AA54" s="190">
        <v>39873.339999999997</v>
      </c>
      <c r="AB54" s="190">
        <v>0</v>
      </c>
      <c r="AC54" s="190">
        <v>186904.92</v>
      </c>
      <c r="AD54" s="190">
        <v>0</v>
      </c>
      <c r="AE54" s="190">
        <v>0</v>
      </c>
      <c r="AF54" s="190">
        <v>0</v>
      </c>
      <c r="AG54" s="190">
        <v>0</v>
      </c>
      <c r="AH54" s="190">
        <v>0</v>
      </c>
      <c r="AI54" s="190">
        <v>0</v>
      </c>
      <c r="AJ54" s="190">
        <v>0</v>
      </c>
      <c r="AK54" s="190">
        <v>-53845.41</v>
      </c>
      <c r="AL54" s="190">
        <v>0</v>
      </c>
      <c r="AM54" s="190">
        <v>-53845.41</v>
      </c>
      <c r="AN54" s="190">
        <v>0</v>
      </c>
      <c r="AO54" s="190">
        <v>62291.97</v>
      </c>
      <c r="AP54" s="190">
        <v>0</v>
      </c>
      <c r="AQ54" s="190">
        <v>117250.88</v>
      </c>
      <c r="AR54" s="190">
        <v>0</v>
      </c>
      <c r="AS54" s="190">
        <v>6979.11</v>
      </c>
      <c r="AT54" s="190">
        <v>0</v>
      </c>
      <c r="AU54" s="190">
        <v>0</v>
      </c>
      <c r="AV54" s="190">
        <v>0</v>
      </c>
      <c r="AW54" s="190">
        <v>-102534.36</v>
      </c>
      <c r="AX54" s="190">
        <v>0</v>
      </c>
      <c r="AY54" s="190">
        <v>0</v>
      </c>
      <c r="AZ54" s="190">
        <v>0</v>
      </c>
      <c r="BA54" s="190">
        <v>-1600</v>
      </c>
      <c r="BB54" s="190">
        <v>0</v>
      </c>
      <c r="BC54" s="190">
        <v>0</v>
      </c>
      <c r="BD54" s="190">
        <v>0</v>
      </c>
      <c r="BE54" s="190">
        <v>-2634.58</v>
      </c>
      <c r="BF54" s="190">
        <v>-1284.8900000000001</v>
      </c>
      <c r="BG54" s="190">
        <v>-1284.8900000000001</v>
      </c>
      <c r="BH54" s="190">
        <v>0</v>
      </c>
      <c r="BI54" s="190">
        <v>20331.14</v>
      </c>
      <c r="BJ54" s="190">
        <v>51091.15</v>
      </c>
      <c r="BK54" s="190">
        <v>51091.15</v>
      </c>
      <c r="BL54" s="190">
        <v>51091.15</v>
      </c>
      <c r="BM54" s="190">
        <v>3931.2</v>
      </c>
      <c r="BN54" s="190">
        <v>6870.72</v>
      </c>
      <c r="BO54" s="190">
        <v>-634718.19999999995</v>
      </c>
      <c r="BP54" s="190">
        <v>14769.9</v>
      </c>
      <c r="BQ54" s="190">
        <v>37595.620000000003</v>
      </c>
      <c r="BR54" s="190">
        <v>1353090.33</v>
      </c>
      <c r="BS54" s="190">
        <v>50791.58</v>
      </c>
      <c r="BT54" s="190">
        <v>0</v>
      </c>
      <c r="BU54" s="190">
        <v>0</v>
      </c>
    </row>
    <row r="55" spans="1:73" x14ac:dyDescent="0.25">
      <c r="A55" s="190" t="s">
        <v>269</v>
      </c>
      <c r="B55" s="190">
        <v>0</v>
      </c>
      <c r="C55" s="190">
        <v>416.5</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390397.34</v>
      </c>
      <c r="BB55" s="190">
        <v>0</v>
      </c>
      <c r="BC55" s="190">
        <v>0</v>
      </c>
      <c r="BD55" s="190">
        <v>0</v>
      </c>
      <c r="BE55" s="190">
        <v>0</v>
      </c>
      <c r="BF55" s="190">
        <v>0</v>
      </c>
      <c r="BG55" s="190">
        <v>0</v>
      </c>
      <c r="BH55" s="190">
        <v>0</v>
      </c>
      <c r="BI55" s="190">
        <v>0</v>
      </c>
      <c r="BJ55" s="190">
        <v>0</v>
      </c>
      <c r="BK55" s="190">
        <v>0</v>
      </c>
      <c r="BL55" s="190">
        <v>0</v>
      </c>
      <c r="BM55" s="190">
        <v>0</v>
      </c>
      <c r="BN55" s="190">
        <v>0</v>
      </c>
      <c r="BO55" s="190">
        <v>107412.34</v>
      </c>
      <c r="BP55" s="190">
        <v>0</v>
      </c>
      <c r="BQ55" s="190">
        <v>0</v>
      </c>
      <c r="BR55" s="190">
        <v>20584.86</v>
      </c>
      <c r="BS55" s="190">
        <v>0</v>
      </c>
      <c r="BT55" s="190">
        <v>47110</v>
      </c>
      <c r="BU55" s="190">
        <v>0</v>
      </c>
    </row>
    <row r="56" spans="1:7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-205020</v>
      </c>
      <c r="R56" s="190">
        <v>0</v>
      </c>
      <c r="S56" s="190">
        <v>4420</v>
      </c>
      <c r="T56" s="190">
        <v>0</v>
      </c>
      <c r="U56" s="190">
        <v>51850</v>
      </c>
      <c r="V56" s="190">
        <v>0</v>
      </c>
      <c r="W56" s="190">
        <v>49810</v>
      </c>
      <c r="X56" s="190">
        <v>0</v>
      </c>
      <c r="Y56" s="190">
        <v>20230</v>
      </c>
      <c r="Z56" s="190">
        <v>0</v>
      </c>
      <c r="AA56" s="190">
        <v>21590</v>
      </c>
      <c r="AB56" s="190">
        <v>0</v>
      </c>
      <c r="AC56" s="190">
        <v>21315.919999999998</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row>
    <row r="57" spans="1:7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row>
    <row r="58" spans="1:7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0</v>
      </c>
      <c r="BP58" s="190">
        <v>0</v>
      </c>
      <c r="BQ58" s="190">
        <v>0</v>
      </c>
      <c r="BR58" s="190">
        <v>0</v>
      </c>
      <c r="BS58" s="190">
        <v>0</v>
      </c>
      <c r="BT58" s="190">
        <v>0</v>
      </c>
      <c r="BU58" s="190">
        <v>0</v>
      </c>
    </row>
    <row r="59" spans="1:73" x14ac:dyDescent="0.25">
      <c r="A59" s="190" t="s">
        <v>197</v>
      </c>
      <c r="B59" s="190">
        <v>0</v>
      </c>
      <c r="C59" s="190">
        <v>102180829.81</v>
      </c>
      <c r="D59" s="190">
        <v>0</v>
      </c>
      <c r="E59" s="190">
        <v>136169877.09</v>
      </c>
      <c r="F59" s="190">
        <v>0</v>
      </c>
      <c r="G59" s="190">
        <v>58921123.75</v>
      </c>
      <c r="H59" s="190">
        <v>0</v>
      </c>
      <c r="I59" s="190">
        <v>186950886.68000001</v>
      </c>
      <c r="J59" s="190">
        <v>0</v>
      </c>
      <c r="K59" s="190">
        <v>87686321.700000003</v>
      </c>
      <c r="L59" s="190">
        <v>0</v>
      </c>
      <c r="M59" s="190">
        <v>222143531.81999999</v>
      </c>
      <c r="N59" s="190">
        <v>0</v>
      </c>
      <c r="O59" s="190">
        <v>129698570.93000001</v>
      </c>
      <c r="P59" s="190">
        <v>0</v>
      </c>
      <c r="Q59" s="190">
        <v>114413835.39</v>
      </c>
      <c r="R59" s="190">
        <v>0</v>
      </c>
      <c r="S59" s="190">
        <v>51410309.670000002</v>
      </c>
      <c r="T59" s="190">
        <v>0</v>
      </c>
      <c r="U59" s="190">
        <v>99337755.890000001</v>
      </c>
      <c r="V59" s="190">
        <v>0</v>
      </c>
      <c r="W59" s="190">
        <v>46388437.780000001</v>
      </c>
      <c r="X59" s="190">
        <v>0</v>
      </c>
      <c r="Y59" s="190">
        <v>23183593.739999998</v>
      </c>
      <c r="Z59" s="190">
        <v>0</v>
      </c>
      <c r="AA59" s="190">
        <v>4787795.51</v>
      </c>
      <c r="AB59" s="190">
        <v>0</v>
      </c>
      <c r="AC59" s="190">
        <v>10129990.77</v>
      </c>
      <c r="AD59" s="190">
        <v>0</v>
      </c>
      <c r="AE59" s="190">
        <v>24005891.149999999</v>
      </c>
      <c r="AF59" s="190">
        <v>0</v>
      </c>
      <c r="AG59" s="190">
        <v>26982238.73</v>
      </c>
      <c r="AH59" s="190">
        <v>0</v>
      </c>
      <c r="AI59" s="190">
        <v>23476729.719999999</v>
      </c>
      <c r="AJ59" s="190">
        <v>0</v>
      </c>
      <c r="AK59" s="190">
        <v>32431123.899999999</v>
      </c>
      <c r="AL59" s="190">
        <v>0</v>
      </c>
      <c r="AM59" s="190">
        <v>27465477.75</v>
      </c>
      <c r="AN59" s="190">
        <v>0</v>
      </c>
      <c r="AO59" s="190">
        <v>33756719.759999998</v>
      </c>
      <c r="AP59" s="190">
        <v>0</v>
      </c>
      <c r="AQ59" s="190">
        <v>23850253.93</v>
      </c>
      <c r="AR59" s="190">
        <v>0</v>
      </c>
      <c r="AS59" s="190">
        <v>58786061.520000003</v>
      </c>
      <c r="AT59" s="190">
        <v>0</v>
      </c>
      <c r="AU59" s="190">
        <v>0</v>
      </c>
      <c r="AV59" s="190">
        <v>0</v>
      </c>
      <c r="AW59" s="190">
        <v>67426481.890000001</v>
      </c>
      <c r="AX59" s="190">
        <v>0</v>
      </c>
      <c r="AY59" s="190">
        <v>0</v>
      </c>
      <c r="AZ59" s="190">
        <v>0</v>
      </c>
      <c r="BA59" s="190">
        <v>11052952.289999999</v>
      </c>
      <c r="BB59" s="190">
        <v>35543078.5</v>
      </c>
      <c r="BC59" s="190">
        <v>22241870.960000001</v>
      </c>
      <c r="BD59" s="190">
        <v>12099570.23</v>
      </c>
      <c r="BE59" s="190">
        <v>31302079.129999999</v>
      </c>
      <c r="BF59" s="190">
        <v>11782395.189999999</v>
      </c>
      <c r="BG59" s="190">
        <v>9464852.8699999992</v>
      </c>
      <c r="BH59" s="190">
        <v>4421682.63</v>
      </c>
      <c r="BI59" s="190">
        <v>34837860.049999997</v>
      </c>
      <c r="BJ59" s="190">
        <v>19772485.239999998</v>
      </c>
      <c r="BK59" s="190">
        <v>10987577.76</v>
      </c>
      <c r="BL59" s="190">
        <v>5233226.13</v>
      </c>
      <c r="BM59" s="190">
        <v>25377763.530000001</v>
      </c>
      <c r="BN59" s="190">
        <v>7967236.3600000003</v>
      </c>
      <c r="BO59" s="190">
        <v>8439644.4100000001</v>
      </c>
      <c r="BP59" s="190">
        <v>1602391.93</v>
      </c>
      <c r="BQ59" s="190">
        <v>5001655.0999999996</v>
      </c>
      <c r="BR59" s="190">
        <v>2210789.88</v>
      </c>
      <c r="BS59" s="190">
        <v>3415323.17</v>
      </c>
      <c r="BT59" s="190">
        <v>4108923.17</v>
      </c>
      <c r="BU59" s="190">
        <v>0</v>
      </c>
    </row>
    <row r="60" spans="1:73" x14ac:dyDescent="0.25">
      <c r="A60" s="190" t="s">
        <v>273</v>
      </c>
      <c r="B60" s="190">
        <v>0</v>
      </c>
      <c r="C60" s="190">
        <v>-3678665.1</v>
      </c>
      <c r="D60" s="190">
        <v>0</v>
      </c>
      <c r="E60" s="190">
        <v>15667022.949999999</v>
      </c>
      <c r="F60" s="190">
        <v>0</v>
      </c>
      <c r="G60" s="190">
        <v>3857491.17</v>
      </c>
      <c r="H60" s="190">
        <v>0</v>
      </c>
      <c r="I60" s="190">
        <v>-4354993.04</v>
      </c>
      <c r="J60" s="190">
        <v>0</v>
      </c>
      <c r="K60" s="190">
        <v>-305984.3</v>
      </c>
      <c r="L60" s="190">
        <v>0</v>
      </c>
      <c r="M60" s="190">
        <v>-423275489.80000001</v>
      </c>
      <c r="N60" s="190">
        <v>0</v>
      </c>
      <c r="O60" s="190">
        <v>-236469973.34999999</v>
      </c>
      <c r="P60" s="190">
        <v>0</v>
      </c>
      <c r="Q60" s="190">
        <v>-138530335.78999999</v>
      </c>
      <c r="R60" s="190">
        <v>0</v>
      </c>
      <c r="S60" s="190">
        <v>-20000000</v>
      </c>
      <c r="T60" s="190">
        <v>0</v>
      </c>
      <c r="U60" s="190">
        <v>-110094219.51000001</v>
      </c>
      <c r="V60" s="190">
        <v>0</v>
      </c>
      <c r="W60" s="190">
        <v>-108369890.55</v>
      </c>
      <c r="X60" s="190">
        <v>0</v>
      </c>
      <c r="Y60" s="190">
        <v>-123437628.18000001</v>
      </c>
      <c r="Z60" s="190">
        <v>0</v>
      </c>
      <c r="AA60" s="190">
        <v>-120512804.08</v>
      </c>
      <c r="AB60" s="190">
        <v>0</v>
      </c>
      <c r="AC60" s="190">
        <v>-80272314.370000005</v>
      </c>
      <c r="AD60" s="190">
        <v>0</v>
      </c>
      <c r="AE60" s="190">
        <v>0</v>
      </c>
      <c r="AF60" s="190">
        <v>0</v>
      </c>
      <c r="AG60" s="190">
        <v>4447</v>
      </c>
      <c r="AH60" s="190">
        <v>0</v>
      </c>
      <c r="AI60" s="190">
        <v>0</v>
      </c>
      <c r="AJ60" s="190">
        <v>0</v>
      </c>
      <c r="AK60" s="190">
        <v>1213497.95</v>
      </c>
      <c r="AL60" s="190">
        <v>0</v>
      </c>
      <c r="AM60" s="190">
        <v>194.43</v>
      </c>
      <c r="AN60" s="190">
        <v>0</v>
      </c>
      <c r="AO60" s="190">
        <v>-62139.56</v>
      </c>
      <c r="AP60" s="190">
        <v>0</v>
      </c>
      <c r="AQ60" s="190">
        <v>173457.86</v>
      </c>
      <c r="AR60" s="190">
        <v>0</v>
      </c>
      <c r="AS60" s="190">
        <v>1587107.41</v>
      </c>
      <c r="AT60" s="190">
        <v>0</v>
      </c>
      <c r="AU60" s="190">
        <v>0</v>
      </c>
      <c r="AV60" s="190">
        <v>0</v>
      </c>
      <c r="AW60" s="190">
        <v>11639638.17</v>
      </c>
      <c r="AX60" s="190">
        <v>0</v>
      </c>
      <c r="AY60" s="190">
        <v>0</v>
      </c>
      <c r="AZ60" s="190">
        <v>0</v>
      </c>
      <c r="BA60" s="190">
        <v>911904.98</v>
      </c>
      <c r="BB60" s="190">
        <v>887736.38</v>
      </c>
      <c r="BC60" s="190">
        <v>878622.99</v>
      </c>
      <c r="BD60" s="190">
        <v>354779.02</v>
      </c>
      <c r="BE60" s="190">
        <v>-567973.48</v>
      </c>
      <c r="BF60" s="190">
        <v>-1300643.3899999999</v>
      </c>
      <c r="BG60" s="190">
        <v>-1384791.66</v>
      </c>
      <c r="BH60" s="190">
        <v>2497.09</v>
      </c>
      <c r="BI60" s="190">
        <v>-1902213.52</v>
      </c>
      <c r="BJ60" s="190">
        <v>210686.6</v>
      </c>
      <c r="BK60" s="190">
        <v>264505.2</v>
      </c>
      <c r="BL60" s="190">
        <v>410569.9</v>
      </c>
      <c r="BM60" s="190">
        <v>104270.22</v>
      </c>
      <c r="BN60" s="190">
        <v>49635.11</v>
      </c>
      <c r="BO60" s="190">
        <v>-12094568.43</v>
      </c>
      <c r="BP60" s="190">
        <v>-4899103.54</v>
      </c>
      <c r="BQ60" s="190">
        <v>-2253890.35</v>
      </c>
      <c r="BR60" s="190">
        <v>-341696.84</v>
      </c>
      <c r="BS60" s="190">
        <v>-6326098</v>
      </c>
      <c r="BT60" s="190">
        <v>-3813819.28</v>
      </c>
      <c r="BU60" s="190">
        <v>0</v>
      </c>
    </row>
    <row r="61" spans="1:73" x14ac:dyDescent="0.25">
      <c r="A61" s="190" t="s">
        <v>274</v>
      </c>
      <c r="B61" s="190">
        <v>0</v>
      </c>
      <c r="C61" s="190">
        <v>-37878671.380000003</v>
      </c>
      <c r="D61" s="190">
        <v>0</v>
      </c>
      <c r="E61" s="190">
        <v>7377138.9100000001</v>
      </c>
      <c r="F61" s="190">
        <v>0</v>
      </c>
      <c r="G61" s="190">
        <v>-3891055.43</v>
      </c>
      <c r="H61" s="190">
        <v>0</v>
      </c>
      <c r="I61" s="190">
        <v>44899006.689999998</v>
      </c>
      <c r="J61" s="190">
        <v>0</v>
      </c>
      <c r="K61" s="190">
        <v>87697009.049999997</v>
      </c>
      <c r="L61" s="190">
        <v>0</v>
      </c>
      <c r="M61" s="190">
        <v>-83678648.549999997</v>
      </c>
      <c r="N61" s="190">
        <v>0</v>
      </c>
      <c r="O61" s="190">
        <v>-18383321.27</v>
      </c>
      <c r="P61" s="190">
        <v>0</v>
      </c>
      <c r="Q61" s="190">
        <v>-27949288.879999999</v>
      </c>
      <c r="R61" s="190">
        <v>0</v>
      </c>
      <c r="S61" s="190">
        <v>-16193119.42</v>
      </c>
      <c r="T61" s="190">
        <v>0</v>
      </c>
      <c r="U61" s="190">
        <v>-3802008.31</v>
      </c>
      <c r="V61" s="190">
        <v>0</v>
      </c>
      <c r="W61" s="190">
        <v>-11388950.65</v>
      </c>
      <c r="X61" s="190">
        <v>0</v>
      </c>
      <c r="Y61" s="190">
        <v>3060734.78</v>
      </c>
      <c r="Z61" s="190">
        <v>0</v>
      </c>
      <c r="AA61" s="190">
        <v>27725362.260000002</v>
      </c>
      <c r="AB61" s="190">
        <v>0</v>
      </c>
      <c r="AC61" s="190">
        <v>-74397124.590000004</v>
      </c>
      <c r="AD61" s="190">
        <v>0</v>
      </c>
      <c r="AE61" s="190">
        <v>0</v>
      </c>
      <c r="AF61" s="190">
        <v>0</v>
      </c>
      <c r="AG61" s="190">
        <v>0</v>
      </c>
      <c r="AH61" s="190">
        <v>0</v>
      </c>
      <c r="AI61" s="190">
        <v>0</v>
      </c>
      <c r="AJ61" s="190">
        <v>0</v>
      </c>
      <c r="AK61" s="190">
        <v>0</v>
      </c>
      <c r="AL61" s="190">
        <v>0</v>
      </c>
      <c r="AM61" s="190">
        <v>0</v>
      </c>
      <c r="AN61" s="190">
        <v>0</v>
      </c>
      <c r="AO61" s="190">
        <v>1643020.23</v>
      </c>
      <c r="AP61" s="190">
        <v>0</v>
      </c>
      <c r="AQ61" s="190">
        <v>99093.75</v>
      </c>
      <c r="AR61" s="190">
        <v>0</v>
      </c>
      <c r="AS61" s="190">
        <v>1771055.49</v>
      </c>
      <c r="AT61" s="190">
        <v>0</v>
      </c>
      <c r="AU61" s="190">
        <v>0</v>
      </c>
      <c r="AV61" s="190">
        <v>0</v>
      </c>
      <c r="AW61" s="190">
        <v>-3033120.06</v>
      </c>
      <c r="AX61" s="190">
        <v>0</v>
      </c>
      <c r="AY61" s="190">
        <v>0</v>
      </c>
      <c r="AZ61" s="190">
        <v>0</v>
      </c>
      <c r="BA61" s="190">
        <v>0</v>
      </c>
      <c r="BB61" s="190">
        <v>0</v>
      </c>
      <c r="BC61" s="190">
        <v>0</v>
      </c>
      <c r="BD61" s="190">
        <v>0</v>
      </c>
      <c r="BE61" s="190">
        <v>0</v>
      </c>
      <c r="BF61" s="190">
        <v>0</v>
      </c>
      <c r="BG61" s="190">
        <v>0</v>
      </c>
      <c r="BH61" s="190">
        <v>0</v>
      </c>
      <c r="BI61" s="190">
        <v>0</v>
      </c>
      <c r="BJ61" s="190">
        <v>0</v>
      </c>
      <c r="BK61" s="190">
        <v>0</v>
      </c>
      <c r="BL61" s="190">
        <v>0</v>
      </c>
      <c r="BM61" s="190">
        <v>0</v>
      </c>
      <c r="BN61" s="190">
        <v>0</v>
      </c>
      <c r="BO61" s="190">
        <v>0</v>
      </c>
      <c r="BP61" s="190">
        <v>0</v>
      </c>
      <c r="BQ61" s="190">
        <v>0</v>
      </c>
      <c r="BR61" s="190">
        <v>0</v>
      </c>
      <c r="BS61" s="190">
        <v>0</v>
      </c>
      <c r="BT61" s="190">
        <v>0</v>
      </c>
      <c r="BU61" s="190">
        <v>0</v>
      </c>
    </row>
    <row r="62" spans="1:73" x14ac:dyDescent="0.25">
      <c r="A62" s="190" t="s">
        <v>275</v>
      </c>
      <c r="B62" s="190">
        <v>0</v>
      </c>
      <c r="C62" s="190">
        <v>-9702603.6400000006</v>
      </c>
      <c r="D62" s="190">
        <v>0</v>
      </c>
      <c r="E62" s="190">
        <v>-4776101.88</v>
      </c>
      <c r="F62" s="190">
        <v>0</v>
      </c>
      <c r="G62" s="190">
        <v>-7789105.7800000003</v>
      </c>
      <c r="H62" s="190">
        <v>0</v>
      </c>
      <c r="I62" s="190">
        <v>-10686581.880000001</v>
      </c>
      <c r="J62" s="190">
        <v>0</v>
      </c>
      <c r="K62" s="190">
        <v>28206705.760000002</v>
      </c>
      <c r="L62" s="190">
        <v>0</v>
      </c>
      <c r="M62" s="190">
        <v>-17227830.23</v>
      </c>
      <c r="N62" s="190">
        <v>0</v>
      </c>
      <c r="O62" s="190">
        <v>-30405.59</v>
      </c>
      <c r="P62" s="190">
        <v>0</v>
      </c>
      <c r="Q62" s="190">
        <v>-9040596.8200000003</v>
      </c>
      <c r="R62" s="190">
        <v>0</v>
      </c>
      <c r="S62" s="190">
        <v>-7537463.6799999997</v>
      </c>
      <c r="T62" s="190">
        <v>0</v>
      </c>
      <c r="U62" s="190">
        <v>9579782.2899999991</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row>
    <row r="63" spans="1:73" x14ac:dyDescent="0.25">
      <c r="A63" s="190" t="s">
        <v>276</v>
      </c>
      <c r="B63" s="190">
        <v>0</v>
      </c>
      <c r="C63" s="190">
        <v>96982577.640000001</v>
      </c>
      <c r="D63" s="190">
        <v>0</v>
      </c>
      <c r="E63" s="190">
        <v>-2160680284.27</v>
      </c>
      <c r="F63" s="190">
        <v>0</v>
      </c>
      <c r="G63" s="190">
        <v>-1405536517.3499999</v>
      </c>
      <c r="H63" s="190">
        <v>0</v>
      </c>
      <c r="I63" s="190">
        <v>2362255438.1399999</v>
      </c>
      <c r="J63" s="190">
        <v>0</v>
      </c>
      <c r="K63" s="190">
        <v>1529089175.2</v>
      </c>
      <c r="L63" s="190">
        <v>0</v>
      </c>
      <c r="M63" s="190">
        <v>-3950208253.5599999</v>
      </c>
      <c r="N63" s="190">
        <v>0</v>
      </c>
      <c r="O63" s="190">
        <v>-3455673980.8699999</v>
      </c>
      <c r="P63" s="190">
        <v>0</v>
      </c>
      <c r="Q63" s="190">
        <v>-1389436791.98</v>
      </c>
      <c r="R63" s="190">
        <v>0</v>
      </c>
      <c r="S63" s="190">
        <v>-1075523724.9300001</v>
      </c>
      <c r="T63" s="190">
        <v>0</v>
      </c>
      <c r="U63" s="190">
        <v>-671127447.88999999</v>
      </c>
      <c r="V63" s="190">
        <v>0</v>
      </c>
      <c r="W63" s="190">
        <v>-1456114169.5599999</v>
      </c>
      <c r="X63" s="190">
        <v>0</v>
      </c>
      <c r="Y63" s="190">
        <v>312612331.79000002</v>
      </c>
      <c r="Z63" s="190">
        <v>0</v>
      </c>
      <c r="AA63" s="190">
        <v>-259171321.87</v>
      </c>
      <c r="AB63" s="190">
        <v>0</v>
      </c>
      <c r="AC63" s="190">
        <v>-1231720135.75</v>
      </c>
      <c r="AD63" s="190">
        <v>0</v>
      </c>
      <c r="AE63" s="190">
        <v>-302624.84999999998</v>
      </c>
      <c r="AF63" s="190">
        <v>0</v>
      </c>
      <c r="AG63" s="190">
        <v>3879398.77</v>
      </c>
      <c r="AH63" s="190">
        <v>0</v>
      </c>
      <c r="AI63" s="190">
        <v>3947129.01</v>
      </c>
      <c r="AJ63" s="190">
        <v>0</v>
      </c>
      <c r="AK63" s="190">
        <v>2577041.61</v>
      </c>
      <c r="AL63" s="190">
        <v>0</v>
      </c>
      <c r="AM63" s="190">
        <v>84394.06</v>
      </c>
      <c r="AN63" s="190">
        <v>0</v>
      </c>
      <c r="AO63" s="190">
        <v>-2030024.69</v>
      </c>
      <c r="AP63" s="190">
        <v>0</v>
      </c>
      <c r="AQ63" s="190">
        <v>3004400.53</v>
      </c>
      <c r="AR63" s="190">
        <v>0</v>
      </c>
      <c r="AS63" s="190">
        <v>5388299.1900000004</v>
      </c>
      <c r="AT63" s="190">
        <v>0</v>
      </c>
      <c r="AU63" s="190">
        <v>0</v>
      </c>
      <c r="AV63" s="190">
        <v>0</v>
      </c>
      <c r="AW63" s="190">
        <v>-17860137.039999999</v>
      </c>
      <c r="AX63" s="190">
        <v>0</v>
      </c>
      <c r="AY63" s="190">
        <v>0</v>
      </c>
      <c r="AZ63" s="190">
        <v>0</v>
      </c>
      <c r="BA63" s="190">
        <v>17260196.260000002</v>
      </c>
      <c r="BB63" s="190">
        <v>11847754.99</v>
      </c>
      <c r="BC63" s="190">
        <v>14533809.119999999</v>
      </c>
      <c r="BD63" s="190">
        <v>-8096091.0099999998</v>
      </c>
      <c r="BE63" s="190">
        <v>43106946.619999997</v>
      </c>
      <c r="BF63" s="190">
        <v>27878657.079999998</v>
      </c>
      <c r="BG63" s="190">
        <v>20353408.469999999</v>
      </c>
      <c r="BH63" s="190">
        <v>9850511.9700000007</v>
      </c>
      <c r="BI63" s="190">
        <v>6882002.4199999999</v>
      </c>
      <c r="BJ63" s="190">
        <v>27068297.190000001</v>
      </c>
      <c r="BK63" s="190">
        <v>23918354.329999998</v>
      </c>
      <c r="BL63" s="190">
        <v>19029432.719999999</v>
      </c>
      <c r="BM63" s="190">
        <v>35632504.93</v>
      </c>
      <c r="BN63" s="190">
        <v>-18222072.210000001</v>
      </c>
      <c r="BO63" s="190">
        <v>-75798128.939999998</v>
      </c>
      <c r="BP63" s="190">
        <v>-27864534.190000001</v>
      </c>
      <c r="BQ63" s="190">
        <v>-12849454.220000001</v>
      </c>
      <c r="BR63" s="190">
        <v>-9911540.25</v>
      </c>
      <c r="BS63" s="190">
        <v>-7056039.1799999997</v>
      </c>
      <c r="BT63" s="190">
        <v>-4694485.57</v>
      </c>
      <c r="BU63" s="190">
        <v>0</v>
      </c>
    </row>
    <row r="64" spans="1:73" x14ac:dyDescent="0.25">
      <c r="A64" s="190" t="s">
        <v>277</v>
      </c>
      <c r="B64" s="190">
        <v>0</v>
      </c>
      <c r="C64" s="190">
        <v>48078839.609999999</v>
      </c>
      <c r="D64" s="190">
        <v>0</v>
      </c>
      <c r="E64" s="190">
        <v>-86273717.799999997</v>
      </c>
      <c r="F64" s="190">
        <v>0</v>
      </c>
      <c r="G64" s="190">
        <v>-57646419.659999996</v>
      </c>
      <c r="H64" s="190">
        <v>0</v>
      </c>
      <c r="I64" s="190">
        <v>-38782072.549999997</v>
      </c>
      <c r="J64" s="190">
        <v>0</v>
      </c>
      <c r="K64" s="190">
        <v>-483461427.87</v>
      </c>
      <c r="L64" s="190">
        <v>0</v>
      </c>
      <c r="M64" s="190">
        <v>480313018.25999999</v>
      </c>
      <c r="N64" s="190">
        <v>0</v>
      </c>
      <c r="O64" s="190">
        <v>523756457.05000001</v>
      </c>
      <c r="P64" s="190">
        <v>0</v>
      </c>
      <c r="Q64" s="190">
        <v>-400979332.25</v>
      </c>
      <c r="R64" s="190">
        <v>0</v>
      </c>
      <c r="S64" s="190">
        <v>130311535.45</v>
      </c>
      <c r="T64" s="190">
        <v>0</v>
      </c>
      <c r="U64" s="190">
        <v>117590234.01000001</v>
      </c>
      <c r="V64" s="190">
        <v>0</v>
      </c>
      <c r="W64" s="190">
        <v>-93724073.280000001</v>
      </c>
      <c r="X64" s="190">
        <v>0</v>
      </c>
      <c r="Y64" s="190">
        <v>-201759963.41999999</v>
      </c>
      <c r="Z64" s="190">
        <v>0</v>
      </c>
      <c r="AA64" s="190">
        <v>-2775355.69</v>
      </c>
      <c r="AB64" s="190">
        <v>0</v>
      </c>
      <c r="AC64" s="190">
        <v>-23932148.710000001</v>
      </c>
      <c r="AD64" s="190">
        <v>0</v>
      </c>
      <c r="AE64" s="190">
        <v>-1048715.07</v>
      </c>
      <c r="AF64" s="190">
        <v>0</v>
      </c>
      <c r="AG64" s="190">
        <v>17353519.25</v>
      </c>
      <c r="AH64" s="190">
        <v>0</v>
      </c>
      <c r="AI64" s="190">
        <v>-889183.6</v>
      </c>
      <c r="AJ64" s="190">
        <v>0</v>
      </c>
      <c r="AK64" s="190">
        <v>4309740.84</v>
      </c>
      <c r="AL64" s="190">
        <v>0</v>
      </c>
      <c r="AM64" s="190">
        <v>725789.17</v>
      </c>
      <c r="AN64" s="190">
        <v>0</v>
      </c>
      <c r="AO64" s="190">
        <v>49931617.700000003</v>
      </c>
      <c r="AP64" s="190">
        <v>0</v>
      </c>
      <c r="AQ64" s="190">
        <v>5067472.4400000004</v>
      </c>
      <c r="AR64" s="190">
        <v>0</v>
      </c>
      <c r="AS64" s="190">
        <v>-58905011.329999998</v>
      </c>
      <c r="AT64" s="190">
        <v>0</v>
      </c>
      <c r="AU64" s="190">
        <v>0</v>
      </c>
      <c r="AV64" s="190">
        <v>0</v>
      </c>
      <c r="AW64" s="190">
        <v>50798030.149999999</v>
      </c>
      <c r="AX64" s="190">
        <v>0</v>
      </c>
      <c r="AY64" s="190">
        <v>0</v>
      </c>
      <c r="AZ64" s="190">
        <v>0</v>
      </c>
      <c r="BA64" s="190">
        <v>23773632.579999998</v>
      </c>
      <c r="BB64" s="190">
        <v>98883530.900000006</v>
      </c>
      <c r="BC64" s="190">
        <v>63064334.340000004</v>
      </c>
      <c r="BD64" s="190">
        <v>25474804.780000001</v>
      </c>
      <c r="BE64" s="190">
        <v>-431459411.83999997</v>
      </c>
      <c r="BF64" s="190">
        <v>-504540973.81</v>
      </c>
      <c r="BG64" s="190">
        <v>-267985043.37</v>
      </c>
      <c r="BH64" s="190">
        <v>68243641.019999996</v>
      </c>
      <c r="BI64" s="190">
        <v>-165424916.83000001</v>
      </c>
      <c r="BJ64" s="190">
        <v>-82108988.200000003</v>
      </c>
      <c r="BK64" s="190">
        <v>29447424.300000001</v>
      </c>
      <c r="BL64" s="190">
        <v>31882199.75</v>
      </c>
      <c r="BM64" s="190">
        <v>-57610979.060000002</v>
      </c>
      <c r="BN64" s="190">
        <v>31873671.73</v>
      </c>
      <c r="BO64" s="190">
        <v>-217973110.09999999</v>
      </c>
      <c r="BP64" s="190">
        <v>-12121825</v>
      </c>
      <c r="BQ64" s="190">
        <v>15546363.43</v>
      </c>
      <c r="BR64" s="190">
        <v>12351898.369999999</v>
      </c>
      <c r="BS64" s="190">
        <v>-26777897.620000001</v>
      </c>
      <c r="BT64" s="190">
        <v>-15590645.1</v>
      </c>
      <c r="BU64" s="190">
        <v>0</v>
      </c>
    </row>
    <row r="65" spans="1:73" x14ac:dyDescent="0.25">
      <c r="A65" s="190" t="s">
        <v>278</v>
      </c>
      <c r="B65" s="190">
        <v>0</v>
      </c>
      <c r="C65" s="190">
        <v>705890492.78999996</v>
      </c>
      <c r="D65" s="190">
        <v>0</v>
      </c>
      <c r="E65" s="190">
        <v>-817046504.49000001</v>
      </c>
      <c r="F65" s="190">
        <v>0</v>
      </c>
      <c r="G65" s="190">
        <v>-152387021.34</v>
      </c>
      <c r="H65" s="190">
        <v>0</v>
      </c>
      <c r="I65" s="190">
        <v>-2866419411.9299998</v>
      </c>
      <c r="J65" s="190">
        <v>0</v>
      </c>
      <c r="K65" s="190">
        <v>-2101937148.4100001</v>
      </c>
      <c r="L65" s="190">
        <v>0</v>
      </c>
      <c r="M65" s="190">
        <v>2896431105.5900002</v>
      </c>
      <c r="N65" s="190">
        <v>0</v>
      </c>
      <c r="O65" s="190">
        <v>880261121.01999998</v>
      </c>
      <c r="P65" s="190">
        <v>0</v>
      </c>
      <c r="Q65" s="190">
        <v>279862674.23000002</v>
      </c>
      <c r="R65" s="190">
        <v>0</v>
      </c>
      <c r="S65" s="190">
        <v>281361385.13</v>
      </c>
      <c r="T65" s="190">
        <v>0</v>
      </c>
      <c r="U65" s="190">
        <v>-117854070.84999999</v>
      </c>
      <c r="V65" s="190">
        <v>0</v>
      </c>
      <c r="W65" s="190">
        <v>1068052425.02</v>
      </c>
      <c r="X65" s="190">
        <v>0</v>
      </c>
      <c r="Y65" s="190">
        <v>152407647.75</v>
      </c>
      <c r="Z65" s="190">
        <v>0</v>
      </c>
      <c r="AA65" s="190">
        <v>114395156.40000001</v>
      </c>
      <c r="AB65" s="190">
        <v>0</v>
      </c>
      <c r="AC65" s="190">
        <v>916333941.17999995</v>
      </c>
      <c r="AD65" s="190">
        <v>0</v>
      </c>
      <c r="AE65" s="190">
        <v>1347714.99</v>
      </c>
      <c r="AF65" s="190">
        <v>0</v>
      </c>
      <c r="AG65" s="190">
        <v>4627016.5999999996</v>
      </c>
      <c r="AH65" s="190">
        <v>0</v>
      </c>
      <c r="AI65" s="190">
        <v>737293.24</v>
      </c>
      <c r="AJ65" s="190">
        <v>0</v>
      </c>
      <c r="AK65" s="190">
        <v>-4119799.51</v>
      </c>
      <c r="AL65" s="190">
        <v>0</v>
      </c>
      <c r="AM65" s="190">
        <v>-1132361.01</v>
      </c>
      <c r="AN65" s="190">
        <v>0</v>
      </c>
      <c r="AO65" s="190">
        <v>-36862908.090000004</v>
      </c>
      <c r="AP65" s="190">
        <v>0</v>
      </c>
      <c r="AQ65" s="190">
        <v>-7537566.79</v>
      </c>
      <c r="AR65" s="190">
        <v>0</v>
      </c>
      <c r="AS65" s="190">
        <v>-15439585.52</v>
      </c>
      <c r="AT65" s="190">
        <v>0</v>
      </c>
      <c r="AU65" s="190">
        <v>0</v>
      </c>
      <c r="AV65" s="190">
        <v>0</v>
      </c>
      <c r="AW65" s="190">
        <v>1181502.94</v>
      </c>
      <c r="AX65" s="190">
        <v>0</v>
      </c>
      <c r="AY65" s="190">
        <v>0</v>
      </c>
      <c r="AZ65" s="190">
        <v>0</v>
      </c>
      <c r="BA65" s="190">
        <v>-56203544.82</v>
      </c>
      <c r="BB65" s="190">
        <v>-162167827.22</v>
      </c>
      <c r="BC65" s="190">
        <v>-123866681.86</v>
      </c>
      <c r="BD65" s="190">
        <v>-57338891.109999999</v>
      </c>
      <c r="BE65" s="190">
        <v>41810345.590000004</v>
      </c>
      <c r="BF65" s="190">
        <v>183231945.62</v>
      </c>
      <c r="BG65" s="190">
        <v>-18419874.620000001</v>
      </c>
      <c r="BH65" s="190">
        <v>-247099120.41999999</v>
      </c>
      <c r="BI65" s="190">
        <v>160487731.47999999</v>
      </c>
      <c r="BJ65" s="190">
        <v>-111072845.89</v>
      </c>
      <c r="BK65" s="190">
        <v>-98874900.019999996</v>
      </c>
      <c r="BL65" s="190">
        <v>-146527053.97</v>
      </c>
      <c r="BM65" s="190">
        <v>17702524.09</v>
      </c>
      <c r="BN65" s="190">
        <v>-114428524.98</v>
      </c>
      <c r="BO65" s="190">
        <v>158721861.49000001</v>
      </c>
      <c r="BP65" s="190">
        <v>31619887.59</v>
      </c>
      <c r="BQ65" s="190">
        <v>-63620140.32</v>
      </c>
      <c r="BR65" s="190">
        <v>-24179322.190000001</v>
      </c>
      <c r="BS65" s="190">
        <v>-212147.64</v>
      </c>
      <c r="BT65" s="190">
        <v>463200.03</v>
      </c>
      <c r="BU65" s="190">
        <v>0</v>
      </c>
    </row>
    <row r="66" spans="1:7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row>
    <row r="67" spans="1:7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c r="BH67" s="190">
        <v>0</v>
      </c>
      <c r="BI67" s="190">
        <v>0</v>
      </c>
      <c r="BJ67" s="190">
        <v>0</v>
      </c>
      <c r="BK67" s="190">
        <v>0</v>
      </c>
      <c r="BL67" s="190">
        <v>0</v>
      </c>
      <c r="BM67" s="190">
        <v>0</v>
      </c>
      <c r="BN67" s="190">
        <v>0</v>
      </c>
      <c r="BO67" s="190">
        <v>0</v>
      </c>
      <c r="BP67" s="190">
        <v>0</v>
      </c>
      <c r="BQ67" s="190">
        <v>0</v>
      </c>
      <c r="BR67" s="190">
        <v>0</v>
      </c>
      <c r="BS67" s="190">
        <v>0</v>
      </c>
      <c r="BT67" s="190">
        <v>0</v>
      </c>
      <c r="BU67" s="190">
        <v>0</v>
      </c>
    </row>
    <row r="68" spans="1:73" x14ac:dyDescent="0.25">
      <c r="A68" s="190" t="s">
        <v>281</v>
      </c>
      <c r="B68" s="190">
        <v>0</v>
      </c>
      <c r="C68" s="190">
        <v>0</v>
      </c>
      <c r="D68" s="190">
        <v>0</v>
      </c>
      <c r="E68" s="190">
        <v>-5157333.84</v>
      </c>
      <c r="F68" s="190">
        <v>0</v>
      </c>
      <c r="G68" s="190">
        <v>0</v>
      </c>
      <c r="H68" s="190">
        <v>0</v>
      </c>
      <c r="I68" s="190">
        <v>11215510.09</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-8468616.0399999991</v>
      </c>
      <c r="AF68" s="190">
        <v>0</v>
      </c>
      <c r="AG68" s="190">
        <v>-31341619.93</v>
      </c>
      <c r="AH68" s="190">
        <v>0</v>
      </c>
      <c r="AI68" s="190">
        <v>-31917109.16</v>
      </c>
      <c r="AJ68" s="190">
        <v>0</v>
      </c>
      <c r="AK68" s="190">
        <v>-48140472.020000003</v>
      </c>
      <c r="AL68" s="190">
        <v>0</v>
      </c>
      <c r="AM68" s="190">
        <v>-4486153.5199999996</v>
      </c>
      <c r="AN68" s="190">
        <v>0</v>
      </c>
      <c r="AO68" s="190">
        <v>-67673450.019999996</v>
      </c>
      <c r="AP68" s="190">
        <v>0</v>
      </c>
      <c r="AQ68" s="190">
        <v>-98813435.200000003</v>
      </c>
      <c r="AR68" s="190">
        <v>0</v>
      </c>
      <c r="AS68" s="190">
        <v>1104003.42</v>
      </c>
      <c r="AT68" s="190">
        <v>0</v>
      </c>
      <c r="AU68" s="190">
        <v>0</v>
      </c>
      <c r="AV68" s="190">
        <v>0</v>
      </c>
      <c r="AW68" s="190">
        <v>307354880.41000003</v>
      </c>
      <c r="AX68" s="190">
        <v>0</v>
      </c>
      <c r="AY68" s="190">
        <v>0</v>
      </c>
      <c r="AZ68" s="190">
        <v>0</v>
      </c>
      <c r="BA68" s="190">
        <v>0</v>
      </c>
      <c r="BB68" s="190">
        <v>0</v>
      </c>
      <c r="BC68" s="190">
        <v>0</v>
      </c>
      <c r="BD68" s="190">
        <v>0</v>
      </c>
      <c r="BE68" s="190">
        <v>0</v>
      </c>
      <c r="BF68" s="190">
        <v>0</v>
      </c>
      <c r="BG68" s="190">
        <v>0</v>
      </c>
      <c r="BH68" s="190">
        <v>0</v>
      </c>
      <c r="BI68" s="190">
        <v>0</v>
      </c>
      <c r="BJ68" s="190">
        <v>0</v>
      </c>
      <c r="BK68" s="190">
        <v>0</v>
      </c>
      <c r="BL68" s="190">
        <v>0</v>
      </c>
      <c r="BM68" s="190">
        <v>0</v>
      </c>
      <c r="BN68" s="190">
        <v>349225.9</v>
      </c>
      <c r="BO68" s="190">
        <v>46277.9</v>
      </c>
      <c r="BP68" s="190">
        <v>0</v>
      </c>
      <c r="BQ68" s="190">
        <v>0</v>
      </c>
      <c r="BR68" s="190">
        <v>0</v>
      </c>
      <c r="BS68" s="190">
        <v>0</v>
      </c>
      <c r="BT68" s="190">
        <v>0</v>
      </c>
      <c r="BU68" s="190">
        <v>0</v>
      </c>
    </row>
    <row r="69" spans="1:73" x14ac:dyDescent="0.25">
      <c r="A69" s="190" t="s">
        <v>282</v>
      </c>
      <c r="B69" s="190">
        <v>0</v>
      </c>
      <c r="C69" s="190">
        <v>962745404.91999996</v>
      </c>
      <c r="D69" s="190">
        <v>0</v>
      </c>
      <c r="E69" s="190">
        <v>-2545673422.1100001</v>
      </c>
      <c r="F69" s="190">
        <v>0</v>
      </c>
      <c r="G69" s="190">
        <v>-1445376116.1900001</v>
      </c>
      <c r="H69" s="190">
        <v>0</v>
      </c>
      <c r="I69" s="190">
        <v>691104491.77999997</v>
      </c>
      <c r="J69" s="190">
        <v>0</v>
      </c>
      <c r="K69" s="190">
        <v>-385520336.01999998</v>
      </c>
      <c r="L69" s="190">
        <v>0</v>
      </c>
      <c r="M69" s="190">
        <v>-768907546.52999997</v>
      </c>
      <c r="N69" s="190">
        <v>0</v>
      </c>
      <c r="O69" s="190">
        <v>-2086574627.5899999</v>
      </c>
      <c r="P69" s="190">
        <v>0</v>
      </c>
      <c r="Q69" s="190">
        <v>-1425465822.8</v>
      </c>
      <c r="R69" s="190">
        <v>0</v>
      </c>
      <c r="S69" s="190">
        <v>-617771034.63</v>
      </c>
      <c r="T69" s="190">
        <v>0</v>
      </c>
      <c r="U69" s="190">
        <v>-204524340.52000001</v>
      </c>
      <c r="V69" s="190">
        <v>0</v>
      </c>
      <c r="W69" s="190">
        <v>-488956284.01999998</v>
      </c>
      <c r="X69" s="190">
        <v>0</v>
      </c>
      <c r="Y69" s="190">
        <v>592891844.79999995</v>
      </c>
      <c r="Z69" s="190">
        <v>0</v>
      </c>
      <c r="AA69" s="190">
        <v>-128819902.31</v>
      </c>
      <c r="AB69" s="190">
        <v>0</v>
      </c>
      <c r="AC69" s="190">
        <v>-240562991.19999999</v>
      </c>
      <c r="AD69" s="190">
        <v>0</v>
      </c>
      <c r="AE69" s="190">
        <v>-1283167.74</v>
      </c>
      <c r="AF69" s="190">
        <v>0</v>
      </c>
      <c r="AG69" s="190">
        <v>21073685.140000001</v>
      </c>
      <c r="AH69" s="190">
        <v>0</v>
      </c>
      <c r="AI69" s="190">
        <v>-158636.32999999999</v>
      </c>
      <c r="AJ69" s="190">
        <v>0</v>
      </c>
      <c r="AK69" s="190">
        <v>-292174.2</v>
      </c>
      <c r="AL69" s="190">
        <v>0</v>
      </c>
      <c r="AM69" s="190">
        <v>-611585.43999999994</v>
      </c>
      <c r="AN69" s="190">
        <v>0</v>
      </c>
      <c r="AO69" s="190">
        <v>-4209778.05</v>
      </c>
      <c r="AP69" s="190">
        <v>0</v>
      </c>
      <c r="AQ69" s="190">
        <v>-8412004.8000000007</v>
      </c>
      <c r="AR69" s="190">
        <v>0</v>
      </c>
      <c r="AS69" s="190">
        <v>13324244.859999999</v>
      </c>
      <c r="AT69" s="190">
        <v>0</v>
      </c>
      <c r="AU69" s="190">
        <v>0</v>
      </c>
      <c r="AV69" s="190">
        <v>0</v>
      </c>
      <c r="AW69" s="190">
        <v>6962586.4100000001</v>
      </c>
      <c r="AX69" s="190">
        <v>0</v>
      </c>
      <c r="AY69" s="190">
        <v>0</v>
      </c>
      <c r="AZ69" s="190">
        <v>0</v>
      </c>
      <c r="BA69" s="190">
        <v>-31223327.969999999</v>
      </c>
      <c r="BB69" s="190">
        <v>-39777854.969999999</v>
      </c>
      <c r="BC69" s="190">
        <v>-45370548.880000003</v>
      </c>
      <c r="BD69" s="190">
        <v>-44984721.909999996</v>
      </c>
      <c r="BE69" s="190">
        <v>-318439670.99000001</v>
      </c>
      <c r="BF69" s="190">
        <v>-277675337.48000002</v>
      </c>
      <c r="BG69" s="190">
        <v>-243361897.47999999</v>
      </c>
      <c r="BH69" s="190">
        <v>-156109067.38</v>
      </c>
      <c r="BI69" s="190">
        <v>69402939.780000001</v>
      </c>
      <c r="BJ69" s="190">
        <v>-127067140.53</v>
      </c>
      <c r="BK69" s="190">
        <v>-28667883.329999998</v>
      </c>
      <c r="BL69" s="190">
        <v>-88581604.349999994</v>
      </c>
      <c r="BM69" s="190">
        <v>46532285.009999998</v>
      </c>
      <c r="BN69" s="190">
        <v>-77192979.090000004</v>
      </c>
      <c r="BO69" s="190">
        <v>-99741360.409999996</v>
      </c>
      <c r="BP69" s="190">
        <v>6771450.3099999996</v>
      </c>
      <c r="BQ69" s="190">
        <v>-7089081.2999999998</v>
      </c>
      <c r="BR69" s="190">
        <v>4455370.5199999996</v>
      </c>
      <c r="BS69" s="190">
        <v>-8375594.7699999996</v>
      </c>
      <c r="BT69" s="190">
        <v>2582327.89</v>
      </c>
      <c r="BU69" s="190">
        <v>0</v>
      </c>
    </row>
    <row r="70" spans="1:7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row>
    <row r="71" spans="1:7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0</v>
      </c>
      <c r="BU71" s="190">
        <v>0</v>
      </c>
    </row>
    <row r="72" spans="1:7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0</v>
      </c>
      <c r="BU72" s="190">
        <v>0</v>
      </c>
    </row>
    <row r="73" spans="1:73" x14ac:dyDescent="0.25">
      <c r="A73" s="190" t="s">
        <v>286</v>
      </c>
      <c r="B73" s="190">
        <v>0</v>
      </c>
      <c r="C73" s="190">
        <v>753897378.11000001</v>
      </c>
      <c r="D73" s="190">
        <v>0</v>
      </c>
      <c r="E73" s="190">
        <v>436367868.08999997</v>
      </c>
      <c r="F73" s="190">
        <v>0</v>
      </c>
      <c r="G73" s="190">
        <v>397234182.29000002</v>
      </c>
      <c r="H73" s="190">
        <v>0</v>
      </c>
      <c r="I73" s="190">
        <v>998723002.13</v>
      </c>
      <c r="J73" s="190">
        <v>0</v>
      </c>
      <c r="K73" s="190">
        <v>1310377429.4100001</v>
      </c>
      <c r="L73" s="190">
        <v>0</v>
      </c>
      <c r="M73" s="190">
        <v>346233357.17000002</v>
      </c>
      <c r="N73" s="190">
        <v>0</v>
      </c>
      <c r="O73" s="190">
        <v>329925239.58999997</v>
      </c>
      <c r="P73" s="190">
        <v>0</v>
      </c>
      <c r="Q73" s="190">
        <v>1969562845.9400001</v>
      </c>
      <c r="R73" s="190">
        <v>0</v>
      </c>
      <c r="S73" s="190">
        <v>331840848.13</v>
      </c>
      <c r="T73" s="190">
        <v>0</v>
      </c>
      <c r="U73" s="190">
        <v>450606371.35000002</v>
      </c>
      <c r="V73" s="190">
        <v>0</v>
      </c>
      <c r="W73" s="190">
        <v>256054900.88</v>
      </c>
      <c r="X73" s="190">
        <v>0</v>
      </c>
      <c r="Y73" s="190">
        <v>823152216.92999995</v>
      </c>
      <c r="Z73" s="190">
        <v>0</v>
      </c>
      <c r="AA73" s="190">
        <v>238801970.36000001</v>
      </c>
      <c r="AB73" s="190">
        <v>0</v>
      </c>
      <c r="AC73" s="190">
        <v>389505765.57999998</v>
      </c>
      <c r="AD73" s="190">
        <v>0</v>
      </c>
      <c r="AE73" s="190">
        <v>357891.61</v>
      </c>
      <c r="AF73" s="190">
        <v>432840.36</v>
      </c>
      <c r="AG73" s="190">
        <v>1641059.35</v>
      </c>
      <c r="AH73" s="190">
        <v>0</v>
      </c>
      <c r="AI73" s="190">
        <v>408737.88</v>
      </c>
      <c r="AJ73" s="190">
        <v>294989.28000000003</v>
      </c>
      <c r="AK73" s="190">
        <v>567374.21</v>
      </c>
      <c r="AL73" s="190">
        <v>149172.9</v>
      </c>
      <c r="AM73" s="190">
        <v>247962.97</v>
      </c>
      <c r="AN73" s="190">
        <v>528471.81000000006</v>
      </c>
      <c r="AO73" s="190">
        <v>535108.41</v>
      </c>
      <c r="AP73" s="190">
        <v>1997288.68</v>
      </c>
      <c r="AQ73" s="190">
        <v>1596904.73</v>
      </c>
      <c r="AR73" s="190">
        <v>3671275.8</v>
      </c>
      <c r="AS73" s="190">
        <v>15985969.529999999</v>
      </c>
      <c r="AT73" s="190">
        <v>7460925.71</v>
      </c>
      <c r="AU73" s="190">
        <v>8511971.4000000004</v>
      </c>
      <c r="AV73" s="190">
        <v>13812006.470000001</v>
      </c>
      <c r="AW73" s="190">
        <v>10885333.24</v>
      </c>
      <c r="AX73" s="190">
        <v>8527816.3599999994</v>
      </c>
      <c r="AY73" s="190">
        <v>11255685.550000001</v>
      </c>
      <c r="AZ73" s="190">
        <v>3173041.77</v>
      </c>
      <c r="BA73" s="190">
        <v>15379893.4</v>
      </c>
      <c r="BB73" s="190">
        <v>10394963.039999999</v>
      </c>
      <c r="BC73" s="190">
        <v>5070086.91</v>
      </c>
      <c r="BD73" s="190">
        <v>6028307.2599999998</v>
      </c>
      <c r="BE73" s="190">
        <v>57542303.329999998</v>
      </c>
      <c r="BF73" s="190">
        <v>289970750.25</v>
      </c>
      <c r="BG73" s="190">
        <v>165748121.43000001</v>
      </c>
      <c r="BH73" s="190">
        <v>218795792.46000001</v>
      </c>
      <c r="BI73" s="190">
        <v>338368175.68000001</v>
      </c>
      <c r="BJ73" s="190">
        <v>289970750.25</v>
      </c>
      <c r="BK73" s="190">
        <v>347845847.88999999</v>
      </c>
      <c r="BL73" s="190">
        <v>355757252.56999999</v>
      </c>
      <c r="BM73" s="190">
        <v>273099947.05000001</v>
      </c>
      <c r="BN73" s="190">
        <v>303869580.30000001</v>
      </c>
      <c r="BO73" s="190">
        <v>221556058.13999999</v>
      </c>
      <c r="BP73" s="190">
        <v>128024793.77</v>
      </c>
      <c r="BQ73" s="190">
        <v>47665773.859999999</v>
      </c>
      <c r="BR73" s="190">
        <v>119104358.29000001</v>
      </c>
      <c r="BS73" s="190">
        <v>69939067.840000004</v>
      </c>
      <c r="BT73" s="190">
        <v>18229681.219999999</v>
      </c>
      <c r="BU73" s="190">
        <v>0</v>
      </c>
    </row>
    <row r="74" spans="1:73" x14ac:dyDescent="0.25">
      <c r="A74" s="190" t="s">
        <v>287</v>
      </c>
      <c r="B74" s="190">
        <v>0</v>
      </c>
      <c r="C74" s="190">
        <v>436367868.08999997</v>
      </c>
      <c r="D74" s="190">
        <v>0</v>
      </c>
      <c r="E74" s="190">
        <v>998723002.13</v>
      </c>
      <c r="F74" s="190">
        <v>0</v>
      </c>
      <c r="G74" s="190">
        <v>998723002.13</v>
      </c>
      <c r="H74" s="190">
        <v>0</v>
      </c>
      <c r="I74" s="190">
        <v>346233357.17000002</v>
      </c>
      <c r="J74" s="190">
        <v>0</v>
      </c>
      <c r="K74" s="190">
        <v>346233357.17000002</v>
      </c>
      <c r="L74" s="190">
        <v>0</v>
      </c>
      <c r="M74" s="190">
        <v>1969562845.9400001</v>
      </c>
      <c r="N74" s="190">
        <v>0</v>
      </c>
      <c r="O74" s="190">
        <v>1969562845.9400001</v>
      </c>
      <c r="P74" s="190">
        <v>0</v>
      </c>
      <c r="Q74" s="190">
        <v>450606371.35000002</v>
      </c>
      <c r="R74" s="190">
        <v>0</v>
      </c>
      <c r="S74" s="190">
        <v>450606371.35000002</v>
      </c>
      <c r="T74" s="190">
        <v>0</v>
      </c>
      <c r="U74" s="190">
        <v>823152216.92999995</v>
      </c>
      <c r="V74" s="190">
        <v>0</v>
      </c>
      <c r="W74" s="190">
        <v>823152216.92999995</v>
      </c>
      <c r="X74" s="190">
        <v>0</v>
      </c>
      <c r="Y74" s="190">
        <v>389505765.57999998</v>
      </c>
      <c r="Z74" s="190">
        <v>0</v>
      </c>
      <c r="AA74" s="190">
        <v>389505765.57999998</v>
      </c>
      <c r="AB74" s="190">
        <v>0</v>
      </c>
      <c r="AC74" s="190">
        <v>231872962.27000001</v>
      </c>
      <c r="AD74" s="190">
        <v>0</v>
      </c>
      <c r="AE74" s="190">
        <v>1641059.35</v>
      </c>
      <c r="AF74" s="190">
        <v>1641059.35</v>
      </c>
      <c r="AG74" s="190">
        <v>567374.21</v>
      </c>
      <c r="AH74" s="190">
        <v>0</v>
      </c>
      <c r="AI74" s="190">
        <v>567374.21</v>
      </c>
      <c r="AJ74" s="190">
        <v>567374.21</v>
      </c>
      <c r="AK74" s="190">
        <v>535108.41</v>
      </c>
      <c r="AL74" s="190">
        <v>535108.41</v>
      </c>
      <c r="AM74" s="190">
        <v>535108.41</v>
      </c>
      <c r="AN74" s="190">
        <v>535108.41</v>
      </c>
      <c r="AO74" s="190">
        <v>15985969.529999999</v>
      </c>
      <c r="AP74" s="190">
        <v>15985969.529999999</v>
      </c>
      <c r="AQ74" s="190">
        <v>15985969.529999999</v>
      </c>
      <c r="AR74" s="190">
        <v>15985969.529999999</v>
      </c>
      <c r="AS74" s="190">
        <v>10885333.24</v>
      </c>
      <c r="AT74" s="190">
        <v>10885333.24</v>
      </c>
      <c r="AU74" s="190">
        <v>10885333.24</v>
      </c>
      <c r="AV74" s="190">
        <v>10885333.24</v>
      </c>
      <c r="AW74" s="190">
        <v>15379893.4</v>
      </c>
      <c r="AX74" s="190">
        <v>15379893.4</v>
      </c>
      <c r="AY74" s="190">
        <v>15379893.4</v>
      </c>
      <c r="AZ74" s="190">
        <v>15379893.4</v>
      </c>
      <c r="BA74" s="190">
        <v>113758912.05</v>
      </c>
      <c r="BB74" s="190">
        <v>57542303.329999998</v>
      </c>
      <c r="BC74" s="190">
        <v>57542303.329999998</v>
      </c>
      <c r="BD74" s="190">
        <v>57542303.329999998</v>
      </c>
      <c r="BE74" s="190">
        <v>338368175.68000001</v>
      </c>
      <c r="BF74" s="190">
        <v>273099947.05000001</v>
      </c>
      <c r="BG74" s="190">
        <v>338368175.68000001</v>
      </c>
      <c r="BH74" s="190">
        <v>338368175.68000001</v>
      </c>
      <c r="BI74" s="190">
        <v>273099947.05000001</v>
      </c>
      <c r="BJ74" s="190">
        <v>273099947.05000001</v>
      </c>
      <c r="BK74" s="190">
        <v>273099947.05000001</v>
      </c>
      <c r="BL74" s="190">
        <v>273099947.05000001</v>
      </c>
      <c r="BM74" s="190">
        <v>221556058.13999999</v>
      </c>
      <c r="BN74" s="190">
        <v>221556058.13999999</v>
      </c>
      <c r="BO74" s="190">
        <v>53634572.840000004</v>
      </c>
      <c r="BP74" s="190">
        <v>53634572.840000004</v>
      </c>
      <c r="BQ74" s="190">
        <v>69939067.840000004</v>
      </c>
      <c r="BR74" s="190">
        <v>69939067.840000004</v>
      </c>
      <c r="BS74" s="190">
        <v>18229681.219999999</v>
      </c>
      <c r="BT74" s="190">
        <v>84797442.760000005</v>
      </c>
      <c r="BU74" s="190">
        <v>0</v>
      </c>
    </row>
    <row r="75" spans="1:7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5939565.4199999999</v>
      </c>
      <c r="BU75" s="190">
        <v>0</v>
      </c>
    </row>
    <row r="76" spans="1:7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row>
    <row r="77" spans="1:73" x14ac:dyDescent="0.25">
      <c r="A77" s="190" t="s">
        <v>290</v>
      </c>
      <c r="B77" s="190">
        <v>0</v>
      </c>
      <c r="C77" s="190">
        <v>317529510.01999998</v>
      </c>
      <c r="D77" s="190">
        <v>0</v>
      </c>
      <c r="E77" s="190">
        <v>-562355134.03999996</v>
      </c>
      <c r="F77" s="190">
        <v>0</v>
      </c>
      <c r="G77" s="190">
        <v>-601488819.84000003</v>
      </c>
      <c r="H77" s="190">
        <v>0</v>
      </c>
      <c r="I77" s="190">
        <v>652489644.96000004</v>
      </c>
      <c r="J77" s="190">
        <v>0</v>
      </c>
      <c r="K77" s="190">
        <v>964144072.24000001</v>
      </c>
      <c r="L77" s="190">
        <v>0</v>
      </c>
      <c r="M77" s="190">
        <v>-1623329488.77</v>
      </c>
      <c r="N77" s="190">
        <v>0</v>
      </c>
      <c r="O77" s="190">
        <v>-1639637606.3499999</v>
      </c>
      <c r="P77" s="190">
        <v>0</v>
      </c>
      <c r="Q77" s="190">
        <v>1518956474.5899999</v>
      </c>
      <c r="R77" s="190">
        <v>0</v>
      </c>
      <c r="S77" s="190">
        <v>-118765523.22</v>
      </c>
      <c r="T77" s="190">
        <v>0</v>
      </c>
      <c r="U77" s="190">
        <v>-372545845.57999998</v>
      </c>
      <c r="V77" s="190">
        <v>0</v>
      </c>
      <c r="W77" s="190">
        <v>-567097316.04999995</v>
      </c>
      <c r="X77" s="190">
        <v>0</v>
      </c>
      <c r="Y77" s="190">
        <v>433646451.35000002</v>
      </c>
      <c r="Z77" s="190">
        <v>0</v>
      </c>
      <c r="AA77" s="190">
        <v>-150703795.22</v>
      </c>
      <c r="AB77" s="190">
        <v>0</v>
      </c>
      <c r="AC77" s="190">
        <v>157632803.31</v>
      </c>
      <c r="AD77" s="190">
        <v>0</v>
      </c>
      <c r="AE77" s="190">
        <v>-1283167.74</v>
      </c>
      <c r="AF77" s="190">
        <v>-1208218.99</v>
      </c>
      <c r="AG77" s="190">
        <v>1073685.1399999999</v>
      </c>
      <c r="AH77" s="190">
        <v>0</v>
      </c>
      <c r="AI77" s="190">
        <v>-158636.32999999999</v>
      </c>
      <c r="AJ77" s="190">
        <v>-272384.93</v>
      </c>
      <c r="AK77" s="190">
        <v>32265.8</v>
      </c>
      <c r="AL77" s="190">
        <v>-385935.51</v>
      </c>
      <c r="AM77" s="190">
        <v>-287145.44</v>
      </c>
      <c r="AN77" s="190">
        <v>-6636.6</v>
      </c>
      <c r="AO77" s="190">
        <v>-15450861.119999999</v>
      </c>
      <c r="AP77" s="190">
        <v>-13988680.85</v>
      </c>
      <c r="AQ77" s="190">
        <v>-14389064.800000001</v>
      </c>
      <c r="AR77" s="190">
        <v>-12314693.73</v>
      </c>
      <c r="AS77" s="190">
        <v>5100636.29</v>
      </c>
      <c r="AT77" s="190">
        <v>-3424407.53</v>
      </c>
      <c r="AU77" s="190">
        <v>-2373361.84</v>
      </c>
      <c r="AV77" s="190">
        <v>2926673.23</v>
      </c>
      <c r="AW77" s="190">
        <v>-4494560.16</v>
      </c>
      <c r="AX77" s="190">
        <v>-6852077.04</v>
      </c>
      <c r="AY77" s="190">
        <v>-4124207.85</v>
      </c>
      <c r="AZ77" s="190">
        <v>-12206851.630000001</v>
      </c>
      <c r="BA77" s="190">
        <v>-98379018.650000006</v>
      </c>
      <c r="BB77" s="190">
        <v>-47147340.289999999</v>
      </c>
      <c r="BC77" s="190">
        <v>-52472216.420000002</v>
      </c>
      <c r="BD77" s="190">
        <v>-51513996.07</v>
      </c>
      <c r="BE77" s="190">
        <v>-280825872.35000002</v>
      </c>
      <c r="BF77" s="190">
        <v>16870803.199999999</v>
      </c>
      <c r="BG77" s="190">
        <v>-172620054.25</v>
      </c>
      <c r="BH77" s="190">
        <v>-119572383.22</v>
      </c>
      <c r="BI77" s="190">
        <v>65268228.630000003</v>
      </c>
      <c r="BJ77" s="190">
        <v>16870803.199999999</v>
      </c>
      <c r="BK77" s="190">
        <v>74745900.840000004</v>
      </c>
      <c r="BL77" s="190">
        <v>82657305.519999996</v>
      </c>
      <c r="BM77" s="190">
        <v>51543888.909999996</v>
      </c>
      <c r="BN77" s="190">
        <v>82313522.159999996</v>
      </c>
      <c r="BO77" s="190">
        <v>167921485.30000001</v>
      </c>
      <c r="BP77" s="190">
        <v>74390220.930000007</v>
      </c>
      <c r="BQ77" s="190">
        <v>-22273293.98</v>
      </c>
      <c r="BR77" s="190">
        <v>49165290.450000003</v>
      </c>
      <c r="BS77" s="190">
        <v>51709386.619999997</v>
      </c>
      <c r="BT77" s="190">
        <v>-60628196.119999997</v>
      </c>
      <c r="BU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6" width="19.33203125" hidden="1" customWidth="1"/>
    <col min="27" max="28" width="21.44140625" hidden="1" customWidth="1"/>
    <col min="29" max="29" width="21.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9" hidden="1" customWidth="1"/>
    <col min="44" max="44" width="20.44140625" hidden="1" customWidth="1"/>
    <col min="45" max="45" width="20.44140625" bestFit="1" customWidth="1"/>
    <col min="46" max="48" width="20.44140625" hidden="1" customWidth="1"/>
    <col min="49" max="49" width="20.44140625" bestFit="1" customWidth="1"/>
    <col min="50" max="51" width="19" hidden="1" customWidth="1"/>
    <col min="52" max="52" width="18.33203125" hidden="1" customWidth="1"/>
    <col min="53" max="53" width="19" bestFit="1" customWidth="1"/>
    <col min="54" max="55" width="19" hidden="1" customWidth="1"/>
    <col min="56" max="56" width="19.33203125" hidden="1" customWidth="1"/>
    <col min="57" max="57" width="19" bestFit="1" customWidth="1"/>
    <col min="58" max="58" width="19.33203125" hidden="1" customWidth="1"/>
    <col min="59"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7.77734375" hidden="1" customWidth="1"/>
    <col min="71" max="71" width="17.77734375" bestFit="1" customWidth="1"/>
    <col min="72" max="72" width="17.77734375" hidden="1" customWidth="1"/>
    <col min="73" max="73" width="17.77734375" bestFit="1" customWidth="1"/>
    <col min="74" max="74" width="17.77734375" hidden="1" customWidth="1"/>
    <col min="75" max="75" width="17.77734375" bestFit="1" customWidth="1"/>
    <col min="76" max="76" width="17.77734375" hidden="1" customWidth="1"/>
    <col min="77" max="77" width="17.77734375" bestFit="1" customWidth="1"/>
    <col min="78" max="78" width="17.77734375" hidden="1" customWidth="1"/>
    <col min="79" max="81" width="17.77734375"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863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20040331</v>
      </c>
      <c r="BI1" s="190">
        <v>20031231</v>
      </c>
      <c r="BJ1" s="190">
        <v>20030930</v>
      </c>
      <c r="BK1" s="190">
        <v>20030630</v>
      </c>
      <c r="BL1" s="190">
        <v>20030331</v>
      </c>
      <c r="BM1" s="190">
        <v>20021231</v>
      </c>
      <c r="BN1" s="190">
        <v>20020930</v>
      </c>
      <c r="BO1" s="190">
        <v>20020630</v>
      </c>
      <c r="BP1" s="190">
        <v>20020331</v>
      </c>
      <c r="BQ1" s="190">
        <v>20011231</v>
      </c>
      <c r="BR1" s="190">
        <v>20010630</v>
      </c>
      <c r="BS1" s="190">
        <v>20001231</v>
      </c>
      <c r="BT1" s="190">
        <v>20000630</v>
      </c>
      <c r="BU1" s="190">
        <v>19991231</v>
      </c>
      <c r="BV1" s="190">
        <v>19990630</v>
      </c>
      <c r="BW1" s="190">
        <v>19981231</v>
      </c>
      <c r="BX1" s="190">
        <v>19980630</v>
      </c>
      <c r="BY1" s="190">
        <v>19971231</v>
      </c>
      <c r="BZ1" s="190">
        <v>19970630</v>
      </c>
      <c r="CA1" s="190">
        <v>19961231</v>
      </c>
      <c r="CB1" s="190">
        <v>19951231</v>
      </c>
      <c r="CC1" s="190">
        <v>19941231</v>
      </c>
      <c r="CD1" s="190">
        <v>19700101</v>
      </c>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359860682.95999998</v>
      </c>
      <c r="C4" s="190">
        <v>754455611.11000001</v>
      </c>
      <c r="D4" s="190">
        <v>277995852.20999998</v>
      </c>
      <c r="E4" s="190">
        <v>436926101.08999997</v>
      </c>
      <c r="F4" s="190">
        <v>929987175.30999994</v>
      </c>
      <c r="G4" s="190">
        <v>397234182.29000002</v>
      </c>
      <c r="H4" s="190">
        <v>346026809.07999998</v>
      </c>
      <c r="I4" s="190">
        <v>998723002.13</v>
      </c>
      <c r="J4" s="190">
        <v>634024893.62</v>
      </c>
      <c r="K4" s="190">
        <v>1310583929.4100001</v>
      </c>
      <c r="L4" s="190">
        <v>1237618464.4100001</v>
      </c>
      <c r="M4" s="190">
        <v>356153357.17000002</v>
      </c>
      <c r="N4" s="190">
        <v>323832045.43000001</v>
      </c>
      <c r="O4" s="190">
        <v>329925239.58999997</v>
      </c>
      <c r="P4" s="190">
        <v>465798612.18000001</v>
      </c>
      <c r="Q4" s="190">
        <v>1969562845.9400001</v>
      </c>
      <c r="R4" s="190">
        <v>443669999.00999999</v>
      </c>
      <c r="S4" s="190">
        <v>331840848.13</v>
      </c>
      <c r="T4" s="190">
        <v>483086631.05000001</v>
      </c>
      <c r="U4" s="190">
        <v>450606371.35000002</v>
      </c>
      <c r="V4" s="190">
        <v>490078767.02999997</v>
      </c>
      <c r="W4" s="190">
        <v>256054900.88</v>
      </c>
      <c r="X4" s="190">
        <v>426862825.61000001</v>
      </c>
      <c r="Y4" s="190">
        <v>823152216.92999995</v>
      </c>
      <c r="Z4" s="190">
        <v>461688678.12</v>
      </c>
      <c r="AA4" s="190">
        <v>238801970.36000001</v>
      </c>
      <c r="AB4" s="190">
        <v>135544730.97999999</v>
      </c>
      <c r="AC4" s="190">
        <v>389505765.57999998</v>
      </c>
      <c r="AD4" s="190">
        <v>466216.12</v>
      </c>
      <c r="AE4" s="190">
        <v>357891.61</v>
      </c>
      <c r="AF4" s="190">
        <v>432840.36</v>
      </c>
      <c r="AG4" s="190">
        <v>1641059.35</v>
      </c>
      <c r="AH4" s="190">
        <v>254163.5</v>
      </c>
      <c r="AI4" s="190">
        <v>408737.88</v>
      </c>
      <c r="AJ4" s="190">
        <v>294989.28000000003</v>
      </c>
      <c r="AK4" s="190">
        <v>567374.21</v>
      </c>
      <c r="AL4" s="190">
        <v>149172.9</v>
      </c>
      <c r="AM4" s="190">
        <v>247962.97</v>
      </c>
      <c r="AN4" s="190">
        <v>528471.81000000006</v>
      </c>
      <c r="AO4" s="190">
        <v>535108.41</v>
      </c>
      <c r="AP4" s="190">
        <v>1997288.68</v>
      </c>
      <c r="AQ4" s="190">
        <v>1596904.73</v>
      </c>
      <c r="AR4" s="190">
        <v>3671275.8</v>
      </c>
      <c r="AS4" s="190">
        <v>15985969.529999999</v>
      </c>
      <c r="AT4" s="190">
        <v>7460925.71</v>
      </c>
      <c r="AU4" s="190">
        <v>8511971.4000000004</v>
      </c>
      <c r="AV4" s="190">
        <v>13812006.470000001</v>
      </c>
      <c r="AW4" s="190">
        <v>10885333.24</v>
      </c>
      <c r="AX4" s="190">
        <v>8527816.3599999994</v>
      </c>
      <c r="AY4" s="190">
        <v>11255685.550000001</v>
      </c>
      <c r="AZ4" s="190">
        <v>0</v>
      </c>
      <c r="BA4" s="190">
        <v>15379893.4</v>
      </c>
      <c r="BB4" s="190">
        <v>10394963.039999999</v>
      </c>
      <c r="BC4" s="190">
        <v>5070086.91</v>
      </c>
      <c r="BD4" s="190">
        <v>6028307.2599999998</v>
      </c>
      <c r="BE4" s="190">
        <v>114701814.88</v>
      </c>
      <c r="BF4" s="190">
        <v>156125796.11000001</v>
      </c>
      <c r="BG4" s="190">
        <v>165748121.43000001</v>
      </c>
      <c r="BH4" s="190">
        <v>218795792.46000001</v>
      </c>
      <c r="BI4" s="190">
        <v>338368175.68000001</v>
      </c>
      <c r="BJ4" s="190">
        <v>289970750.25</v>
      </c>
      <c r="BK4" s="190">
        <v>347845847.88999999</v>
      </c>
      <c r="BL4" s="190">
        <v>355757252.56999999</v>
      </c>
      <c r="BM4" s="190">
        <v>273099947.05000001</v>
      </c>
      <c r="BN4" s="190">
        <v>145294670.44</v>
      </c>
      <c r="BO4" s="190">
        <v>303869580.30000001</v>
      </c>
      <c r="BP4" s="190">
        <v>227671628.03999999</v>
      </c>
      <c r="BQ4" s="190">
        <v>221556058.13999999</v>
      </c>
      <c r="BR4" s="190">
        <v>128024793.77</v>
      </c>
      <c r="BS4" s="190">
        <v>53634572.840000004</v>
      </c>
      <c r="BT4" s="190">
        <v>119104358.29000001</v>
      </c>
      <c r="BU4" s="190">
        <v>69939067.840000004</v>
      </c>
      <c r="BV4" s="190">
        <v>16689141.880000001</v>
      </c>
      <c r="BW4" s="190">
        <v>18229681.219999999</v>
      </c>
      <c r="BX4" s="190">
        <v>54899105</v>
      </c>
      <c r="BY4" s="190">
        <v>84797442.760000005</v>
      </c>
      <c r="BZ4" s="190">
        <v>6152356.9900000002</v>
      </c>
      <c r="CA4" s="190">
        <v>7469187.54</v>
      </c>
      <c r="CB4" s="190">
        <v>9023293.9000000004</v>
      </c>
      <c r="CC4" s="190">
        <v>2977734.29</v>
      </c>
      <c r="CD4" s="190">
        <v>0</v>
      </c>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290000000</v>
      </c>
      <c r="M5" s="190">
        <v>0</v>
      </c>
      <c r="N5" s="190">
        <v>0</v>
      </c>
      <c r="O5" s="190">
        <v>0</v>
      </c>
      <c r="P5" s="190">
        <v>0</v>
      </c>
      <c r="Q5" s="190">
        <v>0</v>
      </c>
      <c r="R5" s="190">
        <v>0</v>
      </c>
      <c r="S5" s="190">
        <v>76670</v>
      </c>
      <c r="T5" s="190">
        <v>74970</v>
      </c>
      <c r="U5" s="190">
        <v>81090</v>
      </c>
      <c r="V5" s="190">
        <v>91120</v>
      </c>
      <c r="W5" s="190">
        <v>83130</v>
      </c>
      <c r="X5" s="190">
        <v>121550</v>
      </c>
      <c r="Y5" s="190">
        <v>132940</v>
      </c>
      <c r="Z5" s="190">
        <v>154190</v>
      </c>
      <c r="AA5" s="190">
        <v>131580</v>
      </c>
      <c r="AB5" s="190">
        <v>150450</v>
      </c>
      <c r="AC5" s="190">
        <v>153170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v>16000000</v>
      </c>
      <c r="BI5" s="190">
        <v>16600472.5</v>
      </c>
      <c r="BJ5" s="190">
        <v>21346898.309999999</v>
      </c>
      <c r="BK5" s="190">
        <v>16000000</v>
      </c>
      <c r="BL5" s="190">
        <v>195000</v>
      </c>
      <c r="BM5" s="190">
        <v>195000</v>
      </c>
      <c r="BN5" s="190">
        <v>200000</v>
      </c>
      <c r="BO5" s="190">
        <v>0</v>
      </c>
      <c r="BP5" s="190">
        <v>0</v>
      </c>
      <c r="BQ5" s="190">
        <v>0</v>
      </c>
      <c r="BR5" s="190">
        <v>12158400</v>
      </c>
      <c r="BS5" s="190">
        <v>0</v>
      </c>
      <c r="BT5" s="190">
        <v>0</v>
      </c>
      <c r="BU5" s="190">
        <v>1000150</v>
      </c>
      <c r="BV5" s="190">
        <v>0</v>
      </c>
      <c r="BW5" s="190">
        <v>5939565.4199999999</v>
      </c>
      <c r="BX5" s="190">
        <v>25470920.780000001</v>
      </c>
      <c r="BY5" s="190">
        <v>0</v>
      </c>
      <c r="BZ5" s="190">
        <v>0</v>
      </c>
      <c r="CA5" s="190">
        <v>0</v>
      </c>
      <c r="CB5" s="190">
        <v>0</v>
      </c>
      <c r="CC5" s="190">
        <v>0</v>
      </c>
      <c r="CD5" s="190">
        <v>0</v>
      </c>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v>0</v>
      </c>
      <c r="BI6" s="190">
        <v>0</v>
      </c>
      <c r="BJ6" s="190">
        <v>0</v>
      </c>
      <c r="BK6" s="190">
        <v>0</v>
      </c>
      <c r="BL6" s="190">
        <v>0</v>
      </c>
      <c r="BM6" s="190">
        <v>0</v>
      </c>
      <c r="BN6" s="190">
        <v>0</v>
      </c>
      <c r="BO6" s="190">
        <v>0</v>
      </c>
      <c r="BP6" s="190">
        <v>0</v>
      </c>
      <c r="BQ6" s="190">
        <v>0</v>
      </c>
      <c r="BR6" s="190">
        <v>0</v>
      </c>
      <c r="BS6" s="190">
        <v>0</v>
      </c>
      <c r="BT6" s="190">
        <v>0</v>
      </c>
      <c r="BU6" s="190">
        <v>0</v>
      </c>
      <c r="BV6" s="190">
        <v>0</v>
      </c>
      <c r="BW6" s="190">
        <v>0</v>
      </c>
      <c r="BX6" s="190">
        <v>0</v>
      </c>
      <c r="BY6" s="190">
        <v>0</v>
      </c>
      <c r="BZ6" s="190">
        <v>0</v>
      </c>
      <c r="CA6" s="190">
        <v>0</v>
      </c>
      <c r="CB6" s="190">
        <v>0</v>
      </c>
      <c r="CC6" s="190">
        <v>0</v>
      </c>
      <c r="CD6" s="190">
        <v>0</v>
      </c>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v>0</v>
      </c>
      <c r="BI7" s="190">
        <v>0</v>
      </c>
      <c r="BJ7" s="190">
        <v>0</v>
      </c>
      <c r="BK7" s="190">
        <v>0</v>
      </c>
      <c r="BL7" s="190">
        <v>0</v>
      </c>
      <c r="BM7" s="190">
        <v>0</v>
      </c>
      <c r="BN7" s="190">
        <v>0</v>
      </c>
      <c r="BO7" s="190">
        <v>0</v>
      </c>
      <c r="BP7" s="190">
        <v>0</v>
      </c>
      <c r="BQ7" s="190">
        <v>0</v>
      </c>
      <c r="BR7" s="190">
        <v>0</v>
      </c>
      <c r="BS7" s="190">
        <v>0</v>
      </c>
      <c r="BT7" s="190">
        <v>0</v>
      </c>
      <c r="BU7" s="190">
        <v>0</v>
      </c>
      <c r="BV7" s="190">
        <v>0</v>
      </c>
      <c r="BW7" s="190">
        <v>0</v>
      </c>
      <c r="BX7" s="190">
        <v>0</v>
      </c>
      <c r="BY7" s="190">
        <v>0</v>
      </c>
      <c r="BZ7" s="190">
        <v>0</v>
      </c>
      <c r="CA7" s="190">
        <v>0</v>
      </c>
      <c r="CB7" s="190">
        <v>0</v>
      </c>
      <c r="CC7" s="190">
        <v>0</v>
      </c>
      <c r="CD7" s="190">
        <v>0</v>
      </c>
      <c r="CE7" s="190"/>
      <c r="CF7" s="190"/>
      <c r="CG7" s="190"/>
      <c r="CH7" s="190"/>
      <c r="CI7" s="190"/>
      <c r="CJ7" s="190"/>
      <c r="CK7" s="190"/>
      <c r="CL7" s="190"/>
    </row>
    <row r="8" spans="1:90" x14ac:dyDescent="0.25">
      <c r="A8" s="17" t="s">
        <v>5</v>
      </c>
      <c r="B8" s="190">
        <v>40000000</v>
      </c>
      <c r="C8" s="190">
        <v>40000000</v>
      </c>
      <c r="D8" s="190">
        <v>40000000</v>
      </c>
      <c r="E8" s="190">
        <v>25000000</v>
      </c>
      <c r="F8" s="190">
        <v>45200000</v>
      </c>
      <c r="G8" s="190">
        <v>45200000</v>
      </c>
      <c r="H8" s="190">
        <v>45200000</v>
      </c>
      <c r="I8" s="190">
        <v>45200000</v>
      </c>
      <c r="J8" s="190">
        <v>20200000</v>
      </c>
      <c r="K8" s="190">
        <v>20200000</v>
      </c>
      <c r="L8" s="190">
        <v>0</v>
      </c>
      <c r="M8" s="190">
        <v>0</v>
      </c>
      <c r="N8" s="190">
        <v>50050000</v>
      </c>
      <c r="O8" s="190">
        <v>50050000</v>
      </c>
      <c r="P8" s="190">
        <v>119350000</v>
      </c>
      <c r="Q8" s="190">
        <v>119350000</v>
      </c>
      <c r="R8" s="190">
        <v>150150000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c r="BW8" s="190">
        <v>0</v>
      </c>
      <c r="BX8" s="190">
        <v>0</v>
      </c>
      <c r="BY8" s="190">
        <v>0</v>
      </c>
      <c r="BZ8" s="190">
        <v>0</v>
      </c>
      <c r="CA8" s="190">
        <v>0</v>
      </c>
      <c r="CB8" s="190">
        <v>0</v>
      </c>
      <c r="CC8" s="190">
        <v>0</v>
      </c>
      <c r="CD8" s="190">
        <v>0</v>
      </c>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v>0</v>
      </c>
      <c r="BI9" s="190">
        <v>0</v>
      </c>
      <c r="BJ9" s="190">
        <v>0</v>
      </c>
      <c r="BK9" s="190">
        <v>0</v>
      </c>
      <c r="BL9" s="190">
        <v>0</v>
      </c>
      <c r="BM9" s="190">
        <v>0</v>
      </c>
      <c r="BN9" s="190">
        <v>0</v>
      </c>
      <c r="BO9" s="190">
        <v>0</v>
      </c>
      <c r="BP9" s="190">
        <v>0</v>
      </c>
      <c r="BQ9" s="190">
        <v>0</v>
      </c>
      <c r="BR9" s="190">
        <v>0</v>
      </c>
      <c r="BS9" s="190">
        <v>60221.84</v>
      </c>
      <c r="BT9" s="190">
        <v>0</v>
      </c>
      <c r="BU9" s="190">
        <v>66921.84</v>
      </c>
      <c r="BV9" s="190">
        <v>0</v>
      </c>
      <c r="BW9" s="190">
        <v>66921.84</v>
      </c>
      <c r="BX9" s="190">
        <v>66921.84</v>
      </c>
      <c r="BY9" s="190">
        <v>0</v>
      </c>
      <c r="BZ9" s="190">
        <v>0</v>
      </c>
      <c r="CA9" s="190">
        <v>0</v>
      </c>
      <c r="CB9" s="190">
        <v>0</v>
      </c>
      <c r="CC9" s="190">
        <v>0</v>
      </c>
      <c r="CD9" s="190">
        <v>0</v>
      </c>
      <c r="CE9" s="190"/>
      <c r="CF9" s="190"/>
      <c r="CG9" s="190"/>
      <c r="CH9" s="190"/>
      <c r="CI9" s="190"/>
      <c r="CJ9" s="190"/>
      <c r="CK9" s="190"/>
      <c r="CL9" s="190"/>
    </row>
    <row r="10" spans="1:90" x14ac:dyDescent="0.25">
      <c r="A10" s="19" t="s">
        <v>7</v>
      </c>
      <c r="B10" s="190">
        <v>449646582.89999998</v>
      </c>
      <c r="C10" s="190">
        <v>454081347.60000002</v>
      </c>
      <c r="D10" s="190">
        <v>457970976.87</v>
      </c>
      <c r="E10" s="190">
        <v>464165800.42000002</v>
      </c>
      <c r="F10" s="190">
        <v>381547725.36000001</v>
      </c>
      <c r="G10" s="190">
        <v>381330981.06999999</v>
      </c>
      <c r="H10" s="190">
        <v>385189779.07999998</v>
      </c>
      <c r="I10" s="190">
        <v>394940230.05000001</v>
      </c>
      <c r="J10" s="190">
        <v>401972007.54000002</v>
      </c>
      <c r="K10" s="190">
        <v>406741414.81999999</v>
      </c>
      <c r="L10" s="190">
        <v>405698159.06999999</v>
      </c>
      <c r="M10" s="190">
        <v>407938343.27999997</v>
      </c>
      <c r="N10" s="190">
        <v>411335918.17000002</v>
      </c>
      <c r="O10" s="190">
        <v>414547606.12</v>
      </c>
      <c r="P10" s="190">
        <v>418050205.45999998</v>
      </c>
      <c r="Q10" s="190">
        <v>421421422.37</v>
      </c>
      <c r="R10" s="190">
        <v>429350235.95999998</v>
      </c>
      <c r="S10" s="190">
        <v>431880923.38</v>
      </c>
      <c r="T10" s="190">
        <v>431932613.39999998</v>
      </c>
      <c r="U10" s="190">
        <v>440364629.51999998</v>
      </c>
      <c r="V10" s="190">
        <v>306017684.12</v>
      </c>
      <c r="W10" s="190">
        <v>306827976.38</v>
      </c>
      <c r="X10" s="190">
        <v>311168730.72000003</v>
      </c>
      <c r="Y10" s="190">
        <v>312611567.06</v>
      </c>
      <c r="Z10" s="190">
        <v>309441669.12</v>
      </c>
      <c r="AA10" s="190">
        <v>202877261.91999999</v>
      </c>
      <c r="AB10" s="190">
        <v>205099388.62</v>
      </c>
      <c r="AC10" s="190">
        <v>206789766.06999999</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v>0</v>
      </c>
      <c r="BI10" s="190">
        <v>0</v>
      </c>
      <c r="BJ10" s="190">
        <v>0</v>
      </c>
      <c r="BK10" s="190">
        <v>0</v>
      </c>
      <c r="BL10" s="190">
        <v>0</v>
      </c>
      <c r="BM10" s="190">
        <v>0</v>
      </c>
      <c r="BN10" s="190">
        <v>0</v>
      </c>
      <c r="BO10" s="190">
        <v>0</v>
      </c>
      <c r="BP10" s="190">
        <v>0</v>
      </c>
      <c r="BQ10" s="190">
        <v>0</v>
      </c>
      <c r="BR10" s="190">
        <v>0</v>
      </c>
      <c r="BS10" s="190">
        <v>0</v>
      </c>
      <c r="BT10" s="190">
        <v>0</v>
      </c>
      <c r="BU10" s="190">
        <v>0</v>
      </c>
      <c r="BV10" s="190">
        <v>0</v>
      </c>
      <c r="BW10" s="190">
        <v>0</v>
      </c>
      <c r="BX10" s="190">
        <v>0</v>
      </c>
      <c r="BY10" s="190">
        <v>0</v>
      </c>
      <c r="BZ10" s="190">
        <v>0</v>
      </c>
      <c r="CA10" s="190">
        <v>0</v>
      </c>
      <c r="CB10" s="190">
        <v>0</v>
      </c>
      <c r="CC10" s="190">
        <v>0</v>
      </c>
      <c r="CD10" s="190">
        <v>0</v>
      </c>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v>0</v>
      </c>
      <c r="AX11" s="190">
        <v>0</v>
      </c>
      <c r="AY11" s="190">
        <v>0</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0</v>
      </c>
      <c r="BT11" s="190">
        <v>0</v>
      </c>
      <c r="BU11" s="190">
        <v>0</v>
      </c>
      <c r="BV11" s="190">
        <v>0</v>
      </c>
      <c r="BW11" s="190">
        <v>0</v>
      </c>
      <c r="BX11" s="190">
        <v>0</v>
      </c>
      <c r="BY11" s="190">
        <v>0</v>
      </c>
      <c r="BZ11" s="190">
        <v>0</v>
      </c>
      <c r="CA11" s="190">
        <v>0</v>
      </c>
      <c r="CB11" s="190">
        <v>0</v>
      </c>
      <c r="CC11" s="190">
        <v>0</v>
      </c>
      <c r="CD11" s="190">
        <v>0</v>
      </c>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0</v>
      </c>
      <c r="BZ12" s="190">
        <v>0</v>
      </c>
      <c r="CA12" s="190">
        <v>0</v>
      </c>
      <c r="CB12" s="190">
        <v>0</v>
      </c>
      <c r="CC12" s="190">
        <v>0</v>
      </c>
      <c r="CD12" s="190">
        <v>0</v>
      </c>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0</v>
      </c>
      <c r="BZ13" s="190">
        <v>0</v>
      </c>
      <c r="CA13" s="190">
        <v>0</v>
      </c>
      <c r="CB13" s="190">
        <v>0</v>
      </c>
      <c r="CC13" s="190">
        <v>0</v>
      </c>
      <c r="CD13" s="190">
        <v>0</v>
      </c>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849507265.8599999</v>
      </c>
      <c r="C17" s="33">
        <f t="shared" ref="C17:BN17" si="0">SUM(C4:C13)</f>
        <v>1248536958.71</v>
      </c>
      <c r="D17" s="33">
        <f t="shared" si="0"/>
        <v>775966829.07999992</v>
      </c>
      <c r="E17" s="33">
        <f t="shared" si="0"/>
        <v>926091901.50999999</v>
      </c>
      <c r="F17" s="33">
        <f t="shared" si="0"/>
        <v>1356734900.6700001</v>
      </c>
      <c r="G17" s="33">
        <f t="shared" si="0"/>
        <v>823765163.36000001</v>
      </c>
      <c r="H17" s="33">
        <f t="shared" si="0"/>
        <v>776416588.15999997</v>
      </c>
      <c r="I17" s="33">
        <f t="shared" si="0"/>
        <v>1438863232.1800001</v>
      </c>
      <c r="J17" s="33">
        <f t="shared" si="0"/>
        <v>1056196901.1600001</v>
      </c>
      <c r="K17" s="33">
        <f t="shared" si="0"/>
        <v>1737525344.23</v>
      </c>
      <c r="L17" s="33">
        <f t="shared" si="0"/>
        <v>1933316623.48</v>
      </c>
      <c r="M17" s="33">
        <f t="shared" si="0"/>
        <v>764091700.45000005</v>
      </c>
      <c r="N17" s="33">
        <f t="shared" si="0"/>
        <v>785217963.60000002</v>
      </c>
      <c r="O17" s="33">
        <f t="shared" si="0"/>
        <v>794522845.71000004</v>
      </c>
      <c r="P17" s="33">
        <f t="shared" si="0"/>
        <v>1003198817.6400001</v>
      </c>
      <c r="Q17" s="33">
        <f t="shared" si="0"/>
        <v>2510334268.3099999</v>
      </c>
      <c r="R17" s="33">
        <f t="shared" si="0"/>
        <v>1023170234.97</v>
      </c>
      <c r="S17" s="33">
        <f t="shared" si="0"/>
        <v>763798441.50999999</v>
      </c>
      <c r="T17" s="33">
        <f t="shared" si="0"/>
        <v>915094214.45000005</v>
      </c>
      <c r="U17" s="33">
        <f t="shared" si="0"/>
        <v>891052090.87</v>
      </c>
      <c r="V17" s="33">
        <f t="shared" si="0"/>
        <v>796187571.14999998</v>
      </c>
      <c r="W17" s="33">
        <f t="shared" si="0"/>
        <v>562966007.25999999</v>
      </c>
      <c r="X17" s="33">
        <f t="shared" si="0"/>
        <v>738153106.33000004</v>
      </c>
      <c r="Y17" s="33">
        <f t="shared" si="0"/>
        <v>1135896723.99</v>
      </c>
      <c r="Z17" s="33">
        <f t="shared" si="0"/>
        <v>771284537.24000001</v>
      </c>
      <c r="AA17" s="33">
        <f t="shared" si="0"/>
        <v>441810812.27999997</v>
      </c>
      <c r="AB17" s="33">
        <f t="shared" si="0"/>
        <v>340794569.60000002</v>
      </c>
      <c r="AC17" s="33">
        <f t="shared" si="0"/>
        <v>596448701.64999998</v>
      </c>
      <c r="AD17" s="33">
        <f t="shared" si="0"/>
        <v>466216.12</v>
      </c>
      <c r="AE17" s="33">
        <f t="shared" si="0"/>
        <v>357891.61</v>
      </c>
      <c r="AF17" s="33">
        <f t="shared" si="0"/>
        <v>432840.36</v>
      </c>
      <c r="AG17" s="33">
        <f t="shared" si="0"/>
        <v>1641059.35</v>
      </c>
      <c r="AH17" s="33">
        <f t="shared" si="0"/>
        <v>254163.5</v>
      </c>
      <c r="AI17" s="33">
        <f t="shared" si="0"/>
        <v>408737.88</v>
      </c>
      <c r="AJ17" s="33">
        <f t="shared" si="0"/>
        <v>294989.28000000003</v>
      </c>
      <c r="AK17" s="33">
        <f t="shared" si="0"/>
        <v>567374.21</v>
      </c>
      <c r="AL17" s="33">
        <f t="shared" si="0"/>
        <v>149172.9</v>
      </c>
      <c r="AM17" s="33">
        <f t="shared" si="0"/>
        <v>247962.97</v>
      </c>
      <c r="AN17" s="33">
        <f t="shared" si="0"/>
        <v>528471.81000000006</v>
      </c>
      <c r="AO17" s="33">
        <f t="shared" si="0"/>
        <v>535108.41</v>
      </c>
      <c r="AP17" s="33">
        <f t="shared" si="0"/>
        <v>1997288.68</v>
      </c>
      <c r="AQ17" s="33">
        <f t="shared" si="0"/>
        <v>1596904.73</v>
      </c>
      <c r="AR17" s="33">
        <f t="shared" si="0"/>
        <v>3671275.8</v>
      </c>
      <c r="AS17" s="33">
        <f t="shared" si="0"/>
        <v>15985969.529999999</v>
      </c>
      <c r="AT17" s="33">
        <f t="shared" si="0"/>
        <v>7460925.71</v>
      </c>
      <c r="AU17" s="33">
        <f t="shared" si="0"/>
        <v>8511971.4000000004</v>
      </c>
      <c r="AV17" s="33">
        <f t="shared" si="0"/>
        <v>13812006.470000001</v>
      </c>
      <c r="AW17" s="33">
        <f t="shared" si="0"/>
        <v>10885333.24</v>
      </c>
      <c r="AX17" s="33">
        <f t="shared" si="0"/>
        <v>8527816.3599999994</v>
      </c>
      <c r="AY17" s="33">
        <f t="shared" si="0"/>
        <v>11255685.550000001</v>
      </c>
      <c r="AZ17" s="33">
        <f t="shared" si="0"/>
        <v>0</v>
      </c>
      <c r="BA17" s="33">
        <f t="shared" si="0"/>
        <v>15379893.4</v>
      </c>
      <c r="BB17" s="33">
        <f t="shared" si="0"/>
        <v>10394963.039999999</v>
      </c>
      <c r="BC17" s="33">
        <f t="shared" si="0"/>
        <v>5070086.91</v>
      </c>
      <c r="BD17" s="33">
        <f t="shared" si="0"/>
        <v>6028307.2599999998</v>
      </c>
      <c r="BE17" s="33">
        <f t="shared" si="0"/>
        <v>114701814.88</v>
      </c>
      <c r="BF17" s="33">
        <f t="shared" si="0"/>
        <v>156125796.11000001</v>
      </c>
      <c r="BG17" s="33">
        <f t="shared" si="0"/>
        <v>165748121.43000001</v>
      </c>
      <c r="BH17" s="33">
        <f t="shared" si="0"/>
        <v>234795792.46000001</v>
      </c>
      <c r="BI17" s="33">
        <f t="shared" si="0"/>
        <v>354968648.18000001</v>
      </c>
      <c r="BJ17" s="33">
        <f t="shared" si="0"/>
        <v>311317648.56</v>
      </c>
      <c r="BK17" s="33">
        <f t="shared" si="0"/>
        <v>363845847.88999999</v>
      </c>
      <c r="BL17" s="33">
        <f t="shared" si="0"/>
        <v>355952252.56999999</v>
      </c>
      <c r="BM17" s="33">
        <f t="shared" si="0"/>
        <v>273294947.05000001</v>
      </c>
      <c r="BN17" s="33">
        <f t="shared" si="0"/>
        <v>145494670.44</v>
      </c>
      <c r="BO17" s="33">
        <f t="shared" ref="BO17:CK17" si="1">SUM(BO4:BO13)</f>
        <v>303869580.30000001</v>
      </c>
      <c r="BP17" s="33">
        <f t="shared" si="1"/>
        <v>227671628.03999999</v>
      </c>
      <c r="BQ17" s="33">
        <f t="shared" si="1"/>
        <v>221556058.13999999</v>
      </c>
      <c r="BR17" s="33">
        <f t="shared" si="1"/>
        <v>140183193.76999998</v>
      </c>
      <c r="BS17" s="33">
        <f t="shared" si="1"/>
        <v>53694794.680000007</v>
      </c>
      <c r="BT17" s="33">
        <f t="shared" si="1"/>
        <v>119104358.29000001</v>
      </c>
      <c r="BU17" s="33">
        <f t="shared" si="1"/>
        <v>71006139.680000007</v>
      </c>
      <c r="BV17" s="33">
        <f t="shared" si="1"/>
        <v>16689141.880000001</v>
      </c>
      <c r="BW17" s="33">
        <f t="shared" si="1"/>
        <v>24236168.48</v>
      </c>
      <c r="BX17" s="33">
        <f t="shared" si="1"/>
        <v>80436947.620000005</v>
      </c>
      <c r="BY17" s="33">
        <f t="shared" si="1"/>
        <v>84797442.760000005</v>
      </c>
      <c r="BZ17" s="33">
        <f t="shared" si="1"/>
        <v>6152356.9900000002</v>
      </c>
      <c r="CA17" s="33">
        <f t="shared" si="1"/>
        <v>7469187.54</v>
      </c>
      <c r="CB17" s="33">
        <f t="shared" si="1"/>
        <v>9023293.9000000004</v>
      </c>
      <c r="CC17" s="33">
        <f t="shared" si="1"/>
        <v>2977734.29</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394315358.72000003</v>
      </c>
      <c r="C19" s="190">
        <v>386565958.77999997</v>
      </c>
      <c r="D19" s="190">
        <v>403844311.47000003</v>
      </c>
      <c r="E19" s="190">
        <v>403915866.87</v>
      </c>
      <c r="F19" s="190">
        <v>447363408.45999998</v>
      </c>
      <c r="G19" s="190">
        <v>444375867.52999997</v>
      </c>
      <c r="H19" s="190">
        <v>453022802.99000001</v>
      </c>
      <c r="I19" s="190">
        <v>453295920.87</v>
      </c>
      <c r="J19" s="190">
        <v>455520618.37</v>
      </c>
      <c r="K19" s="190">
        <v>455552971.31</v>
      </c>
      <c r="L19" s="190">
        <v>369416304.49000001</v>
      </c>
      <c r="M19" s="190">
        <v>369507558.10000002</v>
      </c>
      <c r="N19" s="190">
        <v>371618200.89999998</v>
      </c>
      <c r="O19" s="190">
        <v>401620545.66000003</v>
      </c>
      <c r="P19" s="190">
        <v>402085418.17000002</v>
      </c>
      <c r="Q19" s="190">
        <v>402190572.31</v>
      </c>
      <c r="R19" s="190">
        <v>401226841.66000003</v>
      </c>
      <c r="S19" s="190">
        <v>551819434.76999998</v>
      </c>
      <c r="T19" s="190">
        <v>549570492.28999996</v>
      </c>
      <c r="U19" s="190">
        <v>549237419.96000004</v>
      </c>
      <c r="V19" s="190">
        <v>554732945.21000004</v>
      </c>
      <c r="W19" s="190">
        <v>247513091</v>
      </c>
      <c r="X19" s="190">
        <v>247812784.97999999</v>
      </c>
      <c r="Y19" s="190">
        <v>218139580.31</v>
      </c>
      <c r="Z19" s="190">
        <v>221938920.36000001</v>
      </c>
      <c r="AA19" s="190">
        <v>215834322.86000001</v>
      </c>
      <c r="AB19" s="190">
        <v>193607895.25999999</v>
      </c>
      <c r="AC19" s="190">
        <v>194315631.08000001</v>
      </c>
      <c r="AD19" s="190">
        <v>45031970.539999999</v>
      </c>
      <c r="AE19" s="190">
        <v>45031970.539999999</v>
      </c>
      <c r="AF19" s="190">
        <v>45031970.539999999</v>
      </c>
      <c r="AG19" s="190">
        <v>45031970.539999999</v>
      </c>
      <c r="AH19" s="190">
        <v>45036417.539999999</v>
      </c>
      <c r="AI19" s="190">
        <v>45036417.539999999</v>
      </c>
      <c r="AJ19" s="190">
        <v>45036417.539999999</v>
      </c>
      <c r="AK19" s="190">
        <v>45036417.539999999</v>
      </c>
      <c r="AL19" s="190">
        <v>46232321.960000001</v>
      </c>
      <c r="AM19" s="190">
        <v>46249721.060000002</v>
      </c>
      <c r="AN19" s="190">
        <v>46249915.490000002</v>
      </c>
      <c r="AO19" s="190">
        <v>46249915.490000002</v>
      </c>
      <c r="AP19" s="190">
        <v>46448435.030000001</v>
      </c>
      <c r="AQ19" s="190">
        <v>46448435.030000001</v>
      </c>
      <c r="AR19" s="190">
        <v>46621892.890000001</v>
      </c>
      <c r="AS19" s="190">
        <v>46621892.890000001</v>
      </c>
      <c r="AT19" s="190">
        <v>51021782.5</v>
      </c>
      <c r="AU19" s="190">
        <v>51021782.5</v>
      </c>
      <c r="AV19" s="190">
        <v>51047379.210000001</v>
      </c>
      <c r="AW19" s="190">
        <v>48209000.299999997</v>
      </c>
      <c r="AX19" s="190">
        <v>31080094.460000001</v>
      </c>
      <c r="AY19" s="190">
        <v>24038511.09</v>
      </c>
      <c r="AZ19" s="190">
        <v>0</v>
      </c>
      <c r="BA19" s="190">
        <v>23940760.68</v>
      </c>
      <c r="BB19" s="190">
        <v>21123595.420000002</v>
      </c>
      <c r="BC19" s="190">
        <v>21132708.809999999</v>
      </c>
      <c r="BD19" s="190">
        <v>21656552.77</v>
      </c>
      <c r="BE19" s="190">
        <v>22011331.800000001</v>
      </c>
      <c r="BF19" s="190">
        <v>21828507.649999999</v>
      </c>
      <c r="BG19" s="190">
        <v>21912655.920000002</v>
      </c>
      <c r="BH19" s="190">
        <v>21923525.120000001</v>
      </c>
      <c r="BI19" s="190">
        <v>21958922.329999998</v>
      </c>
      <c r="BJ19" s="190">
        <v>418858.82</v>
      </c>
      <c r="BK19" s="190">
        <v>418858.82</v>
      </c>
      <c r="BL19" s="190">
        <v>468493.93</v>
      </c>
      <c r="BM19" s="190">
        <v>468493.93</v>
      </c>
      <c r="BN19" s="190">
        <v>518129.04</v>
      </c>
      <c r="BO19" s="190">
        <v>518129.04</v>
      </c>
      <c r="BP19" s="190">
        <v>567764.15</v>
      </c>
      <c r="BQ19" s="190">
        <v>567764.15</v>
      </c>
      <c r="BR19" s="190">
        <v>1538688.4</v>
      </c>
      <c r="BS19" s="190">
        <v>37201034.369999997</v>
      </c>
      <c r="BT19" s="190">
        <v>28320562.699999999</v>
      </c>
      <c r="BU19" s="190">
        <v>22912443.02</v>
      </c>
      <c r="BV19" s="190">
        <v>22460635.140000001</v>
      </c>
      <c r="BW19" s="190">
        <v>21867618.27</v>
      </c>
      <c r="BX19" s="190">
        <v>10386134.18</v>
      </c>
      <c r="BY19" s="190">
        <v>10451921.84</v>
      </c>
      <c r="BZ19" s="190">
        <v>8624172.8399999999</v>
      </c>
      <c r="CA19" s="190">
        <v>8826522.8399999999</v>
      </c>
      <c r="CB19" s="190">
        <v>371522.84</v>
      </c>
      <c r="CC19" s="190">
        <v>381522.84</v>
      </c>
      <c r="CD19" s="190">
        <v>0</v>
      </c>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0</v>
      </c>
      <c r="C22" s="190">
        <v>200000</v>
      </c>
      <c r="D22" s="190">
        <v>200000</v>
      </c>
      <c r="E22" s="190">
        <v>0</v>
      </c>
      <c r="F22" s="190">
        <v>0</v>
      </c>
      <c r="G22" s="190">
        <v>0</v>
      </c>
      <c r="H22" s="190">
        <v>0</v>
      </c>
      <c r="I22" s="190">
        <v>0</v>
      </c>
      <c r="J22" s="190">
        <v>0</v>
      </c>
      <c r="K22" s="190">
        <v>0</v>
      </c>
      <c r="L22" s="190">
        <v>0</v>
      </c>
      <c r="M22" s="190">
        <v>0</v>
      </c>
      <c r="N22" s="190">
        <v>0</v>
      </c>
      <c r="O22" s="190">
        <v>225409</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2986738</v>
      </c>
      <c r="AR22" s="190">
        <v>0</v>
      </c>
      <c r="AS22" s="190">
        <v>0</v>
      </c>
      <c r="AT22" s="190">
        <v>441600</v>
      </c>
      <c r="AU22" s="190">
        <v>190000</v>
      </c>
      <c r="AV22" s="190">
        <v>4660252</v>
      </c>
      <c r="AW22" s="190">
        <v>2088340.2</v>
      </c>
      <c r="AX22" s="190">
        <v>113535.88</v>
      </c>
      <c r="AY22" s="190">
        <v>436839.88</v>
      </c>
      <c r="AZ22" s="190">
        <v>0</v>
      </c>
      <c r="BA22" s="190">
        <v>0</v>
      </c>
      <c r="BB22" s="190">
        <v>112622937.63</v>
      </c>
      <c r="BC22" s="190">
        <v>114130063.63</v>
      </c>
      <c r="BD22" s="190">
        <v>112411977.63</v>
      </c>
      <c r="BE22" s="190">
        <v>122633970.63</v>
      </c>
      <c r="BF22" s="190">
        <v>11495</v>
      </c>
      <c r="BG22" s="190">
        <v>190815</v>
      </c>
      <c r="BH22" s="190">
        <v>8569461.0299999993</v>
      </c>
      <c r="BI22" s="190">
        <v>56950794.780000001</v>
      </c>
      <c r="BJ22" s="190">
        <v>51657069.670000002</v>
      </c>
      <c r="BK22" s="190">
        <v>55394626.57</v>
      </c>
      <c r="BL22" s="190">
        <v>15864298.34</v>
      </c>
      <c r="BM22" s="190">
        <v>44615846.039999999</v>
      </c>
      <c r="BN22" s="190">
        <v>0</v>
      </c>
      <c r="BO22" s="190">
        <v>964763.5</v>
      </c>
      <c r="BP22" s="190">
        <v>7735002</v>
      </c>
      <c r="BQ22" s="190">
        <v>4268000</v>
      </c>
      <c r="BR22" s="190">
        <v>400000</v>
      </c>
      <c r="BS22" s="190">
        <v>0</v>
      </c>
      <c r="BT22" s="190">
        <v>303300.01</v>
      </c>
      <c r="BU22" s="190">
        <v>0</v>
      </c>
      <c r="BV22" s="190">
        <v>0</v>
      </c>
      <c r="BW22" s="190">
        <v>0</v>
      </c>
      <c r="BX22" s="190">
        <v>500000</v>
      </c>
      <c r="BY22" s="190">
        <v>300000</v>
      </c>
      <c r="BZ22" s="190">
        <v>0</v>
      </c>
      <c r="CA22" s="190">
        <v>0</v>
      </c>
      <c r="CB22" s="190">
        <v>0</v>
      </c>
      <c r="CC22" s="190">
        <v>0</v>
      </c>
      <c r="CD22" s="190">
        <v>0</v>
      </c>
      <c r="CE22" s="190"/>
      <c r="CF22" s="190"/>
      <c r="CG22" s="190"/>
      <c r="CH22" s="190"/>
      <c r="CI22" s="190"/>
      <c r="CJ22" s="190"/>
      <c r="CK22" s="190"/>
      <c r="CL22" s="190"/>
    </row>
    <row r="23" spans="1:90" x14ac:dyDescent="0.25">
      <c r="A23" s="17" t="s">
        <v>15</v>
      </c>
      <c r="B23" s="190">
        <v>50715308.520000003</v>
      </c>
      <c r="C23" s="190">
        <v>78572053.5</v>
      </c>
      <c r="D23" s="190">
        <v>66165322.740000002</v>
      </c>
      <c r="E23" s="190">
        <v>159245369.46000001</v>
      </c>
      <c r="F23" s="190">
        <v>149135979.68000001</v>
      </c>
      <c r="G23" s="190">
        <v>145992433.15000001</v>
      </c>
      <c r="H23" s="190">
        <v>84413194.329999998</v>
      </c>
      <c r="I23" s="190">
        <v>66440336.039999999</v>
      </c>
      <c r="J23" s="190">
        <v>84898593.390000001</v>
      </c>
      <c r="K23" s="190">
        <v>65654950.170000002</v>
      </c>
      <c r="L23" s="190">
        <v>19300972.420000002</v>
      </c>
      <c r="M23" s="190">
        <v>22375366.039999999</v>
      </c>
      <c r="N23" s="190">
        <v>19696541.129999999</v>
      </c>
      <c r="O23" s="190">
        <v>22212108.699999999</v>
      </c>
      <c r="P23" s="190">
        <v>17076251.449999999</v>
      </c>
      <c r="Q23" s="190">
        <v>15219652.960000001</v>
      </c>
      <c r="R23" s="190">
        <v>19111440.140000001</v>
      </c>
      <c r="S23" s="190">
        <v>23770320.600000001</v>
      </c>
      <c r="T23" s="190">
        <v>23106340.859999999</v>
      </c>
      <c r="U23" s="190">
        <v>21601707.98</v>
      </c>
      <c r="V23" s="190">
        <v>15788053.09</v>
      </c>
      <c r="W23" s="190">
        <v>30968872.030000001</v>
      </c>
      <c r="X23" s="190">
        <v>52115899.549999997</v>
      </c>
      <c r="Y23" s="190">
        <v>56675054.689999998</v>
      </c>
      <c r="Z23" s="190">
        <v>8823180.6300000008</v>
      </c>
      <c r="AA23" s="190">
        <v>9440905.5199999996</v>
      </c>
      <c r="AB23" s="190">
        <v>20164402.34</v>
      </c>
      <c r="AC23" s="190">
        <v>10462933.1</v>
      </c>
      <c r="AD23" s="190">
        <v>46578221.850000001</v>
      </c>
      <c r="AE23" s="190">
        <v>44826965.850000001</v>
      </c>
      <c r="AF23" s="190">
        <v>44971935.479999997</v>
      </c>
      <c r="AG23" s="190">
        <v>44583885.479999997</v>
      </c>
      <c r="AH23" s="190">
        <v>44959940.460000001</v>
      </c>
      <c r="AI23" s="190">
        <v>44354723.460000001</v>
      </c>
      <c r="AJ23" s="190">
        <v>43636877.109999999</v>
      </c>
      <c r="AK23" s="190">
        <v>43532877.109999999</v>
      </c>
      <c r="AL23" s="190">
        <v>46612063.100000001</v>
      </c>
      <c r="AM23" s="190">
        <v>47051508.979999997</v>
      </c>
      <c r="AN23" s="190">
        <v>46847424.530000001</v>
      </c>
      <c r="AO23" s="190">
        <v>47113906.240000002</v>
      </c>
      <c r="AP23" s="190">
        <v>48522446.799999997</v>
      </c>
      <c r="AQ23" s="190">
        <v>58352169.159999996</v>
      </c>
      <c r="AR23" s="190">
        <v>71869647.599999994</v>
      </c>
      <c r="AS23" s="190">
        <v>73333429.450000003</v>
      </c>
      <c r="AT23" s="190">
        <v>73707897.269999996</v>
      </c>
      <c r="AU23" s="190">
        <v>73499759.469999999</v>
      </c>
      <c r="AV23" s="190">
        <v>64714976</v>
      </c>
      <c r="AW23" s="190">
        <v>71542509.879999995</v>
      </c>
      <c r="AX23" s="190">
        <v>304921599.55000001</v>
      </c>
      <c r="AY23" s="190">
        <v>323992413.77999997</v>
      </c>
      <c r="AZ23" s="190">
        <v>0</v>
      </c>
      <c r="BA23" s="190">
        <v>335622226.51999998</v>
      </c>
      <c r="BB23" s="190">
        <v>274915517.38999999</v>
      </c>
      <c r="BC23" s="190">
        <v>269039365.55000001</v>
      </c>
      <c r="BD23" s="190">
        <v>238259962.81999999</v>
      </c>
      <c r="BE23" s="190">
        <v>194957937.81999999</v>
      </c>
      <c r="BF23" s="190">
        <v>242923561.69999999</v>
      </c>
      <c r="BG23" s="190">
        <v>139564978.96000001</v>
      </c>
      <c r="BH23" s="190">
        <v>205088363.30000001</v>
      </c>
      <c r="BI23" s="190">
        <v>172533160.09999999</v>
      </c>
      <c r="BJ23" s="190">
        <v>212118808.03</v>
      </c>
      <c r="BK23" s="190">
        <v>147491320.75999999</v>
      </c>
      <c r="BL23" s="190">
        <v>154627572.55000001</v>
      </c>
      <c r="BM23" s="190">
        <v>177711999.47999999</v>
      </c>
      <c r="BN23" s="190">
        <v>187792904.43000001</v>
      </c>
      <c r="BO23" s="190">
        <v>147566812.22999999</v>
      </c>
      <c r="BP23" s="190">
        <v>126096010.84</v>
      </c>
      <c r="BQ23" s="190">
        <v>148664934.87</v>
      </c>
      <c r="BR23" s="190">
        <v>120053902.45</v>
      </c>
      <c r="BS23" s="190">
        <v>113086524.76000001</v>
      </c>
      <c r="BT23" s="190">
        <v>35167748.82</v>
      </c>
      <c r="BU23" s="190">
        <v>25012545.960000001</v>
      </c>
      <c r="BV23" s="190">
        <v>26943304.379999999</v>
      </c>
      <c r="BW23" s="190">
        <v>18606816.73</v>
      </c>
      <c r="BX23" s="190">
        <v>14831051.48</v>
      </c>
      <c r="BY23" s="190">
        <v>10842577.07</v>
      </c>
      <c r="BZ23" s="190">
        <v>15679602.27</v>
      </c>
      <c r="CA23" s="190">
        <v>6258132.9299999997</v>
      </c>
      <c r="CB23" s="190">
        <v>7731385.3200000003</v>
      </c>
      <c r="CC23" s="190">
        <v>6996651.0599999996</v>
      </c>
      <c r="CD23" s="190">
        <v>0</v>
      </c>
      <c r="CE23" s="190"/>
      <c r="CF23" s="190"/>
      <c r="CG23" s="190"/>
      <c r="CH23" s="190"/>
      <c r="CI23" s="190"/>
      <c r="CJ23" s="190"/>
      <c r="CK23" s="190"/>
      <c r="CL23" s="190"/>
    </row>
    <row r="24" spans="1:90" x14ac:dyDescent="0.25">
      <c r="A24" s="17" t="s">
        <v>16</v>
      </c>
      <c r="B24" s="190">
        <v>77028629.920000002</v>
      </c>
      <c r="C24" s="190">
        <v>64095769.130000003</v>
      </c>
      <c r="D24" s="190">
        <v>75687679.769999996</v>
      </c>
      <c r="E24" s="190">
        <v>8215901.6600000001</v>
      </c>
      <c r="F24" s="190">
        <v>8473664.7599999998</v>
      </c>
      <c r="G24" s="190">
        <v>3979050.67</v>
      </c>
      <c r="H24" s="190">
        <v>14150238.48</v>
      </c>
      <c r="I24" s="190">
        <v>31635358.899999999</v>
      </c>
      <c r="J24" s="190">
        <v>10992581.380000001</v>
      </c>
      <c r="K24" s="190">
        <v>11940084.039999999</v>
      </c>
      <c r="L24" s="190">
        <v>14230480.859999999</v>
      </c>
      <c r="M24" s="190">
        <v>15689056.880000001</v>
      </c>
      <c r="N24" s="190">
        <v>10481202.48</v>
      </c>
      <c r="O24" s="190">
        <v>7267429.4199999999</v>
      </c>
      <c r="P24" s="190">
        <v>14051221.1</v>
      </c>
      <c r="Q24" s="190">
        <v>6331369.3700000001</v>
      </c>
      <c r="R24" s="190">
        <v>4031630.34</v>
      </c>
      <c r="S24" s="190">
        <v>4124495.08</v>
      </c>
      <c r="T24" s="190">
        <v>209314920.59999999</v>
      </c>
      <c r="U24" s="190">
        <v>79359549.140000001</v>
      </c>
      <c r="V24" s="190">
        <v>31967624.350000001</v>
      </c>
      <c r="W24" s="190">
        <v>7189165.2699999996</v>
      </c>
      <c r="X24" s="190">
        <v>2053807.6</v>
      </c>
      <c r="Y24" s="190">
        <v>3676089.11</v>
      </c>
      <c r="Z24" s="190">
        <v>7884845.2199999997</v>
      </c>
      <c r="AA24" s="190">
        <v>16458588.58</v>
      </c>
      <c r="AB24" s="190">
        <v>6746854.0599999996</v>
      </c>
      <c r="AC24" s="190">
        <v>13443039.93</v>
      </c>
      <c r="AD24" s="190">
        <v>25275740.579999998</v>
      </c>
      <c r="AE24" s="190">
        <v>25275740.579999998</v>
      </c>
      <c r="AF24" s="190">
        <v>25275740.579999998</v>
      </c>
      <c r="AG24" s="190">
        <v>25275740.579999998</v>
      </c>
      <c r="AH24" s="190">
        <v>25400740.579999998</v>
      </c>
      <c r="AI24" s="190">
        <v>25400740.579999998</v>
      </c>
      <c r="AJ24" s="190">
        <v>25400740.579999998</v>
      </c>
      <c r="AK24" s="190">
        <v>25400740.579999998</v>
      </c>
      <c r="AL24" s="190">
        <v>25275740.579999998</v>
      </c>
      <c r="AM24" s="190">
        <v>25275740.579999998</v>
      </c>
      <c r="AN24" s="190">
        <v>25275740.579999998</v>
      </c>
      <c r="AO24" s="190">
        <v>25300740.579999998</v>
      </c>
      <c r="AP24" s="190">
        <v>36838912.140000001</v>
      </c>
      <c r="AQ24" s="190">
        <v>51107989.780000001</v>
      </c>
      <c r="AR24" s="190">
        <v>47773431.890000001</v>
      </c>
      <c r="AS24" s="190">
        <v>37790642.240000002</v>
      </c>
      <c r="AT24" s="190">
        <v>39828039.149999999</v>
      </c>
      <c r="AU24" s="190">
        <v>40178396.68</v>
      </c>
      <c r="AV24" s="190">
        <v>33921878</v>
      </c>
      <c r="AW24" s="190">
        <v>29725132</v>
      </c>
      <c r="AX24" s="190">
        <v>7941599.1399999997</v>
      </c>
      <c r="AY24" s="190">
        <v>15006387.529999999</v>
      </c>
      <c r="AZ24" s="190">
        <v>0</v>
      </c>
      <c r="BA24" s="190">
        <v>4108211.12</v>
      </c>
      <c r="BB24" s="190">
        <v>12536530.34</v>
      </c>
      <c r="BC24" s="190">
        <v>44027501.920000002</v>
      </c>
      <c r="BD24" s="190">
        <v>84072381.230000004</v>
      </c>
      <c r="BE24" s="190">
        <v>38293088.899999999</v>
      </c>
      <c r="BF24" s="190">
        <v>247986785.66999999</v>
      </c>
      <c r="BG24" s="190">
        <v>273824302.54000002</v>
      </c>
      <c r="BH24" s="190">
        <v>146226688.25</v>
      </c>
      <c r="BI24" s="190">
        <v>147610018.12</v>
      </c>
      <c r="BJ24" s="190">
        <v>227332093.99000001</v>
      </c>
      <c r="BK24" s="190">
        <v>211844037.30000001</v>
      </c>
      <c r="BL24" s="190">
        <v>74906622.269999996</v>
      </c>
      <c r="BM24" s="190">
        <v>80138448.150000006</v>
      </c>
      <c r="BN24" s="190">
        <v>362768777.02999997</v>
      </c>
      <c r="BO24" s="190">
        <v>227442974.91</v>
      </c>
      <c r="BP24" s="190">
        <v>313871533.62</v>
      </c>
      <c r="BQ24" s="190">
        <v>267262856.33000001</v>
      </c>
      <c r="BR24" s="190">
        <v>122394811.06</v>
      </c>
      <c r="BS24" s="190">
        <v>38541226.740000002</v>
      </c>
      <c r="BT24" s="190">
        <v>13633507.33</v>
      </c>
      <c r="BU24" s="190">
        <v>13842982.029999999</v>
      </c>
      <c r="BV24" s="190">
        <v>6529064.2400000002</v>
      </c>
      <c r="BW24" s="190">
        <v>5133842.6900000004</v>
      </c>
      <c r="BX24" s="190">
        <v>550000</v>
      </c>
      <c r="BY24" s="190">
        <v>29544.53</v>
      </c>
      <c r="BZ24" s="190">
        <v>368109.49</v>
      </c>
      <c r="CA24" s="190">
        <v>0</v>
      </c>
      <c r="CB24" s="190">
        <v>903794.56</v>
      </c>
      <c r="CC24" s="190">
        <v>0</v>
      </c>
      <c r="CD24" s="190">
        <v>0</v>
      </c>
      <c r="CE24" s="190"/>
      <c r="CF24" s="190"/>
      <c r="CG24" s="190"/>
      <c r="CH24" s="190"/>
      <c r="CI24" s="190"/>
      <c r="CJ24" s="190"/>
      <c r="CK24" s="190"/>
      <c r="CL24" s="190"/>
    </row>
    <row r="25" spans="1:90" x14ac:dyDescent="0.25">
      <c r="A25" s="17" t="s">
        <v>17</v>
      </c>
      <c r="B25" s="190">
        <v>56181941.07</v>
      </c>
      <c r="C25" s="190">
        <v>62775479.090000004</v>
      </c>
      <c r="D25" s="190">
        <v>111491937.38</v>
      </c>
      <c r="E25" s="190">
        <v>95916315.299999997</v>
      </c>
      <c r="F25" s="190">
        <v>94158959.370000005</v>
      </c>
      <c r="G25" s="190">
        <v>98088628.450000003</v>
      </c>
      <c r="H25" s="190">
        <v>99048597.280000001</v>
      </c>
      <c r="I25" s="190">
        <v>103403988.8</v>
      </c>
      <c r="J25" s="190">
        <v>118558716.15000001</v>
      </c>
      <c r="K25" s="190">
        <v>534812305.05000001</v>
      </c>
      <c r="L25" s="190">
        <v>116465792.98</v>
      </c>
      <c r="M25" s="190">
        <v>90881488.469999999</v>
      </c>
      <c r="N25" s="190">
        <v>72084631.239999995</v>
      </c>
      <c r="O25" s="190">
        <v>76690422.939999998</v>
      </c>
      <c r="P25" s="190">
        <v>512457052.20999998</v>
      </c>
      <c r="Q25" s="190">
        <v>609250444.91999996</v>
      </c>
      <c r="R25" s="190">
        <v>72204199.5</v>
      </c>
      <c r="S25" s="190">
        <v>72068144.650000006</v>
      </c>
      <c r="T25" s="190">
        <v>231314897.66</v>
      </c>
      <c r="U25" s="190">
        <v>129313238.66</v>
      </c>
      <c r="V25" s="190">
        <v>117440666.45</v>
      </c>
      <c r="W25" s="190">
        <v>360249217.79000002</v>
      </c>
      <c r="X25" s="190">
        <v>60458375.560000002</v>
      </c>
      <c r="Y25" s="190">
        <v>244498681.59</v>
      </c>
      <c r="Z25" s="190">
        <v>262249539.56</v>
      </c>
      <c r="AA25" s="190">
        <v>80808415.799999997</v>
      </c>
      <c r="AB25" s="190">
        <v>85749240.920000002</v>
      </c>
      <c r="AC25" s="190">
        <v>80026581.180000007</v>
      </c>
      <c r="AD25" s="190">
        <v>21611542.09</v>
      </c>
      <c r="AE25" s="190">
        <v>21252350.100000001</v>
      </c>
      <c r="AF25" s="190">
        <v>21622403.199999999</v>
      </c>
      <c r="AG25" s="190">
        <v>21401379.23</v>
      </c>
      <c r="AH25" s="190">
        <v>13717731.380000001</v>
      </c>
      <c r="AI25" s="190">
        <v>33262606.309999999</v>
      </c>
      <c r="AJ25" s="190">
        <v>33304272.350000001</v>
      </c>
      <c r="AK25" s="190">
        <v>33266247.370000001</v>
      </c>
      <c r="AL25" s="190">
        <v>33234366.989999998</v>
      </c>
      <c r="AM25" s="190">
        <v>37524810.700000003</v>
      </c>
      <c r="AN25" s="190">
        <v>37702157.350000001</v>
      </c>
      <c r="AO25" s="190">
        <v>37413275.340000004</v>
      </c>
      <c r="AP25" s="190">
        <v>34117446.700000003</v>
      </c>
      <c r="AQ25" s="190">
        <v>38739509.200000003</v>
      </c>
      <c r="AR25" s="190">
        <v>36291584.219999999</v>
      </c>
      <c r="AS25" s="190">
        <v>44212759.009999998</v>
      </c>
      <c r="AT25" s="190">
        <v>39731680.229999997</v>
      </c>
      <c r="AU25" s="190">
        <v>42634311.130000003</v>
      </c>
      <c r="AV25" s="190">
        <v>30794441.899999999</v>
      </c>
      <c r="AW25" s="190">
        <v>43953643.399999999</v>
      </c>
      <c r="AX25" s="190">
        <v>191567352.75</v>
      </c>
      <c r="AY25" s="190">
        <v>200157569.08000001</v>
      </c>
      <c r="AZ25" s="190">
        <v>0</v>
      </c>
      <c r="BA25" s="190">
        <v>208531787.05000001</v>
      </c>
      <c r="BB25" s="190">
        <v>456026007.73000002</v>
      </c>
      <c r="BC25" s="190">
        <v>468881238.79000002</v>
      </c>
      <c r="BD25" s="190">
        <v>507404774.93000001</v>
      </c>
      <c r="BE25" s="190">
        <v>570900386.09000003</v>
      </c>
      <c r="BF25" s="190">
        <v>497235323.94</v>
      </c>
      <c r="BG25" s="190">
        <v>375942405.83999997</v>
      </c>
      <c r="BH25" s="190">
        <v>153041959.05000001</v>
      </c>
      <c r="BI25" s="190">
        <v>167860946.31</v>
      </c>
      <c r="BJ25" s="190">
        <v>122540508.15000001</v>
      </c>
      <c r="BK25" s="190">
        <v>118693138.72</v>
      </c>
      <c r="BL25" s="190">
        <v>261641790.06</v>
      </c>
      <c r="BM25" s="190">
        <v>214210003.72</v>
      </c>
      <c r="BN25" s="190">
        <v>42851626.780000001</v>
      </c>
      <c r="BO25" s="190">
        <v>31253144.940000001</v>
      </c>
      <c r="BP25" s="190">
        <v>31392974.329999998</v>
      </c>
      <c r="BQ25" s="190">
        <v>17150553.359999999</v>
      </c>
      <c r="BR25" s="190">
        <v>19512555.030000001</v>
      </c>
      <c r="BS25" s="190">
        <v>29182807.66</v>
      </c>
      <c r="BT25" s="190">
        <v>80083776.519999996</v>
      </c>
      <c r="BU25" s="190">
        <v>58259177.549999997</v>
      </c>
      <c r="BV25" s="190">
        <v>41394112.100000001</v>
      </c>
      <c r="BW25" s="190">
        <v>10991893.73</v>
      </c>
      <c r="BX25" s="190">
        <v>8482773.7200000007</v>
      </c>
      <c r="BY25" s="190">
        <v>7929810.96</v>
      </c>
      <c r="BZ25" s="190">
        <v>2135441.29</v>
      </c>
      <c r="CA25" s="190">
        <v>386872.59</v>
      </c>
      <c r="CB25" s="190">
        <v>2829744.59</v>
      </c>
      <c r="CC25" s="190">
        <v>959946.11</v>
      </c>
      <c r="CD25" s="190">
        <v>0</v>
      </c>
      <c r="CE25" s="190"/>
      <c r="CF25" s="190"/>
      <c r="CG25" s="190"/>
      <c r="CH25" s="190"/>
      <c r="CI25" s="190"/>
      <c r="CJ25" s="190"/>
      <c r="CK25" s="190"/>
      <c r="CL25" s="190"/>
    </row>
    <row r="26" spans="1:90" x14ac:dyDescent="0.25">
      <c r="A26" s="17" t="s">
        <v>18</v>
      </c>
      <c r="B26" s="190">
        <v>9421103994.4599991</v>
      </c>
      <c r="C26" s="190">
        <v>9445326752.5599995</v>
      </c>
      <c r="D26" s="190">
        <v>9672542864.9500008</v>
      </c>
      <c r="E26" s="190">
        <v>9542309330.2000008</v>
      </c>
      <c r="F26" s="190">
        <v>10383057307.360001</v>
      </c>
      <c r="G26" s="190">
        <v>8743772680.0300007</v>
      </c>
      <c r="H26" s="190">
        <v>8627018344.2600002</v>
      </c>
      <c r="I26" s="190">
        <v>9627930972.5599995</v>
      </c>
      <c r="J26" s="190">
        <v>10158768619.440001</v>
      </c>
      <c r="K26" s="190">
        <v>10316816910.59</v>
      </c>
      <c r="L26" s="190">
        <v>10421068097.52</v>
      </c>
      <c r="M26" s="190">
        <v>11845906085.790001</v>
      </c>
      <c r="N26" s="190">
        <v>11503312820.610001</v>
      </c>
      <c r="O26" s="190">
        <v>11138768184.77</v>
      </c>
      <c r="P26" s="190">
        <v>9392843785.6900005</v>
      </c>
      <c r="Q26" s="190">
        <v>7683094203.8999996</v>
      </c>
      <c r="R26" s="190">
        <v>7602049994.46</v>
      </c>
      <c r="S26" s="190">
        <v>7453896770.5100002</v>
      </c>
      <c r="T26" s="190">
        <v>7083805762.1199999</v>
      </c>
      <c r="U26" s="190">
        <v>6153322045.5799999</v>
      </c>
      <c r="V26" s="190">
        <v>5348121150.3900003</v>
      </c>
      <c r="W26" s="190">
        <v>4874749086.2399998</v>
      </c>
      <c r="X26" s="190">
        <v>4056980013.4699998</v>
      </c>
      <c r="Y26" s="190">
        <v>3417554380.0700002</v>
      </c>
      <c r="Z26" s="190">
        <v>4078382633.6399999</v>
      </c>
      <c r="AA26" s="190">
        <v>3910230086.1500001</v>
      </c>
      <c r="AB26" s="190">
        <v>3768850765.1799998</v>
      </c>
      <c r="AC26" s="190">
        <v>3651058764.2800002</v>
      </c>
      <c r="AD26" s="190">
        <v>19355884.109999999</v>
      </c>
      <c r="AE26" s="190">
        <v>18808726.010000002</v>
      </c>
      <c r="AF26" s="190">
        <v>19514320.219999999</v>
      </c>
      <c r="AG26" s="190">
        <v>19264870.390000001</v>
      </c>
      <c r="AH26" s="190">
        <v>19732875.420000002</v>
      </c>
      <c r="AI26" s="190">
        <v>19771125.850000001</v>
      </c>
      <c r="AJ26" s="190">
        <v>23111757.109999999</v>
      </c>
      <c r="AK26" s="190">
        <v>23142765.629999999</v>
      </c>
      <c r="AL26" s="190">
        <v>25359071.190000001</v>
      </c>
      <c r="AM26" s="190">
        <v>25263748.219999999</v>
      </c>
      <c r="AN26" s="190">
        <v>25505086.949999999</v>
      </c>
      <c r="AO26" s="190">
        <v>25348142.280000001</v>
      </c>
      <c r="AP26" s="190">
        <v>26218213.969999999</v>
      </c>
      <c r="AQ26" s="190">
        <v>18528739.989999998</v>
      </c>
      <c r="AR26" s="190">
        <v>26279042.390000001</v>
      </c>
      <c r="AS26" s="190">
        <v>30860825.219999999</v>
      </c>
      <c r="AT26" s="190">
        <v>20548577.129999999</v>
      </c>
      <c r="AU26" s="190">
        <v>28345243.879999999</v>
      </c>
      <c r="AV26" s="190">
        <v>24210480.18</v>
      </c>
      <c r="AW26" s="190">
        <v>27871509.199999999</v>
      </c>
      <c r="AX26" s="190">
        <v>60165909.909999996</v>
      </c>
      <c r="AY26" s="190">
        <v>28564889.66</v>
      </c>
      <c r="AZ26" s="190">
        <v>0</v>
      </c>
      <c r="BA26" s="190">
        <v>31829490.390000001</v>
      </c>
      <c r="BB26" s="190">
        <v>39981721.890000001</v>
      </c>
      <c r="BC26" s="190">
        <v>37295667.759999998</v>
      </c>
      <c r="BD26" s="190">
        <v>59925567.890000001</v>
      </c>
      <c r="BE26" s="190">
        <v>51829476.880000003</v>
      </c>
      <c r="BF26" s="190">
        <v>62973409.020000003</v>
      </c>
      <c r="BG26" s="190">
        <v>70498657.629999995</v>
      </c>
      <c r="BH26" s="190">
        <v>85060022.730000004</v>
      </c>
      <c r="BI26" s="190">
        <v>94910534.700000003</v>
      </c>
      <c r="BJ26" s="190">
        <v>76129128.390000001</v>
      </c>
      <c r="BK26" s="190">
        <v>79277917.400000006</v>
      </c>
      <c r="BL26" s="190">
        <v>83465031.900000006</v>
      </c>
      <c r="BM26" s="190">
        <v>102494464.62</v>
      </c>
      <c r="BN26" s="190">
        <v>135019073.19</v>
      </c>
      <c r="BO26" s="190">
        <v>154151487.52000001</v>
      </c>
      <c r="BP26" s="190">
        <v>151806770.84999999</v>
      </c>
      <c r="BQ26" s="190">
        <v>135923924.69</v>
      </c>
      <c r="BR26" s="190">
        <v>130830684.44</v>
      </c>
      <c r="BS26" s="190">
        <v>102966150.25</v>
      </c>
      <c r="BT26" s="190">
        <v>52325547.43</v>
      </c>
      <c r="BU26" s="190">
        <v>42414007.18</v>
      </c>
      <c r="BV26" s="190">
        <v>44999749.789999999</v>
      </c>
      <c r="BW26" s="190">
        <v>41391786.549999997</v>
      </c>
      <c r="BX26" s="190">
        <v>41836311.399999999</v>
      </c>
      <c r="BY26" s="190">
        <v>36697300.979999997</v>
      </c>
      <c r="BZ26" s="190">
        <v>35959171.329999998</v>
      </c>
      <c r="CA26" s="190">
        <v>38974673.93</v>
      </c>
      <c r="CB26" s="190">
        <v>47780169.710000001</v>
      </c>
      <c r="CC26" s="190">
        <v>39290771.439999998</v>
      </c>
      <c r="CD26" s="190">
        <v>0</v>
      </c>
      <c r="CE26" s="190"/>
      <c r="CF26" s="190"/>
      <c r="CG26" s="190"/>
      <c r="CH26" s="190"/>
      <c r="CI26" s="190"/>
      <c r="CJ26" s="190"/>
      <c r="CK26" s="190"/>
      <c r="CL26" s="190"/>
    </row>
    <row r="27" spans="1:90" x14ac:dyDescent="0.25">
      <c r="A27" s="17" t="s">
        <v>19</v>
      </c>
      <c r="B27" s="190">
        <v>653921080.70000005</v>
      </c>
      <c r="C27" s="190">
        <v>193131882.58000001</v>
      </c>
      <c r="D27" s="190">
        <v>10721604.51</v>
      </c>
      <c r="E27" s="190">
        <v>3476437.49</v>
      </c>
      <c r="F27" s="190">
        <v>19880440.800000001</v>
      </c>
      <c r="G27" s="190">
        <v>313811262.81</v>
      </c>
      <c r="H27" s="190">
        <v>290036377.06999999</v>
      </c>
      <c r="I27" s="190">
        <v>2661788.75</v>
      </c>
      <c r="J27" s="190">
        <v>289000000</v>
      </c>
      <c r="K27" s="190">
        <v>291000000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47000</v>
      </c>
      <c r="AX27" s="190">
        <v>0</v>
      </c>
      <c r="AY27" s="190">
        <v>0</v>
      </c>
      <c r="AZ27" s="190">
        <v>0</v>
      </c>
      <c r="BA27" s="190">
        <v>0</v>
      </c>
      <c r="BB27" s="190">
        <v>0</v>
      </c>
      <c r="BC27" s="190">
        <v>0</v>
      </c>
      <c r="BD27" s="190">
        <v>0</v>
      </c>
      <c r="BE27" s="190">
        <v>0</v>
      </c>
      <c r="BF27" s="190">
        <v>0</v>
      </c>
      <c r="BG27" s="190">
        <v>0</v>
      </c>
      <c r="BH27" s="190">
        <v>0</v>
      </c>
      <c r="BI27" s="190">
        <v>0</v>
      </c>
      <c r="BJ27" s="190">
        <v>0</v>
      </c>
      <c r="BK27" s="190">
        <v>0</v>
      </c>
      <c r="BL27" s="190">
        <v>0</v>
      </c>
      <c r="BM27" s="190">
        <v>0</v>
      </c>
      <c r="BN27" s="190">
        <v>0</v>
      </c>
      <c r="BO27" s="190">
        <v>0</v>
      </c>
      <c r="BP27" s="190">
        <v>0</v>
      </c>
      <c r="BQ27" s="190">
        <v>0</v>
      </c>
      <c r="BR27" s="190">
        <v>0</v>
      </c>
      <c r="BS27" s="190">
        <v>0</v>
      </c>
      <c r="BT27" s="190">
        <v>0</v>
      </c>
      <c r="BU27" s="190">
        <v>0</v>
      </c>
      <c r="BV27" s="190">
        <v>0</v>
      </c>
      <c r="BW27" s="190">
        <v>0</v>
      </c>
      <c r="BX27" s="190">
        <v>0</v>
      </c>
      <c r="BY27" s="190">
        <v>0</v>
      </c>
      <c r="BZ27" s="190">
        <v>0</v>
      </c>
      <c r="CA27" s="190">
        <v>0</v>
      </c>
      <c r="CB27" s="190">
        <v>0</v>
      </c>
      <c r="CC27" s="190">
        <v>0</v>
      </c>
      <c r="CD27" s="190">
        <v>0</v>
      </c>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c r="BK28" s="190">
        <v>0</v>
      </c>
      <c r="BL28" s="190">
        <v>0</v>
      </c>
      <c r="BM28" s="190">
        <v>0</v>
      </c>
      <c r="BN28" s="190">
        <v>0</v>
      </c>
      <c r="BO28" s="190">
        <v>0</v>
      </c>
      <c r="BP28" s="190">
        <v>0</v>
      </c>
      <c r="BQ28" s="190">
        <v>0</v>
      </c>
      <c r="BR28" s="190">
        <v>0</v>
      </c>
      <c r="BS28" s="190">
        <v>0</v>
      </c>
      <c r="BT28" s="190">
        <v>0</v>
      </c>
      <c r="BU28" s="190">
        <v>0</v>
      </c>
      <c r="BV28" s="190">
        <v>0</v>
      </c>
      <c r="BW28" s="190">
        <v>0</v>
      </c>
      <c r="BX28" s="190">
        <v>0</v>
      </c>
      <c r="BY28" s="190">
        <v>0</v>
      </c>
      <c r="BZ28" s="190">
        <v>0</v>
      </c>
      <c r="CA28" s="190">
        <v>0</v>
      </c>
      <c r="CB28" s="190">
        <v>0</v>
      </c>
      <c r="CC28" s="190">
        <v>0</v>
      </c>
      <c r="CD28" s="190">
        <v>0</v>
      </c>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c r="BK29" s="190">
        <v>0</v>
      </c>
      <c r="BL29" s="190">
        <v>0</v>
      </c>
      <c r="BM29" s="190">
        <v>0</v>
      </c>
      <c r="BN29" s="190">
        <v>0</v>
      </c>
      <c r="BO29" s="190">
        <v>0</v>
      </c>
      <c r="BP29" s="190">
        <v>0</v>
      </c>
      <c r="BQ29" s="190">
        <v>0</v>
      </c>
      <c r="BR29" s="190">
        <v>0</v>
      </c>
      <c r="BS29" s="190">
        <v>0</v>
      </c>
      <c r="BT29" s="190">
        <v>0</v>
      </c>
      <c r="BU29" s="190">
        <v>0</v>
      </c>
      <c r="BV29" s="190">
        <v>0</v>
      </c>
      <c r="BW29" s="190">
        <v>0</v>
      </c>
      <c r="BX29" s="190">
        <v>0</v>
      </c>
      <c r="BY29" s="190">
        <v>0</v>
      </c>
      <c r="BZ29" s="190">
        <v>0</v>
      </c>
      <c r="CA29" s="190">
        <v>0</v>
      </c>
      <c r="CB29" s="190">
        <v>0</v>
      </c>
      <c r="CC29" s="190">
        <v>0</v>
      </c>
      <c r="CD29" s="190">
        <v>0</v>
      </c>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10258950954.67</v>
      </c>
      <c r="C33" s="35">
        <f t="shared" ref="C33:BN33" si="2">SUM(C22:C29)</f>
        <v>9844101936.8599987</v>
      </c>
      <c r="D33" s="35">
        <f t="shared" si="2"/>
        <v>9936809409.3500004</v>
      </c>
      <c r="E33" s="35">
        <f t="shared" si="2"/>
        <v>9809163354.1100006</v>
      </c>
      <c r="F33" s="35">
        <f t="shared" si="2"/>
        <v>10654706351.969999</v>
      </c>
      <c r="G33" s="35">
        <f t="shared" si="2"/>
        <v>9305644055.1100006</v>
      </c>
      <c r="H33" s="35">
        <f t="shared" si="2"/>
        <v>9114666751.4200001</v>
      </c>
      <c r="I33" s="35">
        <f t="shared" si="2"/>
        <v>9832072445.0499992</v>
      </c>
      <c r="J33" s="35">
        <f t="shared" si="2"/>
        <v>10662218510.360001</v>
      </c>
      <c r="K33" s="35">
        <f t="shared" si="2"/>
        <v>11220224249.85</v>
      </c>
      <c r="L33" s="35">
        <f t="shared" si="2"/>
        <v>10571065343.780001</v>
      </c>
      <c r="M33" s="35">
        <f t="shared" si="2"/>
        <v>11974851997.18</v>
      </c>
      <c r="N33" s="35">
        <f t="shared" si="2"/>
        <v>11605575195.460001</v>
      </c>
      <c r="O33" s="35">
        <f t="shared" si="2"/>
        <v>11245163554.83</v>
      </c>
      <c r="P33" s="35">
        <f t="shared" si="2"/>
        <v>9936428310.4500008</v>
      </c>
      <c r="Q33" s="35">
        <f t="shared" si="2"/>
        <v>8313895671.1499996</v>
      </c>
      <c r="R33" s="35">
        <f t="shared" si="2"/>
        <v>7697397264.4399996</v>
      </c>
      <c r="S33" s="35">
        <f t="shared" si="2"/>
        <v>7553859730.8400002</v>
      </c>
      <c r="T33" s="35">
        <f t="shared" si="2"/>
        <v>7547541921.2399998</v>
      </c>
      <c r="U33" s="35">
        <f t="shared" si="2"/>
        <v>6383596541.3599997</v>
      </c>
      <c r="V33" s="35">
        <f t="shared" si="2"/>
        <v>5513317494.2800007</v>
      </c>
      <c r="W33" s="35">
        <f t="shared" si="2"/>
        <v>5273156341.3299999</v>
      </c>
      <c r="X33" s="35">
        <f t="shared" si="2"/>
        <v>4171608096.1799998</v>
      </c>
      <c r="Y33" s="35">
        <f t="shared" si="2"/>
        <v>3722404205.46</v>
      </c>
      <c r="Z33" s="35">
        <f t="shared" si="2"/>
        <v>4357340199.0500002</v>
      </c>
      <c r="AA33" s="35">
        <f t="shared" si="2"/>
        <v>4016937996.0500002</v>
      </c>
      <c r="AB33" s="35">
        <f t="shared" si="2"/>
        <v>3881511262.5</v>
      </c>
      <c r="AC33" s="35">
        <f t="shared" si="2"/>
        <v>3754991318.4900002</v>
      </c>
      <c r="AD33" s="35">
        <f t="shared" si="2"/>
        <v>112821388.63000001</v>
      </c>
      <c r="AE33" s="35">
        <f t="shared" si="2"/>
        <v>110163782.54000001</v>
      </c>
      <c r="AF33" s="35">
        <f t="shared" si="2"/>
        <v>111384399.48</v>
      </c>
      <c r="AG33" s="35">
        <f t="shared" si="2"/>
        <v>110525875.68000001</v>
      </c>
      <c r="AH33" s="35">
        <f t="shared" si="2"/>
        <v>103811287.83999999</v>
      </c>
      <c r="AI33" s="35">
        <f t="shared" si="2"/>
        <v>122789196.19999999</v>
      </c>
      <c r="AJ33" s="35">
        <f t="shared" si="2"/>
        <v>125453647.14999999</v>
      </c>
      <c r="AK33" s="35">
        <f t="shared" si="2"/>
        <v>125342630.69</v>
      </c>
      <c r="AL33" s="35">
        <f t="shared" si="2"/>
        <v>130481241.86</v>
      </c>
      <c r="AM33" s="35">
        <f t="shared" si="2"/>
        <v>135115808.48000002</v>
      </c>
      <c r="AN33" s="35">
        <f t="shared" si="2"/>
        <v>135330409.41</v>
      </c>
      <c r="AO33" s="35">
        <f t="shared" si="2"/>
        <v>135176064.44</v>
      </c>
      <c r="AP33" s="35">
        <f t="shared" si="2"/>
        <v>145697019.61000001</v>
      </c>
      <c r="AQ33" s="35">
        <f t="shared" si="2"/>
        <v>169715146.13</v>
      </c>
      <c r="AR33" s="35">
        <f t="shared" si="2"/>
        <v>182213706.09999996</v>
      </c>
      <c r="AS33" s="35">
        <f t="shared" si="2"/>
        <v>186197655.91999999</v>
      </c>
      <c r="AT33" s="35">
        <f t="shared" si="2"/>
        <v>174257793.77999997</v>
      </c>
      <c r="AU33" s="35">
        <f t="shared" si="2"/>
        <v>184847711.16</v>
      </c>
      <c r="AV33" s="35">
        <f t="shared" si="2"/>
        <v>158302028.08000001</v>
      </c>
      <c r="AW33" s="35">
        <f t="shared" si="2"/>
        <v>175228134.67999998</v>
      </c>
      <c r="AX33" s="35">
        <f t="shared" si="2"/>
        <v>564709997.23000002</v>
      </c>
      <c r="AY33" s="35">
        <f t="shared" si="2"/>
        <v>568158099.92999995</v>
      </c>
      <c r="AZ33" s="35">
        <f t="shared" si="2"/>
        <v>0</v>
      </c>
      <c r="BA33" s="35">
        <f t="shared" si="2"/>
        <v>580091715.08000004</v>
      </c>
      <c r="BB33" s="35">
        <f t="shared" si="2"/>
        <v>896082714.9799999</v>
      </c>
      <c r="BC33" s="35">
        <f t="shared" si="2"/>
        <v>933373837.6500001</v>
      </c>
      <c r="BD33" s="35">
        <f t="shared" si="2"/>
        <v>1002074664.5</v>
      </c>
      <c r="BE33" s="35">
        <f t="shared" si="2"/>
        <v>978614860.32000005</v>
      </c>
      <c r="BF33" s="35">
        <f t="shared" si="2"/>
        <v>1051130575.3299999</v>
      </c>
      <c r="BG33" s="35">
        <f t="shared" si="2"/>
        <v>860021159.96999991</v>
      </c>
      <c r="BH33" s="35">
        <f t="shared" si="2"/>
        <v>597986494.36000001</v>
      </c>
      <c r="BI33" s="35">
        <f t="shared" si="2"/>
        <v>639865454.00999999</v>
      </c>
      <c r="BJ33" s="35">
        <f t="shared" si="2"/>
        <v>689777608.23000002</v>
      </c>
      <c r="BK33" s="35">
        <f t="shared" si="2"/>
        <v>612701040.75</v>
      </c>
      <c r="BL33" s="35">
        <f t="shared" si="2"/>
        <v>590505315.12</v>
      </c>
      <c r="BM33" s="35">
        <f t="shared" si="2"/>
        <v>619170762.00999999</v>
      </c>
      <c r="BN33" s="35">
        <f t="shared" si="2"/>
        <v>728432381.43000007</v>
      </c>
      <c r="BO33" s="35">
        <f t="shared" ref="BO33:CK33" si="3">SUM(BO22:BO29)</f>
        <v>561379183.10000002</v>
      </c>
      <c r="BP33" s="35">
        <f t="shared" si="3"/>
        <v>630902291.63999999</v>
      </c>
      <c r="BQ33" s="35">
        <f t="shared" si="3"/>
        <v>573270269.25</v>
      </c>
      <c r="BR33" s="35">
        <f t="shared" si="3"/>
        <v>393191952.98000002</v>
      </c>
      <c r="BS33" s="35">
        <f t="shared" si="3"/>
        <v>283776709.40999997</v>
      </c>
      <c r="BT33" s="35">
        <f t="shared" si="3"/>
        <v>181513880.10999998</v>
      </c>
      <c r="BU33" s="35">
        <f t="shared" si="3"/>
        <v>139528712.72</v>
      </c>
      <c r="BV33" s="35">
        <f t="shared" si="3"/>
        <v>119866230.50999999</v>
      </c>
      <c r="BW33" s="35">
        <f t="shared" si="3"/>
        <v>76124339.700000003</v>
      </c>
      <c r="BX33" s="35">
        <f t="shared" si="3"/>
        <v>66200136.600000001</v>
      </c>
      <c r="BY33" s="35">
        <f t="shared" si="3"/>
        <v>55799233.539999992</v>
      </c>
      <c r="BZ33" s="35">
        <f t="shared" si="3"/>
        <v>54142324.379999995</v>
      </c>
      <c r="CA33" s="35">
        <f t="shared" si="3"/>
        <v>45619679.450000003</v>
      </c>
      <c r="CB33" s="35">
        <f t="shared" si="3"/>
        <v>59245094.18</v>
      </c>
      <c r="CC33" s="35">
        <f t="shared" si="3"/>
        <v>47247368.609999999</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13146867.470000001</v>
      </c>
      <c r="D35" s="190">
        <v>5808846.0700000003</v>
      </c>
      <c r="E35" s="190">
        <v>7258695</v>
      </c>
      <c r="F35" s="190">
        <v>14879515.24</v>
      </c>
      <c r="G35" s="190">
        <v>15657853.359999999</v>
      </c>
      <c r="H35" s="190">
        <v>6555800.8200000003</v>
      </c>
      <c r="I35" s="190">
        <v>1523436.5</v>
      </c>
      <c r="J35" s="190">
        <v>4490664.55</v>
      </c>
      <c r="K35" s="190">
        <v>15735362.050000001</v>
      </c>
      <c r="L35" s="190">
        <v>21580489.32</v>
      </c>
      <c r="M35" s="190">
        <v>10223610.699999999</v>
      </c>
      <c r="N35" s="190">
        <v>3715330.7</v>
      </c>
      <c r="O35" s="190">
        <v>7299982.4400000004</v>
      </c>
      <c r="P35" s="190">
        <v>10349040.08</v>
      </c>
      <c r="Q35" s="190">
        <v>11102179.5</v>
      </c>
      <c r="R35" s="190">
        <v>16614248</v>
      </c>
      <c r="S35" s="190">
        <v>24129807.059999999</v>
      </c>
      <c r="T35" s="190">
        <v>25035532.359999999</v>
      </c>
      <c r="U35" s="190">
        <v>19623061.800000001</v>
      </c>
      <c r="V35" s="190">
        <v>7836251.25</v>
      </c>
      <c r="W35" s="190">
        <v>623124.71</v>
      </c>
      <c r="X35" s="190">
        <v>976436.46</v>
      </c>
      <c r="Y35" s="190">
        <v>2369165.2400000002</v>
      </c>
      <c r="Z35" s="190">
        <v>3666537.04</v>
      </c>
      <c r="AA35" s="190">
        <v>3900311.74</v>
      </c>
      <c r="AB35" s="190">
        <v>7768298.2999999998</v>
      </c>
      <c r="AC35" s="190">
        <v>12964909.449999999</v>
      </c>
      <c r="AD35" s="190">
        <v>80461335.450000003</v>
      </c>
      <c r="AE35" s="190">
        <v>80461335.450000003</v>
      </c>
      <c r="AF35" s="190">
        <v>80461335.450000003</v>
      </c>
      <c r="AG35" s="190">
        <v>80461335.450000003</v>
      </c>
      <c r="AH35" s="190">
        <v>80461335.450000003</v>
      </c>
      <c r="AI35" s="190">
        <v>80461335.450000003</v>
      </c>
      <c r="AJ35" s="190">
        <v>80461335.450000003</v>
      </c>
      <c r="AK35" s="190">
        <v>80461335.450000003</v>
      </c>
      <c r="AL35" s="190">
        <v>80461335.450000003</v>
      </c>
      <c r="AM35" s="190">
        <v>80461335.450000003</v>
      </c>
      <c r="AN35" s="190">
        <v>80461335.450000003</v>
      </c>
      <c r="AO35" s="190">
        <v>80461335.450000003</v>
      </c>
      <c r="AP35" s="190">
        <v>85461335.450000003</v>
      </c>
      <c r="AQ35" s="190">
        <v>85461335.450000003</v>
      </c>
      <c r="AR35" s="190">
        <v>85461335.450000003</v>
      </c>
      <c r="AS35" s="190">
        <v>85461335.450000003</v>
      </c>
      <c r="AT35" s="190">
        <v>85461335.450000003</v>
      </c>
      <c r="AU35" s="190">
        <v>85461335.450000003</v>
      </c>
      <c r="AV35" s="190">
        <v>85461335.450000003</v>
      </c>
      <c r="AW35" s="190">
        <v>85461335.450000003</v>
      </c>
      <c r="AX35" s="190">
        <v>85461335.450000003</v>
      </c>
      <c r="AY35" s="190">
        <v>85461335.450000003</v>
      </c>
      <c r="AZ35" s="190">
        <v>0</v>
      </c>
      <c r="BA35" s="190">
        <v>85611335.450000003</v>
      </c>
      <c r="BB35" s="190">
        <v>334374045.69999999</v>
      </c>
      <c r="BC35" s="190">
        <v>334574045.69999999</v>
      </c>
      <c r="BD35" s="190">
        <v>339924045.69999999</v>
      </c>
      <c r="BE35" s="190">
        <v>397612710.25</v>
      </c>
      <c r="BF35" s="190">
        <v>446405361.88</v>
      </c>
      <c r="BG35" s="190">
        <v>309579659.25999999</v>
      </c>
      <c r="BH35" s="190">
        <v>202078213.00999999</v>
      </c>
      <c r="BI35" s="190">
        <v>363959350.75999999</v>
      </c>
      <c r="BJ35" s="190">
        <v>179945508</v>
      </c>
      <c r="BK35" s="190">
        <v>217603156.22</v>
      </c>
      <c r="BL35" s="190">
        <v>147117153.13</v>
      </c>
      <c r="BM35" s="190">
        <v>269459775.64999998</v>
      </c>
      <c r="BN35" s="190">
        <v>261671509.5</v>
      </c>
      <c r="BO35" s="190">
        <v>151081989.24000001</v>
      </c>
      <c r="BP35" s="190">
        <v>225396335.74000001</v>
      </c>
      <c r="BQ35" s="190">
        <v>207818190</v>
      </c>
      <c r="BR35" s="190">
        <v>125000000</v>
      </c>
      <c r="BS35" s="190">
        <v>0</v>
      </c>
      <c r="BT35" s="190">
        <v>0</v>
      </c>
      <c r="BU35" s="190">
        <v>0</v>
      </c>
      <c r="BV35" s="190">
        <v>0</v>
      </c>
      <c r="BW35" s="190">
        <v>0</v>
      </c>
      <c r="BX35" s="190">
        <v>0</v>
      </c>
      <c r="BY35" s="190">
        <v>0</v>
      </c>
      <c r="BZ35" s="190">
        <v>300000</v>
      </c>
      <c r="CA35" s="190">
        <v>300000</v>
      </c>
      <c r="CB35" s="190">
        <v>0</v>
      </c>
      <c r="CC35" s="190">
        <v>0</v>
      </c>
      <c r="CD35" s="190">
        <v>0</v>
      </c>
      <c r="CE35" s="190"/>
      <c r="CF35" s="190"/>
      <c r="CG35" s="190"/>
      <c r="CH35" s="190"/>
      <c r="CI35" s="190"/>
      <c r="CJ35" s="190"/>
      <c r="CK35" s="190"/>
      <c r="CL35" s="190"/>
    </row>
    <row r="36" spans="1:90" x14ac:dyDescent="0.25">
      <c r="A36" s="17" t="s">
        <v>22</v>
      </c>
      <c r="B36" s="190">
        <v>0</v>
      </c>
      <c r="C36" s="190">
        <v>311707260.47000003</v>
      </c>
      <c r="D36" s="190">
        <v>367737803.29000002</v>
      </c>
      <c r="E36" s="190">
        <v>368658787.86000001</v>
      </c>
      <c r="F36" s="190">
        <v>454146536.14999998</v>
      </c>
      <c r="G36" s="190">
        <v>305564976.41000003</v>
      </c>
      <c r="H36" s="190">
        <v>273873896.11000001</v>
      </c>
      <c r="I36" s="190">
        <v>668362387.90999997</v>
      </c>
      <c r="J36" s="190">
        <v>404959216.97000003</v>
      </c>
      <c r="K36" s="190">
        <v>471558418.77999997</v>
      </c>
      <c r="L36" s="190">
        <v>409195235.02999997</v>
      </c>
      <c r="M36" s="190">
        <v>372388002.69999999</v>
      </c>
      <c r="N36" s="190">
        <v>365694342.20999998</v>
      </c>
      <c r="O36" s="190">
        <v>374406468.74000001</v>
      </c>
      <c r="P36" s="190">
        <v>317935644.92000002</v>
      </c>
      <c r="Q36" s="190">
        <v>362362285.79000002</v>
      </c>
      <c r="R36" s="190">
        <v>300023690.11000001</v>
      </c>
      <c r="S36" s="190">
        <v>321836059.02999997</v>
      </c>
      <c r="T36" s="190">
        <v>360807515.75</v>
      </c>
      <c r="U36" s="190">
        <v>463902118.83999997</v>
      </c>
      <c r="V36" s="190">
        <v>355644761.5</v>
      </c>
      <c r="W36" s="190">
        <v>255269704.78999999</v>
      </c>
      <c r="X36" s="190">
        <v>179774651.53</v>
      </c>
      <c r="Y36" s="190">
        <v>344073685.20999998</v>
      </c>
      <c r="Z36" s="190">
        <v>157974512.22</v>
      </c>
      <c r="AA36" s="190">
        <v>133907092.88</v>
      </c>
      <c r="AB36" s="190">
        <v>123320645.87</v>
      </c>
      <c r="AC36" s="190">
        <v>221298782.43000001</v>
      </c>
      <c r="AD36" s="190">
        <v>82437626.5</v>
      </c>
      <c r="AE36" s="190">
        <v>80315971.5</v>
      </c>
      <c r="AF36" s="190">
        <v>80109691.5</v>
      </c>
      <c r="AG36" s="190">
        <v>79448491.5</v>
      </c>
      <c r="AH36" s="190">
        <v>79292941.409999996</v>
      </c>
      <c r="AI36" s="190">
        <v>78834594.409999996</v>
      </c>
      <c r="AJ36" s="190">
        <v>78260742.409999996</v>
      </c>
      <c r="AK36" s="190">
        <v>78198739.5</v>
      </c>
      <c r="AL36" s="190">
        <v>77443942.280000001</v>
      </c>
      <c r="AM36" s="190">
        <v>77399502.140000001</v>
      </c>
      <c r="AN36" s="190">
        <v>77109235.230000004</v>
      </c>
      <c r="AO36" s="190">
        <v>77026235.280000001</v>
      </c>
      <c r="AP36" s="190">
        <v>76976646.650000006</v>
      </c>
      <c r="AQ36" s="190">
        <v>83653935.790000007</v>
      </c>
      <c r="AR36" s="190">
        <v>90643218.829999998</v>
      </c>
      <c r="AS36" s="190">
        <v>96676190.079999998</v>
      </c>
      <c r="AT36" s="190">
        <v>100632770.78</v>
      </c>
      <c r="AU36" s="190">
        <v>102474702.16</v>
      </c>
      <c r="AV36" s="190">
        <v>93232517.069999993</v>
      </c>
      <c r="AW36" s="190">
        <v>89718925.650000006</v>
      </c>
      <c r="AX36" s="190">
        <v>95392331.579999998</v>
      </c>
      <c r="AY36" s="190">
        <v>86243780.170000002</v>
      </c>
      <c r="AZ36" s="190">
        <v>0</v>
      </c>
      <c r="BA36" s="190">
        <v>85914994.849999994</v>
      </c>
      <c r="BB36" s="190">
        <v>64480718.5</v>
      </c>
      <c r="BC36" s="190">
        <v>93620949.180000007</v>
      </c>
      <c r="BD36" s="190">
        <v>123710743.90000001</v>
      </c>
      <c r="BE36" s="190">
        <v>112170406.73999999</v>
      </c>
      <c r="BF36" s="190">
        <v>169514107.97</v>
      </c>
      <c r="BG36" s="190">
        <v>76534540.469999999</v>
      </c>
      <c r="BH36" s="190">
        <v>75437990.5</v>
      </c>
      <c r="BI36" s="190">
        <v>122350422.97</v>
      </c>
      <c r="BJ36" s="190">
        <v>38391114.990000002</v>
      </c>
      <c r="BK36" s="190">
        <v>36676993.289999999</v>
      </c>
      <c r="BL36" s="190">
        <v>75705294.390000001</v>
      </c>
      <c r="BM36" s="190">
        <v>88028811.849999994</v>
      </c>
      <c r="BN36" s="190">
        <v>24390492.82</v>
      </c>
      <c r="BO36" s="190">
        <v>32893640.23</v>
      </c>
      <c r="BP36" s="190">
        <v>29924394.559999999</v>
      </c>
      <c r="BQ36" s="190">
        <v>159146478.19</v>
      </c>
      <c r="BR36" s="190">
        <v>90902714.200000003</v>
      </c>
      <c r="BS36" s="190">
        <v>8142083.9000000004</v>
      </c>
      <c r="BT36" s="190">
        <v>10091136.699999999</v>
      </c>
      <c r="BU36" s="190">
        <v>4744387.8600000003</v>
      </c>
      <c r="BV36" s="190">
        <v>7248163.0899999999</v>
      </c>
      <c r="BW36" s="190">
        <v>4426893.71</v>
      </c>
      <c r="BX36" s="190">
        <v>3760297.17</v>
      </c>
      <c r="BY36" s="190">
        <v>5144338.5</v>
      </c>
      <c r="BZ36" s="190">
        <v>4652527.22</v>
      </c>
      <c r="CA36" s="190">
        <v>2875589.84</v>
      </c>
      <c r="CB36" s="190">
        <v>7067813.8200000003</v>
      </c>
      <c r="CC36" s="190">
        <v>5798063.1799999997</v>
      </c>
      <c r="CD36" s="190">
        <v>0</v>
      </c>
      <c r="CE36" s="190"/>
      <c r="CF36" s="190"/>
      <c r="CG36" s="190"/>
      <c r="CH36" s="190"/>
      <c r="CI36" s="190"/>
      <c r="CJ36" s="190"/>
      <c r="CK36" s="190"/>
      <c r="CL36" s="190"/>
    </row>
    <row r="37" spans="1:90" x14ac:dyDescent="0.25">
      <c r="A37" s="17" t="s">
        <v>23</v>
      </c>
      <c r="B37" s="190">
        <v>1207635538.6500001</v>
      </c>
      <c r="C37" s="190">
        <v>916133548.65999997</v>
      </c>
      <c r="D37" s="190">
        <v>208332762.69</v>
      </c>
      <c r="E37" s="190">
        <v>141011089.65000001</v>
      </c>
      <c r="F37" s="190">
        <v>1063475822.39</v>
      </c>
      <c r="G37" s="190">
        <v>820693455.99000001</v>
      </c>
      <c r="H37" s="190">
        <v>601684567.52999997</v>
      </c>
      <c r="I37" s="190">
        <v>1166711999.97</v>
      </c>
      <c r="J37" s="190">
        <v>2461415734.9000001</v>
      </c>
      <c r="K37" s="190">
        <v>2298841415.7199998</v>
      </c>
      <c r="L37" s="190">
        <v>2750412975.4299998</v>
      </c>
      <c r="M37" s="190">
        <v>4447971848.1999998</v>
      </c>
      <c r="N37" s="190">
        <v>3421117210.0900002</v>
      </c>
      <c r="O37" s="190">
        <v>2570108443.04</v>
      </c>
      <c r="P37" s="190">
        <v>1919419456.3699999</v>
      </c>
      <c r="Q37" s="190">
        <v>1658634721.05</v>
      </c>
      <c r="R37" s="190">
        <v>1717061318.6300001</v>
      </c>
      <c r="S37" s="190">
        <v>1596762468.6500001</v>
      </c>
      <c r="T37" s="190">
        <v>1376926935.3800001</v>
      </c>
      <c r="U37" s="190">
        <v>1133727530.73</v>
      </c>
      <c r="V37" s="190">
        <v>2705498923.4899998</v>
      </c>
      <c r="W37" s="190">
        <v>2315728572.2800002</v>
      </c>
      <c r="X37" s="190">
        <v>1758184738.1900001</v>
      </c>
      <c r="Y37" s="190">
        <v>1343484034.49</v>
      </c>
      <c r="Z37" s="190">
        <v>2217972178.1500001</v>
      </c>
      <c r="AA37" s="190">
        <v>2052824174.8399999</v>
      </c>
      <c r="AB37" s="190">
        <v>1727555902.45</v>
      </c>
      <c r="AC37" s="190">
        <v>1640850259.8199999</v>
      </c>
      <c r="AD37" s="190">
        <v>4515662.0999999996</v>
      </c>
      <c r="AE37" s="190">
        <v>4515662.0999999996</v>
      </c>
      <c r="AF37" s="190">
        <v>4515662.0999999996</v>
      </c>
      <c r="AG37" s="190">
        <v>4515662.0999999996</v>
      </c>
      <c r="AH37" s="190">
        <v>4515662.0999999996</v>
      </c>
      <c r="AI37" s="190">
        <v>4515662.0999999996</v>
      </c>
      <c r="AJ37" s="190">
        <v>4515662.0999999996</v>
      </c>
      <c r="AK37" s="190">
        <v>4515662.0999999996</v>
      </c>
      <c r="AL37" s="190">
        <v>4515666.51</v>
      </c>
      <c r="AM37" s="190">
        <v>4535552.1900000004</v>
      </c>
      <c r="AN37" s="190">
        <v>4535552.16</v>
      </c>
      <c r="AO37" s="190">
        <v>4535552.16</v>
      </c>
      <c r="AP37" s="190">
        <v>4087990.47</v>
      </c>
      <c r="AQ37" s="190">
        <v>19384614.34</v>
      </c>
      <c r="AR37" s="190">
        <v>12035485.66</v>
      </c>
      <c r="AS37" s="190">
        <v>10177474.779999999</v>
      </c>
      <c r="AT37" s="190">
        <v>16133138.630000001</v>
      </c>
      <c r="AU37" s="190">
        <v>16057286.050000001</v>
      </c>
      <c r="AV37" s="190">
        <v>17022219.329999998</v>
      </c>
      <c r="AW37" s="190">
        <v>12657215.560000001</v>
      </c>
      <c r="AX37" s="190">
        <v>7024289.21</v>
      </c>
      <c r="AY37" s="190">
        <v>5792877.5599999996</v>
      </c>
      <c r="AZ37" s="190">
        <v>0</v>
      </c>
      <c r="BA37" s="190">
        <v>5469408.1299999999</v>
      </c>
      <c r="BB37" s="190">
        <v>4357150.68</v>
      </c>
      <c r="BC37" s="190">
        <v>7804244.3300000001</v>
      </c>
      <c r="BD37" s="190">
        <v>14386177.18</v>
      </c>
      <c r="BE37" s="190">
        <v>18761848.359999999</v>
      </c>
      <c r="BF37" s="190">
        <v>20083440.379999999</v>
      </c>
      <c r="BG37" s="190">
        <v>73537172.290000007</v>
      </c>
      <c r="BH37" s="190">
        <v>637137.55000000005</v>
      </c>
      <c r="BI37" s="190">
        <v>5929619.8700000001</v>
      </c>
      <c r="BJ37" s="190">
        <v>7068076.4000000004</v>
      </c>
      <c r="BK37" s="190">
        <v>9325700.4000000004</v>
      </c>
      <c r="BL37" s="190">
        <v>6893416.4000000004</v>
      </c>
      <c r="BM37" s="190">
        <v>12641969.960000001</v>
      </c>
      <c r="BN37" s="190">
        <v>168418.4</v>
      </c>
      <c r="BO37" s="190">
        <v>146418.4</v>
      </c>
      <c r="BP37" s="190">
        <v>3236409.5</v>
      </c>
      <c r="BQ37" s="190">
        <v>1528009.5</v>
      </c>
      <c r="BR37" s="190">
        <v>984644.49</v>
      </c>
      <c r="BS37" s="190">
        <v>19240043.780000001</v>
      </c>
      <c r="BT37" s="190">
        <v>7019392.8399999999</v>
      </c>
      <c r="BU37" s="190">
        <v>4145298.46</v>
      </c>
      <c r="BV37" s="190">
        <v>967960.29</v>
      </c>
      <c r="BW37" s="190">
        <v>3079675.64</v>
      </c>
      <c r="BX37" s="190">
        <v>530765</v>
      </c>
      <c r="BY37" s="190">
        <v>2489125.52</v>
      </c>
      <c r="BZ37" s="190">
        <v>4245209.37</v>
      </c>
      <c r="CA37" s="190">
        <v>3656757.59</v>
      </c>
      <c r="CB37" s="190">
        <v>5488865.8899999997</v>
      </c>
      <c r="CC37" s="190">
        <v>5388075.0800000001</v>
      </c>
      <c r="CD37" s="190">
        <v>0</v>
      </c>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0</v>
      </c>
      <c r="CC38" s="190">
        <v>0</v>
      </c>
      <c r="CD38" s="190">
        <v>0</v>
      </c>
      <c r="CE38" s="190"/>
      <c r="CF38" s="190"/>
      <c r="CG38" s="190"/>
      <c r="CH38" s="190"/>
      <c r="CI38" s="190"/>
      <c r="CJ38" s="190"/>
      <c r="CK38" s="190"/>
      <c r="CL38" s="190"/>
    </row>
    <row r="39" spans="1:90" x14ac:dyDescent="0.25">
      <c r="A39" s="17" t="s">
        <v>25</v>
      </c>
      <c r="B39" s="190">
        <v>7322842.5099999998</v>
      </c>
      <c r="C39" s="190">
        <v>162737.68</v>
      </c>
      <c r="D39" s="190">
        <v>379534.41</v>
      </c>
      <c r="E39" s="190">
        <v>545244.34</v>
      </c>
      <c r="F39" s="190">
        <v>121393.74</v>
      </c>
      <c r="G39" s="190">
        <v>391788.2</v>
      </c>
      <c r="H39" s="190">
        <v>589150.14</v>
      </c>
      <c r="I39" s="190">
        <v>1052739.3500000001</v>
      </c>
      <c r="J39" s="190">
        <v>431459.76</v>
      </c>
      <c r="K39" s="190">
        <v>930531.49</v>
      </c>
      <c r="L39" s="190">
        <v>131311.87</v>
      </c>
      <c r="M39" s="190">
        <v>354067.03</v>
      </c>
      <c r="N39" s="190">
        <v>396871.22</v>
      </c>
      <c r="O39" s="190">
        <v>519916.4</v>
      </c>
      <c r="P39" s="190">
        <v>345215.42</v>
      </c>
      <c r="Q39" s="190">
        <v>430664.05</v>
      </c>
      <c r="R39" s="190">
        <v>425001.11</v>
      </c>
      <c r="S39" s="190">
        <v>463719.66</v>
      </c>
      <c r="T39" s="190">
        <v>400290.53</v>
      </c>
      <c r="U39" s="190">
        <v>316172.46999999997</v>
      </c>
      <c r="V39" s="190">
        <v>342270.06</v>
      </c>
      <c r="W39" s="190">
        <v>346198.6</v>
      </c>
      <c r="X39" s="190">
        <v>122477.75999999999</v>
      </c>
      <c r="Y39" s="190">
        <v>366194.86</v>
      </c>
      <c r="Z39" s="190">
        <v>433657.65</v>
      </c>
      <c r="AA39" s="190">
        <v>286050.63</v>
      </c>
      <c r="AB39" s="190">
        <v>144670.23000000001</v>
      </c>
      <c r="AC39" s="190">
        <v>198664.67</v>
      </c>
      <c r="AD39" s="190">
        <v>2484903.4</v>
      </c>
      <c r="AE39" s="190">
        <v>2349850.38</v>
      </c>
      <c r="AF39" s="190">
        <v>2150048.79</v>
      </c>
      <c r="AG39" s="190">
        <v>2412640.2599999998</v>
      </c>
      <c r="AH39" s="190">
        <v>3058125.01</v>
      </c>
      <c r="AI39" s="190">
        <v>2674259.0699999998</v>
      </c>
      <c r="AJ39" s="190">
        <v>2946059.32</v>
      </c>
      <c r="AK39" s="190">
        <v>2724121.36</v>
      </c>
      <c r="AL39" s="190">
        <v>2467261.65</v>
      </c>
      <c r="AM39" s="190">
        <v>2222979.13</v>
      </c>
      <c r="AN39" s="190">
        <v>2356493.36</v>
      </c>
      <c r="AO39" s="190">
        <v>2352445.36</v>
      </c>
      <c r="AP39" s="190">
        <v>2290208.42</v>
      </c>
      <c r="AQ39" s="190">
        <v>2501884.09</v>
      </c>
      <c r="AR39" s="190">
        <v>2430422.4300000002</v>
      </c>
      <c r="AS39" s="190">
        <v>2181209.9</v>
      </c>
      <c r="AT39" s="190">
        <v>9349823.0399999991</v>
      </c>
      <c r="AU39" s="190">
        <v>9121036.6600000001</v>
      </c>
      <c r="AV39" s="190">
        <v>8747347.7300000004</v>
      </c>
      <c r="AW39" s="190">
        <v>7824075.8099999996</v>
      </c>
      <c r="AX39" s="190">
        <v>5970941.2699999996</v>
      </c>
      <c r="AY39" s="190">
        <v>5707130.6699999999</v>
      </c>
      <c r="AZ39" s="190">
        <v>0</v>
      </c>
      <c r="BA39" s="190">
        <v>5009495.3499999996</v>
      </c>
      <c r="BB39" s="190">
        <v>4969584.0199999996</v>
      </c>
      <c r="BC39" s="190">
        <v>4799601.95</v>
      </c>
      <c r="BD39" s="190">
        <v>4482734.53</v>
      </c>
      <c r="BE39" s="190">
        <v>4247750.84</v>
      </c>
      <c r="BF39" s="190">
        <v>3767559.02</v>
      </c>
      <c r="BG39" s="190">
        <v>3532300.47</v>
      </c>
      <c r="BH39" s="190">
        <v>3445437.18</v>
      </c>
      <c r="BI39" s="190">
        <v>3143382.67</v>
      </c>
      <c r="BJ39" s="190">
        <v>3142587.25</v>
      </c>
      <c r="BK39" s="190">
        <v>2738001.31</v>
      </c>
      <c r="BL39" s="190">
        <v>2306002.09</v>
      </c>
      <c r="BM39" s="190">
        <v>2155835.34</v>
      </c>
      <c r="BN39" s="190">
        <v>1801919.37</v>
      </c>
      <c r="BO39" s="190">
        <v>1541897.76</v>
      </c>
      <c r="BP39" s="190">
        <v>1286353.22</v>
      </c>
      <c r="BQ39" s="190">
        <v>1074455.03</v>
      </c>
      <c r="BR39" s="190">
        <v>903448.4</v>
      </c>
      <c r="BS39" s="190">
        <v>1579279.14</v>
      </c>
      <c r="BT39" s="190">
        <v>1348782.37</v>
      </c>
      <c r="BU39" s="190">
        <v>926659.74</v>
      </c>
      <c r="BV39" s="190">
        <v>815695.92</v>
      </c>
      <c r="BW39" s="190">
        <v>456670.39</v>
      </c>
      <c r="BX39" s="190">
        <v>158556.38</v>
      </c>
      <c r="BY39" s="190">
        <v>-67311.94</v>
      </c>
      <c r="BZ39" s="190">
        <v>-40354.11</v>
      </c>
      <c r="CA39" s="190">
        <v>5255.39</v>
      </c>
      <c r="CB39" s="190">
        <v>38624.43</v>
      </c>
      <c r="CC39" s="190">
        <v>91916.77</v>
      </c>
      <c r="CD39" s="190">
        <v>0</v>
      </c>
      <c r="CE39" s="190"/>
      <c r="CF39" s="190"/>
      <c r="CG39" s="190"/>
      <c r="CH39" s="190"/>
      <c r="CI39" s="190"/>
      <c r="CJ39" s="190"/>
      <c r="CK39" s="190"/>
      <c r="CL39" s="190"/>
    </row>
    <row r="40" spans="1:90" x14ac:dyDescent="0.25">
      <c r="A40" s="17" t="s">
        <v>26</v>
      </c>
      <c r="B40" s="190">
        <v>-3318810.61</v>
      </c>
      <c r="C40" s="190">
        <v>1073654.1299999999</v>
      </c>
      <c r="D40" s="190">
        <v>12777222.68</v>
      </c>
      <c r="E40" s="190">
        <v>60719234.770000003</v>
      </c>
      <c r="F40" s="190">
        <v>-19257699.57</v>
      </c>
      <c r="G40" s="190">
        <v>-33174989.190000001</v>
      </c>
      <c r="H40" s="190">
        <v>6560958.0099999998</v>
      </c>
      <c r="I40" s="190">
        <v>144239931.22999999</v>
      </c>
      <c r="J40" s="190">
        <v>-275652824.01999998</v>
      </c>
      <c r="K40" s="190">
        <v>-286593948.16000003</v>
      </c>
      <c r="L40" s="190">
        <v>-124558688.81999999</v>
      </c>
      <c r="M40" s="190">
        <v>-198541964.25999999</v>
      </c>
      <c r="N40" s="190">
        <v>-197929815.38</v>
      </c>
      <c r="O40" s="190">
        <v>-248743404.5</v>
      </c>
      <c r="P40" s="190">
        <v>-190461671.68000001</v>
      </c>
      <c r="Q40" s="190">
        <v>-141800124.47</v>
      </c>
      <c r="R40" s="190">
        <v>-148123706.38999999</v>
      </c>
      <c r="S40" s="190">
        <v>-145239837.08000001</v>
      </c>
      <c r="T40" s="190">
        <v>-10023980.550000001</v>
      </c>
      <c r="U40" s="190">
        <v>26378001.370000001</v>
      </c>
      <c r="V40" s="190">
        <v>-170876185.84</v>
      </c>
      <c r="W40" s="190">
        <v>-125768193.09</v>
      </c>
      <c r="X40" s="190">
        <v>-22999704.899999999</v>
      </c>
      <c r="Y40" s="190">
        <v>54004107.329999998</v>
      </c>
      <c r="Z40" s="190">
        <v>-57247652.530000001</v>
      </c>
      <c r="AA40" s="190">
        <v>-68676974.450000003</v>
      </c>
      <c r="AB40" s="190">
        <v>17386289.170000002</v>
      </c>
      <c r="AC40" s="190">
        <v>80599572.769999996</v>
      </c>
      <c r="AD40" s="190">
        <v>-3650821.57</v>
      </c>
      <c r="AE40" s="190">
        <v>-3615506.06</v>
      </c>
      <c r="AF40" s="190">
        <v>-3600480.23</v>
      </c>
      <c r="AG40" s="190">
        <v>-3580449.66</v>
      </c>
      <c r="AH40" s="190">
        <v>-3688323.07</v>
      </c>
      <c r="AI40" s="190">
        <v>-3725232.62</v>
      </c>
      <c r="AJ40" s="190">
        <v>-3901443.01</v>
      </c>
      <c r="AK40" s="190">
        <v>-3910979.14</v>
      </c>
      <c r="AL40" s="190">
        <v>-3956631.26</v>
      </c>
      <c r="AM40" s="190">
        <v>-4014347.47</v>
      </c>
      <c r="AN40" s="190">
        <v>-3839328.15</v>
      </c>
      <c r="AO40" s="190">
        <v>-4106762.79</v>
      </c>
      <c r="AP40" s="190">
        <v>-2925368.47</v>
      </c>
      <c r="AQ40" s="190">
        <v>-2701672.04</v>
      </c>
      <c r="AR40" s="190">
        <v>-2375035.21</v>
      </c>
      <c r="AS40" s="190">
        <v>-2247779.5499999998</v>
      </c>
      <c r="AT40" s="190">
        <v>-2447035.15</v>
      </c>
      <c r="AU40" s="190">
        <v>-1818104.66</v>
      </c>
      <c r="AV40" s="190">
        <v>-2193842.19</v>
      </c>
      <c r="AW40" s="190">
        <v>-1925475.71</v>
      </c>
      <c r="AX40" s="190">
        <v>-6230100.0999999996</v>
      </c>
      <c r="AY40" s="190">
        <v>-2095957.65</v>
      </c>
      <c r="AZ40" s="190">
        <v>0</v>
      </c>
      <c r="BA40" s="190">
        <v>-2543148.89</v>
      </c>
      <c r="BB40" s="190">
        <v>-2102745.88</v>
      </c>
      <c r="BC40" s="190">
        <v>-2157753.33</v>
      </c>
      <c r="BD40" s="190">
        <v>-1851046.96</v>
      </c>
      <c r="BE40" s="190">
        <v>-1892008.18</v>
      </c>
      <c r="BF40" s="190">
        <v>-5018327.17</v>
      </c>
      <c r="BG40" s="190">
        <v>242467.1</v>
      </c>
      <c r="BH40" s="190">
        <v>4388720.97</v>
      </c>
      <c r="BI40" s="190">
        <v>4514629.0599999996</v>
      </c>
      <c r="BJ40" s="190">
        <v>162607.26</v>
      </c>
      <c r="BK40" s="190">
        <v>-1377390.46</v>
      </c>
      <c r="BL40" s="190">
        <v>-982131.79</v>
      </c>
      <c r="BM40" s="190">
        <v>4794596.54</v>
      </c>
      <c r="BN40" s="190">
        <v>-1328091.9099999999</v>
      </c>
      <c r="BO40" s="190">
        <v>-2054217.61</v>
      </c>
      <c r="BP40" s="190">
        <v>-2645508.9900000002</v>
      </c>
      <c r="BQ40" s="190">
        <v>-3778075.84</v>
      </c>
      <c r="BR40" s="190">
        <v>16158984.76</v>
      </c>
      <c r="BS40" s="190">
        <v>10046896.82</v>
      </c>
      <c r="BT40" s="190">
        <v>23180.84</v>
      </c>
      <c r="BU40" s="190">
        <v>-655246.25</v>
      </c>
      <c r="BV40" s="190">
        <v>1286513.9099999999</v>
      </c>
      <c r="BW40" s="190">
        <v>399568.93</v>
      </c>
      <c r="BX40" s="190">
        <v>1088234.7</v>
      </c>
      <c r="BY40" s="190">
        <v>958502.33</v>
      </c>
      <c r="BZ40" s="190">
        <v>1642436.98</v>
      </c>
      <c r="CA40" s="190">
        <v>-228926.66</v>
      </c>
      <c r="CB40" s="190">
        <v>-260754.65</v>
      </c>
      <c r="CC40" s="190">
        <v>138198.79999999999</v>
      </c>
      <c r="CD40" s="190">
        <v>0</v>
      </c>
      <c r="CE40" s="190"/>
      <c r="CF40" s="190"/>
      <c r="CG40" s="190"/>
      <c r="CH40" s="190"/>
      <c r="CI40" s="190"/>
      <c r="CJ40" s="190"/>
      <c r="CK40" s="190"/>
      <c r="CL40" s="190"/>
    </row>
    <row r="41" spans="1:90" x14ac:dyDescent="0.25">
      <c r="A41" s="17" t="s">
        <v>27</v>
      </c>
      <c r="B41" s="190">
        <v>483919319.00999999</v>
      </c>
      <c r="C41" s="190">
        <v>265458775.69999999</v>
      </c>
      <c r="D41" s="190">
        <v>235865124.47999999</v>
      </c>
      <c r="E41" s="190">
        <v>312833908.58999997</v>
      </c>
      <c r="F41" s="190">
        <v>316205279.60000002</v>
      </c>
      <c r="G41" s="190">
        <v>397260401.81</v>
      </c>
      <c r="H41" s="190">
        <v>444565612.29000002</v>
      </c>
      <c r="I41" s="190">
        <v>772700349.5</v>
      </c>
      <c r="J41" s="190">
        <v>777874685.90999997</v>
      </c>
      <c r="K41" s="190">
        <v>1453004501.74</v>
      </c>
      <c r="L41" s="190">
        <v>806068437.32000005</v>
      </c>
      <c r="M41" s="190">
        <v>1139357659.46</v>
      </c>
      <c r="N41" s="190">
        <v>1259790578.79</v>
      </c>
      <c r="O41" s="190">
        <v>1482582554.21</v>
      </c>
      <c r="P41" s="190">
        <v>1157251203.1400001</v>
      </c>
      <c r="Q41" s="190">
        <v>1151218413.6800001</v>
      </c>
      <c r="R41" s="190">
        <v>1974958688.26</v>
      </c>
      <c r="S41" s="190">
        <v>1839250186.8800001</v>
      </c>
      <c r="T41" s="190">
        <v>2001294606.76</v>
      </c>
      <c r="U41" s="190">
        <v>1591061381.5</v>
      </c>
      <c r="V41" s="190">
        <v>944506078.44000006</v>
      </c>
      <c r="W41" s="190">
        <v>1069667380.01</v>
      </c>
      <c r="X41" s="190">
        <v>724895216.54999995</v>
      </c>
      <c r="Y41" s="190">
        <v>700400342.32000005</v>
      </c>
      <c r="Z41" s="190">
        <v>754553248.35000002</v>
      </c>
      <c r="AA41" s="190">
        <v>261933448.12</v>
      </c>
      <c r="AB41" s="190">
        <v>345167450.88999999</v>
      </c>
      <c r="AC41" s="190">
        <v>335357124.51999998</v>
      </c>
      <c r="AD41" s="190">
        <v>44098162.210000001</v>
      </c>
      <c r="AE41" s="190">
        <v>43090381.210000001</v>
      </c>
      <c r="AF41" s="190">
        <v>42400482.420000002</v>
      </c>
      <c r="AG41" s="190">
        <v>42512299.939999998</v>
      </c>
      <c r="AH41" s="190">
        <v>39915818</v>
      </c>
      <c r="AI41" s="190">
        <v>39530785.920000002</v>
      </c>
      <c r="AJ41" s="190">
        <v>39565451.079999998</v>
      </c>
      <c r="AK41" s="190">
        <v>39565231.82</v>
      </c>
      <c r="AL41" s="190">
        <v>39769991.850000001</v>
      </c>
      <c r="AM41" s="190">
        <v>42285517.630000003</v>
      </c>
      <c r="AN41" s="190">
        <v>28938328.100000001</v>
      </c>
      <c r="AO41" s="190">
        <v>30645219.460000001</v>
      </c>
      <c r="AP41" s="190">
        <v>9597007.9299999997</v>
      </c>
      <c r="AQ41" s="190">
        <v>10732246.880000001</v>
      </c>
      <c r="AR41" s="190">
        <v>9562107.1099999994</v>
      </c>
      <c r="AS41" s="190">
        <v>11921480.640000001</v>
      </c>
      <c r="AT41" s="190">
        <v>10793114.609999999</v>
      </c>
      <c r="AU41" s="190">
        <v>14258669.369999999</v>
      </c>
      <c r="AV41" s="190">
        <v>2159578.2999999998</v>
      </c>
      <c r="AW41" s="190">
        <v>14287650.6</v>
      </c>
      <c r="AX41" s="190">
        <v>7837242.54</v>
      </c>
      <c r="AY41" s="190">
        <v>13338359.91</v>
      </c>
      <c r="AZ41" s="190">
        <v>0</v>
      </c>
      <c r="BA41" s="190">
        <v>8004683.6900000004</v>
      </c>
      <c r="BB41" s="190">
        <v>12605314.470000001</v>
      </c>
      <c r="BC41" s="190">
        <v>9314693.1600000001</v>
      </c>
      <c r="BD41" s="190">
        <v>10516645.57</v>
      </c>
      <c r="BE41" s="190">
        <v>13088564.34</v>
      </c>
      <c r="BF41" s="190">
        <v>25303028.960000001</v>
      </c>
      <c r="BG41" s="190">
        <v>9584927.5500000007</v>
      </c>
      <c r="BH41" s="190">
        <v>18604814.969999999</v>
      </c>
      <c r="BI41" s="190">
        <v>15624398.83</v>
      </c>
      <c r="BJ41" s="190">
        <v>8305383.29</v>
      </c>
      <c r="BK41" s="190">
        <v>8381640.1200000001</v>
      </c>
      <c r="BL41" s="190">
        <v>29876635.34</v>
      </c>
      <c r="BM41" s="190">
        <v>12683084.57</v>
      </c>
      <c r="BN41" s="190">
        <v>2195986.9700000002</v>
      </c>
      <c r="BO41" s="190">
        <v>2028136.52</v>
      </c>
      <c r="BP41" s="190">
        <v>6742142.4400000004</v>
      </c>
      <c r="BQ41" s="190">
        <v>6226746.29</v>
      </c>
      <c r="BR41" s="190">
        <v>2673905.89</v>
      </c>
      <c r="BS41" s="190">
        <v>40866491.18</v>
      </c>
      <c r="BT41" s="190">
        <v>514081.42</v>
      </c>
      <c r="BU41" s="190">
        <v>6951681.54</v>
      </c>
      <c r="BV41" s="190">
        <v>5784797.8499999996</v>
      </c>
      <c r="BW41" s="190">
        <v>459687.13</v>
      </c>
      <c r="BX41" s="190">
        <v>2044664.49</v>
      </c>
      <c r="BY41" s="190">
        <v>1013625.69</v>
      </c>
      <c r="BZ41" s="190">
        <v>68278.02</v>
      </c>
      <c r="CA41" s="190">
        <v>722805.93</v>
      </c>
      <c r="CB41" s="190">
        <v>49558.33</v>
      </c>
      <c r="CC41" s="190">
        <v>1200760.18</v>
      </c>
      <c r="CD41" s="190">
        <v>0</v>
      </c>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0</v>
      </c>
      <c r="CC42" s="190">
        <v>0</v>
      </c>
      <c r="CD42" s="190">
        <v>0</v>
      </c>
      <c r="CE42" s="190"/>
      <c r="CF42" s="190"/>
      <c r="CG42" s="190"/>
      <c r="CH42" s="190"/>
      <c r="CI42" s="190"/>
      <c r="CJ42" s="190"/>
      <c r="CK42" s="190"/>
      <c r="CL42" s="190"/>
    </row>
    <row r="43" spans="1:90" x14ac:dyDescent="0.25">
      <c r="A43" s="17" t="s">
        <v>29</v>
      </c>
      <c r="B43" s="190">
        <v>426827.02</v>
      </c>
      <c r="C43" s="190">
        <v>426827.02</v>
      </c>
      <c r="D43" s="190">
        <v>426827.02</v>
      </c>
      <c r="E43" s="190">
        <v>426827.02</v>
      </c>
      <c r="F43" s="190">
        <v>517622.2</v>
      </c>
      <c r="G43" s="190">
        <v>517622.2</v>
      </c>
      <c r="H43" s="190">
        <v>517622.2</v>
      </c>
      <c r="I43" s="190">
        <v>517622.2</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0</v>
      </c>
      <c r="CC43" s="190">
        <v>0</v>
      </c>
      <c r="CD43" s="190">
        <v>0</v>
      </c>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660000</v>
      </c>
      <c r="AE44" s="190">
        <v>660000</v>
      </c>
      <c r="AF44" s="190">
        <v>660000</v>
      </c>
      <c r="AG44" s="190">
        <v>660000</v>
      </c>
      <c r="AH44" s="190">
        <v>660000</v>
      </c>
      <c r="AI44" s="190">
        <v>660000</v>
      </c>
      <c r="AJ44" s="190">
        <v>660000</v>
      </c>
      <c r="AK44" s="190">
        <v>660000</v>
      </c>
      <c r="AL44" s="190">
        <v>660000</v>
      </c>
      <c r="AM44" s="190">
        <v>660000</v>
      </c>
      <c r="AN44" s="190">
        <v>660000</v>
      </c>
      <c r="AO44" s="190">
        <v>660000</v>
      </c>
      <c r="AP44" s="190">
        <v>660000</v>
      </c>
      <c r="AQ44" s="190">
        <v>660000</v>
      </c>
      <c r="AR44" s="190">
        <v>660000</v>
      </c>
      <c r="AS44" s="190">
        <v>660000</v>
      </c>
      <c r="AT44" s="190">
        <v>0</v>
      </c>
      <c r="AU44" s="190">
        <v>0</v>
      </c>
      <c r="AV44" s="190">
        <v>0</v>
      </c>
      <c r="AW44" s="190">
        <v>660000</v>
      </c>
      <c r="AX44" s="190">
        <v>660000</v>
      </c>
      <c r="AY44" s="190">
        <v>660000</v>
      </c>
      <c r="AZ44" s="190">
        <v>0</v>
      </c>
      <c r="BA44" s="190">
        <v>660000</v>
      </c>
      <c r="BB44" s="190">
        <v>1110000</v>
      </c>
      <c r="BC44" s="190">
        <v>1110000</v>
      </c>
      <c r="BD44" s="190">
        <v>1110000</v>
      </c>
      <c r="BE44" s="190">
        <v>1110000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c r="BW44" s="190">
        <v>0</v>
      </c>
      <c r="BX44" s="190">
        <v>0</v>
      </c>
      <c r="BY44" s="190">
        <v>0</v>
      </c>
      <c r="BZ44" s="190">
        <v>0</v>
      </c>
      <c r="CA44" s="190">
        <v>0</v>
      </c>
      <c r="CB44" s="190">
        <v>0</v>
      </c>
      <c r="CC44" s="190">
        <v>0</v>
      </c>
      <c r="CD44" s="190">
        <v>0</v>
      </c>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399808.02</v>
      </c>
      <c r="AO45" s="190">
        <v>0</v>
      </c>
      <c r="AP45" s="190">
        <v>399808.02</v>
      </c>
      <c r="AQ45" s="190">
        <v>399808.02</v>
      </c>
      <c r="AR45" s="190">
        <v>399808.02</v>
      </c>
      <c r="AS45" s="190">
        <v>0</v>
      </c>
      <c r="AT45" s="190">
        <v>165729733.21000001</v>
      </c>
      <c r="AU45" s="190">
        <v>152623233.21000001</v>
      </c>
      <c r="AV45" s="190">
        <v>139516633.21000001</v>
      </c>
      <c r="AW45" s="190">
        <v>399808.02</v>
      </c>
      <c r="AX45" s="190">
        <v>0</v>
      </c>
      <c r="AY45" s="190">
        <v>0</v>
      </c>
      <c r="AZ45" s="190">
        <v>0</v>
      </c>
      <c r="BA45" s="190">
        <v>0</v>
      </c>
      <c r="BB45" s="190">
        <v>0</v>
      </c>
      <c r="BC45" s="190">
        <v>0</v>
      </c>
      <c r="BD45" s="190">
        <v>0</v>
      </c>
      <c r="BE45" s="190">
        <v>24050000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1695985716.5800002</v>
      </c>
      <c r="C49" s="35">
        <f>SUM(C35:C41)+SUM(C43:C45)</f>
        <v>1508109671.1300001</v>
      </c>
      <c r="D49" s="35">
        <f>SUM(D35:D41)+SUM(D43:D45)</f>
        <v>831328120.63999987</v>
      </c>
      <c r="E49" s="35">
        <f>SUM(E35:E45)</f>
        <v>891453787.23000002</v>
      </c>
      <c r="F49" s="35">
        <f t="shared" ref="F49:BQ49" si="4">SUM(F35:F45)</f>
        <v>1830088469.7500002</v>
      </c>
      <c r="G49" s="35">
        <f t="shared" si="4"/>
        <v>1506911108.78</v>
      </c>
      <c r="H49" s="35">
        <f t="shared" si="4"/>
        <v>1334347607.1000001</v>
      </c>
      <c r="I49" s="35">
        <f t="shared" si="4"/>
        <v>2755108466.6599998</v>
      </c>
      <c r="J49" s="35">
        <f t="shared" si="4"/>
        <v>3373518938.0700002</v>
      </c>
      <c r="K49" s="35">
        <f t="shared" si="4"/>
        <v>3953476281.6199999</v>
      </c>
      <c r="L49" s="35">
        <f t="shared" si="4"/>
        <v>3862829760.1499996</v>
      </c>
      <c r="M49" s="35">
        <f t="shared" si="4"/>
        <v>5771753223.829999</v>
      </c>
      <c r="N49" s="35">
        <f t="shared" si="4"/>
        <v>4852784517.6299992</v>
      </c>
      <c r="O49" s="35">
        <f t="shared" si="4"/>
        <v>4186173960.3299999</v>
      </c>
      <c r="P49" s="35">
        <f t="shared" si="4"/>
        <v>3214838888.25</v>
      </c>
      <c r="Q49" s="35">
        <f t="shared" si="4"/>
        <v>3041948139.5999999</v>
      </c>
      <c r="R49" s="35">
        <f t="shared" si="4"/>
        <v>3860959239.7200003</v>
      </c>
      <c r="S49" s="35">
        <f t="shared" si="4"/>
        <v>3637202404.2000003</v>
      </c>
      <c r="T49" s="35">
        <f t="shared" si="4"/>
        <v>3754440900.2300005</v>
      </c>
      <c r="U49" s="35">
        <f t="shared" si="4"/>
        <v>3235008266.71</v>
      </c>
      <c r="V49" s="35">
        <f t="shared" si="4"/>
        <v>3842952098.8999996</v>
      </c>
      <c r="W49" s="35">
        <f t="shared" si="4"/>
        <v>3515866787.3000002</v>
      </c>
      <c r="X49" s="35">
        <f t="shared" si="4"/>
        <v>2640953815.5900002</v>
      </c>
      <c r="Y49" s="35">
        <f t="shared" si="4"/>
        <v>2444697529.4499998</v>
      </c>
      <c r="Z49" s="35">
        <f t="shared" si="4"/>
        <v>3077352480.8799996</v>
      </c>
      <c r="AA49" s="35">
        <f t="shared" si="4"/>
        <v>2384174103.7600002</v>
      </c>
      <c r="AB49" s="35">
        <f t="shared" si="4"/>
        <v>2221343256.9100003</v>
      </c>
      <c r="AC49" s="35">
        <f t="shared" si="4"/>
        <v>2291269313.6599998</v>
      </c>
      <c r="AD49" s="35">
        <f t="shared" si="4"/>
        <v>211006868.09</v>
      </c>
      <c r="AE49" s="35">
        <f t="shared" si="4"/>
        <v>207777694.57999998</v>
      </c>
      <c r="AF49" s="35">
        <f t="shared" si="4"/>
        <v>206696740.02999997</v>
      </c>
      <c r="AG49" s="35">
        <f t="shared" si="4"/>
        <v>206429979.58999997</v>
      </c>
      <c r="AH49" s="35">
        <f t="shared" si="4"/>
        <v>204215558.90000001</v>
      </c>
      <c r="AI49" s="35">
        <f t="shared" si="4"/>
        <v>202951404.32999998</v>
      </c>
      <c r="AJ49" s="35">
        <f t="shared" si="4"/>
        <v>202507807.35000002</v>
      </c>
      <c r="AK49" s="35">
        <f t="shared" si="4"/>
        <v>202214111.09</v>
      </c>
      <c r="AL49" s="35">
        <f t="shared" si="4"/>
        <v>201361566.48000002</v>
      </c>
      <c r="AM49" s="35">
        <f t="shared" si="4"/>
        <v>203550539.06999999</v>
      </c>
      <c r="AN49" s="35">
        <f t="shared" si="4"/>
        <v>190621424.17000002</v>
      </c>
      <c r="AO49" s="35">
        <f t="shared" si="4"/>
        <v>191574024.92000005</v>
      </c>
      <c r="AP49" s="35">
        <f t="shared" si="4"/>
        <v>176547628.47000003</v>
      </c>
      <c r="AQ49" s="35">
        <f t="shared" si="4"/>
        <v>200092152.53000003</v>
      </c>
      <c r="AR49" s="35">
        <f t="shared" si="4"/>
        <v>198817342.28999999</v>
      </c>
      <c r="AS49" s="35">
        <f t="shared" si="4"/>
        <v>204829911.30000001</v>
      </c>
      <c r="AT49" s="35">
        <f t="shared" si="4"/>
        <v>385652880.57000005</v>
      </c>
      <c r="AU49" s="35">
        <f t="shared" si="4"/>
        <v>378178158.24000001</v>
      </c>
      <c r="AV49" s="35">
        <f t="shared" si="4"/>
        <v>343945788.89999998</v>
      </c>
      <c r="AW49" s="35">
        <f t="shared" si="4"/>
        <v>209083535.38000003</v>
      </c>
      <c r="AX49" s="35">
        <f t="shared" si="4"/>
        <v>196116039.95000002</v>
      </c>
      <c r="AY49" s="35">
        <f t="shared" si="4"/>
        <v>195107526.10999998</v>
      </c>
      <c r="AZ49" s="35">
        <f t="shared" si="4"/>
        <v>0</v>
      </c>
      <c r="BA49" s="35">
        <f t="shared" si="4"/>
        <v>188126768.58000001</v>
      </c>
      <c r="BB49" s="35">
        <f t="shared" si="4"/>
        <v>419794067.49000001</v>
      </c>
      <c r="BC49" s="35">
        <f t="shared" si="4"/>
        <v>449065780.99000001</v>
      </c>
      <c r="BD49" s="35">
        <f t="shared" si="4"/>
        <v>492279299.92000002</v>
      </c>
      <c r="BE49" s="35">
        <f t="shared" si="4"/>
        <v>569149272.35000002</v>
      </c>
      <c r="BF49" s="35">
        <f t="shared" si="4"/>
        <v>660055171.04000008</v>
      </c>
      <c r="BG49" s="35">
        <f t="shared" si="4"/>
        <v>473011067.1400001</v>
      </c>
      <c r="BH49" s="35">
        <f t="shared" si="4"/>
        <v>304592314.18000007</v>
      </c>
      <c r="BI49" s="35">
        <f t="shared" si="4"/>
        <v>515521804.16000003</v>
      </c>
      <c r="BJ49" s="35">
        <f t="shared" si="4"/>
        <v>237015277.19</v>
      </c>
      <c r="BK49" s="35">
        <f t="shared" si="4"/>
        <v>273348100.88</v>
      </c>
      <c r="BL49" s="35">
        <f t="shared" si="4"/>
        <v>260916369.56</v>
      </c>
      <c r="BM49" s="35">
        <f t="shared" si="4"/>
        <v>389764073.90999997</v>
      </c>
      <c r="BN49" s="35">
        <f t="shared" si="4"/>
        <v>288900235.14999998</v>
      </c>
      <c r="BO49" s="35">
        <f t="shared" si="4"/>
        <v>185637864.53999999</v>
      </c>
      <c r="BP49" s="35">
        <f t="shared" si="4"/>
        <v>263940126.47</v>
      </c>
      <c r="BQ49" s="35">
        <f t="shared" si="4"/>
        <v>372015803.17000002</v>
      </c>
      <c r="BR49" s="35">
        <f t="shared" ref="BR49:CK49" si="5">SUM(BR35:BR45)</f>
        <v>236623697.73999998</v>
      </c>
      <c r="BS49" s="35">
        <f t="shared" si="5"/>
        <v>79874794.819999993</v>
      </c>
      <c r="BT49" s="35">
        <f t="shared" si="5"/>
        <v>18996574.170000002</v>
      </c>
      <c r="BU49" s="35">
        <f t="shared" si="5"/>
        <v>16112781.350000001</v>
      </c>
      <c r="BV49" s="35">
        <f t="shared" si="5"/>
        <v>16103131.060000001</v>
      </c>
      <c r="BW49" s="35">
        <f t="shared" si="5"/>
        <v>8822495.7999999989</v>
      </c>
      <c r="BX49" s="35">
        <f t="shared" si="5"/>
        <v>7582517.7400000002</v>
      </c>
      <c r="BY49" s="35">
        <f t="shared" si="5"/>
        <v>9538280.0999999978</v>
      </c>
      <c r="BZ49" s="35">
        <f t="shared" si="5"/>
        <v>10868097.48</v>
      </c>
      <c r="CA49" s="35">
        <f t="shared" si="5"/>
        <v>7331482.0899999989</v>
      </c>
      <c r="CB49" s="35">
        <f t="shared" si="5"/>
        <v>12384107.82</v>
      </c>
      <c r="CC49" s="35">
        <f t="shared" si="5"/>
        <v>12617014.01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8562965238.0900002</v>
      </c>
      <c r="C50" s="36">
        <f t="shared" ref="C50:BN50" si="6">C33-C49</f>
        <v>8335992265.7299986</v>
      </c>
      <c r="D50" s="36">
        <f t="shared" si="6"/>
        <v>9105481288.710001</v>
      </c>
      <c r="E50" s="36">
        <f t="shared" si="6"/>
        <v>8917709566.8800011</v>
      </c>
      <c r="F50" s="36">
        <f t="shared" si="6"/>
        <v>8824617882.2199993</v>
      </c>
      <c r="G50" s="36">
        <f t="shared" si="6"/>
        <v>7798732946.3300009</v>
      </c>
      <c r="H50" s="36">
        <f t="shared" si="6"/>
        <v>7780319144.3199997</v>
      </c>
      <c r="I50" s="36">
        <f t="shared" si="6"/>
        <v>7076963978.3899994</v>
      </c>
      <c r="J50" s="36">
        <f t="shared" si="6"/>
        <v>7288699572.2900009</v>
      </c>
      <c r="K50" s="36">
        <f t="shared" si="6"/>
        <v>7266747968.2300005</v>
      </c>
      <c r="L50" s="36">
        <f t="shared" si="6"/>
        <v>6708235583.6300011</v>
      </c>
      <c r="M50" s="36">
        <f t="shared" si="6"/>
        <v>6203098773.3500013</v>
      </c>
      <c r="N50" s="36">
        <f t="shared" si="6"/>
        <v>6752790677.8300018</v>
      </c>
      <c r="O50" s="36">
        <f t="shared" si="6"/>
        <v>7058989594.5</v>
      </c>
      <c r="P50" s="36">
        <f t="shared" si="6"/>
        <v>6721589422.2000008</v>
      </c>
      <c r="Q50" s="36">
        <f t="shared" si="6"/>
        <v>5271947531.5499992</v>
      </c>
      <c r="R50" s="36">
        <f t="shared" si="6"/>
        <v>3836438024.7199993</v>
      </c>
      <c r="S50" s="36">
        <f t="shared" si="6"/>
        <v>3916657326.6399999</v>
      </c>
      <c r="T50" s="36">
        <f t="shared" si="6"/>
        <v>3793101021.0099993</v>
      </c>
      <c r="U50" s="36">
        <f t="shared" si="6"/>
        <v>3148588274.6499996</v>
      </c>
      <c r="V50" s="36">
        <f t="shared" si="6"/>
        <v>1670365395.3800011</v>
      </c>
      <c r="W50" s="36">
        <f t="shared" si="6"/>
        <v>1757289554.0299997</v>
      </c>
      <c r="X50" s="36">
        <f t="shared" si="6"/>
        <v>1530654280.5899997</v>
      </c>
      <c r="Y50" s="36">
        <f t="shared" si="6"/>
        <v>1277706676.0100002</v>
      </c>
      <c r="Z50" s="36">
        <f t="shared" si="6"/>
        <v>1279987718.1700006</v>
      </c>
      <c r="AA50" s="36">
        <f t="shared" si="6"/>
        <v>1632763892.29</v>
      </c>
      <c r="AB50" s="36">
        <f t="shared" si="6"/>
        <v>1660168005.5899997</v>
      </c>
      <c r="AC50" s="36">
        <f t="shared" si="6"/>
        <v>1463722004.8300004</v>
      </c>
      <c r="AD50" s="36">
        <f t="shared" si="6"/>
        <v>-98185479.459999993</v>
      </c>
      <c r="AE50" s="36">
        <f t="shared" si="6"/>
        <v>-97613912.039999977</v>
      </c>
      <c r="AF50" s="36">
        <f t="shared" si="6"/>
        <v>-95312340.549999967</v>
      </c>
      <c r="AG50" s="36">
        <f t="shared" si="6"/>
        <v>-95904103.909999967</v>
      </c>
      <c r="AH50" s="36">
        <f t="shared" si="6"/>
        <v>-100404271.06000002</v>
      </c>
      <c r="AI50" s="36">
        <f t="shared" si="6"/>
        <v>-80162208.129999995</v>
      </c>
      <c r="AJ50" s="36">
        <f t="shared" si="6"/>
        <v>-77054160.200000033</v>
      </c>
      <c r="AK50" s="36">
        <f t="shared" si="6"/>
        <v>-76871480.400000006</v>
      </c>
      <c r="AL50" s="36">
        <f t="shared" si="6"/>
        <v>-70880324.62000002</v>
      </c>
      <c r="AM50" s="36">
        <f t="shared" si="6"/>
        <v>-68434730.589999974</v>
      </c>
      <c r="AN50" s="36">
        <f t="shared" si="6"/>
        <v>-55291014.76000002</v>
      </c>
      <c r="AO50" s="36">
        <f t="shared" si="6"/>
        <v>-56397960.480000049</v>
      </c>
      <c r="AP50" s="36">
        <f t="shared" si="6"/>
        <v>-30850608.860000014</v>
      </c>
      <c r="AQ50" s="36">
        <f t="shared" si="6"/>
        <v>-30377006.400000036</v>
      </c>
      <c r="AR50" s="36">
        <f t="shared" si="6"/>
        <v>-16603636.190000027</v>
      </c>
      <c r="AS50" s="36">
        <f t="shared" si="6"/>
        <v>-18632255.380000025</v>
      </c>
      <c r="AT50" s="36">
        <f t="shared" si="6"/>
        <v>-211395086.79000008</v>
      </c>
      <c r="AU50" s="36">
        <f t="shared" si="6"/>
        <v>-193330447.08000001</v>
      </c>
      <c r="AV50" s="36">
        <f t="shared" si="6"/>
        <v>-185643760.81999996</v>
      </c>
      <c r="AW50" s="36">
        <f t="shared" si="6"/>
        <v>-33855400.700000048</v>
      </c>
      <c r="AX50" s="36">
        <f t="shared" si="6"/>
        <v>368593957.27999997</v>
      </c>
      <c r="AY50" s="36">
        <f t="shared" si="6"/>
        <v>373050573.81999993</v>
      </c>
      <c r="AZ50" s="36">
        <f t="shared" si="6"/>
        <v>0</v>
      </c>
      <c r="BA50" s="36">
        <f t="shared" si="6"/>
        <v>391964946.5</v>
      </c>
      <c r="BB50" s="36">
        <f t="shared" si="6"/>
        <v>476288647.48999989</v>
      </c>
      <c r="BC50" s="36">
        <f t="shared" si="6"/>
        <v>484308056.66000009</v>
      </c>
      <c r="BD50" s="36">
        <f t="shared" si="6"/>
        <v>509795364.57999998</v>
      </c>
      <c r="BE50" s="36">
        <f t="shared" si="6"/>
        <v>409465587.97000003</v>
      </c>
      <c r="BF50" s="36">
        <f t="shared" si="6"/>
        <v>391075404.28999984</v>
      </c>
      <c r="BG50" s="36">
        <f t="shared" si="6"/>
        <v>387010092.8299998</v>
      </c>
      <c r="BH50" s="36">
        <f t="shared" si="6"/>
        <v>293394180.17999995</v>
      </c>
      <c r="BI50" s="36">
        <f t="shared" si="6"/>
        <v>124343649.84999996</v>
      </c>
      <c r="BJ50" s="36">
        <f t="shared" si="6"/>
        <v>452762331.04000002</v>
      </c>
      <c r="BK50" s="36">
        <f t="shared" si="6"/>
        <v>339352939.87</v>
      </c>
      <c r="BL50" s="36">
        <f t="shared" si="6"/>
        <v>329588945.56</v>
      </c>
      <c r="BM50" s="36">
        <f t="shared" si="6"/>
        <v>229406688.10000002</v>
      </c>
      <c r="BN50" s="36">
        <f t="shared" si="6"/>
        <v>439532146.28000009</v>
      </c>
      <c r="BO50" s="36">
        <f t="shared" ref="BO50:CK50" si="7">BO33-BO49</f>
        <v>375741318.56000006</v>
      </c>
      <c r="BP50" s="36">
        <f t="shared" si="7"/>
        <v>366962165.16999996</v>
      </c>
      <c r="BQ50" s="36">
        <f t="shared" si="7"/>
        <v>201254466.07999998</v>
      </c>
      <c r="BR50" s="36">
        <f t="shared" si="7"/>
        <v>156568255.24000004</v>
      </c>
      <c r="BS50" s="36">
        <f t="shared" si="7"/>
        <v>203901914.58999997</v>
      </c>
      <c r="BT50" s="36">
        <f t="shared" si="7"/>
        <v>162517305.94</v>
      </c>
      <c r="BU50" s="36">
        <f t="shared" si="7"/>
        <v>123415931.37</v>
      </c>
      <c r="BV50" s="36">
        <f t="shared" si="7"/>
        <v>103763099.44999999</v>
      </c>
      <c r="BW50" s="36">
        <f t="shared" si="7"/>
        <v>67301843.900000006</v>
      </c>
      <c r="BX50" s="36">
        <f t="shared" si="7"/>
        <v>58617618.859999999</v>
      </c>
      <c r="BY50" s="36">
        <f t="shared" si="7"/>
        <v>46260953.439999998</v>
      </c>
      <c r="BZ50" s="36">
        <f t="shared" si="7"/>
        <v>43274226.899999991</v>
      </c>
      <c r="CA50" s="36">
        <f t="shared" si="7"/>
        <v>38288197.360000007</v>
      </c>
      <c r="CB50" s="36">
        <f t="shared" si="7"/>
        <v>46860986.359999999</v>
      </c>
      <c r="CC50" s="36">
        <f t="shared" si="7"/>
        <v>34630354.600000001</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43817268.009999998</v>
      </c>
      <c r="C52" s="190">
        <v>45126256.780000001</v>
      </c>
      <c r="D52" s="190">
        <v>44550507.969999999</v>
      </c>
      <c r="E52" s="190">
        <v>46663986.770000003</v>
      </c>
      <c r="F52" s="190">
        <v>36750341.479999997</v>
      </c>
      <c r="G52" s="190">
        <v>35660218.950000003</v>
      </c>
      <c r="H52" s="190">
        <v>44510133.579999998</v>
      </c>
      <c r="I52" s="190">
        <v>54790425.609999999</v>
      </c>
      <c r="J52" s="190">
        <v>55991510.399999999</v>
      </c>
      <c r="K52" s="190">
        <v>56910992.909999996</v>
      </c>
      <c r="L52" s="190">
        <v>51481299.600000001</v>
      </c>
      <c r="M52" s="190">
        <v>53449052.780000001</v>
      </c>
      <c r="N52" s="190">
        <v>53451297.420000002</v>
      </c>
      <c r="O52" s="190">
        <v>53398282.380000003</v>
      </c>
      <c r="P52" s="190">
        <v>53921713.939999998</v>
      </c>
      <c r="Q52" s="190">
        <v>54601212.789999999</v>
      </c>
      <c r="R52" s="190">
        <v>55551232</v>
      </c>
      <c r="S52" s="190">
        <v>51315100.079999998</v>
      </c>
      <c r="T52" s="190">
        <v>51022910.189999998</v>
      </c>
      <c r="U52" s="190">
        <v>50219957.899999999</v>
      </c>
      <c r="V52" s="190">
        <v>40977281.799999997</v>
      </c>
      <c r="W52" s="190">
        <v>42031136.460000001</v>
      </c>
      <c r="X52" s="190">
        <v>42929939.670000002</v>
      </c>
      <c r="Y52" s="190">
        <v>44313070.789999999</v>
      </c>
      <c r="Z52" s="190">
        <v>43488231.719999999</v>
      </c>
      <c r="AA52" s="190">
        <v>44695623.43</v>
      </c>
      <c r="AB52" s="190">
        <v>46314688.729999997</v>
      </c>
      <c r="AC52" s="190">
        <v>47435215.689999998</v>
      </c>
      <c r="AD52" s="190">
        <v>12935591.060000001</v>
      </c>
      <c r="AE52" s="190">
        <v>13176737.189999999</v>
      </c>
      <c r="AF52" s="190">
        <v>13436261.210000001</v>
      </c>
      <c r="AG52" s="190">
        <v>13648790.42</v>
      </c>
      <c r="AH52" s="190">
        <v>13981880.59</v>
      </c>
      <c r="AI52" s="190">
        <v>14208863.68</v>
      </c>
      <c r="AJ52" s="190">
        <v>14442055.15</v>
      </c>
      <c r="AK52" s="190">
        <v>14664039.220000001</v>
      </c>
      <c r="AL52" s="190">
        <v>14908237.68</v>
      </c>
      <c r="AM52" s="190">
        <v>15145479.619999999</v>
      </c>
      <c r="AN52" s="190">
        <v>15758861.4</v>
      </c>
      <c r="AO52" s="190">
        <v>16017225.939999999</v>
      </c>
      <c r="AP52" s="190">
        <v>16469277.970000001</v>
      </c>
      <c r="AQ52" s="190">
        <v>16951061.210000001</v>
      </c>
      <c r="AR52" s="190">
        <v>18056786.350000001</v>
      </c>
      <c r="AS52" s="190">
        <v>18410648.32</v>
      </c>
      <c r="AT52" s="190">
        <v>18426514.780000001</v>
      </c>
      <c r="AU52" s="190">
        <v>18214588.199999999</v>
      </c>
      <c r="AV52" s="190">
        <v>18580973.600000001</v>
      </c>
      <c r="AW52" s="190">
        <v>18631160.129999999</v>
      </c>
      <c r="AX52" s="190">
        <v>23220972.899999999</v>
      </c>
      <c r="AY52" s="190">
        <v>23886518.359999999</v>
      </c>
      <c r="AZ52" s="190">
        <v>0</v>
      </c>
      <c r="BA52" s="190">
        <v>24880336.690000001</v>
      </c>
      <c r="BB52" s="190">
        <v>26104003.739999998</v>
      </c>
      <c r="BC52" s="190">
        <v>26974911.09</v>
      </c>
      <c r="BD52" s="190">
        <v>27762674.07</v>
      </c>
      <c r="BE52" s="190">
        <v>28657882.440000001</v>
      </c>
      <c r="BF52" s="190">
        <v>29420892.600000001</v>
      </c>
      <c r="BG52" s="190">
        <v>30175266.190000001</v>
      </c>
      <c r="BH52" s="190">
        <v>31588351.030000001</v>
      </c>
      <c r="BI52" s="190">
        <v>32774502.600000001</v>
      </c>
      <c r="BJ52" s="190">
        <v>31822167.640000001</v>
      </c>
      <c r="BK52" s="190">
        <v>33149938.859999999</v>
      </c>
      <c r="BL52" s="190">
        <v>34253200.100000001</v>
      </c>
      <c r="BM52" s="190">
        <v>35051852.729999997</v>
      </c>
      <c r="BN52" s="190">
        <v>35561019.520000003</v>
      </c>
      <c r="BO52" s="190">
        <v>36549827.079999998</v>
      </c>
      <c r="BP52" s="190">
        <v>37321058.369999997</v>
      </c>
      <c r="BQ52" s="190">
        <v>38195270.840000004</v>
      </c>
      <c r="BR52" s="190">
        <v>32948492.649999999</v>
      </c>
      <c r="BS52" s="190">
        <v>54190155.490000002</v>
      </c>
      <c r="BT52" s="190">
        <v>50806621.990000002</v>
      </c>
      <c r="BU52" s="190">
        <v>51301593.939999998</v>
      </c>
      <c r="BV52" s="190">
        <v>26267358.530000001</v>
      </c>
      <c r="BW52" s="190">
        <v>27161045.039999999</v>
      </c>
      <c r="BX52" s="190">
        <v>24858484.649999999</v>
      </c>
      <c r="BY52" s="190">
        <v>25452650.620000001</v>
      </c>
      <c r="BZ52" s="190">
        <v>26097698.739999998</v>
      </c>
      <c r="CA52" s="190">
        <v>27096649.809999999</v>
      </c>
      <c r="CB52" s="190">
        <v>48172200.109999999</v>
      </c>
      <c r="CC52" s="190">
        <v>51894985.060000002</v>
      </c>
      <c r="CD52" s="190">
        <v>0</v>
      </c>
      <c r="CE52" s="190"/>
      <c r="CF52" s="190"/>
      <c r="CG52" s="190"/>
      <c r="CH52" s="190"/>
      <c r="CI52" s="190"/>
      <c r="CJ52" s="190"/>
      <c r="CK52" s="190"/>
      <c r="CL52" s="190"/>
    </row>
    <row r="53" spans="1:90" s="193" customFormat="1" x14ac:dyDescent="0.25">
      <c r="A53" s="193" t="s">
        <v>35</v>
      </c>
      <c r="B53" s="190">
        <v>0</v>
      </c>
      <c r="C53" s="190">
        <v>0</v>
      </c>
      <c r="D53" s="190">
        <v>1945693.46</v>
      </c>
      <c r="E53" s="190">
        <v>0</v>
      </c>
      <c r="F53" s="190">
        <v>9497750.8800000008</v>
      </c>
      <c r="G53" s="190">
        <v>9136502.9000000004</v>
      </c>
      <c r="H53" s="190">
        <v>2632616.59</v>
      </c>
      <c r="I53" s="190">
        <v>1991964.82</v>
      </c>
      <c r="J53" s="190">
        <v>799451.74</v>
      </c>
      <c r="K53" s="190">
        <v>234976.74</v>
      </c>
      <c r="L53" s="190">
        <v>155157.01999999999</v>
      </c>
      <c r="M53" s="190">
        <v>51005</v>
      </c>
      <c r="N53" s="190">
        <v>18233</v>
      </c>
      <c r="O53" s="190">
        <v>0</v>
      </c>
      <c r="P53" s="190">
        <v>0</v>
      </c>
      <c r="Q53" s="190">
        <v>0</v>
      </c>
      <c r="R53" s="190">
        <v>0</v>
      </c>
      <c r="S53" s="190">
        <v>0</v>
      </c>
      <c r="T53" s="190">
        <v>0</v>
      </c>
      <c r="U53" s="190">
        <v>0</v>
      </c>
      <c r="V53" s="190">
        <v>0</v>
      </c>
      <c r="W53" s="190">
        <v>0</v>
      </c>
      <c r="X53" s="190">
        <v>1080536.6100000001</v>
      </c>
      <c r="Y53" s="190">
        <v>1080536.6100000001</v>
      </c>
      <c r="Z53" s="190">
        <v>582036.61</v>
      </c>
      <c r="AA53" s="190">
        <v>96337531.209999993</v>
      </c>
      <c r="AB53" s="190">
        <v>94801155.780000001</v>
      </c>
      <c r="AC53" s="190">
        <v>77618578.530000001</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8009176.1399999997</v>
      </c>
      <c r="BS53" s="190">
        <v>11585396.5</v>
      </c>
      <c r="BT53" s="190">
        <v>11585396.5</v>
      </c>
      <c r="BU53" s="190">
        <v>26334135.809999999</v>
      </c>
      <c r="BV53" s="190">
        <v>48339406.060000002</v>
      </c>
      <c r="BW53" s="190">
        <v>46998388.700000003</v>
      </c>
      <c r="BX53" s="190">
        <v>157347.39000000001</v>
      </c>
      <c r="BY53" s="190">
        <v>154875.92000000001</v>
      </c>
      <c r="BZ53" s="190">
        <v>0</v>
      </c>
      <c r="CA53" s="190">
        <v>505548.15</v>
      </c>
      <c r="CB53" s="190">
        <v>572928.27</v>
      </c>
      <c r="CC53" s="190">
        <v>1388646.51</v>
      </c>
      <c r="CD53" s="190">
        <v>0</v>
      </c>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v>0</v>
      </c>
      <c r="BI54" s="190">
        <v>0</v>
      </c>
      <c r="BJ54" s="190">
        <v>0</v>
      </c>
      <c r="BK54" s="190">
        <v>0</v>
      </c>
      <c r="BL54" s="190">
        <v>0</v>
      </c>
      <c r="BM54" s="190">
        <v>0</v>
      </c>
      <c r="BN54" s="190">
        <v>0</v>
      </c>
      <c r="BO54" s="190">
        <v>0</v>
      </c>
      <c r="BP54" s="190">
        <v>0</v>
      </c>
      <c r="BQ54" s="190">
        <v>0</v>
      </c>
      <c r="BR54" s="190">
        <v>0</v>
      </c>
      <c r="BS54" s="190">
        <v>0</v>
      </c>
      <c r="BT54" s="190">
        <v>0</v>
      </c>
      <c r="BU54" s="190">
        <v>0</v>
      </c>
      <c r="BV54" s="190">
        <v>0</v>
      </c>
      <c r="BW54" s="190">
        <v>0</v>
      </c>
      <c r="BX54" s="190">
        <v>0</v>
      </c>
      <c r="BY54" s="190">
        <v>0</v>
      </c>
      <c r="BZ54" s="190">
        <v>0</v>
      </c>
      <c r="CA54" s="190">
        <v>0</v>
      </c>
      <c r="CB54" s="190">
        <v>0</v>
      </c>
      <c r="CC54" s="190">
        <v>0</v>
      </c>
      <c r="CD54" s="190">
        <v>0</v>
      </c>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v>0</v>
      </c>
      <c r="BV55" s="190">
        <v>0</v>
      </c>
      <c r="BW55" s="190">
        <v>0</v>
      </c>
      <c r="BX55" s="190">
        <v>0</v>
      </c>
      <c r="BY55" s="190">
        <v>0</v>
      </c>
      <c r="BZ55" s="190">
        <v>0</v>
      </c>
      <c r="CA55" s="190">
        <v>0</v>
      </c>
      <c r="CB55" s="190">
        <v>0</v>
      </c>
      <c r="CC55" s="190">
        <v>0</v>
      </c>
      <c r="CD55" s="190">
        <v>0</v>
      </c>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v>0</v>
      </c>
      <c r="BI56" s="190">
        <v>0</v>
      </c>
      <c r="BJ56" s="190">
        <v>0</v>
      </c>
      <c r="BK56" s="190">
        <v>0</v>
      </c>
      <c r="BL56" s="190">
        <v>0</v>
      </c>
      <c r="BM56" s="190">
        <v>0</v>
      </c>
      <c r="BN56" s="190">
        <v>0</v>
      </c>
      <c r="BO56" s="190">
        <v>0</v>
      </c>
      <c r="BP56" s="190">
        <v>0</v>
      </c>
      <c r="BQ56" s="190">
        <v>0</v>
      </c>
      <c r="BR56" s="190">
        <v>0</v>
      </c>
      <c r="BS56" s="190">
        <v>0</v>
      </c>
      <c r="BT56" s="190">
        <v>0</v>
      </c>
      <c r="BU56" s="190">
        <v>0</v>
      </c>
      <c r="BV56" s="190">
        <v>0</v>
      </c>
      <c r="BW56" s="190">
        <v>0</v>
      </c>
      <c r="BX56" s="190">
        <v>0</v>
      </c>
      <c r="BY56" s="190">
        <v>0</v>
      </c>
      <c r="BZ56" s="190">
        <v>0</v>
      </c>
      <c r="CA56" s="190">
        <v>0</v>
      </c>
      <c r="CB56" s="190">
        <v>0</v>
      </c>
      <c r="CC56" s="190">
        <v>0</v>
      </c>
      <c r="CD56" s="190">
        <v>0</v>
      </c>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v>0</v>
      </c>
      <c r="BI57" s="190">
        <v>0</v>
      </c>
      <c r="BJ57" s="190">
        <v>0</v>
      </c>
      <c r="BK57" s="190">
        <v>0</v>
      </c>
      <c r="BL57" s="190">
        <v>0</v>
      </c>
      <c r="BM57" s="190">
        <v>0</v>
      </c>
      <c r="BN57" s="190">
        <v>0</v>
      </c>
      <c r="BO57" s="190">
        <v>0</v>
      </c>
      <c r="BP57" s="190">
        <v>0</v>
      </c>
      <c r="BQ57" s="190">
        <v>0</v>
      </c>
      <c r="BR57" s="190">
        <v>0</v>
      </c>
      <c r="BS57" s="190">
        <v>0</v>
      </c>
      <c r="BT57" s="190">
        <v>0</v>
      </c>
      <c r="BU57" s="190">
        <v>0</v>
      </c>
      <c r="BV57" s="190">
        <v>0</v>
      </c>
      <c r="BW57" s="190">
        <v>0</v>
      </c>
      <c r="BX57" s="190">
        <v>0</v>
      </c>
      <c r="BY57" s="190">
        <v>0</v>
      </c>
      <c r="BZ57" s="190">
        <v>0</v>
      </c>
      <c r="CA57" s="190">
        <v>0</v>
      </c>
      <c r="CB57" s="190">
        <v>0</v>
      </c>
      <c r="CC57" s="190">
        <v>0</v>
      </c>
      <c r="CD57" s="190">
        <v>0</v>
      </c>
      <c r="CE57" s="190"/>
      <c r="CF57" s="190"/>
      <c r="CG57" s="190"/>
      <c r="CH57" s="190"/>
      <c r="CI57" s="190"/>
      <c r="CJ57" s="190"/>
      <c r="CK57" s="190"/>
      <c r="CL57" s="190"/>
    </row>
    <row r="58" spans="1:90" s="193" customFormat="1" x14ac:dyDescent="0.25">
      <c r="A58" s="193" t="s">
        <v>40</v>
      </c>
      <c r="B58" s="190">
        <v>464336281</v>
      </c>
      <c r="C58" s="190">
        <v>479479474.98000002</v>
      </c>
      <c r="D58" s="190">
        <v>494622993.95999998</v>
      </c>
      <c r="E58" s="190">
        <v>509765862.94</v>
      </c>
      <c r="F58" s="190">
        <v>524718475.76999998</v>
      </c>
      <c r="G58" s="190">
        <v>539801339.98000002</v>
      </c>
      <c r="H58" s="190">
        <v>554908457.21000004</v>
      </c>
      <c r="I58" s="190">
        <v>570297013.38</v>
      </c>
      <c r="J58" s="190">
        <v>585664861.53999996</v>
      </c>
      <c r="K58" s="190">
        <v>601077633.82000005</v>
      </c>
      <c r="L58" s="190">
        <v>46116.54</v>
      </c>
      <c r="M58" s="190">
        <v>52134.04</v>
      </c>
      <c r="N58" s="190">
        <v>138387.22</v>
      </c>
      <c r="O58" s="190">
        <v>143904.73000000001</v>
      </c>
      <c r="P58" s="190">
        <v>149422.24</v>
      </c>
      <c r="Q58" s="190">
        <v>142439.75</v>
      </c>
      <c r="R58" s="190">
        <v>116457.26</v>
      </c>
      <c r="S58" s="190">
        <v>82104.77</v>
      </c>
      <c r="T58" s="190">
        <v>80122.28</v>
      </c>
      <c r="U58" s="190">
        <v>86440.79</v>
      </c>
      <c r="V58" s="190">
        <v>234458.3</v>
      </c>
      <c r="W58" s="190">
        <v>187475.81</v>
      </c>
      <c r="X58" s="190">
        <v>189315</v>
      </c>
      <c r="Y58" s="190">
        <v>108510.83</v>
      </c>
      <c r="Z58" s="190">
        <v>0</v>
      </c>
      <c r="AA58" s="190">
        <v>0</v>
      </c>
      <c r="AB58" s="190">
        <v>0</v>
      </c>
      <c r="AC58" s="190">
        <v>0</v>
      </c>
      <c r="AD58" s="190">
        <v>0</v>
      </c>
      <c r="AE58" s="190">
        <v>0</v>
      </c>
      <c r="AF58" s="190">
        <v>0</v>
      </c>
      <c r="AG58" s="190">
        <v>0</v>
      </c>
      <c r="AH58" s="190">
        <v>0</v>
      </c>
      <c r="AI58" s="190">
        <v>0</v>
      </c>
      <c r="AJ58" s="190">
        <v>1950</v>
      </c>
      <c r="AK58" s="190">
        <v>3900</v>
      </c>
      <c r="AL58" s="190">
        <v>5850</v>
      </c>
      <c r="AM58" s="190">
        <v>7800</v>
      </c>
      <c r="AN58" s="190">
        <v>9750</v>
      </c>
      <c r="AO58" s="190">
        <v>11700</v>
      </c>
      <c r="AP58" s="190">
        <v>13650</v>
      </c>
      <c r="AQ58" s="190">
        <v>15600</v>
      </c>
      <c r="AR58" s="190">
        <v>17550</v>
      </c>
      <c r="AS58" s="190">
        <v>19500</v>
      </c>
      <c r="AT58" s="190">
        <v>44971.99</v>
      </c>
      <c r="AU58" s="190">
        <v>23400</v>
      </c>
      <c r="AV58" s="190">
        <v>28970.15</v>
      </c>
      <c r="AW58" s="190">
        <v>27300</v>
      </c>
      <c r="AX58" s="190">
        <v>29250</v>
      </c>
      <c r="AY58" s="190">
        <v>31200</v>
      </c>
      <c r="AZ58" s="190">
        <v>0</v>
      </c>
      <c r="BA58" s="190">
        <v>35100</v>
      </c>
      <c r="BB58" s="190">
        <v>7645185.1200000001</v>
      </c>
      <c r="BC58" s="190">
        <v>7987506.8399999999</v>
      </c>
      <c r="BD58" s="190">
        <v>8329828.5599999996</v>
      </c>
      <c r="BE58" s="190">
        <v>8672150.2799999993</v>
      </c>
      <c r="BF58" s="190">
        <v>9014472</v>
      </c>
      <c r="BG58" s="190">
        <v>9360642.3200000003</v>
      </c>
      <c r="BH58" s="190">
        <v>10151241.09</v>
      </c>
      <c r="BI58" s="190">
        <v>10945688.460000001</v>
      </c>
      <c r="BJ58" s="190">
        <v>11998958.15</v>
      </c>
      <c r="BK58" s="190">
        <v>12707131.4</v>
      </c>
      <c r="BL58" s="190">
        <v>14111932.1</v>
      </c>
      <c r="BM58" s="190">
        <v>14123477.9</v>
      </c>
      <c r="BN58" s="190">
        <v>15814680.439999999</v>
      </c>
      <c r="BO58" s="190">
        <v>16266757.609999999</v>
      </c>
      <c r="BP58" s="190">
        <v>16718834.779999999</v>
      </c>
      <c r="BQ58" s="190">
        <v>17088228.629999999</v>
      </c>
      <c r="BR58" s="190">
        <v>19547987.190000001</v>
      </c>
      <c r="BS58" s="190">
        <v>18118333.440000001</v>
      </c>
      <c r="BT58" s="190">
        <v>19263333.420000002</v>
      </c>
      <c r="BU58" s="190">
        <v>20408333.399999999</v>
      </c>
      <c r="BV58" s="190">
        <v>8638333.3800000008</v>
      </c>
      <c r="BW58" s="190">
        <v>8583333.3599999994</v>
      </c>
      <c r="BX58" s="190">
        <v>9083333.3399999999</v>
      </c>
      <c r="BY58" s="190">
        <v>9583333.3399999999</v>
      </c>
      <c r="BZ58" s="190">
        <v>0</v>
      </c>
      <c r="CA58" s="190">
        <v>0</v>
      </c>
      <c r="CB58" s="190">
        <v>0</v>
      </c>
      <c r="CC58" s="190">
        <v>0</v>
      </c>
      <c r="CD58" s="190">
        <v>0</v>
      </c>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v>0</v>
      </c>
      <c r="BI59" s="190">
        <v>0</v>
      </c>
      <c r="BJ59" s="190">
        <v>0</v>
      </c>
      <c r="BK59" s="190">
        <v>0</v>
      </c>
      <c r="BL59" s="190">
        <v>0</v>
      </c>
      <c r="BM59" s="190">
        <v>0</v>
      </c>
      <c r="BN59" s="190">
        <v>0</v>
      </c>
      <c r="BO59" s="190">
        <v>0</v>
      </c>
      <c r="BP59" s="190">
        <v>0</v>
      </c>
      <c r="BQ59" s="190">
        <v>0</v>
      </c>
      <c r="BR59" s="190">
        <v>0</v>
      </c>
      <c r="BS59" s="190">
        <v>0</v>
      </c>
      <c r="BT59" s="190">
        <v>0</v>
      </c>
      <c r="BU59" s="190">
        <v>0</v>
      </c>
      <c r="BV59" s="190">
        <v>0</v>
      </c>
      <c r="BW59" s="190">
        <v>0</v>
      </c>
      <c r="BX59" s="190">
        <v>0</v>
      </c>
      <c r="BY59" s="190">
        <v>0</v>
      </c>
      <c r="BZ59" s="190">
        <v>0</v>
      </c>
      <c r="CA59" s="190">
        <v>0</v>
      </c>
      <c r="CB59" s="190">
        <v>0</v>
      </c>
      <c r="CC59" s="190">
        <v>0</v>
      </c>
      <c r="CD59" s="190">
        <v>0</v>
      </c>
      <c r="CE59" s="190"/>
      <c r="CF59" s="190"/>
      <c r="CG59" s="190"/>
      <c r="CH59" s="190"/>
      <c r="CI59" s="190"/>
      <c r="CJ59" s="190"/>
      <c r="CK59" s="190"/>
      <c r="CL59" s="190"/>
    </row>
    <row r="60" spans="1:90" s="193" customFormat="1" x14ac:dyDescent="0.25">
      <c r="A60" s="193" t="s">
        <v>42</v>
      </c>
      <c r="B60" s="190">
        <v>1250851256.3399999</v>
      </c>
      <c r="C60" s="190">
        <v>1250851256.3399999</v>
      </c>
      <c r="D60" s="190">
        <v>1250851256.3399999</v>
      </c>
      <c r="E60" s="190">
        <v>1250851256.3399999</v>
      </c>
      <c r="F60" s="190">
        <v>1250851256.3399999</v>
      </c>
      <c r="G60" s="190">
        <v>1250851256.3399999</v>
      </c>
      <c r="H60" s="190">
        <v>1250851256.3399999</v>
      </c>
      <c r="I60" s="190">
        <v>1335586970.1700001</v>
      </c>
      <c r="J60" s="190">
        <v>1342086874.1800001</v>
      </c>
      <c r="K60" s="190">
        <v>1342086874.1800001</v>
      </c>
      <c r="L60" s="190">
        <v>89749996.019999996</v>
      </c>
      <c r="M60" s="190">
        <v>89749996.019999996</v>
      </c>
      <c r="N60" s="190">
        <v>89749996.019999996</v>
      </c>
      <c r="O60" s="190">
        <v>89749996.019999996</v>
      </c>
      <c r="P60" s="190">
        <v>89749996.019999996</v>
      </c>
      <c r="Q60" s="190">
        <v>89749996.019999996</v>
      </c>
      <c r="R60" s="190">
        <v>89749996.019999996</v>
      </c>
      <c r="S60" s="190">
        <v>89749996.019999996</v>
      </c>
      <c r="T60" s="190">
        <v>89749996.019999996</v>
      </c>
      <c r="U60" s="190">
        <v>89749996.019999996</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1258309.6399999999</v>
      </c>
      <c r="AU60" s="190">
        <v>1258309.6399999999</v>
      </c>
      <c r="AV60" s="190">
        <v>1258309.6399999999</v>
      </c>
      <c r="AW60" s="190">
        <v>0</v>
      </c>
      <c r="AX60" s="190">
        <v>0</v>
      </c>
      <c r="AY60" s="190">
        <v>0</v>
      </c>
      <c r="AZ60" s="190">
        <v>0</v>
      </c>
      <c r="BA60" s="190">
        <v>0</v>
      </c>
      <c r="BB60" s="190">
        <v>0</v>
      </c>
      <c r="BC60" s="190">
        <v>0</v>
      </c>
      <c r="BD60" s="190">
        <v>0</v>
      </c>
      <c r="BE60" s="190">
        <v>0</v>
      </c>
      <c r="BF60" s="190">
        <v>0</v>
      </c>
      <c r="BG60" s="190">
        <v>0</v>
      </c>
      <c r="BH60" s="190">
        <v>0</v>
      </c>
      <c r="BI60" s="190">
        <v>0</v>
      </c>
      <c r="BJ60" s="190">
        <v>0</v>
      </c>
      <c r="BK60" s="190">
        <v>0</v>
      </c>
      <c r="BL60" s="190">
        <v>0</v>
      </c>
      <c r="BM60" s="190">
        <v>0</v>
      </c>
      <c r="BN60" s="190">
        <v>0</v>
      </c>
      <c r="BO60" s="190">
        <v>0</v>
      </c>
      <c r="BP60" s="190">
        <v>0</v>
      </c>
      <c r="BQ60" s="190">
        <v>0</v>
      </c>
      <c r="BR60" s="190">
        <v>0</v>
      </c>
      <c r="BS60" s="190">
        <v>0</v>
      </c>
      <c r="BT60" s="190">
        <v>0</v>
      </c>
      <c r="BU60" s="190">
        <v>0</v>
      </c>
      <c r="BV60" s="190">
        <v>0</v>
      </c>
      <c r="BW60" s="190">
        <v>0</v>
      </c>
      <c r="BX60" s="190">
        <v>0</v>
      </c>
      <c r="BY60" s="190">
        <v>0</v>
      </c>
      <c r="BZ60" s="190">
        <v>0</v>
      </c>
      <c r="CA60" s="190">
        <v>0</v>
      </c>
      <c r="CB60" s="190">
        <v>0</v>
      </c>
      <c r="CC60" s="190">
        <v>0</v>
      </c>
      <c r="CD60" s="190">
        <v>0</v>
      </c>
      <c r="CE60" s="190"/>
      <c r="CF60" s="190"/>
      <c r="CG60" s="190"/>
      <c r="CH60" s="190"/>
      <c r="CI60" s="190"/>
      <c r="CJ60" s="190"/>
      <c r="CK60" s="190"/>
      <c r="CL60" s="190"/>
    </row>
    <row r="61" spans="1:90" s="193" customFormat="1" x14ac:dyDescent="0.25">
      <c r="A61" s="193" t="s">
        <v>43</v>
      </c>
      <c r="B61" s="190">
        <v>5480360.3300000001</v>
      </c>
      <c r="C61" s="190">
        <v>5544664.1100000003</v>
      </c>
      <c r="D61" s="190">
        <v>5296182.83</v>
      </c>
      <c r="E61" s="190">
        <v>4164534.27</v>
      </c>
      <c r="F61" s="190">
        <v>1457214.23</v>
      </c>
      <c r="G61" s="190">
        <v>2401313.58</v>
      </c>
      <c r="H61" s="190">
        <v>4635962.7300000004</v>
      </c>
      <c r="I61" s="190">
        <v>6508216.2599999998</v>
      </c>
      <c r="J61" s="190">
        <v>7277067.04</v>
      </c>
      <c r="K61" s="190">
        <v>9149320.5700000003</v>
      </c>
      <c r="L61" s="190">
        <v>10855450.68</v>
      </c>
      <c r="M61" s="190">
        <v>12523129.300000001</v>
      </c>
      <c r="N61" s="190">
        <v>12957821.029999999</v>
      </c>
      <c r="O61" s="190">
        <v>14319994.560000001</v>
      </c>
      <c r="P61" s="190">
        <v>16192248.09</v>
      </c>
      <c r="Q61" s="190">
        <v>18682406.489999998</v>
      </c>
      <c r="R61" s="190">
        <v>13504030</v>
      </c>
      <c r="S61" s="190">
        <v>13504030</v>
      </c>
      <c r="T61" s="190">
        <v>11636765</v>
      </c>
      <c r="U61" s="190">
        <v>11474973.039999999</v>
      </c>
      <c r="V61" s="190">
        <v>0</v>
      </c>
      <c r="W61" s="190">
        <v>6226.02</v>
      </c>
      <c r="X61" s="190">
        <v>14393.67</v>
      </c>
      <c r="Y61" s="190">
        <v>22561.32</v>
      </c>
      <c r="Z61" s="190">
        <v>30728.97</v>
      </c>
      <c r="AA61" s="190">
        <v>38896.620000000003</v>
      </c>
      <c r="AB61" s="190">
        <v>47064.27</v>
      </c>
      <c r="AC61" s="190">
        <v>55231.92</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90">
        <v>0</v>
      </c>
      <c r="AV61" s="190">
        <v>0</v>
      </c>
      <c r="AW61" s="190">
        <v>0</v>
      </c>
      <c r="AX61" s="190">
        <v>0</v>
      </c>
      <c r="AY61" s="190">
        <v>0</v>
      </c>
      <c r="AZ61" s="190">
        <v>0</v>
      </c>
      <c r="BA61" s="190">
        <v>0</v>
      </c>
      <c r="BB61" s="190">
        <v>0</v>
      </c>
      <c r="BC61" s="190">
        <v>0</v>
      </c>
      <c r="BD61" s="190">
        <v>0</v>
      </c>
      <c r="BE61" s="190">
        <v>0</v>
      </c>
      <c r="BF61" s="190">
        <v>15203</v>
      </c>
      <c r="BG61" s="190">
        <v>0</v>
      </c>
      <c r="BH61" s="190">
        <v>0</v>
      </c>
      <c r="BI61" s="190">
        <v>0</v>
      </c>
      <c r="BJ61" s="190">
        <v>674147.93</v>
      </c>
      <c r="BK61" s="190">
        <v>888553.52</v>
      </c>
      <c r="BL61" s="190">
        <v>1062287.33</v>
      </c>
      <c r="BM61" s="190">
        <v>1324073.54</v>
      </c>
      <c r="BN61" s="190">
        <v>2868067.59</v>
      </c>
      <c r="BO61" s="190">
        <v>3062169.4</v>
      </c>
      <c r="BP61" s="190">
        <v>2438296.81</v>
      </c>
      <c r="BQ61" s="190">
        <v>2672660.36</v>
      </c>
      <c r="BR61" s="190">
        <v>1585952.89</v>
      </c>
      <c r="BS61" s="190">
        <v>2760567.41</v>
      </c>
      <c r="BT61" s="190">
        <v>804511.01</v>
      </c>
      <c r="BU61" s="190">
        <v>791639.26</v>
      </c>
      <c r="BV61" s="190">
        <v>909784.56</v>
      </c>
      <c r="BW61" s="190">
        <v>1012561.78</v>
      </c>
      <c r="BX61" s="190">
        <v>814000</v>
      </c>
      <c r="BY61" s="190">
        <v>0</v>
      </c>
      <c r="BZ61" s="190">
        <v>0</v>
      </c>
      <c r="CA61" s="190">
        <v>0</v>
      </c>
      <c r="CB61" s="190">
        <v>0</v>
      </c>
      <c r="CC61" s="190">
        <v>0</v>
      </c>
      <c r="CD61" s="190">
        <v>0</v>
      </c>
      <c r="CE61" s="190"/>
      <c r="CF61" s="190"/>
      <c r="CG61" s="190"/>
      <c r="CH61" s="190"/>
      <c r="CI61" s="190"/>
      <c r="CJ61" s="190"/>
      <c r="CK61" s="190"/>
      <c r="CL61" s="190"/>
    </row>
    <row r="62" spans="1:90" s="193" customFormat="1" x14ac:dyDescent="0.25">
      <c r="A62" s="193" t="s">
        <v>44</v>
      </c>
      <c r="B62" s="190">
        <v>161918049.44</v>
      </c>
      <c r="C62" s="190">
        <v>157169365.88</v>
      </c>
      <c r="D62" s="190">
        <v>125419127.45</v>
      </c>
      <c r="E62" s="190">
        <v>119290694.5</v>
      </c>
      <c r="F62" s="190">
        <v>140811617.41999999</v>
      </c>
      <c r="G62" s="190">
        <v>130507096.54000001</v>
      </c>
      <c r="H62" s="190">
        <v>122698772.59999999</v>
      </c>
      <c r="I62" s="190">
        <v>168610588.13</v>
      </c>
      <c r="J62" s="190">
        <v>132784492.90000001</v>
      </c>
      <c r="K62" s="190">
        <v>124606922.22</v>
      </c>
      <c r="L62" s="190">
        <v>142733797.06999999</v>
      </c>
      <c r="M62" s="190">
        <v>212303931.27000001</v>
      </c>
      <c r="N62" s="190">
        <v>169746060.84999999</v>
      </c>
      <c r="O62" s="190">
        <v>147008603.99000001</v>
      </c>
      <c r="P62" s="190">
        <v>131206885.5</v>
      </c>
      <c r="Q62" s="190">
        <v>128625282.72</v>
      </c>
      <c r="R62" s="190">
        <v>117746000.06999999</v>
      </c>
      <c r="S62" s="190">
        <v>116869113.26000001</v>
      </c>
      <c r="T62" s="190">
        <v>105747996.59</v>
      </c>
      <c r="U62" s="190">
        <v>100675993.84</v>
      </c>
      <c r="V62" s="190">
        <v>123084388.95999999</v>
      </c>
      <c r="W62" s="190">
        <v>106584451.54000001</v>
      </c>
      <c r="X62" s="190">
        <v>101270405.84999999</v>
      </c>
      <c r="Y62" s="190">
        <v>95195500.890000001</v>
      </c>
      <c r="Z62" s="190">
        <v>68122137.840000004</v>
      </c>
      <c r="AA62" s="190">
        <v>70530873.409999996</v>
      </c>
      <c r="AB62" s="190">
        <v>99553882.730000004</v>
      </c>
      <c r="AC62" s="190">
        <v>98256235.670000002</v>
      </c>
      <c r="AD62" s="190">
        <v>0</v>
      </c>
      <c r="AE62" s="190">
        <v>0</v>
      </c>
      <c r="AF62" s="190">
        <v>0</v>
      </c>
      <c r="AG62" s="190">
        <v>0</v>
      </c>
      <c r="AH62" s="190">
        <v>0</v>
      </c>
      <c r="AI62" s="190">
        <v>0</v>
      </c>
      <c r="AJ62" s="190">
        <v>0</v>
      </c>
      <c r="AK62" s="190">
        <v>0</v>
      </c>
      <c r="AL62" s="190">
        <v>0</v>
      </c>
      <c r="AM62" s="190">
        <v>0</v>
      </c>
      <c r="AN62" s="190">
        <v>0</v>
      </c>
      <c r="AO62" s="190">
        <v>0</v>
      </c>
      <c r="AP62" s="190">
        <v>1436839.85</v>
      </c>
      <c r="AQ62" s="190">
        <v>1543926.48</v>
      </c>
      <c r="AR62" s="190">
        <v>1643020.23</v>
      </c>
      <c r="AS62" s="190">
        <v>1643020.23</v>
      </c>
      <c r="AT62" s="190">
        <v>7459482.3300000001</v>
      </c>
      <c r="AU62" s="190">
        <v>7497375.2999999998</v>
      </c>
      <c r="AV62" s="190">
        <v>7682614.4100000001</v>
      </c>
      <c r="AW62" s="190">
        <v>3414075.72</v>
      </c>
      <c r="AX62" s="190">
        <v>0</v>
      </c>
      <c r="AY62" s="190">
        <v>0</v>
      </c>
      <c r="AZ62" s="190">
        <v>0</v>
      </c>
      <c r="BA62" s="190">
        <v>0</v>
      </c>
      <c r="BB62" s="190">
        <v>0</v>
      </c>
      <c r="BC62" s="190">
        <v>0</v>
      </c>
      <c r="BD62" s="190">
        <v>0</v>
      </c>
      <c r="BE62" s="190">
        <v>0</v>
      </c>
      <c r="BF62" s="190">
        <v>0</v>
      </c>
      <c r="BG62" s="190">
        <v>0</v>
      </c>
      <c r="BH62" s="190">
        <v>0</v>
      </c>
      <c r="BI62" s="190">
        <v>0</v>
      </c>
      <c r="BJ62" s="190">
        <v>0</v>
      </c>
      <c r="BK62" s="190">
        <v>0</v>
      </c>
      <c r="BL62" s="190">
        <v>0</v>
      </c>
      <c r="BM62" s="190">
        <v>0</v>
      </c>
      <c r="BN62" s="190">
        <v>0</v>
      </c>
      <c r="BO62" s="190">
        <v>0</v>
      </c>
      <c r="BP62" s="190">
        <v>0</v>
      </c>
      <c r="BQ62" s="190">
        <v>0</v>
      </c>
      <c r="BR62" s="190">
        <v>0</v>
      </c>
      <c r="BS62" s="190">
        <v>0</v>
      </c>
      <c r="BT62" s="190">
        <v>0</v>
      </c>
      <c r="BU62" s="190">
        <v>0</v>
      </c>
      <c r="BV62" s="190">
        <v>0</v>
      </c>
      <c r="BW62" s="190">
        <v>0</v>
      </c>
      <c r="BX62" s="190">
        <v>0</v>
      </c>
      <c r="BY62" s="190">
        <v>0</v>
      </c>
      <c r="BZ62" s="190">
        <v>0</v>
      </c>
      <c r="CA62" s="190">
        <v>0</v>
      </c>
      <c r="CB62" s="190">
        <v>0</v>
      </c>
      <c r="CC62" s="190">
        <v>0</v>
      </c>
      <c r="CD62" s="190">
        <v>0</v>
      </c>
      <c r="CE62" s="190"/>
      <c r="CF62" s="190"/>
      <c r="CG62" s="190"/>
      <c r="CH62" s="190"/>
      <c r="CI62" s="190"/>
      <c r="CJ62" s="190"/>
      <c r="CK62" s="190"/>
      <c r="CL62" s="190"/>
    </row>
    <row r="63" spans="1:90" s="193" customFormat="1" x14ac:dyDescent="0.25">
      <c r="A63" s="193" t="s">
        <v>45</v>
      </c>
      <c r="B63" s="190">
        <v>150952504.65000001</v>
      </c>
      <c r="C63" s="190">
        <v>154705558.19</v>
      </c>
      <c r="D63" s="190">
        <v>156645859.43000001</v>
      </c>
      <c r="E63" s="190">
        <v>164408161.83000001</v>
      </c>
      <c r="F63" s="190">
        <v>157570396.31999999</v>
      </c>
      <c r="G63" s="190">
        <v>161395157.93000001</v>
      </c>
      <c r="H63" s="190">
        <v>165654165.59999999</v>
      </c>
      <c r="I63" s="190">
        <v>225785597.97999999</v>
      </c>
      <c r="J63" s="190">
        <v>253491883.38999999</v>
      </c>
      <c r="K63" s="190">
        <v>264183678.34</v>
      </c>
      <c r="L63" s="190">
        <v>108750830.04000001</v>
      </c>
      <c r="M63" s="190">
        <v>85021972.579999998</v>
      </c>
      <c r="N63" s="190">
        <v>85121290.519999996</v>
      </c>
      <c r="O63" s="190">
        <v>102219397.22</v>
      </c>
      <c r="P63" s="190">
        <v>102275937.98999999</v>
      </c>
      <c r="Q63" s="190">
        <v>102249802.81</v>
      </c>
      <c r="R63" s="190">
        <v>96759371.430000007</v>
      </c>
      <c r="S63" s="190">
        <v>103752935.95</v>
      </c>
      <c r="T63" s="190">
        <v>110982580.88</v>
      </c>
      <c r="U63" s="190">
        <v>111290399.63</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c r="BH63" s="190">
        <v>0</v>
      </c>
      <c r="BI63" s="190">
        <v>0</v>
      </c>
      <c r="BJ63" s="190">
        <v>0</v>
      </c>
      <c r="BK63" s="190">
        <v>0</v>
      </c>
      <c r="BL63" s="190">
        <v>0</v>
      </c>
      <c r="BM63" s="190">
        <v>0</v>
      </c>
      <c r="BN63" s="190">
        <v>0</v>
      </c>
      <c r="BO63" s="190">
        <v>0</v>
      </c>
      <c r="BP63" s="190">
        <v>0</v>
      </c>
      <c r="BQ63" s="190">
        <v>0</v>
      </c>
      <c r="BR63" s="190">
        <v>0</v>
      </c>
      <c r="BS63" s="190">
        <v>0</v>
      </c>
      <c r="BT63" s="190">
        <v>0</v>
      </c>
      <c r="BU63" s="190">
        <v>0</v>
      </c>
      <c r="BV63" s="190">
        <v>0</v>
      </c>
      <c r="BW63" s="190">
        <v>0</v>
      </c>
      <c r="BX63" s="190">
        <v>0</v>
      </c>
      <c r="BY63" s="190">
        <v>0</v>
      </c>
      <c r="BZ63" s="190">
        <v>0</v>
      </c>
      <c r="CA63" s="190">
        <v>0</v>
      </c>
      <c r="CB63" s="190">
        <v>0</v>
      </c>
      <c r="CC63" s="190">
        <v>0</v>
      </c>
      <c r="CD63" s="190">
        <v>0</v>
      </c>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v>0</v>
      </c>
      <c r="BI64" s="190">
        <v>0</v>
      </c>
      <c r="BJ64" s="190">
        <v>0</v>
      </c>
      <c r="BK64" s="190">
        <v>0</v>
      </c>
      <c r="BL64" s="190">
        <v>0</v>
      </c>
      <c r="BM64" s="190">
        <v>0</v>
      </c>
      <c r="BN64" s="190">
        <v>0</v>
      </c>
      <c r="BO64" s="190">
        <v>0</v>
      </c>
      <c r="BP64" s="190">
        <v>0</v>
      </c>
      <c r="BQ64" s="190">
        <v>0</v>
      </c>
      <c r="BR64" s="190">
        <v>0</v>
      </c>
      <c r="BS64" s="190">
        <v>0</v>
      </c>
      <c r="BT64" s="190">
        <v>0</v>
      </c>
      <c r="BU64" s="190">
        <v>0</v>
      </c>
      <c r="BV64" s="190">
        <v>631816.43999999994</v>
      </c>
      <c r="BW64" s="190">
        <v>0</v>
      </c>
      <c r="BX64" s="190">
        <v>0</v>
      </c>
      <c r="BY64" s="190">
        <v>625431.11</v>
      </c>
      <c r="BZ64" s="190">
        <v>0</v>
      </c>
      <c r="CA64" s="190">
        <v>0</v>
      </c>
      <c r="CB64" s="190">
        <v>0</v>
      </c>
      <c r="CC64" s="190">
        <v>0</v>
      </c>
      <c r="CD64" s="190">
        <v>0</v>
      </c>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1775450710.47</v>
      </c>
      <c r="C68" s="36">
        <f t="shared" ref="C68:BN68" si="8">SUM(C52:C64)-2*C63</f>
        <v>1783465459.8999996</v>
      </c>
      <c r="D68" s="36">
        <f t="shared" si="8"/>
        <v>1766039902.5799999</v>
      </c>
      <c r="E68" s="36">
        <f t="shared" si="8"/>
        <v>1766328172.9899998</v>
      </c>
      <c r="F68" s="36">
        <f t="shared" si="8"/>
        <v>1806516259.7999997</v>
      </c>
      <c r="G68" s="36">
        <f t="shared" si="8"/>
        <v>1806962570.3600001</v>
      </c>
      <c r="H68" s="36">
        <f t="shared" si="8"/>
        <v>1814583033.4499996</v>
      </c>
      <c r="I68" s="36">
        <f t="shared" si="8"/>
        <v>1911999580.3899999</v>
      </c>
      <c r="J68" s="36">
        <f t="shared" si="8"/>
        <v>1871112374.4100001</v>
      </c>
      <c r="K68" s="36">
        <f t="shared" si="8"/>
        <v>1869883042.1000001</v>
      </c>
      <c r="L68" s="36">
        <f t="shared" si="8"/>
        <v>186270986.89000002</v>
      </c>
      <c r="M68" s="36">
        <f t="shared" si="8"/>
        <v>283107275.83000004</v>
      </c>
      <c r="N68" s="36">
        <f t="shared" si="8"/>
        <v>240940505.01999995</v>
      </c>
      <c r="O68" s="36">
        <f t="shared" si="8"/>
        <v>202401384.45999998</v>
      </c>
      <c r="P68" s="36">
        <f t="shared" si="8"/>
        <v>188944327.79999998</v>
      </c>
      <c r="Q68" s="36">
        <f t="shared" si="8"/>
        <v>189551534.95999998</v>
      </c>
      <c r="R68" s="36">
        <f t="shared" si="8"/>
        <v>179908343.92000002</v>
      </c>
      <c r="S68" s="36">
        <f t="shared" si="8"/>
        <v>167767408.17999998</v>
      </c>
      <c r="T68" s="36">
        <f t="shared" si="8"/>
        <v>147255209.20000005</v>
      </c>
      <c r="U68" s="36">
        <f t="shared" si="8"/>
        <v>140916961.95999998</v>
      </c>
      <c r="V68" s="36">
        <f t="shared" si="8"/>
        <v>164296129.06</v>
      </c>
      <c r="W68" s="36">
        <f t="shared" si="8"/>
        <v>148809289.83000001</v>
      </c>
      <c r="X68" s="36">
        <f t="shared" si="8"/>
        <v>145484590.80000001</v>
      </c>
      <c r="Y68" s="36">
        <f t="shared" si="8"/>
        <v>140720180.44</v>
      </c>
      <c r="Z68" s="36">
        <f t="shared" si="8"/>
        <v>112223135.14</v>
      </c>
      <c r="AA68" s="36">
        <f t="shared" si="8"/>
        <v>211602924.66999999</v>
      </c>
      <c r="AB68" s="36">
        <f t="shared" si="8"/>
        <v>240716791.50999999</v>
      </c>
      <c r="AC68" s="36">
        <f t="shared" si="8"/>
        <v>223365261.81</v>
      </c>
      <c r="AD68" s="36">
        <f t="shared" si="8"/>
        <v>12935591.060000001</v>
      </c>
      <c r="AE68" s="36">
        <f t="shared" si="8"/>
        <v>13176737.189999999</v>
      </c>
      <c r="AF68" s="36">
        <f t="shared" si="8"/>
        <v>13436261.210000001</v>
      </c>
      <c r="AG68" s="36">
        <f t="shared" si="8"/>
        <v>13648790.42</v>
      </c>
      <c r="AH68" s="36">
        <f t="shared" si="8"/>
        <v>13981880.59</v>
      </c>
      <c r="AI68" s="36">
        <f t="shared" si="8"/>
        <v>14208863.68</v>
      </c>
      <c r="AJ68" s="36">
        <f t="shared" si="8"/>
        <v>14444005.15</v>
      </c>
      <c r="AK68" s="36">
        <f t="shared" si="8"/>
        <v>14667939.220000001</v>
      </c>
      <c r="AL68" s="36">
        <f t="shared" si="8"/>
        <v>14914087.68</v>
      </c>
      <c r="AM68" s="36">
        <f t="shared" si="8"/>
        <v>15153279.619999999</v>
      </c>
      <c r="AN68" s="36">
        <f t="shared" si="8"/>
        <v>15768611.4</v>
      </c>
      <c r="AO68" s="36">
        <f t="shared" si="8"/>
        <v>16028925.939999999</v>
      </c>
      <c r="AP68" s="36">
        <f t="shared" si="8"/>
        <v>17919767.82</v>
      </c>
      <c r="AQ68" s="36">
        <f t="shared" si="8"/>
        <v>18510587.690000001</v>
      </c>
      <c r="AR68" s="36">
        <f t="shared" si="8"/>
        <v>19717356.580000002</v>
      </c>
      <c r="AS68" s="36">
        <f t="shared" si="8"/>
        <v>20073168.550000001</v>
      </c>
      <c r="AT68" s="36">
        <f t="shared" si="8"/>
        <v>27189278.740000002</v>
      </c>
      <c r="AU68" s="36">
        <f t="shared" si="8"/>
        <v>26993673.140000001</v>
      </c>
      <c r="AV68" s="36">
        <f t="shared" si="8"/>
        <v>27550867.800000001</v>
      </c>
      <c r="AW68" s="36">
        <f t="shared" si="8"/>
        <v>22072535.849999998</v>
      </c>
      <c r="AX68" s="36">
        <f t="shared" si="8"/>
        <v>23250222.899999999</v>
      </c>
      <c r="AY68" s="36">
        <f t="shared" si="8"/>
        <v>23917718.359999999</v>
      </c>
      <c r="AZ68" s="36">
        <f t="shared" si="8"/>
        <v>0</v>
      </c>
      <c r="BA68" s="36">
        <f t="shared" si="8"/>
        <v>24915436.690000001</v>
      </c>
      <c r="BB68" s="36">
        <f t="shared" si="8"/>
        <v>33749188.859999999</v>
      </c>
      <c r="BC68" s="36">
        <f t="shared" si="8"/>
        <v>34962417.93</v>
      </c>
      <c r="BD68" s="36">
        <f t="shared" si="8"/>
        <v>36092502.630000003</v>
      </c>
      <c r="BE68" s="36">
        <f t="shared" si="8"/>
        <v>37330032.719999999</v>
      </c>
      <c r="BF68" s="36">
        <f t="shared" si="8"/>
        <v>38450567.600000001</v>
      </c>
      <c r="BG68" s="36">
        <f t="shared" si="8"/>
        <v>39535908.510000005</v>
      </c>
      <c r="BH68" s="36">
        <f t="shared" si="8"/>
        <v>41739592.120000005</v>
      </c>
      <c r="BI68" s="36">
        <f t="shared" si="8"/>
        <v>43720191.060000002</v>
      </c>
      <c r="BJ68" s="36">
        <f t="shared" si="8"/>
        <v>44495273.719999999</v>
      </c>
      <c r="BK68" s="36">
        <f t="shared" si="8"/>
        <v>46745623.780000001</v>
      </c>
      <c r="BL68" s="36">
        <f t="shared" si="8"/>
        <v>49427419.530000001</v>
      </c>
      <c r="BM68" s="36">
        <f t="shared" si="8"/>
        <v>50499404.169999994</v>
      </c>
      <c r="BN68" s="36">
        <f t="shared" si="8"/>
        <v>54243767.549999997</v>
      </c>
      <c r="BO68" s="36">
        <f t="shared" ref="BO68:CK68" si="9">SUM(BO52:BO64)-2*BO63</f>
        <v>55878754.089999996</v>
      </c>
      <c r="BP68" s="36">
        <f t="shared" si="9"/>
        <v>56478189.960000001</v>
      </c>
      <c r="BQ68" s="36">
        <f t="shared" si="9"/>
        <v>57956159.829999998</v>
      </c>
      <c r="BR68" s="36">
        <f t="shared" si="9"/>
        <v>62091608.870000005</v>
      </c>
      <c r="BS68" s="36">
        <f t="shared" si="9"/>
        <v>86654452.840000004</v>
      </c>
      <c r="BT68" s="36">
        <f t="shared" si="9"/>
        <v>82459862.920000002</v>
      </c>
      <c r="BU68" s="36">
        <f t="shared" si="9"/>
        <v>98835702.410000011</v>
      </c>
      <c r="BV68" s="36">
        <f t="shared" si="9"/>
        <v>84786698.969999999</v>
      </c>
      <c r="BW68" s="36">
        <f t="shared" si="9"/>
        <v>83755328.88000001</v>
      </c>
      <c r="BX68" s="36">
        <f t="shared" si="9"/>
        <v>34913165.379999995</v>
      </c>
      <c r="BY68" s="36">
        <f t="shared" si="9"/>
        <v>35816290.990000002</v>
      </c>
      <c r="BZ68" s="36">
        <f t="shared" si="9"/>
        <v>26097698.739999998</v>
      </c>
      <c r="CA68" s="36">
        <f t="shared" si="9"/>
        <v>27602197.959999997</v>
      </c>
      <c r="CB68" s="36">
        <f t="shared" si="9"/>
        <v>48745128.380000003</v>
      </c>
      <c r="CC68" s="36">
        <f t="shared" si="9"/>
        <v>53283631.57</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10338415948.559999</v>
      </c>
      <c r="C69" s="33">
        <f t="shared" ref="C69:BN69" si="10">C50+C68</f>
        <v>10119457725.629997</v>
      </c>
      <c r="D69" s="33">
        <f t="shared" si="10"/>
        <v>10871521191.290001</v>
      </c>
      <c r="E69" s="33">
        <f t="shared" si="10"/>
        <v>10684037739.870001</v>
      </c>
      <c r="F69" s="33">
        <f t="shared" si="10"/>
        <v>10631134142.019999</v>
      </c>
      <c r="G69" s="33">
        <f t="shared" si="10"/>
        <v>9605695516.6900005</v>
      </c>
      <c r="H69" s="33">
        <f t="shared" si="10"/>
        <v>9594902177.7699986</v>
      </c>
      <c r="I69" s="33">
        <f t="shared" si="10"/>
        <v>8988963558.7799988</v>
      </c>
      <c r="J69" s="33">
        <f t="shared" si="10"/>
        <v>9159811946.7000008</v>
      </c>
      <c r="K69" s="33">
        <f t="shared" si="10"/>
        <v>9136631010.3299999</v>
      </c>
      <c r="L69" s="33">
        <f t="shared" si="10"/>
        <v>6894506570.5200014</v>
      </c>
      <c r="M69" s="33">
        <f t="shared" si="10"/>
        <v>6486206049.1800013</v>
      </c>
      <c r="N69" s="33">
        <f t="shared" si="10"/>
        <v>6993731182.8500013</v>
      </c>
      <c r="O69" s="33">
        <f t="shared" si="10"/>
        <v>7261390978.96</v>
      </c>
      <c r="P69" s="33">
        <f t="shared" si="10"/>
        <v>6910533750.000001</v>
      </c>
      <c r="Q69" s="33">
        <f t="shared" si="10"/>
        <v>5461499066.5099993</v>
      </c>
      <c r="R69" s="33">
        <f t="shared" si="10"/>
        <v>4016346368.6399994</v>
      </c>
      <c r="S69" s="33">
        <f t="shared" si="10"/>
        <v>4084424734.8199997</v>
      </c>
      <c r="T69" s="33">
        <f t="shared" si="10"/>
        <v>3940356230.2099991</v>
      </c>
      <c r="U69" s="33">
        <f t="shared" si="10"/>
        <v>3289505236.6099997</v>
      </c>
      <c r="V69" s="33">
        <f t="shared" si="10"/>
        <v>1834661524.440001</v>
      </c>
      <c r="W69" s="33">
        <f t="shared" si="10"/>
        <v>1906098843.8599997</v>
      </c>
      <c r="X69" s="33">
        <f t="shared" si="10"/>
        <v>1676138871.3899996</v>
      </c>
      <c r="Y69" s="33">
        <f t="shared" si="10"/>
        <v>1418426856.4500003</v>
      </c>
      <c r="Z69" s="33">
        <f t="shared" si="10"/>
        <v>1392210853.3100007</v>
      </c>
      <c r="AA69" s="33">
        <f t="shared" si="10"/>
        <v>1844366816.96</v>
      </c>
      <c r="AB69" s="33">
        <f t="shared" si="10"/>
        <v>1900884797.0999997</v>
      </c>
      <c r="AC69" s="33">
        <f t="shared" si="10"/>
        <v>1687087266.6400003</v>
      </c>
      <c r="AD69" s="33">
        <f t="shared" si="10"/>
        <v>-85249888.399999991</v>
      </c>
      <c r="AE69" s="33">
        <f t="shared" si="10"/>
        <v>-84437174.849999979</v>
      </c>
      <c r="AF69" s="33">
        <f t="shared" si="10"/>
        <v>-81876079.339999974</v>
      </c>
      <c r="AG69" s="33">
        <f t="shared" si="10"/>
        <v>-82255313.489999965</v>
      </c>
      <c r="AH69" s="33">
        <f t="shared" si="10"/>
        <v>-86422390.470000014</v>
      </c>
      <c r="AI69" s="33">
        <f t="shared" si="10"/>
        <v>-65953344.449999996</v>
      </c>
      <c r="AJ69" s="33">
        <f t="shared" si="10"/>
        <v>-62610155.050000034</v>
      </c>
      <c r="AK69" s="33">
        <f t="shared" si="10"/>
        <v>-62203541.180000007</v>
      </c>
      <c r="AL69" s="33">
        <f t="shared" si="10"/>
        <v>-55966236.94000002</v>
      </c>
      <c r="AM69" s="33">
        <f t="shared" si="10"/>
        <v>-53281450.969999976</v>
      </c>
      <c r="AN69" s="33">
        <f t="shared" si="10"/>
        <v>-39522403.360000022</v>
      </c>
      <c r="AO69" s="33">
        <f t="shared" si="10"/>
        <v>-40369034.540000051</v>
      </c>
      <c r="AP69" s="33">
        <f t="shared" si="10"/>
        <v>-12930841.040000014</v>
      </c>
      <c r="AQ69" s="33">
        <f t="shared" si="10"/>
        <v>-11866418.710000034</v>
      </c>
      <c r="AR69" s="33">
        <f t="shared" si="10"/>
        <v>3113720.3899999745</v>
      </c>
      <c r="AS69" s="33">
        <f t="shared" si="10"/>
        <v>1440913.1699999757</v>
      </c>
      <c r="AT69" s="33">
        <f t="shared" si="10"/>
        <v>-184205808.05000007</v>
      </c>
      <c r="AU69" s="33">
        <f t="shared" si="10"/>
        <v>-166336773.94</v>
      </c>
      <c r="AV69" s="33">
        <f t="shared" si="10"/>
        <v>-158092893.01999995</v>
      </c>
      <c r="AW69" s="33">
        <f t="shared" si="10"/>
        <v>-11782864.85000005</v>
      </c>
      <c r="AX69" s="33">
        <f t="shared" si="10"/>
        <v>391844180.17999995</v>
      </c>
      <c r="AY69" s="33">
        <f t="shared" si="10"/>
        <v>396968292.17999995</v>
      </c>
      <c r="AZ69" s="33">
        <f t="shared" si="10"/>
        <v>0</v>
      </c>
      <c r="BA69" s="33">
        <f t="shared" si="10"/>
        <v>416880383.19</v>
      </c>
      <c r="BB69" s="33">
        <f t="shared" si="10"/>
        <v>510037836.3499999</v>
      </c>
      <c r="BC69" s="33">
        <f t="shared" si="10"/>
        <v>519270474.59000009</v>
      </c>
      <c r="BD69" s="33">
        <f t="shared" si="10"/>
        <v>545887867.21000004</v>
      </c>
      <c r="BE69" s="33">
        <f t="shared" si="10"/>
        <v>446795620.69000006</v>
      </c>
      <c r="BF69" s="33">
        <f t="shared" si="10"/>
        <v>429525971.88999987</v>
      </c>
      <c r="BG69" s="33">
        <f t="shared" si="10"/>
        <v>426546001.33999979</v>
      </c>
      <c r="BH69" s="33">
        <f t="shared" si="10"/>
        <v>335133772.29999995</v>
      </c>
      <c r="BI69" s="33">
        <f t="shared" si="10"/>
        <v>168063840.90999997</v>
      </c>
      <c r="BJ69" s="33">
        <f t="shared" si="10"/>
        <v>497257604.75999999</v>
      </c>
      <c r="BK69" s="33">
        <f t="shared" si="10"/>
        <v>386098563.64999998</v>
      </c>
      <c r="BL69" s="33">
        <f t="shared" si="10"/>
        <v>379016365.09000003</v>
      </c>
      <c r="BM69" s="33">
        <f t="shared" si="10"/>
        <v>279906092.27000004</v>
      </c>
      <c r="BN69" s="33">
        <f t="shared" si="10"/>
        <v>493775913.8300001</v>
      </c>
      <c r="BO69" s="33">
        <f t="shared" ref="BO69:CL69" si="11">BO50+BO68</f>
        <v>431620072.65000004</v>
      </c>
      <c r="BP69" s="33">
        <f t="shared" si="11"/>
        <v>423440355.12999994</v>
      </c>
      <c r="BQ69" s="33">
        <f t="shared" si="11"/>
        <v>259210625.90999997</v>
      </c>
      <c r="BR69" s="33">
        <f t="shared" si="11"/>
        <v>218659864.11000004</v>
      </c>
      <c r="BS69" s="33">
        <f t="shared" si="11"/>
        <v>290556367.42999995</v>
      </c>
      <c r="BT69" s="33">
        <f t="shared" si="11"/>
        <v>244977168.86000001</v>
      </c>
      <c r="BU69" s="33">
        <f t="shared" si="11"/>
        <v>222251633.78000003</v>
      </c>
      <c r="BV69" s="33">
        <f t="shared" si="11"/>
        <v>188549798.41999999</v>
      </c>
      <c r="BW69" s="33">
        <f t="shared" si="11"/>
        <v>151057172.78000003</v>
      </c>
      <c r="BX69" s="33">
        <f t="shared" si="11"/>
        <v>93530784.239999995</v>
      </c>
      <c r="BY69" s="33">
        <f t="shared" si="11"/>
        <v>82077244.430000007</v>
      </c>
      <c r="BZ69" s="33">
        <f t="shared" si="11"/>
        <v>69371925.639999986</v>
      </c>
      <c r="CA69" s="33">
        <f t="shared" si="11"/>
        <v>65890395.320000008</v>
      </c>
      <c r="CB69" s="33">
        <f t="shared" si="11"/>
        <v>95606114.74000001</v>
      </c>
      <c r="CC69" s="33">
        <f t="shared" si="11"/>
        <v>87913986.170000002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11582238573.139999</v>
      </c>
      <c r="C70" s="37">
        <f t="shared" ref="C70:BN70" si="12">C17+C19+C69</f>
        <v>11754560643.119997</v>
      </c>
      <c r="D70" s="37">
        <f t="shared" si="12"/>
        <v>12051332331.84</v>
      </c>
      <c r="E70" s="37">
        <f t="shared" si="12"/>
        <v>12014045508.25</v>
      </c>
      <c r="F70" s="37">
        <f t="shared" si="12"/>
        <v>12435232451.149998</v>
      </c>
      <c r="G70" s="37">
        <f t="shared" si="12"/>
        <v>10873836547.58</v>
      </c>
      <c r="H70" s="37">
        <f t="shared" si="12"/>
        <v>10824341568.919998</v>
      </c>
      <c r="I70" s="37">
        <f t="shared" si="12"/>
        <v>10881122711.829998</v>
      </c>
      <c r="J70" s="37">
        <f t="shared" si="12"/>
        <v>10671529466.230001</v>
      </c>
      <c r="K70" s="37">
        <f t="shared" si="12"/>
        <v>11329709325.869999</v>
      </c>
      <c r="L70" s="37">
        <f t="shared" si="12"/>
        <v>9197239498.4900017</v>
      </c>
      <c r="M70" s="37">
        <f t="shared" si="12"/>
        <v>7619805307.7300014</v>
      </c>
      <c r="N70" s="37">
        <f t="shared" si="12"/>
        <v>8150567347.3500013</v>
      </c>
      <c r="O70" s="37">
        <f t="shared" si="12"/>
        <v>8457534370.3299999</v>
      </c>
      <c r="P70" s="37">
        <f t="shared" si="12"/>
        <v>8315817985.8100014</v>
      </c>
      <c r="Q70" s="37">
        <f t="shared" si="12"/>
        <v>8374023907.1299992</v>
      </c>
      <c r="R70" s="37">
        <f t="shared" si="12"/>
        <v>5440743445.2699995</v>
      </c>
      <c r="S70" s="37">
        <f t="shared" si="12"/>
        <v>5400042611.0999994</v>
      </c>
      <c r="T70" s="37">
        <f t="shared" si="12"/>
        <v>5405020936.9499989</v>
      </c>
      <c r="U70" s="37">
        <f t="shared" si="12"/>
        <v>4729794747.4399996</v>
      </c>
      <c r="V70" s="37">
        <f t="shared" si="12"/>
        <v>3185582040.8000011</v>
      </c>
      <c r="W70" s="37">
        <f t="shared" si="12"/>
        <v>2716577942.1199999</v>
      </c>
      <c r="X70" s="37">
        <f t="shared" si="12"/>
        <v>2662104762.6999998</v>
      </c>
      <c r="Y70" s="37">
        <f t="shared" si="12"/>
        <v>2772463160.75</v>
      </c>
      <c r="Z70" s="37">
        <f t="shared" si="12"/>
        <v>2385434310.9100008</v>
      </c>
      <c r="AA70" s="37">
        <f t="shared" si="12"/>
        <v>2502011952.0999999</v>
      </c>
      <c r="AB70" s="37">
        <f t="shared" si="12"/>
        <v>2435287261.9599996</v>
      </c>
      <c r="AC70" s="37">
        <f t="shared" si="12"/>
        <v>2477851599.3700004</v>
      </c>
      <c r="AD70" s="37">
        <f t="shared" si="12"/>
        <v>-39751701.739999995</v>
      </c>
      <c r="AE70" s="37">
        <f t="shared" si="12"/>
        <v>-39047312.699999981</v>
      </c>
      <c r="AF70" s="37">
        <f t="shared" si="12"/>
        <v>-36411268.439999975</v>
      </c>
      <c r="AG70" s="37">
        <f t="shared" si="12"/>
        <v>-35582283.599999964</v>
      </c>
      <c r="AH70" s="37">
        <f t="shared" si="12"/>
        <v>-41131809.430000015</v>
      </c>
      <c r="AI70" s="37">
        <f t="shared" si="12"/>
        <v>-20508189.029999994</v>
      </c>
      <c r="AJ70" s="37">
        <f t="shared" si="12"/>
        <v>-17278748.230000034</v>
      </c>
      <c r="AK70" s="37">
        <f t="shared" si="12"/>
        <v>-16599749.430000007</v>
      </c>
      <c r="AL70" s="37">
        <f t="shared" si="12"/>
        <v>-9584742.0800000206</v>
      </c>
      <c r="AM70" s="37">
        <f t="shared" si="12"/>
        <v>-6783766.9399999753</v>
      </c>
      <c r="AN70" s="37">
        <f t="shared" si="12"/>
        <v>7255983.9399999827</v>
      </c>
      <c r="AO70" s="37">
        <f t="shared" si="12"/>
        <v>6415989.3599999472</v>
      </c>
      <c r="AP70" s="37">
        <f t="shared" si="12"/>
        <v>35514882.669999987</v>
      </c>
      <c r="AQ70" s="37">
        <f t="shared" si="12"/>
        <v>36178921.049999967</v>
      </c>
      <c r="AR70" s="37">
        <f t="shared" si="12"/>
        <v>53406889.079999968</v>
      </c>
      <c r="AS70" s="37">
        <f t="shared" si="12"/>
        <v>64048775.589999974</v>
      </c>
      <c r="AT70" s="37">
        <f t="shared" si="12"/>
        <v>-125723099.84000006</v>
      </c>
      <c r="AU70" s="37">
        <f t="shared" si="12"/>
        <v>-106803020.03999999</v>
      </c>
      <c r="AV70" s="37">
        <f t="shared" si="12"/>
        <v>-93233507.339999944</v>
      </c>
      <c r="AW70" s="37">
        <f t="shared" si="12"/>
        <v>47311468.689999953</v>
      </c>
      <c r="AX70" s="37">
        <f t="shared" si="12"/>
        <v>431452090.99999994</v>
      </c>
      <c r="AY70" s="37">
        <f t="shared" si="12"/>
        <v>432262488.81999993</v>
      </c>
      <c r="AZ70" s="37">
        <f t="shared" si="12"/>
        <v>0</v>
      </c>
      <c r="BA70" s="37">
        <f t="shared" si="12"/>
        <v>456201037.26999998</v>
      </c>
      <c r="BB70" s="37">
        <f t="shared" si="12"/>
        <v>541556394.80999994</v>
      </c>
      <c r="BC70" s="37">
        <f t="shared" si="12"/>
        <v>545473270.31000006</v>
      </c>
      <c r="BD70" s="37">
        <f t="shared" si="12"/>
        <v>573572727.24000001</v>
      </c>
      <c r="BE70" s="37">
        <f t="shared" si="12"/>
        <v>583508767.37000012</v>
      </c>
      <c r="BF70" s="37">
        <f t="shared" si="12"/>
        <v>607480275.64999986</v>
      </c>
      <c r="BG70" s="37">
        <f t="shared" si="12"/>
        <v>614206778.68999982</v>
      </c>
      <c r="BH70" s="37">
        <f t="shared" si="12"/>
        <v>591853089.88</v>
      </c>
      <c r="BI70" s="37">
        <f t="shared" si="12"/>
        <v>544991411.41999996</v>
      </c>
      <c r="BJ70" s="37">
        <f t="shared" si="12"/>
        <v>808994112.13999999</v>
      </c>
      <c r="BK70" s="37">
        <f t="shared" si="12"/>
        <v>750363270.3599999</v>
      </c>
      <c r="BL70" s="37">
        <f t="shared" si="12"/>
        <v>735437111.59000003</v>
      </c>
      <c r="BM70" s="37">
        <f t="shared" si="12"/>
        <v>553669533.25</v>
      </c>
      <c r="BN70" s="37">
        <f t="shared" si="12"/>
        <v>639788713.31000006</v>
      </c>
      <c r="BO70" s="37">
        <f t="shared" ref="BO70:CL70" si="13">BO17+BO19+BO69</f>
        <v>736007781.99000001</v>
      </c>
      <c r="BP70" s="37">
        <f t="shared" si="13"/>
        <v>651679747.31999993</v>
      </c>
      <c r="BQ70" s="37">
        <f t="shared" si="13"/>
        <v>481334448.19999993</v>
      </c>
      <c r="BR70" s="37">
        <f t="shared" si="13"/>
        <v>360381746.28000003</v>
      </c>
      <c r="BS70" s="37">
        <f t="shared" si="13"/>
        <v>381452196.47999996</v>
      </c>
      <c r="BT70" s="37">
        <f t="shared" si="13"/>
        <v>392402089.85000002</v>
      </c>
      <c r="BU70" s="37">
        <f t="shared" si="13"/>
        <v>316170216.48000002</v>
      </c>
      <c r="BV70" s="37">
        <f t="shared" si="13"/>
        <v>227699575.44</v>
      </c>
      <c r="BW70" s="37">
        <f t="shared" si="13"/>
        <v>197160959.53000003</v>
      </c>
      <c r="BX70" s="37">
        <f t="shared" si="13"/>
        <v>184353866.04000002</v>
      </c>
      <c r="BY70" s="37">
        <f t="shared" si="13"/>
        <v>177326609.03000003</v>
      </c>
      <c r="BZ70" s="37">
        <f t="shared" si="13"/>
        <v>84148455.469999984</v>
      </c>
      <c r="CA70" s="37">
        <f t="shared" si="13"/>
        <v>82186105.700000003</v>
      </c>
      <c r="CB70" s="37">
        <f t="shared" si="13"/>
        <v>105000931.48</v>
      </c>
      <c r="CC70" s="37">
        <f t="shared" si="13"/>
        <v>91273243.299999997</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1046132494.76</v>
      </c>
      <c r="F72" s="28">
        <f t="shared" ref="F72:BQ72" si="14">SUM(F73:F77)</f>
        <v>354304744.23000002</v>
      </c>
      <c r="G72" s="28">
        <f t="shared" si="14"/>
        <v>671775769.23000002</v>
      </c>
      <c r="H72" s="28">
        <f t="shared" si="14"/>
        <v>354967577</v>
      </c>
      <c r="I72" s="28">
        <f t="shared" si="14"/>
        <v>408082843.14999998</v>
      </c>
      <c r="J72" s="28">
        <f t="shared" si="14"/>
        <v>761664986.09000003</v>
      </c>
      <c r="K72" s="28">
        <f t="shared" si="14"/>
        <v>459126210.38999999</v>
      </c>
      <c r="L72" s="28">
        <f t="shared" si="14"/>
        <v>544791538.20000005</v>
      </c>
      <c r="M72" s="28">
        <f t="shared" si="14"/>
        <v>703790797.21000004</v>
      </c>
      <c r="N72" s="28">
        <f t="shared" si="14"/>
        <v>659311137.65999997</v>
      </c>
      <c r="O72" s="28">
        <f t="shared" si="14"/>
        <v>722539423.54999995</v>
      </c>
      <c r="P72" s="28">
        <f t="shared" si="14"/>
        <v>924293525.94000006</v>
      </c>
      <c r="Q72" s="28">
        <f t="shared" si="14"/>
        <v>745606971.42000008</v>
      </c>
      <c r="R72" s="28">
        <f t="shared" si="14"/>
        <v>207151098.47</v>
      </c>
      <c r="S72" s="28">
        <f t="shared" si="14"/>
        <v>105246219.03</v>
      </c>
      <c r="T72" s="28">
        <f t="shared" si="14"/>
        <v>122704194.14</v>
      </c>
      <c r="U72" s="28">
        <f t="shared" si="14"/>
        <v>121102827.83</v>
      </c>
      <c r="V72" s="28">
        <f t="shared" si="14"/>
        <v>155400726.21000001</v>
      </c>
      <c r="W72" s="28">
        <f t="shared" si="14"/>
        <v>43267274.990000002</v>
      </c>
      <c r="X72" s="28">
        <f t="shared" si="14"/>
        <v>43174580.840000004</v>
      </c>
      <c r="Y72" s="28">
        <f t="shared" si="14"/>
        <v>229442099.84</v>
      </c>
      <c r="Z72" s="28">
        <f t="shared" si="14"/>
        <v>302037418.48000002</v>
      </c>
      <c r="AA72" s="28">
        <f t="shared" si="14"/>
        <v>26972785.240000002</v>
      </c>
      <c r="AB72" s="28">
        <f t="shared" si="14"/>
        <v>35786136.25</v>
      </c>
      <c r="AC72" s="28">
        <f t="shared" si="14"/>
        <v>46792383.859999999</v>
      </c>
      <c r="AD72" s="28">
        <f t="shared" si="14"/>
        <v>699528928.87</v>
      </c>
      <c r="AE72" s="28">
        <f t="shared" si="14"/>
        <v>688140564.00999999</v>
      </c>
      <c r="AF72" s="28">
        <f t="shared" si="14"/>
        <v>678253709.72000003</v>
      </c>
      <c r="AG72" s="28">
        <f t="shared" si="14"/>
        <v>672603288.89999998</v>
      </c>
      <c r="AH72" s="28">
        <f t="shared" si="14"/>
        <v>680486144.75</v>
      </c>
      <c r="AI72" s="28">
        <f t="shared" si="14"/>
        <v>688685128.25999999</v>
      </c>
      <c r="AJ72" s="28">
        <f t="shared" si="14"/>
        <v>682264383.99000001</v>
      </c>
      <c r="AK72" s="28">
        <f t="shared" si="14"/>
        <v>688064734.32000005</v>
      </c>
      <c r="AL72" s="28">
        <f t="shared" si="14"/>
        <v>741946412.67000008</v>
      </c>
      <c r="AM72" s="28">
        <f t="shared" si="14"/>
        <v>728619817.44000006</v>
      </c>
      <c r="AN72" s="28">
        <f t="shared" si="14"/>
        <v>729498375.5</v>
      </c>
      <c r="AO72" s="28">
        <f t="shared" si="14"/>
        <v>725493581.36000001</v>
      </c>
      <c r="AP72" s="28">
        <f t="shared" si="14"/>
        <v>760215624.70000005</v>
      </c>
      <c r="AQ72" s="28">
        <f t="shared" si="14"/>
        <v>746604928.32999992</v>
      </c>
      <c r="AR72" s="28">
        <f t="shared" si="14"/>
        <v>739222667.62</v>
      </c>
      <c r="AS72" s="28">
        <f t="shared" si="14"/>
        <v>771577862.41999996</v>
      </c>
      <c r="AT72" s="28">
        <f t="shared" si="14"/>
        <v>657018991.17999995</v>
      </c>
      <c r="AU72" s="28">
        <f t="shared" si="14"/>
        <v>657018991.17999995</v>
      </c>
      <c r="AV72" s="28">
        <f t="shared" si="14"/>
        <v>657018991.17999995</v>
      </c>
      <c r="AW72" s="28">
        <f t="shared" si="14"/>
        <v>787314385.38000011</v>
      </c>
      <c r="AX72" s="28">
        <f t="shared" si="14"/>
        <v>673178551.63</v>
      </c>
      <c r="AY72" s="28">
        <f t="shared" si="14"/>
        <v>673178551.63</v>
      </c>
      <c r="AZ72" s="28">
        <f t="shared" si="14"/>
        <v>0</v>
      </c>
      <c r="BA72" s="28">
        <f t="shared" si="14"/>
        <v>673578551.63</v>
      </c>
      <c r="BB72" s="28">
        <f t="shared" si="14"/>
        <v>426102066.17000002</v>
      </c>
      <c r="BC72" s="28">
        <f t="shared" si="14"/>
        <v>426202066.17000002</v>
      </c>
      <c r="BD72" s="28">
        <f t="shared" si="14"/>
        <v>428569933.24000001</v>
      </c>
      <c r="BE72" s="28">
        <f t="shared" si="14"/>
        <v>454455698.52999997</v>
      </c>
      <c r="BF72" s="28">
        <f t="shared" si="14"/>
        <v>303913984.10000002</v>
      </c>
      <c r="BG72" s="28">
        <f t="shared" si="14"/>
        <v>303915753</v>
      </c>
      <c r="BH72" s="28">
        <f t="shared" si="14"/>
        <v>284000000</v>
      </c>
      <c r="BI72" s="28">
        <f t="shared" si="14"/>
        <v>243680000</v>
      </c>
      <c r="BJ72" s="28">
        <f t="shared" si="14"/>
        <v>492180000</v>
      </c>
      <c r="BK72" s="28">
        <f t="shared" si="14"/>
        <v>437180000</v>
      </c>
      <c r="BL72" s="28">
        <f t="shared" si="14"/>
        <v>429540000</v>
      </c>
      <c r="BM72" s="28">
        <f t="shared" si="14"/>
        <v>253000000</v>
      </c>
      <c r="BN72" s="28">
        <f t="shared" si="14"/>
        <v>346000000</v>
      </c>
      <c r="BO72" s="28">
        <f t="shared" si="14"/>
        <v>444500000</v>
      </c>
      <c r="BP72" s="28">
        <f t="shared" si="14"/>
        <v>369500000</v>
      </c>
      <c r="BQ72" s="28">
        <f t="shared" si="14"/>
        <v>193000000</v>
      </c>
      <c r="BR72" s="28">
        <f t="shared" ref="BR72:CL72" si="15">SUM(BR73:BR77)</f>
        <v>92000000</v>
      </c>
      <c r="BS72" s="28">
        <f t="shared" si="15"/>
        <v>80000000</v>
      </c>
      <c r="BT72" s="28">
        <f t="shared" si="15"/>
        <v>85000000</v>
      </c>
      <c r="BU72" s="28">
        <f t="shared" si="15"/>
        <v>48000000</v>
      </c>
      <c r="BV72" s="28">
        <f t="shared" si="15"/>
        <v>43600000</v>
      </c>
      <c r="BW72" s="28">
        <f t="shared" si="15"/>
        <v>40600000</v>
      </c>
      <c r="BX72" s="28">
        <f t="shared" si="15"/>
        <v>40600000</v>
      </c>
      <c r="BY72" s="28">
        <f t="shared" si="15"/>
        <v>40550000</v>
      </c>
      <c r="BZ72" s="28">
        <f t="shared" si="15"/>
        <v>24170000</v>
      </c>
      <c r="CA72" s="28">
        <f t="shared" si="15"/>
        <v>24170000</v>
      </c>
      <c r="CB72" s="28">
        <f t="shared" si="15"/>
        <v>26170000</v>
      </c>
      <c r="CC72" s="28">
        <f t="shared" si="15"/>
        <v>22470000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100000000</v>
      </c>
      <c r="M73" s="190">
        <v>100000000</v>
      </c>
      <c r="N73" s="190">
        <v>100000000</v>
      </c>
      <c r="O73" s="190">
        <v>360000000</v>
      </c>
      <c r="P73" s="190">
        <v>360000000</v>
      </c>
      <c r="Q73" s="190">
        <v>365800000</v>
      </c>
      <c r="R73" s="190">
        <v>0</v>
      </c>
      <c r="S73" s="190">
        <v>0</v>
      </c>
      <c r="T73" s="190">
        <v>0</v>
      </c>
      <c r="U73" s="190">
        <v>0</v>
      </c>
      <c r="V73" s="190">
        <v>11100000</v>
      </c>
      <c r="W73" s="190">
        <v>15000000</v>
      </c>
      <c r="X73" s="190">
        <v>15000000</v>
      </c>
      <c r="Y73" s="190">
        <v>12200000</v>
      </c>
      <c r="Z73" s="190">
        <v>3900000</v>
      </c>
      <c r="AA73" s="190">
        <v>9470000</v>
      </c>
      <c r="AB73" s="190">
        <v>19000000</v>
      </c>
      <c r="AC73" s="190">
        <v>19000000</v>
      </c>
      <c r="AD73" s="190">
        <v>597576275.12</v>
      </c>
      <c r="AE73" s="190">
        <v>597576275.12</v>
      </c>
      <c r="AF73" s="190">
        <v>597576275.12</v>
      </c>
      <c r="AG73" s="190">
        <v>597576275.12</v>
      </c>
      <c r="AH73" s="190">
        <v>597576275.12</v>
      </c>
      <c r="AI73" s="190">
        <v>617163623.49000001</v>
      </c>
      <c r="AJ73" s="190">
        <v>617163623.49000001</v>
      </c>
      <c r="AK73" s="190">
        <v>617163623.49000001</v>
      </c>
      <c r="AL73" s="190">
        <v>617163623.49000001</v>
      </c>
      <c r="AM73" s="190">
        <v>617163623.49000001</v>
      </c>
      <c r="AN73" s="190">
        <v>617163623.49000001</v>
      </c>
      <c r="AO73" s="190">
        <v>617163623.49000001</v>
      </c>
      <c r="AP73" s="190">
        <v>617170000.13999999</v>
      </c>
      <c r="AQ73" s="190">
        <v>617170000.13999999</v>
      </c>
      <c r="AR73" s="190">
        <v>621170000.13999999</v>
      </c>
      <c r="AS73" s="190">
        <v>654018991.17999995</v>
      </c>
      <c r="AT73" s="190">
        <v>657018991.17999995</v>
      </c>
      <c r="AU73" s="190">
        <v>657018991.17999995</v>
      </c>
      <c r="AV73" s="190">
        <v>657018991.17999995</v>
      </c>
      <c r="AW73" s="190">
        <v>661019060.19000006</v>
      </c>
      <c r="AX73" s="190">
        <v>673178551.63</v>
      </c>
      <c r="AY73" s="190">
        <v>673178551.63</v>
      </c>
      <c r="AZ73" s="190">
        <v>0</v>
      </c>
      <c r="BA73" s="190">
        <v>673578551.63</v>
      </c>
      <c r="BB73" s="190">
        <v>426102066.17000002</v>
      </c>
      <c r="BC73" s="190">
        <v>426202066.17000002</v>
      </c>
      <c r="BD73" s="190">
        <v>428569933.24000001</v>
      </c>
      <c r="BE73" s="190">
        <v>454455698.52999997</v>
      </c>
      <c r="BF73" s="190">
        <v>303913984.10000002</v>
      </c>
      <c r="BG73" s="190">
        <v>303915753</v>
      </c>
      <c r="BH73" s="190">
        <v>284000000</v>
      </c>
      <c r="BI73" s="190">
        <v>243680000</v>
      </c>
      <c r="BJ73" s="190">
        <v>492180000</v>
      </c>
      <c r="BK73" s="190">
        <v>437180000</v>
      </c>
      <c r="BL73" s="190">
        <v>429540000</v>
      </c>
      <c r="BM73" s="190">
        <v>253000000</v>
      </c>
      <c r="BN73" s="190">
        <v>346000000</v>
      </c>
      <c r="BO73" s="190">
        <v>444500000</v>
      </c>
      <c r="BP73" s="190">
        <v>369500000</v>
      </c>
      <c r="BQ73" s="190">
        <v>193000000</v>
      </c>
      <c r="BR73" s="190">
        <v>92000000</v>
      </c>
      <c r="BS73" s="190">
        <v>80000000</v>
      </c>
      <c r="BT73" s="190">
        <v>85000000</v>
      </c>
      <c r="BU73" s="190">
        <v>48000000</v>
      </c>
      <c r="BV73" s="190">
        <v>43600000</v>
      </c>
      <c r="BW73" s="190">
        <v>40600000</v>
      </c>
      <c r="BX73" s="190">
        <v>40600000</v>
      </c>
      <c r="BY73" s="190">
        <v>33000000</v>
      </c>
      <c r="BZ73" s="190">
        <v>24170000</v>
      </c>
      <c r="CA73" s="190">
        <v>24170000</v>
      </c>
      <c r="CB73" s="190">
        <v>26170000</v>
      </c>
      <c r="CC73" s="190">
        <v>22470000</v>
      </c>
      <c r="CD73" s="190">
        <v>0</v>
      </c>
      <c r="CE73" s="190"/>
      <c r="CF73" s="190"/>
      <c r="CG73" s="190"/>
      <c r="CH73" s="190"/>
      <c r="CI73" s="190"/>
      <c r="CJ73" s="190"/>
      <c r="CK73" s="190"/>
      <c r="CL73" s="190"/>
    </row>
    <row r="74" spans="1:90" x14ac:dyDescent="0.25">
      <c r="A74" s="128" t="s">
        <v>77</v>
      </c>
      <c r="B74" s="190">
        <v>0</v>
      </c>
      <c r="C74" s="190">
        <v>19917708.109999999</v>
      </c>
      <c r="D74" s="190">
        <v>6274913.4199999999</v>
      </c>
      <c r="E74" s="190">
        <v>55980494.759999998</v>
      </c>
      <c r="F74" s="190">
        <v>36804744.229999997</v>
      </c>
      <c r="G74" s="190">
        <v>21775769.23</v>
      </c>
      <c r="H74" s="190">
        <v>4967577</v>
      </c>
      <c r="I74" s="190">
        <v>54712843.149999999</v>
      </c>
      <c r="J74" s="190">
        <v>38264986.090000004</v>
      </c>
      <c r="K74" s="190">
        <v>23796210.390000001</v>
      </c>
      <c r="L74" s="190">
        <v>9791538.1999999993</v>
      </c>
      <c r="M74" s="190">
        <v>9910797.2100000009</v>
      </c>
      <c r="N74" s="190">
        <v>9311137.6600000001</v>
      </c>
      <c r="O74" s="190">
        <v>12539423.550000001</v>
      </c>
      <c r="P74" s="190">
        <v>14293525.939999999</v>
      </c>
      <c r="Q74" s="190">
        <v>11806971.42</v>
      </c>
      <c r="R74" s="190">
        <v>7151098.4699999997</v>
      </c>
      <c r="S74" s="190">
        <v>7246219.0300000003</v>
      </c>
      <c r="T74" s="190">
        <v>7704194.1399999997</v>
      </c>
      <c r="U74" s="190">
        <v>6102827.8300000001</v>
      </c>
      <c r="V74" s="190">
        <v>3300726.21</v>
      </c>
      <c r="W74" s="190">
        <v>2267274.9900000002</v>
      </c>
      <c r="X74" s="190">
        <v>2174580.84</v>
      </c>
      <c r="Y74" s="190">
        <v>2282099.84</v>
      </c>
      <c r="Z74" s="190">
        <v>2177418.48</v>
      </c>
      <c r="AA74" s="190">
        <v>2502785.2400000002</v>
      </c>
      <c r="AB74" s="190">
        <v>1786136.25</v>
      </c>
      <c r="AC74" s="190">
        <v>2792383.86</v>
      </c>
      <c r="AD74" s="190">
        <v>101952653.75</v>
      </c>
      <c r="AE74" s="190">
        <v>90564288.890000001</v>
      </c>
      <c r="AF74" s="190">
        <v>80677434.599999994</v>
      </c>
      <c r="AG74" s="190">
        <v>75027013.780000001</v>
      </c>
      <c r="AH74" s="190">
        <v>82909869.629999995</v>
      </c>
      <c r="AI74" s="190">
        <v>71521504.769999996</v>
      </c>
      <c r="AJ74" s="190">
        <v>65100760.5</v>
      </c>
      <c r="AK74" s="190">
        <v>70901110.829999998</v>
      </c>
      <c r="AL74" s="190">
        <v>124782789.18000001</v>
      </c>
      <c r="AM74" s="190">
        <v>111456193.95</v>
      </c>
      <c r="AN74" s="190">
        <v>112334752.01000001</v>
      </c>
      <c r="AO74" s="190">
        <v>108329957.87</v>
      </c>
      <c r="AP74" s="190">
        <v>143045624.56</v>
      </c>
      <c r="AQ74" s="190">
        <v>129434928.19</v>
      </c>
      <c r="AR74" s="190">
        <v>118052667.48</v>
      </c>
      <c r="AS74" s="190">
        <v>117558871.23999999</v>
      </c>
      <c r="AT74" s="190">
        <v>0</v>
      </c>
      <c r="AU74" s="190">
        <v>0</v>
      </c>
      <c r="AV74" s="190">
        <v>0</v>
      </c>
      <c r="AW74" s="190">
        <v>126295325.19</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c r="CF75" s="190"/>
      <c r="CG75" s="190"/>
      <c r="CH75" s="190"/>
      <c r="CI75" s="190"/>
      <c r="CJ75" s="190"/>
      <c r="CK75" s="190"/>
      <c r="CL75" s="190"/>
    </row>
    <row r="76" spans="1:90" x14ac:dyDescent="0.25">
      <c r="A76" s="128" t="s">
        <v>54</v>
      </c>
      <c r="B76" s="190">
        <v>1413172833.6500001</v>
      </c>
      <c r="C76" s="190">
        <v>1013345577.55</v>
      </c>
      <c r="D76" s="190">
        <v>1190516443.8</v>
      </c>
      <c r="E76" s="190">
        <v>990152000</v>
      </c>
      <c r="F76" s="190">
        <v>317500000</v>
      </c>
      <c r="G76" s="190">
        <v>650000000</v>
      </c>
      <c r="H76" s="190">
        <v>350000000</v>
      </c>
      <c r="I76" s="190">
        <v>353370000</v>
      </c>
      <c r="J76" s="190">
        <v>723400000</v>
      </c>
      <c r="K76" s="190">
        <v>435330000</v>
      </c>
      <c r="L76" s="190">
        <v>435000000</v>
      </c>
      <c r="M76" s="190">
        <v>593880000</v>
      </c>
      <c r="N76" s="190">
        <v>550000000</v>
      </c>
      <c r="O76" s="190">
        <v>350000000</v>
      </c>
      <c r="P76" s="190">
        <v>550000000</v>
      </c>
      <c r="Q76" s="190">
        <v>368000000</v>
      </c>
      <c r="R76" s="190">
        <v>200000000</v>
      </c>
      <c r="S76" s="190">
        <v>98000000</v>
      </c>
      <c r="T76" s="190">
        <v>115000000</v>
      </c>
      <c r="U76" s="190">
        <v>115000000</v>
      </c>
      <c r="V76" s="190">
        <v>141000000</v>
      </c>
      <c r="W76" s="190">
        <v>26000000</v>
      </c>
      <c r="X76" s="190">
        <v>26000000</v>
      </c>
      <c r="Y76" s="190">
        <v>214960000</v>
      </c>
      <c r="Z76" s="190">
        <v>295960000</v>
      </c>
      <c r="AA76" s="190">
        <v>15000000</v>
      </c>
      <c r="AB76" s="190">
        <v>15000000</v>
      </c>
      <c r="AC76" s="190">
        <v>25000000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0</v>
      </c>
      <c r="BU76" s="190">
        <v>0</v>
      </c>
      <c r="BV76" s="190">
        <v>0</v>
      </c>
      <c r="BW76" s="190">
        <v>0</v>
      </c>
      <c r="BX76" s="190">
        <v>0</v>
      </c>
      <c r="BY76" s="190">
        <v>7550000</v>
      </c>
      <c r="BZ76" s="190">
        <v>0</v>
      </c>
      <c r="CA76" s="190">
        <v>0</v>
      </c>
      <c r="CB76" s="190">
        <v>0</v>
      </c>
      <c r="CC76" s="190">
        <v>0</v>
      </c>
      <c r="CD76" s="190">
        <v>0</v>
      </c>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190">
        <v>0</v>
      </c>
      <c r="BU77" s="190">
        <v>0</v>
      </c>
      <c r="BV77" s="190">
        <v>0</v>
      </c>
      <c r="BW77" s="190">
        <v>0</v>
      </c>
      <c r="BX77" s="190">
        <v>0</v>
      </c>
      <c r="BY77" s="190">
        <v>0</v>
      </c>
      <c r="BZ77" s="190">
        <v>0</v>
      </c>
      <c r="CA77" s="190">
        <v>0</v>
      </c>
      <c r="CB77" s="190">
        <v>0</v>
      </c>
      <c r="CC77" s="190">
        <v>0</v>
      </c>
      <c r="CD77" s="190">
        <v>0</v>
      </c>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4431311897.9300003</v>
      </c>
      <c r="F81" s="28">
        <f t="shared" ref="F81:BQ81" si="16">SUM(F82:F85)</f>
        <v>5451527974.3999996</v>
      </c>
      <c r="G81" s="28">
        <f t="shared" si="16"/>
        <v>3531198377.48</v>
      </c>
      <c r="H81" s="28">
        <f t="shared" si="16"/>
        <v>3847391141.02</v>
      </c>
      <c r="I81" s="28">
        <f t="shared" si="16"/>
        <v>3657905889</v>
      </c>
      <c r="J81" s="28">
        <f t="shared" si="16"/>
        <v>3435324945.29</v>
      </c>
      <c r="K81" s="28">
        <f t="shared" si="16"/>
        <v>4378282177.5299997</v>
      </c>
      <c r="L81" s="28">
        <f t="shared" si="16"/>
        <v>5212910310.0200005</v>
      </c>
      <c r="M81" s="28">
        <f t="shared" si="16"/>
        <v>3885755129.0799999</v>
      </c>
      <c r="N81" s="28">
        <f t="shared" si="16"/>
        <v>4371635129.0799999</v>
      </c>
      <c r="O81" s="28">
        <f t="shared" si="16"/>
        <v>4463535129.0799999</v>
      </c>
      <c r="P81" s="28">
        <f t="shared" si="16"/>
        <v>4370535129.0799999</v>
      </c>
      <c r="Q81" s="28">
        <f t="shared" si="16"/>
        <v>4543535129.0799999</v>
      </c>
      <c r="R81" s="28">
        <f t="shared" si="16"/>
        <v>3254335129.0799999</v>
      </c>
      <c r="S81" s="28">
        <f t="shared" si="16"/>
        <v>3302335129.0799999</v>
      </c>
      <c r="T81" s="28">
        <f t="shared" si="16"/>
        <v>3304335129.0799999</v>
      </c>
      <c r="U81" s="28">
        <f t="shared" si="16"/>
        <v>2651915129.0799999</v>
      </c>
      <c r="V81" s="28">
        <f t="shared" si="16"/>
        <v>1509660000</v>
      </c>
      <c r="W81" s="28">
        <f t="shared" si="16"/>
        <v>1198660000</v>
      </c>
      <c r="X81" s="28">
        <f t="shared" si="16"/>
        <v>1200660000</v>
      </c>
      <c r="Y81" s="28">
        <f t="shared" si="16"/>
        <v>1137660000</v>
      </c>
      <c r="Z81" s="28">
        <f t="shared" si="16"/>
        <v>956660000</v>
      </c>
      <c r="AA81" s="28">
        <f t="shared" si="16"/>
        <v>1378620000</v>
      </c>
      <c r="AB81" s="28">
        <f t="shared" si="16"/>
        <v>1424620000</v>
      </c>
      <c r="AC81" s="28">
        <f t="shared" si="16"/>
        <v>1434620000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660000</v>
      </c>
      <c r="AU81" s="28">
        <f t="shared" si="16"/>
        <v>660000</v>
      </c>
      <c r="AV81" s="28">
        <f t="shared" si="16"/>
        <v>660000</v>
      </c>
      <c r="AW81" s="28">
        <f t="shared" si="16"/>
        <v>0</v>
      </c>
      <c r="AX81" s="28">
        <f t="shared" si="16"/>
        <v>12094.66</v>
      </c>
      <c r="AY81" s="28">
        <f t="shared" si="16"/>
        <v>12094.66</v>
      </c>
      <c r="AZ81" s="28">
        <f t="shared" si="16"/>
        <v>0</v>
      </c>
      <c r="BA81" s="28">
        <f t="shared" si="16"/>
        <v>0</v>
      </c>
      <c r="BB81" s="28">
        <f t="shared" si="16"/>
        <v>0</v>
      </c>
      <c r="BC81" s="28">
        <f t="shared" si="16"/>
        <v>0</v>
      </c>
      <c r="BD81" s="28">
        <f t="shared" si="16"/>
        <v>0</v>
      </c>
      <c r="BE81" s="28">
        <f t="shared" si="16"/>
        <v>0</v>
      </c>
      <c r="BF81" s="28">
        <f t="shared" si="16"/>
        <v>660000</v>
      </c>
      <c r="BG81" s="28">
        <f t="shared" si="16"/>
        <v>660000</v>
      </c>
      <c r="BH81" s="28">
        <f t="shared" si="16"/>
        <v>660000</v>
      </c>
      <c r="BI81" s="28">
        <f t="shared" si="16"/>
        <v>660000</v>
      </c>
      <c r="BJ81" s="28">
        <f t="shared" si="16"/>
        <v>800000</v>
      </c>
      <c r="BK81" s="28">
        <f t="shared" si="16"/>
        <v>800000</v>
      </c>
      <c r="BL81" s="28">
        <f t="shared" si="16"/>
        <v>600000</v>
      </c>
      <c r="BM81" s="28">
        <f t="shared" si="16"/>
        <v>600000</v>
      </c>
      <c r="BN81" s="28">
        <f t="shared" si="16"/>
        <v>600000</v>
      </c>
      <c r="BO81" s="28">
        <f t="shared" si="16"/>
        <v>600000</v>
      </c>
      <c r="BP81" s="28">
        <f t="shared" si="16"/>
        <v>600000</v>
      </c>
      <c r="BQ81" s="28">
        <f t="shared" si="16"/>
        <v>600000</v>
      </c>
      <c r="BR81" s="28">
        <f t="shared" ref="BR81:CG81" si="17">SUM(BR82:BR85)</f>
        <v>600000</v>
      </c>
      <c r="BS81" s="28">
        <f t="shared" si="17"/>
        <v>4796469.0600000005</v>
      </c>
      <c r="BT81" s="28">
        <f t="shared" si="17"/>
        <v>5638036.3100000005</v>
      </c>
      <c r="BU81" s="28">
        <f t="shared" si="17"/>
        <v>5141185.07</v>
      </c>
      <c r="BV81" s="28">
        <f t="shared" si="17"/>
        <v>5452987.25</v>
      </c>
      <c r="BW81" s="28">
        <f t="shared" si="17"/>
        <v>5215482.6099999994</v>
      </c>
      <c r="BX81" s="28">
        <f t="shared" si="17"/>
        <v>5909000.1500000004</v>
      </c>
      <c r="BY81" s="28">
        <f t="shared" si="17"/>
        <v>5849780.1500000004</v>
      </c>
      <c r="BZ81" s="28">
        <f t="shared" si="17"/>
        <v>19229610</v>
      </c>
      <c r="CA81" s="28">
        <f t="shared" si="17"/>
        <v>19200000</v>
      </c>
      <c r="CB81" s="28">
        <f t="shared" si="17"/>
        <v>36067551.43</v>
      </c>
      <c r="CC81" s="28">
        <f t="shared" si="17"/>
        <v>35460426.859999999</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3684500000</v>
      </c>
      <c r="C82" s="190">
        <v>4169500000</v>
      </c>
      <c r="D82" s="190">
        <v>4405500000</v>
      </c>
      <c r="E82" s="190">
        <v>3844000000</v>
      </c>
      <c r="F82" s="190">
        <v>4459000000</v>
      </c>
      <c r="G82" s="190">
        <v>2540000000</v>
      </c>
      <c r="H82" s="190">
        <v>2857500000</v>
      </c>
      <c r="I82" s="190">
        <v>2669300000</v>
      </c>
      <c r="J82" s="190">
        <v>2447300000</v>
      </c>
      <c r="K82" s="190">
        <v>3391500000</v>
      </c>
      <c r="L82" s="190">
        <v>4227330000</v>
      </c>
      <c r="M82" s="190">
        <v>3885095129.0799999</v>
      </c>
      <c r="N82" s="190">
        <v>4370975129.0799999</v>
      </c>
      <c r="O82" s="190">
        <v>4462875129.0799999</v>
      </c>
      <c r="P82" s="190">
        <v>4369875129.0799999</v>
      </c>
      <c r="Q82" s="190">
        <v>4542875129.0799999</v>
      </c>
      <c r="R82" s="190">
        <v>3253675129.0799999</v>
      </c>
      <c r="S82" s="190">
        <v>3301675129.0799999</v>
      </c>
      <c r="T82" s="190">
        <v>3303675129.0799999</v>
      </c>
      <c r="U82" s="190">
        <v>2651255129.0799999</v>
      </c>
      <c r="V82" s="190">
        <v>1509000000</v>
      </c>
      <c r="W82" s="190">
        <v>1198000000</v>
      </c>
      <c r="X82" s="190">
        <v>1200000000</v>
      </c>
      <c r="Y82" s="190">
        <v>1137000000</v>
      </c>
      <c r="Z82" s="190">
        <v>956000000</v>
      </c>
      <c r="AA82" s="190">
        <v>1377960000</v>
      </c>
      <c r="AB82" s="190">
        <v>1423960000</v>
      </c>
      <c r="AC82" s="190">
        <v>1433960000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12094.66</v>
      </c>
      <c r="AY82" s="190">
        <v>12094.66</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600000</v>
      </c>
      <c r="BQ82" s="190">
        <v>0</v>
      </c>
      <c r="BR82" s="190">
        <v>0</v>
      </c>
      <c r="BS82" s="190">
        <v>3194150</v>
      </c>
      <c r="BT82" s="190">
        <v>3134930</v>
      </c>
      <c r="BU82" s="190">
        <v>3075710</v>
      </c>
      <c r="BV82" s="190">
        <v>3016490</v>
      </c>
      <c r="BW82" s="190">
        <v>2957270</v>
      </c>
      <c r="BX82" s="190">
        <v>2898050</v>
      </c>
      <c r="BY82" s="190">
        <v>2838830</v>
      </c>
      <c r="BZ82" s="190">
        <v>19229610</v>
      </c>
      <c r="CA82" s="190">
        <v>19200000</v>
      </c>
      <c r="CB82" s="190">
        <v>36067551.43</v>
      </c>
      <c r="CC82" s="190">
        <v>35460426.859999999</v>
      </c>
      <c r="CD82" s="190">
        <v>0</v>
      </c>
      <c r="CE82" s="190"/>
      <c r="CF82" s="190"/>
      <c r="CG82" s="190"/>
      <c r="CH82" s="190"/>
      <c r="CI82" s="190"/>
      <c r="CJ82" s="190"/>
      <c r="CK82" s="190"/>
      <c r="CL82" s="190"/>
    </row>
    <row r="83" spans="1:90" x14ac:dyDescent="0.25">
      <c r="A83" s="128" t="s">
        <v>58</v>
      </c>
      <c r="B83" s="190">
        <v>0</v>
      </c>
      <c r="C83" s="190">
        <v>0</v>
      </c>
      <c r="D83" s="190">
        <v>0</v>
      </c>
      <c r="E83" s="190">
        <v>587311897.92999995</v>
      </c>
      <c r="F83" s="190">
        <v>992527974.39999998</v>
      </c>
      <c r="G83" s="190">
        <v>991198377.48000002</v>
      </c>
      <c r="H83" s="190">
        <v>989891141.01999998</v>
      </c>
      <c r="I83" s="190">
        <v>988605889</v>
      </c>
      <c r="J83" s="190">
        <v>987364945.28999996</v>
      </c>
      <c r="K83" s="190">
        <v>986122177.52999997</v>
      </c>
      <c r="L83" s="190">
        <v>984920310.01999998</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660000</v>
      </c>
      <c r="BG84" s="190">
        <v>660000</v>
      </c>
      <c r="BH84" s="190">
        <v>660000</v>
      </c>
      <c r="BI84" s="190">
        <v>660000</v>
      </c>
      <c r="BJ84" s="190">
        <v>800000</v>
      </c>
      <c r="BK84" s="190">
        <v>800000</v>
      </c>
      <c r="BL84" s="190">
        <v>600000</v>
      </c>
      <c r="BM84" s="190">
        <v>600000</v>
      </c>
      <c r="BN84" s="190">
        <v>600000</v>
      </c>
      <c r="BO84" s="190">
        <v>600000</v>
      </c>
      <c r="BP84" s="190">
        <v>0</v>
      </c>
      <c r="BQ84" s="190">
        <v>600000</v>
      </c>
      <c r="BR84" s="190">
        <v>600000</v>
      </c>
      <c r="BS84" s="190">
        <v>1602319.06</v>
      </c>
      <c r="BT84" s="190">
        <v>1129106.31</v>
      </c>
      <c r="BU84" s="190">
        <v>1505475.07</v>
      </c>
      <c r="BV84" s="190">
        <v>0</v>
      </c>
      <c r="BW84" s="190">
        <v>0</v>
      </c>
      <c r="BX84" s="190">
        <v>0</v>
      </c>
      <c r="BY84" s="190">
        <v>0</v>
      </c>
      <c r="BZ84" s="190">
        <v>0</v>
      </c>
      <c r="CA84" s="190">
        <v>0</v>
      </c>
      <c r="CB84" s="190">
        <v>0</v>
      </c>
      <c r="CC84" s="190">
        <v>0</v>
      </c>
      <c r="CD84" s="190">
        <v>0</v>
      </c>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660000</v>
      </c>
      <c r="K85" s="190">
        <v>660000</v>
      </c>
      <c r="L85" s="190">
        <v>660000</v>
      </c>
      <c r="M85" s="190">
        <v>660000</v>
      </c>
      <c r="N85" s="190">
        <v>660000</v>
      </c>
      <c r="O85" s="190">
        <v>660000</v>
      </c>
      <c r="P85" s="190">
        <v>660000</v>
      </c>
      <c r="Q85" s="190">
        <v>660000</v>
      </c>
      <c r="R85" s="190">
        <v>660000</v>
      </c>
      <c r="S85" s="190">
        <v>660000</v>
      </c>
      <c r="T85" s="190">
        <v>660000</v>
      </c>
      <c r="U85" s="190">
        <v>660000</v>
      </c>
      <c r="V85" s="190">
        <v>660000</v>
      </c>
      <c r="W85" s="190">
        <v>660000</v>
      </c>
      <c r="X85" s="190">
        <v>660000</v>
      </c>
      <c r="Y85" s="190">
        <v>660000</v>
      </c>
      <c r="Z85" s="190">
        <v>660000</v>
      </c>
      <c r="AA85" s="190">
        <v>660000</v>
      </c>
      <c r="AB85" s="190">
        <v>660000</v>
      </c>
      <c r="AC85" s="190">
        <v>660000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660000</v>
      </c>
      <c r="AU85" s="190">
        <v>660000</v>
      </c>
      <c r="AV85" s="190">
        <v>660000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1374000</v>
      </c>
      <c r="BU85" s="190">
        <v>560000</v>
      </c>
      <c r="BV85" s="190">
        <v>2436497.25</v>
      </c>
      <c r="BW85" s="190">
        <v>2258212.61</v>
      </c>
      <c r="BX85" s="190">
        <v>3010950.15</v>
      </c>
      <c r="BY85" s="190">
        <v>3010950.15</v>
      </c>
      <c r="BZ85" s="190">
        <v>0</v>
      </c>
      <c r="CA85" s="190">
        <v>0</v>
      </c>
      <c r="CB85" s="190">
        <v>0</v>
      </c>
      <c r="CC85" s="190">
        <v>0</v>
      </c>
      <c r="CD85" s="190">
        <v>0</v>
      </c>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5097672833.6499996</v>
      </c>
      <c r="C89" s="33">
        <f>SUM(C73:C85)</f>
        <v>5202763285.6599998</v>
      </c>
      <c r="D89" s="33">
        <f>SUM(D73:D85)</f>
        <v>5602291357.2200003</v>
      </c>
      <c r="E89" s="33">
        <f>E72+E81</f>
        <v>5477444392.6900005</v>
      </c>
      <c r="F89" s="33">
        <f t="shared" ref="F89:BQ89" si="18">F72+F81</f>
        <v>5805832718.6299992</v>
      </c>
      <c r="G89" s="33">
        <f t="shared" si="18"/>
        <v>4202974146.71</v>
      </c>
      <c r="H89" s="33">
        <f t="shared" si="18"/>
        <v>4202358718.02</v>
      </c>
      <c r="I89" s="33">
        <f t="shared" si="18"/>
        <v>4065988732.1500001</v>
      </c>
      <c r="J89" s="33">
        <f t="shared" si="18"/>
        <v>4196989931.3800001</v>
      </c>
      <c r="K89" s="33">
        <f t="shared" si="18"/>
        <v>4837408387.9200001</v>
      </c>
      <c r="L89" s="33">
        <f t="shared" si="18"/>
        <v>5757701848.2200003</v>
      </c>
      <c r="M89" s="33">
        <f t="shared" si="18"/>
        <v>4589545926.29</v>
      </c>
      <c r="N89" s="33">
        <f t="shared" si="18"/>
        <v>5030946266.7399998</v>
      </c>
      <c r="O89" s="33">
        <f t="shared" si="18"/>
        <v>5186074552.6300001</v>
      </c>
      <c r="P89" s="33">
        <f t="shared" si="18"/>
        <v>5294828655.0200005</v>
      </c>
      <c r="Q89" s="33">
        <f t="shared" si="18"/>
        <v>5289142100.5</v>
      </c>
      <c r="R89" s="33">
        <f t="shared" si="18"/>
        <v>3461486227.5499997</v>
      </c>
      <c r="S89" s="33">
        <f t="shared" si="18"/>
        <v>3407581348.1100001</v>
      </c>
      <c r="T89" s="33">
        <f t="shared" si="18"/>
        <v>3427039323.2199998</v>
      </c>
      <c r="U89" s="33">
        <f t="shared" si="18"/>
        <v>2773017956.9099998</v>
      </c>
      <c r="V89" s="33">
        <f t="shared" si="18"/>
        <v>1665060726.21</v>
      </c>
      <c r="W89" s="33">
        <f t="shared" si="18"/>
        <v>1241927274.99</v>
      </c>
      <c r="X89" s="33">
        <f t="shared" si="18"/>
        <v>1243834580.8399999</v>
      </c>
      <c r="Y89" s="33">
        <f t="shared" si="18"/>
        <v>1367102099.8399999</v>
      </c>
      <c r="Z89" s="33">
        <f t="shared" si="18"/>
        <v>1258697418.48</v>
      </c>
      <c r="AA89" s="33">
        <f t="shared" si="18"/>
        <v>1405592785.24</v>
      </c>
      <c r="AB89" s="33">
        <f t="shared" si="18"/>
        <v>1460406136.25</v>
      </c>
      <c r="AC89" s="33">
        <f t="shared" si="18"/>
        <v>1481412383.8599999</v>
      </c>
      <c r="AD89" s="33">
        <f t="shared" si="18"/>
        <v>699528928.87</v>
      </c>
      <c r="AE89" s="33">
        <f t="shared" si="18"/>
        <v>688140564.00999999</v>
      </c>
      <c r="AF89" s="33">
        <f t="shared" si="18"/>
        <v>678253709.72000003</v>
      </c>
      <c r="AG89" s="33">
        <f t="shared" si="18"/>
        <v>672603288.89999998</v>
      </c>
      <c r="AH89" s="33">
        <f t="shared" si="18"/>
        <v>680486144.75</v>
      </c>
      <c r="AI89" s="33">
        <f t="shared" si="18"/>
        <v>688685128.25999999</v>
      </c>
      <c r="AJ89" s="33">
        <f t="shared" si="18"/>
        <v>682264383.99000001</v>
      </c>
      <c r="AK89" s="33">
        <f t="shared" si="18"/>
        <v>688064734.32000005</v>
      </c>
      <c r="AL89" s="33">
        <f t="shared" si="18"/>
        <v>741946412.67000008</v>
      </c>
      <c r="AM89" s="33">
        <f t="shared" si="18"/>
        <v>728619817.44000006</v>
      </c>
      <c r="AN89" s="33">
        <f t="shared" si="18"/>
        <v>729498375.5</v>
      </c>
      <c r="AO89" s="33">
        <f t="shared" si="18"/>
        <v>725493581.36000001</v>
      </c>
      <c r="AP89" s="33">
        <f t="shared" si="18"/>
        <v>760215624.70000005</v>
      </c>
      <c r="AQ89" s="33">
        <f t="shared" si="18"/>
        <v>746604928.32999992</v>
      </c>
      <c r="AR89" s="33">
        <f t="shared" si="18"/>
        <v>739222667.62</v>
      </c>
      <c r="AS89" s="33">
        <f t="shared" si="18"/>
        <v>771577862.41999996</v>
      </c>
      <c r="AT89" s="33">
        <f t="shared" si="18"/>
        <v>657678991.17999995</v>
      </c>
      <c r="AU89" s="33">
        <f t="shared" si="18"/>
        <v>657678991.17999995</v>
      </c>
      <c r="AV89" s="33">
        <f t="shared" si="18"/>
        <v>657678991.17999995</v>
      </c>
      <c r="AW89" s="33">
        <f t="shared" si="18"/>
        <v>787314385.38000011</v>
      </c>
      <c r="AX89" s="33">
        <f t="shared" si="18"/>
        <v>673190646.28999996</v>
      </c>
      <c r="AY89" s="33">
        <f t="shared" si="18"/>
        <v>673190646.28999996</v>
      </c>
      <c r="AZ89" s="33">
        <f t="shared" si="18"/>
        <v>0</v>
      </c>
      <c r="BA89" s="33">
        <f t="shared" si="18"/>
        <v>673578551.63</v>
      </c>
      <c r="BB89" s="33">
        <f t="shared" si="18"/>
        <v>426102066.17000002</v>
      </c>
      <c r="BC89" s="33">
        <f t="shared" si="18"/>
        <v>426202066.17000002</v>
      </c>
      <c r="BD89" s="33">
        <f t="shared" si="18"/>
        <v>428569933.24000001</v>
      </c>
      <c r="BE89" s="33">
        <f t="shared" si="18"/>
        <v>454455698.52999997</v>
      </c>
      <c r="BF89" s="33">
        <f t="shared" si="18"/>
        <v>304573984.10000002</v>
      </c>
      <c r="BG89" s="33">
        <f t="shared" si="18"/>
        <v>304575753</v>
      </c>
      <c r="BH89" s="33">
        <f t="shared" si="18"/>
        <v>284660000</v>
      </c>
      <c r="BI89" s="33">
        <f t="shared" si="18"/>
        <v>244340000</v>
      </c>
      <c r="BJ89" s="33">
        <f t="shared" si="18"/>
        <v>492980000</v>
      </c>
      <c r="BK89" s="33">
        <f t="shared" si="18"/>
        <v>437980000</v>
      </c>
      <c r="BL89" s="33">
        <f t="shared" si="18"/>
        <v>430140000</v>
      </c>
      <c r="BM89" s="33">
        <f t="shared" si="18"/>
        <v>253600000</v>
      </c>
      <c r="BN89" s="33">
        <f t="shared" si="18"/>
        <v>346600000</v>
      </c>
      <c r="BO89" s="33">
        <f t="shared" si="18"/>
        <v>445100000</v>
      </c>
      <c r="BP89" s="33">
        <f t="shared" si="18"/>
        <v>370100000</v>
      </c>
      <c r="BQ89" s="33">
        <f t="shared" si="18"/>
        <v>193600000</v>
      </c>
      <c r="BR89" s="33">
        <f t="shared" ref="BR89:CK89" si="19">BR72+BR81</f>
        <v>92600000</v>
      </c>
      <c r="BS89" s="33">
        <f t="shared" si="19"/>
        <v>84796469.060000002</v>
      </c>
      <c r="BT89" s="33">
        <f t="shared" si="19"/>
        <v>90638036.310000002</v>
      </c>
      <c r="BU89" s="33">
        <f t="shared" si="19"/>
        <v>53141185.07</v>
      </c>
      <c r="BV89" s="33">
        <f t="shared" si="19"/>
        <v>49052987.25</v>
      </c>
      <c r="BW89" s="33">
        <f t="shared" si="19"/>
        <v>45815482.609999999</v>
      </c>
      <c r="BX89" s="33">
        <f t="shared" si="19"/>
        <v>46509000.149999999</v>
      </c>
      <c r="BY89" s="33">
        <f t="shared" si="19"/>
        <v>46399780.149999999</v>
      </c>
      <c r="BZ89" s="33">
        <f t="shared" si="19"/>
        <v>43399610</v>
      </c>
      <c r="CA89" s="33">
        <f t="shared" si="19"/>
        <v>43370000</v>
      </c>
      <c r="CB89" s="33">
        <f t="shared" si="19"/>
        <v>62237551.43</v>
      </c>
      <c r="CC89" s="33">
        <f t="shared" si="19"/>
        <v>57930426.859999999</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868305684</v>
      </c>
      <c r="C91" s="190">
        <v>878787180</v>
      </c>
      <c r="D91" s="190">
        <v>878787180</v>
      </c>
      <c r="E91" s="190">
        <v>878787180</v>
      </c>
      <c r="F91" s="190">
        <v>878787180</v>
      </c>
      <c r="G91" s="190">
        <v>880021332</v>
      </c>
      <c r="H91" s="190">
        <v>880021332</v>
      </c>
      <c r="I91" s="190">
        <v>880021332</v>
      </c>
      <c r="J91" s="190">
        <v>880021332</v>
      </c>
      <c r="K91" s="190">
        <v>885824188</v>
      </c>
      <c r="L91" s="190">
        <v>453516496</v>
      </c>
      <c r="M91" s="190">
        <v>453516496</v>
      </c>
      <c r="N91" s="190">
        <v>453516496</v>
      </c>
      <c r="O91" s="190">
        <v>453516496</v>
      </c>
      <c r="P91" s="190">
        <v>425516496</v>
      </c>
      <c r="Q91" s="190">
        <v>425516496</v>
      </c>
      <c r="R91" s="190">
        <v>235725511</v>
      </c>
      <c r="S91" s="190">
        <v>235725511</v>
      </c>
      <c r="T91" s="190">
        <v>235725511</v>
      </c>
      <c r="U91" s="190">
        <v>235725511</v>
      </c>
      <c r="V91" s="190">
        <v>235725511</v>
      </c>
      <c r="W91" s="190">
        <v>235725511</v>
      </c>
      <c r="X91" s="190">
        <v>235725511</v>
      </c>
      <c r="Y91" s="190">
        <v>235725511</v>
      </c>
      <c r="Z91" s="190">
        <v>235725511</v>
      </c>
      <c r="AA91" s="190">
        <v>235725511</v>
      </c>
      <c r="AB91" s="190">
        <v>235725511</v>
      </c>
      <c r="AC91" s="190">
        <v>235725511</v>
      </c>
      <c r="AD91" s="190">
        <v>174620264</v>
      </c>
      <c r="AE91" s="190">
        <v>174620264</v>
      </c>
      <c r="AF91" s="190">
        <v>174620264</v>
      </c>
      <c r="AG91" s="190">
        <v>174620264</v>
      </c>
      <c r="AH91" s="190">
        <v>174620264</v>
      </c>
      <c r="AI91" s="190">
        <v>174620264</v>
      </c>
      <c r="AJ91" s="190">
        <v>174620264</v>
      </c>
      <c r="AK91" s="190">
        <v>174620264</v>
      </c>
      <c r="AL91" s="190">
        <v>174620264</v>
      </c>
      <c r="AM91" s="190">
        <v>174620264</v>
      </c>
      <c r="AN91" s="190">
        <v>174620264</v>
      </c>
      <c r="AO91" s="190">
        <v>174620264</v>
      </c>
      <c r="AP91" s="190">
        <v>174620264</v>
      </c>
      <c r="AQ91" s="190">
        <v>174620264</v>
      </c>
      <c r="AR91" s="190">
        <v>174620264</v>
      </c>
      <c r="AS91" s="190">
        <v>174620264</v>
      </c>
      <c r="AT91" s="190">
        <v>174620264</v>
      </c>
      <c r="AU91" s="190">
        <v>174620264</v>
      </c>
      <c r="AV91" s="190">
        <v>174620264</v>
      </c>
      <c r="AW91" s="190">
        <v>135620262</v>
      </c>
      <c r="AX91" s="190">
        <v>135620262</v>
      </c>
      <c r="AY91" s="190">
        <v>135620262</v>
      </c>
      <c r="AZ91" s="190">
        <v>0</v>
      </c>
      <c r="BA91" s="190">
        <v>135620262</v>
      </c>
      <c r="BB91" s="190">
        <v>135620262</v>
      </c>
      <c r="BC91" s="190">
        <v>135620262</v>
      </c>
      <c r="BD91" s="190">
        <v>135620262</v>
      </c>
      <c r="BE91" s="190">
        <v>135620262</v>
      </c>
      <c r="BF91" s="190">
        <v>135620262</v>
      </c>
      <c r="BG91" s="190">
        <v>135620262</v>
      </c>
      <c r="BH91" s="190">
        <v>135620262</v>
      </c>
      <c r="BI91" s="190">
        <v>135620262</v>
      </c>
      <c r="BJ91" s="190">
        <v>135620262</v>
      </c>
      <c r="BK91" s="190">
        <v>135620262</v>
      </c>
      <c r="BL91" s="190">
        <v>135620262</v>
      </c>
      <c r="BM91" s="190">
        <v>135620262</v>
      </c>
      <c r="BN91" s="190">
        <v>135620262</v>
      </c>
      <c r="BO91" s="190">
        <v>135620262</v>
      </c>
      <c r="BP91" s="190">
        <v>135620262</v>
      </c>
      <c r="BQ91" s="190">
        <v>135620262</v>
      </c>
      <c r="BR91" s="190">
        <v>135620262</v>
      </c>
      <c r="BS91" s="190">
        <v>135620262</v>
      </c>
      <c r="BT91" s="190">
        <v>67810131</v>
      </c>
      <c r="BU91" s="190">
        <v>67810131</v>
      </c>
      <c r="BV91" s="190">
        <v>60023109</v>
      </c>
      <c r="BW91" s="190">
        <v>50019258</v>
      </c>
      <c r="BX91" s="190">
        <v>50019258</v>
      </c>
      <c r="BY91" s="190">
        <v>50019258</v>
      </c>
      <c r="BZ91" s="190">
        <v>37019258</v>
      </c>
      <c r="CA91" s="190">
        <v>20000000</v>
      </c>
      <c r="CB91" s="190">
        <v>20000000</v>
      </c>
      <c r="CC91" s="190">
        <v>20000000</v>
      </c>
      <c r="CD91" s="190">
        <v>0</v>
      </c>
      <c r="CE91" s="190"/>
      <c r="CF91" s="190"/>
      <c r="CG91" s="190"/>
      <c r="CH91" s="190"/>
      <c r="CI91" s="190"/>
      <c r="CJ91" s="190"/>
      <c r="CK91" s="190"/>
      <c r="CL91" s="190"/>
    </row>
    <row r="92" spans="1:90" x14ac:dyDescent="0.25">
      <c r="A92" s="128" t="s">
        <v>63</v>
      </c>
      <c r="B92" s="190">
        <v>3201713463.3400002</v>
      </c>
      <c r="C92" s="190">
        <v>3240809443.4200001</v>
      </c>
      <c r="D92" s="190">
        <v>3240809443.4200001</v>
      </c>
      <c r="E92" s="190">
        <v>3240809443.4200001</v>
      </c>
      <c r="F92" s="190">
        <v>3253415845.21</v>
      </c>
      <c r="G92" s="190">
        <v>3257599620.4899998</v>
      </c>
      <c r="H92" s="190">
        <v>3251998739.73</v>
      </c>
      <c r="I92" s="190">
        <v>3250061030.9000001</v>
      </c>
      <c r="J92" s="190">
        <v>3248250190.9299998</v>
      </c>
      <c r="K92" s="190">
        <v>3262620645.9699998</v>
      </c>
      <c r="L92" s="190">
        <v>882572147.88999999</v>
      </c>
      <c r="M92" s="190">
        <v>882572147.88999999</v>
      </c>
      <c r="N92" s="190">
        <v>882759617.32000005</v>
      </c>
      <c r="O92" s="190">
        <v>882759617.32000005</v>
      </c>
      <c r="P92" s="190">
        <v>809679617.32000005</v>
      </c>
      <c r="Q92" s="190">
        <v>809679617.32000005</v>
      </c>
      <c r="R92" s="190">
        <v>160299.56</v>
      </c>
      <c r="S92" s="190">
        <v>159381.26999999999</v>
      </c>
      <c r="T92" s="190">
        <v>159381.26999999999</v>
      </c>
      <c r="U92" s="190">
        <v>159381.26999999999</v>
      </c>
      <c r="V92" s="190">
        <v>159381.26999999999</v>
      </c>
      <c r="W92" s="190">
        <v>159381.26999999999</v>
      </c>
      <c r="X92" s="190">
        <v>159381.26999999999</v>
      </c>
      <c r="Y92" s="190">
        <v>105493.59</v>
      </c>
      <c r="Z92" s="190">
        <v>2416419.69</v>
      </c>
      <c r="AA92" s="190">
        <v>2416419.69</v>
      </c>
      <c r="AB92" s="190">
        <v>2310926.1</v>
      </c>
      <c r="AC92" s="190">
        <v>2310926.1</v>
      </c>
      <c r="AD92" s="190">
        <v>20527531.399999999</v>
      </c>
      <c r="AE92" s="190">
        <v>20527531.399999999</v>
      </c>
      <c r="AF92" s="190">
        <v>20527531.399999999</v>
      </c>
      <c r="AG92" s="190">
        <v>20527531.399999999</v>
      </c>
      <c r="AH92" s="190">
        <v>20527531.399999999</v>
      </c>
      <c r="AI92" s="190">
        <v>20527531.399999999</v>
      </c>
      <c r="AJ92" s="190">
        <v>20527531.399999999</v>
      </c>
      <c r="AK92" s="190">
        <v>20527531.399999999</v>
      </c>
      <c r="AL92" s="190">
        <v>20527531.399999999</v>
      </c>
      <c r="AM92" s="190">
        <v>20527531.399999999</v>
      </c>
      <c r="AN92" s="190">
        <v>20527531.399999999</v>
      </c>
      <c r="AO92" s="190">
        <v>20527531.399999999</v>
      </c>
      <c r="AP92" s="190">
        <v>20527531.399999999</v>
      </c>
      <c r="AQ92" s="190">
        <v>20527531.399999999</v>
      </c>
      <c r="AR92" s="190">
        <v>20527531.399999999</v>
      </c>
      <c r="AS92" s="190">
        <v>20527531.399999999</v>
      </c>
      <c r="AT92" s="190">
        <v>21951848.879999999</v>
      </c>
      <c r="AU92" s="190">
        <v>22001848.879999999</v>
      </c>
      <c r="AV92" s="190">
        <v>22001848.879999999</v>
      </c>
      <c r="AW92" s="190">
        <v>59966533.399999999</v>
      </c>
      <c r="AX92" s="190">
        <v>60652251.18</v>
      </c>
      <c r="AY92" s="190">
        <v>60652251.18</v>
      </c>
      <c r="AZ92" s="190">
        <v>0</v>
      </c>
      <c r="BA92" s="190">
        <v>60652251.18</v>
      </c>
      <c r="BB92" s="190">
        <v>60507622.420000002</v>
      </c>
      <c r="BC92" s="190">
        <v>60507622.420000002</v>
      </c>
      <c r="BD92" s="190">
        <v>60507622.420000002</v>
      </c>
      <c r="BE92" s="190">
        <v>60507622.420000002</v>
      </c>
      <c r="BF92" s="190">
        <v>60507622.420000002</v>
      </c>
      <c r="BG92" s="190">
        <v>60507622.420000002</v>
      </c>
      <c r="BH92" s="190">
        <v>60507622.420000002</v>
      </c>
      <c r="BI92" s="190">
        <v>60507622.420000002</v>
      </c>
      <c r="BJ92" s="190">
        <v>59267788.640000001</v>
      </c>
      <c r="BK92" s="190">
        <v>59267788.640000001</v>
      </c>
      <c r="BL92" s="190">
        <v>59267788.640000001</v>
      </c>
      <c r="BM92" s="190">
        <v>59267788.640000001</v>
      </c>
      <c r="BN92" s="190">
        <v>59267788.640000001</v>
      </c>
      <c r="BO92" s="190">
        <v>59267788.640000001</v>
      </c>
      <c r="BP92" s="190">
        <v>59267788.640000001</v>
      </c>
      <c r="BQ92" s="190">
        <v>59267788.640000001</v>
      </c>
      <c r="BR92" s="190">
        <v>59267788.640000001</v>
      </c>
      <c r="BS92" s="190">
        <v>58515051.090000004</v>
      </c>
      <c r="BT92" s="190">
        <v>125199684.97</v>
      </c>
      <c r="BU92" s="190">
        <v>125199684.97</v>
      </c>
      <c r="BV92" s="190">
        <v>58011956.590000004</v>
      </c>
      <c r="BW92" s="190">
        <v>58011956.590000004</v>
      </c>
      <c r="BX92" s="190">
        <v>57970867.57</v>
      </c>
      <c r="BY92" s="190">
        <v>57970867.57</v>
      </c>
      <c r="BZ92" s="190">
        <v>0.56999999999999995</v>
      </c>
      <c r="CA92" s="190">
        <v>-213374.95</v>
      </c>
      <c r="CB92" s="190">
        <v>0</v>
      </c>
      <c r="CC92" s="190">
        <v>0</v>
      </c>
      <c r="CD92" s="190">
        <v>0</v>
      </c>
      <c r="CE92" s="190"/>
      <c r="CF92" s="190"/>
      <c r="CG92" s="190"/>
      <c r="CH92" s="190"/>
      <c r="CI92" s="190"/>
      <c r="CJ92" s="190"/>
      <c r="CK92" s="190"/>
      <c r="CL92" s="190"/>
    </row>
    <row r="93" spans="1:90" x14ac:dyDescent="0.25">
      <c r="A93" s="128" t="s">
        <v>64</v>
      </c>
      <c r="B93" s="190">
        <v>0</v>
      </c>
      <c r="C93" s="190">
        <v>49577476.079999998</v>
      </c>
      <c r="D93" s="190">
        <v>49189660.729999997</v>
      </c>
      <c r="E93" s="190">
        <v>49189660.729999997</v>
      </c>
      <c r="F93" s="190">
        <v>49189660.729999997</v>
      </c>
      <c r="G93" s="190">
        <v>55146206.619999997</v>
      </c>
      <c r="H93" s="190">
        <v>100552047.29000001</v>
      </c>
      <c r="I93" s="190">
        <v>100552047.29000001</v>
      </c>
      <c r="J93" s="190">
        <v>100413158.55</v>
      </c>
      <c r="K93" s="190">
        <v>123682611.11</v>
      </c>
      <c r="L93" s="190">
        <v>123682611.11</v>
      </c>
      <c r="M93" s="190">
        <v>123682611.11</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-2786848.25</v>
      </c>
      <c r="C94" s="190">
        <v>-339126.77</v>
      </c>
      <c r="D94" s="190">
        <v>2439981.13</v>
      </c>
      <c r="E94" s="190">
        <v>138440.17000000001</v>
      </c>
      <c r="F94" s="190">
        <v>-730479.31</v>
      </c>
      <c r="G94" s="190">
        <v>-1941849.74</v>
      </c>
      <c r="H94" s="190">
        <v>-3015806.5</v>
      </c>
      <c r="I94" s="190">
        <v>-3758963.96</v>
      </c>
      <c r="J94" s="190">
        <v>-1257693.52</v>
      </c>
      <c r="K94" s="190">
        <v>-1089681.45</v>
      </c>
      <c r="L94" s="190">
        <v>391317.83</v>
      </c>
      <c r="M94" s="190">
        <v>48682.21</v>
      </c>
      <c r="N94" s="190">
        <v>42819.96</v>
      </c>
      <c r="O94" s="190">
        <v>-246.81</v>
      </c>
      <c r="P94" s="190">
        <v>-110.83</v>
      </c>
      <c r="Q94" s="190">
        <v>-14.77</v>
      </c>
      <c r="R94" s="190">
        <v>22.98</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199455337.50999999</v>
      </c>
      <c r="C96" s="190">
        <v>199455337.50999999</v>
      </c>
      <c r="D96" s="190">
        <v>199455337.50999999</v>
      </c>
      <c r="E96" s="190">
        <v>199455337.50999999</v>
      </c>
      <c r="F96" s="190">
        <v>188862939.80000001</v>
      </c>
      <c r="G96" s="190">
        <v>188862939.80000001</v>
      </c>
      <c r="H96" s="190">
        <v>188862939.80000001</v>
      </c>
      <c r="I96" s="190">
        <v>188862939.80000001</v>
      </c>
      <c r="J96" s="190">
        <v>123059121.70999999</v>
      </c>
      <c r="K96" s="190">
        <v>123059121.70999999</v>
      </c>
      <c r="L96" s="190">
        <v>123059121.70999999</v>
      </c>
      <c r="M96" s="190">
        <v>123059121.70999999</v>
      </c>
      <c r="N96" s="190">
        <v>109396308.86</v>
      </c>
      <c r="O96" s="190">
        <v>109396308.86</v>
      </c>
      <c r="P96" s="190">
        <v>109396308.86</v>
      </c>
      <c r="Q96" s="190">
        <v>109396308.86</v>
      </c>
      <c r="R96" s="190">
        <v>93097561.680000007</v>
      </c>
      <c r="S96" s="190">
        <v>93097561.680000007</v>
      </c>
      <c r="T96" s="190">
        <v>93097561.680000007</v>
      </c>
      <c r="U96" s="190">
        <v>93097561.680000007</v>
      </c>
      <c r="V96" s="190">
        <v>63012041.219999999</v>
      </c>
      <c r="W96" s="190">
        <v>63012041.219999999</v>
      </c>
      <c r="X96" s="190">
        <v>63012041.219999999</v>
      </c>
      <c r="Y96" s="190">
        <v>63012041.219999999</v>
      </c>
      <c r="Z96" s="190">
        <v>50563718.979999997</v>
      </c>
      <c r="AA96" s="190">
        <v>50563718.979999997</v>
      </c>
      <c r="AB96" s="190">
        <v>50563718.979999997</v>
      </c>
      <c r="AC96" s="190">
        <v>50563718.979999997</v>
      </c>
      <c r="AD96" s="190">
        <v>21571944.789999999</v>
      </c>
      <c r="AE96" s="190">
        <v>21571944.789999999</v>
      </c>
      <c r="AF96" s="190">
        <v>21571944.789999999</v>
      </c>
      <c r="AG96" s="190">
        <v>21571944.789999999</v>
      </c>
      <c r="AH96" s="190">
        <v>21571944.789999999</v>
      </c>
      <c r="AI96" s="190">
        <v>21571944.789999999</v>
      </c>
      <c r="AJ96" s="190">
        <v>21571944.789999999</v>
      </c>
      <c r="AK96" s="190">
        <v>21571944.789999999</v>
      </c>
      <c r="AL96" s="190">
        <v>21571944.789999999</v>
      </c>
      <c r="AM96" s="190">
        <v>21571944.789999999</v>
      </c>
      <c r="AN96" s="190">
        <v>21571944.789999999</v>
      </c>
      <c r="AO96" s="190">
        <v>21571944.789999999</v>
      </c>
      <c r="AP96" s="190">
        <v>21571944.789999999</v>
      </c>
      <c r="AQ96" s="190">
        <v>21571944.789999999</v>
      </c>
      <c r="AR96" s="190">
        <v>21571944.789999999</v>
      </c>
      <c r="AS96" s="190">
        <v>21571944.789999999</v>
      </c>
      <c r="AT96" s="190">
        <v>21571944.789999999</v>
      </c>
      <c r="AU96" s="190">
        <v>21571944.789999999</v>
      </c>
      <c r="AV96" s="190">
        <v>21571944.789999999</v>
      </c>
      <c r="AW96" s="190">
        <v>21571944.789999999</v>
      </c>
      <c r="AX96" s="190">
        <v>21571944.789999999</v>
      </c>
      <c r="AY96" s="190">
        <v>21571944.789999999</v>
      </c>
      <c r="AZ96" s="190">
        <v>0</v>
      </c>
      <c r="BA96" s="190">
        <v>21571944.789999999</v>
      </c>
      <c r="BB96" s="190">
        <v>22482685.129999999</v>
      </c>
      <c r="BC96" s="190">
        <v>22482685.129999999</v>
      </c>
      <c r="BD96" s="190">
        <v>22482685.129999999</v>
      </c>
      <c r="BE96" s="190">
        <v>22482685.129999999</v>
      </c>
      <c r="BF96" s="190">
        <v>21579696.260000002</v>
      </c>
      <c r="BG96" s="190">
        <v>21579696.260000002</v>
      </c>
      <c r="BH96" s="190">
        <v>22490436.600000001</v>
      </c>
      <c r="BI96" s="190">
        <v>22482685.129999999</v>
      </c>
      <c r="BJ96" s="190">
        <v>26963659.27</v>
      </c>
      <c r="BK96" s="190">
        <v>26963659.27</v>
      </c>
      <c r="BL96" s="190">
        <v>26963659.27</v>
      </c>
      <c r="BM96" s="190">
        <v>26963659.27</v>
      </c>
      <c r="BN96" s="190">
        <v>24408649.969999999</v>
      </c>
      <c r="BO96" s="190">
        <v>24408649.969999999</v>
      </c>
      <c r="BP96" s="190">
        <v>24408649.969999999</v>
      </c>
      <c r="BQ96" s="190">
        <v>24408649.969999999</v>
      </c>
      <c r="BR96" s="190">
        <v>19100978.469999999</v>
      </c>
      <c r="BS96" s="190">
        <v>19100978.469999999</v>
      </c>
      <c r="BT96" s="190">
        <v>10207141.859999999</v>
      </c>
      <c r="BU96" s="190">
        <v>10207141.85</v>
      </c>
      <c r="BV96" s="190">
        <v>4386465.8600000003</v>
      </c>
      <c r="BW96" s="190">
        <v>6753461.6699999999</v>
      </c>
      <c r="BX96" s="190">
        <v>2304393.67</v>
      </c>
      <c r="BY96" s="190">
        <v>2196653.7799999998</v>
      </c>
      <c r="BZ96" s="190">
        <v>0</v>
      </c>
      <c r="CA96" s="190">
        <v>6615870.6799999997</v>
      </c>
      <c r="CB96" s="190">
        <v>4659260.6100000003</v>
      </c>
      <c r="CC96" s="190">
        <v>2143254.92</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1956509806.72</v>
      </c>
      <c r="C98" s="190">
        <v>1882858583.47</v>
      </c>
      <c r="D98" s="190">
        <v>2038475010.05</v>
      </c>
      <c r="E98" s="190">
        <v>2118011143.8699999</v>
      </c>
      <c r="F98" s="190">
        <v>2201060088.9400001</v>
      </c>
      <c r="G98" s="190">
        <v>2232134132.0900002</v>
      </c>
      <c r="H98" s="190">
        <v>2224928181.3499999</v>
      </c>
      <c r="I98" s="190">
        <v>2139569480.4400001</v>
      </c>
      <c r="J98" s="190">
        <v>1948913446.24</v>
      </c>
      <c r="K98" s="190">
        <v>2099112069.5999999</v>
      </c>
      <c r="L98" s="190">
        <v>2053163618.28</v>
      </c>
      <c r="M98" s="190">
        <v>1638363677.3</v>
      </c>
      <c r="N98" s="190">
        <v>1560432847.22</v>
      </c>
      <c r="O98" s="190">
        <v>1635737740.7</v>
      </c>
      <c r="P98" s="190">
        <v>1572725361.4300001</v>
      </c>
      <c r="Q98" s="190">
        <v>1640237817.54</v>
      </c>
      <c r="R98" s="190">
        <v>1543082325.49</v>
      </c>
      <c r="S98" s="190">
        <v>1548694741.1800001</v>
      </c>
      <c r="T98" s="190">
        <v>1527872571.71</v>
      </c>
      <c r="U98" s="190">
        <v>1510383870.54</v>
      </c>
      <c r="V98" s="190">
        <v>1102500388.5599999</v>
      </c>
      <c r="W98" s="190">
        <v>1129336861.3399999</v>
      </c>
      <c r="X98" s="190">
        <v>1066828632</v>
      </c>
      <c r="Y98" s="190">
        <v>1060341698.88</v>
      </c>
      <c r="Z98" s="190">
        <v>784849286.64999998</v>
      </c>
      <c r="AA98" s="190">
        <v>749647717.25</v>
      </c>
      <c r="AB98" s="190">
        <v>624146682.94000006</v>
      </c>
      <c r="AC98" s="190">
        <v>640288687.39999998</v>
      </c>
      <c r="AD98" s="190">
        <v>-1272194940.1300001</v>
      </c>
      <c r="AE98" s="190">
        <v>-1260091067.2</v>
      </c>
      <c r="AF98" s="190">
        <v>-1247741435.1099999</v>
      </c>
      <c r="AG98" s="190">
        <v>-1241270849.51</v>
      </c>
      <c r="AH98" s="190">
        <v>-1255638190.5</v>
      </c>
      <c r="AI98" s="190">
        <v>-1243216938.8800001</v>
      </c>
      <c r="AJ98" s="190">
        <v>-1242177468</v>
      </c>
      <c r="AK98" s="190">
        <v>-1246831532.4000001</v>
      </c>
      <c r="AL98" s="190">
        <v>-1294149788.0999999</v>
      </c>
      <c r="AM98" s="190">
        <v>-1277939361.98</v>
      </c>
      <c r="AN98" s="190">
        <v>-1253739734.9100001</v>
      </c>
      <c r="AO98" s="190">
        <v>-1254960386.4000001</v>
      </c>
      <c r="AP98" s="190">
        <v>-1283234351.8299999</v>
      </c>
      <c r="AQ98" s="190">
        <v>-1202692517.5699999</v>
      </c>
      <c r="AR98" s="190">
        <v>-1237504465.3</v>
      </c>
      <c r="AS98" s="190">
        <v>-1259856165.4400001</v>
      </c>
      <c r="AT98" s="190">
        <v>-1333939656.6800001</v>
      </c>
      <c r="AU98" s="190">
        <v>-1315442593.1800001</v>
      </c>
      <c r="AV98" s="190">
        <v>-1302027306.21</v>
      </c>
      <c r="AW98" s="190">
        <v>-1290229570.8499999</v>
      </c>
      <c r="AX98" s="190">
        <v>-584766567.00999999</v>
      </c>
      <c r="AY98" s="190">
        <v>-570551778.64999998</v>
      </c>
      <c r="AZ98" s="190">
        <v>0</v>
      </c>
      <c r="BA98" s="190">
        <v>-521818981.72000003</v>
      </c>
      <c r="BB98" s="190">
        <v>-152554403.47999999</v>
      </c>
      <c r="BC98" s="190">
        <v>-136037668.50999999</v>
      </c>
      <c r="BD98" s="190">
        <v>-99128768.969999999</v>
      </c>
      <c r="BE98" s="190">
        <v>-80139442.700000003</v>
      </c>
      <c r="BF98" s="190">
        <v>98996604.840000004</v>
      </c>
      <c r="BG98" s="190">
        <v>107740065.94</v>
      </c>
      <c r="BH98" s="190">
        <v>103827758.77</v>
      </c>
      <c r="BI98" s="190">
        <v>101958237.09999999</v>
      </c>
      <c r="BJ98" s="190">
        <v>89163691.680000007</v>
      </c>
      <c r="BK98" s="190">
        <v>86082448.390000001</v>
      </c>
      <c r="BL98" s="190">
        <v>79722180.890000001</v>
      </c>
      <c r="BM98" s="190">
        <v>78547973.319999993</v>
      </c>
      <c r="BN98" s="190">
        <v>74506011.819999993</v>
      </c>
      <c r="BO98" s="190">
        <v>75049128.310000002</v>
      </c>
      <c r="BP98" s="190">
        <v>66002158.57</v>
      </c>
      <c r="BQ98" s="190">
        <v>63837671.289999999</v>
      </c>
      <c r="BR98" s="190">
        <v>54949240.659999996</v>
      </c>
      <c r="BS98" s="190">
        <v>37253058.380000003</v>
      </c>
      <c r="BT98" s="190">
        <v>37091487.659999996</v>
      </c>
      <c r="BU98" s="190">
        <v>21963546.879999999</v>
      </c>
      <c r="BV98" s="190">
        <v>21924044.27</v>
      </c>
      <c r="BW98" s="190">
        <v>22489644.050000001</v>
      </c>
      <c r="BX98" s="190">
        <v>16267434.560000001</v>
      </c>
      <c r="BY98" s="190">
        <v>10340362.76</v>
      </c>
      <c r="BZ98" s="190">
        <v>4113077.78</v>
      </c>
      <c r="CA98" s="190">
        <v>9189933.8300000001</v>
      </c>
      <c r="CB98" s="190">
        <v>6102476.7699999996</v>
      </c>
      <c r="CC98" s="190">
        <v>4345111.21</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456350518.80000001</v>
      </c>
      <c r="D99" s="190">
        <v>184217185.18000001</v>
      </c>
      <c r="E99" s="190">
        <v>184217185.18000001</v>
      </c>
      <c r="F99" s="190">
        <v>182364869.02000001</v>
      </c>
      <c r="G99" s="190">
        <v>184384008.16</v>
      </c>
      <c r="H99" s="190">
        <v>184384008.16</v>
      </c>
      <c r="I99" s="190">
        <v>192965978.91999999</v>
      </c>
      <c r="J99" s="190">
        <v>341996801.04000002</v>
      </c>
      <c r="K99" s="190">
        <v>203117840.84</v>
      </c>
      <c r="L99" s="190">
        <v>3117840.84</v>
      </c>
      <c r="M99" s="190">
        <v>3117840.84</v>
      </c>
      <c r="N99" s="190">
        <v>3117840.84</v>
      </c>
      <c r="O99" s="190">
        <v>93247993.879999995</v>
      </c>
      <c r="P99" s="190">
        <v>399808.02</v>
      </c>
      <c r="Q99" s="190">
        <v>399808.02</v>
      </c>
      <c r="R99" s="190">
        <v>399808.02</v>
      </c>
      <c r="S99" s="190">
        <v>399808.02</v>
      </c>
      <c r="T99" s="190">
        <v>399808.02</v>
      </c>
      <c r="U99" s="190">
        <v>399808.02</v>
      </c>
      <c r="V99" s="190">
        <v>399808.02</v>
      </c>
      <c r="W99" s="190">
        <v>399808.02</v>
      </c>
      <c r="X99" s="190">
        <v>399808.02</v>
      </c>
      <c r="Y99" s="190">
        <v>399808.02</v>
      </c>
      <c r="Z99" s="190">
        <v>399808.02</v>
      </c>
      <c r="AA99" s="190">
        <v>399808.02</v>
      </c>
      <c r="AB99" s="190">
        <v>399808.02</v>
      </c>
      <c r="AC99" s="190">
        <v>399808.02</v>
      </c>
      <c r="AD99" s="190">
        <v>399808.02</v>
      </c>
      <c r="AE99" s="190">
        <v>399808.02</v>
      </c>
      <c r="AF99" s="190">
        <v>399808.02</v>
      </c>
      <c r="AG99" s="190">
        <v>399808.02</v>
      </c>
      <c r="AH99" s="190">
        <v>399808.02</v>
      </c>
      <c r="AI99" s="190">
        <v>399808.02</v>
      </c>
      <c r="AJ99" s="190">
        <v>399808.02</v>
      </c>
      <c r="AK99" s="190">
        <v>399808.02</v>
      </c>
      <c r="AL99" s="190">
        <v>399808.02</v>
      </c>
      <c r="AM99" s="190">
        <v>399808.02</v>
      </c>
      <c r="AN99" s="190">
        <v>0</v>
      </c>
      <c r="AO99" s="190">
        <v>399808.02</v>
      </c>
      <c r="AP99" s="190">
        <v>0</v>
      </c>
      <c r="AQ99" s="190">
        <v>0</v>
      </c>
      <c r="AR99" s="190">
        <v>0</v>
      </c>
      <c r="AS99" s="190">
        <v>399808.02</v>
      </c>
      <c r="AT99" s="190">
        <v>0</v>
      </c>
      <c r="AU99" s="190">
        <v>0</v>
      </c>
      <c r="AV99" s="190">
        <v>0</v>
      </c>
      <c r="AW99" s="190">
        <v>0</v>
      </c>
      <c r="AX99" s="190">
        <v>399808.02</v>
      </c>
      <c r="AY99" s="190">
        <v>399808.02</v>
      </c>
      <c r="AZ99" s="190">
        <v>0</v>
      </c>
      <c r="BA99" s="190">
        <v>399808.02</v>
      </c>
      <c r="BB99" s="190">
        <v>399808.02</v>
      </c>
      <c r="BC99" s="190">
        <v>399808.02</v>
      </c>
      <c r="BD99" s="190">
        <v>399808.02</v>
      </c>
      <c r="BE99" s="190">
        <v>399808.02</v>
      </c>
      <c r="BF99" s="190">
        <v>399808.02</v>
      </c>
      <c r="BG99" s="190">
        <v>399808.02</v>
      </c>
      <c r="BH99" s="190">
        <v>399808.02</v>
      </c>
      <c r="BI99" s="190">
        <v>399808.02</v>
      </c>
      <c r="BJ99" s="190">
        <v>2098607.86</v>
      </c>
      <c r="BK99" s="190">
        <v>2098607.86</v>
      </c>
      <c r="BL99" s="190">
        <v>2098607.86</v>
      </c>
      <c r="BM99" s="190">
        <v>2098607.86</v>
      </c>
      <c r="BN99" s="190">
        <v>2098607.86</v>
      </c>
      <c r="BO99" s="190">
        <v>2098607.86</v>
      </c>
      <c r="BP99" s="190">
        <v>2098607.86</v>
      </c>
      <c r="BQ99" s="190">
        <v>2098607.86</v>
      </c>
      <c r="BR99" s="190">
        <v>2901470.58</v>
      </c>
      <c r="BS99" s="190">
        <v>4068607.86</v>
      </c>
      <c r="BT99" s="190">
        <v>-280653.48</v>
      </c>
      <c r="BU99" s="190">
        <v>0</v>
      </c>
      <c r="BV99" s="190">
        <v>0</v>
      </c>
      <c r="BW99" s="190">
        <v>0</v>
      </c>
      <c r="BX99" s="190">
        <v>0</v>
      </c>
      <c r="BY99" s="190">
        <v>0</v>
      </c>
      <c r="BZ99" s="190">
        <v>0</v>
      </c>
      <c r="CA99" s="190">
        <v>3301834.11</v>
      </c>
      <c r="CB99" s="190">
        <v>0</v>
      </c>
      <c r="CC99" s="190">
        <v>7050299.3300000001</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-112701.3</v>
      </c>
      <c r="BK101" s="190">
        <v>0</v>
      </c>
      <c r="BL101" s="190">
        <v>102642.47</v>
      </c>
      <c r="BM101" s="190">
        <v>0</v>
      </c>
      <c r="BN101" s="190">
        <v>0</v>
      </c>
      <c r="BO101" s="190">
        <v>0</v>
      </c>
      <c r="BP101" s="190">
        <v>0</v>
      </c>
      <c r="BQ101" s="190">
        <v>0</v>
      </c>
      <c r="BR101" s="190">
        <v>0</v>
      </c>
      <c r="BS101" s="190">
        <v>0</v>
      </c>
      <c r="BT101" s="190">
        <v>0</v>
      </c>
      <c r="BU101" s="190">
        <v>0</v>
      </c>
      <c r="BV101" s="190"/>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6223197443.3199997</v>
      </c>
      <c r="C102" s="190">
        <v>6151993941.5500002</v>
      </c>
      <c r="D102" s="190">
        <v>6310777291.3800001</v>
      </c>
      <c r="E102" s="190">
        <v>6388011884.2399998</v>
      </c>
      <c r="F102" s="190">
        <v>6472205913.9099998</v>
      </c>
      <c r="G102" s="190">
        <v>6501529968.0200005</v>
      </c>
      <c r="H102" s="190">
        <v>6442243339.0900002</v>
      </c>
      <c r="I102" s="190">
        <v>6354203771.8900003</v>
      </c>
      <c r="J102" s="190">
        <v>6098573238.8100004</v>
      </c>
      <c r="K102" s="190">
        <v>6245843732.7200003</v>
      </c>
      <c r="L102" s="190">
        <v>3389020090.5999999</v>
      </c>
      <c r="M102" s="190">
        <v>2973877514</v>
      </c>
      <c r="N102" s="190">
        <v>3006148089.3600001</v>
      </c>
      <c r="O102" s="190">
        <v>3081409916.0700002</v>
      </c>
      <c r="P102" s="190">
        <v>2917317672.7800002</v>
      </c>
      <c r="Q102" s="190">
        <v>2984830224.9499998</v>
      </c>
      <c r="R102" s="190">
        <v>1872065720.71</v>
      </c>
      <c r="S102" s="190">
        <v>1877677244.25</v>
      </c>
      <c r="T102" s="190">
        <v>1856855054.24</v>
      </c>
      <c r="U102" s="190">
        <v>1839366288.6400001</v>
      </c>
      <c r="V102" s="190">
        <v>1401397322.05</v>
      </c>
      <c r="W102" s="190">
        <v>1428233794.8299999</v>
      </c>
      <c r="X102" s="190">
        <v>1365725565.49</v>
      </c>
      <c r="Y102" s="190">
        <v>1359184744.6900001</v>
      </c>
      <c r="Z102" s="190">
        <v>1073554936.3200001</v>
      </c>
      <c r="AA102" s="190">
        <v>1038353366.92</v>
      </c>
      <c r="AB102" s="190">
        <v>912746839.01999998</v>
      </c>
      <c r="AC102" s="190">
        <v>928888843.48000002</v>
      </c>
      <c r="AD102" s="190">
        <v>-1055475199.9400001</v>
      </c>
      <c r="AE102" s="190">
        <v>-1043371327.01</v>
      </c>
      <c r="AF102" s="190">
        <v>-1031021694.92</v>
      </c>
      <c r="AG102" s="190">
        <v>-1024551109.3200001</v>
      </c>
      <c r="AH102" s="190">
        <v>-1038918450.3099999</v>
      </c>
      <c r="AI102" s="190">
        <v>-1026497198.6900001</v>
      </c>
      <c r="AJ102" s="190">
        <v>-1025457727.8099999</v>
      </c>
      <c r="AK102" s="190">
        <v>-1030111792.21</v>
      </c>
      <c r="AL102" s="190">
        <v>-1077430047.9100001</v>
      </c>
      <c r="AM102" s="190">
        <v>-1061219621.79</v>
      </c>
      <c r="AN102" s="190">
        <v>-1037019994.72</v>
      </c>
      <c r="AO102" s="190">
        <v>-1038240646.21</v>
      </c>
      <c r="AP102" s="190">
        <v>-1066514611.64</v>
      </c>
      <c r="AQ102" s="190">
        <v>-985972777.38</v>
      </c>
      <c r="AR102" s="190">
        <v>-1020784725.11</v>
      </c>
      <c r="AS102" s="190">
        <v>-1043136425.25</v>
      </c>
      <c r="AT102" s="190">
        <v>-1115795599.01</v>
      </c>
      <c r="AU102" s="190">
        <v>-1097248535.51</v>
      </c>
      <c r="AV102" s="190">
        <v>-1083833248.54</v>
      </c>
      <c r="AW102" s="190">
        <v>-1073070830.66</v>
      </c>
      <c r="AX102" s="190">
        <v>-366922109.04000002</v>
      </c>
      <c r="AY102" s="190">
        <v>-352707320.68000001</v>
      </c>
      <c r="AZ102" s="190">
        <v>-322803201.73000002</v>
      </c>
      <c r="BA102" s="190">
        <v>-303974523.75</v>
      </c>
      <c r="BB102" s="190">
        <v>66056166.07</v>
      </c>
      <c r="BC102" s="190">
        <v>82572901.040000007</v>
      </c>
      <c r="BD102" s="190">
        <v>119481800.58</v>
      </c>
      <c r="BE102" s="190">
        <v>138471126.84999999</v>
      </c>
      <c r="BF102" s="190">
        <v>316704185.51999998</v>
      </c>
      <c r="BG102" s="190">
        <v>325447646.62</v>
      </c>
      <c r="BH102" s="190">
        <v>322446079.79000002</v>
      </c>
      <c r="BI102" s="190">
        <v>320568806.64999998</v>
      </c>
      <c r="BJ102" s="190">
        <v>311015401.58999997</v>
      </c>
      <c r="BK102" s="190">
        <v>307934158.30000001</v>
      </c>
      <c r="BL102" s="190">
        <v>301573890.80000001</v>
      </c>
      <c r="BM102" s="190">
        <v>300399683.23000002</v>
      </c>
      <c r="BN102" s="190">
        <v>293802712.43000001</v>
      </c>
      <c r="BO102" s="190">
        <v>294345828.92000002</v>
      </c>
      <c r="BP102" s="190">
        <v>285298859.18000001</v>
      </c>
      <c r="BQ102" s="190">
        <v>283134371.89999998</v>
      </c>
      <c r="BR102" s="190">
        <v>268938269.76999998</v>
      </c>
      <c r="BS102" s="190">
        <v>250489349.94</v>
      </c>
      <c r="BT102" s="190">
        <v>240308445.49000001</v>
      </c>
      <c r="BU102" s="190">
        <v>225180504.69999999</v>
      </c>
      <c r="BV102" s="190">
        <v>144345575.72</v>
      </c>
      <c r="BW102" s="190">
        <v>137274320.31</v>
      </c>
      <c r="BX102" s="190">
        <v>126561953.8</v>
      </c>
      <c r="BY102" s="190">
        <v>120527142.11</v>
      </c>
      <c r="BZ102" s="190">
        <v>41132336.350000001</v>
      </c>
      <c r="CA102" s="190">
        <v>35592429.560000002</v>
      </c>
      <c r="CB102" s="190">
        <v>30761737.379999999</v>
      </c>
      <c r="CC102" s="190">
        <v>26488366.129999999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-67266707.599999994</v>
      </c>
      <c r="C103" s="190">
        <v>-56547102.890000001</v>
      </c>
      <c r="D103" s="190">
        <v>-45953501.939999998</v>
      </c>
      <c r="E103" s="190">
        <v>-35627953.859999999</v>
      </c>
      <c r="F103" s="190">
        <v>-25171050.41</v>
      </c>
      <c r="G103" s="190">
        <v>-15051575.310000001</v>
      </c>
      <c r="H103" s="190">
        <v>-4644496.3499999996</v>
      </c>
      <c r="I103" s="190">
        <v>267964228.87</v>
      </c>
      <c r="J103" s="190">
        <v>20596258.739999998</v>
      </c>
      <c r="K103" s="190">
        <v>29966128.129999999</v>
      </c>
      <c r="L103" s="190">
        <v>34026482.57</v>
      </c>
      <c r="M103" s="190">
        <v>39890790.340000004</v>
      </c>
      <c r="N103" s="190">
        <v>96981914.150000006</v>
      </c>
      <c r="O103" s="190">
        <v>83428671.489999995</v>
      </c>
      <c r="P103" s="190">
        <v>89898613.730000004</v>
      </c>
      <c r="Q103" s="190">
        <v>86278537.400000006</v>
      </c>
      <c r="R103" s="190">
        <v>93418452.730000004</v>
      </c>
      <c r="S103" s="190">
        <v>101010974.45999999</v>
      </c>
      <c r="T103" s="190">
        <v>107353515.20999999</v>
      </c>
      <c r="U103" s="190">
        <v>103637457.61</v>
      </c>
      <c r="V103" s="190">
        <v>105350948.26000001</v>
      </c>
      <c r="W103" s="190">
        <v>32643828.02</v>
      </c>
      <c r="X103" s="190">
        <v>38771572.090000004</v>
      </c>
      <c r="Y103" s="190">
        <v>32403271.940000001</v>
      </c>
      <c r="Z103" s="190">
        <v>34246288.560000002</v>
      </c>
      <c r="AA103" s="190">
        <v>39130132.390000001</v>
      </c>
      <c r="AB103" s="190">
        <v>43198619.140000001</v>
      </c>
      <c r="AC103" s="190">
        <v>48614704.479999997</v>
      </c>
      <c r="AD103" s="190">
        <v>-446216.96000000002</v>
      </c>
      <c r="AE103" s="190">
        <v>-457335.99</v>
      </c>
      <c r="AF103" s="190">
        <v>-284069.53000000003</v>
      </c>
      <c r="AG103" s="190">
        <v>-275249.46999999997</v>
      </c>
      <c r="AH103" s="190">
        <v>659709.84</v>
      </c>
      <c r="AI103" s="190">
        <v>663095.11</v>
      </c>
      <c r="AJ103" s="190">
        <v>788525.15</v>
      </c>
      <c r="AK103" s="190">
        <v>321238.02</v>
      </c>
      <c r="AL103" s="190">
        <v>859833.76</v>
      </c>
      <c r="AM103" s="190">
        <v>956913.46</v>
      </c>
      <c r="AN103" s="190">
        <v>1037500.22</v>
      </c>
      <c r="AO103" s="190">
        <v>1023143.25</v>
      </c>
      <c r="AP103" s="190">
        <v>1295232.96</v>
      </c>
      <c r="AQ103" s="190">
        <v>1428133.45</v>
      </c>
      <c r="AR103" s="190">
        <v>2460062.7400000002</v>
      </c>
      <c r="AS103" s="190">
        <v>2698646.57</v>
      </c>
      <c r="AT103" s="190">
        <v>988627.58</v>
      </c>
      <c r="AU103" s="190">
        <v>1361643.88</v>
      </c>
      <c r="AV103" s="190">
        <v>1515869.61</v>
      </c>
      <c r="AW103" s="190">
        <v>1663033.56</v>
      </c>
      <c r="AX103" s="190">
        <v>2512133.59</v>
      </c>
      <c r="AY103" s="190">
        <v>2333500.8199999998</v>
      </c>
      <c r="AZ103" s="190">
        <v>0</v>
      </c>
      <c r="BA103" s="190">
        <v>2971474.6</v>
      </c>
      <c r="BB103" s="190">
        <v>3463420.43</v>
      </c>
      <c r="BC103" s="190">
        <v>3722021.32</v>
      </c>
      <c r="BD103" s="190">
        <v>3877255.19</v>
      </c>
      <c r="BE103" s="190">
        <v>4135153.63</v>
      </c>
      <c r="BF103" s="190">
        <v>3480493.85</v>
      </c>
      <c r="BG103" s="190">
        <v>0</v>
      </c>
      <c r="BH103" s="190">
        <v>1082393.33</v>
      </c>
      <c r="BI103" s="190">
        <v>1235175.04</v>
      </c>
      <c r="BJ103" s="190">
        <v>23919539.579999998</v>
      </c>
      <c r="BK103" s="190">
        <v>23940400.920000002</v>
      </c>
      <c r="BL103" s="190">
        <v>23704195.809999999</v>
      </c>
      <c r="BM103" s="190">
        <v>23806838.300000001</v>
      </c>
      <c r="BN103" s="190">
        <v>24248382.27</v>
      </c>
      <c r="BO103" s="190">
        <v>24496721.949999999</v>
      </c>
      <c r="BP103" s="190">
        <v>24283998.050000001</v>
      </c>
      <c r="BQ103" s="190">
        <v>24325892.57</v>
      </c>
      <c r="BR103" s="190">
        <v>23977211.34</v>
      </c>
      <c r="BS103" s="190">
        <v>41740173.439999998</v>
      </c>
      <c r="BT103" s="190">
        <v>39482586.789999999</v>
      </c>
      <c r="BU103" s="190">
        <v>34656408.630000003</v>
      </c>
      <c r="BV103" s="190">
        <v>35144119.630000003</v>
      </c>
      <c r="BW103" s="190">
        <v>15707130.880000001</v>
      </c>
      <c r="BX103" s="190">
        <v>12894632.48</v>
      </c>
      <c r="BY103" s="190">
        <v>11914303.09</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6155930735.7199993</v>
      </c>
      <c r="C107" s="33">
        <f>C102+C103</f>
        <v>6095446838.6599998</v>
      </c>
      <c r="D107" s="33">
        <f>D102+D103</f>
        <v>6264823789.4400005</v>
      </c>
      <c r="E107" s="33">
        <f>E102+E103</f>
        <v>6352383930.3800001</v>
      </c>
      <c r="F107" s="33">
        <f t="shared" ref="F107:BQ107" si="20">F102+F103</f>
        <v>6447034863.5</v>
      </c>
      <c r="G107" s="33">
        <f t="shared" si="20"/>
        <v>6486478392.71</v>
      </c>
      <c r="H107" s="33">
        <f t="shared" si="20"/>
        <v>6437598842.7399998</v>
      </c>
      <c r="I107" s="33">
        <f t="shared" si="20"/>
        <v>6622168000.7600002</v>
      </c>
      <c r="J107" s="33">
        <f t="shared" si="20"/>
        <v>6119169497.5500002</v>
      </c>
      <c r="K107" s="33">
        <f t="shared" si="20"/>
        <v>6275809860.8500004</v>
      </c>
      <c r="L107" s="33">
        <f t="shared" si="20"/>
        <v>3423046573.1700001</v>
      </c>
      <c r="M107" s="33">
        <f t="shared" si="20"/>
        <v>3013768304.3400002</v>
      </c>
      <c r="N107" s="33">
        <f t="shared" si="20"/>
        <v>3103130003.5100002</v>
      </c>
      <c r="O107" s="33">
        <f t="shared" si="20"/>
        <v>3164838587.5599999</v>
      </c>
      <c r="P107" s="33">
        <f t="shared" si="20"/>
        <v>3007216286.5100002</v>
      </c>
      <c r="Q107" s="33">
        <f t="shared" si="20"/>
        <v>3071108762.3499999</v>
      </c>
      <c r="R107" s="33">
        <f t="shared" si="20"/>
        <v>1965484173.4400001</v>
      </c>
      <c r="S107" s="33">
        <f t="shared" si="20"/>
        <v>1978688218.71</v>
      </c>
      <c r="T107" s="33">
        <f t="shared" si="20"/>
        <v>1964208569.45</v>
      </c>
      <c r="U107" s="33">
        <f t="shared" si="20"/>
        <v>1943003746.25</v>
      </c>
      <c r="V107" s="33">
        <f t="shared" si="20"/>
        <v>1506748270.3099999</v>
      </c>
      <c r="W107" s="33">
        <f t="shared" si="20"/>
        <v>1460877622.8499999</v>
      </c>
      <c r="X107" s="33">
        <f t="shared" si="20"/>
        <v>1404497137.5799999</v>
      </c>
      <c r="Y107" s="33">
        <f t="shared" si="20"/>
        <v>1391588016.6300001</v>
      </c>
      <c r="Z107" s="33">
        <f t="shared" si="20"/>
        <v>1107801224.8800001</v>
      </c>
      <c r="AA107" s="33">
        <f t="shared" si="20"/>
        <v>1077483499.3099999</v>
      </c>
      <c r="AB107" s="33">
        <f t="shared" si="20"/>
        <v>955945458.15999997</v>
      </c>
      <c r="AC107" s="33">
        <f t="shared" si="20"/>
        <v>977503547.96000004</v>
      </c>
      <c r="AD107" s="33">
        <f t="shared" si="20"/>
        <v>-1055921416.9000001</v>
      </c>
      <c r="AE107" s="33">
        <f t="shared" si="20"/>
        <v>-1043828663</v>
      </c>
      <c r="AF107" s="33">
        <f t="shared" si="20"/>
        <v>-1031305764.4499999</v>
      </c>
      <c r="AG107" s="33">
        <f t="shared" si="20"/>
        <v>-1024826358.7900001</v>
      </c>
      <c r="AH107" s="33">
        <f t="shared" si="20"/>
        <v>-1038258740.4699999</v>
      </c>
      <c r="AI107" s="33">
        <f t="shared" si="20"/>
        <v>-1025834103.58</v>
      </c>
      <c r="AJ107" s="33">
        <f t="shared" si="20"/>
        <v>-1024669202.66</v>
      </c>
      <c r="AK107" s="33">
        <f t="shared" si="20"/>
        <v>-1029790554.1900001</v>
      </c>
      <c r="AL107" s="33">
        <f t="shared" si="20"/>
        <v>-1076570214.1500001</v>
      </c>
      <c r="AM107" s="33">
        <f t="shared" si="20"/>
        <v>-1060262708.3299999</v>
      </c>
      <c r="AN107" s="33">
        <f t="shared" si="20"/>
        <v>-1035982494.5</v>
      </c>
      <c r="AO107" s="33">
        <f t="shared" si="20"/>
        <v>-1037217502.96</v>
      </c>
      <c r="AP107" s="33">
        <f t="shared" si="20"/>
        <v>-1065219378.6799999</v>
      </c>
      <c r="AQ107" s="33">
        <f t="shared" si="20"/>
        <v>-984544643.92999995</v>
      </c>
      <c r="AR107" s="33">
        <f t="shared" si="20"/>
        <v>-1018324662.37</v>
      </c>
      <c r="AS107" s="33">
        <f t="shared" si="20"/>
        <v>-1040437778.6799999</v>
      </c>
      <c r="AT107" s="33">
        <f t="shared" si="20"/>
        <v>-1114806971.4300001</v>
      </c>
      <c r="AU107" s="33">
        <f t="shared" si="20"/>
        <v>-1095886891.6299999</v>
      </c>
      <c r="AV107" s="33">
        <f t="shared" si="20"/>
        <v>-1082317378.9300001</v>
      </c>
      <c r="AW107" s="33">
        <f t="shared" si="20"/>
        <v>-1071407797.1</v>
      </c>
      <c r="AX107" s="33">
        <f t="shared" si="20"/>
        <v>-364409975.45000005</v>
      </c>
      <c r="AY107" s="33">
        <f t="shared" si="20"/>
        <v>-350373819.86000001</v>
      </c>
      <c r="AZ107" s="33">
        <f t="shared" si="20"/>
        <v>-322803201.73000002</v>
      </c>
      <c r="BA107" s="33">
        <f t="shared" si="20"/>
        <v>-301003049.14999998</v>
      </c>
      <c r="BB107" s="33">
        <f t="shared" si="20"/>
        <v>69519586.5</v>
      </c>
      <c r="BC107" s="33">
        <f t="shared" si="20"/>
        <v>86294922.359999999</v>
      </c>
      <c r="BD107" s="33">
        <f t="shared" si="20"/>
        <v>123359055.77</v>
      </c>
      <c r="BE107" s="33">
        <f t="shared" si="20"/>
        <v>142606280.47999999</v>
      </c>
      <c r="BF107" s="33">
        <f t="shared" si="20"/>
        <v>320184679.37</v>
      </c>
      <c r="BG107" s="33">
        <f t="shared" si="20"/>
        <v>325447646.62</v>
      </c>
      <c r="BH107" s="33">
        <f t="shared" si="20"/>
        <v>323528473.12</v>
      </c>
      <c r="BI107" s="33">
        <f t="shared" si="20"/>
        <v>321803981.69</v>
      </c>
      <c r="BJ107" s="33">
        <f t="shared" si="20"/>
        <v>334934941.16999996</v>
      </c>
      <c r="BK107" s="33">
        <f t="shared" si="20"/>
        <v>331874559.22000003</v>
      </c>
      <c r="BL107" s="33">
        <f t="shared" si="20"/>
        <v>325278086.61000001</v>
      </c>
      <c r="BM107" s="33">
        <f t="shared" si="20"/>
        <v>324206521.53000003</v>
      </c>
      <c r="BN107" s="33">
        <f t="shared" si="20"/>
        <v>318051094.69999999</v>
      </c>
      <c r="BO107" s="33">
        <f t="shared" si="20"/>
        <v>318842550.87</v>
      </c>
      <c r="BP107" s="33">
        <f t="shared" si="20"/>
        <v>309582857.23000002</v>
      </c>
      <c r="BQ107" s="33">
        <f t="shared" si="20"/>
        <v>307460264.46999997</v>
      </c>
      <c r="BR107" s="33">
        <f t="shared" ref="BR107:CK107" si="21">BR102+BR103</f>
        <v>292915481.10999995</v>
      </c>
      <c r="BS107" s="33">
        <f t="shared" si="21"/>
        <v>292229523.38</v>
      </c>
      <c r="BT107" s="33">
        <f t="shared" si="21"/>
        <v>279791032.28000003</v>
      </c>
      <c r="BU107" s="33">
        <f t="shared" si="21"/>
        <v>259836913.32999998</v>
      </c>
      <c r="BV107" s="33">
        <f t="shared" si="21"/>
        <v>179489695.34999999</v>
      </c>
      <c r="BW107" s="33">
        <f t="shared" si="21"/>
        <v>152981451.19</v>
      </c>
      <c r="BX107" s="33">
        <f t="shared" si="21"/>
        <v>139456586.28</v>
      </c>
      <c r="BY107" s="33">
        <f t="shared" si="21"/>
        <v>132441445.2</v>
      </c>
      <c r="BZ107" s="33">
        <f t="shared" si="21"/>
        <v>41132336.350000001</v>
      </c>
      <c r="CA107" s="33">
        <f t="shared" si="21"/>
        <v>35592429.560000002</v>
      </c>
      <c r="CB107" s="33">
        <f t="shared" si="21"/>
        <v>30761737.379999999</v>
      </c>
      <c r="CC107" s="33">
        <f t="shared" si="21"/>
        <v>26488366.129999999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11253603569.369999</v>
      </c>
      <c r="C108" s="38">
        <f t="shared" ref="C108:BN108" si="22">SUM(C89+C107)</f>
        <v>11298210124.32</v>
      </c>
      <c r="D108" s="38">
        <f t="shared" si="22"/>
        <v>11867115146.66</v>
      </c>
      <c r="E108" s="38">
        <f>SUM(E107+E89)</f>
        <v>11829828323.07</v>
      </c>
      <c r="F108" s="38">
        <f t="shared" si="22"/>
        <v>12252867582.129999</v>
      </c>
      <c r="G108" s="38">
        <f t="shared" si="22"/>
        <v>10689452539.42</v>
      </c>
      <c r="H108" s="38">
        <f t="shared" si="22"/>
        <v>10639957560.76</v>
      </c>
      <c r="I108" s="38">
        <f t="shared" si="22"/>
        <v>10688156732.91</v>
      </c>
      <c r="J108" s="38">
        <f t="shared" si="22"/>
        <v>10316159428.93</v>
      </c>
      <c r="K108" s="38">
        <f t="shared" si="22"/>
        <v>11113218248.77</v>
      </c>
      <c r="L108" s="38">
        <f t="shared" si="22"/>
        <v>9180748421.3899994</v>
      </c>
      <c r="M108" s="38">
        <f t="shared" si="22"/>
        <v>7603314230.6300001</v>
      </c>
      <c r="N108" s="38">
        <f t="shared" si="22"/>
        <v>8134076270.25</v>
      </c>
      <c r="O108" s="38">
        <f t="shared" si="22"/>
        <v>8350913140.1900005</v>
      </c>
      <c r="P108" s="38">
        <f t="shared" si="22"/>
        <v>8302044941.5300007</v>
      </c>
      <c r="Q108" s="38">
        <f t="shared" si="22"/>
        <v>8360250862.8500004</v>
      </c>
      <c r="R108" s="38">
        <f t="shared" si="22"/>
        <v>5426970400.9899998</v>
      </c>
      <c r="S108" s="38">
        <f t="shared" si="22"/>
        <v>5386269566.8199997</v>
      </c>
      <c r="T108" s="38">
        <f t="shared" si="22"/>
        <v>5391247892.6700001</v>
      </c>
      <c r="U108" s="38">
        <f t="shared" si="22"/>
        <v>4716021703.1599998</v>
      </c>
      <c r="V108" s="38">
        <f t="shared" si="22"/>
        <v>3171808996.52</v>
      </c>
      <c r="W108" s="38">
        <f t="shared" si="22"/>
        <v>2702804897.8400002</v>
      </c>
      <c r="X108" s="38">
        <f t="shared" si="22"/>
        <v>2648331718.4200001</v>
      </c>
      <c r="Y108" s="38">
        <f t="shared" si="22"/>
        <v>2758690116.4700003</v>
      </c>
      <c r="Z108" s="38">
        <f t="shared" si="22"/>
        <v>2366498643.3600001</v>
      </c>
      <c r="AA108" s="38">
        <f t="shared" si="22"/>
        <v>2483076284.5500002</v>
      </c>
      <c r="AB108" s="38">
        <f t="shared" si="22"/>
        <v>2416351594.4099998</v>
      </c>
      <c r="AC108" s="38">
        <f t="shared" si="22"/>
        <v>2458915931.8199997</v>
      </c>
      <c r="AD108" s="38">
        <f t="shared" si="22"/>
        <v>-356392488.03000009</v>
      </c>
      <c r="AE108" s="38">
        <f t="shared" si="22"/>
        <v>-355688098.99000001</v>
      </c>
      <c r="AF108" s="38">
        <f t="shared" si="22"/>
        <v>-353052054.7299999</v>
      </c>
      <c r="AG108" s="38">
        <f t="shared" si="22"/>
        <v>-352223069.8900001</v>
      </c>
      <c r="AH108" s="38">
        <f t="shared" si="22"/>
        <v>-357772595.71999991</v>
      </c>
      <c r="AI108" s="38">
        <f t="shared" si="22"/>
        <v>-337148975.32000005</v>
      </c>
      <c r="AJ108" s="38">
        <f t="shared" si="22"/>
        <v>-342404818.66999996</v>
      </c>
      <c r="AK108" s="38">
        <f t="shared" si="22"/>
        <v>-341725819.87</v>
      </c>
      <c r="AL108" s="38">
        <f t="shared" si="22"/>
        <v>-334623801.48000002</v>
      </c>
      <c r="AM108" s="38">
        <f t="shared" si="22"/>
        <v>-331642890.88999987</v>
      </c>
      <c r="AN108" s="38">
        <f t="shared" si="22"/>
        <v>-306484119</v>
      </c>
      <c r="AO108" s="38">
        <f t="shared" si="22"/>
        <v>-311723921.60000002</v>
      </c>
      <c r="AP108" s="38">
        <f t="shared" si="22"/>
        <v>-305003753.9799999</v>
      </c>
      <c r="AQ108" s="38">
        <f t="shared" si="22"/>
        <v>-237939715.60000002</v>
      </c>
      <c r="AR108" s="38">
        <f t="shared" si="22"/>
        <v>-279101994.75</v>
      </c>
      <c r="AS108" s="38">
        <f t="shared" si="22"/>
        <v>-268859916.25999999</v>
      </c>
      <c r="AT108" s="38">
        <f t="shared" si="22"/>
        <v>-457127980.25000012</v>
      </c>
      <c r="AU108" s="38">
        <f t="shared" si="22"/>
        <v>-438207900.44999993</v>
      </c>
      <c r="AV108" s="38">
        <f t="shared" si="22"/>
        <v>-424638387.75000012</v>
      </c>
      <c r="AW108" s="38">
        <f t="shared" si="22"/>
        <v>-284093411.71999991</v>
      </c>
      <c r="AX108" s="38">
        <f t="shared" si="22"/>
        <v>308780670.83999991</v>
      </c>
      <c r="AY108" s="38">
        <f t="shared" si="22"/>
        <v>322816826.42999995</v>
      </c>
      <c r="AZ108" s="38">
        <f t="shared" si="22"/>
        <v>-322803201.73000002</v>
      </c>
      <c r="BA108" s="38">
        <f t="shared" si="22"/>
        <v>372575502.48000002</v>
      </c>
      <c r="BB108" s="38">
        <f t="shared" si="22"/>
        <v>495621652.67000002</v>
      </c>
      <c r="BC108" s="38">
        <f t="shared" si="22"/>
        <v>512496988.53000003</v>
      </c>
      <c r="BD108" s="38">
        <f t="shared" si="22"/>
        <v>551928989.00999999</v>
      </c>
      <c r="BE108" s="38">
        <f t="shared" si="22"/>
        <v>597061979.00999999</v>
      </c>
      <c r="BF108" s="38">
        <f t="shared" si="22"/>
        <v>624758663.47000003</v>
      </c>
      <c r="BG108" s="38">
        <f t="shared" si="22"/>
        <v>630023399.62</v>
      </c>
      <c r="BH108" s="38">
        <f t="shared" si="22"/>
        <v>608188473.12</v>
      </c>
      <c r="BI108" s="38">
        <f t="shared" si="22"/>
        <v>566143981.69000006</v>
      </c>
      <c r="BJ108" s="38">
        <f t="shared" si="22"/>
        <v>827914941.16999996</v>
      </c>
      <c r="BK108" s="38">
        <f t="shared" si="22"/>
        <v>769854559.22000003</v>
      </c>
      <c r="BL108" s="38">
        <f t="shared" si="22"/>
        <v>755418086.61000001</v>
      </c>
      <c r="BM108" s="38">
        <f t="shared" si="22"/>
        <v>577806521.52999997</v>
      </c>
      <c r="BN108" s="38">
        <f t="shared" si="22"/>
        <v>664651094.70000005</v>
      </c>
      <c r="BO108" s="38">
        <f t="shared" ref="BO108:CK108" si="23">SUM(BO89+BO107)</f>
        <v>763942550.87</v>
      </c>
      <c r="BP108" s="38">
        <f t="shared" si="23"/>
        <v>679682857.23000002</v>
      </c>
      <c r="BQ108" s="38">
        <f t="shared" si="23"/>
        <v>501060264.46999997</v>
      </c>
      <c r="BR108" s="38">
        <f t="shared" si="23"/>
        <v>385515481.10999995</v>
      </c>
      <c r="BS108" s="38">
        <f t="shared" si="23"/>
        <v>377025992.44</v>
      </c>
      <c r="BT108" s="38">
        <f t="shared" si="23"/>
        <v>370429068.59000003</v>
      </c>
      <c r="BU108" s="38">
        <f t="shared" si="23"/>
        <v>312978098.39999998</v>
      </c>
      <c r="BV108" s="38">
        <f t="shared" si="23"/>
        <v>228542682.59999999</v>
      </c>
      <c r="BW108" s="38">
        <f t="shared" si="23"/>
        <v>198796933.80000001</v>
      </c>
      <c r="BX108" s="38">
        <f t="shared" si="23"/>
        <v>185965586.43000001</v>
      </c>
      <c r="BY108" s="38">
        <f t="shared" si="23"/>
        <v>178841225.34999999</v>
      </c>
      <c r="BZ108" s="38">
        <f t="shared" si="23"/>
        <v>84531946.349999994</v>
      </c>
      <c r="CA108" s="38">
        <f t="shared" si="23"/>
        <v>78962429.560000002</v>
      </c>
      <c r="CB108" s="38">
        <f t="shared" si="23"/>
        <v>92999288.810000002</v>
      </c>
      <c r="CC108" s="38">
        <f t="shared" si="23"/>
        <v>84418792.989999995</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41" workbookViewId="0">
      <selection activeCell="Y52" sqref="Y52"/>
    </sheetView>
  </sheetViews>
  <sheetFormatPr defaultRowHeight="14.4" x14ac:dyDescent="0.25"/>
  <cols>
    <col min="1" max="1" width="57.21875" style="17" bestFit="1" customWidth="1"/>
    <col min="2" max="4" width="20.21875" hidden="1" customWidth="1"/>
    <col min="5" max="5" width="20.21875" bestFit="1" customWidth="1"/>
    <col min="6" max="8" width="20.21875" hidden="1" customWidth="1"/>
    <col min="9" max="9" width="21.44140625" bestFit="1" customWidth="1"/>
    <col min="10" max="11" width="19.33203125" hidden="1" customWidth="1"/>
    <col min="12" max="12" width="19" hidden="1" customWidth="1"/>
    <col min="13" max="13" width="20.21875" bestFit="1" customWidth="1"/>
    <col min="14" max="16" width="20.21875" hidden="1" customWidth="1"/>
    <col min="17" max="17" width="20.21875" bestFit="1" customWidth="1"/>
    <col min="18" max="20" width="20.21875" hidden="1" customWidth="1"/>
    <col min="21" max="21" width="19.33203125" bestFit="1" customWidth="1"/>
    <col min="22" max="23" width="19" hidden="1" customWidth="1"/>
    <col min="24" max="24" width="20.21875" hidden="1" customWidth="1"/>
    <col min="25" max="25" width="19.33203125" bestFit="1" customWidth="1"/>
    <col min="26" max="28" width="19" hidden="1" customWidth="1"/>
    <col min="29" max="29" width="19" bestFit="1" customWidth="1"/>
    <col min="30" max="31" width="19" hidden="1" customWidth="1"/>
    <col min="32" max="32" width="17.77734375" hidden="1" customWidth="1"/>
    <col min="33" max="33" width="19" bestFit="1" customWidth="1"/>
    <col min="34" max="36" width="17.77734375" hidden="1" customWidth="1"/>
    <col min="37" max="37" width="17.77734375" bestFit="1" customWidth="1"/>
    <col min="38" max="39" width="19" hidden="1" customWidth="1"/>
    <col min="40" max="40" width="17.77734375" hidden="1" customWidth="1"/>
    <col min="41" max="41" width="17.77734375" bestFit="1" customWidth="1"/>
    <col min="42" max="44" width="19" hidden="1" customWidth="1"/>
    <col min="45" max="45" width="19" bestFit="1" customWidth="1"/>
    <col min="46" max="48" width="19" hidden="1" customWidth="1"/>
    <col min="49" max="49" width="20.21875" bestFit="1" customWidth="1"/>
    <col min="50" max="52" width="19" hidden="1" customWidth="1"/>
    <col min="53" max="53" width="20.21875" bestFit="1" customWidth="1"/>
    <col min="54" max="56" width="19" hidden="1" customWidth="1"/>
    <col min="57" max="57" width="20.21875" bestFit="1" customWidth="1"/>
    <col min="58" max="60" width="19" hidden="1" customWidth="1"/>
    <col min="61" max="61" width="19" bestFit="1" customWidth="1"/>
    <col min="62" max="64" width="19" hidden="1" customWidth="1"/>
    <col min="65" max="65" width="19" bestFit="1" customWidth="1"/>
    <col min="66" max="68" width="19" hidden="1" customWidth="1"/>
    <col min="69" max="69" width="17.77734375" bestFit="1" customWidth="1"/>
    <col min="70" max="70" width="17.77734375" hidden="1" customWidth="1"/>
    <col min="71" max="71" width="17.77734375" bestFit="1" customWidth="1"/>
    <col min="72" max="72" width="17.77734375" hidden="1" customWidth="1"/>
    <col min="73" max="73" width="17.77734375" bestFit="1" customWidth="1"/>
    <col min="74" max="74" width="17.77734375" hidden="1" customWidth="1"/>
    <col min="75" max="75" width="17.77734375" bestFit="1" customWidth="1"/>
    <col min="76" max="76" width="17.77734375" hidden="1" customWidth="1"/>
    <col min="77" max="77" width="17.77734375" bestFit="1" customWidth="1"/>
    <col min="78" max="78" width="16.5546875" hidden="1" customWidth="1"/>
    <col min="79" max="81" width="17.77734375"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385</v>
      </c>
      <c r="B4" s="190">
        <v>1379450690.1300001</v>
      </c>
      <c r="C4" s="190">
        <v>894393133.5</v>
      </c>
      <c r="D4" s="190">
        <v>174256852.81</v>
      </c>
      <c r="E4" s="190">
        <v>2473918205.1599998</v>
      </c>
      <c r="F4" s="190">
        <v>1008208630.3099999</v>
      </c>
      <c r="G4" s="190">
        <v>878288856.76999998</v>
      </c>
      <c r="H4" s="190">
        <v>630272076.14999998</v>
      </c>
      <c r="I4" s="190">
        <v>6704848495.9899998</v>
      </c>
      <c r="J4" s="190">
        <v>4576608658.5100002</v>
      </c>
      <c r="K4" s="190">
        <v>3995822264.8899999</v>
      </c>
      <c r="L4" s="190">
        <v>2925433262.5500002</v>
      </c>
      <c r="M4" s="190">
        <v>519502880.88</v>
      </c>
      <c r="N4" s="190">
        <v>367419981.04000002</v>
      </c>
      <c r="O4" s="190">
        <v>217567191.96000001</v>
      </c>
      <c r="P4" s="190">
        <v>144601402.62</v>
      </c>
      <c r="Q4" s="190">
        <v>1270810233.05</v>
      </c>
      <c r="R4" s="190">
        <v>893502435.89999998</v>
      </c>
      <c r="S4" s="190">
        <v>679685555.03999996</v>
      </c>
      <c r="T4" s="190">
        <v>301403886.20999998</v>
      </c>
      <c r="U4" s="190">
        <v>2776957460.2800002</v>
      </c>
      <c r="V4" s="190">
        <v>326513513.94</v>
      </c>
      <c r="W4" s="190">
        <v>251933246.53999999</v>
      </c>
      <c r="X4" s="190">
        <v>159552882.02000001</v>
      </c>
      <c r="Y4" s="190">
        <v>1886509459.79</v>
      </c>
      <c r="Z4" s="190">
        <v>362275701.70999998</v>
      </c>
      <c r="AA4" s="190">
        <v>92328849.569999993</v>
      </c>
      <c r="AB4" s="190">
        <v>38430091.479999997</v>
      </c>
      <c r="AC4" s="190">
        <v>911117929.50999999</v>
      </c>
      <c r="AD4" s="190">
        <v>2325028.98</v>
      </c>
      <c r="AE4" s="190">
        <v>719549.52</v>
      </c>
      <c r="AF4" s="190">
        <v>454838.86</v>
      </c>
      <c r="AG4" s="190">
        <v>1972005.12</v>
      </c>
      <c r="AH4" s="190">
        <v>2247045.88</v>
      </c>
      <c r="AI4" s="190">
        <v>1644331.61</v>
      </c>
      <c r="AJ4" s="190">
        <v>118276.34</v>
      </c>
      <c r="AK4" s="190">
        <v>2319583.5699999998</v>
      </c>
      <c r="AL4" s="190">
        <v>1059567.43</v>
      </c>
      <c r="AM4" s="190">
        <v>714108.94</v>
      </c>
      <c r="AN4" s="190">
        <v>317568.12</v>
      </c>
      <c r="AO4" s="190">
        <v>29625077.149999999</v>
      </c>
      <c r="AP4" s="190">
        <v>39690074.759999998</v>
      </c>
      <c r="AQ4" s="190">
        <v>38358193.560000002</v>
      </c>
      <c r="AR4" s="190">
        <v>19981743.039999999</v>
      </c>
      <c r="AS4" s="190">
        <v>276226954.25999999</v>
      </c>
      <c r="AT4" s="190">
        <v>212112113.97</v>
      </c>
      <c r="AU4" s="190">
        <v>151644166.93000001</v>
      </c>
      <c r="AV4" s="190">
        <v>63063671.619999997</v>
      </c>
      <c r="AW4" s="190">
        <v>229176151.38999999</v>
      </c>
      <c r="AX4" s="190">
        <v>126125572.09</v>
      </c>
      <c r="AY4" s="190">
        <v>70840155.810000002</v>
      </c>
      <c r="AZ4" s="190">
        <v>40009471.130000003</v>
      </c>
      <c r="BA4" s="190">
        <v>221398699.53999999</v>
      </c>
      <c r="BB4" s="190">
        <v>200305982.11000001</v>
      </c>
      <c r="BC4" s="190">
        <v>173464164.24000001</v>
      </c>
      <c r="BD4" s="190">
        <v>100452203.73</v>
      </c>
      <c r="BE4" s="190">
        <v>801751161.67999995</v>
      </c>
      <c r="BF4" s="190">
        <v>607574415.46000004</v>
      </c>
      <c r="BG4" s="190">
        <v>387005787.07999998</v>
      </c>
      <c r="BH4" s="190">
        <v>169994827.43000001</v>
      </c>
      <c r="BI4" s="190">
        <v>866672859.30999994</v>
      </c>
      <c r="BJ4" s="190">
        <v>563313712.90999997</v>
      </c>
      <c r="BK4" s="190">
        <v>312828694.13</v>
      </c>
      <c r="BL4" s="190">
        <v>129824200.04000001</v>
      </c>
      <c r="BM4" s="190">
        <v>996144233.25</v>
      </c>
      <c r="BN4" s="190">
        <v>672287661.65999997</v>
      </c>
      <c r="BO4" s="190">
        <v>424822929.56</v>
      </c>
      <c r="BP4" s="190">
        <v>207516777.69999999</v>
      </c>
      <c r="BQ4" s="190">
        <v>761826036.83000004</v>
      </c>
      <c r="BR4" s="190">
        <v>229750188.44999999</v>
      </c>
      <c r="BS4" s="190">
        <v>198550035.96000001</v>
      </c>
      <c r="BT4" s="190">
        <v>103771025.11</v>
      </c>
      <c r="BU4" s="190">
        <v>101468040.58</v>
      </c>
      <c r="BV4" s="190">
        <v>39700177.020000003</v>
      </c>
      <c r="BW4" s="190">
        <v>71986605.340000004</v>
      </c>
      <c r="BX4" s="190">
        <v>30318598.989999998</v>
      </c>
      <c r="BY4" s="190">
        <v>61924611.850000001</v>
      </c>
      <c r="BZ4" s="190">
        <v>31098969.670000002</v>
      </c>
      <c r="CA4" s="190">
        <v>71088754.129999995</v>
      </c>
      <c r="CB4" s="190">
        <v>89207139.980000004</v>
      </c>
      <c r="CC4" s="190">
        <v>71981187.920000002</v>
      </c>
      <c r="CD4" s="190">
        <v>0</v>
      </c>
      <c r="CE4" s="190"/>
      <c r="CF4" s="190"/>
      <c r="CG4" s="190"/>
      <c r="CH4" s="190"/>
      <c r="CI4" s="190"/>
      <c r="CJ4" s="190"/>
      <c r="CK4" s="190"/>
    </row>
    <row r="5" spans="1:89" x14ac:dyDescent="0.25">
      <c r="A5" s="19" t="s">
        <v>386</v>
      </c>
      <c r="B5" s="190">
        <v>875869449.64999998</v>
      </c>
      <c r="C5" s="190">
        <v>587663634.25</v>
      </c>
      <c r="D5" s="190">
        <v>134318623.53</v>
      </c>
      <c r="E5" s="190">
        <v>1616027058.0599999</v>
      </c>
      <c r="F5" s="190">
        <v>600153230.5</v>
      </c>
      <c r="G5" s="190">
        <v>508306514.16000003</v>
      </c>
      <c r="H5" s="190">
        <v>365987243.24000001</v>
      </c>
      <c r="I5" s="190">
        <v>4539441199.6700001</v>
      </c>
      <c r="J5" s="190">
        <v>3382976744.8299999</v>
      </c>
      <c r="K5" s="190">
        <v>2928384287.7600002</v>
      </c>
      <c r="L5" s="190">
        <v>2058609440.3299999</v>
      </c>
      <c r="M5" s="190">
        <v>313954249.98000002</v>
      </c>
      <c r="N5" s="190">
        <v>211737968.27000001</v>
      </c>
      <c r="O5" s="190">
        <v>116658735.59</v>
      </c>
      <c r="P5" s="190">
        <v>78663009.230000004</v>
      </c>
      <c r="Q5" s="190">
        <v>812740259.87</v>
      </c>
      <c r="R5" s="190">
        <v>514968866.93000001</v>
      </c>
      <c r="S5" s="190">
        <v>396215248.80000001</v>
      </c>
      <c r="T5" s="190">
        <v>157583419.81999999</v>
      </c>
      <c r="U5" s="190">
        <v>1671380022</v>
      </c>
      <c r="V5" s="190">
        <v>175894801.06</v>
      </c>
      <c r="W5" s="190">
        <v>126409864.45</v>
      </c>
      <c r="X5" s="190">
        <v>75818115.939999998</v>
      </c>
      <c r="Y5" s="190">
        <v>1211372080.8099999</v>
      </c>
      <c r="Z5" s="190">
        <v>172648495.69999999</v>
      </c>
      <c r="AA5" s="190">
        <v>62530779.710000001</v>
      </c>
      <c r="AB5" s="190">
        <v>28367218.780000001</v>
      </c>
      <c r="AC5" s="190">
        <v>470449669.13</v>
      </c>
      <c r="AD5" s="190">
        <v>1705033.33</v>
      </c>
      <c r="AE5" s="190">
        <v>438811.08</v>
      </c>
      <c r="AF5" s="190">
        <v>315678.40000000002</v>
      </c>
      <c r="AG5" s="190">
        <v>4099904.38</v>
      </c>
      <c r="AH5" s="190">
        <v>4345105.6399999997</v>
      </c>
      <c r="AI5" s="190">
        <v>3915105.64</v>
      </c>
      <c r="AJ5" s="190">
        <v>84000</v>
      </c>
      <c r="AK5" s="190">
        <v>3793869.56</v>
      </c>
      <c r="AL5" s="190">
        <v>635376.02</v>
      </c>
      <c r="AM5" s="190">
        <v>424581.18</v>
      </c>
      <c r="AN5" s="190">
        <v>152599.22</v>
      </c>
      <c r="AO5" s="190">
        <v>29569124.870000001</v>
      </c>
      <c r="AP5" s="190">
        <v>38786811.189999998</v>
      </c>
      <c r="AQ5" s="190">
        <v>37424619.420000002</v>
      </c>
      <c r="AR5" s="190">
        <v>19857872.609999999</v>
      </c>
      <c r="AS5" s="190">
        <v>238984727.55000001</v>
      </c>
      <c r="AT5" s="190">
        <v>198543038.46000001</v>
      </c>
      <c r="AU5" s="190">
        <v>140102053.34999999</v>
      </c>
      <c r="AV5" s="190">
        <v>56881135.210000001</v>
      </c>
      <c r="AW5" s="190">
        <v>215780698.36000001</v>
      </c>
      <c r="AX5" s="190">
        <v>117329240.27</v>
      </c>
      <c r="AY5" s="190">
        <v>68868369.069999993</v>
      </c>
      <c r="AZ5" s="190">
        <v>39466456.479999997</v>
      </c>
      <c r="BA5" s="190">
        <v>218314124.33000001</v>
      </c>
      <c r="BB5" s="190">
        <v>197131177.56</v>
      </c>
      <c r="BC5" s="190">
        <v>173158410.75</v>
      </c>
      <c r="BD5" s="190">
        <v>100427642.67</v>
      </c>
      <c r="BE5" s="190">
        <v>758309533.38</v>
      </c>
      <c r="BF5" s="190">
        <v>570889335.45000005</v>
      </c>
      <c r="BG5" s="190">
        <v>354856131.64999998</v>
      </c>
      <c r="BH5" s="190">
        <v>154647892.50999999</v>
      </c>
      <c r="BI5" s="190">
        <v>769721036.62</v>
      </c>
      <c r="BJ5" s="190">
        <v>504092879.63</v>
      </c>
      <c r="BK5" s="190">
        <v>279952562.36000001</v>
      </c>
      <c r="BL5" s="190">
        <v>115370952.12</v>
      </c>
      <c r="BM5" s="190">
        <v>901152413.30999994</v>
      </c>
      <c r="BN5" s="190">
        <v>613747270.54999995</v>
      </c>
      <c r="BO5" s="190">
        <v>384726753.97000003</v>
      </c>
      <c r="BP5" s="190">
        <v>192820990.41999999</v>
      </c>
      <c r="BQ5" s="190">
        <v>685163130.41999996</v>
      </c>
      <c r="BR5" s="190">
        <v>196652588.31</v>
      </c>
      <c r="BS5" s="190">
        <v>125981881.90000001</v>
      </c>
      <c r="BT5" s="190">
        <v>69117475.049999997</v>
      </c>
      <c r="BU5" s="190">
        <v>62179832.670000002</v>
      </c>
      <c r="BV5" s="190">
        <v>25515819.390000001</v>
      </c>
      <c r="BW5" s="190">
        <v>37705823.210000001</v>
      </c>
      <c r="BX5" s="190">
        <v>14688107.789999999</v>
      </c>
      <c r="BY5" s="190">
        <v>37626667.640000001</v>
      </c>
      <c r="BZ5" s="190">
        <v>20236400.73</v>
      </c>
      <c r="CA5" s="190">
        <v>45078924.869999997</v>
      </c>
      <c r="CB5" s="190">
        <v>49854667.170000002</v>
      </c>
      <c r="CC5" s="190">
        <v>39443207.759999998</v>
      </c>
      <c r="CD5" s="190">
        <v>0</v>
      </c>
      <c r="CE5" s="190"/>
      <c r="CF5" s="190"/>
      <c r="CG5" s="190"/>
      <c r="CH5" s="190"/>
      <c r="CI5" s="190"/>
      <c r="CJ5" s="190"/>
      <c r="CK5" s="190"/>
    </row>
    <row r="6" spans="1:89" s="3" customFormat="1" x14ac:dyDescent="0.25">
      <c r="A6" s="20" t="s">
        <v>387</v>
      </c>
      <c r="B6" s="27">
        <f>B4-B5</f>
        <v>503581240.48000014</v>
      </c>
      <c r="C6" s="27">
        <f t="shared" ref="C6:BN6" si="0">C4-C5</f>
        <v>306729499.25</v>
      </c>
      <c r="D6" s="27">
        <f t="shared" si="0"/>
        <v>39938229.280000001</v>
      </c>
      <c r="E6" s="27">
        <f t="shared" si="0"/>
        <v>857891147.0999999</v>
      </c>
      <c r="F6" s="27">
        <f t="shared" si="0"/>
        <v>408055399.80999994</v>
      </c>
      <c r="G6" s="27">
        <f t="shared" si="0"/>
        <v>369982342.60999995</v>
      </c>
      <c r="H6" s="27">
        <f t="shared" si="0"/>
        <v>264284832.90999997</v>
      </c>
      <c r="I6" s="27">
        <f t="shared" si="0"/>
        <v>2165407296.3199997</v>
      </c>
      <c r="J6" s="27">
        <f t="shared" si="0"/>
        <v>1193631913.6800003</v>
      </c>
      <c r="K6" s="27">
        <f t="shared" si="0"/>
        <v>1067437977.1299996</v>
      </c>
      <c r="L6" s="27">
        <f t="shared" si="0"/>
        <v>866823822.22000027</v>
      </c>
      <c r="M6" s="27">
        <f t="shared" si="0"/>
        <v>205548630.89999998</v>
      </c>
      <c r="N6" s="27">
        <f t="shared" si="0"/>
        <v>155682012.77000001</v>
      </c>
      <c r="O6" s="27">
        <f t="shared" si="0"/>
        <v>100908456.37</v>
      </c>
      <c r="P6" s="27">
        <f t="shared" si="0"/>
        <v>65938393.390000001</v>
      </c>
      <c r="Q6" s="27">
        <f t="shared" si="0"/>
        <v>458069973.17999995</v>
      </c>
      <c r="R6" s="27">
        <f t="shared" si="0"/>
        <v>378533568.96999997</v>
      </c>
      <c r="S6" s="27">
        <f t="shared" si="0"/>
        <v>283470306.23999995</v>
      </c>
      <c r="T6" s="27">
        <f t="shared" si="0"/>
        <v>143820466.38999999</v>
      </c>
      <c r="U6" s="27">
        <f t="shared" si="0"/>
        <v>1105577438.2800002</v>
      </c>
      <c r="V6" s="27">
        <f t="shared" si="0"/>
        <v>150618712.88</v>
      </c>
      <c r="W6" s="27">
        <f t="shared" si="0"/>
        <v>125523382.08999999</v>
      </c>
      <c r="X6" s="27">
        <f t="shared" si="0"/>
        <v>83734766.080000013</v>
      </c>
      <c r="Y6" s="27">
        <f t="shared" si="0"/>
        <v>675137378.98000002</v>
      </c>
      <c r="Z6" s="27">
        <f t="shared" si="0"/>
        <v>189627206.00999999</v>
      </c>
      <c r="AA6" s="27">
        <f t="shared" si="0"/>
        <v>29798069.859999992</v>
      </c>
      <c r="AB6" s="27">
        <f t="shared" si="0"/>
        <v>10062872.699999996</v>
      </c>
      <c r="AC6" s="27">
        <f t="shared" si="0"/>
        <v>440668260.38</v>
      </c>
      <c r="AD6" s="27">
        <f t="shared" si="0"/>
        <v>619995.64999999991</v>
      </c>
      <c r="AE6" s="27">
        <f t="shared" si="0"/>
        <v>280738.44</v>
      </c>
      <c r="AF6" s="27">
        <f t="shared" si="0"/>
        <v>139160.45999999996</v>
      </c>
      <c r="AG6" s="27">
        <f t="shared" si="0"/>
        <v>-2127899.2599999998</v>
      </c>
      <c r="AH6" s="27">
        <f t="shared" si="0"/>
        <v>-2098059.7599999998</v>
      </c>
      <c r="AI6" s="27">
        <f t="shared" si="0"/>
        <v>-2270774.0300000003</v>
      </c>
      <c r="AJ6" s="27">
        <f t="shared" si="0"/>
        <v>34276.339999999997</v>
      </c>
      <c r="AK6" s="27">
        <f t="shared" si="0"/>
        <v>-1474285.9900000002</v>
      </c>
      <c r="AL6" s="27">
        <f t="shared" si="0"/>
        <v>424191.40999999992</v>
      </c>
      <c r="AM6" s="27">
        <f t="shared" si="0"/>
        <v>289527.75999999995</v>
      </c>
      <c r="AN6" s="27">
        <f t="shared" si="0"/>
        <v>164968.9</v>
      </c>
      <c r="AO6" s="27">
        <f t="shared" si="0"/>
        <v>55952.279999997467</v>
      </c>
      <c r="AP6" s="27">
        <f t="shared" si="0"/>
        <v>903263.5700000003</v>
      </c>
      <c r="AQ6" s="27">
        <f t="shared" si="0"/>
        <v>933574.1400000006</v>
      </c>
      <c r="AR6" s="27">
        <f t="shared" si="0"/>
        <v>123870.4299999997</v>
      </c>
      <c r="AS6" s="27">
        <f t="shared" si="0"/>
        <v>37242226.709999979</v>
      </c>
      <c r="AT6" s="27">
        <f t="shared" si="0"/>
        <v>13569075.50999999</v>
      </c>
      <c r="AU6" s="27">
        <f t="shared" si="0"/>
        <v>11542113.580000013</v>
      </c>
      <c r="AV6" s="27">
        <f t="shared" si="0"/>
        <v>6182536.4099999964</v>
      </c>
      <c r="AW6" s="27">
        <f t="shared" si="0"/>
        <v>13395453.029999971</v>
      </c>
      <c r="AX6" s="27">
        <f t="shared" si="0"/>
        <v>8796331.8200000077</v>
      </c>
      <c r="AY6" s="27">
        <f t="shared" si="0"/>
        <v>1971786.7400000095</v>
      </c>
      <c r="AZ6" s="27">
        <f t="shared" si="0"/>
        <v>543014.65000000596</v>
      </c>
      <c r="BA6" s="27">
        <f t="shared" si="0"/>
        <v>3084575.2099999785</v>
      </c>
      <c r="BB6" s="27">
        <f t="shared" si="0"/>
        <v>3174804.5500000119</v>
      </c>
      <c r="BC6" s="27">
        <f t="shared" si="0"/>
        <v>305753.49000000954</v>
      </c>
      <c r="BD6" s="27">
        <f t="shared" si="0"/>
        <v>24561.060000002384</v>
      </c>
      <c r="BE6" s="27">
        <f t="shared" si="0"/>
        <v>43441628.299999952</v>
      </c>
      <c r="BF6" s="27">
        <f t="shared" si="0"/>
        <v>36685080.00999999</v>
      </c>
      <c r="BG6" s="27">
        <f t="shared" si="0"/>
        <v>32149655.430000007</v>
      </c>
      <c r="BH6" s="27">
        <f t="shared" si="0"/>
        <v>15346934.920000017</v>
      </c>
      <c r="BI6" s="27">
        <f t="shared" si="0"/>
        <v>96951822.689999938</v>
      </c>
      <c r="BJ6" s="27">
        <f t="shared" si="0"/>
        <v>59220833.279999971</v>
      </c>
      <c r="BK6" s="27">
        <f t="shared" si="0"/>
        <v>32876131.769999981</v>
      </c>
      <c r="BL6" s="27">
        <f t="shared" si="0"/>
        <v>14453247.920000002</v>
      </c>
      <c r="BM6" s="27">
        <f t="shared" si="0"/>
        <v>94991819.940000057</v>
      </c>
      <c r="BN6" s="27">
        <f t="shared" si="0"/>
        <v>58540391.110000014</v>
      </c>
      <c r="BO6" s="27">
        <f t="shared" ref="BO6:CK6" si="1">BO4-BO5</f>
        <v>40096175.589999974</v>
      </c>
      <c r="BP6" s="27">
        <f t="shared" si="1"/>
        <v>14695787.280000001</v>
      </c>
      <c r="BQ6" s="27">
        <f t="shared" si="1"/>
        <v>76662906.410000086</v>
      </c>
      <c r="BR6" s="27">
        <f t="shared" si="1"/>
        <v>33097600.139999986</v>
      </c>
      <c r="BS6" s="27">
        <f t="shared" si="1"/>
        <v>72568154.060000002</v>
      </c>
      <c r="BT6" s="27">
        <f t="shared" si="1"/>
        <v>34653550.060000002</v>
      </c>
      <c r="BU6" s="27">
        <f t="shared" si="1"/>
        <v>39288207.909999996</v>
      </c>
      <c r="BV6" s="27">
        <f t="shared" si="1"/>
        <v>14184357.630000003</v>
      </c>
      <c r="BW6" s="27">
        <f t="shared" si="1"/>
        <v>34280782.130000003</v>
      </c>
      <c r="BX6" s="27">
        <f t="shared" si="1"/>
        <v>15630491.199999999</v>
      </c>
      <c r="BY6" s="27">
        <f t="shared" si="1"/>
        <v>24297944.210000001</v>
      </c>
      <c r="BZ6" s="27">
        <f t="shared" si="1"/>
        <v>10862568.940000001</v>
      </c>
      <c r="CA6" s="27">
        <f t="shared" si="1"/>
        <v>26009829.259999998</v>
      </c>
      <c r="CB6" s="27">
        <f t="shared" si="1"/>
        <v>39352472.810000002</v>
      </c>
      <c r="CC6" s="27">
        <f t="shared" si="1"/>
        <v>32537980.160000004</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36.505925444318883</v>
      </c>
      <c r="C7" s="57">
        <f t="shared" ref="C7:D7" si="2">C6/C4*100</f>
        <v>34.294706406084011</v>
      </c>
      <c r="D7" s="57">
        <f t="shared" si="2"/>
        <v>22.919172839386942</v>
      </c>
      <c r="E7" s="57">
        <f>E6/E4</f>
        <v>0.3467742568491734</v>
      </c>
      <c r="F7" s="57">
        <f t="shared" ref="F7:BQ7" si="3">F6/F4</f>
        <v>0.40473309545518638</v>
      </c>
      <c r="G7" s="57">
        <f t="shared" si="3"/>
        <v>0.42125359983576371</v>
      </c>
      <c r="H7" s="57">
        <f t="shared" si="3"/>
        <v>0.41931864493248178</v>
      </c>
      <c r="I7" s="57">
        <f t="shared" si="3"/>
        <v>0.32296140585653427</v>
      </c>
      <c r="J7" s="57">
        <f t="shared" si="3"/>
        <v>0.2608114441815983</v>
      </c>
      <c r="K7" s="57">
        <f t="shared" si="3"/>
        <v>0.26713850275805118</v>
      </c>
      <c r="L7" s="57">
        <f t="shared" si="3"/>
        <v>0.29630613465590377</v>
      </c>
      <c r="M7" s="57">
        <f t="shared" si="3"/>
        <v>0.39566408284746291</v>
      </c>
      <c r="N7" s="57">
        <f t="shared" si="3"/>
        <v>0.42371678407182578</v>
      </c>
      <c r="O7" s="57">
        <f t="shared" si="3"/>
        <v>0.46380364365116294</v>
      </c>
      <c r="P7" s="57">
        <f t="shared" si="3"/>
        <v>0.45600106358083126</v>
      </c>
      <c r="Q7" s="57">
        <f t="shared" si="3"/>
        <v>0.36045505557553786</v>
      </c>
      <c r="R7" s="57">
        <f t="shared" si="3"/>
        <v>0.42365141242028481</v>
      </c>
      <c r="S7" s="57">
        <f t="shared" si="3"/>
        <v>0.41706095434574525</v>
      </c>
      <c r="T7" s="57">
        <f t="shared" si="3"/>
        <v>0.47716858663791278</v>
      </c>
      <c r="U7" s="57">
        <f t="shared" si="3"/>
        <v>0.39812544991903659</v>
      </c>
      <c r="V7" s="57">
        <f t="shared" si="3"/>
        <v>0.46129396318854243</v>
      </c>
      <c r="W7" s="57">
        <f t="shared" si="3"/>
        <v>0.4982406403835643</v>
      </c>
      <c r="X7" s="57">
        <f t="shared" si="3"/>
        <v>0.52480885973281155</v>
      </c>
      <c r="Y7" s="57">
        <f t="shared" si="3"/>
        <v>0.35787648743365119</v>
      </c>
      <c r="Z7" s="57">
        <f t="shared" si="3"/>
        <v>0.5234334102864997</v>
      </c>
      <c r="AA7" s="57">
        <f t="shared" si="3"/>
        <v>0.32273845064438178</v>
      </c>
      <c r="AB7" s="57">
        <f t="shared" si="3"/>
        <v>0.26184878340029383</v>
      </c>
      <c r="AC7" s="57">
        <f t="shared" si="3"/>
        <v>0.48365666628577025</v>
      </c>
      <c r="AD7" s="57">
        <f t="shared" si="3"/>
        <v>0.26666147189270728</v>
      </c>
      <c r="AE7" s="57">
        <f t="shared" si="3"/>
        <v>0.3901586092365123</v>
      </c>
      <c r="AF7" s="57">
        <f t="shared" si="3"/>
        <v>0.30595552015938121</v>
      </c>
      <c r="AG7" s="57">
        <f t="shared" si="3"/>
        <v>-1.0790536182786379</v>
      </c>
      <c r="AH7" s="57">
        <f t="shared" si="3"/>
        <v>-0.93369689452001747</v>
      </c>
      <c r="AI7" s="57">
        <f t="shared" si="3"/>
        <v>-1.3809708553860374</v>
      </c>
      <c r="AJ7" s="57">
        <f t="shared" si="3"/>
        <v>0.28979878815999882</v>
      </c>
      <c r="AK7" s="57">
        <f t="shared" si="3"/>
        <v>-0.63558218340027317</v>
      </c>
      <c r="AL7" s="57">
        <f t="shared" si="3"/>
        <v>0.40034394979468174</v>
      </c>
      <c r="AM7" s="57">
        <f t="shared" si="3"/>
        <v>0.40543920371589237</v>
      </c>
      <c r="AN7" s="57">
        <f t="shared" si="3"/>
        <v>0.51947563250366569</v>
      </c>
      <c r="AO7" s="57">
        <f t="shared" si="3"/>
        <v>1.8886796384257676E-3</v>
      </c>
      <c r="AP7" s="57">
        <f t="shared" si="3"/>
        <v>2.275792060009716E-2</v>
      </c>
      <c r="AQ7" s="57">
        <f t="shared" si="3"/>
        <v>2.433832392392778E-2</v>
      </c>
      <c r="AR7" s="57">
        <f t="shared" si="3"/>
        <v>6.1991804094383802E-3</v>
      </c>
      <c r="AS7" s="57">
        <f t="shared" si="3"/>
        <v>0.13482473790354851</v>
      </c>
      <c r="AT7" s="57">
        <f t="shared" si="3"/>
        <v>6.3971242641611345E-2</v>
      </c>
      <c r="AU7" s="57">
        <f t="shared" si="3"/>
        <v>7.6113139157722651E-2</v>
      </c>
      <c r="AV7" s="57">
        <f t="shared" si="3"/>
        <v>9.8036417023953742E-2</v>
      </c>
      <c r="AW7" s="57">
        <f t="shared" si="3"/>
        <v>5.845046680797205E-2</v>
      </c>
      <c r="AX7" s="57">
        <f t="shared" si="3"/>
        <v>6.9742651503877179E-2</v>
      </c>
      <c r="AY7" s="57">
        <f t="shared" si="3"/>
        <v>2.7834308344670048E-2</v>
      </c>
      <c r="AZ7" s="57">
        <f t="shared" si="3"/>
        <v>1.3572152659444711E-2</v>
      </c>
      <c r="BA7" s="57">
        <f t="shared" si="3"/>
        <v>1.3932219188318629E-2</v>
      </c>
      <c r="BB7" s="57">
        <f t="shared" si="3"/>
        <v>1.5849774013521657E-2</v>
      </c>
      <c r="BC7" s="57">
        <f t="shared" si="3"/>
        <v>1.7626320187781139E-3</v>
      </c>
      <c r="BD7" s="57">
        <f t="shared" si="3"/>
        <v>2.4450493954337446E-4</v>
      </c>
      <c r="BE7" s="57">
        <f t="shared" si="3"/>
        <v>5.4183430441150586E-2</v>
      </c>
      <c r="BF7" s="57">
        <f t="shared" si="3"/>
        <v>6.0379566809483552E-2</v>
      </c>
      <c r="BG7" s="57">
        <f t="shared" si="3"/>
        <v>8.3072802793396433E-2</v>
      </c>
      <c r="BH7" s="57">
        <f t="shared" si="3"/>
        <v>9.0278834668187383E-2</v>
      </c>
      <c r="BI7" s="57">
        <f t="shared" si="3"/>
        <v>0.11186668839172829</v>
      </c>
      <c r="BJ7" s="57">
        <f t="shared" si="3"/>
        <v>0.10512940111838112</v>
      </c>
      <c r="BK7" s="57">
        <f t="shared" si="3"/>
        <v>0.10509308253013989</v>
      </c>
      <c r="BL7" s="57">
        <f t="shared" si="3"/>
        <v>0.11132938169884217</v>
      </c>
      <c r="BM7" s="57">
        <f t="shared" si="3"/>
        <v>9.5359503944606169E-2</v>
      </c>
      <c r="BN7" s="57">
        <f t="shared" si="3"/>
        <v>8.7076402630167554E-2</v>
      </c>
      <c r="BO7" s="57">
        <f t="shared" si="3"/>
        <v>9.438326606223589E-2</v>
      </c>
      <c r="BP7" s="57">
        <f t="shared" si="3"/>
        <v>7.0817345194349568E-2</v>
      </c>
      <c r="BQ7" s="57">
        <f t="shared" si="3"/>
        <v>0.10063046247276956</v>
      </c>
      <c r="BR7" s="57">
        <f t="shared" ref="BR7:CK7" si="4">BR6/BR4</f>
        <v>0.14405907722335967</v>
      </c>
      <c r="BS7" s="57">
        <f t="shared" si="4"/>
        <v>0.36549051078801931</v>
      </c>
      <c r="BT7" s="57">
        <f t="shared" si="4"/>
        <v>0.33394244706811305</v>
      </c>
      <c r="BU7" s="57">
        <f t="shared" si="4"/>
        <v>0.38719785742806545</v>
      </c>
      <c r="BV7" s="57">
        <f t="shared" si="4"/>
        <v>0.35728701216758457</v>
      </c>
      <c r="BW7" s="57">
        <f t="shared" si="4"/>
        <v>0.47621056678653489</v>
      </c>
      <c r="BX7" s="57">
        <f t="shared" si="4"/>
        <v>0.51554134164165744</v>
      </c>
      <c r="BY7" s="57">
        <f t="shared" si="4"/>
        <v>0.39237943499519895</v>
      </c>
      <c r="BZ7" s="57">
        <f t="shared" si="4"/>
        <v>0.34929031589360693</v>
      </c>
      <c r="CA7" s="57">
        <f t="shared" si="4"/>
        <v>0.36587825427965481</v>
      </c>
      <c r="CB7" s="57">
        <f t="shared" si="4"/>
        <v>0.44113590928733643</v>
      </c>
      <c r="CC7" s="57">
        <f t="shared" si="4"/>
        <v>0.45203449818253572</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85371857.340000004</v>
      </c>
      <c r="C8" s="190">
        <v>54936163.880000003</v>
      </c>
      <c r="D8" s="190">
        <v>10569547.560000001</v>
      </c>
      <c r="E8" s="190">
        <v>101451253.31999999</v>
      </c>
      <c r="F8" s="190">
        <v>89424917.439999998</v>
      </c>
      <c r="G8" s="190">
        <v>80628114.709999993</v>
      </c>
      <c r="H8" s="190">
        <v>61589906.329999998</v>
      </c>
      <c r="I8" s="190">
        <v>411298134.14999998</v>
      </c>
      <c r="J8" s="190">
        <v>252840463.41999999</v>
      </c>
      <c r="K8" s="190">
        <v>211189956.50999999</v>
      </c>
      <c r="L8" s="190">
        <v>199741282.63</v>
      </c>
      <c r="M8" s="190">
        <v>42561979.93</v>
      </c>
      <c r="N8" s="190">
        <v>22746195.420000002</v>
      </c>
      <c r="O8" s="190">
        <v>10482372.85</v>
      </c>
      <c r="P8" s="190">
        <v>14774642.84</v>
      </c>
      <c r="Q8" s="190">
        <v>126295894.42</v>
      </c>
      <c r="R8" s="190">
        <v>120726515.27</v>
      </c>
      <c r="S8" s="190">
        <v>103259927.25</v>
      </c>
      <c r="T8" s="190">
        <v>30094731.969999999</v>
      </c>
      <c r="U8" s="190">
        <v>332091140.33999997</v>
      </c>
      <c r="V8" s="190">
        <v>45330962.090000004</v>
      </c>
      <c r="W8" s="190">
        <v>38447264.93</v>
      </c>
      <c r="X8" s="190">
        <v>13049064.960000001</v>
      </c>
      <c r="Y8" s="190">
        <v>189907873.41999999</v>
      </c>
      <c r="Z8" s="190">
        <v>65520930.93</v>
      </c>
      <c r="AA8" s="190">
        <v>4236995.6500000004</v>
      </c>
      <c r="AB8" s="190">
        <v>2758656.39</v>
      </c>
      <c r="AC8" s="190">
        <v>121683843.83</v>
      </c>
      <c r="AD8" s="190">
        <v>62306.68</v>
      </c>
      <c r="AE8" s="190">
        <v>43233.440000000002</v>
      </c>
      <c r="AF8" s="190">
        <v>21616.720000000001</v>
      </c>
      <c r="AG8" s="190">
        <v>64301.83</v>
      </c>
      <c r="AH8" s="190">
        <v>25308.78</v>
      </c>
      <c r="AI8" s="190">
        <v>10314.98</v>
      </c>
      <c r="AJ8" s="190">
        <v>5157.49</v>
      </c>
      <c r="AK8" s="190">
        <v>52354.14</v>
      </c>
      <c r="AL8" s="190">
        <v>69241.78</v>
      </c>
      <c r="AM8" s="190">
        <v>56402.91</v>
      </c>
      <c r="AN8" s="190">
        <v>15511.07</v>
      </c>
      <c r="AO8" s="190">
        <v>133622.69</v>
      </c>
      <c r="AP8" s="190">
        <v>104800.8</v>
      </c>
      <c r="AQ8" s="190">
        <v>103612.12</v>
      </c>
      <c r="AR8" s="190">
        <v>63806.25</v>
      </c>
      <c r="AS8" s="190">
        <v>729823.35</v>
      </c>
      <c r="AT8" s="190">
        <v>298035.8</v>
      </c>
      <c r="AU8" s="190">
        <v>186051.24</v>
      </c>
      <c r="AV8" s="190">
        <v>152345.28</v>
      </c>
      <c r="AW8" s="190">
        <v>245314.92</v>
      </c>
      <c r="AX8" s="190">
        <v>107675.08</v>
      </c>
      <c r="AY8" s="190">
        <v>39897.870000000003</v>
      </c>
      <c r="AZ8" s="190">
        <v>8788.2999999999993</v>
      </c>
      <c r="BA8" s="190">
        <v>502263.09</v>
      </c>
      <c r="BB8" s="190">
        <v>295089.95</v>
      </c>
      <c r="BC8" s="190">
        <v>230201.89</v>
      </c>
      <c r="BD8" s="190">
        <v>129787.77</v>
      </c>
      <c r="BE8" s="190">
        <v>625168.99</v>
      </c>
      <c r="BF8" s="190">
        <v>445319.09</v>
      </c>
      <c r="BG8" s="190">
        <v>339085.12</v>
      </c>
      <c r="BH8" s="190">
        <v>157619.75</v>
      </c>
      <c r="BI8" s="190">
        <v>1461794.33</v>
      </c>
      <c r="BJ8" s="190">
        <v>898372.48</v>
      </c>
      <c r="BK8" s="190">
        <v>406107.11</v>
      </c>
      <c r="BL8" s="190">
        <v>83009.600000000006</v>
      </c>
      <c r="BM8" s="190">
        <v>1869168.06</v>
      </c>
      <c r="BN8" s="190">
        <v>1417384.88</v>
      </c>
      <c r="BO8" s="190">
        <v>829062.46</v>
      </c>
      <c r="BP8" s="190">
        <v>666241.77</v>
      </c>
      <c r="BQ8" s="190">
        <v>3218094.36</v>
      </c>
      <c r="BR8" s="190">
        <v>1944718.97</v>
      </c>
      <c r="BS8" s="190">
        <v>3463019.55</v>
      </c>
      <c r="BT8" s="190">
        <v>1539275.07</v>
      </c>
      <c r="BU8" s="190">
        <v>1402513.88</v>
      </c>
      <c r="BV8" s="190">
        <v>392976.86</v>
      </c>
      <c r="BW8" s="190">
        <v>1265989.26</v>
      </c>
      <c r="BX8" s="190">
        <v>488903.67999999999</v>
      </c>
      <c r="BY8" s="190">
        <v>884093.29</v>
      </c>
      <c r="BZ8" s="190">
        <v>226578.78</v>
      </c>
      <c r="CA8" s="190">
        <v>758737.16</v>
      </c>
      <c r="CB8" s="190">
        <v>692701.56</v>
      </c>
      <c r="CC8" s="190">
        <v>346846.66</v>
      </c>
      <c r="CD8" s="190">
        <v>0</v>
      </c>
      <c r="CE8" s="190"/>
      <c r="CF8" s="190"/>
      <c r="CG8" s="190"/>
      <c r="CH8" s="190"/>
      <c r="CI8" s="190"/>
      <c r="CJ8" s="190"/>
      <c r="CK8" s="190"/>
    </row>
    <row r="9" spans="1:89" x14ac:dyDescent="0.25">
      <c r="A9" s="17" t="s">
        <v>390</v>
      </c>
      <c r="B9" s="190">
        <v>25329566.82</v>
      </c>
      <c r="C9" s="190">
        <v>15858033.619999999</v>
      </c>
      <c r="D9" s="190">
        <v>6256774.6399999997</v>
      </c>
      <c r="E9" s="190">
        <v>45955102.289999999</v>
      </c>
      <c r="F9" s="190">
        <v>36096637.200000003</v>
      </c>
      <c r="G9" s="190">
        <v>26352030.510000002</v>
      </c>
      <c r="H9" s="190">
        <v>8610414.5399999991</v>
      </c>
      <c r="I9" s="190">
        <v>120514143.47</v>
      </c>
      <c r="J9" s="190">
        <v>84617026.969999999</v>
      </c>
      <c r="K9" s="190">
        <v>50856506.030000001</v>
      </c>
      <c r="L9" s="190">
        <v>20227825.170000002</v>
      </c>
      <c r="M9" s="190">
        <v>86926637.469999999</v>
      </c>
      <c r="N9" s="190">
        <v>55320126.909999996</v>
      </c>
      <c r="O9" s="190">
        <v>37191676.270000003</v>
      </c>
      <c r="P9" s="190">
        <v>14289501.99</v>
      </c>
      <c r="Q9" s="190">
        <v>56386031.840000004</v>
      </c>
      <c r="R9" s="190">
        <v>43546455.869999997</v>
      </c>
      <c r="S9" s="190">
        <v>30709436.84</v>
      </c>
      <c r="T9" s="190">
        <v>13580679.880000001</v>
      </c>
      <c r="U9" s="190">
        <v>45246195.350000001</v>
      </c>
      <c r="V9" s="190">
        <v>33414029.710000001</v>
      </c>
      <c r="W9" s="190">
        <v>20895448.82</v>
      </c>
      <c r="X9" s="190">
        <v>9207108.2599999998</v>
      </c>
      <c r="Y9" s="190">
        <v>39961608.130000003</v>
      </c>
      <c r="Z9" s="190">
        <v>25851485.030000001</v>
      </c>
      <c r="AA9" s="190">
        <v>9644357.6400000006</v>
      </c>
      <c r="AB9" s="190">
        <v>4074621.71</v>
      </c>
      <c r="AC9" s="190">
        <v>37176642.43</v>
      </c>
      <c r="AD9" s="190">
        <v>0</v>
      </c>
      <c r="AE9" s="190">
        <v>0</v>
      </c>
      <c r="AF9" s="190">
        <v>0</v>
      </c>
      <c r="AG9" s="190">
        <v>0</v>
      </c>
      <c r="AH9" s="190">
        <v>0</v>
      </c>
      <c r="AI9" s="190">
        <v>0</v>
      </c>
      <c r="AJ9" s="190">
        <v>0</v>
      </c>
      <c r="AK9" s="190">
        <v>0</v>
      </c>
      <c r="AL9" s="190">
        <v>-208622</v>
      </c>
      <c r="AM9" s="190">
        <v>-402411.35</v>
      </c>
      <c r="AN9" s="190">
        <v>0</v>
      </c>
      <c r="AO9" s="190">
        <v>2322996.6800000002</v>
      </c>
      <c r="AP9" s="190">
        <v>2822873.12</v>
      </c>
      <c r="AQ9" s="190">
        <v>2386177.29</v>
      </c>
      <c r="AR9" s="190">
        <v>1239141.08</v>
      </c>
      <c r="AS9" s="190">
        <v>11116450.77</v>
      </c>
      <c r="AT9" s="190">
        <v>8876671.6699999999</v>
      </c>
      <c r="AU9" s="190">
        <v>6574610.2599999998</v>
      </c>
      <c r="AV9" s="190">
        <v>3574313.8</v>
      </c>
      <c r="AW9" s="190">
        <v>13747148.449999999</v>
      </c>
      <c r="AX9" s="190">
        <v>8095603.3899999997</v>
      </c>
      <c r="AY9" s="190">
        <v>5208377.07</v>
      </c>
      <c r="AZ9" s="190">
        <v>2597860.15</v>
      </c>
      <c r="BA9" s="190">
        <v>7668617.2000000002</v>
      </c>
      <c r="BB9" s="190">
        <v>5574907.3200000003</v>
      </c>
      <c r="BC9" s="190">
        <v>3227823.63</v>
      </c>
      <c r="BD9" s="190">
        <v>1658146.67</v>
      </c>
      <c r="BE9" s="190">
        <v>12128003.970000001</v>
      </c>
      <c r="BF9" s="190">
        <v>7326654.3300000001</v>
      </c>
      <c r="BG9" s="190">
        <v>5140689.68</v>
      </c>
      <c r="BH9" s="190">
        <v>2572951.27</v>
      </c>
      <c r="BI9" s="190">
        <v>14507809.52</v>
      </c>
      <c r="BJ9" s="190">
        <v>9700464.6400000006</v>
      </c>
      <c r="BK9" s="190">
        <v>5154955.25</v>
      </c>
      <c r="BL9" s="190">
        <v>2697345.63</v>
      </c>
      <c r="BM9" s="190">
        <v>18616003.309999999</v>
      </c>
      <c r="BN9" s="190">
        <v>12723949.17</v>
      </c>
      <c r="BO9" s="190">
        <v>7435897.4400000004</v>
      </c>
      <c r="BP9" s="190">
        <v>3775848.12</v>
      </c>
      <c r="BQ9" s="190">
        <v>15503561.42</v>
      </c>
      <c r="BR9" s="190">
        <v>3845589.43</v>
      </c>
      <c r="BS9" s="190">
        <v>5632489.0099999998</v>
      </c>
      <c r="BT9" s="190">
        <v>3064819.49</v>
      </c>
      <c r="BU9" s="190">
        <v>4980656.49</v>
      </c>
      <c r="BV9" s="190">
        <v>2431489.89</v>
      </c>
      <c r="BW9" s="190">
        <v>4165780.47</v>
      </c>
      <c r="BX9" s="190">
        <v>1997711.48</v>
      </c>
      <c r="BY9" s="190">
        <v>3325861.95</v>
      </c>
      <c r="BZ9" s="190">
        <v>1540271.99</v>
      </c>
      <c r="CA9" s="190">
        <v>4877014.13</v>
      </c>
      <c r="CB9" s="190">
        <v>7272589.9500000002</v>
      </c>
      <c r="CC9" s="190">
        <v>6196688.6699999999</v>
      </c>
      <c r="CD9" s="190">
        <v>0</v>
      </c>
      <c r="CE9" s="190"/>
      <c r="CF9" s="190"/>
      <c r="CG9" s="190"/>
      <c r="CH9" s="190"/>
      <c r="CI9" s="190"/>
      <c r="CJ9" s="190"/>
      <c r="CK9" s="190"/>
    </row>
    <row r="10" spans="1:89" x14ac:dyDescent="0.25">
      <c r="A10" s="17" t="s">
        <v>391</v>
      </c>
      <c r="B10" s="190">
        <v>131874369.54000001</v>
      </c>
      <c r="C10" s="190">
        <v>90988246.150000006</v>
      </c>
      <c r="D10" s="190">
        <v>57486396.729999997</v>
      </c>
      <c r="E10" s="190">
        <v>148643860.25</v>
      </c>
      <c r="F10" s="190">
        <v>122399732.97</v>
      </c>
      <c r="G10" s="190">
        <v>88655676.859999999</v>
      </c>
      <c r="H10" s="190">
        <v>47525779.289999999</v>
      </c>
      <c r="I10" s="190">
        <v>182172498.37</v>
      </c>
      <c r="J10" s="190">
        <v>144290524.96000001</v>
      </c>
      <c r="K10" s="190">
        <v>93455186.049999997</v>
      </c>
      <c r="L10" s="190">
        <v>51985543.399999999</v>
      </c>
      <c r="M10" s="190">
        <v>193213484.40000001</v>
      </c>
      <c r="N10" s="190">
        <v>135627590.81999999</v>
      </c>
      <c r="O10" s="190">
        <v>97591166.959999993</v>
      </c>
      <c r="P10" s="190">
        <v>49837232.189999998</v>
      </c>
      <c r="Q10" s="190">
        <v>148939850.91</v>
      </c>
      <c r="R10" s="190">
        <v>118289185.34</v>
      </c>
      <c r="S10" s="190">
        <v>77644059.790000007</v>
      </c>
      <c r="T10" s="190">
        <v>50880135.57</v>
      </c>
      <c r="U10" s="190">
        <v>108937690.45</v>
      </c>
      <c r="V10" s="190">
        <v>80854760.340000004</v>
      </c>
      <c r="W10" s="190">
        <v>54035052.049999997</v>
      </c>
      <c r="X10" s="190">
        <v>32815401.469999999</v>
      </c>
      <c r="Y10" s="190">
        <v>84505484.939999998</v>
      </c>
      <c r="Z10" s="190">
        <v>69971405.079999998</v>
      </c>
      <c r="AA10" s="190">
        <v>41460248.130000003</v>
      </c>
      <c r="AB10" s="190">
        <v>24641457.489999998</v>
      </c>
      <c r="AC10" s="190">
        <v>78469227.819999993</v>
      </c>
      <c r="AD10" s="190">
        <v>2980805.51</v>
      </c>
      <c r="AE10" s="190">
        <v>1957592.03</v>
      </c>
      <c r="AF10" s="190">
        <v>945560.98</v>
      </c>
      <c r="AG10" s="190">
        <v>3608223.67</v>
      </c>
      <c r="AH10" s="190">
        <v>2746005.31</v>
      </c>
      <c r="AI10" s="190">
        <v>1552133.04</v>
      </c>
      <c r="AJ10" s="190">
        <v>706222.42</v>
      </c>
      <c r="AK10" s="190">
        <v>2733963.15</v>
      </c>
      <c r="AL10" s="190">
        <v>2237359.42</v>
      </c>
      <c r="AM10" s="190">
        <v>1408576.38</v>
      </c>
      <c r="AN10" s="190">
        <v>506551.71</v>
      </c>
      <c r="AO10" s="190">
        <v>14063980.23</v>
      </c>
      <c r="AP10" s="190">
        <v>13401357.779999999</v>
      </c>
      <c r="AQ10" s="190">
        <v>11333767.01</v>
      </c>
      <c r="AR10" s="190">
        <v>4663545.7699999996</v>
      </c>
      <c r="AS10" s="190">
        <v>14676262.720000001</v>
      </c>
      <c r="AT10" s="190">
        <v>17641463.170000002</v>
      </c>
      <c r="AU10" s="190">
        <v>12292359.189999999</v>
      </c>
      <c r="AV10" s="190">
        <v>5701844.5199999996</v>
      </c>
      <c r="AW10" s="190">
        <v>24892400.59</v>
      </c>
      <c r="AX10" s="190">
        <v>14382229.800000001</v>
      </c>
      <c r="AY10" s="190">
        <v>9547297.7100000009</v>
      </c>
      <c r="AZ10" s="190">
        <v>3296249.24</v>
      </c>
      <c r="BA10" s="190">
        <v>370569542.62</v>
      </c>
      <c r="BB10" s="190">
        <v>33707498.43</v>
      </c>
      <c r="BC10" s="190">
        <v>29891715.260000002</v>
      </c>
      <c r="BD10" s="190">
        <v>4891753.8600000003</v>
      </c>
      <c r="BE10" s="190">
        <v>159327802.06</v>
      </c>
      <c r="BF10" s="190">
        <v>16591984.41</v>
      </c>
      <c r="BG10" s="190">
        <v>11976014.43</v>
      </c>
      <c r="BH10" s="190">
        <v>5770128.2300000004</v>
      </c>
      <c r="BI10" s="190">
        <v>29244777.52</v>
      </c>
      <c r="BJ10" s="190">
        <v>15903617.050000001</v>
      </c>
      <c r="BK10" s="190">
        <v>9246246.9700000007</v>
      </c>
      <c r="BL10" s="190">
        <v>5246232.58</v>
      </c>
      <c r="BM10" s="190">
        <v>32355008.66</v>
      </c>
      <c r="BN10" s="190">
        <v>18694792.07</v>
      </c>
      <c r="BO10" s="190">
        <v>12261857.93</v>
      </c>
      <c r="BP10" s="190">
        <v>6093179.75</v>
      </c>
      <c r="BQ10" s="190">
        <v>25381286.73</v>
      </c>
      <c r="BR10" s="190">
        <v>9694547.5199999996</v>
      </c>
      <c r="BS10" s="190">
        <v>19561959.190000001</v>
      </c>
      <c r="BT10" s="190">
        <v>8496202.1199999992</v>
      </c>
      <c r="BU10" s="190">
        <v>15025733.48</v>
      </c>
      <c r="BV10" s="190">
        <v>5627860.6699999999</v>
      </c>
      <c r="BW10" s="190">
        <v>10642772.460000001</v>
      </c>
      <c r="BX10" s="190">
        <v>4713830.84</v>
      </c>
      <c r="BY10" s="190">
        <v>4535806.34</v>
      </c>
      <c r="BZ10" s="190">
        <v>2150703.64</v>
      </c>
      <c r="CA10" s="190">
        <v>3276807.82</v>
      </c>
      <c r="CB10" s="190">
        <v>6850825.21</v>
      </c>
      <c r="CC10" s="190">
        <v>5438582.0899999999</v>
      </c>
      <c r="CD10" s="190">
        <v>0</v>
      </c>
      <c r="CE10" s="190"/>
      <c r="CF10" s="190"/>
      <c r="CG10" s="190"/>
      <c r="CH10" s="190"/>
      <c r="CI10" s="190"/>
      <c r="CJ10" s="190"/>
      <c r="CK10" s="190"/>
    </row>
    <row r="11" spans="1:89" x14ac:dyDescent="0.25">
      <c r="A11" s="17" t="s">
        <v>392</v>
      </c>
      <c r="B11" s="190">
        <v>1146621.54</v>
      </c>
      <c r="C11" s="190">
        <v>775688.04</v>
      </c>
      <c r="D11" s="190">
        <v>-290436.53000000003</v>
      </c>
      <c r="E11" s="190">
        <v>51763865.259999998</v>
      </c>
      <c r="F11" s="190">
        <v>868208.86</v>
      </c>
      <c r="G11" s="190">
        <v>1079941.32</v>
      </c>
      <c r="H11" s="190">
        <v>-4365.97</v>
      </c>
      <c r="I11" s="190">
        <v>5937134.9100000001</v>
      </c>
      <c r="J11" s="190">
        <v>-143330.18</v>
      </c>
      <c r="K11" s="190">
        <v>-27780.12</v>
      </c>
      <c r="L11" s="190">
        <v>-15782.88</v>
      </c>
      <c r="M11" s="190">
        <v>914621.49</v>
      </c>
      <c r="N11" s="190">
        <v>361875.64</v>
      </c>
      <c r="O11" s="190">
        <v>649640.14</v>
      </c>
      <c r="P11" s="190">
        <v>310732.44</v>
      </c>
      <c r="Q11" s="190">
        <v>454124.58</v>
      </c>
      <c r="R11" s="190">
        <v>460336.84</v>
      </c>
      <c r="S11" s="190">
        <v>179424.51</v>
      </c>
      <c r="T11" s="190">
        <v>-94545.86</v>
      </c>
      <c r="U11" s="190">
        <v>1462498.08</v>
      </c>
      <c r="V11" s="190">
        <v>1371428.65</v>
      </c>
      <c r="W11" s="190">
        <v>166643.57999999999</v>
      </c>
      <c r="X11" s="190">
        <v>-23576.58</v>
      </c>
      <c r="Y11" s="190">
        <v>842692.24</v>
      </c>
      <c r="Z11" s="190">
        <v>-25986.78</v>
      </c>
      <c r="AA11" s="190">
        <v>89276.67</v>
      </c>
      <c r="AB11" s="190">
        <v>-157222.89000000001</v>
      </c>
      <c r="AC11" s="190">
        <v>-2039457.77</v>
      </c>
      <c r="AD11" s="190">
        <v>1718446.35</v>
      </c>
      <c r="AE11" s="190">
        <v>1718446.35</v>
      </c>
      <c r="AF11" s="190">
        <v>0</v>
      </c>
      <c r="AG11" s="190">
        <v>-6414659.4800000004</v>
      </c>
      <c r="AH11" s="190">
        <v>70978.31</v>
      </c>
      <c r="AI11" s="190">
        <v>70978.31</v>
      </c>
      <c r="AJ11" s="190">
        <v>0</v>
      </c>
      <c r="AK11" s="190">
        <v>3087203.75</v>
      </c>
      <c r="AL11" s="190">
        <v>-376269.27</v>
      </c>
      <c r="AM11" s="190">
        <v>-660921.06000000006</v>
      </c>
      <c r="AN11" s="190">
        <v>0</v>
      </c>
      <c r="AO11" s="190">
        <v>12682501.439999999</v>
      </c>
      <c r="AP11" s="190">
        <v>9068740.1799999997</v>
      </c>
      <c r="AQ11" s="190">
        <v>9068740.1799999997</v>
      </c>
      <c r="AR11" s="190">
        <v>0</v>
      </c>
      <c r="AS11" s="190">
        <v>-14047138.48</v>
      </c>
      <c r="AT11" s="190">
        <v>-4019137.67</v>
      </c>
      <c r="AU11" s="190">
        <v>-4019137.67</v>
      </c>
      <c r="AV11" s="190">
        <v>0</v>
      </c>
      <c r="AW11" s="190">
        <v>357279484.61000001</v>
      </c>
      <c r="AX11" s="190">
        <v>10258869.42</v>
      </c>
      <c r="AY11" s="190">
        <v>10258869.42</v>
      </c>
      <c r="AZ11" s="190">
        <v>0</v>
      </c>
      <c r="BA11" s="190">
        <v>0</v>
      </c>
      <c r="BB11" s="190">
        <v>0</v>
      </c>
      <c r="BC11" s="190">
        <v>0</v>
      </c>
      <c r="BD11" s="190">
        <v>0</v>
      </c>
      <c r="BE11" s="190">
        <v>0</v>
      </c>
      <c r="BF11" s="190">
        <v>0</v>
      </c>
      <c r="BG11" s="190">
        <v>0</v>
      </c>
      <c r="BH11" s="190">
        <v>0</v>
      </c>
      <c r="BI11" s="190">
        <v>0</v>
      </c>
      <c r="BJ11" s="190">
        <v>0</v>
      </c>
      <c r="BK11" s="190">
        <v>0</v>
      </c>
      <c r="BL11" s="190">
        <v>0</v>
      </c>
      <c r="BM11" s="190">
        <v>0</v>
      </c>
      <c r="BN11" s="190">
        <v>0</v>
      </c>
      <c r="BO11" s="190">
        <v>0</v>
      </c>
      <c r="BP11" s="190">
        <v>0</v>
      </c>
      <c r="BQ11" s="190">
        <v>0</v>
      </c>
      <c r="BR11" s="190">
        <v>0</v>
      </c>
      <c r="BS11" s="190">
        <v>16724.060000000001</v>
      </c>
      <c r="BT11" s="190">
        <v>16724.060000000001</v>
      </c>
      <c r="BU11" s="190">
        <v>729021.18</v>
      </c>
      <c r="BV11" s="190">
        <v>0</v>
      </c>
      <c r="BW11" s="190">
        <v>0</v>
      </c>
      <c r="BX11" s="190">
        <v>0</v>
      </c>
      <c r="BY11" s="190">
        <v>0</v>
      </c>
      <c r="BZ11" s="190">
        <v>0</v>
      </c>
      <c r="CA11" s="190">
        <v>0</v>
      </c>
      <c r="CB11" s="190">
        <v>0</v>
      </c>
      <c r="CC11" s="190">
        <v>0</v>
      </c>
      <c r="CD11" s="190">
        <v>0</v>
      </c>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309112.8</v>
      </c>
      <c r="F12" s="29">
        <f t="shared" si="5"/>
        <v>1204</v>
      </c>
      <c r="G12" s="29">
        <f t="shared" si="5"/>
        <v>868</v>
      </c>
      <c r="H12" s="29">
        <f t="shared" si="5"/>
        <v>644</v>
      </c>
      <c r="I12" s="29">
        <f t="shared" si="5"/>
        <v>537339.37</v>
      </c>
      <c r="J12" s="29">
        <f t="shared" si="5"/>
        <v>0</v>
      </c>
      <c r="K12" s="29">
        <f t="shared" si="5"/>
        <v>0</v>
      </c>
      <c r="L12" s="29">
        <f t="shared" si="5"/>
        <v>0</v>
      </c>
      <c r="M12" s="29">
        <f t="shared" si="5"/>
        <v>583577.59</v>
      </c>
      <c r="N12" s="29">
        <f t="shared" si="5"/>
        <v>0</v>
      </c>
      <c r="O12" s="29">
        <f t="shared" si="5"/>
        <v>0</v>
      </c>
      <c r="P12" s="29">
        <f t="shared" si="5"/>
        <v>0</v>
      </c>
      <c r="Q12" s="29">
        <f t="shared" si="5"/>
        <v>519633.52</v>
      </c>
      <c r="R12" s="29">
        <f t="shared" si="5"/>
        <v>0</v>
      </c>
      <c r="S12" s="29">
        <f t="shared" si="5"/>
        <v>0</v>
      </c>
      <c r="T12" s="29">
        <f t="shared" si="5"/>
        <v>0</v>
      </c>
      <c r="U12" s="29">
        <f t="shared" si="5"/>
        <v>513023.09</v>
      </c>
      <c r="V12" s="29">
        <f t="shared" si="5"/>
        <v>0</v>
      </c>
      <c r="W12" s="29">
        <f t="shared" si="5"/>
        <v>0</v>
      </c>
      <c r="X12" s="29">
        <f t="shared" si="5"/>
        <v>0</v>
      </c>
      <c r="Y12" s="29">
        <f t="shared" si="5"/>
        <v>337739.49</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24414945.140000001</v>
      </c>
      <c r="C13" s="190">
        <v>14092083.84</v>
      </c>
      <c r="D13" s="190">
        <v>47042.879999999997</v>
      </c>
      <c r="E13" s="190">
        <v>34953709.079999998</v>
      </c>
      <c r="F13" s="190">
        <v>29797590.41</v>
      </c>
      <c r="G13" s="190">
        <v>24567214.859999999</v>
      </c>
      <c r="H13" s="190">
        <v>3449584.91</v>
      </c>
      <c r="I13" s="190">
        <v>34443641.5</v>
      </c>
      <c r="J13" s="190">
        <v>16224026.32</v>
      </c>
      <c r="K13" s="190">
        <v>13111347.689999999</v>
      </c>
      <c r="L13" s="190">
        <v>2926680.93</v>
      </c>
      <c r="M13" s="190">
        <v>20770440.859999999</v>
      </c>
      <c r="N13" s="190">
        <v>12848602.65</v>
      </c>
      <c r="O13" s="190">
        <v>4582135.53</v>
      </c>
      <c r="P13" s="190">
        <v>3062525.33</v>
      </c>
      <c r="Q13" s="190">
        <v>29720091.73</v>
      </c>
      <c r="R13" s="190">
        <v>21110608.129999999</v>
      </c>
      <c r="S13" s="190">
        <v>15565897.32</v>
      </c>
      <c r="T13" s="190">
        <v>9245253.3900000006</v>
      </c>
      <c r="U13" s="190">
        <v>17289664.079999998</v>
      </c>
      <c r="V13" s="190">
        <v>10772642.689999999</v>
      </c>
      <c r="W13" s="190">
        <v>5412735.3099999996</v>
      </c>
      <c r="X13" s="190">
        <v>3877356.81</v>
      </c>
      <c r="Y13" s="190">
        <v>11383517.689999999</v>
      </c>
      <c r="Z13" s="190">
        <v>6613359.5300000003</v>
      </c>
      <c r="AA13" s="190">
        <v>5065089.8499999996</v>
      </c>
      <c r="AB13" s="190">
        <v>2169452.2799999998</v>
      </c>
      <c r="AC13" s="190">
        <v>16281921.43</v>
      </c>
      <c r="AD13" s="190">
        <v>8468616.0399999991</v>
      </c>
      <c r="AE13" s="190">
        <v>8468616.0399999991</v>
      </c>
      <c r="AF13" s="190">
        <v>5737944.04</v>
      </c>
      <c r="AG13" s="190">
        <v>22856335.780000001</v>
      </c>
      <c r="AH13" s="190">
        <v>31341619.93</v>
      </c>
      <c r="AI13" s="190">
        <v>31341619.93</v>
      </c>
      <c r="AJ13" s="190">
        <v>17188715.190000001</v>
      </c>
      <c r="AK13" s="190">
        <v>55416345.090000004</v>
      </c>
      <c r="AL13" s="190">
        <v>9662003.3200000003</v>
      </c>
      <c r="AM13" s="190">
        <v>11259747.640000001</v>
      </c>
      <c r="AN13" s="190">
        <v>15205902.23</v>
      </c>
      <c r="AO13" s="190">
        <v>52783155.68</v>
      </c>
      <c r="AP13" s="190">
        <v>105214643.53</v>
      </c>
      <c r="AQ13" s="190">
        <v>103493148.02</v>
      </c>
      <c r="AR13" s="190">
        <v>40423188.020000003</v>
      </c>
      <c r="AS13" s="190">
        <v>34315680.939999998</v>
      </c>
      <c r="AT13" s="190">
        <v>26921.05</v>
      </c>
      <c r="AU13" s="190">
        <v>25000</v>
      </c>
      <c r="AV13" s="190">
        <v>21051.5</v>
      </c>
      <c r="AW13" s="190">
        <v>120372.93</v>
      </c>
      <c r="AX13" s="190">
        <v>45437</v>
      </c>
      <c r="AY13" s="190">
        <v>0</v>
      </c>
      <c r="AZ13" s="190">
        <v>0</v>
      </c>
      <c r="BA13" s="190">
        <v>106422.76</v>
      </c>
      <c r="BB13" s="190">
        <v>58850</v>
      </c>
      <c r="BC13" s="190">
        <v>58018</v>
      </c>
      <c r="BD13" s="190">
        <v>0</v>
      </c>
      <c r="BE13" s="190">
        <v>2634.58</v>
      </c>
      <c r="BF13" s="190">
        <v>97409.89</v>
      </c>
      <c r="BG13" s="190">
        <v>1284.8900000000001</v>
      </c>
      <c r="BH13" s="190">
        <v>0</v>
      </c>
      <c r="BI13" s="190">
        <v>42398.14</v>
      </c>
      <c r="BJ13" s="190">
        <v>857.7</v>
      </c>
      <c r="BK13" s="190">
        <v>857.7</v>
      </c>
      <c r="BL13" s="190">
        <v>0</v>
      </c>
      <c r="BM13" s="190">
        <v>0</v>
      </c>
      <c r="BN13" s="190">
        <v>7063.52</v>
      </c>
      <c r="BO13" s="190">
        <v>7063.52</v>
      </c>
      <c r="BP13" s="190">
        <v>0</v>
      </c>
      <c r="BQ13" s="190">
        <v>634718.19999999995</v>
      </c>
      <c r="BR13" s="190">
        <v>489781.51</v>
      </c>
      <c r="BS13" s="190">
        <v>758637.52</v>
      </c>
      <c r="BT13" s="190">
        <v>376368.76</v>
      </c>
      <c r="BU13" s="190">
        <v>768952.38</v>
      </c>
      <c r="BV13" s="190">
        <v>6500</v>
      </c>
      <c r="BW13" s="190">
        <v>823532.95</v>
      </c>
      <c r="BX13" s="190">
        <v>70752.710000000006</v>
      </c>
      <c r="BY13" s="190">
        <v>800395.18</v>
      </c>
      <c r="BZ13" s="190">
        <v>47297.64</v>
      </c>
      <c r="CA13" s="190">
        <v>507666.93</v>
      </c>
      <c r="CB13" s="190">
        <v>1470</v>
      </c>
      <c r="CC13" s="190">
        <v>42917.63</v>
      </c>
      <c r="CD13" s="190">
        <v>0</v>
      </c>
      <c r="CE13" s="190"/>
      <c r="CF13" s="190"/>
      <c r="CG13" s="190"/>
      <c r="CH13" s="190"/>
      <c r="CI13" s="190"/>
      <c r="CJ13" s="190"/>
      <c r="CK13" s="190"/>
    </row>
    <row r="14" spans="1:89" x14ac:dyDescent="0.25">
      <c r="A14" s="17" t="s">
        <v>395</v>
      </c>
      <c r="B14" s="190">
        <v>75729.89</v>
      </c>
      <c r="C14" s="190">
        <v>57129.89</v>
      </c>
      <c r="D14" s="190">
        <v>6711.1</v>
      </c>
      <c r="E14" s="190">
        <v>2079112.16</v>
      </c>
      <c r="F14" s="190">
        <v>2169642.75</v>
      </c>
      <c r="G14" s="190">
        <v>97664.87</v>
      </c>
      <c r="H14" s="190">
        <v>66756.63</v>
      </c>
      <c r="I14" s="190">
        <v>14169303.09</v>
      </c>
      <c r="J14" s="190">
        <v>2119146.34</v>
      </c>
      <c r="K14" s="190">
        <v>2086449.13</v>
      </c>
      <c r="L14" s="190">
        <v>501407.81</v>
      </c>
      <c r="M14" s="190">
        <v>8089042.75</v>
      </c>
      <c r="N14" s="190">
        <v>955348.38</v>
      </c>
      <c r="O14" s="190">
        <v>438783.76</v>
      </c>
      <c r="P14" s="190">
        <v>436103.04</v>
      </c>
      <c r="Q14" s="190">
        <v>2705235.7</v>
      </c>
      <c r="R14" s="190">
        <v>2241730.2000000002</v>
      </c>
      <c r="S14" s="190">
        <v>1318281.56</v>
      </c>
      <c r="T14" s="190">
        <v>1286994.58</v>
      </c>
      <c r="U14" s="190">
        <v>3974181.82</v>
      </c>
      <c r="V14" s="190">
        <v>2522895.79</v>
      </c>
      <c r="W14" s="190">
        <v>2358360.64</v>
      </c>
      <c r="X14" s="190">
        <v>780</v>
      </c>
      <c r="Y14" s="190">
        <v>467022.55</v>
      </c>
      <c r="Z14" s="190">
        <v>73168.92</v>
      </c>
      <c r="AA14" s="190">
        <v>71155.62</v>
      </c>
      <c r="AB14" s="190">
        <v>1.6</v>
      </c>
      <c r="AC14" s="190">
        <v>271844.07</v>
      </c>
      <c r="AD14" s="190">
        <v>96</v>
      </c>
      <c r="AE14" s="190">
        <v>96</v>
      </c>
      <c r="AF14" s="190">
        <v>0</v>
      </c>
      <c r="AG14" s="190">
        <v>-8483884.1500000004</v>
      </c>
      <c r="AH14" s="190">
        <v>1400</v>
      </c>
      <c r="AI14" s="190">
        <v>1400</v>
      </c>
      <c r="AJ14" s="190">
        <v>0</v>
      </c>
      <c r="AK14" s="190">
        <v>6987108.0899999999</v>
      </c>
      <c r="AL14" s="190">
        <v>6900051.8200000003</v>
      </c>
      <c r="AM14" s="190">
        <v>6719806.3099999996</v>
      </c>
      <c r="AN14" s="190">
        <v>535.72</v>
      </c>
      <c r="AO14" s="190">
        <v>-14812410.449999999</v>
      </c>
      <c r="AP14" s="190">
        <v>67913099.680000007</v>
      </c>
      <c r="AQ14" s="190">
        <v>1512599.68</v>
      </c>
      <c r="AR14" s="190">
        <v>500</v>
      </c>
      <c r="AS14" s="190">
        <v>1164215.68</v>
      </c>
      <c r="AT14" s="190">
        <v>31715.54</v>
      </c>
      <c r="AU14" s="190">
        <v>31564.21</v>
      </c>
      <c r="AV14" s="190">
        <v>11473.39</v>
      </c>
      <c r="AW14" s="190">
        <v>311739020.06999999</v>
      </c>
      <c r="AX14" s="190">
        <v>218.51</v>
      </c>
      <c r="AY14" s="190">
        <v>17.510000000000002</v>
      </c>
      <c r="AZ14" s="190">
        <v>0</v>
      </c>
      <c r="BA14" s="190">
        <v>7697122.3899999997</v>
      </c>
      <c r="BB14" s="190">
        <v>2211.25</v>
      </c>
      <c r="BC14" s="190">
        <v>2211.25</v>
      </c>
      <c r="BD14" s="190">
        <v>1411.25</v>
      </c>
      <c r="BE14" s="190">
        <v>24702517.969999999</v>
      </c>
      <c r="BF14" s="190">
        <v>248192.68</v>
      </c>
      <c r="BG14" s="190">
        <v>4019.35</v>
      </c>
      <c r="BH14" s="190">
        <v>3231</v>
      </c>
      <c r="BI14" s="190">
        <v>107776.23</v>
      </c>
      <c r="BJ14" s="190">
        <v>136024.62</v>
      </c>
      <c r="BK14" s="190">
        <v>104816.46</v>
      </c>
      <c r="BL14" s="190">
        <v>51291.15</v>
      </c>
      <c r="BM14" s="190">
        <v>1793887.22</v>
      </c>
      <c r="BN14" s="190">
        <v>1672986.21</v>
      </c>
      <c r="BO14" s="190">
        <v>25818.53</v>
      </c>
      <c r="BP14" s="190">
        <v>26680.95</v>
      </c>
      <c r="BQ14" s="190">
        <v>889980.22</v>
      </c>
      <c r="BR14" s="190">
        <v>114679.06</v>
      </c>
      <c r="BS14" s="190">
        <v>194859.59</v>
      </c>
      <c r="BT14" s="190">
        <v>20934.169999999998</v>
      </c>
      <c r="BU14" s="190">
        <v>184568.87</v>
      </c>
      <c r="BV14" s="190">
        <v>49111.85</v>
      </c>
      <c r="BW14" s="190">
        <v>83827.42</v>
      </c>
      <c r="BX14" s="190">
        <v>8202.76</v>
      </c>
      <c r="BY14" s="190">
        <v>205427.8</v>
      </c>
      <c r="BZ14" s="190">
        <v>62314.22</v>
      </c>
      <c r="CA14" s="190">
        <v>363273.4</v>
      </c>
      <c r="CB14" s="190">
        <v>188939.35</v>
      </c>
      <c r="CC14" s="190">
        <v>46199.97</v>
      </c>
      <c r="CD14" s="190">
        <v>0</v>
      </c>
      <c r="CE14" s="190"/>
      <c r="CF14" s="190"/>
      <c r="CG14" s="190"/>
      <c r="CH14" s="190"/>
      <c r="CI14" s="190"/>
      <c r="CJ14" s="190"/>
      <c r="CK14" s="190"/>
    </row>
    <row r="15" spans="1:89" s="2" customFormat="1" x14ac:dyDescent="0.25">
      <c r="A15" s="20" t="s">
        <v>398</v>
      </c>
      <c r="B15" s="28">
        <f>B6-(B8+B9+B10+B11+B12)+B13-B14</f>
        <v>284197577.49000019</v>
      </c>
      <c r="C15" s="28">
        <f t="shared" ref="C15:BN15" si="7">C6-(C8+C9+C10+C11+C12)+C13-C14</f>
        <v>158205718.51000002</v>
      </c>
      <c r="D15" s="28">
        <f t="shared" si="7"/>
        <v>-34044374.339999989</v>
      </c>
      <c r="E15" s="28">
        <f t="shared" si="7"/>
        <v>542642550.0999999</v>
      </c>
      <c r="F15" s="28">
        <f t="shared" si="7"/>
        <v>186892646.99999991</v>
      </c>
      <c r="G15" s="28">
        <f t="shared" si="7"/>
        <v>197735261.19999999</v>
      </c>
      <c r="H15" s="28">
        <f t="shared" si="7"/>
        <v>149945282.99999997</v>
      </c>
      <c r="I15" s="28">
        <f t="shared" si="7"/>
        <v>1465222384.4599998</v>
      </c>
      <c r="J15" s="28">
        <f t="shared" si="7"/>
        <v>726132108.49000025</v>
      </c>
      <c r="K15" s="28">
        <f t="shared" si="7"/>
        <v>722989007.21999967</v>
      </c>
      <c r="L15" s="28">
        <f t="shared" si="7"/>
        <v>597310227.02000034</v>
      </c>
      <c r="M15" s="28">
        <f t="shared" si="7"/>
        <v>-105970271.87000002</v>
      </c>
      <c r="N15" s="28">
        <f t="shared" si="7"/>
        <v>-46480521.749999955</v>
      </c>
      <c r="O15" s="28">
        <f t="shared" si="7"/>
        <v>-40863048.079999961</v>
      </c>
      <c r="P15" s="28">
        <f t="shared" si="7"/>
        <v>-10647293.779999992</v>
      </c>
      <c r="Q15" s="28">
        <f t="shared" si="7"/>
        <v>152489293.94000003</v>
      </c>
      <c r="R15" s="28">
        <f t="shared" si="7"/>
        <v>114379953.57999997</v>
      </c>
      <c r="S15" s="28">
        <f t="shared" si="7"/>
        <v>85925073.609999955</v>
      </c>
      <c r="T15" s="28">
        <f t="shared" si="7"/>
        <v>57317723.639999986</v>
      </c>
      <c r="U15" s="28">
        <f t="shared" si="7"/>
        <v>630642373.23000026</v>
      </c>
      <c r="V15" s="28">
        <f t="shared" si="7"/>
        <v>-2102721.0100000268</v>
      </c>
      <c r="W15" s="28">
        <f t="shared" si="7"/>
        <v>15033347.379999992</v>
      </c>
      <c r="X15" s="28">
        <f t="shared" si="7"/>
        <v>32563344.780000012</v>
      </c>
      <c r="Y15" s="28">
        <f t="shared" si="7"/>
        <v>370498475.89999998</v>
      </c>
      <c r="Z15" s="28">
        <f t="shared" si="7"/>
        <v>34849562.35999997</v>
      </c>
      <c r="AA15" s="28">
        <f t="shared" si="7"/>
        <v>-20638874.000000011</v>
      </c>
      <c r="AB15" s="28">
        <f t="shared" si="7"/>
        <v>-19085189.32</v>
      </c>
      <c r="AC15" s="28">
        <f t="shared" si="7"/>
        <v>221388081.43000004</v>
      </c>
      <c r="AD15" s="28">
        <f t="shared" si="7"/>
        <v>4326957.1499999985</v>
      </c>
      <c r="AE15" s="28">
        <f t="shared" si="7"/>
        <v>5029986.6599999983</v>
      </c>
      <c r="AF15" s="28">
        <f t="shared" si="7"/>
        <v>4909926.8</v>
      </c>
      <c r="AG15" s="28">
        <f t="shared" si="7"/>
        <v>31954454.649999999</v>
      </c>
      <c r="AH15" s="28">
        <f t="shared" si="7"/>
        <v>26399867.77</v>
      </c>
      <c r="AI15" s="28">
        <f t="shared" si="7"/>
        <v>27436019.57</v>
      </c>
      <c r="AJ15" s="28">
        <f t="shared" si="7"/>
        <v>16511611.620000001</v>
      </c>
      <c r="AK15" s="28">
        <f t="shared" si="7"/>
        <v>41081429.969999999</v>
      </c>
      <c r="AL15" s="28">
        <f t="shared" si="7"/>
        <v>1464432.9800000004</v>
      </c>
      <c r="AM15" s="28">
        <f t="shared" si="7"/>
        <v>4427822.2100000018</v>
      </c>
      <c r="AN15" s="28">
        <f t="shared" si="7"/>
        <v>14848272.629999999</v>
      </c>
      <c r="AO15" s="28">
        <f t="shared" si="7"/>
        <v>38448417.369999997</v>
      </c>
      <c r="AP15" s="28">
        <f t="shared" si="7"/>
        <v>12807035.539999992</v>
      </c>
      <c r="AQ15" s="28">
        <f t="shared" si="7"/>
        <v>80021825.879999995</v>
      </c>
      <c r="AR15" s="28">
        <f t="shared" si="7"/>
        <v>34580065.350000001</v>
      </c>
      <c r="AS15" s="28">
        <f t="shared" si="7"/>
        <v>57918293.609999977</v>
      </c>
      <c r="AT15" s="28">
        <f t="shared" si="7"/>
        <v>-9232751.9500000067</v>
      </c>
      <c r="AU15" s="28">
        <f t="shared" si="7"/>
        <v>-3498333.6499999845</v>
      </c>
      <c r="AV15" s="28">
        <f t="shared" si="7"/>
        <v>-3236389.0800000033</v>
      </c>
      <c r="AW15" s="28">
        <f t="shared" si="7"/>
        <v>-694387542.68000007</v>
      </c>
      <c r="AX15" s="28">
        <f t="shared" si="7"/>
        <v>-24002827.379999992</v>
      </c>
      <c r="AY15" s="28">
        <f t="shared" si="7"/>
        <v>-23082672.839999992</v>
      </c>
      <c r="AZ15" s="28">
        <f t="shared" si="7"/>
        <v>-5359883.0399999935</v>
      </c>
      <c r="BA15" s="28">
        <f t="shared" si="7"/>
        <v>-383246547.33000004</v>
      </c>
      <c r="BB15" s="28">
        <f t="shared" si="7"/>
        <v>-36346052.399999991</v>
      </c>
      <c r="BC15" s="28">
        <f t="shared" si="7"/>
        <v>-32988180.539999992</v>
      </c>
      <c r="BD15" s="28">
        <f t="shared" si="7"/>
        <v>-6656538.4899999984</v>
      </c>
      <c r="BE15" s="28">
        <f t="shared" si="7"/>
        <v>-153339230.11000007</v>
      </c>
      <c r="BF15" s="28">
        <f t="shared" si="7"/>
        <v>12170339.389999993</v>
      </c>
      <c r="BG15" s="28">
        <f t="shared" si="7"/>
        <v>14691131.740000008</v>
      </c>
      <c r="BH15" s="28">
        <f t="shared" si="7"/>
        <v>6843004.6700000167</v>
      </c>
      <c r="BI15" s="28">
        <f t="shared" si="7"/>
        <v>51672063.229999945</v>
      </c>
      <c r="BJ15" s="28">
        <f t="shared" si="7"/>
        <v>32583212.189999968</v>
      </c>
      <c r="BK15" s="28">
        <f t="shared" si="7"/>
        <v>17964863.679999977</v>
      </c>
      <c r="BL15" s="28">
        <f t="shared" si="7"/>
        <v>6375368.9600000009</v>
      </c>
      <c r="BM15" s="28">
        <f t="shared" si="7"/>
        <v>40357752.690000057</v>
      </c>
      <c r="BN15" s="28">
        <f t="shared" si="7"/>
        <v>24038342.300000012</v>
      </c>
      <c r="BO15" s="28">
        <f t="shared" ref="BO15:CJ15" si="8">BO6-(BO8+BO9+BO10+BO11+BO12)+BO13-BO14</f>
        <v>19550602.749999974</v>
      </c>
      <c r="BP15" s="28">
        <f t="shared" si="8"/>
        <v>4133836.6900000004</v>
      </c>
      <c r="BQ15" s="28">
        <f t="shared" si="8"/>
        <v>32304701.880000081</v>
      </c>
      <c r="BR15" s="28">
        <f t="shared" si="8"/>
        <v>17987846.669999987</v>
      </c>
      <c r="BS15" s="28">
        <f t="shared" si="8"/>
        <v>44457740.18</v>
      </c>
      <c r="BT15" s="28">
        <f t="shared" si="8"/>
        <v>21891963.91</v>
      </c>
      <c r="BU15" s="28">
        <f t="shared" si="8"/>
        <v>17734666.389999993</v>
      </c>
      <c r="BV15" s="28">
        <f t="shared" si="8"/>
        <v>5689418.3600000031</v>
      </c>
      <c r="BW15" s="28">
        <f t="shared" si="8"/>
        <v>18945945.469999999</v>
      </c>
      <c r="BX15" s="28">
        <f t="shared" si="8"/>
        <v>8492595.1500000004</v>
      </c>
      <c r="BY15" s="28">
        <f t="shared" si="8"/>
        <v>16147150.01</v>
      </c>
      <c r="BZ15" s="28">
        <f t="shared" si="8"/>
        <v>6929997.9500000011</v>
      </c>
      <c r="CA15" s="28">
        <f t="shared" si="8"/>
        <v>17241663.68</v>
      </c>
      <c r="CB15" s="28">
        <f t="shared" si="8"/>
        <v>24348886.740000002</v>
      </c>
      <c r="CC15" s="28">
        <f t="shared" si="8"/>
        <v>20552580.400000002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152784033.45101953</v>
      </c>
      <c r="C16" s="26">
        <f t="shared" ref="C16:BN16" si="9">C15*C41</f>
        <v>120866725.45209093</v>
      </c>
      <c r="D16" s="26">
        <f t="shared" si="9"/>
        <v>-349010.29274255916</v>
      </c>
      <c r="E16" s="26">
        <f t="shared" si="9"/>
        <v>233662171.57649803</v>
      </c>
      <c r="F16" s="26">
        <f t="shared" si="9"/>
        <v>124773358.69989356</v>
      </c>
      <c r="G16" s="26">
        <f t="shared" si="9"/>
        <v>89580240.081465334</v>
      </c>
      <c r="H16" s="26">
        <f t="shared" si="9"/>
        <v>55448743.515470251</v>
      </c>
      <c r="I16" s="26">
        <f t="shared" si="9"/>
        <v>398333194.98372865</v>
      </c>
      <c r="J16" s="26">
        <f t="shared" si="9"/>
        <v>219265704.42986578</v>
      </c>
      <c r="K16" s="26">
        <f t="shared" si="9"/>
        <v>215791992.07601872</v>
      </c>
      <c r="L16" s="26">
        <f t="shared" si="9"/>
        <v>161061822.63678113</v>
      </c>
      <c r="M16" s="26">
        <f t="shared" si="9"/>
        <v>-24121655.43687731</v>
      </c>
      <c r="N16" s="26">
        <f t="shared" si="9"/>
        <v>-60387855.301844716</v>
      </c>
      <c r="O16" s="26">
        <f t="shared" si="9"/>
        <v>-2454777.538011753</v>
      </c>
      <c r="P16" s="26">
        <f t="shared" si="9"/>
        <v>1170900.5779468871</v>
      </c>
      <c r="Q16" s="26">
        <f t="shared" si="9"/>
        <v>52518000.722501338</v>
      </c>
      <c r="R16" s="26">
        <f t="shared" si="9"/>
        <v>89622989.209840626</v>
      </c>
      <c r="S16" s="26">
        <f t="shared" si="9"/>
        <v>48402336.061468698</v>
      </c>
      <c r="T16" s="26">
        <f t="shared" si="9"/>
        <v>38876999.045955643</v>
      </c>
      <c r="U16" s="26">
        <f t="shared" si="9"/>
        <v>186108058.99922124</v>
      </c>
      <c r="V16" s="26">
        <f t="shared" si="9"/>
        <v>-817563.67045027227</v>
      </c>
      <c r="W16" s="26">
        <f t="shared" si="9"/>
        <v>3952257.1602445808</v>
      </c>
      <c r="X16" s="26">
        <f t="shared" si="9"/>
        <v>30651042.720992964</v>
      </c>
      <c r="Y16" s="26">
        <f t="shared" si="9"/>
        <v>48168428.845437869</v>
      </c>
      <c r="Z16" s="26">
        <f t="shared" si="9"/>
        <v>5568501.2829817878</v>
      </c>
      <c r="AA16" s="26">
        <f t="shared" si="9"/>
        <v>803880.6575712855</v>
      </c>
      <c r="AB16" s="26">
        <f t="shared" si="9"/>
        <v>-127524.07218701662</v>
      </c>
      <c r="AC16" s="26">
        <f t="shared" si="9"/>
        <v>47731398.766027853</v>
      </c>
      <c r="AD16" s="26">
        <f t="shared" si="9"/>
        <v>-3415.4104703660801</v>
      </c>
      <c r="AE16" s="26">
        <f t="shared" si="9"/>
        <v>-6500.2559820854794</v>
      </c>
      <c r="AF16" s="26">
        <f t="shared" si="9"/>
        <v>0</v>
      </c>
      <c r="AG16" s="26">
        <f t="shared" si="9"/>
        <v>0</v>
      </c>
      <c r="AH16" s="26">
        <f t="shared" si="9"/>
        <v>0</v>
      </c>
      <c r="AI16" s="26">
        <f t="shared" si="9"/>
        <v>0</v>
      </c>
      <c r="AJ16" s="26">
        <f t="shared" si="9"/>
        <v>0</v>
      </c>
      <c r="AK16" s="26">
        <f t="shared" si="9"/>
        <v>0</v>
      </c>
      <c r="AL16" s="26">
        <f t="shared" si="9"/>
        <v>0</v>
      </c>
      <c r="AM16" s="26">
        <f t="shared" si="9"/>
        <v>0</v>
      </c>
      <c r="AN16" s="26">
        <f t="shared" si="9"/>
        <v>0</v>
      </c>
      <c r="AO16" s="26">
        <f t="shared" si="9"/>
        <v>12441906.352683503</v>
      </c>
      <c r="AP16" s="26">
        <f t="shared" si="9"/>
        <v>-53519.998971395085</v>
      </c>
      <c r="AQ16" s="26">
        <f t="shared" si="9"/>
        <v>148317.9287274791</v>
      </c>
      <c r="AR16" s="26">
        <f t="shared" si="9"/>
        <v>0</v>
      </c>
      <c r="AS16" s="26">
        <f t="shared" si="9"/>
        <v>3111420.4837674522</v>
      </c>
      <c r="AT16" s="26">
        <f t="shared" si="9"/>
        <v>46618.346514752753</v>
      </c>
      <c r="AU16" s="26">
        <f t="shared" si="9"/>
        <v>24467.022510090028</v>
      </c>
      <c r="AV16" s="26">
        <f t="shared" si="9"/>
        <v>4131.6511186603357</v>
      </c>
      <c r="AW16" s="26">
        <f t="shared" si="9"/>
        <v>-2650360.8390029222</v>
      </c>
      <c r="AX16" s="26">
        <f t="shared" si="9"/>
        <v>19073.845269253612</v>
      </c>
      <c r="AY16" s="26">
        <f t="shared" si="9"/>
        <v>10623.109521768773</v>
      </c>
      <c r="AZ16" s="26">
        <f t="shared" si="9"/>
        <v>-6729.7287640382629</v>
      </c>
      <c r="BA16" s="26">
        <f t="shared" si="9"/>
        <v>-54667.635550768093</v>
      </c>
      <c r="BB16" s="26">
        <f t="shared" si="9"/>
        <v>-31644.239899060278</v>
      </c>
      <c r="BC16" s="26">
        <f t="shared" si="9"/>
        <v>-37264.43954973475</v>
      </c>
      <c r="BD16" s="26">
        <f t="shared" si="9"/>
        <v>-22156.267533166385</v>
      </c>
      <c r="BE16" s="26">
        <f t="shared" si="9"/>
        <v>53016.855117571664</v>
      </c>
      <c r="BF16" s="26">
        <f t="shared" si="9"/>
        <v>-10781581.748160018</v>
      </c>
      <c r="BG16" s="26">
        <f t="shared" si="9"/>
        <v>2747662.2905121981</v>
      </c>
      <c r="BH16" s="26">
        <f t="shared" si="9"/>
        <v>1363572.382127811</v>
      </c>
      <c r="BI16" s="26">
        <f t="shared" si="9"/>
        <v>12236677.351560015</v>
      </c>
      <c r="BJ16" s="26">
        <f t="shared" si="9"/>
        <v>7933232.1969911903</v>
      </c>
      <c r="BK16" s="26">
        <f t="shared" si="9"/>
        <v>3321103.7760454919</v>
      </c>
      <c r="BL16" s="26">
        <f t="shared" si="9"/>
        <v>2310569.3705596174</v>
      </c>
      <c r="BM16" s="26">
        <f t="shared" si="9"/>
        <v>8476631.9585472979</v>
      </c>
      <c r="BN16" s="26">
        <f t="shared" si="9"/>
        <v>3663023.3261849792</v>
      </c>
      <c r="BO16" s="26">
        <f t="shared" ref="BO16:CK16" si="10">BO15*BO41</f>
        <v>2513500.511028531</v>
      </c>
      <c r="BP16" s="26">
        <f t="shared" si="10"/>
        <v>764183.08876715216</v>
      </c>
      <c r="BQ16" s="26">
        <f t="shared" si="10"/>
        <v>5779436.7452975977</v>
      </c>
      <c r="BR16" s="26">
        <f t="shared" si="10"/>
        <v>2919740.398154499</v>
      </c>
      <c r="BS16" s="26">
        <f t="shared" si="10"/>
        <v>5466589.0886037219</v>
      </c>
      <c r="BT16" s="26">
        <f t="shared" si="10"/>
        <v>995407.62759411568</v>
      </c>
      <c r="BU16" s="26">
        <f t="shared" si="10"/>
        <v>993116.11978698708</v>
      </c>
      <c r="BV16" s="26">
        <f t="shared" si="10"/>
        <v>588816.94890765159</v>
      </c>
      <c r="BW16" s="26">
        <f t="shared" si="10"/>
        <v>707862.08536004357</v>
      </c>
      <c r="BX16" s="26">
        <f t="shared" si="10"/>
        <v>411545.99006001337</v>
      </c>
      <c r="BY16" s="26">
        <f t="shared" si="10"/>
        <v>2217017.0862664278</v>
      </c>
      <c r="BZ16" s="26">
        <f t="shared" si="10"/>
        <v>1066116.5520266579</v>
      </c>
      <c r="CA16" s="26">
        <f t="shared" si="10"/>
        <v>684386.54667774355</v>
      </c>
      <c r="CB16" s="26">
        <f t="shared" si="10"/>
        <v>606435.72389021667</v>
      </c>
      <c r="CC16" s="26">
        <f t="shared" si="10"/>
        <v>581613.79991001729</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131413544.03898066</v>
      </c>
      <c r="C17" s="27">
        <f t="shared" ref="C17:BN17" si="11">C15-C16</f>
        <v>37338993.057909086</v>
      </c>
      <c r="D17" s="27">
        <f t="shared" si="11"/>
        <v>-33695364.047257431</v>
      </c>
      <c r="E17" s="27">
        <f t="shared" si="11"/>
        <v>308980378.52350187</v>
      </c>
      <c r="F17" s="27">
        <f t="shared" si="11"/>
        <v>62119288.300106347</v>
      </c>
      <c r="G17" s="27">
        <f t="shared" si="11"/>
        <v>108155021.11853465</v>
      </c>
      <c r="H17" s="27">
        <f t="shared" si="11"/>
        <v>94496539.484529719</v>
      </c>
      <c r="I17" s="27">
        <f t="shared" si="11"/>
        <v>1066889189.4762712</v>
      </c>
      <c r="J17" s="27">
        <f t="shared" si="11"/>
        <v>506866404.06013447</v>
      </c>
      <c r="K17" s="27">
        <f t="shared" si="11"/>
        <v>507197015.14398098</v>
      </c>
      <c r="L17" s="27">
        <f t="shared" si="11"/>
        <v>436248404.38321924</v>
      </c>
      <c r="M17" s="27">
        <f t="shared" si="11"/>
        <v>-81848616.433122709</v>
      </c>
      <c r="N17" s="27">
        <f t="shared" si="11"/>
        <v>13907333.551844761</v>
      </c>
      <c r="O17" s="27">
        <f t="shared" si="11"/>
        <v>-38408270.541988209</v>
      </c>
      <c r="P17" s="27">
        <f t="shared" si="11"/>
        <v>-11818194.357946878</v>
      </c>
      <c r="Q17" s="27">
        <f t="shared" si="11"/>
        <v>99971293.21749869</v>
      </c>
      <c r="R17" s="27">
        <f t="shared" si="11"/>
        <v>24756964.370159343</v>
      </c>
      <c r="S17" s="27">
        <f t="shared" si="11"/>
        <v>37522737.548531257</v>
      </c>
      <c r="T17" s="27">
        <f t="shared" si="11"/>
        <v>18440724.594044343</v>
      </c>
      <c r="U17" s="27">
        <f t="shared" si="11"/>
        <v>444534314.23077905</v>
      </c>
      <c r="V17" s="27">
        <f t="shared" si="11"/>
        <v>-1285157.3395497545</v>
      </c>
      <c r="W17" s="27">
        <f t="shared" si="11"/>
        <v>11081090.219755411</v>
      </c>
      <c r="X17" s="27">
        <f t="shared" si="11"/>
        <v>1912302.0590070486</v>
      </c>
      <c r="Y17" s="27">
        <f t="shared" si="11"/>
        <v>322330047.05456209</v>
      </c>
      <c r="Z17" s="27">
        <f t="shared" si="11"/>
        <v>29281061.077018183</v>
      </c>
      <c r="AA17" s="27">
        <f t="shared" si="11"/>
        <v>-21442754.657571297</v>
      </c>
      <c r="AB17" s="27">
        <f t="shared" si="11"/>
        <v>-18957665.247812983</v>
      </c>
      <c r="AC17" s="27">
        <f t="shared" si="11"/>
        <v>173656682.6639722</v>
      </c>
      <c r="AD17" s="27">
        <f t="shared" si="11"/>
        <v>4330372.560470365</v>
      </c>
      <c r="AE17" s="27">
        <f t="shared" si="11"/>
        <v>5036486.9159820834</v>
      </c>
      <c r="AF17" s="27">
        <f t="shared" si="11"/>
        <v>4909926.8</v>
      </c>
      <c r="AG17" s="27">
        <f t="shared" si="11"/>
        <v>31954454.649999999</v>
      </c>
      <c r="AH17" s="27">
        <f t="shared" si="11"/>
        <v>26399867.77</v>
      </c>
      <c r="AI17" s="27">
        <f t="shared" si="11"/>
        <v>27436019.57</v>
      </c>
      <c r="AJ17" s="27">
        <f t="shared" si="11"/>
        <v>16511611.620000001</v>
      </c>
      <c r="AK17" s="27">
        <f t="shared" si="11"/>
        <v>41081429.969999999</v>
      </c>
      <c r="AL17" s="27">
        <f t="shared" si="11"/>
        <v>1464432.9800000004</v>
      </c>
      <c r="AM17" s="27">
        <f t="shared" si="11"/>
        <v>4427822.2100000018</v>
      </c>
      <c r="AN17" s="27">
        <f t="shared" si="11"/>
        <v>14848272.629999999</v>
      </c>
      <c r="AO17" s="27">
        <f t="shared" si="11"/>
        <v>26006511.017316494</v>
      </c>
      <c r="AP17" s="27">
        <f t="shared" si="11"/>
        <v>12860555.538971387</v>
      </c>
      <c r="AQ17" s="27">
        <f t="shared" si="11"/>
        <v>79873507.951272517</v>
      </c>
      <c r="AR17" s="27">
        <f t="shared" si="11"/>
        <v>34580065.350000001</v>
      </c>
      <c r="AS17" s="27">
        <f t="shared" si="11"/>
        <v>54806873.126232527</v>
      </c>
      <c r="AT17" s="27">
        <f t="shared" si="11"/>
        <v>-9279370.2965147588</v>
      </c>
      <c r="AU17" s="27">
        <f t="shared" si="11"/>
        <v>-3522800.6725100745</v>
      </c>
      <c r="AV17" s="27">
        <f t="shared" si="11"/>
        <v>-3240520.7311186637</v>
      </c>
      <c r="AW17" s="27">
        <f t="shared" si="11"/>
        <v>-691737181.8409971</v>
      </c>
      <c r="AX17" s="27">
        <f t="shared" si="11"/>
        <v>-24021901.225269247</v>
      </c>
      <c r="AY17" s="27">
        <f t="shared" si="11"/>
        <v>-23093295.949521761</v>
      </c>
      <c r="AZ17" s="27">
        <f t="shared" si="11"/>
        <v>-5353153.311235955</v>
      </c>
      <c r="BA17" s="27">
        <f t="shared" si="11"/>
        <v>-383191879.69444925</v>
      </c>
      <c r="BB17" s="27">
        <f t="shared" si="11"/>
        <v>-36314408.160100929</v>
      </c>
      <c r="BC17" s="27">
        <f t="shared" si="11"/>
        <v>-32950916.100450259</v>
      </c>
      <c r="BD17" s="27">
        <f t="shared" si="11"/>
        <v>-6634382.222466832</v>
      </c>
      <c r="BE17" s="27">
        <f t="shared" si="11"/>
        <v>-153392246.96511763</v>
      </c>
      <c r="BF17" s="27">
        <f t="shared" si="11"/>
        <v>22951921.138160013</v>
      </c>
      <c r="BG17" s="27">
        <f t="shared" si="11"/>
        <v>11943469.449487809</v>
      </c>
      <c r="BH17" s="27">
        <f t="shared" si="11"/>
        <v>5479432.2878722055</v>
      </c>
      <c r="BI17" s="27">
        <f t="shared" si="11"/>
        <v>39435385.878439933</v>
      </c>
      <c r="BJ17" s="27">
        <f t="shared" si="11"/>
        <v>24649979.993008777</v>
      </c>
      <c r="BK17" s="27">
        <f t="shared" si="11"/>
        <v>14643759.903954485</v>
      </c>
      <c r="BL17" s="27">
        <f t="shared" si="11"/>
        <v>4064799.5894403835</v>
      </c>
      <c r="BM17" s="27">
        <f t="shared" si="11"/>
        <v>31881120.731452759</v>
      </c>
      <c r="BN17" s="27">
        <f t="shared" si="11"/>
        <v>20375318.973815031</v>
      </c>
      <c r="BO17" s="27">
        <f t="shared" ref="BO17:CJ17" si="12">BO15-BO16</f>
        <v>17037102.238971442</v>
      </c>
      <c r="BP17" s="27">
        <f t="shared" si="12"/>
        <v>3369653.6012328481</v>
      </c>
      <c r="BQ17" s="27">
        <f t="shared" si="12"/>
        <v>26525265.134702481</v>
      </c>
      <c r="BR17" s="27">
        <f t="shared" si="12"/>
        <v>15068106.271845488</v>
      </c>
      <c r="BS17" s="27">
        <f t="shared" si="12"/>
        <v>38991151.09139628</v>
      </c>
      <c r="BT17" s="27">
        <f t="shared" si="12"/>
        <v>20896556.282405883</v>
      </c>
      <c r="BU17" s="27">
        <f t="shared" si="12"/>
        <v>16741550.270213006</v>
      </c>
      <c r="BV17" s="27">
        <f t="shared" si="12"/>
        <v>5100601.4110923512</v>
      </c>
      <c r="BW17" s="27">
        <f t="shared" si="12"/>
        <v>18238083.384639956</v>
      </c>
      <c r="BX17" s="27">
        <f t="shared" si="12"/>
        <v>8081049.1599399867</v>
      </c>
      <c r="BY17" s="27">
        <f t="shared" si="12"/>
        <v>13930132.923733572</v>
      </c>
      <c r="BZ17" s="27">
        <f t="shared" si="12"/>
        <v>5863881.3979733437</v>
      </c>
      <c r="CA17" s="27">
        <f t="shared" si="12"/>
        <v>16557277.133322256</v>
      </c>
      <c r="CB17" s="27">
        <f t="shared" si="12"/>
        <v>23742451.016109787</v>
      </c>
      <c r="CC17" s="27">
        <f t="shared" si="12"/>
        <v>19970966.600089986</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9.5265126168878265</v>
      </c>
      <c r="C18" s="57">
        <f t="shared" ref="C18:D18" si="13">C17/C4*100</f>
        <v>4.1747852995909751</v>
      </c>
      <c r="D18" s="57">
        <f t="shared" si="13"/>
        <v>-19.336607716654324</v>
      </c>
      <c r="E18" s="57">
        <f>E17/E4</f>
        <v>0.12489514725225875</v>
      </c>
      <c r="F18" s="57">
        <f t="shared" ref="F18:BQ18" si="14">F17/F4</f>
        <v>6.1613525645982777E-2</v>
      </c>
      <c r="G18" s="57">
        <f t="shared" si="14"/>
        <v>0.12314288207673062</v>
      </c>
      <c r="H18" s="57">
        <f t="shared" si="14"/>
        <v>0.14992975741803333</v>
      </c>
      <c r="I18" s="57">
        <f t="shared" si="14"/>
        <v>0.15912204281936432</v>
      </c>
      <c r="J18" s="57">
        <f t="shared" si="14"/>
        <v>0.11075152845276358</v>
      </c>
      <c r="K18" s="57">
        <f t="shared" si="14"/>
        <v>0.12693182567216701</v>
      </c>
      <c r="L18" s="57">
        <f t="shared" si="14"/>
        <v>0.14912266499730586</v>
      </c>
      <c r="M18" s="57">
        <f t="shared" si="14"/>
        <v>-0.15755180470698665</v>
      </c>
      <c r="N18" s="57">
        <f t="shared" si="14"/>
        <v>3.785132619211231E-2</v>
      </c>
      <c r="O18" s="57">
        <f t="shared" si="14"/>
        <v>-0.17653521285070231</v>
      </c>
      <c r="P18" s="57">
        <f t="shared" si="14"/>
        <v>-8.1729458662334498E-2</v>
      </c>
      <c r="Q18" s="57">
        <f t="shared" si="14"/>
        <v>7.866736560466879E-2</v>
      </c>
      <c r="R18" s="57">
        <f t="shared" si="14"/>
        <v>2.7707774904074375E-2</v>
      </c>
      <c r="S18" s="57">
        <f t="shared" si="14"/>
        <v>5.5206024712888033E-2</v>
      </c>
      <c r="T18" s="57">
        <f t="shared" si="14"/>
        <v>6.1182769823996105E-2</v>
      </c>
      <c r="U18" s="57">
        <f t="shared" si="14"/>
        <v>0.16007962692592229</v>
      </c>
      <c r="V18" s="57">
        <f t="shared" si="14"/>
        <v>-3.9360004553622074E-3</v>
      </c>
      <c r="W18" s="57">
        <f t="shared" si="14"/>
        <v>4.3984231426145028E-2</v>
      </c>
      <c r="X18" s="57">
        <f t="shared" si="14"/>
        <v>1.1985380864303917E-2</v>
      </c>
      <c r="Y18" s="57">
        <f t="shared" si="14"/>
        <v>0.1708605516828115</v>
      </c>
      <c r="Z18" s="57">
        <f t="shared" si="14"/>
        <v>8.0825351904107376E-2</v>
      </c>
      <c r="AA18" s="57">
        <f t="shared" si="14"/>
        <v>-0.23224327777759507</v>
      </c>
      <c r="AB18" s="57">
        <f t="shared" si="14"/>
        <v>-0.49330263129035323</v>
      </c>
      <c r="AC18" s="57">
        <f t="shared" si="14"/>
        <v>0.19059737168970531</v>
      </c>
      <c r="AD18" s="57">
        <f t="shared" si="14"/>
        <v>1.8625026172664587</v>
      </c>
      <c r="AE18" s="57">
        <f t="shared" si="14"/>
        <v>6.9995000705192369</v>
      </c>
      <c r="AF18" s="57">
        <f t="shared" si="14"/>
        <v>10.794870957156123</v>
      </c>
      <c r="AG18" s="57">
        <f t="shared" si="14"/>
        <v>16.204042436766084</v>
      </c>
      <c r="AH18" s="57">
        <f t="shared" si="14"/>
        <v>11.748699928636972</v>
      </c>
      <c r="AI18" s="57">
        <f t="shared" si="14"/>
        <v>16.685210819489139</v>
      </c>
      <c r="AJ18" s="57">
        <f t="shared" si="14"/>
        <v>139.60198311851721</v>
      </c>
      <c r="AK18" s="57">
        <f t="shared" si="14"/>
        <v>17.710691910962279</v>
      </c>
      <c r="AL18" s="57">
        <f t="shared" si="14"/>
        <v>1.3821045631800899</v>
      </c>
      <c r="AM18" s="57">
        <f t="shared" si="14"/>
        <v>6.2004856149819414</v>
      </c>
      <c r="AN18" s="57">
        <f t="shared" si="14"/>
        <v>46.75618141392782</v>
      </c>
      <c r="AO18" s="57">
        <f t="shared" si="14"/>
        <v>0.87785462585087293</v>
      </c>
      <c r="AP18" s="57">
        <f t="shared" si="14"/>
        <v>0.32402447253468936</v>
      </c>
      <c r="AQ18" s="57">
        <f t="shared" si="14"/>
        <v>2.0823062959504113</v>
      </c>
      <c r="AR18" s="57">
        <f t="shared" si="14"/>
        <v>1.7305830267548072</v>
      </c>
      <c r="AS18" s="57">
        <f t="shared" si="14"/>
        <v>0.19841247308054263</v>
      </c>
      <c r="AT18" s="57">
        <f t="shared" si="14"/>
        <v>-4.3747479211994386E-2</v>
      </c>
      <c r="AU18" s="57">
        <f t="shared" si="14"/>
        <v>-2.3230703454200276E-2</v>
      </c>
      <c r="AV18" s="57">
        <f t="shared" si="14"/>
        <v>-5.1384904301876484E-2</v>
      </c>
      <c r="AW18" s="57">
        <f t="shared" si="14"/>
        <v>-3.0183645970380004</v>
      </c>
      <c r="AX18" s="57">
        <f t="shared" si="14"/>
        <v>-0.19046019635199615</v>
      </c>
      <c r="AY18" s="57">
        <f t="shared" si="14"/>
        <v>-0.32599160300353042</v>
      </c>
      <c r="AZ18" s="57">
        <f t="shared" si="14"/>
        <v>-0.13379715252526894</v>
      </c>
      <c r="BA18" s="57">
        <f t="shared" si="14"/>
        <v>-1.730777463872222</v>
      </c>
      <c r="BB18" s="57">
        <f t="shared" si="14"/>
        <v>-0.18129467616278436</v>
      </c>
      <c r="BC18" s="57">
        <f t="shared" si="14"/>
        <v>-0.18995805989564693</v>
      </c>
      <c r="BD18" s="57">
        <f t="shared" si="14"/>
        <v>-6.6045163531693402E-2</v>
      </c>
      <c r="BE18" s="57">
        <f t="shared" si="14"/>
        <v>-0.1913215150742002</v>
      </c>
      <c r="BF18" s="57">
        <f t="shared" si="14"/>
        <v>3.7776312751390144E-2</v>
      </c>
      <c r="BG18" s="57">
        <f t="shared" si="14"/>
        <v>3.0861216674826913E-2</v>
      </c>
      <c r="BH18" s="57">
        <f t="shared" si="14"/>
        <v>3.2232935382275153E-2</v>
      </c>
      <c r="BI18" s="57">
        <f t="shared" si="14"/>
        <v>4.5502043192902505E-2</v>
      </c>
      <c r="BJ18" s="57">
        <f t="shared" si="14"/>
        <v>4.375888501927358E-2</v>
      </c>
      <c r="BK18" s="57">
        <f t="shared" si="14"/>
        <v>4.6810795105224852E-2</v>
      </c>
      <c r="BL18" s="57">
        <f t="shared" si="14"/>
        <v>3.1310029934234006E-2</v>
      </c>
      <c r="BM18" s="57">
        <f t="shared" si="14"/>
        <v>3.2004522705951992E-2</v>
      </c>
      <c r="BN18" s="57">
        <f t="shared" si="14"/>
        <v>3.0307441495363279E-2</v>
      </c>
      <c r="BO18" s="57">
        <f t="shared" si="14"/>
        <v>4.0104008172574881E-2</v>
      </c>
      <c r="BP18" s="57">
        <f t="shared" si="14"/>
        <v>1.6237981519278615E-2</v>
      </c>
      <c r="BQ18" s="57">
        <f t="shared" si="14"/>
        <v>3.481800811780543E-2</v>
      </c>
      <c r="BR18" s="57">
        <f t="shared" ref="BR18:CK18" si="15">BR17/BR4</f>
        <v>6.5584739553433385E-2</v>
      </c>
      <c r="BS18" s="57">
        <f t="shared" si="15"/>
        <v>0.19637947131498609</v>
      </c>
      <c r="BT18" s="57">
        <f t="shared" si="15"/>
        <v>0.20137178234728806</v>
      </c>
      <c r="BU18" s="57">
        <f t="shared" si="15"/>
        <v>0.16499333361043411</v>
      </c>
      <c r="BV18" s="57">
        <f t="shared" si="15"/>
        <v>0.12847805208835189</v>
      </c>
      <c r="BW18" s="57">
        <f t="shared" si="15"/>
        <v>0.25335384685108636</v>
      </c>
      <c r="BX18" s="57">
        <f t="shared" si="15"/>
        <v>0.26653768409963019</v>
      </c>
      <c r="BY18" s="57">
        <f t="shared" si="15"/>
        <v>0.22495309227737326</v>
      </c>
      <c r="BZ18" s="57">
        <f t="shared" si="15"/>
        <v>0.18855548785688575</v>
      </c>
      <c r="CA18" s="57">
        <f t="shared" si="15"/>
        <v>0.23290993541740745</v>
      </c>
      <c r="CB18" s="57">
        <f t="shared" si="15"/>
        <v>0.26614967166790438</v>
      </c>
      <c r="CC18" s="57">
        <f t="shared" si="15"/>
        <v>0.27744702716334368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10971325.949999999</v>
      </c>
      <c r="C20" s="190">
        <v>3221926.01</v>
      </c>
      <c r="D20" s="190">
        <v>-71555.399999999994</v>
      </c>
      <c r="E20" s="190">
        <v>-23633714.579999998</v>
      </c>
      <c r="F20" s="190">
        <v>-3101039.81</v>
      </c>
      <c r="G20" s="190">
        <v>-6098553.3399999999</v>
      </c>
      <c r="H20" s="190">
        <v>-273117.88</v>
      </c>
      <c r="I20" s="190">
        <v>-3195150.28</v>
      </c>
      <c r="J20" s="190">
        <v>277466.98</v>
      </c>
      <c r="K20" s="190">
        <v>-290180.08</v>
      </c>
      <c r="L20" s="190">
        <v>-91253.62</v>
      </c>
      <c r="M20" s="190">
        <v>-2683014.21</v>
      </c>
      <c r="N20" s="190">
        <v>-572371.41</v>
      </c>
      <c r="O20" s="190">
        <v>-570026.65</v>
      </c>
      <c r="P20" s="190">
        <v>-105154.14</v>
      </c>
      <c r="Q20" s="190">
        <v>3103152.35</v>
      </c>
      <c r="R20" s="190">
        <v>1780929.72</v>
      </c>
      <c r="S20" s="190">
        <v>2223522.83</v>
      </c>
      <c r="T20" s="190">
        <v>-25419.65</v>
      </c>
      <c r="U20" s="190">
        <v>1097839.6499999999</v>
      </c>
      <c r="V20" s="190">
        <v>6194869.6900000004</v>
      </c>
      <c r="W20" s="190">
        <v>-626489.31000000006</v>
      </c>
      <c r="X20" s="190">
        <v>-326795.33</v>
      </c>
      <c r="Y20" s="190">
        <v>23437628.18</v>
      </c>
      <c r="Z20" s="190">
        <v>20512804.079999998</v>
      </c>
      <c r="AA20" s="190">
        <v>20512804.079999998</v>
      </c>
      <c r="AB20" s="190">
        <v>-381233.82</v>
      </c>
      <c r="AC20" s="190">
        <v>271412.40000000002</v>
      </c>
      <c r="AD20" s="190">
        <v>0</v>
      </c>
      <c r="AE20" s="190">
        <v>0</v>
      </c>
      <c r="AF20" s="190">
        <v>0</v>
      </c>
      <c r="AG20" s="190">
        <v>-4447</v>
      </c>
      <c r="AH20" s="190">
        <v>0</v>
      </c>
      <c r="AI20" s="190">
        <v>0</v>
      </c>
      <c r="AJ20" s="190">
        <v>0</v>
      </c>
      <c r="AK20" s="190">
        <v>-1213497.95</v>
      </c>
      <c r="AL20" s="190">
        <v>-17593.53</v>
      </c>
      <c r="AM20" s="190">
        <v>-194.43</v>
      </c>
      <c r="AN20" s="190">
        <v>0</v>
      </c>
      <c r="AO20" s="190">
        <v>62139.56</v>
      </c>
      <c r="AP20" s="190">
        <v>-173457.86</v>
      </c>
      <c r="AQ20" s="190">
        <v>-173457.86</v>
      </c>
      <c r="AR20" s="190">
        <v>0</v>
      </c>
      <c r="AS20" s="190">
        <v>-1587107.41</v>
      </c>
      <c r="AT20" s="190">
        <v>-28551.66</v>
      </c>
      <c r="AU20" s="190">
        <v>-28551.66</v>
      </c>
      <c r="AV20" s="190">
        <v>-2954.95</v>
      </c>
      <c r="AW20" s="190">
        <v>-11639638.17</v>
      </c>
      <c r="AX20" s="190">
        <v>25762.83</v>
      </c>
      <c r="AY20" s="190">
        <v>4179.46</v>
      </c>
      <c r="AZ20" s="190">
        <v>-3414.68</v>
      </c>
      <c r="BA20" s="190">
        <v>0</v>
      </c>
      <c r="BB20" s="190">
        <v>0</v>
      </c>
      <c r="BC20" s="190">
        <v>0</v>
      </c>
      <c r="BD20" s="190">
        <v>0</v>
      </c>
      <c r="BE20" s="190">
        <v>0</v>
      </c>
      <c r="BF20" s="190">
        <v>0</v>
      </c>
      <c r="BG20" s="190">
        <v>0</v>
      </c>
      <c r="BH20" s="190">
        <v>0</v>
      </c>
      <c r="BI20" s="190">
        <v>0</v>
      </c>
      <c r="BJ20" s="190">
        <v>0</v>
      </c>
      <c r="BK20" s="190">
        <v>0</v>
      </c>
      <c r="BL20" s="190">
        <v>0</v>
      </c>
      <c r="BM20" s="190">
        <v>0</v>
      </c>
      <c r="BN20" s="190">
        <v>0</v>
      </c>
      <c r="BO20" s="190">
        <v>0</v>
      </c>
      <c r="BP20" s="190">
        <v>0</v>
      </c>
      <c r="BQ20" s="190">
        <v>0</v>
      </c>
      <c r="BR20" s="190">
        <v>0</v>
      </c>
      <c r="BS20" s="190">
        <v>0</v>
      </c>
      <c r="BT20" s="190">
        <v>0</v>
      </c>
      <c r="BU20" s="190">
        <v>0</v>
      </c>
      <c r="BV20" s="190">
        <v>0</v>
      </c>
      <c r="BW20" s="190">
        <v>0</v>
      </c>
      <c r="BX20" s="190">
        <v>0</v>
      </c>
      <c r="BY20" s="190">
        <v>0</v>
      </c>
      <c r="BZ20" s="190">
        <v>0</v>
      </c>
      <c r="CA20" s="190">
        <v>0</v>
      </c>
      <c r="CB20" s="190">
        <v>0</v>
      </c>
      <c r="CC20" s="190">
        <v>0</v>
      </c>
      <c r="CD20" s="190">
        <v>0</v>
      </c>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205020</v>
      </c>
      <c r="R22" s="190">
        <v>205020</v>
      </c>
      <c r="S22" s="190">
        <v>-4420</v>
      </c>
      <c r="T22" s="190">
        <v>-6120</v>
      </c>
      <c r="U22" s="190">
        <v>-51850</v>
      </c>
      <c r="V22" s="190">
        <v>-41820</v>
      </c>
      <c r="W22" s="190">
        <v>-49810</v>
      </c>
      <c r="X22" s="190">
        <v>-11390</v>
      </c>
      <c r="Y22" s="190">
        <v>-20230</v>
      </c>
      <c r="Z22" s="190">
        <v>1020</v>
      </c>
      <c r="AA22" s="190">
        <v>-21590</v>
      </c>
      <c r="AB22" s="190">
        <v>-2720</v>
      </c>
      <c r="AC22" s="190">
        <v>-21315.919999999998</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v>0</v>
      </c>
      <c r="BL22" s="190">
        <v>0</v>
      </c>
      <c r="BM22" s="190">
        <v>0</v>
      </c>
      <c r="BN22" s="190">
        <v>0</v>
      </c>
      <c r="BO22" s="190">
        <v>0</v>
      </c>
      <c r="BP22" s="190">
        <v>0</v>
      </c>
      <c r="BQ22" s="190">
        <v>0</v>
      </c>
      <c r="BR22" s="190">
        <v>0</v>
      </c>
      <c r="BS22" s="190">
        <v>0</v>
      </c>
      <c r="BT22" s="190">
        <v>0</v>
      </c>
      <c r="BU22" s="190">
        <v>0</v>
      </c>
      <c r="BV22" s="190">
        <v>0</v>
      </c>
      <c r="BW22" s="190">
        <v>0</v>
      </c>
      <c r="BX22" s="190">
        <v>0</v>
      </c>
      <c r="BY22" s="190">
        <v>0</v>
      </c>
      <c r="BZ22" s="190">
        <v>0</v>
      </c>
      <c r="CA22" s="190">
        <v>0</v>
      </c>
      <c r="CB22" s="190">
        <v>0</v>
      </c>
      <c r="CC22" s="190">
        <v>0</v>
      </c>
      <c r="CD22" s="190">
        <v>0</v>
      </c>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3468825.38</v>
      </c>
      <c r="F23" s="29">
        <f t="shared" si="16"/>
        <v>34414</v>
      </c>
      <c r="G23" s="29">
        <f t="shared" si="16"/>
        <v>23309</v>
      </c>
      <c r="H23" s="29">
        <f t="shared" si="16"/>
        <v>16814</v>
      </c>
      <c r="I23" s="29">
        <f t="shared" si="16"/>
        <v>6785424.4299999997</v>
      </c>
      <c r="J23" s="29">
        <f t="shared" si="16"/>
        <v>0</v>
      </c>
      <c r="K23" s="29">
        <f t="shared" si="16"/>
        <v>0</v>
      </c>
      <c r="L23" s="29">
        <f t="shared" si="16"/>
        <v>0</v>
      </c>
      <c r="M23" s="29">
        <f t="shared" si="16"/>
        <v>7837118.29</v>
      </c>
      <c r="N23" s="29">
        <f t="shared" si="16"/>
        <v>0</v>
      </c>
      <c r="O23" s="29">
        <f t="shared" si="16"/>
        <v>0</v>
      </c>
      <c r="P23" s="29">
        <f t="shared" si="16"/>
        <v>0</v>
      </c>
      <c r="Q23" s="29">
        <f t="shared" si="16"/>
        <v>4129865.93</v>
      </c>
      <c r="R23" s="29">
        <f t="shared" si="16"/>
        <v>0</v>
      </c>
      <c r="S23" s="29">
        <f t="shared" si="16"/>
        <v>0</v>
      </c>
      <c r="T23" s="29">
        <f t="shared" si="16"/>
        <v>0</v>
      </c>
      <c r="U23" s="29">
        <f t="shared" si="16"/>
        <v>2748803.46</v>
      </c>
      <c r="V23" s="29">
        <f t="shared" si="16"/>
        <v>0</v>
      </c>
      <c r="W23" s="29">
        <f t="shared" si="16"/>
        <v>0</v>
      </c>
      <c r="X23" s="29">
        <f t="shared" si="16"/>
        <v>0</v>
      </c>
      <c r="Y23" s="29">
        <f t="shared" si="16"/>
        <v>1797817.41</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4254059.6300000008</v>
      </c>
      <c r="C24" s="26">
        <f t="shared" ref="C24:BN24" si="18">C67</f>
        <v>456739.09000000032</v>
      </c>
      <c r="D24" s="26">
        <f t="shared" si="18"/>
        <v>456707.16000000003</v>
      </c>
      <c r="E24" s="26">
        <f>E67</f>
        <v>7966691.629999999</v>
      </c>
      <c r="F24" s="26">
        <f t="shared" si="18"/>
        <v>7938432.0299999993</v>
      </c>
      <c r="G24" s="26">
        <f t="shared" si="18"/>
        <v>2241062.17</v>
      </c>
      <c r="H24" s="26">
        <f t="shared" si="18"/>
        <v>139623.92000000001</v>
      </c>
      <c r="I24" s="26">
        <f t="shared" si="18"/>
        <v>7550143.3200000003</v>
      </c>
      <c r="J24" s="26">
        <f t="shared" si="18"/>
        <v>5576394.9600000009</v>
      </c>
      <c r="K24" s="26">
        <f t="shared" si="18"/>
        <v>596164.38</v>
      </c>
      <c r="L24" s="26">
        <f t="shared" si="18"/>
        <v>0</v>
      </c>
      <c r="M24" s="26">
        <f t="shared" si="18"/>
        <v>425958504.00999999</v>
      </c>
      <c r="N24" s="26">
        <f t="shared" si="18"/>
        <v>237040000</v>
      </c>
      <c r="O24" s="26">
        <f t="shared" si="18"/>
        <v>237040000</v>
      </c>
      <c r="P24" s="26">
        <f t="shared" si="18"/>
        <v>0</v>
      </c>
      <c r="Q24" s="26">
        <f t="shared" si="18"/>
        <v>135427183.44</v>
      </c>
      <c r="R24" s="26">
        <f t="shared" si="18"/>
        <v>19795241.850000001</v>
      </c>
      <c r="S24" s="26">
        <f t="shared" si="18"/>
        <v>20000000</v>
      </c>
      <c r="T24" s="26">
        <f t="shared" si="18"/>
        <v>0</v>
      </c>
      <c r="U24" s="26">
        <f t="shared" si="18"/>
        <v>108996379.86</v>
      </c>
      <c r="V24" s="26">
        <f t="shared" si="18"/>
        <v>108996379.86</v>
      </c>
      <c r="W24" s="26">
        <f t="shared" si="18"/>
        <v>108996379.86</v>
      </c>
      <c r="X24" s="26">
        <f t="shared" si="18"/>
        <v>0</v>
      </c>
      <c r="Y24" s="26">
        <f t="shared" si="18"/>
        <v>100000000</v>
      </c>
      <c r="Z24" s="26">
        <f t="shared" si="18"/>
        <v>106212696.22</v>
      </c>
      <c r="AA24" s="26">
        <f t="shared" si="18"/>
        <v>100000000</v>
      </c>
      <c r="AB24" s="26">
        <f t="shared" si="18"/>
        <v>0</v>
      </c>
      <c r="AC24" s="26">
        <f t="shared" si="18"/>
        <v>80000901.969999999</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-7173.820000000007</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-60624.99</v>
      </c>
      <c r="BA24" s="26">
        <f t="shared" si="18"/>
        <v>-911904.98</v>
      </c>
      <c r="BB24" s="26">
        <f t="shared" si="18"/>
        <v>-887736.38</v>
      </c>
      <c r="BC24" s="26">
        <f t="shared" si="18"/>
        <v>-878622.99</v>
      </c>
      <c r="BD24" s="26">
        <f t="shared" si="18"/>
        <v>-354779.02</v>
      </c>
      <c r="BE24" s="26">
        <f t="shared" si="18"/>
        <v>567973.48</v>
      </c>
      <c r="BF24" s="26">
        <f t="shared" si="18"/>
        <v>1300643.3899999999</v>
      </c>
      <c r="BG24" s="26">
        <f t="shared" si="18"/>
        <v>1384791.66</v>
      </c>
      <c r="BH24" s="26">
        <f t="shared" si="18"/>
        <v>2497.09</v>
      </c>
      <c r="BI24" s="26">
        <f t="shared" si="18"/>
        <v>1902213.52</v>
      </c>
      <c r="BJ24" s="26">
        <f t="shared" si="18"/>
        <v>-210686.6</v>
      </c>
      <c r="BK24" s="26">
        <f t="shared" si="18"/>
        <v>-264505.2</v>
      </c>
      <c r="BL24" s="26">
        <f t="shared" si="18"/>
        <v>0</v>
      </c>
      <c r="BM24" s="26">
        <f t="shared" si="18"/>
        <v>-104270.22</v>
      </c>
      <c r="BN24" s="26">
        <f t="shared" si="18"/>
        <v>-49635.11</v>
      </c>
      <c r="BO24" s="26">
        <f t="shared" ref="BO24:CJ24" si="19">BO67</f>
        <v>-49635.11</v>
      </c>
      <c r="BP24" s="26">
        <f t="shared" si="19"/>
        <v>0</v>
      </c>
      <c r="BQ24" s="26">
        <f t="shared" si="19"/>
        <v>12094568.43</v>
      </c>
      <c r="BR24" s="26">
        <f t="shared" si="19"/>
        <v>4899103.54</v>
      </c>
      <c r="BS24" s="26">
        <f t="shared" si="19"/>
        <v>2253890.35</v>
      </c>
      <c r="BT24" s="26">
        <f t="shared" si="19"/>
        <v>341696.84</v>
      </c>
      <c r="BU24" s="26">
        <f t="shared" si="19"/>
        <v>6305282.4699999997</v>
      </c>
      <c r="BV24" s="26">
        <f t="shared" si="19"/>
        <v>4561536.82</v>
      </c>
      <c r="BW24" s="26">
        <f t="shared" si="19"/>
        <v>3813819.28</v>
      </c>
      <c r="BX24" s="26">
        <f t="shared" si="19"/>
        <v>566055.03</v>
      </c>
      <c r="BY24" s="26">
        <f t="shared" si="19"/>
        <v>2892968</v>
      </c>
      <c r="BZ24" s="26">
        <f t="shared" si="19"/>
        <v>13749</v>
      </c>
      <c r="CA24" s="26">
        <f t="shared" si="19"/>
        <v>11700</v>
      </c>
      <c r="CB24" s="26">
        <f t="shared" si="19"/>
        <v>5800</v>
      </c>
      <c r="CC24" s="26">
        <f t="shared" si="19"/>
        <v>20113.599999999999</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-4136051.34</v>
      </c>
      <c r="F25" s="29">
        <f t="shared" si="20"/>
        <v>-2684</v>
      </c>
      <c r="G25" s="29">
        <f t="shared" si="20"/>
        <v>377</v>
      </c>
      <c r="H25" s="29">
        <f t="shared" si="20"/>
        <v>-1008</v>
      </c>
      <c r="I25" s="29">
        <f t="shared" si="20"/>
        <v>3125983.98</v>
      </c>
      <c r="J25" s="29">
        <f t="shared" si="20"/>
        <v>0</v>
      </c>
      <c r="K25" s="29">
        <f t="shared" si="20"/>
        <v>0</v>
      </c>
      <c r="L25" s="29">
        <f t="shared" si="20"/>
        <v>0</v>
      </c>
      <c r="M25" s="29">
        <f t="shared" si="20"/>
        <v>384483.65</v>
      </c>
      <c r="N25" s="29">
        <f t="shared" si="20"/>
        <v>0</v>
      </c>
      <c r="O25" s="29">
        <f t="shared" si="20"/>
        <v>0</v>
      </c>
      <c r="P25" s="29">
        <f t="shared" si="20"/>
        <v>0</v>
      </c>
      <c r="Q25" s="29">
        <f t="shared" si="20"/>
        <v>-29811.9</v>
      </c>
      <c r="R25" s="29">
        <f t="shared" si="20"/>
        <v>0</v>
      </c>
      <c r="S25" s="29">
        <f t="shared" si="20"/>
        <v>0</v>
      </c>
      <c r="T25" s="29">
        <f t="shared" si="20"/>
        <v>0</v>
      </c>
      <c r="U25" s="29">
        <f t="shared" si="20"/>
        <v>-396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-2925288.42</v>
      </c>
      <c r="C26" s="190">
        <v>-477566.94</v>
      </c>
      <c r="D26" s="190">
        <v>2301540.96</v>
      </c>
      <c r="E26" s="190">
        <v>3897404.13</v>
      </c>
      <c r="F26" s="190">
        <v>3028484.65</v>
      </c>
      <c r="G26" s="190">
        <v>1817114.22</v>
      </c>
      <c r="H26" s="190">
        <v>743157.46</v>
      </c>
      <c r="I26" s="190">
        <v>-3807646.17</v>
      </c>
      <c r="J26" s="190">
        <v>-1306375.73</v>
      </c>
      <c r="K26" s="190">
        <v>-1138363.6599999999</v>
      </c>
      <c r="L26" s="190">
        <v>342635.62</v>
      </c>
      <c r="M26" s="190">
        <v>48696.98</v>
      </c>
      <c r="N26" s="190">
        <v>42834.73</v>
      </c>
      <c r="O26" s="190">
        <v>-232.04</v>
      </c>
      <c r="P26" s="190">
        <v>-96.06</v>
      </c>
      <c r="Q26" s="190">
        <v>21.08</v>
      </c>
      <c r="R26" s="190">
        <v>58.83</v>
      </c>
      <c r="S26" s="190">
        <v>84.97</v>
      </c>
      <c r="T26" s="190">
        <v>64.430000000000007</v>
      </c>
      <c r="U26" s="190">
        <v>-35.85</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v>0</v>
      </c>
      <c r="BL26" s="190">
        <v>0</v>
      </c>
      <c r="BM26" s="190">
        <v>0</v>
      </c>
      <c r="BN26" s="190">
        <v>0</v>
      </c>
      <c r="BO26" s="190">
        <v>0</v>
      </c>
      <c r="BP26" s="190">
        <v>0</v>
      </c>
      <c r="BQ26" s="190">
        <v>0</v>
      </c>
      <c r="BR26" s="190">
        <v>0</v>
      </c>
      <c r="BS26" s="190">
        <v>0</v>
      </c>
      <c r="BT26" s="190">
        <v>0</v>
      </c>
      <c r="BU26" s="190">
        <v>0</v>
      </c>
      <c r="BV26" s="190">
        <v>0</v>
      </c>
      <c r="BW26" s="190">
        <v>0</v>
      </c>
      <c r="BX26" s="190">
        <v>0</v>
      </c>
      <c r="BY26" s="190">
        <v>0</v>
      </c>
      <c r="BZ26" s="190">
        <v>0</v>
      </c>
      <c r="CA26" s="190">
        <v>0</v>
      </c>
      <c r="CB26" s="190">
        <v>0</v>
      </c>
      <c r="CC26" s="190">
        <v>0</v>
      </c>
      <c r="CD26" s="190">
        <v>0</v>
      </c>
      <c r="CE26" s="190"/>
      <c r="CF26" s="190"/>
      <c r="CG26" s="190"/>
      <c r="CH26" s="190"/>
      <c r="CI26" s="190"/>
      <c r="CJ26" s="190"/>
      <c r="CK26" s="190"/>
    </row>
    <row r="27" spans="1:89" x14ac:dyDescent="0.25">
      <c r="A27" s="17" t="s">
        <v>406</v>
      </c>
      <c r="B27" s="26">
        <f>SUM(B22:B26)</f>
        <v>1351303.2100000009</v>
      </c>
      <c r="C27" s="26">
        <f t="shared" ref="C27:BN27" si="22">SUM(C22:C26)</f>
        <v>8314.1500000003143</v>
      </c>
      <c r="D27" s="26">
        <f t="shared" si="22"/>
        <v>2793905.12</v>
      </c>
      <c r="E27" s="26">
        <f t="shared" si="22"/>
        <v>11196869.799999997</v>
      </c>
      <c r="F27" s="26">
        <f t="shared" si="22"/>
        <v>10998646.68</v>
      </c>
      <c r="G27" s="26">
        <f t="shared" si="22"/>
        <v>4081862.3899999997</v>
      </c>
      <c r="H27" s="26">
        <f t="shared" si="22"/>
        <v>898587.38</v>
      </c>
      <c r="I27" s="26">
        <f t="shared" si="22"/>
        <v>13653905.560000001</v>
      </c>
      <c r="J27" s="26">
        <f t="shared" si="22"/>
        <v>4270019.2300000004</v>
      </c>
      <c r="K27" s="26">
        <f t="shared" si="22"/>
        <v>-542199.27999999991</v>
      </c>
      <c r="L27" s="26">
        <f t="shared" si="22"/>
        <v>342635.62</v>
      </c>
      <c r="M27" s="26">
        <f t="shared" si="22"/>
        <v>434228802.93000001</v>
      </c>
      <c r="N27" s="26">
        <f t="shared" si="22"/>
        <v>237082834.72999999</v>
      </c>
      <c r="O27" s="26">
        <f t="shared" si="22"/>
        <v>237039767.96000001</v>
      </c>
      <c r="P27" s="26">
        <f t="shared" si="22"/>
        <v>-96.06</v>
      </c>
      <c r="Q27" s="26">
        <f t="shared" si="22"/>
        <v>139732278.55000001</v>
      </c>
      <c r="R27" s="26">
        <f t="shared" si="22"/>
        <v>20000320.68</v>
      </c>
      <c r="S27" s="26">
        <f t="shared" si="22"/>
        <v>19995664.969999999</v>
      </c>
      <c r="T27" s="26">
        <f t="shared" si="22"/>
        <v>-6055.57</v>
      </c>
      <c r="U27" s="26">
        <f t="shared" si="22"/>
        <v>111692901.47</v>
      </c>
      <c r="V27" s="26">
        <f t="shared" si="22"/>
        <v>108954559.86</v>
      </c>
      <c r="W27" s="26">
        <f t="shared" si="22"/>
        <v>108946569.86</v>
      </c>
      <c r="X27" s="26">
        <f t="shared" si="22"/>
        <v>-11390</v>
      </c>
      <c r="Y27" s="26">
        <f t="shared" si="22"/>
        <v>101777587.41</v>
      </c>
      <c r="Z27" s="26">
        <f t="shared" si="22"/>
        <v>106213716.22</v>
      </c>
      <c r="AA27" s="26">
        <f t="shared" si="22"/>
        <v>99978410</v>
      </c>
      <c r="AB27" s="26">
        <f t="shared" si="22"/>
        <v>-2720</v>
      </c>
      <c r="AC27" s="26">
        <f t="shared" si="22"/>
        <v>79979586.049999997</v>
      </c>
      <c r="AD27" s="26">
        <f t="shared" si="22"/>
        <v>0</v>
      </c>
      <c r="AE27" s="26">
        <f t="shared" si="22"/>
        <v>0</v>
      </c>
      <c r="AF27" s="26">
        <f t="shared" si="22"/>
        <v>0</v>
      </c>
      <c r="AG27" s="26">
        <f t="shared" si="22"/>
        <v>0</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-7173.820000000007</v>
      </c>
      <c r="AQ27" s="26">
        <f t="shared" si="22"/>
        <v>0</v>
      </c>
      <c r="AR27" s="26">
        <f t="shared" si="22"/>
        <v>0</v>
      </c>
      <c r="AS27" s="26">
        <f t="shared" si="22"/>
        <v>0</v>
      </c>
      <c r="AT27" s="26">
        <f t="shared" si="22"/>
        <v>0</v>
      </c>
      <c r="AU27" s="26">
        <f t="shared" si="22"/>
        <v>0</v>
      </c>
      <c r="AV27" s="26">
        <f t="shared" si="22"/>
        <v>0</v>
      </c>
      <c r="AW27" s="26">
        <f t="shared" si="22"/>
        <v>0</v>
      </c>
      <c r="AX27" s="26">
        <f t="shared" si="22"/>
        <v>0</v>
      </c>
      <c r="AY27" s="26">
        <f t="shared" si="22"/>
        <v>0</v>
      </c>
      <c r="AZ27" s="26">
        <f t="shared" si="22"/>
        <v>-60624.99</v>
      </c>
      <c r="BA27" s="26">
        <f t="shared" si="22"/>
        <v>-911904.98</v>
      </c>
      <c r="BB27" s="26">
        <f t="shared" si="22"/>
        <v>-887736.38</v>
      </c>
      <c r="BC27" s="26">
        <f t="shared" si="22"/>
        <v>-878622.99</v>
      </c>
      <c r="BD27" s="26">
        <f t="shared" si="22"/>
        <v>-354779.02</v>
      </c>
      <c r="BE27" s="26">
        <f t="shared" si="22"/>
        <v>567973.48</v>
      </c>
      <c r="BF27" s="26">
        <f t="shared" si="22"/>
        <v>1300643.3899999999</v>
      </c>
      <c r="BG27" s="26">
        <f t="shared" si="22"/>
        <v>1384791.66</v>
      </c>
      <c r="BH27" s="26">
        <f t="shared" si="22"/>
        <v>2497.09</v>
      </c>
      <c r="BI27" s="26">
        <f t="shared" si="22"/>
        <v>1902213.52</v>
      </c>
      <c r="BJ27" s="26">
        <f t="shared" si="22"/>
        <v>-210686.6</v>
      </c>
      <c r="BK27" s="26">
        <f t="shared" si="22"/>
        <v>-264505.2</v>
      </c>
      <c r="BL27" s="26">
        <f t="shared" si="22"/>
        <v>0</v>
      </c>
      <c r="BM27" s="26">
        <f t="shared" si="22"/>
        <v>-104270.22</v>
      </c>
      <c r="BN27" s="26">
        <f t="shared" si="22"/>
        <v>-49635.11</v>
      </c>
      <c r="BO27" s="26">
        <f t="shared" ref="BO27:CJ27" si="23">SUM(BO22:BO26)</f>
        <v>-49635.11</v>
      </c>
      <c r="BP27" s="26">
        <f t="shared" si="23"/>
        <v>0</v>
      </c>
      <c r="BQ27" s="26">
        <f t="shared" si="23"/>
        <v>12094568.43</v>
      </c>
      <c r="BR27" s="26">
        <f t="shared" si="23"/>
        <v>4899103.54</v>
      </c>
      <c r="BS27" s="26">
        <f t="shared" si="23"/>
        <v>2253890.35</v>
      </c>
      <c r="BT27" s="26">
        <f t="shared" si="23"/>
        <v>341696.84</v>
      </c>
      <c r="BU27" s="26">
        <f t="shared" si="23"/>
        <v>6305282.4699999997</v>
      </c>
      <c r="BV27" s="26">
        <f t="shared" si="23"/>
        <v>4561536.82</v>
      </c>
      <c r="BW27" s="26">
        <f t="shared" si="23"/>
        <v>3813819.28</v>
      </c>
      <c r="BX27" s="26">
        <f t="shared" si="23"/>
        <v>566055.03</v>
      </c>
      <c r="BY27" s="26">
        <f t="shared" si="23"/>
        <v>2892968</v>
      </c>
      <c r="BZ27" s="26">
        <f t="shared" si="23"/>
        <v>13749</v>
      </c>
      <c r="CA27" s="26">
        <f t="shared" si="23"/>
        <v>11700</v>
      </c>
      <c r="CB27" s="26">
        <f t="shared" si="23"/>
        <v>5800</v>
      </c>
      <c r="CC27" s="26">
        <f t="shared" si="23"/>
        <v>20113.599999999999</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2299086.8691597511</v>
      </c>
      <c r="C28" s="26">
        <f t="shared" ref="C28:BN28" si="24">SUM(C22:C25)*C41</f>
        <v>371205.64831972658</v>
      </c>
      <c r="D28" s="26">
        <f t="shared" si="24"/>
        <v>5047.5346646521548</v>
      </c>
      <c r="E28" s="26">
        <f t="shared" si="24"/>
        <v>3143153.8118158658</v>
      </c>
      <c r="F28" s="26">
        <f t="shared" si="24"/>
        <v>5321043.4002010915</v>
      </c>
      <c r="G28" s="26">
        <f t="shared" si="24"/>
        <v>1026001.5515768782</v>
      </c>
      <c r="H28" s="26">
        <f t="shared" si="24"/>
        <v>57476.924890728718</v>
      </c>
      <c r="I28" s="26">
        <f t="shared" si="24"/>
        <v>4747071.6826019371</v>
      </c>
      <c r="J28" s="26">
        <f t="shared" si="24"/>
        <v>1683870.1316020812</v>
      </c>
      <c r="K28" s="26">
        <f t="shared" si="24"/>
        <v>177938.38893848937</v>
      </c>
      <c r="L28" s="26">
        <f t="shared" si="24"/>
        <v>0</v>
      </c>
      <c r="M28" s="26">
        <f t="shared" si="24"/>
        <v>98830952.572442263</v>
      </c>
      <c r="N28" s="26">
        <f t="shared" si="24"/>
        <v>307964211.28274632</v>
      </c>
      <c r="O28" s="26">
        <f t="shared" si="24"/>
        <v>14239771.503856607</v>
      </c>
      <c r="P28" s="26">
        <f t="shared" si="24"/>
        <v>0</v>
      </c>
      <c r="Q28" s="26">
        <f t="shared" si="24"/>
        <v>48124419.814375073</v>
      </c>
      <c r="R28" s="26">
        <f t="shared" si="24"/>
        <v>15671305.992643485</v>
      </c>
      <c r="S28" s="26">
        <f t="shared" si="24"/>
        <v>11263682.907003596</v>
      </c>
      <c r="T28" s="26">
        <f t="shared" si="24"/>
        <v>-4151.0237855155792</v>
      </c>
      <c r="U28" s="26">
        <f t="shared" si="24"/>
        <v>32961558.961033709</v>
      </c>
      <c r="V28" s="26">
        <f t="shared" si="24"/>
        <v>42362866.708329685</v>
      </c>
      <c r="W28" s="26">
        <f t="shared" si="24"/>
        <v>28641981.717665311</v>
      </c>
      <c r="X28" s="26">
        <f t="shared" si="24"/>
        <v>-10721.115381443618</v>
      </c>
      <c r="Y28" s="26">
        <f t="shared" si="24"/>
        <v>13232082.710489007</v>
      </c>
      <c r="Z28" s="26">
        <f t="shared" si="24"/>
        <v>16971553.585998435</v>
      </c>
      <c r="AA28" s="26">
        <f t="shared" si="24"/>
        <v>-3894142.1888486524</v>
      </c>
      <c r="AB28" s="26">
        <f t="shared" si="24"/>
        <v>-18.174589234239001</v>
      </c>
      <c r="AC28" s="26">
        <f t="shared" si="24"/>
        <v>17243645.142213505</v>
      </c>
      <c r="AD28" s="26">
        <f t="shared" si="24"/>
        <v>0</v>
      </c>
      <c r="AE28" s="26">
        <f t="shared" si="24"/>
        <v>0</v>
      </c>
      <c r="AF28" s="26">
        <f t="shared" si="24"/>
        <v>0</v>
      </c>
      <c r="AG28" s="26">
        <f t="shared" si="24"/>
        <v>0</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29.979056263396153</v>
      </c>
      <c r="AQ28" s="26">
        <f t="shared" si="24"/>
        <v>0</v>
      </c>
      <c r="AR28" s="26">
        <f t="shared" si="24"/>
        <v>0</v>
      </c>
      <c r="AS28" s="26">
        <f t="shared" si="24"/>
        <v>0</v>
      </c>
      <c r="AT28" s="26">
        <f t="shared" si="24"/>
        <v>0</v>
      </c>
      <c r="AU28" s="26">
        <f t="shared" si="24"/>
        <v>0</v>
      </c>
      <c r="AV28" s="26">
        <f t="shared" si="24"/>
        <v>0</v>
      </c>
      <c r="AW28" s="26">
        <f t="shared" si="24"/>
        <v>0</v>
      </c>
      <c r="AX28" s="26">
        <f t="shared" si="24"/>
        <v>0</v>
      </c>
      <c r="AY28" s="26">
        <f t="shared" si="24"/>
        <v>0</v>
      </c>
      <c r="AZ28" s="26">
        <f t="shared" si="24"/>
        <v>-76.119149611617743</v>
      </c>
      <c r="BA28" s="26">
        <f t="shared" si="24"/>
        <v>-130.07733390131483</v>
      </c>
      <c r="BB28" s="26">
        <f t="shared" si="24"/>
        <v>-772.89667297798042</v>
      </c>
      <c r="BC28" s="26">
        <f t="shared" si="24"/>
        <v>-992.51891925841289</v>
      </c>
      <c r="BD28" s="26">
        <f t="shared" si="24"/>
        <v>-1180.8808578337523</v>
      </c>
      <c r="BE28" s="26">
        <f t="shared" si="24"/>
        <v>-196.37615030531714</v>
      </c>
      <c r="BF28" s="26">
        <f t="shared" si="24"/>
        <v>-1152226.9498919025</v>
      </c>
      <c r="BG28" s="26">
        <f t="shared" si="24"/>
        <v>258995.69153259715</v>
      </c>
      <c r="BH28" s="26">
        <f t="shared" si="24"/>
        <v>497.58302440081883</v>
      </c>
      <c r="BI28" s="26">
        <f t="shared" si="24"/>
        <v>450471.13745791255</v>
      </c>
      <c r="BJ28" s="26">
        <f t="shared" si="24"/>
        <v>-51297.143720764805</v>
      </c>
      <c r="BK28" s="26">
        <f t="shared" si="24"/>
        <v>-48898.184486734121</v>
      </c>
      <c r="BL28" s="26">
        <f t="shared" si="24"/>
        <v>0</v>
      </c>
      <c r="BM28" s="26">
        <f t="shared" si="24"/>
        <v>-21900.631731552356</v>
      </c>
      <c r="BN28" s="26">
        <f t="shared" si="24"/>
        <v>-7563.5234517713488</v>
      </c>
      <c r="BO28" s="26">
        <f t="shared" ref="BO28:CJ28" si="25">SUM(BO22:BO25)*BO41</f>
        <v>-6381.2802063075796</v>
      </c>
      <c r="BP28" s="26">
        <f t="shared" si="25"/>
        <v>0</v>
      </c>
      <c r="BQ28" s="26">
        <f t="shared" si="25"/>
        <v>2163765.3076790473</v>
      </c>
      <c r="BR28" s="26">
        <f t="shared" si="25"/>
        <v>795209.72036836506</v>
      </c>
      <c r="BS28" s="26">
        <f t="shared" si="25"/>
        <v>277141.67081668397</v>
      </c>
      <c r="BT28" s="26">
        <f t="shared" si="25"/>
        <v>15536.643594841655</v>
      </c>
      <c r="BU28" s="26">
        <f t="shared" si="25"/>
        <v>353086.85954747815</v>
      </c>
      <c r="BV28" s="26">
        <f t="shared" si="25"/>
        <v>472088.71324454871</v>
      </c>
      <c r="BW28" s="26">
        <f t="shared" si="25"/>
        <v>142492.65485335211</v>
      </c>
      <c r="BX28" s="26">
        <f t="shared" si="25"/>
        <v>27430.682098369023</v>
      </c>
      <c r="BY28" s="26">
        <f t="shared" si="25"/>
        <v>397206.90537029417</v>
      </c>
      <c r="BZ28" s="26">
        <f t="shared" si="25"/>
        <v>2115.1574040241262</v>
      </c>
      <c r="CA28" s="26">
        <f t="shared" si="25"/>
        <v>464.41705074075543</v>
      </c>
      <c r="CB28" s="26">
        <f t="shared" si="25"/>
        <v>144.45535995635655</v>
      </c>
      <c r="CC28" s="26">
        <f t="shared" si="25"/>
        <v>569.19117201799736</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-947783.65915975021</v>
      </c>
      <c r="C29" s="28">
        <f t="shared" ref="C29:BN29" si="26">C27-C28</f>
        <v>-362891.49831972626</v>
      </c>
      <c r="D29" s="28">
        <f t="shared" si="26"/>
        <v>2788857.5853353478</v>
      </c>
      <c r="E29" s="28">
        <f t="shared" si="26"/>
        <v>8053715.9881841317</v>
      </c>
      <c r="F29" s="28">
        <f t="shared" si="26"/>
        <v>5677603.2797989082</v>
      </c>
      <c r="G29" s="28">
        <f t="shared" si="26"/>
        <v>3055860.8384231217</v>
      </c>
      <c r="H29" s="28">
        <f t="shared" si="26"/>
        <v>841110.45510927134</v>
      </c>
      <c r="I29" s="28">
        <f t="shared" si="26"/>
        <v>8906833.8773980625</v>
      </c>
      <c r="J29" s="28">
        <f t="shared" si="26"/>
        <v>2586149.098397919</v>
      </c>
      <c r="K29" s="28">
        <f t="shared" si="26"/>
        <v>-720137.66893848928</v>
      </c>
      <c r="L29" s="28">
        <f t="shared" si="26"/>
        <v>342635.62</v>
      </c>
      <c r="M29" s="28">
        <f t="shared" si="26"/>
        <v>335397850.35755777</v>
      </c>
      <c r="N29" s="28">
        <f t="shared" si="26"/>
        <v>-70881376.552746326</v>
      </c>
      <c r="O29" s="28">
        <f t="shared" si="26"/>
        <v>222799996.45614341</v>
      </c>
      <c r="P29" s="28">
        <f t="shared" si="26"/>
        <v>-96.06</v>
      </c>
      <c r="Q29" s="28">
        <f t="shared" si="26"/>
        <v>91607858.735624939</v>
      </c>
      <c r="R29" s="28">
        <f t="shared" si="26"/>
        <v>4329014.6873565149</v>
      </c>
      <c r="S29" s="28">
        <f t="shared" si="26"/>
        <v>8731982.0629964024</v>
      </c>
      <c r="T29" s="28">
        <f t="shared" si="26"/>
        <v>-1904.5462144844205</v>
      </c>
      <c r="U29" s="28">
        <f t="shared" si="26"/>
        <v>78731342.508966297</v>
      </c>
      <c r="V29" s="28">
        <f t="shared" si="26"/>
        <v>66591693.151670314</v>
      </c>
      <c r="W29" s="28">
        <f t="shared" si="26"/>
        <v>80304588.142334685</v>
      </c>
      <c r="X29" s="28">
        <f t="shared" si="26"/>
        <v>-668.88461855638161</v>
      </c>
      <c r="Y29" s="28">
        <f t="shared" si="26"/>
        <v>88545504.699510992</v>
      </c>
      <c r="Z29" s="28">
        <f t="shared" si="26"/>
        <v>89242162.634001568</v>
      </c>
      <c r="AA29" s="28">
        <f t="shared" si="26"/>
        <v>103872552.18884866</v>
      </c>
      <c r="AB29" s="28">
        <f t="shared" si="26"/>
        <v>-2701.8254107657608</v>
      </c>
      <c r="AC29" s="28">
        <f t="shared" si="26"/>
        <v>62735940.907786489</v>
      </c>
      <c r="AD29" s="28">
        <f t="shared" si="26"/>
        <v>0</v>
      </c>
      <c r="AE29" s="28">
        <f t="shared" si="26"/>
        <v>0</v>
      </c>
      <c r="AF29" s="28">
        <f t="shared" si="26"/>
        <v>0</v>
      </c>
      <c r="AG29" s="28">
        <f t="shared" si="26"/>
        <v>0</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-7203.7990562634031</v>
      </c>
      <c r="AQ29" s="28">
        <f t="shared" si="26"/>
        <v>0</v>
      </c>
      <c r="AR29" s="28">
        <f t="shared" si="26"/>
        <v>0</v>
      </c>
      <c r="AS29" s="28">
        <f t="shared" si="26"/>
        <v>0</v>
      </c>
      <c r="AT29" s="28">
        <f t="shared" si="26"/>
        <v>0</v>
      </c>
      <c r="AU29" s="28">
        <f t="shared" si="26"/>
        <v>0</v>
      </c>
      <c r="AV29" s="28">
        <f t="shared" si="26"/>
        <v>0</v>
      </c>
      <c r="AW29" s="28">
        <f t="shared" si="26"/>
        <v>0</v>
      </c>
      <c r="AX29" s="28">
        <f t="shared" si="26"/>
        <v>0</v>
      </c>
      <c r="AY29" s="28">
        <f t="shared" si="26"/>
        <v>0</v>
      </c>
      <c r="AZ29" s="28">
        <f t="shared" si="26"/>
        <v>-60548.870850388383</v>
      </c>
      <c r="BA29" s="28">
        <f t="shared" si="26"/>
        <v>-911774.90266609867</v>
      </c>
      <c r="BB29" s="28">
        <f t="shared" si="26"/>
        <v>-886963.48332702206</v>
      </c>
      <c r="BC29" s="28">
        <f t="shared" si="26"/>
        <v>-877630.47108074161</v>
      </c>
      <c r="BD29" s="28">
        <f t="shared" si="26"/>
        <v>-353598.13914216624</v>
      </c>
      <c r="BE29" s="28">
        <f t="shared" si="26"/>
        <v>568169.85615030525</v>
      </c>
      <c r="BF29" s="28">
        <f t="shared" si="26"/>
        <v>2452870.3398919022</v>
      </c>
      <c r="BG29" s="28">
        <f t="shared" si="26"/>
        <v>1125795.9684674027</v>
      </c>
      <c r="BH29" s="28">
        <f t="shared" si="26"/>
        <v>1999.5069755991813</v>
      </c>
      <c r="BI29" s="28">
        <f t="shared" si="26"/>
        <v>1451742.3825420875</v>
      </c>
      <c r="BJ29" s="28">
        <f t="shared" si="26"/>
        <v>-159389.45627923519</v>
      </c>
      <c r="BK29" s="28">
        <f t="shared" si="26"/>
        <v>-215607.01551326588</v>
      </c>
      <c r="BL29" s="28">
        <f t="shared" si="26"/>
        <v>0</v>
      </c>
      <c r="BM29" s="28">
        <f t="shared" si="26"/>
        <v>-82369.588268447638</v>
      </c>
      <c r="BN29" s="28">
        <f t="shared" si="26"/>
        <v>-42071.586548228654</v>
      </c>
      <c r="BO29" s="28">
        <f t="shared" ref="BO29:CK29" si="27">BO27-BO28</f>
        <v>-43253.829793692421</v>
      </c>
      <c r="BP29" s="28">
        <f t="shared" si="27"/>
        <v>0</v>
      </c>
      <c r="BQ29" s="28">
        <f t="shared" si="27"/>
        <v>9930803.1223209519</v>
      </c>
      <c r="BR29" s="28">
        <f t="shared" si="27"/>
        <v>4103893.8196316352</v>
      </c>
      <c r="BS29" s="28">
        <f t="shared" si="27"/>
        <v>1976748.6791833162</v>
      </c>
      <c r="BT29" s="28">
        <f t="shared" si="27"/>
        <v>326160.19640515838</v>
      </c>
      <c r="BU29" s="28">
        <f t="shared" si="27"/>
        <v>5952195.6104525216</v>
      </c>
      <c r="BV29" s="28">
        <f t="shared" si="27"/>
        <v>4089448.1067554518</v>
      </c>
      <c r="BW29" s="28">
        <f t="shared" si="27"/>
        <v>3671326.6251466479</v>
      </c>
      <c r="BX29" s="28">
        <f t="shared" si="27"/>
        <v>538624.34790163103</v>
      </c>
      <c r="BY29" s="28">
        <f t="shared" si="27"/>
        <v>2495761.0946297059</v>
      </c>
      <c r="BZ29" s="28">
        <f t="shared" si="27"/>
        <v>11633.842595975873</v>
      </c>
      <c r="CA29" s="28">
        <f t="shared" si="27"/>
        <v>11235.582949259244</v>
      </c>
      <c r="CB29" s="28">
        <f t="shared" si="27"/>
        <v>5655.5446400436431</v>
      </c>
      <c r="CC29" s="28">
        <f t="shared" si="27"/>
        <v>19544.408827982003</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296520206.65000015</v>
      </c>
      <c r="C31" s="26">
        <f t="shared" ref="C31:BN31" si="28">C15+C20+C27</f>
        <v>161435958.67000002</v>
      </c>
      <c r="D31" s="26">
        <f t="shared" si="28"/>
        <v>-31322024.619999986</v>
      </c>
      <c r="E31" s="26">
        <f t="shared" si="28"/>
        <v>530205705.31999993</v>
      </c>
      <c r="F31" s="26">
        <f t="shared" si="28"/>
        <v>194790253.86999992</v>
      </c>
      <c r="G31" s="26">
        <f t="shared" si="28"/>
        <v>195718570.24999997</v>
      </c>
      <c r="H31" s="26">
        <f t="shared" si="28"/>
        <v>150570752.49999997</v>
      </c>
      <c r="I31" s="26">
        <f t="shared" si="28"/>
        <v>1475681139.7399998</v>
      </c>
      <c r="J31" s="26">
        <f t="shared" si="28"/>
        <v>730679594.70000029</v>
      </c>
      <c r="K31" s="26">
        <f t="shared" si="28"/>
        <v>722156627.85999966</v>
      </c>
      <c r="L31" s="26">
        <f t="shared" si="28"/>
        <v>597561609.02000034</v>
      </c>
      <c r="M31" s="26">
        <f t="shared" si="28"/>
        <v>325575516.85000002</v>
      </c>
      <c r="N31" s="26">
        <f t="shared" si="28"/>
        <v>190029941.57000005</v>
      </c>
      <c r="O31" s="26">
        <f t="shared" si="28"/>
        <v>195606693.23000005</v>
      </c>
      <c r="P31" s="26">
        <f t="shared" si="28"/>
        <v>-10752543.979999993</v>
      </c>
      <c r="Q31" s="26">
        <f t="shared" si="28"/>
        <v>295324724.84000003</v>
      </c>
      <c r="R31" s="26">
        <f t="shared" si="28"/>
        <v>136161203.97999996</v>
      </c>
      <c r="S31" s="26">
        <f t="shared" si="28"/>
        <v>108144261.40999995</v>
      </c>
      <c r="T31" s="26">
        <f t="shared" si="28"/>
        <v>57286248.419999987</v>
      </c>
      <c r="U31" s="26">
        <f t="shared" si="28"/>
        <v>743433114.35000026</v>
      </c>
      <c r="V31" s="26">
        <f t="shared" si="28"/>
        <v>113046708.53999998</v>
      </c>
      <c r="W31" s="26">
        <f t="shared" si="28"/>
        <v>123353427.92999999</v>
      </c>
      <c r="X31" s="26">
        <f t="shared" si="28"/>
        <v>32225159.450000014</v>
      </c>
      <c r="Y31" s="26">
        <f t="shared" si="28"/>
        <v>495713691.49000001</v>
      </c>
      <c r="Z31" s="26">
        <f t="shared" si="28"/>
        <v>161576082.65999997</v>
      </c>
      <c r="AA31" s="26">
        <f t="shared" si="28"/>
        <v>99852340.079999983</v>
      </c>
      <c r="AB31" s="26">
        <f t="shared" si="28"/>
        <v>-19469143.140000001</v>
      </c>
      <c r="AC31" s="26">
        <f t="shared" si="28"/>
        <v>301639079.88000005</v>
      </c>
      <c r="AD31" s="26">
        <f t="shared" si="28"/>
        <v>4326957.1499999985</v>
      </c>
      <c r="AE31" s="26">
        <f t="shared" si="28"/>
        <v>5029986.6599999983</v>
      </c>
      <c r="AF31" s="26">
        <f t="shared" si="28"/>
        <v>4909926.8</v>
      </c>
      <c r="AG31" s="26">
        <f t="shared" si="28"/>
        <v>31950007.649999999</v>
      </c>
      <c r="AH31" s="26">
        <f t="shared" si="28"/>
        <v>26399867.77</v>
      </c>
      <c r="AI31" s="26">
        <f t="shared" si="28"/>
        <v>27436019.57</v>
      </c>
      <c r="AJ31" s="26">
        <f t="shared" si="28"/>
        <v>16511611.620000001</v>
      </c>
      <c r="AK31" s="26">
        <f t="shared" si="28"/>
        <v>39867932.019999996</v>
      </c>
      <c r="AL31" s="26">
        <f t="shared" si="28"/>
        <v>1446839.4500000004</v>
      </c>
      <c r="AM31" s="26">
        <f t="shared" si="28"/>
        <v>4427627.7800000021</v>
      </c>
      <c r="AN31" s="26">
        <f t="shared" si="28"/>
        <v>14848272.629999999</v>
      </c>
      <c r="AO31" s="26">
        <f t="shared" si="28"/>
        <v>38510556.93</v>
      </c>
      <c r="AP31" s="26">
        <f t="shared" si="28"/>
        <v>12626403.859999992</v>
      </c>
      <c r="AQ31" s="26">
        <f t="shared" si="28"/>
        <v>79848368.019999996</v>
      </c>
      <c r="AR31" s="26">
        <f t="shared" si="28"/>
        <v>34580065.350000001</v>
      </c>
      <c r="AS31" s="26">
        <f t="shared" si="28"/>
        <v>56331186.199999981</v>
      </c>
      <c r="AT31" s="26">
        <f t="shared" si="28"/>
        <v>-9261303.6100000069</v>
      </c>
      <c r="AU31" s="26">
        <f t="shared" si="28"/>
        <v>-3526885.3099999847</v>
      </c>
      <c r="AV31" s="26">
        <f t="shared" si="28"/>
        <v>-3239344.0300000035</v>
      </c>
      <c r="AW31" s="26">
        <f t="shared" si="28"/>
        <v>-706027180.85000002</v>
      </c>
      <c r="AX31" s="26">
        <f t="shared" si="28"/>
        <v>-23977064.549999993</v>
      </c>
      <c r="AY31" s="26">
        <f t="shared" si="28"/>
        <v>-23078493.379999992</v>
      </c>
      <c r="AZ31" s="26">
        <f t="shared" si="28"/>
        <v>-5423922.7099999934</v>
      </c>
      <c r="BA31" s="26">
        <f t="shared" si="28"/>
        <v>-384158452.31000006</v>
      </c>
      <c r="BB31" s="26">
        <f t="shared" si="28"/>
        <v>-37233788.779999994</v>
      </c>
      <c r="BC31" s="26">
        <f t="shared" si="28"/>
        <v>-33866803.529999994</v>
      </c>
      <c r="BD31" s="26">
        <f t="shared" si="28"/>
        <v>-7011317.5099999979</v>
      </c>
      <c r="BE31" s="26">
        <f t="shared" si="28"/>
        <v>-152771256.63000008</v>
      </c>
      <c r="BF31" s="26">
        <f t="shared" si="28"/>
        <v>13470982.779999994</v>
      </c>
      <c r="BG31" s="26">
        <f t="shared" si="28"/>
        <v>16075923.400000008</v>
      </c>
      <c r="BH31" s="26">
        <f t="shared" si="28"/>
        <v>6845501.7600000165</v>
      </c>
      <c r="BI31" s="26">
        <f t="shared" si="28"/>
        <v>53574276.749999948</v>
      </c>
      <c r="BJ31" s="26">
        <f t="shared" si="28"/>
        <v>32372525.589999966</v>
      </c>
      <c r="BK31" s="26">
        <f t="shared" si="28"/>
        <v>17700358.479999978</v>
      </c>
      <c r="BL31" s="26">
        <f t="shared" si="28"/>
        <v>6375368.9600000009</v>
      </c>
      <c r="BM31" s="26">
        <f t="shared" si="28"/>
        <v>40253482.470000058</v>
      </c>
      <c r="BN31" s="26">
        <f t="shared" si="28"/>
        <v>23988707.190000013</v>
      </c>
      <c r="BO31" s="26">
        <f t="shared" ref="BO31:CJ31" si="29">BO15+BO20+BO27</f>
        <v>19500967.639999975</v>
      </c>
      <c r="BP31" s="26">
        <f t="shared" si="29"/>
        <v>4133836.6900000004</v>
      </c>
      <c r="BQ31" s="26">
        <f t="shared" si="29"/>
        <v>44399270.310000077</v>
      </c>
      <c r="BR31" s="26">
        <f t="shared" si="29"/>
        <v>22886950.209999986</v>
      </c>
      <c r="BS31" s="26">
        <f t="shared" si="29"/>
        <v>46711630.530000001</v>
      </c>
      <c r="BT31" s="26">
        <f t="shared" si="29"/>
        <v>22233660.75</v>
      </c>
      <c r="BU31" s="26">
        <f t="shared" si="29"/>
        <v>24039948.859999992</v>
      </c>
      <c r="BV31" s="26">
        <f t="shared" si="29"/>
        <v>10250955.180000003</v>
      </c>
      <c r="BW31" s="26">
        <f t="shared" si="29"/>
        <v>22759764.75</v>
      </c>
      <c r="BX31" s="26">
        <f t="shared" si="29"/>
        <v>9058650.1799999997</v>
      </c>
      <c r="BY31" s="26">
        <f t="shared" si="29"/>
        <v>19040118.009999998</v>
      </c>
      <c r="BZ31" s="26">
        <f t="shared" si="29"/>
        <v>6943746.9500000011</v>
      </c>
      <c r="CA31" s="26">
        <f t="shared" si="29"/>
        <v>17253363.68</v>
      </c>
      <c r="CB31" s="26">
        <f t="shared" si="29"/>
        <v>24354686.740000002</v>
      </c>
      <c r="CC31" s="26">
        <f t="shared" si="29"/>
        <v>20572694.000000004</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21.49552780477104</v>
      </c>
      <c r="C32" s="57">
        <f t="shared" ref="C32:D32" si="30">C31/C4*100</f>
        <v>18.049776169262152</v>
      </c>
      <c r="D32" s="57">
        <f t="shared" si="30"/>
        <v>-17.974630044622568</v>
      </c>
      <c r="E32" s="57">
        <f>E31/E4</f>
        <v>0.21431820349359895</v>
      </c>
      <c r="F32" s="57">
        <f t="shared" ref="F32:BQ32" si="31">F31/F4</f>
        <v>0.19320431110583391</v>
      </c>
      <c r="G32" s="57">
        <f t="shared" si="31"/>
        <v>0.2228407758351571</v>
      </c>
      <c r="H32" s="57">
        <f t="shared" si="31"/>
        <v>0.23889802229500212</v>
      </c>
      <c r="I32" s="57">
        <f t="shared" si="31"/>
        <v>0.22009164571318313</v>
      </c>
      <c r="J32" s="57">
        <f t="shared" si="31"/>
        <v>0.159655248945381</v>
      </c>
      <c r="K32" s="57">
        <f t="shared" si="31"/>
        <v>0.18072791530428087</v>
      </c>
      <c r="L32" s="57">
        <f t="shared" si="31"/>
        <v>0.20426431075003446</v>
      </c>
      <c r="M32" s="57">
        <f t="shared" si="31"/>
        <v>0.62670589294615431</v>
      </c>
      <c r="N32" s="57">
        <f t="shared" si="31"/>
        <v>0.51720089101336053</v>
      </c>
      <c r="O32" s="57">
        <f t="shared" si="31"/>
        <v>0.89906337195344499</v>
      </c>
      <c r="P32" s="57">
        <f t="shared" si="31"/>
        <v>-7.4359887146162401E-2</v>
      </c>
      <c r="Q32" s="57">
        <f t="shared" si="31"/>
        <v>0.23239089295905954</v>
      </c>
      <c r="R32" s="57">
        <f t="shared" si="31"/>
        <v>0.15239041160850175</v>
      </c>
      <c r="S32" s="57">
        <f t="shared" si="31"/>
        <v>0.15910925369546156</v>
      </c>
      <c r="T32" s="57">
        <f t="shared" si="31"/>
        <v>0.19006473055256626</v>
      </c>
      <c r="U32" s="57">
        <f t="shared" si="31"/>
        <v>0.26771498122806681</v>
      </c>
      <c r="V32" s="57">
        <f t="shared" si="31"/>
        <v>0.34622367440746543</v>
      </c>
      <c r="W32" s="57">
        <f t="shared" si="31"/>
        <v>0.4896274295834746</v>
      </c>
      <c r="X32" s="57">
        <f t="shared" si="31"/>
        <v>0.20197165379914966</v>
      </c>
      <c r="Y32" s="57">
        <f t="shared" si="31"/>
        <v>0.2627676680429587</v>
      </c>
      <c r="Z32" s="57">
        <f t="shared" si="31"/>
        <v>0.4460030907326511</v>
      </c>
      <c r="AA32" s="57">
        <f t="shared" si="31"/>
        <v>1.0814858036793362</v>
      </c>
      <c r="AB32" s="57">
        <f t="shared" si="31"/>
        <v>-0.50661193846317643</v>
      </c>
      <c r="AC32" s="57">
        <f t="shared" si="31"/>
        <v>0.33106480523571941</v>
      </c>
      <c r="AD32" s="57">
        <f t="shared" si="31"/>
        <v>1.8610336418258315</v>
      </c>
      <c r="AE32" s="57">
        <f t="shared" si="31"/>
        <v>6.9904662850723573</v>
      </c>
      <c r="AF32" s="57">
        <f t="shared" si="31"/>
        <v>10.794870957156123</v>
      </c>
      <c r="AG32" s="57">
        <f t="shared" si="31"/>
        <v>16.201787371627105</v>
      </c>
      <c r="AH32" s="57">
        <f t="shared" si="31"/>
        <v>11.748699928636972</v>
      </c>
      <c r="AI32" s="57">
        <f t="shared" si="31"/>
        <v>16.685210819489139</v>
      </c>
      <c r="AJ32" s="57">
        <f t="shared" si="31"/>
        <v>139.60198311851721</v>
      </c>
      <c r="AK32" s="57">
        <f t="shared" si="31"/>
        <v>17.187538545981337</v>
      </c>
      <c r="AL32" s="57">
        <f t="shared" si="31"/>
        <v>1.3655001173450569</v>
      </c>
      <c r="AM32" s="57">
        <f t="shared" si="31"/>
        <v>6.200213345599626</v>
      </c>
      <c r="AN32" s="57">
        <f t="shared" si="31"/>
        <v>46.75618141392782</v>
      </c>
      <c r="AO32" s="57">
        <f t="shared" si="31"/>
        <v>1.2999310258336323</v>
      </c>
      <c r="AP32" s="57">
        <f t="shared" si="31"/>
        <v>0.31812497044538174</v>
      </c>
      <c r="AQ32" s="57">
        <f t="shared" si="31"/>
        <v>2.0816508967008818</v>
      </c>
      <c r="AR32" s="57">
        <f t="shared" si="31"/>
        <v>1.7305830267548072</v>
      </c>
      <c r="AS32" s="57">
        <f t="shared" si="31"/>
        <v>0.20393080881954037</v>
      </c>
      <c r="AT32" s="57">
        <f t="shared" si="31"/>
        <v>-4.3662304036580751E-2</v>
      </c>
      <c r="AU32" s="57">
        <f t="shared" si="31"/>
        <v>-2.3257639125862449E-2</v>
      </c>
      <c r="AV32" s="57">
        <f t="shared" si="31"/>
        <v>-5.1366245364195998E-2</v>
      </c>
      <c r="AW32" s="57">
        <f t="shared" si="31"/>
        <v>-3.0807183756590795</v>
      </c>
      <c r="AX32" s="57">
        <f t="shared" si="31"/>
        <v>-0.19010470400792767</v>
      </c>
      <c r="AY32" s="57">
        <f t="shared" si="31"/>
        <v>-0.32578264567766752</v>
      </c>
      <c r="AZ32" s="57">
        <f t="shared" si="31"/>
        <v>-0.13556596867717688</v>
      </c>
      <c r="BA32" s="57">
        <f t="shared" si="31"/>
        <v>-1.7351432194866816</v>
      </c>
      <c r="BB32" s="57">
        <f t="shared" si="31"/>
        <v>-0.18588455715492655</v>
      </c>
      <c r="BC32" s="57">
        <f t="shared" si="31"/>
        <v>-0.19523804053927163</v>
      </c>
      <c r="BD32" s="57">
        <f t="shared" si="31"/>
        <v>-6.9797547984565236E-2</v>
      </c>
      <c r="BE32" s="57">
        <f t="shared" si="31"/>
        <v>-0.19054697259169689</v>
      </c>
      <c r="BF32" s="57">
        <f t="shared" si="31"/>
        <v>2.2171741332789648E-2</v>
      </c>
      <c r="BG32" s="57">
        <f t="shared" si="31"/>
        <v>4.1539232581751732E-2</v>
      </c>
      <c r="BH32" s="57">
        <f t="shared" si="31"/>
        <v>4.0268882668320231E-2</v>
      </c>
      <c r="BI32" s="57">
        <f t="shared" si="31"/>
        <v>6.1816031475420856E-2</v>
      </c>
      <c r="BJ32" s="57">
        <f t="shared" si="31"/>
        <v>5.7468023320021842E-2</v>
      </c>
      <c r="BK32" s="57">
        <f t="shared" si="31"/>
        <v>5.6581633373581665E-2</v>
      </c>
      <c r="BL32" s="57">
        <f t="shared" si="31"/>
        <v>4.9107708409030768E-2</v>
      </c>
      <c r="BM32" s="57">
        <f t="shared" si="31"/>
        <v>4.0409291271676452E-2</v>
      </c>
      <c r="BN32" s="57">
        <f t="shared" si="31"/>
        <v>3.5682206528627268E-2</v>
      </c>
      <c r="BO32" s="57">
        <f t="shared" si="31"/>
        <v>4.5903754913129632E-2</v>
      </c>
      <c r="BP32" s="57">
        <f t="shared" si="31"/>
        <v>1.9920493830991096E-2</v>
      </c>
      <c r="BQ32" s="57">
        <f t="shared" si="31"/>
        <v>5.8280064166286408E-2</v>
      </c>
      <c r="BR32" s="57">
        <f t="shared" ref="BR32:CK32" si="32">BR31/BR4</f>
        <v>9.9616676549455024E-2</v>
      </c>
      <c r="BS32" s="57">
        <f t="shared" si="32"/>
        <v>0.23526377270166071</v>
      </c>
      <c r="BT32" s="57">
        <f t="shared" si="32"/>
        <v>0.21425692505621621</v>
      </c>
      <c r="BU32" s="57">
        <f t="shared" si="32"/>
        <v>0.23692138650343092</v>
      </c>
      <c r="BV32" s="57">
        <f t="shared" si="32"/>
        <v>0.25820930659417002</v>
      </c>
      <c r="BW32" s="57">
        <f t="shared" si="32"/>
        <v>0.31616666242981362</v>
      </c>
      <c r="BX32" s="57">
        <f t="shared" si="32"/>
        <v>0.29878195173160277</v>
      </c>
      <c r="BY32" s="57">
        <f t="shared" si="32"/>
        <v>0.30747254510243649</v>
      </c>
      <c r="BZ32" s="57">
        <f t="shared" si="32"/>
        <v>0.22327900324937036</v>
      </c>
      <c r="CA32" s="57">
        <f t="shared" si="32"/>
        <v>0.24270173097208561</v>
      </c>
      <c r="CB32" s="57">
        <f t="shared" si="32"/>
        <v>0.27301275150688897</v>
      </c>
      <c r="CC32" s="57">
        <f t="shared" si="32"/>
        <v>0.28580653632535941</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141437086.3298209</v>
      </c>
      <c r="C33" s="26">
        <f t="shared" ref="C33:BN33" si="33">C17+C20+C29</f>
        <v>40198027.569589362</v>
      </c>
      <c r="D33" s="26">
        <f t="shared" si="33"/>
        <v>-30978061.861922082</v>
      </c>
      <c r="E33" s="26">
        <f t="shared" si="33"/>
        <v>293400379.93168604</v>
      </c>
      <c r="F33" s="26">
        <f t="shared" si="33"/>
        <v>64695851.769905254</v>
      </c>
      <c r="G33" s="26">
        <f t="shared" si="33"/>
        <v>105112328.61695777</v>
      </c>
      <c r="H33" s="26">
        <f t="shared" si="33"/>
        <v>95064532.059638992</v>
      </c>
      <c r="I33" s="26">
        <f t="shared" si="33"/>
        <v>1072600873.0736692</v>
      </c>
      <c r="J33" s="26">
        <f t="shared" si="33"/>
        <v>509730020.1385324</v>
      </c>
      <c r="K33" s="26">
        <f t="shared" si="33"/>
        <v>506186697.39504248</v>
      </c>
      <c r="L33" s="26">
        <f t="shared" si="33"/>
        <v>436499786.38321924</v>
      </c>
      <c r="M33" s="26">
        <f t="shared" si="33"/>
        <v>250866219.71443507</v>
      </c>
      <c r="N33" s="26">
        <f t="shared" si="33"/>
        <v>-57546414.410901561</v>
      </c>
      <c r="O33" s="26">
        <f t="shared" si="33"/>
        <v>183821699.26415521</v>
      </c>
      <c r="P33" s="26">
        <f t="shared" si="33"/>
        <v>-11923444.557946879</v>
      </c>
      <c r="Q33" s="26">
        <f t="shared" si="33"/>
        <v>194682304.30312362</v>
      </c>
      <c r="R33" s="26">
        <f t="shared" si="33"/>
        <v>30866908.777515858</v>
      </c>
      <c r="S33" s="26">
        <f t="shared" si="33"/>
        <v>48478242.441527657</v>
      </c>
      <c r="T33" s="26">
        <f t="shared" si="33"/>
        <v>18413400.39782986</v>
      </c>
      <c r="U33" s="26">
        <f t="shared" si="33"/>
        <v>524363496.38974535</v>
      </c>
      <c r="V33" s="26">
        <f t="shared" si="33"/>
        <v>71501405.502120554</v>
      </c>
      <c r="W33" s="26">
        <f t="shared" si="33"/>
        <v>90759189.052090093</v>
      </c>
      <c r="X33" s="26">
        <f t="shared" si="33"/>
        <v>1584837.8443884922</v>
      </c>
      <c r="Y33" s="26">
        <f t="shared" si="33"/>
        <v>434313179.93407309</v>
      </c>
      <c r="Z33" s="26">
        <f t="shared" si="33"/>
        <v>139036027.79101974</v>
      </c>
      <c r="AA33" s="26">
        <f t="shared" si="33"/>
        <v>102942601.61127736</v>
      </c>
      <c r="AB33" s="26">
        <f t="shared" si="33"/>
        <v>-19341600.893223748</v>
      </c>
      <c r="AC33" s="26">
        <f t="shared" si="33"/>
        <v>236664035.97175869</v>
      </c>
      <c r="AD33" s="26">
        <f t="shared" si="33"/>
        <v>4330372.560470365</v>
      </c>
      <c r="AE33" s="26">
        <f t="shared" si="33"/>
        <v>5036486.9159820834</v>
      </c>
      <c r="AF33" s="26">
        <f t="shared" si="33"/>
        <v>4909926.8</v>
      </c>
      <c r="AG33" s="26">
        <f t="shared" si="33"/>
        <v>31950007.649999999</v>
      </c>
      <c r="AH33" s="26">
        <f t="shared" si="33"/>
        <v>26399867.77</v>
      </c>
      <c r="AI33" s="26">
        <f t="shared" si="33"/>
        <v>27436019.57</v>
      </c>
      <c r="AJ33" s="26">
        <f t="shared" si="33"/>
        <v>16511611.620000001</v>
      </c>
      <c r="AK33" s="26">
        <f t="shared" si="33"/>
        <v>39867932.019999996</v>
      </c>
      <c r="AL33" s="26">
        <f t="shared" si="33"/>
        <v>1446839.4500000004</v>
      </c>
      <c r="AM33" s="26">
        <f t="shared" si="33"/>
        <v>4427627.7800000021</v>
      </c>
      <c r="AN33" s="26">
        <f t="shared" si="33"/>
        <v>14848272.629999999</v>
      </c>
      <c r="AO33" s="26">
        <f t="shared" si="33"/>
        <v>26068650.577316493</v>
      </c>
      <c r="AP33" s="26">
        <f t="shared" si="33"/>
        <v>12679893.879915124</v>
      </c>
      <c r="AQ33" s="26">
        <f t="shared" si="33"/>
        <v>79700050.091272518</v>
      </c>
      <c r="AR33" s="26">
        <f t="shared" si="33"/>
        <v>34580065.350000001</v>
      </c>
      <c r="AS33" s="26">
        <f t="shared" si="33"/>
        <v>53219765.716232531</v>
      </c>
      <c r="AT33" s="26">
        <f t="shared" si="33"/>
        <v>-9307921.956514759</v>
      </c>
      <c r="AU33" s="26">
        <f t="shared" si="33"/>
        <v>-3551352.3325100746</v>
      </c>
      <c r="AV33" s="26">
        <f t="shared" si="33"/>
        <v>-3243475.6811186639</v>
      </c>
      <c r="AW33" s="26">
        <f t="shared" si="33"/>
        <v>-703376820.01099706</v>
      </c>
      <c r="AX33" s="26">
        <f t="shared" si="33"/>
        <v>-23996138.395269249</v>
      </c>
      <c r="AY33" s="26">
        <f t="shared" si="33"/>
        <v>-23089116.48952176</v>
      </c>
      <c r="AZ33" s="26">
        <f t="shared" si="33"/>
        <v>-5417116.8620863426</v>
      </c>
      <c r="BA33" s="26">
        <f t="shared" si="33"/>
        <v>-384103654.59711534</v>
      </c>
      <c r="BB33" s="26">
        <f t="shared" si="33"/>
        <v>-37201371.643427953</v>
      </c>
      <c r="BC33" s="26">
        <f t="shared" si="33"/>
        <v>-33828546.571530998</v>
      </c>
      <c r="BD33" s="26">
        <f t="shared" si="33"/>
        <v>-6987980.3616089979</v>
      </c>
      <c r="BE33" s="26">
        <f t="shared" si="33"/>
        <v>-152824077.10896733</v>
      </c>
      <c r="BF33" s="26">
        <f t="shared" si="33"/>
        <v>25404791.478051916</v>
      </c>
      <c r="BG33" s="26">
        <f t="shared" si="33"/>
        <v>13069265.417955212</v>
      </c>
      <c r="BH33" s="26">
        <f t="shared" si="33"/>
        <v>5481431.7948478051</v>
      </c>
      <c r="BI33" s="26">
        <f t="shared" si="33"/>
        <v>40887128.260982022</v>
      </c>
      <c r="BJ33" s="26">
        <f t="shared" si="33"/>
        <v>24490590.536729541</v>
      </c>
      <c r="BK33" s="26">
        <f t="shared" si="33"/>
        <v>14428152.88844122</v>
      </c>
      <c r="BL33" s="26">
        <f t="shared" si="33"/>
        <v>4064799.5894403835</v>
      </c>
      <c r="BM33" s="26">
        <f t="shared" si="33"/>
        <v>31798751.143184312</v>
      </c>
      <c r="BN33" s="26">
        <f t="shared" si="33"/>
        <v>20333247.387266804</v>
      </c>
      <c r="BO33" s="26">
        <f t="shared" ref="BO33:CJ33" si="34">BO17+BO20+BO29</f>
        <v>16993848.40917775</v>
      </c>
      <c r="BP33" s="26">
        <f t="shared" si="34"/>
        <v>3369653.6012328481</v>
      </c>
      <c r="BQ33" s="26">
        <f t="shared" si="34"/>
        <v>36456068.257023431</v>
      </c>
      <c r="BR33" s="26">
        <f t="shared" si="34"/>
        <v>19172000.091477122</v>
      </c>
      <c r="BS33" s="26">
        <f t="shared" si="34"/>
        <v>40967899.770579599</v>
      </c>
      <c r="BT33" s="26">
        <f t="shared" si="34"/>
        <v>21222716.478811041</v>
      </c>
      <c r="BU33" s="26">
        <f t="shared" si="34"/>
        <v>22693745.880665526</v>
      </c>
      <c r="BV33" s="26">
        <f t="shared" si="34"/>
        <v>9190049.5178478025</v>
      </c>
      <c r="BW33" s="26">
        <f t="shared" si="34"/>
        <v>21909410.009786606</v>
      </c>
      <c r="BX33" s="26">
        <f t="shared" si="34"/>
        <v>8619673.5078416169</v>
      </c>
      <c r="BY33" s="26">
        <f t="shared" si="34"/>
        <v>16425894.018363278</v>
      </c>
      <c r="BZ33" s="26">
        <f t="shared" si="34"/>
        <v>5875515.2405693196</v>
      </c>
      <c r="CA33" s="26">
        <f t="shared" si="34"/>
        <v>16568512.716271514</v>
      </c>
      <c r="CB33" s="26">
        <f t="shared" si="34"/>
        <v>23748106.560749829</v>
      </c>
      <c r="CC33" s="26">
        <f t="shared" si="34"/>
        <v>19990511.008917969</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10.253145497827965</v>
      </c>
      <c r="C34" s="57">
        <f t="shared" ref="C34:D34" si="35">C33/C4*100</f>
        <v>4.4944472474071562</v>
      </c>
      <c r="D34" s="57">
        <f t="shared" si="35"/>
        <v>-17.777241676514631</v>
      </c>
      <c r="E34" s="57">
        <f>E33/E4</f>
        <v>0.11859744567129311</v>
      </c>
      <c r="F34" s="57">
        <f t="shared" ref="F34:BQ34" si="36">F33/F4</f>
        <v>6.4169111258264896E-2</v>
      </c>
      <c r="G34" s="57">
        <f t="shared" si="36"/>
        <v>0.11967854061535001</v>
      </c>
      <c r="H34" s="57">
        <f t="shared" si="36"/>
        <v>0.15083094374153164</v>
      </c>
      <c r="I34" s="57">
        <f t="shared" si="36"/>
        <v>0.15997391644496733</v>
      </c>
      <c r="J34" s="57">
        <f t="shared" si="36"/>
        <v>0.1113772354537485</v>
      </c>
      <c r="K34" s="57">
        <f t="shared" si="36"/>
        <v>0.12667898215662432</v>
      </c>
      <c r="L34" s="57">
        <f t="shared" si="36"/>
        <v>0.14920859483314183</v>
      </c>
      <c r="M34" s="57">
        <f t="shared" si="36"/>
        <v>0.48289668632729427</v>
      </c>
      <c r="N34" s="57">
        <f t="shared" si="36"/>
        <v>-0.15662298563081314</v>
      </c>
      <c r="O34" s="57">
        <f t="shared" si="36"/>
        <v>0.84489622542883691</v>
      </c>
      <c r="P34" s="57">
        <f t="shared" si="36"/>
        <v>-8.2457322971345323E-2</v>
      </c>
      <c r="Q34" s="57">
        <f t="shared" si="36"/>
        <v>0.15319541756905561</v>
      </c>
      <c r="R34" s="57">
        <f t="shared" si="36"/>
        <v>3.4545970483476615E-2</v>
      </c>
      <c r="S34" s="57">
        <f t="shared" si="36"/>
        <v>7.1324514817259405E-2</v>
      </c>
      <c r="T34" s="57">
        <f t="shared" si="36"/>
        <v>6.1092113407590631E-2</v>
      </c>
      <c r="U34" s="57">
        <f t="shared" si="36"/>
        <v>0.18882662190182556</v>
      </c>
      <c r="V34" s="57">
        <f t="shared" si="36"/>
        <v>0.21898452115908326</v>
      </c>
      <c r="W34" s="57">
        <f t="shared" si="36"/>
        <v>0.36025094067003205</v>
      </c>
      <c r="X34" s="57">
        <f t="shared" si="36"/>
        <v>9.9329941541879026E-3</v>
      </c>
      <c r="Y34" s="57">
        <f t="shared" si="36"/>
        <v>0.23022051529093282</v>
      </c>
      <c r="Z34" s="57">
        <f t="shared" si="36"/>
        <v>0.38378513141993009</v>
      </c>
      <c r="AA34" s="57">
        <f t="shared" si="36"/>
        <v>1.1149559654507604</v>
      </c>
      <c r="AB34" s="57">
        <f t="shared" si="36"/>
        <v>-0.50329312651492419</v>
      </c>
      <c r="AC34" s="57">
        <f t="shared" si="36"/>
        <v>0.25975126633611173</v>
      </c>
      <c r="AD34" s="57">
        <f t="shared" si="36"/>
        <v>1.8625026172664587</v>
      </c>
      <c r="AE34" s="57">
        <f t="shared" si="36"/>
        <v>6.9995000705192369</v>
      </c>
      <c r="AF34" s="57">
        <f t="shared" si="36"/>
        <v>10.794870957156123</v>
      </c>
      <c r="AG34" s="57">
        <f t="shared" si="36"/>
        <v>16.201787371627105</v>
      </c>
      <c r="AH34" s="57">
        <f t="shared" si="36"/>
        <v>11.748699928636972</v>
      </c>
      <c r="AI34" s="57">
        <f t="shared" si="36"/>
        <v>16.685210819489139</v>
      </c>
      <c r="AJ34" s="57">
        <f t="shared" si="36"/>
        <v>139.60198311851721</v>
      </c>
      <c r="AK34" s="57">
        <f t="shared" si="36"/>
        <v>17.187538545981337</v>
      </c>
      <c r="AL34" s="57">
        <f t="shared" si="36"/>
        <v>1.3655001173450569</v>
      </c>
      <c r="AM34" s="57">
        <f t="shared" si="36"/>
        <v>6.200213345599626</v>
      </c>
      <c r="AN34" s="57">
        <f t="shared" si="36"/>
        <v>46.75618141392782</v>
      </c>
      <c r="AO34" s="57">
        <f t="shared" si="36"/>
        <v>0.87995215827873363</v>
      </c>
      <c r="AP34" s="57">
        <f t="shared" si="36"/>
        <v>0.31947266304204675</v>
      </c>
      <c r="AQ34" s="57">
        <f t="shared" si="36"/>
        <v>2.0777842409759328</v>
      </c>
      <c r="AR34" s="57">
        <f t="shared" si="36"/>
        <v>1.7305830267548072</v>
      </c>
      <c r="AS34" s="57">
        <f t="shared" si="36"/>
        <v>0.1926668085625676</v>
      </c>
      <c r="AT34" s="57">
        <f t="shared" si="36"/>
        <v>-4.3882085668295316E-2</v>
      </c>
      <c r="AU34" s="57">
        <f t="shared" si="36"/>
        <v>-2.3418984088912589E-2</v>
      </c>
      <c r="AV34" s="57">
        <f t="shared" si="36"/>
        <v>-5.14317609139971E-2</v>
      </c>
      <c r="AW34" s="57">
        <f t="shared" si="36"/>
        <v>-3.0691536433650426</v>
      </c>
      <c r="AX34" s="57">
        <f t="shared" si="36"/>
        <v>-0.19025593301686841</v>
      </c>
      <c r="AY34" s="57">
        <f t="shared" si="36"/>
        <v>-0.32593260454492723</v>
      </c>
      <c r="AZ34" s="57">
        <f t="shared" si="36"/>
        <v>-0.13539586275671778</v>
      </c>
      <c r="BA34" s="57">
        <f t="shared" si="36"/>
        <v>-1.7348957125546238</v>
      </c>
      <c r="BB34" s="57">
        <f t="shared" si="36"/>
        <v>-0.1857227190698601</v>
      </c>
      <c r="BC34" s="57">
        <f t="shared" si="36"/>
        <v>-0.19501749378463437</v>
      </c>
      <c r="BD34" s="57">
        <f t="shared" si="36"/>
        <v>-6.9565227064521243E-2</v>
      </c>
      <c r="BE34" s="57">
        <f t="shared" si="36"/>
        <v>-0.19061285397920441</v>
      </c>
      <c r="BF34" s="57">
        <f t="shared" si="36"/>
        <v>4.1813464872146933E-2</v>
      </c>
      <c r="BG34" s="57">
        <f t="shared" si="36"/>
        <v>3.3770206684928965E-2</v>
      </c>
      <c r="BH34" s="57">
        <f t="shared" si="36"/>
        <v>3.2244697545899939E-2</v>
      </c>
      <c r="BI34" s="57">
        <f t="shared" si="36"/>
        <v>4.717711858836128E-2</v>
      </c>
      <c r="BJ34" s="57">
        <f t="shared" si="36"/>
        <v>4.3475935301156739E-2</v>
      </c>
      <c r="BK34" s="57">
        <f t="shared" si="36"/>
        <v>4.6121577589188209E-2</v>
      </c>
      <c r="BL34" s="57">
        <f t="shared" si="36"/>
        <v>3.1310029934234006E-2</v>
      </c>
      <c r="BM34" s="57">
        <f t="shared" si="36"/>
        <v>3.1921834290440404E-2</v>
      </c>
      <c r="BN34" s="57">
        <f t="shared" si="36"/>
        <v>3.0244861756142206E-2</v>
      </c>
      <c r="BO34" s="57">
        <f t="shared" si="36"/>
        <v>4.0002192035111461E-2</v>
      </c>
      <c r="BP34" s="57">
        <f t="shared" si="36"/>
        <v>1.6237981519278615E-2</v>
      </c>
      <c r="BQ34" s="57">
        <f t="shared" si="36"/>
        <v>4.7853534133224344E-2</v>
      </c>
      <c r="BR34" s="57">
        <f t="shared" ref="BR34:CK34" si="37">BR33/BR4</f>
        <v>8.3447157196345378E-2</v>
      </c>
      <c r="BS34" s="57">
        <f t="shared" si="37"/>
        <v>0.20633539335562254</v>
      </c>
      <c r="BT34" s="57">
        <f t="shared" si="37"/>
        <v>0.20451485813418926</v>
      </c>
      <c r="BU34" s="57">
        <f t="shared" si="37"/>
        <v>0.22365412548568134</v>
      </c>
      <c r="BV34" s="57">
        <f t="shared" si="37"/>
        <v>0.23148636121239646</v>
      </c>
      <c r="BW34" s="57">
        <f t="shared" si="37"/>
        <v>0.30435398233193872</v>
      </c>
      <c r="BX34" s="57">
        <f t="shared" si="37"/>
        <v>0.28430316027085056</v>
      </c>
      <c r="BY34" s="57">
        <f t="shared" si="37"/>
        <v>0.26525630969075309</v>
      </c>
      <c r="BZ34" s="57">
        <f t="shared" si="37"/>
        <v>0.18892957879042555</v>
      </c>
      <c r="CA34" s="57">
        <f t="shared" si="37"/>
        <v>0.23306798549279226</v>
      </c>
      <c r="CB34" s="57">
        <f t="shared" si="37"/>
        <v>0.26621306956006086</v>
      </c>
      <c r="CC34" s="57">
        <f t="shared" si="37"/>
        <v>0.27771854822867681</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132430961.75</v>
      </c>
      <c r="C35" s="26">
        <f t="shared" ref="C35:BN35" si="38">C23+C68</f>
        <v>96203453.530000001</v>
      </c>
      <c r="D35" s="26">
        <f t="shared" si="38"/>
        <v>57114368.909999996</v>
      </c>
      <c r="E35" s="26">
        <f t="shared" si="38"/>
        <v>136478989.89000002</v>
      </c>
      <c r="F35" s="26">
        <f t="shared" si="38"/>
        <v>91252797.950000003</v>
      </c>
      <c r="G35" s="26">
        <f t="shared" si="38"/>
        <v>59697515.770000003</v>
      </c>
      <c r="H35" s="26">
        <f t="shared" si="38"/>
        <v>29705128.84</v>
      </c>
      <c r="I35" s="26">
        <f t="shared" si="38"/>
        <v>187488226.05000001</v>
      </c>
      <c r="J35" s="26">
        <f t="shared" si="38"/>
        <v>119914436.59</v>
      </c>
      <c r="K35" s="26">
        <f t="shared" si="38"/>
        <v>84700003.180000007</v>
      </c>
      <c r="L35" s="26">
        <f t="shared" si="38"/>
        <v>37178824.32</v>
      </c>
      <c r="M35" s="26">
        <f t="shared" si="38"/>
        <v>222727109.41</v>
      </c>
      <c r="N35" s="26">
        <f t="shared" si="38"/>
        <v>170275102.06</v>
      </c>
      <c r="O35" s="26">
        <f t="shared" si="38"/>
        <v>115283397.93000001</v>
      </c>
      <c r="P35" s="26">
        <f t="shared" si="38"/>
        <v>55818953.710000001</v>
      </c>
      <c r="Q35" s="26">
        <f t="shared" si="38"/>
        <v>114962974.91000001</v>
      </c>
      <c r="R35" s="26">
        <f t="shared" si="38"/>
        <v>78504472.430000007</v>
      </c>
      <c r="S35" s="26">
        <f t="shared" si="38"/>
        <v>49328185.32</v>
      </c>
      <c r="T35" s="26">
        <f t="shared" si="38"/>
        <v>22459256.870000001</v>
      </c>
      <c r="U35" s="26">
        <f t="shared" si="38"/>
        <v>99850778.979999989</v>
      </c>
      <c r="V35" s="26">
        <f t="shared" si="38"/>
        <v>75258285.290000007</v>
      </c>
      <c r="W35" s="26">
        <f t="shared" si="38"/>
        <v>45704366.390000001</v>
      </c>
      <c r="X35" s="26">
        <f t="shared" si="38"/>
        <v>17671218.649999999</v>
      </c>
      <c r="Y35" s="26">
        <f t="shared" si="38"/>
        <v>23521333.23</v>
      </c>
      <c r="Z35" s="26">
        <f t="shared" si="38"/>
        <v>7106142.9100000001</v>
      </c>
      <c r="AA35" s="26">
        <f t="shared" si="38"/>
        <v>4111479.1</v>
      </c>
      <c r="AB35" s="26">
        <f t="shared" si="38"/>
        <v>2233963.2200000002</v>
      </c>
      <c r="AC35" s="26">
        <f t="shared" si="38"/>
        <v>6326568.6900000004</v>
      </c>
      <c r="AD35" s="26">
        <f t="shared" si="38"/>
        <v>35397490.259999998</v>
      </c>
      <c r="AE35" s="26">
        <f t="shared" si="38"/>
        <v>24007765.870000001</v>
      </c>
      <c r="AF35" s="26">
        <f t="shared" si="38"/>
        <v>11389332.460000001</v>
      </c>
      <c r="AG35" s="26">
        <f t="shared" si="38"/>
        <v>26985812.25</v>
      </c>
      <c r="AH35" s="26">
        <f t="shared" si="38"/>
        <v>34868054.049999997</v>
      </c>
      <c r="AI35" s="26">
        <f t="shared" si="38"/>
        <v>23479568.960000001</v>
      </c>
      <c r="AJ35" s="26">
        <f t="shared" si="38"/>
        <v>11390260.09</v>
      </c>
      <c r="AK35" s="26">
        <f t="shared" si="38"/>
        <v>32440983.25</v>
      </c>
      <c r="AL35" s="26">
        <f t="shared" si="38"/>
        <v>40799550.640000001</v>
      </c>
      <c r="AM35" s="26">
        <f t="shared" si="38"/>
        <v>27472833.149999999</v>
      </c>
      <c r="AN35" s="26">
        <f t="shared" si="38"/>
        <v>13613264.17</v>
      </c>
      <c r="AO35" s="26">
        <f t="shared" si="38"/>
        <v>33749652.829999998</v>
      </c>
      <c r="AP35" s="26">
        <f t="shared" si="38"/>
        <v>37462416.899999999</v>
      </c>
      <c r="AQ35" s="26">
        <f t="shared" si="38"/>
        <v>23851444.739999998</v>
      </c>
      <c r="AR35" s="26">
        <f t="shared" si="38"/>
        <v>12466949.029999999</v>
      </c>
      <c r="AS35" s="26">
        <f t="shared" si="38"/>
        <v>22982577.600000001</v>
      </c>
      <c r="AT35" s="26">
        <f t="shared" si="38"/>
        <v>38982126.560000002</v>
      </c>
      <c r="AU35" s="26">
        <f t="shared" si="38"/>
        <v>25884358.02</v>
      </c>
      <c r="AV35" s="26">
        <f t="shared" si="38"/>
        <v>12787625.720000001</v>
      </c>
      <c r="AW35" s="26">
        <f t="shared" si="38"/>
        <v>67366465.069999993</v>
      </c>
      <c r="AX35" s="26">
        <f t="shared" si="38"/>
        <v>39429861.75</v>
      </c>
      <c r="AY35" s="26">
        <f t="shared" si="38"/>
        <v>26292277.32</v>
      </c>
      <c r="AZ35" s="26">
        <f t="shared" si="38"/>
        <v>13146526.779999999</v>
      </c>
      <c r="BA35" s="26">
        <f t="shared" si="38"/>
        <v>59295488.979999997</v>
      </c>
      <c r="BB35" s="26">
        <f t="shared" si="38"/>
        <v>35420815</v>
      </c>
      <c r="BC35" s="26">
        <f t="shared" si="38"/>
        <v>22130140.620000001</v>
      </c>
      <c r="BD35" s="26">
        <f t="shared" si="38"/>
        <v>11993005.6</v>
      </c>
      <c r="BE35" s="26">
        <f t="shared" si="38"/>
        <v>30181857.379999999</v>
      </c>
      <c r="BF35" s="26">
        <f t="shared" si="38"/>
        <v>15530678.369999999</v>
      </c>
      <c r="BG35" s="26">
        <f t="shared" si="38"/>
        <v>10074964.24</v>
      </c>
      <c r="BH35" s="26">
        <f t="shared" si="38"/>
        <v>4653313.3600000003</v>
      </c>
      <c r="BI35" s="26">
        <f t="shared" si="38"/>
        <v>33693951.030000001</v>
      </c>
      <c r="BJ35" s="26">
        <f t="shared" si="38"/>
        <v>21583758.609999999</v>
      </c>
      <c r="BK35" s="26">
        <f t="shared" si="38"/>
        <v>11383644.15</v>
      </c>
      <c r="BL35" s="26">
        <f t="shared" si="38"/>
        <v>5411583</v>
      </c>
      <c r="BM35" s="26">
        <f t="shared" si="38"/>
        <v>24243151.66</v>
      </c>
      <c r="BN35" s="26">
        <f t="shared" si="38"/>
        <v>12670906.109999999</v>
      </c>
      <c r="BO35" s="26">
        <f t="shared" ref="BO35:CJ35" si="39">BO23+BO68</f>
        <v>8177269.9299999997</v>
      </c>
      <c r="BP35" s="26">
        <f t="shared" si="39"/>
        <v>1941658.56</v>
      </c>
      <c r="BQ35" s="26">
        <f t="shared" si="39"/>
        <v>7655701.8600000003</v>
      </c>
      <c r="BR35" s="26">
        <f t="shared" si="39"/>
        <v>1526434.55</v>
      </c>
      <c r="BS35" s="26">
        <f t="shared" si="39"/>
        <v>4688294.22</v>
      </c>
      <c r="BT35" s="26">
        <f t="shared" si="39"/>
        <v>2147488.6800000002</v>
      </c>
      <c r="BU35" s="26">
        <f t="shared" si="39"/>
        <v>3027137.15</v>
      </c>
      <c r="BV35" s="26">
        <f t="shared" si="39"/>
        <v>1667226.03</v>
      </c>
      <c r="BW35" s="26">
        <f t="shared" si="39"/>
        <v>3157976.51</v>
      </c>
      <c r="BX35" s="26">
        <f t="shared" si="39"/>
        <v>1695577.89</v>
      </c>
      <c r="BY35" s="26">
        <f t="shared" si="39"/>
        <v>3726826.52</v>
      </c>
      <c r="BZ35" s="26">
        <f t="shared" si="39"/>
        <v>1646675.07</v>
      </c>
      <c r="CA35" s="26">
        <f t="shared" si="39"/>
        <v>6168499.3499999996</v>
      </c>
      <c r="CB35" s="26">
        <f t="shared" si="39"/>
        <v>8294361.9400000004</v>
      </c>
      <c r="CC35" s="26">
        <f t="shared" si="39"/>
        <v>6437829.6600000001</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71194612.806559265</v>
      </c>
      <c r="C36" s="26">
        <f t="shared" ref="C36:BN36" si="40">C35*C41</f>
        <v>73497952.633226201</v>
      </c>
      <c r="D36" s="26">
        <f t="shared" si="40"/>
        <v>585515.31639296457</v>
      </c>
      <c r="E36" s="26">
        <f t="shared" si="40"/>
        <v>58767925.859089993</v>
      </c>
      <c r="F36" s="26">
        <f t="shared" si="40"/>
        <v>60922236.769348487</v>
      </c>
      <c r="G36" s="26">
        <f t="shared" si="40"/>
        <v>27044836.426694259</v>
      </c>
      <c r="H36" s="26">
        <f t="shared" si="40"/>
        <v>10984754.152907621</v>
      </c>
      <c r="I36" s="26">
        <f t="shared" si="40"/>
        <v>50970272.428544693</v>
      </c>
      <c r="J36" s="26">
        <f t="shared" si="40"/>
        <v>36209834.41276776</v>
      </c>
      <c r="K36" s="26">
        <f t="shared" si="40"/>
        <v>25280581.353978459</v>
      </c>
      <c r="L36" s="26">
        <f t="shared" si="40"/>
        <v>10025090.710980544</v>
      </c>
      <c r="M36" s="26">
        <f t="shared" si="40"/>
        <v>50698620.422815502</v>
      </c>
      <c r="N36" s="26">
        <f t="shared" si="40"/>
        <v>221222736.69843498</v>
      </c>
      <c r="O36" s="26">
        <f t="shared" si="40"/>
        <v>6925452.4329707045</v>
      </c>
      <c r="P36" s="26">
        <f t="shared" si="40"/>
        <v>-6138503.0327799963</v>
      </c>
      <c r="Q36" s="26">
        <f t="shared" si="40"/>
        <v>39593767.164794587</v>
      </c>
      <c r="R36" s="26">
        <f t="shared" si="40"/>
        <v>61512575.1086891</v>
      </c>
      <c r="S36" s="26">
        <f t="shared" si="40"/>
        <v>27786992.816531941</v>
      </c>
      <c r="T36" s="26">
        <f t="shared" si="40"/>
        <v>15233481.939930422</v>
      </c>
      <c r="U36" s="26">
        <f t="shared" si="40"/>
        <v>29466834.856576722</v>
      </c>
      <c r="V36" s="26">
        <f t="shared" si="40"/>
        <v>29261342.641687568</v>
      </c>
      <c r="W36" s="26">
        <f t="shared" si="40"/>
        <v>12015647.929457968</v>
      </c>
      <c r="X36" s="26">
        <f t="shared" si="40"/>
        <v>16633465.678434443</v>
      </c>
      <c r="Y36" s="26">
        <f t="shared" si="40"/>
        <v>3058003.5809510015</v>
      </c>
      <c r="Z36" s="26">
        <f t="shared" si="40"/>
        <v>1135468.0871632893</v>
      </c>
      <c r="AA36" s="26">
        <f t="shared" si="40"/>
        <v>-160141.41675067134</v>
      </c>
      <c r="AB36" s="26">
        <f t="shared" si="40"/>
        <v>14926.972017609522</v>
      </c>
      <c r="AC36" s="26">
        <f t="shared" si="40"/>
        <v>1364011.8791062257</v>
      </c>
      <c r="AD36" s="26">
        <f t="shared" si="40"/>
        <v>-27940.410470366081</v>
      </c>
      <c r="AE36" s="26">
        <f t="shared" si="40"/>
        <v>-31025.25598208548</v>
      </c>
      <c r="AF36" s="26">
        <f t="shared" si="40"/>
        <v>0</v>
      </c>
      <c r="AG36" s="26">
        <f t="shared" si="40"/>
        <v>0</v>
      </c>
      <c r="AH36" s="26">
        <f t="shared" si="40"/>
        <v>0</v>
      </c>
      <c r="AI36" s="26">
        <f t="shared" si="40"/>
        <v>0</v>
      </c>
      <c r="AJ36" s="26">
        <f t="shared" si="40"/>
        <v>0</v>
      </c>
      <c r="AK36" s="26">
        <f t="shared" si="40"/>
        <v>0</v>
      </c>
      <c r="AL36" s="26">
        <f t="shared" si="40"/>
        <v>0</v>
      </c>
      <c r="AM36" s="26">
        <f t="shared" si="40"/>
        <v>0</v>
      </c>
      <c r="AN36" s="26">
        <f t="shared" si="40"/>
        <v>0</v>
      </c>
      <c r="AO36" s="26">
        <f t="shared" si="40"/>
        <v>10921386.331861902</v>
      </c>
      <c r="AP36" s="26">
        <f t="shared" si="40"/>
        <v>-156553.67767910287</v>
      </c>
      <c r="AQ36" s="26">
        <f t="shared" si="40"/>
        <v>44207.900058412495</v>
      </c>
      <c r="AR36" s="26">
        <f t="shared" si="40"/>
        <v>0</v>
      </c>
      <c r="AS36" s="26">
        <f t="shared" si="40"/>
        <v>1234643.8103982504</v>
      </c>
      <c r="AT36" s="26">
        <f t="shared" si="40"/>
        <v>-196829.96940646993</v>
      </c>
      <c r="AU36" s="26">
        <f t="shared" si="40"/>
        <v>-181032.8098163456</v>
      </c>
      <c r="AV36" s="26">
        <f t="shared" si="40"/>
        <v>-16324.986522030789</v>
      </c>
      <c r="AW36" s="26">
        <f t="shared" si="40"/>
        <v>257126.50344285724</v>
      </c>
      <c r="AX36" s="26">
        <f t="shared" si="40"/>
        <v>-31332.937161987025</v>
      </c>
      <c r="AY36" s="26">
        <f t="shared" si="40"/>
        <v>-12100.233949643296</v>
      </c>
      <c r="AZ36" s="26">
        <f t="shared" si="40"/>
        <v>16506.434703576186</v>
      </c>
      <c r="BA36" s="26">
        <f t="shared" si="40"/>
        <v>8458.1171153305822</v>
      </c>
      <c r="BB36" s="26">
        <f t="shared" si="40"/>
        <v>30838.693427961738</v>
      </c>
      <c r="BC36" s="26">
        <f t="shared" si="40"/>
        <v>24998.871531006836</v>
      </c>
      <c r="BD36" s="26">
        <f t="shared" si="40"/>
        <v>39918.681608999861</v>
      </c>
      <c r="BE36" s="26">
        <f t="shared" si="40"/>
        <v>-10435.34103273365</v>
      </c>
      <c r="BF36" s="26">
        <f t="shared" si="40"/>
        <v>-13758472.38805192</v>
      </c>
      <c r="BG36" s="26">
        <f t="shared" si="40"/>
        <v>1884306.7920447956</v>
      </c>
      <c r="BH36" s="26">
        <f t="shared" si="40"/>
        <v>927243.20515221171</v>
      </c>
      <c r="BI36" s="26">
        <f t="shared" si="40"/>
        <v>7979205.4290179294</v>
      </c>
      <c r="BJ36" s="26">
        <f t="shared" si="40"/>
        <v>5255128.5532704256</v>
      </c>
      <c r="BK36" s="26">
        <f t="shared" si="40"/>
        <v>2104455.911558758</v>
      </c>
      <c r="BL36" s="26">
        <f t="shared" si="40"/>
        <v>1961272.8305596174</v>
      </c>
      <c r="BM36" s="26">
        <f t="shared" si="40"/>
        <v>5091965.2468157457</v>
      </c>
      <c r="BN36" s="26">
        <f t="shared" si="40"/>
        <v>1930824.6827332077</v>
      </c>
      <c r="BO36" s="26">
        <f t="shared" ref="BO36:CJ36" si="41">BO35*BO41</f>
        <v>1051301.2008222237</v>
      </c>
      <c r="BP36" s="26">
        <f t="shared" si="41"/>
        <v>358935.95876715216</v>
      </c>
      <c r="BQ36" s="26">
        <f t="shared" si="41"/>
        <v>1369634.8229766439</v>
      </c>
      <c r="BR36" s="26">
        <f t="shared" si="41"/>
        <v>247766.87852286361</v>
      </c>
      <c r="BS36" s="26">
        <f t="shared" si="41"/>
        <v>576479.54942040634</v>
      </c>
      <c r="BT36" s="26">
        <f t="shared" si="41"/>
        <v>97644.351188957327</v>
      </c>
      <c r="BU36" s="26">
        <f t="shared" si="41"/>
        <v>169515.37933446513</v>
      </c>
      <c r="BV36" s="26">
        <f t="shared" si="41"/>
        <v>172546.80215220037</v>
      </c>
      <c r="BW36" s="26">
        <f t="shared" si="41"/>
        <v>117988.93021339581</v>
      </c>
      <c r="BX36" s="26">
        <f t="shared" si="41"/>
        <v>82166.672158382396</v>
      </c>
      <c r="BY36" s="26">
        <f t="shared" si="41"/>
        <v>511696.37163672142</v>
      </c>
      <c r="BZ36" s="26">
        <f t="shared" si="41"/>
        <v>253325.83943068198</v>
      </c>
      <c r="CA36" s="26">
        <f t="shared" si="41"/>
        <v>244850.96372848432</v>
      </c>
      <c r="CB36" s="26">
        <f t="shared" si="41"/>
        <v>206580.17925017307</v>
      </c>
      <c r="CC36" s="26">
        <f t="shared" si="41"/>
        <v>182182.99108203533</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61236348.943440735</v>
      </c>
      <c r="C37" s="26">
        <f t="shared" ref="C37:BN37" si="42">C35-C36</f>
        <v>22705500.8967738</v>
      </c>
      <c r="D37" s="26">
        <f t="shared" si="42"/>
        <v>56528853.593607031</v>
      </c>
      <c r="E37" s="26">
        <f t="shared" si="42"/>
        <v>77711064.030910015</v>
      </c>
      <c r="F37" s="26">
        <f t="shared" si="42"/>
        <v>30330561.180651516</v>
      </c>
      <c r="G37" s="26">
        <f t="shared" si="42"/>
        <v>32652679.343305744</v>
      </c>
      <c r="H37" s="26">
        <f t="shared" si="42"/>
        <v>18720374.687092379</v>
      </c>
      <c r="I37" s="26">
        <f t="shared" si="42"/>
        <v>136517953.62145531</v>
      </c>
      <c r="J37" s="26">
        <f t="shared" si="42"/>
        <v>83704602.177232236</v>
      </c>
      <c r="K37" s="26">
        <f t="shared" si="42"/>
        <v>59419421.826021552</v>
      </c>
      <c r="L37" s="26">
        <f t="shared" si="42"/>
        <v>27153733.609019458</v>
      </c>
      <c r="M37" s="26">
        <f t="shared" si="42"/>
        <v>172028488.98718449</v>
      </c>
      <c r="N37" s="26">
        <f t="shared" si="42"/>
        <v>-50947634.638434976</v>
      </c>
      <c r="O37" s="26">
        <f t="shared" si="42"/>
        <v>108357945.4970293</v>
      </c>
      <c r="P37" s="26">
        <f t="shared" si="42"/>
        <v>61957456.74278</v>
      </c>
      <c r="Q37" s="26">
        <f t="shared" si="42"/>
        <v>75369207.745205432</v>
      </c>
      <c r="R37" s="26">
        <f t="shared" si="42"/>
        <v>16991897.321310908</v>
      </c>
      <c r="S37" s="26">
        <f t="shared" si="42"/>
        <v>21541192.503468059</v>
      </c>
      <c r="T37" s="26">
        <f t="shared" si="42"/>
        <v>7225774.9300695788</v>
      </c>
      <c r="U37" s="26">
        <f t="shared" si="42"/>
        <v>70383944.123423263</v>
      </c>
      <c r="V37" s="26">
        <f t="shared" si="42"/>
        <v>45996942.648312435</v>
      </c>
      <c r="W37" s="26">
        <f t="shared" si="42"/>
        <v>33688718.460542031</v>
      </c>
      <c r="X37" s="26">
        <f t="shared" si="42"/>
        <v>1037752.9715655558</v>
      </c>
      <c r="Y37" s="26">
        <f t="shared" si="42"/>
        <v>20463329.649048999</v>
      </c>
      <c r="Z37" s="26">
        <f t="shared" si="42"/>
        <v>5970674.8228367111</v>
      </c>
      <c r="AA37" s="26">
        <f t="shared" si="42"/>
        <v>4271620.516750671</v>
      </c>
      <c r="AB37" s="26">
        <f t="shared" si="42"/>
        <v>2219036.2479823907</v>
      </c>
      <c r="AC37" s="26">
        <f t="shared" si="42"/>
        <v>4962556.810893775</v>
      </c>
      <c r="AD37" s="26">
        <f t="shared" si="42"/>
        <v>35425430.670470364</v>
      </c>
      <c r="AE37" s="26">
        <f t="shared" si="42"/>
        <v>24038791.125982087</v>
      </c>
      <c r="AF37" s="26">
        <f t="shared" si="42"/>
        <v>11389332.460000001</v>
      </c>
      <c r="AG37" s="26">
        <f t="shared" si="42"/>
        <v>26985812.25</v>
      </c>
      <c r="AH37" s="26">
        <f t="shared" si="42"/>
        <v>34868054.049999997</v>
      </c>
      <c r="AI37" s="26">
        <f t="shared" si="42"/>
        <v>23479568.960000001</v>
      </c>
      <c r="AJ37" s="26">
        <f t="shared" si="42"/>
        <v>11390260.09</v>
      </c>
      <c r="AK37" s="26">
        <f t="shared" si="42"/>
        <v>32440983.25</v>
      </c>
      <c r="AL37" s="26">
        <f t="shared" si="42"/>
        <v>40799550.640000001</v>
      </c>
      <c r="AM37" s="26">
        <f t="shared" si="42"/>
        <v>27472833.149999999</v>
      </c>
      <c r="AN37" s="26">
        <f t="shared" si="42"/>
        <v>13613264.17</v>
      </c>
      <c r="AO37" s="26">
        <f t="shared" si="42"/>
        <v>22828266.498138096</v>
      </c>
      <c r="AP37" s="26">
        <f t="shared" si="42"/>
        <v>37618970.577679098</v>
      </c>
      <c r="AQ37" s="26">
        <f t="shared" si="42"/>
        <v>23807236.839941587</v>
      </c>
      <c r="AR37" s="26">
        <f t="shared" si="42"/>
        <v>12466949.029999999</v>
      </c>
      <c r="AS37" s="26">
        <f t="shared" si="42"/>
        <v>21747933.789601751</v>
      </c>
      <c r="AT37" s="26">
        <f t="shared" si="42"/>
        <v>39178956.529406473</v>
      </c>
      <c r="AU37" s="26">
        <f t="shared" si="42"/>
        <v>26065390.829816345</v>
      </c>
      <c r="AV37" s="26">
        <f t="shared" si="42"/>
        <v>12803950.706522031</v>
      </c>
      <c r="AW37" s="26">
        <f t="shared" si="42"/>
        <v>67109338.566557139</v>
      </c>
      <c r="AX37" s="26">
        <f t="shared" si="42"/>
        <v>39461194.68716199</v>
      </c>
      <c r="AY37" s="26">
        <f t="shared" si="42"/>
        <v>26304377.553949643</v>
      </c>
      <c r="AZ37" s="26">
        <f t="shared" si="42"/>
        <v>13130020.345296424</v>
      </c>
      <c r="BA37" s="26">
        <f t="shared" si="42"/>
        <v>59287030.862884663</v>
      </c>
      <c r="BB37" s="26">
        <f t="shared" si="42"/>
        <v>35389976.306572035</v>
      </c>
      <c r="BC37" s="26">
        <f t="shared" si="42"/>
        <v>22105141.748468995</v>
      </c>
      <c r="BD37" s="26">
        <f t="shared" si="42"/>
        <v>11953086.918391</v>
      </c>
      <c r="BE37" s="26">
        <f t="shared" si="42"/>
        <v>30192292.721032731</v>
      </c>
      <c r="BF37" s="26">
        <f t="shared" si="42"/>
        <v>29289150.758051917</v>
      </c>
      <c r="BG37" s="26">
        <f t="shared" si="42"/>
        <v>8190657.4479552042</v>
      </c>
      <c r="BH37" s="26">
        <f t="shared" si="42"/>
        <v>3726070.1548477886</v>
      </c>
      <c r="BI37" s="26">
        <f t="shared" si="42"/>
        <v>25714745.60098207</v>
      </c>
      <c r="BJ37" s="26">
        <f t="shared" si="42"/>
        <v>16328630.056729574</v>
      </c>
      <c r="BK37" s="26">
        <f t="shared" si="42"/>
        <v>9279188.2384412419</v>
      </c>
      <c r="BL37" s="26">
        <f t="shared" si="42"/>
        <v>3450310.1694403826</v>
      </c>
      <c r="BM37" s="26">
        <f t="shared" si="42"/>
        <v>19151186.413184255</v>
      </c>
      <c r="BN37" s="26">
        <f t="shared" si="42"/>
        <v>10740081.427266791</v>
      </c>
      <c r="BO37" s="26">
        <f t="shared" ref="BO37:CJ37" si="43">BO35-BO36</f>
        <v>7125968.7291777758</v>
      </c>
      <c r="BP37" s="26">
        <f t="shared" si="43"/>
        <v>1582722.6012328479</v>
      </c>
      <c r="BQ37" s="26">
        <f t="shared" si="43"/>
        <v>6286067.0370233562</v>
      </c>
      <c r="BR37" s="26">
        <f t="shared" si="43"/>
        <v>1278667.6714771364</v>
      </c>
      <c r="BS37" s="26">
        <f t="shared" si="43"/>
        <v>4111814.6705795936</v>
      </c>
      <c r="BT37" s="26">
        <f t="shared" si="43"/>
        <v>2049844.3288110429</v>
      </c>
      <c r="BU37" s="26">
        <f t="shared" si="43"/>
        <v>2857621.7706655348</v>
      </c>
      <c r="BV37" s="26">
        <f t="shared" si="43"/>
        <v>1494679.2278477997</v>
      </c>
      <c r="BW37" s="26">
        <f t="shared" si="43"/>
        <v>3039987.5797866038</v>
      </c>
      <c r="BX37" s="26">
        <f t="shared" si="43"/>
        <v>1613411.2178416175</v>
      </c>
      <c r="BY37" s="26">
        <f t="shared" si="43"/>
        <v>3215130.1483632787</v>
      </c>
      <c r="BZ37" s="26">
        <f t="shared" si="43"/>
        <v>1393349.2305693182</v>
      </c>
      <c r="CA37" s="26">
        <f t="shared" si="43"/>
        <v>5923648.3862715149</v>
      </c>
      <c r="CB37" s="26">
        <f t="shared" si="43"/>
        <v>8087781.7607498271</v>
      </c>
      <c r="CC37" s="26">
        <f t="shared" si="43"/>
        <v>6255646.6689179651</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164089244.90000015</v>
      </c>
      <c r="C38" s="28">
        <f t="shared" ref="C38:BN38" si="44">C31-C35</f>
        <v>65232505.140000015</v>
      </c>
      <c r="D38" s="28">
        <f t="shared" si="44"/>
        <v>-88436393.529999986</v>
      </c>
      <c r="E38" s="28">
        <f t="shared" si="44"/>
        <v>393726715.42999995</v>
      </c>
      <c r="F38" s="28">
        <f t="shared" si="44"/>
        <v>103537455.91999991</v>
      </c>
      <c r="G38" s="28">
        <f t="shared" si="44"/>
        <v>136021054.47999996</v>
      </c>
      <c r="H38" s="28">
        <f t="shared" si="44"/>
        <v>120865623.65999997</v>
      </c>
      <c r="I38" s="28">
        <f t="shared" si="44"/>
        <v>1288192913.6899998</v>
      </c>
      <c r="J38" s="28">
        <f t="shared" si="44"/>
        <v>610765158.11000025</v>
      </c>
      <c r="K38" s="28">
        <f t="shared" si="44"/>
        <v>637456624.67999959</v>
      </c>
      <c r="L38" s="28">
        <f t="shared" si="44"/>
        <v>560382784.70000029</v>
      </c>
      <c r="M38" s="28">
        <f t="shared" si="44"/>
        <v>102848407.44000003</v>
      </c>
      <c r="N38" s="28">
        <f t="shared" si="44"/>
        <v>19754839.51000005</v>
      </c>
      <c r="O38" s="28">
        <f t="shared" si="44"/>
        <v>80323295.300000042</v>
      </c>
      <c r="P38" s="28">
        <f t="shared" si="44"/>
        <v>-66571497.689999998</v>
      </c>
      <c r="Q38" s="28">
        <f t="shared" si="44"/>
        <v>180361749.93000001</v>
      </c>
      <c r="R38" s="28">
        <f t="shared" si="44"/>
        <v>57656731.549999952</v>
      </c>
      <c r="S38" s="28">
        <f t="shared" si="44"/>
        <v>58816076.089999951</v>
      </c>
      <c r="T38" s="28">
        <f t="shared" si="44"/>
        <v>34826991.549999982</v>
      </c>
      <c r="U38" s="28">
        <f t="shared" si="44"/>
        <v>643582335.37000024</v>
      </c>
      <c r="V38" s="28">
        <f t="shared" si="44"/>
        <v>37788423.24999997</v>
      </c>
      <c r="W38" s="28">
        <f t="shared" si="44"/>
        <v>77649061.539999992</v>
      </c>
      <c r="X38" s="28">
        <f t="shared" si="44"/>
        <v>14553940.800000016</v>
      </c>
      <c r="Y38" s="28">
        <f t="shared" si="44"/>
        <v>472192358.25999999</v>
      </c>
      <c r="Z38" s="28">
        <f t="shared" si="44"/>
        <v>154469939.74999997</v>
      </c>
      <c r="AA38" s="28">
        <f t="shared" si="44"/>
        <v>95740860.979999989</v>
      </c>
      <c r="AB38" s="28">
        <f t="shared" si="44"/>
        <v>-21703106.359999999</v>
      </c>
      <c r="AC38" s="28">
        <f t="shared" si="44"/>
        <v>295312511.19000006</v>
      </c>
      <c r="AD38" s="28">
        <f t="shared" si="44"/>
        <v>-31070533.109999999</v>
      </c>
      <c r="AE38" s="28">
        <f t="shared" si="44"/>
        <v>-18977779.210000001</v>
      </c>
      <c r="AF38" s="28">
        <f t="shared" si="44"/>
        <v>-6479405.6600000011</v>
      </c>
      <c r="AG38" s="28">
        <f t="shared" si="44"/>
        <v>4964195.3999999985</v>
      </c>
      <c r="AH38" s="28">
        <f t="shared" si="44"/>
        <v>-8468186.2799999975</v>
      </c>
      <c r="AI38" s="28">
        <f t="shared" si="44"/>
        <v>3956450.6099999994</v>
      </c>
      <c r="AJ38" s="28">
        <f t="shared" si="44"/>
        <v>5121351.5300000012</v>
      </c>
      <c r="AK38" s="28">
        <f t="shared" si="44"/>
        <v>7426948.7699999958</v>
      </c>
      <c r="AL38" s="28">
        <f t="shared" si="44"/>
        <v>-39352711.189999998</v>
      </c>
      <c r="AM38" s="28">
        <f t="shared" si="44"/>
        <v>-23045205.369999997</v>
      </c>
      <c r="AN38" s="28">
        <f t="shared" si="44"/>
        <v>1235008.459999999</v>
      </c>
      <c r="AO38" s="28">
        <f t="shared" si="44"/>
        <v>4760904.1000000015</v>
      </c>
      <c r="AP38" s="28">
        <f t="shared" si="44"/>
        <v>-24836013.040000007</v>
      </c>
      <c r="AQ38" s="28">
        <f t="shared" si="44"/>
        <v>55996923.280000001</v>
      </c>
      <c r="AR38" s="28">
        <f t="shared" si="44"/>
        <v>22113116.32</v>
      </c>
      <c r="AS38" s="28">
        <f t="shared" si="44"/>
        <v>33348608.599999979</v>
      </c>
      <c r="AT38" s="28">
        <f t="shared" si="44"/>
        <v>-48243430.170000009</v>
      </c>
      <c r="AU38" s="28">
        <f t="shared" si="44"/>
        <v>-29411243.329999983</v>
      </c>
      <c r="AV38" s="28">
        <f t="shared" si="44"/>
        <v>-16026969.750000004</v>
      </c>
      <c r="AW38" s="28">
        <f t="shared" si="44"/>
        <v>-773393645.92000008</v>
      </c>
      <c r="AX38" s="28">
        <f t="shared" si="44"/>
        <v>-63406926.299999997</v>
      </c>
      <c r="AY38" s="28">
        <f t="shared" si="44"/>
        <v>-49370770.699999988</v>
      </c>
      <c r="AZ38" s="28">
        <f t="shared" si="44"/>
        <v>-18570449.489999995</v>
      </c>
      <c r="BA38" s="28">
        <f t="shared" si="44"/>
        <v>-443453941.29000008</v>
      </c>
      <c r="BB38" s="28">
        <f t="shared" si="44"/>
        <v>-72654603.780000001</v>
      </c>
      <c r="BC38" s="28">
        <f t="shared" si="44"/>
        <v>-55996944.149999991</v>
      </c>
      <c r="BD38" s="28">
        <f t="shared" si="44"/>
        <v>-19004323.109999999</v>
      </c>
      <c r="BE38" s="28">
        <f t="shared" si="44"/>
        <v>-182953114.01000008</v>
      </c>
      <c r="BF38" s="28">
        <f t="shared" si="44"/>
        <v>-2059695.5900000054</v>
      </c>
      <c r="BG38" s="28">
        <f t="shared" si="44"/>
        <v>6000959.1600000076</v>
      </c>
      <c r="BH38" s="28">
        <f t="shared" si="44"/>
        <v>2192188.4000000162</v>
      </c>
      <c r="BI38" s="28">
        <f t="shared" si="44"/>
        <v>19880325.719999947</v>
      </c>
      <c r="BJ38" s="28">
        <f t="shared" si="44"/>
        <v>10788766.979999967</v>
      </c>
      <c r="BK38" s="28">
        <f t="shared" si="44"/>
        <v>6316714.3299999777</v>
      </c>
      <c r="BL38" s="28">
        <f t="shared" si="44"/>
        <v>963785.96000000089</v>
      </c>
      <c r="BM38" s="28">
        <f t="shared" si="44"/>
        <v>16010330.810000058</v>
      </c>
      <c r="BN38" s="28">
        <f t="shared" si="44"/>
        <v>11317801.080000013</v>
      </c>
      <c r="BO38" s="28">
        <f t="shared" ref="BO38:CJ38" si="45">BO31-BO35</f>
        <v>11323697.709999975</v>
      </c>
      <c r="BP38" s="28">
        <f t="shared" si="45"/>
        <v>2192178.1300000004</v>
      </c>
      <c r="BQ38" s="28">
        <f t="shared" si="45"/>
        <v>36743568.450000077</v>
      </c>
      <c r="BR38" s="28">
        <f t="shared" si="45"/>
        <v>21360515.659999985</v>
      </c>
      <c r="BS38" s="28">
        <f t="shared" si="45"/>
        <v>42023336.310000002</v>
      </c>
      <c r="BT38" s="28">
        <f t="shared" si="45"/>
        <v>20086172.07</v>
      </c>
      <c r="BU38" s="28">
        <f t="shared" si="45"/>
        <v>21012811.709999993</v>
      </c>
      <c r="BV38" s="28">
        <f t="shared" si="45"/>
        <v>8583729.1500000041</v>
      </c>
      <c r="BW38" s="28">
        <f t="shared" si="45"/>
        <v>19601788.240000002</v>
      </c>
      <c r="BX38" s="28">
        <f t="shared" si="45"/>
        <v>7363072.29</v>
      </c>
      <c r="BY38" s="28">
        <f t="shared" si="45"/>
        <v>15313291.489999998</v>
      </c>
      <c r="BZ38" s="28">
        <f t="shared" si="45"/>
        <v>5297071.8800000008</v>
      </c>
      <c r="CA38" s="28">
        <f t="shared" si="45"/>
        <v>11084864.33</v>
      </c>
      <c r="CB38" s="28">
        <f t="shared" si="45"/>
        <v>16060324.800000001</v>
      </c>
      <c r="CC38" s="28">
        <f t="shared" si="45"/>
        <v>14134864.340000004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11.895259908459382</v>
      </c>
      <c r="C39" s="57">
        <f t="shared" ref="C39:D39" si="46">C38/C4*100</f>
        <v>7.2934935093617881</v>
      </c>
      <c r="D39" s="57">
        <f t="shared" si="46"/>
        <v>-50.750597238448989</v>
      </c>
      <c r="E39" s="57">
        <f>E38/E4</f>
        <v>0.15915106433542567</v>
      </c>
      <c r="F39" s="57">
        <f t="shared" ref="F39:BQ39" si="47">F38/F4</f>
        <v>0.10269447494033515</v>
      </c>
      <c r="G39" s="57">
        <f t="shared" si="47"/>
        <v>0.15487052287129288</v>
      </c>
      <c r="H39" s="57">
        <f t="shared" si="47"/>
        <v>0.19176737830161281</v>
      </c>
      <c r="I39" s="57">
        <f t="shared" si="47"/>
        <v>0.19212856404741069</v>
      </c>
      <c r="J39" s="57">
        <f t="shared" si="47"/>
        <v>0.13345365612030419</v>
      </c>
      <c r="K39" s="57">
        <f t="shared" si="47"/>
        <v>0.15953077550048339</v>
      </c>
      <c r="L39" s="57">
        <f t="shared" si="47"/>
        <v>0.1915554840623962</v>
      </c>
      <c r="M39" s="57">
        <f t="shared" si="47"/>
        <v>0.19797466236526412</v>
      </c>
      <c r="N39" s="57">
        <f t="shared" si="47"/>
        <v>5.3766372351560801E-2</v>
      </c>
      <c r="O39" s="57">
        <f t="shared" si="47"/>
        <v>0.36918845427194547</v>
      </c>
      <c r="P39" s="57">
        <f t="shared" si="47"/>
        <v>-0.46037933577272511</v>
      </c>
      <c r="Q39" s="57">
        <f t="shared" si="47"/>
        <v>0.1419265797829814</v>
      </c>
      <c r="R39" s="57">
        <f t="shared" si="47"/>
        <v>6.4528902477947861E-2</v>
      </c>
      <c r="S39" s="57">
        <f t="shared" si="47"/>
        <v>8.6534244628074505E-2</v>
      </c>
      <c r="T39" s="57">
        <f t="shared" si="47"/>
        <v>0.11554924519365567</v>
      </c>
      <c r="U39" s="57">
        <f t="shared" si="47"/>
        <v>0.23175808220883151</v>
      </c>
      <c r="V39" s="57">
        <f t="shared" si="47"/>
        <v>0.11573310640044122</v>
      </c>
      <c r="W39" s="57">
        <f t="shared" si="47"/>
        <v>0.30821284052984838</v>
      </c>
      <c r="X39" s="57">
        <f t="shared" si="47"/>
        <v>9.1217034852279721E-2</v>
      </c>
      <c r="Y39" s="57">
        <f t="shared" si="47"/>
        <v>0.25029949137523166</v>
      </c>
      <c r="Z39" s="57">
        <f t="shared" si="47"/>
        <v>0.42638780084029054</v>
      </c>
      <c r="AA39" s="57">
        <f t="shared" si="47"/>
        <v>1.0369549867229002</v>
      </c>
      <c r="AB39" s="57">
        <f t="shared" si="47"/>
        <v>-0.56474251099024453</v>
      </c>
      <c r="AC39" s="57">
        <f t="shared" si="47"/>
        <v>0.32412106229631477</v>
      </c>
      <c r="AD39" s="57">
        <f t="shared" si="47"/>
        <v>-13.363503585232731</v>
      </c>
      <c r="AE39" s="57">
        <f t="shared" si="47"/>
        <v>-26.374528343789319</v>
      </c>
      <c r="AF39" s="57">
        <f t="shared" si="47"/>
        <v>-14.245497097587487</v>
      </c>
      <c r="AG39" s="57">
        <f t="shared" si="47"/>
        <v>2.517333930654297</v>
      </c>
      <c r="AH39" s="57">
        <f t="shared" si="47"/>
        <v>-3.7685862827153302</v>
      </c>
      <c r="AI39" s="57">
        <f t="shared" si="47"/>
        <v>2.4061147921373349</v>
      </c>
      <c r="AJ39" s="57">
        <f t="shared" si="47"/>
        <v>43.299881700769582</v>
      </c>
      <c r="AK39" s="57">
        <f t="shared" si="47"/>
        <v>3.2018457390608246</v>
      </c>
      <c r="AL39" s="57">
        <f t="shared" si="47"/>
        <v>-37.140355654382468</v>
      </c>
      <c r="AM39" s="57">
        <f t="shared" si="47"/>
        <v>-32.271274142009759</v>
      </c>
      <c r="AN39" s="57">
        <f t="shared" si="47"/>
        <v>3.8889560450841194</v>
      </c>
      <c r="AO39" s="57">
        <f t="shared" si="47"/>
        <v>0.1607052051170777</v>
      </c>
      <c r="AP39" s="57">
        <f t="shared" si="47"/>
        <v>-0.62574870897018209</v>
      </c>
      <c r="AQ39" s="57">
        <f t="shared" si="47"/>
        <v>1.4598425546919838</v>
      </c>
      <c r="AR39" s="57">
        <f t="shared" si="47"/>
        <v>1.1066660338756915</v>
      </c>
      <c r="AS39" s="57">
        <f t="shared" si="47"/>
        <v>0.12072901679468412</v>
      </c>
      <c r="AT39" s="57">
        <f t="shared" si="47"/>
        <v>-0.22744306898390207</v>
      </c>
      <c r="AU39" s="57">
        <f t="shared" si="47"/>
        <v>-0.19394905801801407</v>
      </c>
      <c r="AV39" s="57">
        <f t="shared" si="47"/>
        <v>-0.25413949645325146</v>
      </c>
      <c r="AW39" s="57">
        <f t="shared" si="47"/>
        <v>-3.3746689663353289</v>
      </c>
      <c r="AX39" s="57">
        <f t="shared" si="47"/>
        <v>-0.50272855257896809</v>
      </c>
      <c r="AY39" s="57">
        <f t="shared" si="47"/>
        <v>-0.69693198914492882</v>
      </c>
      <c r="AZ39" s="57">
        <f t="shared" si="47"/>
        <v>-0.46415133630885347</v>
      </c>
      <c r="BA39" s="57">
        <f t="shared" si="47"/>
        <v>-2.0029654293876349</v>
      </c>
      <c r="BB39" s="57">
        <f t="shared" si="47"/>
        <v>-0.36271809266335842</v>
      </c>
      <c r="BC39" s="57">
        <f t="shared" si="47"/>
        <v>-0.32281563396877894</v>
      </c>
      <c r="BD39" s="57">
        <f t="shared" si="47"/>
        <v>-0.18918771718618221</v>
      </c>
      <c r="BE39" s="57">
        <f t="shared" si="47"/>
        <v>-0.22819189139263324</v>
      </c>
      <c r="BF39" s="57">
        <f t="shared" si="47"/>
        <v>-3.39003015530302E-3</v>
      </c>
      <c r="BG39" s="57">
        <f t="shared" si="47"/>
        <v>1.5506122544776102E-2</v>
      </c>
      <c r="BH39" s="57">
        <f t="shared" si="47"/>
        <v>1.2895618255812574E-2</v>
      </c>
      <c r="BI39" s="57">
        <f t="shared" si="47"/>
        <v>2.2938673464203821E-2</v>
      </c>
      <c r="BJ39" s="57">
        <f t="shared" si="47"/>
        <v>1.9152324420200432E-2</v>
      </c>
      <c r="BK39" s="57">
        <f t="shared" si="47"/>
        <v>2.0192247221973141E-2</v>
      </c>
      <c r="BL39" s="57">
        <f t="shared" si="47"/>
        <v>7.4237773828226923E-3</v>
      </c>
      <c r="BM39" s="57">
        <f t="shared" si="47"/>
        <v>1.6072301857096613E-2</v>
      </c>
      <c r="BN39" s="57">
        <f t="shared" si="47"/>
        <v>1.683475947194139E-2</v>
      </c>
      <c r="BO39" s="57">
        <f t="shared" si="47"/>
        <v>2.6655100094828257E-2</v>
      </c>
      <c r="BP39" s="57">
        <f t="shared" si="47"/>
        <v>1.0563859724003416E-2</v>
      </c>
      <c r="BQ39" s="57">
        <f t="shared" si="47"/>
        <v>4.8230917130231046E-2</v>
      </c>
      <c r="BR39" s="57">
        <f t="shared" ref="BR39:CK39" si="48">BR38/BR4</f>
        <v>9.2972788419055527E-2</v>
      </c>
      <c r="BS39" s="57">
        <f t="shared" si="48"/>
        <v>0.21165111407215281</v>
      </c>
      <c r="BT39" s="57">
        <f t="shared" si="48"/>
        <v>0.19356243275719917</v>
      </c>
      <c r="BU39" s="57">
        <f t="shared" si="48"/>
        <v>0.20708798149534538</v>
      </c>
      <c r="BV39" s="57">
        <f t="shared" si="48"/>
        <v>0.21621387596523123</v>
      </c>
      <c r="BW39" s="57">
        <f t="shared" si="48"/>
        <v>0.27229771632401301</v>
      </c>
      <c r="BX39" s="57">
        <f t="shared" si="48"/>
        <v>0.24285661393617056</v>
      </c>
      <c r="BY39" s="57">
        <f t="shared" si="48"/>
        <v>0.24728926080462785</v>
      </c>
      <c r="BZ39" s="57">
        <f t="shared" si="48"/>
        <v>0.17032949760743635</v>
      </c>
      <c r="CA39" s="57">
        <f t="shared" si="48"/>
        <v>0.15592992823772253</v>
      </c>
      <c r="CB39" s="57">
        <f t="shared" si="48"/>
        <v>0.1800340735461386</v>
      </c>
      <c r="CC39" s="57">
        <f t="shared" si="48"/>
        <v>0.19636886731724285</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88214040.75</v>
      </c>
      <c r="C40" s="26">
        <f t="shared" ref="C40:BN40" si="49">C60</f>
        <v>49836626.409999996</v>
      </c>
      <c r="D40" s="26">
        <f t="shared" si="49"/>
        <v>-906617.09</v>
      </c>
      <c r="E40" s="26">
        <f t="shared" si="49"/>
        <v>169538933.72</v>
      </c>
      <c r="F40" s="26">
        <f t="shared" si="49"/>
        <v>69123726.019999996</v>
      </c>
      <c r="G40" s="26">
        <f t="shared" si="49"/>
        <v>61621779.759999998</v>
      </c>
      <c r="H40" s="26">
        <f t="shared" si="49"/>
        <v>44695283.719999999</v>
      </c>
      <c r="I40" s="26">
        <f t="shared" si="49"/>
        <v>350206224.32999998</v>
      </c>
      <c r="J40" s="26">
        <f t="shared" si="49"/>
        <v>184429046.81999999</v>
      </c>
      <c r="K40" s="26">
        <f t="shared" si="49"/>
        <v>190262968.77000001</v>
      </c>
      <c r="L40" s="26">
        <f t="shared" si="49"/>
        <v>151104515.87</v>
      </c>
      <c r="M40" s="26">
        <f t="shared" si="49"/>
        <v>23411035.969999999</v>
      </c>
      <c r="N40" s="26">
        <f t="shared" si="49"/>
        <v>25665641.109999999</v>
      </c>
      <c r="O40" s="26">
        <f t="shared" si="49"/>
        <v>4825284.22</v>
      </c>
      <c r="P40" s="26">
        <f t="shared" si="49"/>
        <v>7320978.1500000004</v>
      </c>
      <c r="Q40" s="26">
        <f t="shared" si="49"/>
        <v>62117400.299999997</v>
      </c>
      <c r="R40" s="26">
        <f t="shared" si="49"/>
        <v>45177222.649999999</v>
      </c>
      <c r="S40" s="26">
        <f t="shared" si="49"/>
        <v>33131603.629999999</v>
      </c>
      <c r="T40" s="26">
        <f t="shared" si="49"/>
        <v>23622168.350000001</v>
      </c>
      <c r="U40" s="26">
        <f t="shared" si="49"/>
        <v>189926754.56999999</v>
      </c>
      <c r="V40" s="26">
        <f t="shared" si="49"/>
        <v>14692601.57</v>
      </c>
      <c r="W40" s="26">
        <f t="shared" si="49"/>
        <v>20413887.32</v>
      </c>
      <c r="X40" s="26">
        <f t="shared" si="49"/>
        <v>13699251.85</v>
      </c>
      <c r="Y40" s="26">
        <f t="shared" si="49"/>
        <v>61389629.079999998</v>
      </c>
      <c r="Z40" s="26">
        <f t="shared" si="49"/>
        <v>24682262.829999998</v>
      </c>
      <c r="AA40" s="26">
        <f t="shared" si="49"/>
        <v>-3729090.37</v>
      </c>
      <c r="AB40" s="26">
        <f t="shared" si="49"/>
        <v>-145016.56</v>
      </c>
      <c r="AC40" s="26">
        <f t="shared" si="49"/>
        <v>63669548.700000003</v>
      </c>
      <c r="AD40" s="26">
        <f t="shared" si="49"/>
        <v>24525</v>
      </c>
      <c r="AE40" s="26">
        <f t="shared" si="49"/>
        <v>24525</v>
      </c>
      <c r="AF40" s="26">
        <f t="shared" si="49"/>
        <v>0</v>
      </c>
      <c r="AG40" s="26">
        <f t="shared" si="49"/>
        <v>0</v>
      </c>
      <c r="AH40" s="26">
        <f t="shared" si="49"/>
        <v>0</v>
      </c>
      <c r="AI40" s="26">
        <f t="shared" si="49"/>
        <v>0</v>
      </c>
      <c r="AJ40" s="26">
        <f t="shared" si="49"/>
        <v>0</v>
      </c>
      <c r="AK40" s="26">
        <f t="shared" si="49"/>
        <v>0</v>
      </c>
      <c r="AL40" s="26">
        <f t="shared" si="49"/>
        <v>0</v>
      </c>
      <c r="AM40" s="26">
        <f t="shared" si="49"/>
        <v>0</v>
      </c>
      <c r="AN40" s="26">
        <f t="shared" si="49"/>
        <v>0</v>
      </c>
      <c r="AO40" s="26">
        <f t="shared" si="49"/>
        <v>1540628.38</v>
      </c>
      <c r="AP40" s="26">
        <f t="shared" si="49"/>
        <v>103788.53</v>
      </c>
      <c r="AQ40" s="26">
        <f t="shared" si="49"/>
        <v>103788.53</v>
      </c>
      <c r="AR40" s="26">
        <f t="shared" si="49"/>
        <v>0</v>
      </c>
      <c r="AS40" s="26">
        <f t="shared" si="49"/>
        <v>1791515.9</v>
      </c>
      <c r="AT40" s="26">
        <f t="shared" si="49"/>
        <v>243592.48</v>
      </c>
      <c r="AU40" s="26">
        <f t="shared" si="49"/>
        <v>205699.52</v>
      </c>
      <c r="AV40" s="26">
        <f t="shared" si="49"/>
        <v>20460.41</v>
      </c>
      <c r="AW40" s="26">
        <f t="shared" si="49"/>
        <v>-2951913.89</v>
      </c>
      <c r="AX40" s="26">
        <f t="shared" si="49"/>
        <v>50386.31</v>
      </c>
      <c r="AY40" s="26">
        <f t="shared" si="49"/>
        <v>22721.42</v>
      </c>
      <c r="AZ40" s="26">
        <f t="shared" si="49"/>
        <v>-23316.57</v>
      </c>
      <c r="BA40" s="26">
        <f t="shared" si="49"/>
        <v>-63255.83</v>
      </c>
      <c r="BB40" s="26">
        <f t="shared" si="49"/>
        <v>-63255.83</v>
      </c>
      <c r="BC40" s="26">
        <f t="shared" si="49"/>
        <v>-63255.83</v>
      </c>
      <c r="BD40" s="26">
        <f t="shared" si="49"/>
        <v>-63255.83</v>
      </c>
      <c r="BE40" s="26">
        <f t="shared" si="49"/>
        <v>63255.82</v>
      </c>
      <c r="BF40" s="26">
        <f t="shared" si="49"/>
        <v>1824663.69</v>
      </c>
      <c r="BG40" s="26">
        <f t="shared" si="49"/>
        <v>1122351.19</v>
      </c>
      <c r="BH40" s="26">
        <f t="shared" si="49"/>
        <v>436826.76</v>
      </c>
      <c r="BI40" s="26">
        <f t="shared" si="49"/>
        <v>4707943.0599999996</v>
      </c>
      <c r="BJ40" s="26">
        <f t="shared" si="49"/>
        <v>2626806.5</v>
      </c>
      <c r="BK40" s="26">
        <f t="shared" si="49"/>
        <v>1167749.68</v>
      </c>
      <c r="BL40" s="26">
        <f t="shared" si="49"/>
        <v>349296.54</v>
      </c>
      <c r="BM40" s="26">
        <f t="shared" si="49"/>
        <v>3362766.08</v>
      </c>
      <c r="BN40" s="26">
        <f t="shared" si="49"/>
        <v>1724635.12</v>
      </c>
      <c r="BO40" s="26">
        <f t="shared" ref="BO40:CJ40" si="50">BO60</f>
        <v>1455818.03</v>
      </c>
      <c r="BP40" s="26">
        <f t="shared" si="50"/>
        <v>405247.13</v>
      </c>
      <c r="BQ40" s="26">
        <f t="shared" si="50"/>
        <v>6573567.2300000004</v>
      </c>
      <c r="BR40" s="26">
        <f t="shared" si="50"/>
        <v>3467183.24</v>
      </c>
      <c r="BS40" s="26">
        <f t="shared" si="50"/>
        <v>5167251.21</v>
      </c>
      <c r="BT40" s="26">
        <f t="shared" si="50"/>
        <v>913299.92</v>
      </c>
      <c r="BU40" s="26">
        <f t="shared" si="50"/>
        <v>1176687.6000000001</v>
      </c>
      <c r="BV40" s="26">
        <f t="shared" si="50"/>
        <v>888358.86</v>
      </c>
      <c r="BW40" s="26">
        <f t="shared" si="50"/>
        <v>732365.81</v>
      </c>
      <c r="BX40" s="26">
        <f t="shared" si="50"/>
        <v>356810</v>
      </c>
      <c r="BY40" s="26">
        <f t="shared" si="50"/>
        <v>2102527.62</v>
      </c>
      <c r="BZ40" s="26">
        <f t="shared" si="50"/>
        <v>814905.87</v>
      </c>
      <c r="CA40" s="26">
        <f t="shared" si="50"/>
        <v>440000</v>
      </c>
      <c r="CB40" s="26">
        <f t="shared" si="50"/>
        <v>400000</v>
      </c>
      <c r="CC40" s="26">
        <f t="shared" si="50"/>
        <v>400000</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0.53759794436106834</v>
      </c>
      <c r="C41" s="57">
        <f t="shared" ref="C41:BN41" si="51">C40/C38</f>
        <v>0.76398455498592532</v>
      </c>
      <c r="D41" s="57">
        <f t="shared" si="51"/>
        <v>1.0251628925736906E-2</v>
      </c>
      <c r="E41" s="57">
        <f t="shared" si="51"/>
        <v>0.43060053350670346</v>
      </c>
      <c r="F41" s="57">
        <f t="shared" si="51"/>
        <v>0.66762048000686525</v>
      </c>
      <c r="G41" s="57">
        <f t="shared" si="51"/>
        <v>0.45303118694069999</v>
      </c>
      <c r="H41" s="57">
        <f t="shared" si="51"/>
        <v>0.36979318326052485</v>
      </c>
      <c r="I41" s="57">
        <f t="shared" si="51"/>
        <v>0.27185852414514694</v>
      </c>
      <c r="J41" s="57">
        <f t="shared" si="51"/>
        <v>0.30196392896856089</v>
      </c>
      <c r="K41" s="57">
        <f t="shared" si="51"/>
        <v>0.29847202366986331</v>
      </c>
      <c r="L41" s="57">
        <f t="shared" si="51"/>
        <v>0.26964517825238599</v>
      </c>
      <c r="M41" s="57">
        <f t="shared" si="51"/>
        <v>0.22762662595099092</v>
      </c>
      <c r="N41" s="57">
        <f t="shared" si="51"/>
        <v>1.2992077762518828</v>
      </c>
      <c r="O41" s="57">
        <f t="shared" si="51"/>
        <v>6.0073285115831113E-2</v>
      </c>
      <c r="P41" s="57">
        <f t="shared" si="51"/>
        <v>-0.10997166060603317</v>
      </c>
      <c r="Q41" s="57">
        <f t="shared" si="51"/>
        <v>0.34440451106794157</v>
      </c>
      <c r="R41" s="57">
        <f t="shared" si="51"/>
        <v>0.78355504093780071</v>
      </c>
      <c r="S41" s="57">
        <f t="shared" si="51"/>
        <v>0.56330863655885932</v>
      </c>
      <c r="T41" s="57">
        <f t="shared" si="51"/>
        <v>0.67827186037836262</v>
      </c>
      <c r="U41" s="57">
        <f t="shared" si="51"/>
        <v>0.29510871279711198</v>
      </c>
      <c r="V41" s="57">
        <f t="shared" si="51"/>
        <v>0.38881224211968179</v>
      </c>
      <c r="W41" s="57">
        <f t="shared" si="51"/>
        <v>0.26289934372850121</v>
      </c>
      <c r="X41" s="57">
        <f t="shared" si="51"/>
        <v>0.94127439696607706</v>
      </c>
      <c r="Y41" s="57">
        <f t="shared" si="51"/>
        <v>0.13000978945575703</v>
      </c>
      <c r="Z41" s="57">
        <f t="shared" si="51"/>
        <v>0.1597868353541583</v>
      </c>
      <c r="AA41" s="57">
        <f t="shared" si="51"/>
        <v>-3.8949831157033328E-2</v>
      </c>
      <c r="AB41" s="57">
        <f t="shared" si="51"/>
        <v>6.6818342772937507E-3</v>
      </c>
      <c r="AC41" s="57">
        <f t="shared" si="51"/>
        <v>0.2156005800209253</v>
      </c>
      <c r="AD41" s="57">
        <f t="shared" si="51"/>
        <v>-7.8933309297183154E-4</v>
      </c>
      <c r="AE41" s="57">
        <f t="shared" si="51"/>
        <v>-1.2923008392402937E-3</v>
      </c>
      <c r="AF41" s="57">
        <f t="shared" si="51"/>
        <v>0</v>
      </c>
      <c r="AG41" s="57">
        <f t="shared" si="51"/>
        <v>0</v>
      </c>
      <c r="AH41" s="57">
        <f t="shared" si="51"/>
        <v>0</v>
      </c>
      <c r="AI41" s="57">
        <f t="shared" si="51"/>
        <v>0</v>
      </c>
      <c r="AJ41" s="57">
        <f t="shared" si="51"/>
        <v>0</v>
      </c>
      <c r="AK41" s="57">
        <f t="shared" si="51"/>
        <v>0</v>
      </c>
      <c r="AL41" s="57">
        <f t="shared" si="51"/>
        <v>0</v>
      </c>
      <c r="AM41" s="57">
        <f t="shared" si="51"/>
        <v>0</v>
      </c>
      <c r="AN41" s="57">
        <f t="shared" si="51"/>
        <v>0</v>
      </c>
      <c r="AO41" s="57">
        <f t="shared" si="51"/>
        <v>0.32359996077215658</v>
      </c>
      <c r="AP41" s="57">
        <f t="shared" si="51"/>
        <v>-4.1789529516207714E-3</v>
      </c>
      <c r="AQ41" s="57">
        <f t="shared" si="51"/>
        <v>1.8534684393467268E-3</v>
      </c>
      <c r="AR41" s="57">
        <f t="shared" si="51"/>
        <v>0</v>
      </c>
      <c r="AS41" s="57">
        <f t="shared" si="51"/>
        <v>5.3720858986602546E-2</v>
      </c>
      <c r="AT41" s="57">
        <f t="shared" si="51"/>
        <v>-5.0492363238192183E-3</v>
      </c>
      <c r="AU41" s="57">
        <f t="shared" si="51"/>
        <v>-6.9939076594624236E-3</v>
      </c>
      <c r="AV41" s="57">
        <f t="shared" si="51"/>
        <v>-1.2766237360621459E-3</v>
      </c>
      <c r="AW41" s="57">
        <f t="shared" si="51"/>
        <v>3.816832353837759E-3</v>
      </c>
      <c r="AX41" s="57">
        <f t="shared" si="51"/>
        <v>-7.9464993716309509E-4</v>
      </c>
      <c r="AY41" s="57">
        <f t="shared" si="51"/>
        <v>-4.6022007916518109E-4</v>
      </c>
      <c r="AZ41" s="57">
        <f t="shared" si="51"/>
        <v>1.2555738089460756E-3</v>
      </c>
      <c r="BA41" s="57">
        <f t="shared" si="51"/>
        <v>1.4264351742142566E-4</v>
      </c>
      <c r="BB41" s="57">
        <f t="shared" si="51"/>
        <v>8.7063760187228157E-4</v>
      </c>
      <c r="BC41" s="57">
        <f t="shared" si="51"/>
        <v>1.1296300353561349E-3</v>
      </c>
      <c r="BD41" s="57">
        <f t="shared" si="51"/>
        <v>3.3284968706259808E-3</v>
      </c>
      <c r="BE41" s="57">
        <f t="shared" si="51"/>
        <v>-3.4574880204849906E-4</v>
      </c>
      <c r="BF41" s="57">
        <f t="shared" si="51"/>
        <v>-0.88588998241239869</v>
      </c>
      <c r="BG41" s="57">
        <f t="shared" si="51"/>
        <v>0.18702863326935198</v>
      </c>
      <c r="BH41" s="57">
        <f t="shared" si="51"/>
        <v>0.19926515440004919</v>
      </c>
      <c r="BI41" s="57">
        <f t="shared" si="51"/>
        <v>0.23681418133223686</v>
      </c>
      <c r="BJ41" s="57">
        <f t="shared" si="51"/>
        <v>0.24347606217369688</v>
      </c>
      <c r="BK41" s="57">
        <f t="shared" si="51"/>
        <v>0.18486662828078282</v>
      </c>
      <c r="BL41" s="57">
        <f t="shared" si="51"/>
        <v>0.36242127868307988</v>
      </c>
      <c r="BM41" s="57">
        <f t="shared" si="51"/>
        <v>0.21003726405825512</v>
      </c>
      <c r="BN41" s="57">
        <f t="shared" si="51"/>
        <v>0.15238252623538759</v>
      </c>
      <c r="BO41" s="57">
        <f t="shared" ref="BO41:CJ41" si="52">BO40/BO38</f>
        <v>0.12856383729798482</v>
      </c>
      <c r="BP41" s="57">
        <f t="shared" si="52"/>
        <v>0.18486049306586227</v>
      </c>
      <c r="BQ41" s="57">
        <f t="shared" si="52"/>
        <v>0.17890388732779672</v>
      </c>
      <c r="BR41" s="57">
        <f t="shared" si="52"/>
        <v>0.1623173941672531</v>
      </c>
      <c r="BS41" s="57">
        <f t="shared" si="52"/>
        <v>0.1229614700718178</v>
      </c>
      <c r="BT41" s="57">
        <f t="shared" si="52"/>
        <v>4.5469087729467013E-2</v>
      </c>
      <c r="BU41" s="57">
        <f t="shared" si="52"/>
        <v>5.5998579163968554E-2</v>
      </c>
      <c r="BV41" s="57">
        <f t="shared" si="52"/>
        <v>0.10349334706116625</v>
      </c>
      <c r="BW41" s="57">
        <f t="shared" si="52"/>
        <v>3.7362193746461977E-2</v>
      </c>
      <c r="BX41" s="57">
        <f t="shared" si="52"/>
        <v>4.8459391127341489E-2</v>
      </c>
      <c r="BY41" s="57">
        <f t="shared" si="52"/>
        <v>0.13730082924190457</v>
      </c>
      <c r="BZ41" s="57">
        <f t="shared" si="52"/>
        <v>0.15384081780668604</v>
      </c>
      <c r="CA41" s="57">
        <f t="shared" si="52"/>
        <v>3.9693765020577386E-2</v>
      </c>
      <c r="CB41" s="57">
        <f t="shared" si="52"/>
        <v>2.4906096544199403E-2</v>
      </c>
      <c r="CC41" s="57">
        <f t="shared" si="52"/>
        <v>2.8298821295938938E-2</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75875204.150000155</v>
      </c>
      <c r="C42" s="28">
        <f t="shared" ref="C42:BN42" si="53">C38-C40</f>
        <v>15395878.730000019</v>
      </c>
      <c r="D42" s="28">
        <f t="shared" si="53"/>
        <v>-87529776.439999983</v>
      </c>
      <c r="E42" s="28">
        <f t="shared" si="53"/>
        <v>224187781.70999995</v>
      </c>
      <c r="F42" s="28">
        <f t="shared" si="53"/>
        <v>34413729.899999917</v>
      </c>
      <c r="G42" s="28">
        <f t="shared" si="53"/>
        <v>74399274.719999969</v>
      </c>
      <c r="H42" s="28">
        <f t="shared" si="53"/>
        <v>76170339.939999968</v>
      </c>
      <c r="I42" s="28">
        <f t="shared" si="53"/>
        <v>937986689.3599999</v>
      </c>
      <c r="J42" s="28">
        <f t="shared" si="53"/>
        <v>426336111.29000026</v>
      </c>
      <c r="K42" s="28">
        <f t="shared" si="53"/>
        <v>447193655.90999961</v>
      </c>
      <c r="L42" s="28">
        <f t="shared" si="53"/>
        <v>409278268.83000028</v>
      </c>
      <c r="M42" s="28">
        <f t="shared" si="53"/>
        <v>79437371.470000029</v>
      </c>
      <c r="N42" s="28">
        <f t="shared" si="53"/>
        <v>-5910801.5999999493</v>
      </c>
      <c r="O42" s="28">
        <f t="shared" si="53"/>
        <v>75498011.080000043</v>
      </c>
      <c r="P42" s="28">
        <f t="shared" si="53"/>
        <v>-73892475.840000004</v>
      </c>
      <c r="Q42" s="28">
        <f t="shared" si="53"/>
        <v>118244349.63000001</v>
      </c>
      <c r="R42" s="28">
        <f t="shared" si="53"/>
        <v>12479508.899999954</v>
      </c>
      <c r="S42" s="28">
        <f t="shared" si="53"/>
        <v>25684472.459999952</v>
      </c>
      <c r="T42" s="28">
        <f t="shared" si="53"/>
        <v>11204823.199999981</v>
      </c>
      <c r="U42" s="28">
        <f t="shared" si="53"/>
        <v>453655580.80000025</v>
      </c>
      <c r="V42" s="28">
        <f t="shared" si="53"/>
        <v>23095821.67999997</v>
      </c>
      <c r="W42" s="28">
        <f t="shared" si="53"/>
        <v>57235174.219999991</v>
      </c>
      <c r="X42" s="28">
        <f t="shared" si="53"/>
        <v>854688.95000001602</v>
      </c>
      <c r="Y42" s="28">
        <f t="shared" si="53"/>
        <v>410802729.18000001</v>
      </c>
      <c r="Z42" s="28">
        <f t="shared" si="53"/>
        <v>129787676.91999997</v>
      </c>
      <c r="AA42" s="28">
        <f t="shared" si="53"/>
        <v>99469951.349999994</v>
      </c>
      <c r="AB42" s="28">
        <f t="shared" si="53"/>
        <v>-21558089.800000001</v>
      </c>
      <c r="AC42" s="28">
        <f t="shared" si="53"/>
        <v>231642962.49000007</v>
      </c>
      <c r="AD42" s="28">
        <f t="shared" si="53"/>
        <v>-31095058.109999999</v>
      </c>
      <c r="AE42" s="28">
        <f t="shared" si="53"/>
        <v>-19002304.210000001</v>
      </c>
      <c r="AF42" s="28">
        <f t="shared" si="53"/>
        <v>-6479405.6600000011</v>
      </c>
      <c r="AG42" s="28">
        <f t="shared" si="53"/>
        <v>4964195.3999999985</v>
      </c>
      <c r="AH42" s="28">
        <f t="shared" si="53"/>
        <v>-8468186.2799999975</v>
      </c>
      <c r="AI42" s="28">
        <f t="shared" si="53"/>
        <v>3956450.6099999994</v>
      </c>
      <c r="AJ42" s="28">
        <f t="shared" si="53"/>
        <v>5121351.5300000012</v>
      </c>
      <c r="AK42" s="28">
        <f t="shared" si="53"/>
        <v>7426948.7699999958</v>
      </c>
      <c r="AL42" s="28">
        <f t="shared" si="53"/>
        <v>-39352711.189999998</v>
      </c>
      <c r="AM42" s="28">
        <f t="shared" si="53"/>
        <v>-23045205.369999997</v>
      </c>
      <c r="AN42" s="28">
        <f t="shared" si="53"/>
        <v>1235008.459999999</v>
      </c>
      <c r="AO42" s="28">
        <f t="shared" si="53"/>
        <v>3220275.7200000016</v>
      </c>
      <c r="AP42" s="28">
        <f t="shared" si="53"/>
        <v>-24939801.570000008</v>
      </c>
      <c r="AQ42" s="28">
        <f t="shared" si="53"/>
        <v>55893134.75</v>
      </c>
      <c r="AR42" s="28">
        <f t="shared" si="53"/>
        <v>22113116.32</v>
      </c>
      <c r="AS42" s="28">
        <f t="shared" si="53"/>
        <v>31557092.699999981</v>
      </c>
      <c r="AT42" s="28">
        <f t="shared" si="53"/>
        <v>-48487022.650000006</v>
      </c>
      <c r="AU42" s="28">
        <f t="shared" si="53"/>
        <v>-29616942.849999983</v>
      </c>
      <c r="AV42" s="28">
        <f t="shared" si="53"/>
        <v>-16047430.160000004</v>
      </c>
      <c r="AW42" s="28">
        <f t="shared" si="53"/>
        <v>-770441732.03000009</v>
      </c>
      <c r="AX42" s="28">
        <f t="shared" si="53"/>
        <v>-63457312.609999999</v>
      </c>
      <c r="AY42" s="28">
        <f t="shared" si="53"/>
        <v>-49393492.11999999</v>
      </c>
      <c r="AZ42" s="28">
        <f t="shared" si="53"/>
        <v>-18547132.919999994</v>
      </c>
      <c r="BA42" s="28">
        <f t="shared" si="53"/>
        <v>-443390685.4600001</v>
      </c>
      <c r="BB42" s="28">
        <f t="shared" si="53"/>
        <v>-72591347.950000003</v>
      </c>
      <c r="BC42" s="28">
        <f t="shared" si="53"/>
        <v>-55933688.319999993</v>
      </c>
      <c r="BD42" s="28">
        <f t="shared" si="53"/>
        <v>-18941067.280000001</v>
      </c>
      <c r="BE42" s="28">
        <f t="shared" si="53"/>
        <v>-183016369.83000007</v>
      </c>
      <c r="BF42" s="28">
        <f t="shared" si="53"/>
        <v>-3884359.2800000054</v>
      </c>
      <c r="BG42" s="28">
        <f t="shared" si="53"/>
        <v>4878607.9700000081</v>
      </c>
      <c r="BH42" s="28">
        <f t="shared" si="53"/>
        <v>1755361.6400000162</v>
      </c>
      <c r="BI42" s="28">
        <f t="shared" si="53"/>
        <v>15172382.659999948</v>
      </c>
      <c r="BJ42" s="28">
        <f t="shared" si="53"/>
        <v>8161960.4799999669</v>
      </c>
      <c r="BK42" s="28">
        <f t="shared" si="53"/>
        <v>5148964.649999978</v>
      </c>
      <c r="BL42" s="28">
        <f t="shared" si="53"/>
        <v>614489.42000000086</v>
      </c>
      <c r="BM42" s="28">
        <f t="shared" si="53"/>
        <v>12647564.730000058</v>
      </c>
      <c r="BN42" s="28">
        <f t="shared" si="53"/>
        <v>9593165.9600000121</v>
      </c>
      <c r="BO42" s="28">
        <f t="shared" ref="BO42:CK42" si="54">BO38-BO40</f>
        <v>9867879.6799999755</v>
      </c>
      <c r="BP42" s="28">
        <f t="shared" si="54"/>
        <v>1786931.0000000005</v>
      </c>
      <c r="BQ42" s="28">
        <f t="shared" si="54"/>
        <v>30170001.220000077</v>
      </c>
      <c r="BR42" s="28">
        <f t="shared" si="54"/>
        <v>17893332.419999987</v>
      </c>
      <c r="BS42" s="28">
        <f t="shared" si="54"/>
        <v>36856085.100000001</v>
      </c>
      <c r="BT42" s="28">
        <f t="shared" si="54"/>
        <v>19172872.149999999</v>
      </c>
      <c r="BU42" s="28">
        <f t="shared" si="54"/>
        <v>19836124.109999992</v>
      </c>
      <c r="BV42" s="28">
        <f t="shared" si="54"/>
        <v>7695370.2900000038</v>
      </c>
      <c r="BW42" s="28">
        <f t="shared" si="54"/>
        <v>18869422.430000003</v>
      </c>
      <c r="BX42" s="28">
        <f t="shared" si="54"/>
        <v>7006262.29</v>
      </c>
      <c r="BY42" s="28">
        <f t="shared" si="54"/>
        <v>13210763.869999997</v>
      </c>
      <c r="BZ42" s="28">
        <f t="shared" si="54"/>
        <v>4482166.0100000007</v>
      </c>
      <c r="CA42" s="28">
        <f t="shared" si="54"/>
        <v>10644864.33</v>
      </c>
      <c r="CB42" s="28">
        <f t="shared" si="54"/>
        <v>15660324.800000001</v>
      </c>
      <c r="CC42" s="28">
        <f t="shared" si="54"/>
        <v>13734864.340000004</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5.5003926340309883</v>
      </c>
      <c r="C43" s="57">
        <f t="shared" ref="C43:D43" si="55">C42/C4*100</f>
        <v>1.7213771163192879</v>
      </c>
      <c r="D43" s="57">
        <f t="shared" si="55"/>
        <v>-50.230320947800891</v>
      </c>
      <c r="E43" s="57">
        <f>E42/E4</f>
        <v>9.0620531124431691E-2</v>
      </c>
      <c r="F43" s="57">
        <f t="shared" ref="F43:BQ43" si="56">F42/F4</f>
        <v>3.4133540286615596E-2</v>
      </c>
      <c r="G43" s="57">
        <f t="shared" si="56"/>
        <v>8.4709346072784256E-2</v>
      </c>
      <c r="H43" s="57">
        <f t="shared" si="56"/>
        <v>0.12085310903393411</v>
      </c>
      <c r="I43" s="57">
        <f t="shared" si="56"/>
        <v>0.13989677617935528</v>
      </c>
      <c r="J43" s="57">
        <f t="shared" si="56"/>
        <v>9.3155465782997909E-2</v>
      </c>
      <c r="K43" s="57">
        <f t="shared" si="56"/>
        <v>0.11191530209923146</v>
      </c>
      <c r="L43" s="57">
        <f t="shared" si="56"/>
        <v>0.1399034714171693</v>
      </c>
      <c r="M43" s="57">
        <f t="shared" si="56"/>
        <v>0.15291035794727242</v>
      </c>
      <c r="N43" s="57">
        <f t="shared" si="56"/>
        <v>-1.6087316708441223E-2</v>
      </c>
      <c r="O43" s="57">
        <f t="shared" si="56"/>
        <v>0.34701009099699393</v>
      </c>
      <c r="P43" s="57">
        <f t="shared" si="56"/>
        <v>-0.51100801583635425</v>
      </c>
      <c r="Q43" s="57">
        <f t="shared" si="56"/>
        <v>9.3046425465278498E-2</v>
      </c>
      <c r="R43" s="57">
        <f t="shared" si="56"/>
        <v>1.3966955655168074E-2</v>
      </c>
      <c r="S43" s="57">
        <f t="shared" si="56"/>
        <v>3.7788757270983055E-2</v>
      </c>
      <c r="T43" s="57">
        <f t="shared" si="56"/>
        <v>3.717544369083927E-2</v>
      </c>
      <c r="U43" s="57">
        <f t="shared" si="56"/>
        <v>0.163364252887856</v>
      </c>
      <c r="V43" s="57">
        <f t="shared" si="56"/>
        <v>7.0734657813409985E-2</v>
      </c>
      <c r="W43" s="57">
        <f t="shared" si="56"/>
        <v>0.22718388702585404</v>
      </c>
      <c r="X43" s="57">
        <f t="shared" si="56"/>
        <v>5.3567753786664942E-3</v>
      </c>
      <c r="Y43" s="57">
        <f t="shared" si="56"/>
        <v>0.21775810720065469</v>
      </c>
      <c r="Z43" s="57">
        <f t="shared" si="56"/>
        <v>0.35825664351040137</v>
      </c>
      <c r="AA43" s="57">
        <f t="shared" si="56"/>
        <v>1.077344208373201</v>
      </c>
      <c r="AB43" s="57">
        <f t="shared" si="56"/>
        <v>-0.56096899512246501</v>
      </c>
      <c r="AC43" s="57">
        <f t="shared" si="56"/>
        <v>0.2542403732682309</v>
      </c>
      <c r="AD43" s="57">
        <f t="shared" si="56"/>
        <v>-13.374051840850603</v>
      </c>
      <c r="AE43" s="57">
        <f t="shared" si="56"/>
        <v>-26.408612168902565</v>
      </c>
      <c r="AF43" s="57">
        <f t="shared" si="56"/>
        <v>-14.245497097587487</v>
      </c>
      <c r="AG43" s="57">
        <f t="shared" si="56"/>
        <v>2.517333930654297</v>
      </c>
      <c r="AH43" s="57">
        <f t="shared" si="56"/>
        <v>-3.7685862827153302</v>
      </c>
      <c r="AI43" s="57">
        <f t="shared" si="56"/>
        <v>2.4061147921373349</v>
      </c>
      <c r="AJ43" s="57">
        <f t="shared" si="56"/>
        <v>43.299881700769582</v>
      </c>
      <c r="AK43" s="57">
        <f t="shared" si="56"/>
        <v>3.2018457390608246</v>
      </c>
      <c r="AL43" s="57">
        <f t="shared" si="56"/>
        <v>-37.140355654382468</v>
      </c>
      <c r="AM43" s="57">
        <f t="shared" si="56"/>
        <v>-32.271274142009759</v>
      </c>
      <c r="AN43" s="57">
        <f t="shared" si="56"/>
        <v>3.8889560450841194</v>
      </c>
      <c r="AO43" s="57">
        <f t="shared" si="56"/>
        <v>0.10870100704530998</v>
      </c>
      <c r="AP43" s="57">
        <f t="shared" si="56"/>
        <v>-0.62836368338450588</v>
      </c>
      <c r="AQ43" s="57">
        <f t="shared" si="56"/>
        <v>1.4571367825904469</v>
      </c>
      <c r="AR43" s="57">
        <f t="shared" si="56"/>
        <v>1.1066660338756915</v>
      </c>
      <c r="AS43" s="57">
        <f t="shared" si="56"/>
        <v>0.11424335030786573</v>
      </c>
      <c r="AT43" s="57">
        <f t="shared" si="56"/>
        <v>-0.22859148278941649</v>
      </c>
      <c r="AU43" s="57">
        <f t="shared" si="56"/>
        <v>-0.19530551982043179</v>
      </c>
      <c r="AV43" s="57">
        <f t="shared" si="56"/>
        <v>-0.25446393696669456</v>
      </c>
      <c r="AW43" s="57">
        <f t="shared" si="56"/>
        <v>-3.3617884206411279</v>
      </c>
      <c r="AX43" s="57">
        <f t="shared" si="56"/>
        <v>-0.50312804579168513</v>
      </c>
      <c r="AY43" s="57">
        <f t="shared" si="56"/>
        <v>-0.69725273124014586</v>
      </c>
      <c r="AZ43" s="57">
        <f t="shared" si="56"/>
        <v>-0.46356856004759672</v>
      </c>
      <c r="BA43" s="57">
        <f t="shared" si="56"/>
        <v>-2.0026797193535137</v>
      </c>
      <c r="BB43" s="57">
        <f t="shared" si="56"/>
        <v>-0.36240229665300633</v>
      </c>
      <c r="BC43" s="57">
        <f t="shared" si="56"/>
        <v>-0.32245097173276527</v>
      </c>
      <c r="BD43" s="57">
        <f t="shared" si="56"/>
        <v>-0.18855800646156715</v>
      </c>
      <c r="BE43" s="57">
        <f t="shared" si="56"/>
        <v>-0.22827078846571941</v>
      </c>
      <c r="BF43" s="57">
        <f t="shared" si="56"/>
        <v>-6.3932239099619131E-3</v>
      </c>
      <c r="BG43" s="57">
        <f t="shared" si="56"/>
        <v>1.2606033637919543E-2</v>
      </c>
      <c r="BH43" s="57">
        <f t="shared" si="56"/>
        <v>1.0325970892983989E-2</v>
      </c>
      <c r="BI43" s="57">
        <f t="shared" si="56"/>
        <v>1.7506470286930888E-2</v>
      </c>
      <c r="BJ43" s="57">
        <f t="shared" si="56"/>
        <v>1.4489191888896897E-2</v>
      </c>
      <c r="BK43" s="57">
        <f t="shared" si="56"/>
        <v>1.6459374560634964E-2</v>
      </c>
      <c r="BL43" s="57">
        <f t="shared" si="56"/>
        <v>4.7332424910815638E-3</v>
      </c>
      <c r="BM43" s="57">
        <f t="shared" si="56"/>
        <v>1.2696519547913629E-2</v>
      </c>
      <c r="BN43" s="57">
        <f t="shared" si="56"/>
        <v>1.426943629504184E-2</v>
      </c>
      <c r="BO43" s="57">
        <f t="shared" si="56"/>
        <v>2.3228218143075262E-2</v>
      </c>
      <c r="BP43" s="57">
        <f t="shared" si="56"/>
        <v>8.6110194067455428E-3</v>
      </c>
      <c r="BQ43" s="57">
        <f t="shared" si="56"/>
        <v>3.960221856624789E-2</v>
      </c>
      <c r="BR43" s="57">
        <f t="shared" ref="BR43:CK43" si="57">BR42/BR4</f>
        <v>7.7881687674411074E-2</v>
      </c>
      <c r="BS43" s="57">
        <f t="shared" si="57"/>
        <v>0.18562618194350289</v>
      </c>
      <c r="BT43" s="57">
        <f t="shared" si="57"/>
        <v>0.184761325521033</v>
      </c>
      <c r="BU43" s="57">
        <f t="shared" si="57"/>
        <v>0.19549134876967181</v>
      </c>
      <c r="BV43" s="57">
        <f t="shared" si="57"/>
        <v>0.1938371782605216</v>
      </c>
      <c r="BW43" s="57">
        <f t="shared" si="57"/>
        <v>0.26212407628999612</v>
      </c>
      <c r="BX43" s="57">
        <f t="shared" si="57"/>
        <v>0.23108793029357588</v>
      </c>
      <c r="BY43" s="57">
        <f t="shared" si="57"/>
        <v>0.21333624023353481</v>
      </c>
      <c r="BZ43" s="57">
        <f t="shared" si="57"/>
        <v>0.14412586839890637</v>
      </c>
      <c r="CA43" s="57">
        <f t="shared" si="57"/>
        <v>0.14974048230657888</v>
      </c>
      <c r="CB43" s="57">
        <f t="shared" si="57"/>
        <v>0.17555012752915297</v>
      </c>
      <c r="CC43" s="57">
        <f t="shared" si="57"/>
        <v>0.19081185983294624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492474458.85760003</v>
      </c>
      <c r="C45" s="26">
        <f t="shared" ref="C45:BN45" si="58">C70*C69</f>
        <v>487635747.09280002</v>
      </c>
      <c r="D45" s="26">
        <f t="shared" si="58"/>
        <v>501185903.1552</v>
      </c>
      <c r="E45" s="26">
        <f t="shared" si="58"/>
        <v>508190714.43040001</v>
      </c>
      <c r="F45" s="26">
        <f t="shared" si="58"/>
        <v>515762789.07999998</v>
      </c>
      <c r="G45" s="26">
        <f t="shared" si="58"/>
        <v>518918271.41680002</v>
      </c>
      <c r="H45" s="26">
        <f t="shared" si="58"/>
        <v>515007907.4192</v>
      </c>
      <c r="I45" s="26">
        <f t="shared" si="58"/>
        <v>529773440.06080002</v>
      </c>
      <c r="J45" s="26">
        <f t="shared" si="58"/>
        <v>489533559.80400002</v>
      </c>
      <c r="K45" s="26">
        <f t="shared" si="58"/>
        <v>502064788.86800003</v>
      </c>
      <c r="L45" s="26">
        <f t="shared" si="58"/>
        <v>273843725.85360003</v>
      </c>
      <c r="M45" s="26">
        <f t="shared" si="58"/>
        <v>241101464.34720001</v>
      </c>
      <c r="N45" s="26">
        <f t="shared" si="58"/>
        <v>248250400.28080001</v>
      </c>
      <c r="O45" s="26">
        <f t="shared" si="58"/>
        <v>253187087.00479999</v>
      </c>
      <c r="P45" s="26">
        <f t="shared" si="58"/>
        <v>240577302.92080003</v>
      </c>
      <c r="Q45" s="26">
        <f t="shared" si="58"/>
        <v>245688700.98800001</v>
      </c>
      <c r="R45" s="26">
        <f t="shared" si="58"/>
        <v>157238733.8752</v>
      </c>
      <c r="S45" s="26">
        <f t="shared" si="58"/>
        <v>158295057.49680001</v>
      </c>
      <c r="T45" s="26">
        <f t="shared" si="58"/>
        <v>157136685.55599999</v>
      </c>
      <c r="U45" s="26">
        <f t="shared" si="58"/>
        <v>155440299.70000002</v>
      </c>
      <c r="V45" s="26">
        <f t="shared" si="58"/>
        <v>120539861.6248</v>
      </c>
      <c r="W45" s="26">
        <f t="shared" si="58"/>
        <v>116870209.82799999</v>
      </c>
      <c r="X45" s="26">
        <f t="shared" si="58"/>
        <v>112359771.00639999</v>
      </c>
      <c r="Y45" s="26">
        <f t="shared" si="58"/>
        <v>111327041.3304</v>
      </c>
      <c r="Z45" s="26">
        <f t="shared" si="58"/>
        <v>88624097.990400016</v>
      </c>
      <c r="AA45" s="26">
        <f t="shared" si="58"/>
        <v>86198679.944800004</v>
      </c>
      <c r="AB45" s="26">
        <f t="shared" si="58"/>
        <v>76475636.652799994</v>
      </c>
      <c r="AC45" s="26">
        <f t="shared" si="58"/>
        <v>78200283.836800009</v>
      </c>
      <c r="AD45" s="26">
        <f t="shared" si="58"/>
        <v>-84473713.351999998</v>
      </c>
      <c r="AE45" s="26">
        <f t="shared" si="58"/>
        <v>-83506293.040000007</v>
      </c>
      <c r="AF45" s="26">
        <f t="shared" si="58"/>
        <v>-82504461.156000003</v>
      </c>
      <c r="AG45" s="26">
        <f t="shared" si="58"/>
        <v>-81986108.703199998</v>
      </c>
      <c r="AH45" s="26">
        <f t="shared" si="58"/>
        <v>-83060699.237599999</v>
      </c>
      <c r="AI45" s="26">
        <f t="shared" si="58"/>
        <v>-82066728.286400005</v>
      </c>
      <c r="AJ45" s="26">
        <f t="shared" si="58"/>
        <v>-81973536.212799996</v>
      </c>
      <c r="AK45" s="26">
        <f t="shared" si="58"/>
        <v>-82383244.335200012</v>
      </c>
      <c r="AL45" s="26">
        <f t="shared" si="58"/>
        <v>-86125617.132000014</v>
      </c>
      <c r="AM45" s="26">
        <f t="shared" si="58"/>
        <v>-84821016.6664</v>
      </c>
      <c r="AN45" s="26">
        <f t="shared" si="58"/>
        <v>-82878599.560000002</v>
      </c>
      <c r="AO45" s="26">
        <f t="shared" si="58"/>
        <v>-82977400.2368</v>
      </c>
      <c r="AP45" s="26">
        <f t="shared" si="58"/>
        <v>-85217550.294399992</v>
      </c>
      <c r="AQ45" s="26">
        <f t="shared" si="58"/>
        <v>-78763571.51439999</v>
      </c>
      <c r="AR45" s="26">
        <f t="shared" si="58"/>
        <v>-81465972.989600003</v>
      </c>
      <c r="AS45" s="26">
        <f t="shared" si="58"/>
        <v>-83235022.294399992</v>
      </c>
      <c r="AT45" s="26">
        <f t="shared" si="58"/>
        <v>-89184557.714400008</v>
      </c>
      <c r="AU45" s="26">
        <f t="shared" si="58"/>
        <v>-87670951.330400005</v>
      </c>
      <c r="AV45" s="26">
        <f t="shared" si="58"/>
        <v>-86585390.314400002</v>
      </c>
      <c r="AW45" s="26">
        <f t="shared" si="58"/>
        <v>-85712623.768000007</v>
      </c>
      <c r="AX45" s="26">
        <f t="shared" si="58"/>
        <v>-29152798.035999998</v>
      </c>
      <c r="AY45" s="26">
        <f t="shared" si="58"/>
        <v>-28029905.588800002</v>
      </c>
      <c r="AZ45" s="26">
        <f t="shared" si="58"/>
        <v>-25824256.138400003</v>
      </c>
      <c r="BA45" s="26">
        <f t="shared" si="58"/>
        <v>-24080243.932</v>
      </c>
      <c r="BB45" s="26">
        <f t="shared" si="58"/>
        <v>5561566.9199999999</v>
      </c>
      <c r="BC45" s="26">
        <f t="shared" si="58"/>
        <v>6903593.7888000002</v>
      </c>
      <c r="BD45" s="26">
        <f t="shared" si="58"/>
        <v>9868724.4616</v>
      </c>
      <c r="BE45" s="26">
        <f t="shared" si="58"/>
        <v>11408502.438399998</v>
      </c>
      <c r="BF45" s="26">
        <f t="shared" si="58"/>
        <v>25614774.349600002</v>
      </c>
      <c r="BG45" s="26">
        <f t="shared" si="58"/>
        <v>26035811.729600001</v>
      </c>
      <c r="BH45" s="26">
        <f t="shared" si="58"/>
        <v>25882277.849600002</v>
      </c>
      <c r="BI45" s="26">
        <f t="shared" si="58"/>
        <v>25744318.5352</v>
      </c>
      <c r="BJ45" s="26">
        <f t="shared" si="58"/>
        <v>26794795.2936</v>
      </c>
      <c r="BK45" s="26">
        <f t="shared" si="58"/>
        <v>26549964.737600002</v>
      </c>
      <c r="BL45" s="26">
        <f t="shared" si="58"/>
        <v>26022246.928800002</v>
      </c>
      <c r="BM45" s="26">
        <f t="shared" si="58"/>
        <v>25936521.722399998</v>
      </c>
      <c r="BN45" s="26">
        <f t="shared" si="58"/>
        <v>25444087.576000001</v>
      </c>
      <c r="BO45" s="26">
        <f t="shared" ref="BO45:CJ45" si="59">BO70*BO69</f>
        <v>25507404.069600001</v>
      </c>
      <c r="BP45" s="26">
        <f t="shared" si="59"/>
        <v>24766628.578400001</v>
      </c>
      <c r="BQ45" s="26">
        <f t="shared" si="59"/>
        <v>24596821.157600004</v>
      </c>
      <c r="BR45" s="26">
        <f t="shared" si="59"/>
        <v>23433238.4888</v>
      </c>
      <c r="BS45" s="26">
        <f t="shared" si="59"/>
        <v>23378361.8704</v>
      </c>
      <c r="BT45" s="26">
        <f t="shared" si="59"/>
        <v>22383282.582399998</v>
      </c>
      <c r="BU45" s="26">
        <f t="shared" si="59"/>
        <v>20786953.066400003</v>
      </c>
      <c r="BV45" s="26">
        <f t="shared" si="59"/>
        <v>14359175.628</v>
      </c>
      <c r="BW45" s="26">
        <f t="shared" si="59"/>
        <v>12238516.0952</v>
      </c>
      <c r="BX45" s="26">
        <f t="shared" si="59"/>
        <v>11156526.9024</v>
      </c>
      <c r="BY45" s="26">
        <f t="shared" si="59"/>
        <v>10595315.616</v>
      </c>
      <c r="BZ45" s="26">
        <f t="shared" si="59"/>
        <v>3290586.9080000003</v>
      </c>
      <c r="CA45" s="26">
        <f t="shared" si="59"/>
        <v>2847394.3648000001</v>
      </c>
      <c r="CB45" s="26">
        <f t="shared" si="59"/>
        <v>2460938.9904</v>
      </c>
      <c r="CC45" s="26">
        <f t="shared" si="59"/>
        <v>2119069.2903999998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-416599254.70759988</v>
      </c>
      <c r="C47" s="28">
        <f t="shared" ref="C47:BN47" si="62">C42-C45</f>
        <v>-472239868.3628</v>
      </c>
      <c r="D47" s="28">
        <f t="shared" si="62"/>
        <v>-588715679.59519994</v>
      </c>
      <c r="E47" s="28">
        <f t="shared" si="62"/>
        <v>-284002932.72040009</v>
      </c>
      <c r="F47" s="28">
        <f t="shared" si="62"/>
        <v>-481349059.18000007</v>
      </c>
      <c r="G47" s="28">
        <f t="shared" si="62"/>
        <v>-444518996.69680005</v>
      </c>
      <c r="H47" s="28">
        <f t="shared" si="62"/>
        <v>-438837567.47920001</v>
      </c>
      <c r="I47" s="28">
        <f t="shared" si="62"/>
        <v>408213249.29919988</v>
      </c>
      <c r="J47" s="28">
        <f t="shared" si="62"/>
        <v>-63197448.51399976</v>
      </c>
      <c r="K47" s="28">
        <f t="shared" si="62"/>
        <v>-54871132.958000422</v>
      </c>
      <c r="L47" s="28">
        <f t="shared" si="62"/>
        <v>135434542.97640026</v>
      </c>
      <c r="M47" s="28">
        <f t="shared" si="62"/>
        <v>-161664092.87719998</v>
      </c>
      <c r="N47" s="28">
        <f t="shared" si="62"/>
        <v>-254161201.88079995</v>
      </c>
      <c r="O47" s="28">
        <f t="shared" si="62"/>
        <v>-177689075.92479995</v>
      </c>
      <c r="P47" s="28">
        <f t="shared" si="62"/>
        <v>-314469778.7608</v>
      </c>
      <c r="Q47" s="28">
        <f t="shared" si="62"/>
        <v>-127444351.358</v>
      </c>
      <c r="R47" s="28">
        <f t="shared" si="62"/>
        <v>-144759224.97520006</v>
      </c>
      <c r="S47" s="28">
        <f t="shared" si="62"/>
        <v>-132610585.03680006</v>
      </c>
      <c r="T47" s="28">
        <f t="shared" si="62"/>
        <v>-145931862.35600001</v>
      </c>
      <c r="U47" s="28">
        <f t="shared" si="62"/>
        <v>298215281.10000026</v>
      </c>
      <c r="V47" s="28">
        <f t="shared" si="62"/>
        <v>-97444039.944800019</v>
      </c>
      <c r="W47" s="28">
        <f t="shared" si="62"/>
        <v>-59635035.608000003</v>
      </c>
      <c r="X47" s="28">
        <f t="shared" si="62"/>
        <v>-111505082.05639997</v>
      </c>
      <c r="Y47" s="28">
        <f t="shared" si="62"/>
        <v>299475687.84960002</v>
      </c>
      <c r="Z47" s="28">
        <f t="shared" si="62"/>
        <v>41163578.929599956</v>
      </c>
      <c r="AA47" s="28">
        <f t="shared" si="62"/>
        <v>13271271.40519999</v>
      </c>
      <c r="AB47" s="28">
        <f t="shared" si="62"/>
        <v>-98033726.452799991</v>
      </c>
      <c r="AC47" s="28">
        <f t="shared" si="62"/>
        <v>153442678.65320006</v>
      </c>
      <c r="AD47" s="28">
        <f t="shared" si="62"/>
        <v>53378655.241999999</v>
      </c>
      <c r="AE47" s="28">
        <f t="shared" si="62"/>
        <v>64503988.830000006</v>
      </c>
      <c r="AF47" s="28">
        <f t="shared" si="62"/>
        <v>76025055.496000007</v>
      </c>
      <c r="AG47" s="28">
        <f t="shared" si="62"/>
        <v>86950304.103199989</v>
      </c>
      <c r="AH47" s="28">
        <f t="shared" si="62"/>
        <v>74592512.957599998</v>
      </c>
      <c r="AI47" s="28">
        <f t="shared" si="62"/>
        <v>86023178.896400005</v>
      </c>
      <c r="AJ47" s="28">
        <f t="shared" si="62"/>
        <v>87094887.742799997</v>
      </c>
      <c r="AK47" s="28">
        <f t="shared" si="62"/>
        <v>89810193.105200008</v>
      </c>
      <c r="AL47" s="28">
        <f t="shared" si="62"/>
        <v>46772905.942000017</v>
      </c>
      <c r="AM47" s="28">
        <f t="shared" si="62"/>
        <v>61775811.296400003</v>
      </c>
      <c r="AN47" s="28">
        <f t="shared" si="62"/>
        <v>84113608.019999996</v>
      </c>
      <c r="AO47" s="28">
        <f t="shared" si="62"/>
        <v>86197675.956799999</v>
      </c>
      <c r="AP47" s="28">
        <f t="shared" si="62"/>
        <v>60277748.724399984</v>
      </c>
      <c r="AQ47" s="28">
        <f t="shared" si="62"/>
        <v>134656706.26440001</v>
      </c>
      <c r="AR47" s="28">
        <f t="shared" si="62"/>
        <v>103579089.3096</v>
      </c>
      <c r="AS47" s="28">
        <f t="shared" si="62"/>
        <v>114792114.99439996</v>
      </c>
      <c r="AT47" s="28">
        <f t="shared" si="62"/>
        <v>40697535.064400002</v>
      </c>
      <c r="AU47" s="28">
        <f t="shared" si="62"/>
        <v>58054008.480400026</v>
      </c>
      <c r="AV47" s="28">
        <f t="shared" si="62"/>
        <v>70537960.154399991</v>
      </c>
      <c r="AW47" s="28">
        <f t="shared" si="62"/>
        <v>-684729108.26200008</v>
      </c>
      <c r="AX47" s="28">
        <f t="shared" si="62"/>
        <v>-34304514.574000001</v>
      </c>
      <c r="AY47" s="28">
        <f t="shared" si="62"/>
        <v>-21363586.531199988</v>
      </c>
      <c r="AZ47" s="28">
        <f t="shared" si="62"/>
        <v>7277123.218400009</v>
      </c>
      <c r="BA47" s="28">
        <f t="shared" si="62"/>
        <v>-419310441.52800012</v>
      </c>
      <c r="BB47" s="28">
        <f t="shared" si="62"/>
        <v>-78152914.870000005</v>
      </c>
      <c r="BC47" s="28">
        <f t="shared" si="62"/>
        <v>-62837282.108799994</v>
      </c>
      <c r="BD47" s="28">
        <f t="shared" si="62"/>
        <v>-28809791.741599999</v>
      </c>
      <c r="BE47" s="28">
        <f t="shared" si="62"/>
        <v>-194424872.26840007</v>
      </c>
      <c r="BF47" s="28">
        <f t="shared" si="62"/>
        <v>-29499133.629600007</v>
      </c>
      <c r="BG47" s="28">
        <f t="shared" si="62"/>
        <v>-21157203.759599991</v>
      </c>
      <c r="BH47" s="28">
        <f t="shared" si="62"/>
        <v>-24126916.209599987</v>
      </c>
      <c r="BI47" s="28">
        <f t="shared" si="62"/>
        <v>-10571935.875200052</v>
      </c>
      <c r="BJ47" s="28">
        <f t="shared" si="62"/>
        <v>-18632834.813600034</v>
      </c>
      <c r="BK47" s="28">
        <f t="shared" si="62"/>
        <v>-21401000.087600023</v>
      </c>
      <c r="BL47" s="28">
        <f t="shared" si="62"/>
        <v>-25407757.5088</v>
      </c>
      <c r="BM47" s="28">
        <f t="shared" si="62"/>
        <v>-13288956.99239994</v>
      </c>
      <c r="BN47" s="28">
        <f t="shared" si="62"/>
        <v>-15850921.615999989</v>
      </c>
      <c r="BO47" s="28">
        <f t="shared" ref="BO47:CJ47" si="63">BO42-BO45</f>
        <v>-15639524.389600025</v>
      </c>
      <c r="BP47" s="28">
        <f t="shared" si="63"/>
        <v>-22979697.578400001</v>
      </c>
      <c r="BQ47" s="28">
        <f t="shared" si="63"/>
        <v>5573180.0624000728</v>
      </c>
      <c r="BR47" s="28">
        <f t="shared" si="63"/>
        <v>-5539906.0688000135</v>
      </c>
      <c r="BS47" s="28">
        <f t="shared" si="63"/>
        <v>13477723.229600001</v>
      </c>
      <c r="BT47" s="28">
        <f t="shared" si="63"/>
        <v>-3210410.4323999994</v>
      </c>
      <c r="BU47" s="28">
        <f t="shared" si="63"/>
        <v>-950828.95640001073</v>
      </c>
      <c r="BV47" s="28">
        <f t="shared" si="63"/>
        <v>-6663805.3379999967</v>
      </c>
      <c r="BW47" s="28">
        <f t="shared" si="63"/>
        <v>6630906.3348000031</v>
      </c>
      <c r="BX47" s="28">
        <f t="shared" si="63"/>
        <v>-4150264.6124</v>
      </c>
      <c r="BY47" s="28">
        <f t="shared" si="63"/>
        <v>2615448.2539999969</v>
      </c>
      <c r="BZ47" s="28">
        <f t="shared" si="63"/>
        <v>1191579.1020000004</v>
      </c>
      <c r="CA47" s="28">
        <f t="shared" si="63"/>
        <v>7797469.9651999995</v>
      </c>
      <c r="CB47" s="28">
        <f t="shared" si="63"/>
        <v>13199385.809600001</v>
      </c>
      <c r="CC47" s="28">
        <f t="shared" si="63"/>
        <v>11615795.049600003</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19951231</v>
      </c>
      <c r="CC51" s="190">
        <v>19941231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-3468825.38</v>
      </c>
      <c r="F52" s="42">
        <v>-34414</v>
      </c>
      <c r="G52" s="42">
        <v>-23309</v>
      </c>
      <c r="H52" s="42">
        <v>-16814</v>
      </c>
      <c r="I52" s="42">
        <v>-6785424.4299999997</v>
      </c>
      <c r="J52" s="42"/>
      <c r="K52" s="42"/>
      <c r="M52" s="43">
        <v>-7837118.29</v>
      </c>
      <c r="Q52" s="43">
        <v>-4129865.93</v>
      </c>
      <c r="U52" s="43">
        <v>-2748803.46</v>
      </c>
      <c r="Y52" s="43">
        <v>-1797817.41</v>
      </c>
    </row>
    <row r="53" spans="1:89" s="43" customFormat="1" x14ac:dyDescent="0.25">
      <c r="A53" s="132" t="s">
        <v>90</v>
      </c>
      <c r="B53" s="42">
        <v>217</v>
      </c>
      <c r="C53" s="42">
        <v>189</v>
      </c>
      <c r="D53" s="42"/>
      <c r="E53" s="42">
        <v>132033825.75</v>
      </c>
      <c r="F53" s="42"/>
      <c r="G53" s="42"/>
      <c r="H53" s="42"/>
      <c r="I53" s="42">
        <v>190076870.66</v>
      </c>
      <c r="J53" s="42"/>
      <c r="K53" s="42"/>
      <c r="M53" s="43">
        <v>222528015.47</v>
      </c>
      <c r="Q53" s="43">
        <v>114413529.48999999</v>
      </c>
      <c r="U53" s="43">
        <v>99337359.890000001</v>
      </c>
      <c r="Y53" s="43">
        <v>23183593.739999998</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4136051.34</v>
      </c>
      <c r="F54" s="42">
        <v>2684</v>
      </c>
      <c r="G54" s="42">
        <v>-377</v>
      </c>
      <c r="H54" s="42">
        <v>1008</v>
      </c>
      <c r="I54" s="42">
        <v>-3125983.98</v>
      </c>
      <c r="J54" s="42"/>
      <c r="K54" s="42"/>
      <c r="M54" s="43">
        <v>-384483.65</v>
      </c>
      <c r="Q54" s="43">
        <v>29811.9</v>
      </c>
      <c r="U54" s="43">
        <v>396</v>
      </c>
    </row>
    <row r="55" spans="1:89" s="43" customFormat="1" x14ac:dyDescent="0.25">
      <c r="A55" s="132" t="s">
        <v>92</v>
      </c>
      <c r="B55" s="42">
        <v>463</v>
      </c>
      <c r="C55" s="42">
        <v>603</v>
      </c>
      <c r="D55" s="42">
        <v>653</v>
      </c>
      <c r="E55" s="42">
        <v>309112.8</v>
      </c>
      <c r="F55" s="42">
        <v>1204</v>
      </c>
      <c r="G55" s="42">
        <v>868</v>
      </c>
      <c r="H55" s="42">
        <v>644</v>
      </c>
      <c r="I55" s="42">
        <v>537339.37</v>
      </c>
      <c r="J55" s="42"/>
      <c r="K55" s="42"/>
      <c r="M55" s="43">
        <v>583577.59</v>
      </c>
      <c r="Q55" s="43">
        <v>519633.52</v>
      </c>
      <c r="U55" s="43">
        <v>513023.09</v>
      </c>
      <c r="Y55" s="43">
        <v>337739.49</v>
      </c>
    </row>
    <row r="56" spans="1:89" s="26" customFormat="1" x14ac:dyDescent="0.25">
      <c r="A56" s="133" t="s">
        <v>93</v>
      </c>
      <c r="B56" s="44">
        <f>SUM(B52:B55)</f>
        <v>-21852</v>
      </c>
      <c r="C56" s="44">
        <f t="shared" ref="C56:D56" si="64">SUM(C52:C55)</f>
        <v>-28350</v>
      </c>
      <c r="D56" s="44">
        <f t="shared" si="64"/>
        <v>-35004</v>
      </c>
      <c r="E56" s="44">
        <f>SUM(E52:E55)</f>
        <v>133010164.51000001</v>
      </c>
      <c r="F56" s="44">
        <f t="shared" ref="F56:BQ56" si="65">SUM(F52:F55)</f>
        <v>-30526</v>
      </c>
      <c r="G56" s="44">
        <f t="shared" si="65"/>
        <v>-22818</v>
      </c>
      <c r="H56" s="44">
        <f t="shared" si="65"/>
        <v>-15162</v>
      </c>
      <c r="I56" s="44">
        <f t="shared" si="65"/>
        <v>180702801.62</v>
      </c>
      <c r="J56" s="44">
        <f t="shared" si="65"/>
        <v>0</v>
      </c>
      <c r="K56" s="44">
        <f t="shared" si="65"/>
        <v>0</v>
      </c>
      <c r="L56" s="44">
        <f t="shared" si="65"/>
        <v>0</v>
      </c>
      <c r="M56" s="44">
        <f t="shared" si="65"/>
        <v>214889991.12</v>
      </c>
      <c r="N56" s="44">
        <f t="shared" si="65"/>
        <v>0</v>
      </c>
      <c r="O56" s="44">
        <f t="shared" si="65"/>
        <v>0</v>
      </c>
      <c r="P56" s="44">
        <f t="shared" si="65"/>
        <v>0</v>
      </c>
      <c r="Q56" s="44">
        <f t="shared" si="65"/>
        <v>110833108.97999999</v>
      </c>
      <c r="R56" s="44">
        <f t="shared" si="65"/>
        <v>0</v>
      </c>
      <c r="S56" s="44">
        <f t="shared" si="65"/>
        <v>0</v>
      </c>
      <c r="T56" s="44">
        <f t="shared" si="65"/>
        <v>0</v>
      </c>
      <c r="U56" s="44">
        <f t="shared" si="65"/>
        <v>97101975.520000011</v>
      </c>
      <c r="V56" s="44">
        <f t="shared" si="65"/>
        <v>0</v>
      </c>
      <c r="W56" s="44">
        <f t="shared" si="65"/>
        <v>0</v>
      </c>
      <c r="X56" s="44">
        <f t="shared" si="65"/>
        <v>0</v>
      </c>
      <c r="Y56" s="44">
        <f t="shared" si="65"/>
        <v>21723515.819999997</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79043946.120000005</v>
      </c>
      <c r="C59" s="190">
        <v>16112497.609999999</v>
      </c>
      <c r="D59" s="190">
        <v>-89861681.900000006</v>
      </c>
      <c r="E59" s="190">
        <v>224766794.59999999</v>
      </c>
      <c r="F59" s="190">
        <v>31389133.25</v>
      </c>
      <c r="G59" s="190">
        <v>72582651.5</v>
      </c>
      <c r="H59" s="190">
        <v>75428834.480000004</v>
      </c>
      <c r="I59" s="190">
        <v>939205690.91999996</v>
      </c>
      <c r="J59" s="190">
        <v>427642487.01999998</v>
      </c>
      <c r="K59" s="190">
        <v>448332019.56999999</v>
      </c>
      <c r="L59" s="190">
        <v>408935633.20999998</v>
      </c>
      <c r="M59" s="190">
        <v>79587768.430000007</v>
      </c>
      <c r="N59" s="190">
        <v>-5953636.3300000001</v>
      </c>
      <c r="O59" s="190">
        <v>75498243.109999999</v>
      </c>
      <c r="P59" s="190">
        <v>-73892379.780000001</v>
      </c>
      <c r="Q59" s="190">
        <v>118793773.97</v>
      </c>
      <c r="R59" s="190">
        <v>12479450.07</v>
      </c>
      <c r="S59" s="190">
        <v>25684387.489999998</v>
      </c>
      <c r="T59" s="190">
        <v>11204758.77</v>
      </c>
      <c r="U59" s="190">
        <v>454169035.74000001</v>
      </c>
      <c r="V59" s="190">
        <v>23095821.68</v>
      </c>
      <c r="W59" s="190">
        <v>57235174.219999999</v>
      </c>
      <c r="X59" s="190">
        <v>854688.95</v>
      </c>
      <c r="Y59" s="190">
        <v>411140468.67000002</v>
      </c>
      <c r="Z59" s="190">
        <v>129787676.92</v>
      </c>
      <c r="AA59" s="190">
        <v>99469951.349999994</v>
      </c>
      <c r="AB59" s="190">
        <v>-21558089.800000001</v>
      </c>
      <c r="AC59" s="190">
        <v>231642962.49000001</v>
      </c>
      <c r="AD59" s="190">
        <v>-31095058.109999999</v>
      </c>
      <c r="AE59" s="190">
        <v>-19002304.210000001</v>
      </c>
      <c r="AF59" s="190">
        <v>-6479405.6600000001</v>
      </c>
      <c r="AG59" s="190">
        <v>4964195.4000000004</v>
      </c>
      <c r="AH59" s="190">
        <v>-8468186.2799999993</v>
      </c>
      <c r="AI59" s="190">
        <v>3956450.61</v>
      </c>
      <c r="AJ59" s="190">
        <v>5121351.53</v>
      </c>
      <c r="AK59" s="190">
        <v>7426948.7699999996</v>
      </c>
      <c r="AL59" s="190">
        <v>-39352711.189999998</v>
      </c>
      <c r="AM59" s="190">
        <v>-23045205.370000001</v>
      </c>
      <c r="AN59" s="190">
        <v>1235008.46</v>
      </c>
      <c r="AO59" s="190">
        <v>3220275.72</v>
      </c>
      <c r="AP59" s="190">
        <v>-24939801.57</v>
      </c>
      <c r="AQ59" s="190">
        <v>55893134.75</v>
      </c>
      <c r="AR59" s="190">
        <v>22113116.32</v>
      </c>
      <c r="AS59" s="190">
        <v>31557092.699999999</v>
      </c>
      <c r="AT59" s="190">
        <v>-48487022.649999999</v>
      </c>
      <c r="AU59" s="190">
        <v>-29616942.850000001</v>
      </c>
      <c r="AV59" s="190">
        <v>-16047430.16</v>
      </c>
      <c r="AW59" s="190">
        <v>-770441732.02999997</v>
      </c>
      <c r="AX59" s="190">
        <v>-63457312.609999999</v>
      </c>
      <c r="AY59" s="190">
        <v>-49393492.119999997</v>
      </c>
      <c r="AZ59" s="190">
        <v>-18547132.920000002</v>
      </c>
      <c r="BA59" s="190">
        <v>-443043624.91000003</v>
      </c>
      <c r="BB59" s="190">
        <v>-73086693.980000004</v>
      </c>
      <c r="BC59" s="190">
        <v>-56311358.119999997</v>
      </c>
      <c r="BD59" s="190">
        <v>-19247224.699999999</v>
      </c>
      <c r="BE59" s="190">
        <v>-182697701.21000001</v>
      </c>
      <c r="BF59" s="190">
        <v>-4164677.31</v>
      </c>
      <c r="BG59" s="190">
        <v>4598289.9400000004</v>
      </c>
      <c r="BH59" s="190">
        <v>1672814.95</v>
      </c>
      <c r="BI59" s="190">
        <v>18316548.710000001</v>
      </c>
      <c r="BJ59" s="190">
        <v>10728419.65</v>
      </c>
      <c r="BK59" s="190">
        <v>7668037.7000000002</v>
      </c>
      <c r="BL59" s="190">
        <v>1071565.0900000001</v>
      </c>
      <c r="BM59" s="190">
        <v>16746257.060000001</v>
      </c>
      <c r="BN59" s="190">
        <v>11245786.310000001</v>
      </c>
      <c r="BO59" s="190">
        <v>11382286.4</v>
      </c>
      <c r="BP59" s="190">
        <v>2122592.7599999998</v>
      </c>
      <c r="BQ59" s="190">
        <v>34167926.579999998</v>
      </c>
      <c r="BR59" s="190">
        <v>18701854.079999998</v>
      </c>
      <c r="BS59" s="190">
        <v>40050617.420000002</v>
      </c>
      <c r="BT59" s="190">
        <v>19454118.949999999</v>
      </c>
      <c r="BU59" s="190">
        <v>20648814.829999998</v>
      </c>
      <c r="BV59" s="190">
        <v>8258896.1299999999</v>
      </c>
      <c r="BW59" s="190">
        <v>20182932.789999999</v>
      </c>
      <c r="BX59" s="190">
        <v>7733406.9000000004</v>
      </c>
      <c r="BY59" s="190">
        <v>15878148.640000001</v>
      </c>
      <c r="BZ59" s="190">
        <v>5539906.79</v>
      </c>
      <c r="CA59" s="190">
        <v>13044067.130000001</v>
      </c>
      <c r="CB59" s="190">
        <v>16773371.25</v>
      </c>
      <c r="CC59" s="190">
        <v>14288366.130000001</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88214040.75</v>
      </c>
      <c r="C60" s="190">
        <v>49836626.409999996</v>
      </c>
      <c r="D60" s="190">
        <v>-906617.09</v>
      </c>
      <c r="E60" s="190">
        <v>169538933.72</v>
      </c>
      <c r="F60" s="190">
        <v>69123726.019999996</v>
      </c>
      <c r="G60" s="190">
        <v>61621779.759999998</v>
      </c>
      <c r="H60" s="190">
        <v>44695283.719999999</v>
      </c>
      <c r="I60" s="190">
        <v>350206224.32999998</v>
      </c>
      <c r="J60" s="190">
        <v>184429046.81999999</v>
      </c>
      <c r="K60" s="190">
        <v>190262968.77000001</v>
      </c>
      <c r="L60" s="190">
        <v>151104515.87</v>
      </c>
      <c r="M60" s="190">
        <v>23411035.969999999</v>
      </c>
      <c r="N60" s="190">
        <v>25665641.109999999</v>
      </c>
      <c r="O60" s="190">
        <v>4825284.22</v>
      </c>
      <c r="P60" s="190">
        <v>7320978.1500000004</v>
      </c>
      <c r="Q60" s="190">
        <v>62117400.299999997</v>
      </c>
      <c r="R60" s="190">
        <v>45177222.649999999</v>
      </c>
      <c r="S60" s="190">
        <v>33131603.629999999</v>
      </c>
      <c r="T60" s="190">
        <v>23622168.350000001</v>
      </c>
      <c r="U60" s="190">
        <v>189926754.56999999</v>
      </c>
      <c r="V60" s="190">
        <v>14692601.57</v>
      </c>
      <c r="W60" s="190">
        <v>20413887.32</v>
      </c>
      <c r="X60" s="190">
        <v>13699251.85</v>
      </c>
      <c r="Y60" s="190">
        <v>61389629.079999998</v>
      </c>
      <c r="Z60" s="190">
        <v>24682262.829999998</v>
      </c>
      <c r="AA60" s="190">
        <v>-3729090.37</v>
      </c>
      <c r="AB60" s="190">
        <v>-145016.56</v>
      </c>
      <c r="AC60" s="190">
        <v>63669548.700000003</v>
      </c>
      <c r="AD60" s="190">
        <v>24525</v>
      </c>
      <c r="AE60" s="190">
        <v>24525</v>
      </c>
      <c r="AF60" s="190">
        <v>0</v>
      </c>
      <c r="AG60" s="190">
        <v>0</v>
      </c>
      <c r="AH60" s="190">
        <v>0</v>
      </c>
      <c r="AI60" s="190">
        <v>0</v>
      </c>
      <c r="AJ60" s="190">
        <v>0</v>
      </c>
      <c r="AK60" s="190">
        <v>0</v>
      </c>
      <c r="AL60" s="190">
        <v>0</v>
      </c>
      <c r="AM60" s="190">
        <v>0</v>
      </c>
      <c r="AN60" s="190">
        <v>0</v>
      </c>
      <c r="AO60" s="190">
        <v>1540628.38</v>
      </c>
      <c r="AP60" s="190">
        <v>103788.53</v>
      </c>
      <c r="AQ60" s="190">
        <v>103788.53</v>
      </c>
      <c r="AR60" s="190">
        <v>0</v>
      </c>
      <c r="AS60" s="190">
        <v>1791515.9</v>
      </c>
      <c r="AT60" s="190">
        <v>243592.48</v>
      </c>
      <c r="AU60" s="190">
        <v>205699.52</v>
      </c>
      <c r="AV60" s="190">
        <v>20460.41</v>
      </c>
      <c r="AW60" s="190">
        <v>-2951913.89</v>
      </c>
      <c r="AX60" s="190">
        <v>50386.31</v>
      </c>
      <c r="AY60" s="190">
        <v>22721.42</v>
      </c>
      <c r="AZ60" s="190">
        <v>-23316.57</v>
      </c>
      <c r="BA60" s="190">
        <v>-63255.83</v>
      </c>
      <c r="BB60" s="190">
        <v>-63255.83</v>
      </c>
      <c r="BC60" s="190">
        <v>-63255.83</v>
      </c>
      <c r="BD60" s="190">
        <v>-63255.83</v>
      </c>
      <c r="BE60" s="190">
        <v>63255.82</v>
      </c>
      <c r="BF60" s="190">
        <v>1824663.69</v>
      </c>
      <c r="BG60" s="190">
        <v>1122351.19</v>
      </c>
      <c r="BH60" s="190">
        <v>436826.76</v>
      </c>
      <c r="BI60" s="190">
        <v>4707943.0599999996</v>
      </c>
      <c r="BJ60" s="190">
        <v>2626806.5</v>
      </c>
      <c r="BK60" s="190">
        <v>1167749.68</v>
      </c>
      <c r="BL60" s="190">
        <v>349296.54</v>
      </c>
      <c r="BM60" s="190">
        <v>3362766.08</v>
      </c>
      <c r="BN60" s="190">
        <v>1724635.12</v>
      </c>
      <c r="BO60" s="190">
        <v>1455818.03</v>
      </c>
      <c r="BP60" s="190">
        <v>405247.13</v>
      </c>
      <c r="BQ60" s="190">
        <v>6573567.2300000004</v>
      </c>
      <c r="BR60" s="190">
        <v>3467183.24</v>
      </c>
      <c r="BS60" s="190">
        <v>5167251.21</v>
      </c>
      <c r="BT60" s="190">
        <v>913299.92</v>
      </c>
      <c r="BU60" s="190">
        <v>1176687.6000000001</v>
      </c>
      <c r="BV60" s="190">
        <v>888358.86</v>
      </c>
      <c r="BW60" s="190">
        <v>732365.81</v>
      </c>
      <c r="BX60" s="190">
        <v>356810</v>
      </c>
      <c r="BY60" s="190">
        <v>2102527.62</v>
      </c>
      <c r="BZ60" s="190">
        <v>814905.87</v>
      </c>
      <c r="CA60" s="190">
        <v>440000</v>
      </c>
      <c r="CB60" s="190">
        <v>400000</v>
      </c>
      <c r="CC60" s="190">
        <v>400000</v>
      </c>
      <c r="CD60" s="190">
        <v>0</v>
      </c>
      <c r="CE60" s="190">
        <v>27810000</v>
      </c>
      <c r="CF60" s="190">
        <v>16447145.279999999</v>
      </c>
      <c r="CG60" s="190">
        <v>4330000</v>
      </c>
      <c r="CH60" s="190">
        <v>4220000</v>
      </c>
      <c r="CI60" s="190">
        <v>12510000</v>
      </c>
      <c r="CJ60" s="190">
        <v>3630000</v>
      </c>
      <c r="CK60" s="190">
        <v>0</v>
      </c>
    </row>
    <row r="61" spans="1:89" x14ac:dyDescent="0.25">
      <c r="A61" s="22" t="s">
        <v>94</v>
      </c>
      <c r="B61" s="190">
        <v>167257986.87</v>
      </c>
      <c r="C61" s="190">
        <v>65949124.020000003</v>
      </c>
      <c r="D61" s="190">
        <v>-90768298.989999995</v>
      </c>
      <c r="E61" s="190">
        <v>394305728.31999999</v>
      </c>
      <c r="F61" s="190">
        <v>100512859.27</v>
      </c>
      <c r="G61" s="190">
        <v>134204431.26000001</v>
      </c>
      <c r="H61" s="190">
        <v>120124118.2</v>
      </c>
      <c r="I61" s="190">
        <v>1289411915.25</v>
      </c>
      <c r="J61" s="190">
        <v>612071533.84000003</v>
      </c>
      <c r="K61" s="190">
        <v>638594988.34000003</v>
      </c>
      <c r="L61" s="190">
        <v>560040149.08000004</v>
      </c>
      <c r="M61" s="190">
        <v>102998804.40000001</v>
      </c>
      <c r="N61" s="190">
        <v>19712004.780000001</v>
      </c>
      <c r="O61" s="190">
        <v>80323527.329999998</v>
      </c>
      <c r="P61" s="190">
        <v>-66571401.630000003</v>
      </c>
      <c r="Q61" s="190">
        <v>180911174.27000001</v>
      </c>
      <c r="R61" s="190">
        <v>57656672.719999999</v>
      </c>
      <c r="S61" s="190">
        <v>58815991.119999997</v>
      </c>
      <c r="T61" s="190">
        <v>34826927.119999997</v>
      </c>
      <c r="U61" s="190">
        <v>644095790.30999994</v>
      </c>
      <c r="V61" s="190">
        <v>37788423.25</v>
      </c>
      <c r="W61" s="190">
        <v>77649061.540000007</v>
      </c>
      <c r="X61" s="190">
        <v>14553940.800000001</v>
      </c>
      <c r="Y61" s="190">
        <v>472530097.75</v>
      </c>
      <c r="Z61" s="190">
        <v>154469939.75</v>
      </c>
      <c r="AA61" s="190">
        <v>95740860.980000004</v>
      </c>
      <c r="AB61" s="190">
        <v>-21703106.359999999</v>
      </c>
      <c r="AC61" s="190">
        <v>295312511.19</v>
      </c>
      <c r="AD61" s="190">
        <v>-31070533.109999999</v>
      </c>
      <c r="AE61" s="190">
        <v>-18977779.210000001</v>
      </c>
      <c r="AF61" s="190">
        <v>-6479405.6600000001</v>
      </c>
      <c r="AG61" s="190">
        <v>4964195.4000000004</v>
      </c>
      <c r="AH61" s="190">
        <v>-8468186.2799999993</v>
      </c>
      <c r="AI61" s="190">
        <v>3956450.61</v>
      </c>
      <c r="AJ61" s="190">
        <v>5121351.53</v>
      </c>
      <c r="AK61" s="190">
        <v>7426948.7699999996</v>
      </c>
      <c r="AL61" s="190">
        <v>-39352711.189999998</v>
      </c>
      <c r="AM61" s="190">
        <v>-23045205.370000001</v>
      </c>
      <c r="AN61" s="190">
        <v>1235008.46</v>
      </c>
      <c r="AO61" s="190">
        <v>4760904.0999999996</v>
      </c>
      <c r="AP61" s="190">
        <v>-24836013.039999999</v>
      </c>
      <c r="AQ61" s="190">
        <v>55996923.280000001</v>
      </c>
      <c r="AR61" s="190">
        <v>22113116.32</v>
      </c>
      <c r="AS61" s="190">
        <v>33348608.600000001</v>
      </c>
      <c r="AT61" s="190">
        <v>-48243430.170000002</v>
      </c>
      <c r="AU61" s="190">
        <v>-29411243.329999998</v>
      </c>
      <c r="AV61" s="190">
        <v>-16026969.75</v>
      </c>
      <c r="AW61" s="190">
        <v>-773393645.91999996</v>
      </c>
      <c r="AX61" s="190">
        <v>-63406926.299999997</v>
      </c>
      <c r="AY61" s="190">
        <v>-49370770.700000003</v>
      </c>
      <c r="AZ61" s="190">
        <v>-18570449.489999998</v>
      </c>
      <c r="BA61" s="190">
        <v>-443106880.74000001</v>
      </c>
      <c r="BB61" s="190">
        <v>-73149949.810000002</v>
      </c>
      <c r="BC61" s="190">
        <v>-56374613.950000003</v>
      </c>
      <c r="BD61" s="190">
        <v>-19310480.530000001</v>
      </c>
      <c r="BE61" s="190">
        <v>-182634445.38999999</v>
      </c>
      <c r="BF61" s="190">
        <v>-2340013.62</v>
      </c>
      <c r="BG61" s="190">
        <v>5720641.1299999999</v>
      </c>
      <c r="BH61" s="190">
        <v>2109641.71</v>
      </c>
      <c r="BI61" s="190">
        <v>23024491.77</v>
      </c>
      <c r="BJ61" s="190">
        <v>13355226.15</v>
      </c>
      <c r="BK61" s="190">
        <v>8835787.3800000008</v>
      </c>
      <c r="BL61" s="190">
        <v>1420861.63</v>
      </c>
      <c r="BM61" s="190">
        <v>20109023.140000001</v>
      </c>
      <c r="BN61" s="190">
        <v>12970421.43</v>
      </c>
      <c r="BO61" s="190">
        <v>12838104.43</v>
      </c>
      <c r="BP61" s="190">
        <v>2527839.89</v>
      </c>
      <c r="BQ61" s="190">
        <v>40741493.810000002</v>
      </c>
      <c r="BR61" s="190">
        <v>22169037.32</v>
      </c>
      <c r="BS61" s="190">
        <v>45217868.630000003</v>
      </c>
      <c r="BT61" s="190">
        <v>20367418.870000001</v>
      </c>
      <c r="BU61" s="190">
        <v>21825502.43</v>
      </c>
      <c r="BV61" s="190">
        <v>9147254.9900000002</v>
      </c>
      <c r="BW61" s="190">
        <v>20915298.600000001</v>
      </c>
      <c r="BX61" s="190">
        <v>8090216.9000000004</v>
      </c>
      <c r="BY61" s="190">
        <v>17980676.260000002</v>
      </c>
      <c r="BZ61" s="190">
        <v>6354812.6600000001</v>
      </c>
      <c r="CA61" s="190">
        <v>13484067.130000001</v>
      </c>
      <c r="CB61" s="190">
        <v>17173371.25</v>
      </c>
      <c r="CC61" s="190">
        <v>14688366.130000001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15225385.58</v>
      </c>
      <c r="C65" s="190">
        <v>3678665.1</v>
      </c>
      <c r="D65" s="190">
        <v>385151.76</v>
      </c>
      <c r="E65" s="190">
        <v>-15667022.949999999</v>
      </c>
      <c r="F65" s="190">
        <v>4837392.22</v>
      </c>
      <c r="G65" s="190">
        <v>-3857491.17</v>
      </c>
      <c r="H65" s="190">
        <v>-133493.96</v>
      </c>
      <c r="I65" s="190">
        <v>4354993.04</v>
      </c>
      <c r="J65" s="190">
        <v>5853861.9400000004</v>
      </c>
      <c r="K65" s="190">
        <v>305984.3</v>
      </c>
      <c r="L65" s="190">
        <v>-91253.62</v>
      </c>
      <c r="M65" s="190">
        <v>423275489.80000001</v>
      </c>
      <c r="N65" s="190">
        <v>236467628.59</v>
      </c>
      <c r="O65" s="190">
        <v>236469973.34999999</v>
      </c>
      <c r="P65" s="190">
        <v>-105154.14</v>
      </c>
      <c r="Q65" s="190">
        <v>138530335.78999999</v>
      </c>
      <c r="R65" s="190">
        <v>21576171.57</v>
      </c>
      <c r="S65" s="190">
        <v>22223522.829999998</v>
      </c>
      <c r="T65" s="190">
        <v>-25419.65</v>
      </c>
      <c r="U65" s="190">
        <v>110094219.51000001</v>
      </c>
      <c r="V65" s="190">
        <v>115191249.55</v>
      </c>
      <c r="W65" s="190">
        <v>108369890.55</v>
      </c>
      <c r="X65" s="190">
        <v>-326795.33</v>
      </c>
      <c r="Y65" s="190">
        <v>123437628.18000001</v>
      </c>
      <c r="Z65" s="190">
        <v>126725500.3</v>
      </c>
      <c r="AA65" s="190">
        <v>120512804.08</v>
      </c>
      <c r="AB65" s="190">
        <v>-381233.82</v>
      </c>
      <c r="AC65" s="190">
        <v>80272314.370000005</v>
      </c>
      <c r="AD65" s="190">
        <v>0</v>
      </c>
      <c r="AE65" s="190">
        <v>0</v>
      </c>
      <c r="AF65" s="190">
        <v>0</v>
      </c>
      <c r="AG65" s="190">
        <v>-4447</v>
      </c>
      <c r="AH65" s="190">
        <v>0</v>
      </c>
      <c r="AI65" s="190">
        <v>0</v>
      </c>
      <c r="AJ65" s="190">
        <v>0</v>
      </c>
      <c r="AK65" s="190">
        <v>-1213497.95</v>
      </c>
      <c r="AL65" s="190">
        <v>-17593.53</v>
      </c>
      <c r="AM65" s="190">
        <v>-194.43</v>
      </c>
      <c r="AN65" s="190">
        <v>0</v>
      </c>
      <c r="AO65" s="190">
        <v>62139.56</v>
      </c>
      <c r="AP65" s="190">
        <v>-180631.67999999999</v>
      </c>
      <c r="AQ65" s="190">
        <v>-173457.86</v>
      </c>
      <c r="AR65" s="190">
        <v>0</v>
      </c>
      <c r="AS65" s="190">
        <v>-1587107.41</v>
      </c>
      <c r="AT65" s="190">
        <v>-28551.66</v>
      </c>
      <c r="AU65" s="190">
        <v>-28551.66</v>
      </c>
      <c r="AV65" s="190">
        <v>-2954.95</v>
      </c>
      <c r="AW65" s="190">
        <v>-11639638.17</v>
      </c>
      <c r="AX65" s="190">
        <v>25762.83</v>
      </c>
      <c r="AY65" s="190">
        <v>4179.46</v>
      </c>
      <c r="AZ65" s="190">
        <v>-64039.67</v>
      </c>
      <c r="BA65" s="190">
        <v>-911904.98</v>
      </c>
      <c r="BB65" s="190">
        <v>-887736.38</v>
      </c>
      <c r="BC65" s="190">
        <v>-878622.99</v>
      </c>
      <c r="BD65" s="190">
        <v>-354779.02</v>
      </c>
      <c r="BE65" s="190">
        <v>567973.48</v>
      </c>
      <c r="BF65" s="190">
        <v>1300643.3899999999</v>
      </c>
      <c r="BG65" s="190">
        <v>1384791.66</v>
      </c>
      <c r="BH65" s="190">
        <v>2497.09</v>
      </c>
      <c r="BI65" s="190">
        <v>1902213.52</v>
      </c>
      <c r="BJ65" s="190">
        <v>-210686.6</v>
      </c>
      <c r="BK65" s="190">
        <v>-264505.2</v>
      </c>
      <c r="BL65" s="190">
        <v>0</v>
      </c>
      <c r="BM65" s="190">
        <v>-104270.22</v>
      </c>
      <c r="BN65" s="190">
        <v>-49635.11</v>
      </c>
      <c r="BO65" s="190">
        <v>-49635.11</v>
      </c>
      <c r="BP65" s="190">
        <v>0</v>
      </c>
      <c r="BQ65" s="190">
        <v>12094568.43</v>
      </c>
      <c r="BR65" s="190">
        <v>4899103.54</v>
      </c>
      <c r="BS65" s="190">
        <v>2253890.35</v>
      </c>
      <c r="BT65" s="190">
        <v>341696.84</v>
      </c>
      <c r="BU65" s="190">
        <v>6305282.4699999997</v>
      </c>
      <c r="BV65" s="190">
        <v>4561536.82</v>
      </c>
      <c r="BW65" s="190">
        <v>3813819.28</v>
      </c>
      <c r="BX65" s="190">
        <v>566055.03</v>
      </c>
      <c r="BY65" s="190">
        <v>2892968</v>
      </c>
      <c r="BZ65" s="190">
        <v>13749</v>
      </c>
      <c r="CA65" s="190">
        <v>11700</v>
      </c>
      <c r="CB65" s="190">
        <v>5800</v>
      </c>
      <c r="CC65" s="190">
        <v>20113.599999999999</v>
      </c>
      <c r="CD65" s="190">
        <v>0</v>
      </c>
      <c r="CE65" s="190">
        <v>7729000</v>
      </c>
      <c r="CF65" s="190">
        <v>2092581.44</v>
      </c>
      <c r="CG65" s="190">
        <v>0</v>
      </c>
      <c r="CH65" s="190">
        <v>0</v>
      </c>
      <c r="CI65" s="190">
        <v>0</v>
      </c>
      <c r="CJ65" s="190">
        <v>0</v>
      </c>
      <c r="CK65" s="190">
        <v>0</v>
      </c>
    </row>
    <row r="66" spans="1:89" x14ac:dyDescent="0.25">
      <c r="A66" s="22" t="s">
        <v>99</v>
      </c>
      <c r="B66" s="190">
        <v>10971325.949999999</v>
      </c>
      <c r="C66" s="190">
        <v>3221926.01</v>
      </c>
      <c r="D66" s="190">
        <v>-71555.399999999994</v>
      </c>
      <c r="E66" s="190">
        <v>-23633714.579999998</v>
      </c>
      <c r="F66" s="190">
        <v>-3101039.81</v>
      </c>
      <c r="G66" s="190">
        <v>-6098553.3399999999</v>
      </c>
      <c r="H66" s="190">
        <v>-273117.88</v>
      </c>
      <c r="I66" s="190">
        <v>-3195150.28</v>
      </c>
      <c r="J66" s="190">
        <v>277466.98</v>
      </c>
      <c r="K66" s="190">
        <v>-290180.08</v>
      </c>
      <c r="L66" s="190">
        <v>-91253.62</v>
      </c>
      <c r="M66" s="190">
        <v>-2683014.21</v>
      </c>
      <c r="N66" s="190">
        <v>-572371.41</v>
      </c>
      <c r="O66" s="190">
        <v>-570026.65</v>
      </c>
      <c r="P66" s="190">
        <v>-105154.14</v>
      </c>
      <c r="Q66" s="190">
        <v>3103152.35</v>
      </c>
      <c r="R66" s="190">
        <v>1780929.72</v>
      </c>
      <c r="S66" s="190">
        <v>2223522.83</v>
      </c>
      <c r="T66" s="190">
        <v>-25419.65</v>
      </c>
      <c r="U66" s="190">
        <v>1097839.6499999999</v>
      </c>
      <c r="V66" s="190">
        <v>6194869.6900000004</v>
      </c>
      <c r="W66" s="190">
        <v>-626489.31000000006</v>
      </c>
      <c r="X66" s="190">
        <v>-326795.33</v>
      </c>
      <c r="Y66" s="190">
        <v>23437628.18</v>
      </c>
      <c r="Z66" s="190">
        <v>20512804.079999998</v>
      </c>
      <c r="AA66" s="190">
        <v>20512804.079999998</v>
      </c>
      <c r="AB66" s="190">
        <v>-381233.82</v>
      </c>
      <c r="AC66" s="190">
        <v>271412.40000000002</v>
      </c>
      <c r="AD66" s="190">
        <v>0</v>
      </c>
      <c r="AE66" s="190">
        <v>0</v>
      </c>
      <c r="AF66" s="190">
        <v>0</v>
      </c>
      <c r="AG66" s="190">
        <v>-4447</v>
      </c>
      <c r="AH66" s="190">
        <v>0</v>
      </c>
      <c r="AI66" s="190">
        <v>0</v>
      </c>
      <c r="AJ66" s="190">
        <v>0</v>
      </c>
      <c r="AK66" s="190">
        <v>-1213497.95</v>
      </c>
      <c r="AL66" s="190">
        <v>-17593.53</v>
      </c>
      <c r="AM66" s="190">
        <v>-194.43</v>
      </c>
      <c r="AN66" s="190">
        <v>0</v>
      </c>
      <c r="AO66" s="190">
        <v>62139.56</v>
      </c>
      <c r="AP66" s="190">
        <v>-173457.86</v>
      </c>
      <c r="AQ66" s="190">
        <v>-173457.86</v>
      </c>
      <c r="AR66" s="190">
        <v>0</v>
      </c>
      <c r="AS66" s="190">
        <v>-1587107.41</v>
      </c>
      <c r="AT66" s="190">
        <v>-28551.66</v>
      </c>
      <c r="AU66" s="190">
        <v>-28551.66</v>
      </c>
      <c r="AV66" s="190">
        <v>-2954.95</v>
      </c>
      <c r="AW66" s="190">
        <v>-11639638.17</v>
      </c>
      <c r="AX66" s="190">
        <v>25762.83</v>
      </c>
      <c r="AY66" s="190">
        <v>4179.46</v>
      </c>
      <c r="AZ66" s="190">
        <v>-3414.68</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4254059.6300000008</v>
      </c>
      <c r="C67" s="4">
        <f t="shared" ref="C67:BN67" si="67">C65-C66</f>
        <v>456739.09000000032</v>
      </c>
      <c r="D67" s="4">
        <f t="shared" si="67"/>
        <v>456707.16000000003</v>
      </c>
      <c r="E67" s="4">
        <f t="shared" si="67"/>
        <v>7966691.629999999</v>
      </c>
      <c r="F67" s="4">
        <f t="shared" si="67"/>
        <v>7938432.0299999993</v>
      </c>
      <c r="G67" s="4">
        <f t="shared" si="67"/>
        <v>2241062.17</v>
      </c>
      <c r="H67" s="4">
        <f t="shared" si="67"/>
        <v>139623.92000000001</v>
      </c>
      <c r="I67" s="4">
        <f t="shared" si="67"/>
        <v>7550143.3200000003</v>
      </c>
      <c r="J67" s="4">
        <f t="shared" si="67"/>
        <v>5576394.9600000009</v>
      </c>
      <c r="K67" s="4">
        <f t="shared" si="67"/>
        <v>596164.38</v>
      </c>
      <c r="L67" s="4">
        <f t="shared" si="67"/>
        <v>0</v>
      </c>
      <c r="M67" s="4">
        <f t="shared" si="67"/>
        <v>425958504.00999999</v>
      </c>
      <c r="N67" s="4">
        <f t="shared" si="67"/>
        <v>237040000</v>
      </c>
      <c r="O67" s="4">
        <f t="shared" si="67"/>
        <v>237040000</v>
      </c>
      <c r="P67" s="4">
        <f t="shared" si="67"/>
        <v>0</v>
      </c>
      <c r="Q67" s="4">
        <f t="shared" si="67"/>
        <v>135427183.44</v>
      </c>
      <c r="R67" s="4">
        <f t="shared" si="67"/>
        <v>19795241.850000001</v>
      </c>
      <c r="S67" s="4">
        <f t="shared" si="67"/>
        <v>20000000</v>
      </c>
      <c r="T67" s="4">
        <f t="shared" si="67"/>
        <v>0</v>
      </c>
      <c r="U67" s="4">
        <f t="shared" si="67"/>
        <v>108996379.86</v>
      </c>
      <c r="V67" s="4">
        <f t="shared" si="67"/>
        <v>108996379.86</v>
      </c>
      <c r="W67" s="4">
        <f t="shared" si="67"/>
        <v>108996379.86</v>
      </c>
      <c r="X67" s="4">
        <f t="shared" si="67"/>
        <v>0</v>
      </c>
      <c r="Y67" s="4">
        <f t="shared" si="67"/>
        <v>100000000</v>
      </c>
      <c r="Z67" s="4">
        <f t="shared" si="67"/>
        <v>106212696.22</v>
      </c>
      <c r="AA67" s="4">
        <f t="shared" si="67"/>
        <v>100000000</v>
      </c>
      <c r="AB67" s="4">
        <f t="shared" si="67"/>
        <v>0</v>
      </c>
      <c r="AC67" s="4">
        <f t="shared" si="67"/>
        <v>80000901.969999999</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-7173.820000000007</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-60624.99</v>
      </c>
      <c r="BA67" s="4">
        <f t="shared" si="67"/>
        <v>-911904.98</v>
      </c>
      <c r="BB67" s="4">
        <f t="shared" si="67"/>
        <v>-887736.38</v>
      </c>
      <c r="BC67" s="4">
        <f t="shared" si="67"/>
        <v>-878622.99</v>
      </c>
      <c r="BD67" s="4">
        <f t="shared" si="67"/>
        <v>-354779.02</v>
      </c>
      <c r="BE67" s="4">
        <f t="shared" si="67"/>
        <v>567973.48</v>
      </c>
      <c r="BF67" s="4">
        <f t="shared" si="67"/>
        <v>1300643.3899999999</v>
      </c>
      <c r="BG67" s="4">
        <f t="shared" si="67"/>
        <v>1384791.66</v>
      </c>
      <c r="BH67" s="4">
        <f t="shared" si="67"/>
        <v>2497.09</v>
      </c>
      <c r="BI67" s="4">
        <f t="shared" si="67"/>
        <v>1902213.52</v>
      </c>
      <c r="BJ67" s="4">
        <f t="shared" si="67"/>
        <v>-210686.6</v>
      </c>
      <c r="BK67" s="4">
        <f t="shared" si="67"/>
        <v>-264505.2</v>
      </c>
      <c r="BL67" s="4">
        <f t="shared" si="67"/>
        <v>0</v>
      </c>
      <c r="BM67" s="4">
        <f t="shared" si="67"/>
        <v>-104270.22</v>
      </c>
      <c r="BN67" s="4">
        <f t="shared" si="67"/>
        <v>-49635.11</v>
      </c>
      <c r="BO67" s="4">
        <f t="shared" ref="BO67:CJ67" si="68">BO65-BO66</f>
        <v>-49635.11</v>
      </c>
      <c r="BP67" s="4">
        <f t="shared" si="68"/>
        <v>0</v>
      </c>
      <c r="BQ67" s="4">
        <f t="shared" si="68"/>
        <v>12094568.43</v>
      </c>
      <c r="BR67" s="4">
        <f t="shared" si="68"/>
        <v>4899103.54</v>
      </c>
      <c r="BS67" s="4">
        <f t="shared" si="68"/>
        <v>2253890.35</v>
      </c>
      <c r="BT67" s="4">
        <f t="shared" si="68"/>
        <v>341696.84</v>
      </c>
      <c r="BU67" s="4">
        <f t="shared" si="68"/>
        <v>6305282.4699999997</v>
      </c>
      <c r="BV67" s="4">
        <f t="shared" si="68"/>
        <v>4561536.82</v>
      </c>
      <c r="BW67" s="4">
        <f t="shared" si="68"/>
        <v>3813819.28</v>
      </c>
      <c r="BX67" s="4">
        <f t="shared" si="68"/>
        <v>566055.03</v>
      </c>
      <c r="BY67" s="4">
        <f t="shared" si="68"/>
        <v>2892968</v>
      </c>
      <c r="BZ67" s="4">
        <f t="shared" si="68"/>
        <v>13749</v>
      </c>
      <c r="CA67" s="4">
        <f t="shared" si="68"/>
        <v>11700</v>
      </c>
      <c r="CB67" s="4">
        <f t="shared" si="68"/>
        <v>5800</v>
      </c>
      <c r="CC67" s="4">
        <f t="shared" si="68"/>
        <v>20113.599999999999</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132405325.75</v>
      </c>
      <c r="C68" s="190">
        <v>96175735.530000001</v>
      </c>
      <c r="D68" s="190">
        <v>57079051.909999996</v>
      </c>
      <c r="E68" s="190">
        <v>133010164.51000001</v>
      </c>
      <c r="F68" s="190">
        <v>91218383.950000003</v>
      </c>
      <c r="G68" s="190">
        <v>59674206.770000003</v>
      </c>
      <c r="H68" s="190">
        <v>29688314.84</v>
      </c>
      <c r="I68" s="190">
        <v>180702801.62</v>
      </c>
      <c r="J68" s="190">
        <v>119914436.59</v>
      </c>
      <c r="K68" s="190">
        <v>84700003.180000007</v>
      </c>
      <c r="L68" s="190">
        <v>37178824.32</v>
      </c>
      <c r="M68" s="190">
        <v>214889991.12</v>
      </c>
      <c r="N68" s="190">
        <v>170275102.06</v>
      </c>
      <c r="O68" s="190">
        <v>115283397.93000001</v>
      </c>
      <c r="P68" s="190">
        <v>55818953.710000001</v>
      </c>
      <c r="Q68" s="190">
        <v>110833108.98</v>
      </c>
      <c r="R68" s="190">
        <v>78504472.430000007</v>
      </c>
      <c r="S68" s="190">
        <v>49328185.32</v>
      </c>
      <c r="T68" s="190">
        <v>22459256.870000001</v>
      </c>
      <c r="U68" s="190">
        <v>97101975.519999996</v>
      </c>
      <c r="V68" s="190">
        <v>75258285.290000007</v>
      </c>
      <c r="W68" s="190">
        <v>45704366.390000001</v>
      </c>
      <c r="X68" s="190">
        <v>17671218.649999999</v>
      </c>
      <c r="Y68" s="190">
        <v>21723515.82</v>
      </c>
      <c r="Z68" s="190">
        <v>7106142.9100000001</v>
      </c>
      <c r="AA68" s="190">
        <v>4111479.1</v>
      </c>
      <c r="AB68" s="190">
        <v>2233963.2200000002</v>
      </c>
      <c r="AC68" s="190">
        <v>6326568.6900000004</v>
      </c>
      <c r="AD68" s="190">
        <v>35397490.259999998</v>
      </c>
      <c r="AE68" s="190">
        <v>24007765.870000001</v>
      </c>
      <c r="AF68" s="190">
        <v>11389332.460000001</v>
      </c>
      <c r="AG68" s="190">
        <v>26985812.25</v>
      </c>
      <c r="AH68" s="190">
        <v>34868054.049999997</v>
      </c>
      <c r="AI68" s="190">
        <v>23479568.960000001</v>
      </c>
      <c r="AJ68" s="190">
        <v>11390260.09</v>
      </c>
      <c r="AK68" s="190">
        <v>32440983.25</v>
      </c>
      <c r="AL68" s="190">
        <v>40799550.640000001</v>
      </c>
      <c r="AM68" s="190">
        <v>27472833.149999999</v>
      </c>
      <c r="AN68" s="190">
        <v>13613264.17</v>
      </c>
      <c r="AO68" s="190">
        <v>33749652.829999998</v>
      </c>
      <c r="AP68" s="190">
        <v>37462416.899999999</v>
      </c>
      <c r="AQ68" s="190">
        <v>23851444.739999998</v>
      </c>
      <c r="AR68" s="190">
        <v>12466949.029999999</v>
      </c>
      <c r="AS68" s="190">
        <v>22982577.600000001</v>
      </c>
      <c r="AT68" s="190">
        <v>38982126.560000002</v>
      </c>
      <c r="AU68" s="190">
        <v>25884358.02</v>
      </c>
      <c r="AV68" s="190">
        <v>12787625.720000001</v>
      </c>
      <c r="AW68" s="190">
        <v>67366465.069999993</v>
      </c>
      <c r="AX68" s="190">
        <v>39429861.75</v>
      </c>
      <c r="AY68" s="190">
        <v>26292277.32</v>
      </c>
      <c r="AZ68" s="190">
        <v>13146526.779999999</v>
      </c>
      <c r="BA68" s="190">
        <v>59295488.979999997</v>
      </c>
      <c r="BB68" s="190">
        <v>35420815</v>
      </c>
      <c r="BC68" s="190">
        <v>22130140.620000001</v>
      </c>
      <c r="BD68" s="190">
        <v>11993005.6</v>
      </c>
      <c r="BE68" s="190">
        <v>30181857.379999999</v>
      </c>
      <c r="BF68" s="190">
        <v>15530678.369999999</v>
      </c>
      <c r="BG68" s="190">
        <v>10074964.24</v>
      </c>
      <c r="BH68" s="190">
        <v>4653313.3600000003</v>
      </c>
      <c r="BI68" s="190">
        <v>33693951.030000001</v>
      </c>
      <c r="BJ68" s="190">
        <v>21583758.609999999</v>
      </c>
      <c r="BK68" s="190">
        <v>11383644.15</v>
      </c>
      <c r="BL68" s="190">
        <v>5411583</v>
      </c>
      <c r="BM68" s="190">
        <v>24243151.66</v>
      </c>
      <c r="BN68" s="190">
        <v>12670906.109999999</v>
      </c>
      <c r="BO68" s="190">
        <v>8177269.9299999997</v>
      </c>
      <c r="BP68" s="190">
        <v>1941658.56</v>
      </c>
      <c r="BQ68" s="190">
        <v>7655701.8600000003</v>
      </c>
      <c r="BR68" s="190">
        <v>1526434.55</v>
      </c>
      <c r="BS68" s="190">
        <v>4688294.22</v>
      </c>
      <c r="BT68" s="190">
        <v>2147488.6800000002</v>
      </c>
      <c r="BU68" s="190">
        <v>3027137.15</v>
      </c>
      <c r="BV68" s="190">
        <v>1667226.03</v>
      </c>
      <c r="BW68" s="190">
        <v>3157976.51</v>
      </c>
      <c r="BX68" s="190">
        <v>1695577.89</v>
      </c>
      <c r="BY68" s="190">
        <v>3726826.52</v>
      </c>
      <c r="BZ68" s="190">
        <v>1646675.07</v>
      </c>
      <c r="CA68" s="190">
        <v>6168499.3499999996</v>
      </c>
      <c r="CB68" s="190">
        <v>8294361.9400000004</v>
      </c>
      <c r="CC68" s="190">
        <v>6437829.6600000001</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6155930735.7200003</v>
      </c>
      <c r="C70" s="190">
        <v>6095446838.6599998</v>
      </c>
      <c r="D70" s="190">
        <v>6264823789.4399996</v>
      </c>
      <c r="E70" s="190">
        <v>6352383930.3800001</v>
      </c>
      <c r="F70" s="190">
        <v>6447034863.5</v>
      </c>
      <c r="G70" s="190">
        <v>6486478392.71</v>
      </c>
      <c r="H70" s="190">
        <v>6437598842.7399998</v>
      </c>
      <c r="I70" s="190">
        <v>6622168000.7600002</v>
      </c>
      <c r="J70" s="190">
        <v>6119169497.5500002</v>
      </c>
      <c r="K70" s="190">
        <v>6275809860.8500004</v>
      </c>
      <c r="L70" s="190">
        <v>3423046573.1700001</v>
      </c>
      <c r="M70" s="190">
        <v>3013768304.3400002</v>
      </c>
      <c r="N70" s="190">
        <v>3103130003.5100002</v>
      </c>
      <c r="O70" s="190">
        <v>3164838587.5599999</v>
      </c>
      <c r="P70" s="190">
        <v>3007216286.5100002</v>
      </c>
      <c r="Q70" s="190">
        <v>3071108762.3499999</v>
      </c>
      <c r="R70" s="190">
        <v>1965484173.4400001</v>
      </c>
      <c r="S70" s="190">
        <v>1978688218.71</v>
      </c>
      <c r="T70" s="190">
        <v>1964208569.45</v>
      </c>
      <c r="U70" s="190">
        <v>1943003746.25</v>
      </c>
      <c r="V70" s="190">
        <v>1506748270.3099999</v>
      </c>
      <c r="W70" s="190">
        <v>1460877622.8499999</v>
      </c>
      <c r="X70" s="190">
        <v>1404497137.5799999</v>
      </c>
      <c r="Y70" s="190">
        <v>1391588016.6300001</v>
      </c>
      <c r="Z70" s="190">
        <v>1107801224.8800001</v>
      </c>
      <c r="AA70" s="190">
        <v>1077483499.3099999</v>
      </c>
      <c r="AB70" s="190">
        <v>955945458.15999997</v>
      </c>
      <c r="AC70" s="190">
        <v>977503547.96000004</v>
      </c>
      <c r="AD70" s="190">
        <v>-1055921416.9</v>
      </c>
      <c r="AE70" s="190">
        <v>-1043828663</v>
      </c>
      <c r="AF70" s="190">
        <v>-1031305764.45</v>
      </c>
      <c r="AG70" s="190">
        <v>-1024826358.79</v>
      </c>
      <c r="AH70" s="190">
        <v>-1038258740.47</v>
      </c>
      <c r="AI70" s="190">
        <v>-1025834103.58</v>
      </c>
      <c r="AJ70" s="190">
        <v>-1024669202.66</v>
      </c>
      <c r="AK70" s="190">
        <v>-1029790554.1900001</v>
      </c>
      <c r="AL70" s="190">
        <v>-1076570214.1500001</v>
      </c>
      <c r="AM70" s="190">
        <v>-1060262708.33</v>
      </c>
      <c r="AN70" s="190">
        <v>-1035982494.5</v>
      </c>
      <c r="AO70" s="190">
        <v>-1037217502.96</v>
      </c>
      <c r="AP70" s="190">
        <v>-1065219378.6799999</v>
      </c>
      <c r="AQ70" s="190">
        <v>-984544643.92999995</v>
      </c>
      <c r="AR70" s="190">
        <v>-1018324662.37</v>
      </c>
      <c r="AS70" s="190">
        <v>-1040437778.6799999</v>
      </c>
      <c r="AT70" s="190">
        <v>-1114806971.4300001</v>
      </c>
      <c r="AU70" s="190">
        <v>-1095886891.6300001</v>
      </c>
      <c r="AV70" s="190">
        <v>-1082317378.9300001</v>
      </c>
      <c r="AW70" s="190">
        <v>-1071407797.1</v>
      </c>
      <c r="AX70" s="190">
        <v>-364409975.44999999</v>
      </c>
      <c r="AY70" s="190">
        <v>-350373819.86000001</v>
      </c>
      <c r="AZ70" s="190">
        <v>-322803201.73000002</v>
      </c>
      <c r="BA70" s="190">
        <v>-301003049.14999998</v>
      </c>
      <c r="BB70" s="190">
        <v>69519586.5</v>
      </c>
      <c r="BC70" s="190">
        <v>86294922.359999999</v>
      </c>
      <c r="BD70" s="190">
        <v>123359055.77</v>
      </c>
      <c r="BE70" s="190">
        <v>142606280.47999999</v>
      </c>
      <c r="BF70" s="190">
        <v>320184679.37</v>
      </c>
      <c r="BG70" s="190">
        <v>325447646.62</v>
      </c>
      <c r="BH70" s="190">
        <v>323528473.12</v>
      </c>
      <c r="BI70" s="190">
        <v>321803981.69</v>
      </c>
      <c r="BJ70" s="190">
        <v>334934941.17000002</v>
      </c>
      <c r="BK70" s="190">
        <v>331874559.22000003</v>
      </c>
      <c r="BL70" s="190">
        <v>325278086.61000001</v>
      </c>
      <c r="BM70" s="190">
        <v>324206521.52999997</v>
      </c>
      <c r="BN70" s="190">
        <v>318051094.69999999</v>
      </c>
      <c r="BO70" s="190">
        <v>318842550.87</v>
      </c>
      <c r="BP70" s="190">
        <v>309582857.23000002</v>
      </c>
      <c r="BQ70" s="190">
        <v>307460264.47000003</v>
      </c>
      <c r="BR70" s="190">
        <v>292915481.11000001</v>
      </c>
      <c r="BS70" s="190">
        <v>292229523.38</v>
      </c>
      <c r="BT70" s="190">
        <v>279791032.27999997</v>
      </c>
      <c r="BU70" s="190">
        <v>259836913.33000001</v>
      </c>
      <c r="BV70" s="190">
        <v>179489695.34999999</v>
      </c>
      <c r="BW70" s="190">
        <v>152981451.19</v>
      </c>
      <c r="BX70" s="190">
        <v>139456586.28</v>
      </c>
      <c r="BY70" s="190">
        <v>132441445.2</v>
      </c>
      <c r="BZ70" s="190">
        <v>41132336.350000001</v>
      </c>
      <c r="CA70" s="190">
        <v>35592429.560000002</v>
      </c>
      <c r="CB70" s="190">
        <v>30761737.379999999</v>
      </c>
      <c r="CC70" s="190">
        <v>26488366.129999999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M41" sqref="M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6" width="21.5546875" hidden="1" customWidth="1"/>
    <col min="7" max="8" width="20.33203125" hidden="1" customWidth="1"/>
    <col min="9" max="9" width="22.5546875" bestFit="1" customWidth="1"/>
    <col min="10" max="12" width="20.33203125" hidden="1" customWidth="1"/>
    <col min="13" max="13" width="22.5546875" bestFit="1" customWidth="1"/>
    <col min="14" max="14" width="20.33203125" hidden="1" customWidth="1"/>
    <col min="15" max="15" width="21.5546875" hidden="1" customWidth="1"/>
    <col min="16" max="16" width="20.33203125" hidden="1" customWidth="1"/>
    <col min="17" max="17" width="22.5546875" bestFit="1" customWidth="1"/>
    <col min="18" max="20" width="20.33203125" hidden="1" customWidth="1"/>
    <col min="21" max="21" width="22.5546875" bestFit="1" customWidth="1"/>
    <col min="22" max="22" width="20.33203125" hidden="1" customWidth="1"/>
    <col min="23" max="24" width="19.33203125" hidden="1" customWidth="1"/>
    <col min="25" max="25" width="22.5546875" bestFit="1" customWidth="1"/>
    <col min="26" max="28" width="19.33203125" hidden="1" customWidth="1"/>
    <col min="29" max="29" width="19.33203125" bestFit="1" customWidth="1"/>
    <col min="30" max="30" width="19.33203125" hidden="1" customWidth="1"/>
    <col min="31" max="32" width="18.109375" hidden="1" customWidth="1"/>
    <col min="33" max="33" width="18.109375" bestFit="1" customWidth="1"/>
    <col min="34" max="36" width="18.109375" hidden="1" customWidth="1"/>
    <col min="37" max="37" width="18.109375" bestFit="1" customWidth="1"/>
    <col min="38" max="40" width="19.33203125" hidden="1" customWidth="1"/>
    <col min="41" max="41" width="19.33203125" bestFit="1" customWidth="1"/>
    <col min="42" max="44" width="19.33203125" hidden="1" customWidth="1"/>
    <col min="45" max="45" width="19.33203125" bestFit="1" customWidth="1"/>
    <col min="46" max="47" width="17" hidden="1" customWidth="1"/>
    <col min="48" max="48" width="18.109375" hidden="1" customWidth="1"/>
    <col min="49" max="49" width="19.33203125" bestFit="1" customWidth="1"/>
    <col min="50" max="51" width="17" hidden="1" customWidth="1"/>
    <col min="52" max="52" width="18.109375" hidden="1" customWidth="1"/>
    <col min="53" max="53" width="18.109375" bestFit="1" customWidth="1"/>
    <col min="54" max="56" width="17" hidden="1" customWidth="1"/>
    <col min="57" max="57" width="18.109375" bestFit="1" customWidth="1"/>
    <col min="58" max="59" width="18.109375" hidden="1" customWidth="1"/>
    <col min="60" max="60" width="19.33203125" hidden="1" customWidth="1"/>
    <col min="61" max="61" width="18.109375" bestFit="1" customWidth="1"/>
    <col min="62" max="64" width="18.109375" hidden="1" customWidth="1"/>
    <col min="65" max="65" width="18.109375" bestFit="1" customWidth="1"/>
    <col min="66" max="66" width="18.109375" hidden="1" customWidth="1"/>
    <col min="67" max="67" width="18.109375" bestFit="1" customWidth="1"/>
    <col min="68" max="68" width="18.109375" hidden="1" customWidth="1"/>
    <col min="69" max="69" width="18.109375" bestFit="1" customWidth="1"/>
    <col min="70" max="70" width="18.109375" hidden="1" customWidth="1"/>
    <col min="71" max="71" width="17" bestFit="1" customWidth="1"/>
    <col min="72" max="72" width="18.109375" bestFit="1" customWidth="1"/>
    <col min="73" max="74" width="17" hidden="1" customWidth="1"/>
  </cols>
  <sheetData>
    <row r="1" spans="1:74" s="6" customFormat="1" x14ac:dyDescent="0.25">
      <c r="A1" s="104">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5" customFormat="1" x14ac:dyDescent="0.25">
      <c r="A2" s="46" t="s">
        <v>292</v>
      </c>
    </row>
    <row r="3" spans="1:74" s="26" customFormat="1" x14ac:dyDescent="0.25">
      <c r="A3" s="17" t="s">
        <v>320</v>
      </c>
      <c r="B3" s="190">
        <v>207164</v>
      </c>
      <c r="C3" s="190">
        <v>207164</v>
      </c>
      <c r="D3" s="190">
        <v>5000</v>
      </c>
      <c r="E3" s="190">
        <v>3629.17</v>
      </c>
      <c r="F3" s="190">
        <v>2299.17</v>
      </c>
      <c r="G3" s="190">
        <v>2005</v>
      </c>
      <c r="H3" s="190">
        <v>0</v>
      </c>
      <c r="I3" s="190">
        <v>384721.33</v>
      </c>
      <c r="J3" s="190">
        <v>6929.41</v>
      </c>
      <c r="K3" s="190">
        <v>6</v>
      </c>
      <c r="L3" s="190">
        <v>0</v>
      </c>
      <c r="M3" s="190">
        <v>973873.73</v>
      </c>
      <c r="N3" s="190">
        <v>16559.96</v>
      </c>
      <c r="O3" s="190">
        <v>5108.8500000000004</v>
      </c>
      <c r="P3" s="190">
        <v>5108.8500000000004</v>
      </c>
      <c r="Q3" s="190">
        <v>112455.11</v>
      </c>
      <c r="R3" s="190">
        <v>110006</v>
      </c>
      <c r="S3" s="190">
        <v>21905</v>
      </c>
      <c r="T3" s="190">
        <v>19265</v>
      </c>
      <c r="U3" s="190">
        <v>1138834.79</v>
      </c>
      <c r="V3" s="190">
        <v>854.7</v>
      </c>
      <c r="W3" s="190">
        <v>0</v>
      </c>
      <c r="X3" s="190">
        <v>0</v>
      </c>
      <c r="Y3" s="190">
        <v>465374.17</v>
      </c>
      <c r="Z3" s="190">
        <v>55900</v>
      </c>
      <c r="AA3" s="190">
        <v>55900</v>
      </c>
      <c r="AB3" s="190">
        <v>0</v>
      </c>
      <c r="AC3" s="190">
        <v>66243</v>
      </c>
      <c r="AD3" s="190">
        <v>0</v>
      </c>
      <c r="AE3" s="190">
        <v>0</v>
      </c>
      <c r="AF3" s="190">
        <v>0</v>
      </c>
      <c r="AG3" s="190">
        <v>0</v>
      </c>
      <c r="AH3" s="190">
        <v>0</v>
      </c>
      <c r="AI3" s="190">
        <v>0</v>
      </c>
      <c r="AJ3" s="190">
        <v>0</v>
      </c>
      <c r="AK3" s="190">
        <v>324440</v>
      </c>
      <c r="AL3" s="190">
        <v>324440</v>
      </c>
      <c r="AM3" s="190">
        <v>324440</v>
      </c>
      <c r="AN3" s="190">
        <v>0</v>
      </c>
      <c r="AO3" s="190">
        <v>-28838.15</v>
      </c>
      <c r="AP3" s="190">
        <v>37300</v>
      </c>
      <c r="AQ3" s="190">
        <v>37300</v>
      </c>
      <c r="AR3" s="190">
        <v>0</v>
      </c>
      <c r="AS3" s="190">
        <v>51414.8</v>
      </c>
      <c r="AT3" s="190">
        <v>6403</v>
      </c>
      <c r="AU3" s="190">
        <v>0</v>
      </c>
      <c r="AV3" s="190">
        <v>0</v>
      </c>
      <c r="AW3" s="190">
        <v>324000</v>
      </c>
      <c r="AX3" s="190">
        <v>0</v>
      </c>
      <c r="AY3" s="190">
        <v>0</v>
      </c>
      <c r="AZ3" s="190">
        <v>0</v>
      </c>
      <c r="BA3" s="190">
        <v>13000</v>
      </c>
      <c r="BB3" s="190">
        <v>0</v>
      </c>
      <c r="BC3" s="190">
        <v>0</v>
      </c>
      <c r="BD3" s="190">
        <v>0</v>
      </c>
      <c r="BE3" s="190">
        <v>0</v>
      </c>
      <c r="BF3" s="190">
        <v>0</v>
      </c>
      <c r="BG3" s="190">
        <v>0</v>
      </c>
      <c r="BH3" s="190">
        <v>0</v>
      </c>
      <c r="BI3" s="190">
        <v>15600</v>
      </c>
      <c r="BJ3" s="190">
        <v>15000</v>
      </c>
      <c r="BK3" s="190">
        <v>15000</v>
      </c>
      <c r="BL3" s="190">
        <v>15000</v>
      </c>
      <c r="BM3" s="190">
        <v>20780</v>
      </c>
      <c r="BN3" s="190">
        <v>20780</v>
      </c>
      <c r="BO3" s="190">
        <v>14612840</v>
      </c>
      <c r="BP3" s="190">
        <v>1500</v>
      </c>
      <c r="BQ3" s="190">
        <v>14043996.07</v>
      </c>
      <c r="BR3" s="190">
        <v>0</v>
      </c>
      <c r="BS3" s="190">
        <v>26020</v>
      </c>
      <c r="BT3" s="190">
        <v>260</v>
      </c>
      <c r="BU3" s="190">
        <v>0</v>
      </c>
      <c r="BV3" s="190">
        <v>0</v>
      </c>
    </row>
    <row r="4" spans="1:74" s="26" customFormat="1" x14ac:dyDescent="0.25">
      <c r="A4" s="17" t="s">
        <v>304</v>
      </c>
      <c r="B4" s="190">
        <v>431792.66</v>
      </c>
      <c r="C4" s="190">
        <v>356212.2</v>
      </c>
      <c r="D4" s="190">
        <v>188652.9</v>
      </c>
      <c r="E4" s="190">
        <v>14514703.33</v>
      </c>
      <c r="F4" s="190">
        <v>5640513.71</v>
      </c>
      <c r="G4" s="190">
        <v>2932364.64</v>
      </c>
      <c r="H4" s="190">
        <v>336675.5</v>
      </c>
      <c r="I4" s="190">
        <v>5920735.6200000001</v>
      </c>
      <c r="J4" s="190">
        <v>289445.83</v>
      </c>
      <c r="K4" s="190">
        <v>662114.93999999994</v>
      </c>
      <c r="L4" s="190">
        <v>45393.2</v>
      </c>
      <c r="M4" s="190">
        <v>10004586.75</v>
      </c>
      <c r="N4" s="190">
        <v>2583012.23</v>
      </c>
      <c r="O4" s="190">
        <v>1311919.3500000001</v>
      </c>
      <c r="P4" s="190">
        <v>1126461.1399999999</v>
      </c>
      <c r="Q4" s="190">
        <v>11596525.050000001</v>
      </c>
      <c r="R4" s="190">
        <v>8309476.5199999996</v>
      </c>
      <c r="S4" s="190">
        <v>7958825.3099999996</v>
      </c>
      <c r="T4" s="190">
        <v>1232036.43</v>
      </c>
      <c r="U4" s="190">
        <v>155535371.81999999</v>
      </c>
      <c r="V4" s="190">
        <v>1319886.1100000001</v>
      </c>
      <c r="W4" s="190">
        <v>911479.49</v>
      </c>
      <c r="X4" s="190">
        <v>190396.49</v>
      </c>
      <c r="Y4" s="190">
        <v>49973510.32</v>
      </c>
      <c r="Z4" s="190">
        <v>1161306.8500000001</v>
      </c>
      <c r="AA4" s="190">
        <v>724818.15</v>
      </c>
      <c r="AB4" s="190">
        <v>546914.65</v>
      </c>
      <c r="AC4" s="190">
        <v>41192604.799999997</v>
      </c>
      <c r="AD4" s="190">
        <v>2599</v>
      </c>
      <c r="AE4" s="190">
        <v>0</v>
      </c>
      <c r="AF4" s="190">
        <v>0</v>
      </c>
      <c r="AG4" s="190">
        <v>0</v>
      </c>
      <c r="AH4" s="190">
        <v>0</v>
      </c>
      <c r="AI4" s="190">
        <v>0</v>
      </c>
      <c r="AJ4" s="190">
        <v>0</v>
      </c>
      <c r="AK4" s="190">
        <v>0</v>
      </c>
      <c r="AL4" s="190">
        <v>0</v>
      </c>
      <c r="AM4" s="190">
        <v>0</v>
      </c>
      <c r="AN4" s="190">
        <v>0</v>
      </c>
      <c r="AO4" s="190">
        <v>12000</v>
      </c>
      <c r="AP4" s="190">
        <v>14360</v>
      </c>
      <c r="AQ4" s="190">
        <v>14360</v>
      </c>
      <c r="AR4" s="190">
        <v>12000</v>
      </c>
      <c r="AS4" s="190">
        <v>1275023.3700000001</v>
      </c>
      <c r="AT4" s="190">
        <v>1005547.48</v>
      </c>
      <c r="AU4" s="190">
        <v>398794.48</v>
      </c>
      <c r="AV4" s="190">
        <v>346350</v>
      </c>
      <c r="AW4" s="190">
        <v>352674.98</v>
      </c>
      <c r="AX4" s="190">
        <v>204203.33</v>
      </c>
      <c r="AY4" s="190">
        <v>174563.33</v>
      </c>
      <c r="AZ4" s="190">
        <v>59006</v>
      </c>
      <c r="BA4" s="190">
        <v>215697.33</v>
      </c>
      <c r="BB4" s="190">
        <v>104864</v>
      </c>
      <c r="BC4" s="190">
        <v>70100</v>
      </c>
      <c r="BD4" s="190">
        <v>34200</v>
      </c>
      <c r="BE4" s="190">
        <v>371291.79</v>
      </c>
      <c r="BF4" s="190">
        <v>324530.88</v>
      </c>
      <c r="BG4" s="190">
        <v>333187.88</v>
      </c>
      <c r="BH4" s="190">
        <v>0</v>
      </c>
      <c r="BI4" s="190">
        <v>1236280.6000000001</v>
      </c>
      <c r="BJ4" s="190">
        <v>545714</v>
      </c>
      <c r="BK4" s="190">
        <v>97964</v>
      </c>
      <c r="BL4" s="190">
        <v>82864</v>
      </c>
      <c r="BM4" s="190">
        <v>1062565.19</v>
      </c>
      <c r="BN4" s="190">
        <v>1885797.23</v>
      </c>
      <c r="BO4" s="190">
        <v>8937241.0199999996</v>
      </c>
      <c r="BP4" s="190">
        <v>869152.2</v>
      </c>
      <c r="BQ4" s="190">
        <v>2002883.21</v>
      </c>
      <c r="BR4" s="190">
        <v>862941.88</v>
      </c>
      <c r="BS4" s="190">
        <v>26868082</v>
      </c>
      <c r="BT4" s="190">
        <v>49650300.840000004</v>
      </c>
      <c r="BU4" s="190">
        <v>0</v>
      </c>
      <c r="BV4" s="190">
        <v>0</v>
      </c>
    </row>
    <row r="5" spans="1:74" s="47" customFormat="1" x14ac:dyDescent="0.25">
      <c r="A5" s="135" t="s">
        <v>295</v>
      </c>
      <c r="E5" s="47">
        <f>E4-E3</f>
        <v>14511074.16</v>
      </c>
      <c r="F5" s="47">
        <f t="shared" ref="F5:AR5" si="0">F4-F3</f>
        <v>5638214.54</v>
      </c>
      <c r="G5" s="47">
        <f t="shared" si="0"/>
        <v>2930359.64</v>
      </c>
      <c r="H5" s="47">
        <f t="shared" si="0"/>
        <v>336675.5</v>
      </c>
      <c r="I5" s="47">
        <f t="shared" si="0"/>
        <v>5536014.29</v>
      </c>
      <c r="J5" s="47">
        <f t="shared" si="0"/>
        <v>282516.42000000004</v>
      </c>
      <c r="K5" s="47">
        <f t="shared" si="0"/>
        <v>662108.93999999994</v>
      </c>
      <c r="L5" s="47">
        <f t="shared" si="0"/>
        <v>45393.2</v>
      </c>
      <c r="M5" s="47">
        <f t="shared" si="0"/>
        <v>9030713.0199999996</v>
      </c>
      <c r="N5" s="47">
        <f t="shared" si="0"/>
        <v>2566452.27</v>
      </c>
      <c r="O5" s="47">
        <f t="shared" si="0"/>
        <v>1306810.5</v>
      </c>
      <c r="P5" s="47">
        <f t="shared" si="0"/>
        <v>1121352.2899999998</v>
      </c>
      <c r="Q5" s="47">
        <f t="shared" si="0"/>
        <v>11484069.940000001</v>
      </c>
      <c r="R5" s="47">
        <f t="shared" si="0"/>
        <v>8199470.5199999996</v>
      </c>
      <c r="S5" s="47">
        <f t="shared" si="0"/>
        <v>7936920.3099999996</v>
      </c>
      <c r="T5" s="47">
        <f t="shared" si="0"/>
        <v>1212771.43</v>
      </c>
      <c r="U5" s="47">
        <f t="shared" si="0"/>
        <v>154396537.03</v>
      </c>
      <c r="V5" s="47">
        <f t="shared" si="0"/>
        <v>1319031.4100000001</v>
      </c>
      <c r="W5" s="47">
        <f t="shared" si="0"/>
        <v>911479.49</v>
      </c>
      <c r="X5" s="47">
        <f t="shared" si="0"/>
        <v>190396.49</v>
      </c>
      <c r="Y5" s="47">
        <f t="shared" si="0"/>
        <v>49508136.149999999</v>
      </c>
      <c r="Z5" s="47">
        <f t="shared" si="0"/>
        <v>1105406.8500000001</v>
      </c>
      <c r="AA5" s="47">
        <f t="shared" si="0"/>
        <v>668918.15</v>
      </c>
      <c r="AB5" s="47">
        <f t="shared" si="0"/>
        <v>546914.65</v>
      </c>
      <c r="AC5" s="47">
        <f t="shared" si="0"/>
        <v>41126361.799999997</v>
      </c>
      <c r="AD5" s="47">
        <f t="shared" si="0"/>
        <v>2599</v>
      </c>
      <c r="AE5" s="47">
        <f t="shared" si="0"/>
        <v>0</v>
      </c>
      <c r="AF5" s="47">
        <f t="shared" si="0"/>
        <v>0</v>
      </c>
      <c r="AG5" s="47">
        <f t="shared" si="0"/>
        <v>0</v>
      </c>
      <c r="AH5" s="47">
        <f t="shared" si="0"/>
        <v>0</v>
      </c>
      <c r="AI5" s="47">
        <f t="shared" si="0"/>
        <v>0</v>
      </c>
      <c r="AJ5" s="47">
        <f t="shared" si="0"/>
        <v>0</v>
      </c>
      <c r="AK5" s="47">
        <f t="shared" si="0"/>
        <v>-324440</v>
      </c>
      <c r="AL5" s="47">
        <f t="shared" si="0"/>
        <v>-324440</v>
      </c>
      <c r="AM5" s="47">
        <f t="shared" si="0"/>
        <v>-324440</v>
      </c>
      <c r="AN5" s="47">
        <f t="shared" si="0"/>
        <v>0</v>
      </c>
      <c r="AO5" s="47">
        <f t="shared" si="0"/>
        <v>40838.15</v>
      </c>
      <c r="AP5" s="47">
        <f t="shared" si="0"/>
        <v>-22940</v>
      </c>
      <c r="AQ5" s="47">
        <f t="shared" si="0"/>
        <v>-22940</v>
      </c>
      <c r="AR5" s="47">
        <f t="shared" si="0"/>
        <v>12000</v>
      </c>
    </row>
    <row r="6" spans="1:74" s="105" customFormat="1" x14ac:dyDescent="0.25">
      <c r="A6" s="136" t="s">
        <v>305</v>
      </c>
      <c r="B6" s="190">
        <v>0</v>
      </c>
      <c r="C6" s="190">
        <v>13251827.08</v>
      </c>
      <c r="D6" s="190">
        <v>0</v>
      </c>
      <c r="E6" s="190">
        <v>26263079.190000001</v>
      </c>
      <c r="F6" s="190">
        <v>0</v>
      </c>
      <c r="G6" s="190">
        <v>10613420.390000001</v>
      </c>
      <c r="H6" s="190">
        <v>0</v>
      </c>
      <c r="I6" s="190">
        <v>16134485.289999999</v>
      </c>
      <c r="J6" s="190">
        <v>0</v>
      </c>
      <c r="K6" s="190">
        <v>10650405.039999999</v>
      </c>
      <c r="L6" s="190">
        <v>0</v>
      </c>
      <c r="M6" s="190">
        <v>20494303.890000001</v>
      </c>
      <c r="N6" s="190">
        <v>0</v>
      </c>
      <c r="O6" s="190">
        <v>10348588.039999999</v>
      </c>
      <c r="P6" s="190">
        <v>0</v>
      </c>
      <c r="Q6" s="190">
        <v>26524614.739999998</v>
      </c>
      <c r="R6" s="190">
        <v>0</v>
      </c>
      <c r="S6" s="190">
        <v>12531668.810000001</v>
      </c>
      <c r="T6" s="190">
        <v>0</v>
      </c>
      <c r="U6" s="190">
        <v>16795863.77</v>
      </c>
      <c r="V6" s="190">
        <v>0</v>
      </c>
      <c r="W6" s="190">
        <v>8712578.6400000006</v>
      </c>
      <c r="X6" s="190">
        <v>0</v>
      </c>
      <c r="Y6" s="190">
        <v>14366943.42</v>
      </c>
      <c r="Z6" s="190">
        <v>0</v>
      </c>
      <c r="AA6" s="190">
        <v>7094238.5</v>
      </c>
      <c r="AB6" s="190">
        <v>0</v>
      </c>
      <c r="AC6" s="190">
        <v>13110699.82</v>
      </c>
      <c r="AD6" s="190">
        <v>0</v>
      </c>
      <c r="AE6" s="190">
        <v>467039.94</v>
      </c>
      <c r="AF6" s="190">
        <v>0</v>
      </c>
      <c r="AG6" s="190">
        <v>1015248.8</v>
      </c>
      <c r="AH6" s="190">
        <v>0</v>
      </c>
      <c r="AI6" s="190">
        <v>455175.54</v>
      </c>
      <c r="AJ6" s="190">
        <v>0</v>
      </c>
      <c r="AK6" s="190">
        <v>968585.92</v>
      </c>
      <c r="AL6" s="190">
        <v>0</v>
      </c>
      <c r="AM6" s="190">
        <v>487145.52</v>
      </c>
      <c r="AN6" s="190">
        <v>0</v>
      </c>
      <c r="AO6" s="190">
        <v>1114517.49</v>
      </c>
      <c r="AP6" s="190">
        <v>0</v>
      </c>
      <c r="AQ6" s="190">
        <v>661292.87</v>
      </c>
      <c r="AR6" s="190">
        <v>0</v>
      </c>
      <c r="AS6" s="190">
        <v>1507581.35</v>
      </c>
      <c r="AT6" s="190">
        <v>0</v>
      </c>
      <c r="AU6" s="190">
        <v>0</v>
      </c>
      <c r="AV6" s="190">
        <v>0</v>
      </c>
      <c r="AW6" s="190">
        <v>2712291.73</v>
      </c>
      <c r="AX6" s="190">
        <v>0</v>
      </c>
      <c r="AY6" s="190">
        <v>0</v>
      </c>
      <c r="AZ6" s="190">
        <v>0</v>
      </c>
      <c r="BA6" s="190">
        <v>3318185.49</v>
      </c>
      <c r="BB6" s="190">
        <v>2731089.03</v>
      </c>
      <c r="BC6" s="190">
        <v>1801821.35</v>
      </c>
      <c r="BD6" s="190">
        <v>929408.37</v>
      </c>
      <c r="BE6" s="190">
        <v>4394775.59</v>
      </c>
      <c r="BF6" s="190">
        <v>2788029.52</v>
      </c>
      <c r="BG6" s="190">
        <v>2340714.59</v>
      </c>
      <c r="BH6" s="190">
        <v>1190011.57</v>
      </c>
      <c r="BI6" s="190">
        <v>5422225.8099999996</v>
      </c>
      <c r="BJ6" s="190">
        <v>3560395.13</v>
      </c>
      <c r="BK6" s="190">
        <v>1725796.44</v>
      </c>
      <c r="BL6" s="190">
        <v>675208.26</v>
      </c>
      <c r="BM6" s="190">
        <v>4899369.3</v>
      </c>
      <c r="BN6" s="190">
        <v>2491289.4300000002</v>
      </c>
      <c r="BO6" s="190">
        <v>3102998.47</v>
      </c>
      <c r="BP6" s="190">
        <v>2005106.66</v>
      </c>
      <c r="BQ6" s="190">
        <v>3592593.68</v>
      </c>
      <c r="BR6" s="190">
        <v>1759521.42</v>
      </c>
      <c r="BS6" s="190">
        <v>2593156.67</v>
      </c>
      <c r="BT6" s="190">
        <v>2378319.8199999998</v>
      </c>
      <c r="BU6" s="190">
        <v>0</v>
      </c>
      <c r="BV6" s="190">
        <v>0</v>
      </c>
    </row>
    <row r="7" spans="1:74" s="26" customFormat="1" x14ac:dyDescent="0.25">
      <c r="A7" s="17" t="s">
        <v>306</v>
      </c>
      <c r="B7" s="190">
        <v>0</v>
      </c>
      <c r="C7" s="190">
        <v>30286387.960000001</v>
      </c>
      <c r="D7" s="190">
        <v>0</v>
      </c>
      <c r="E7" s="190">
        <v>60717985.799999997</v>
      </c>
      <c r="F7" s="190">
        <v>0</v>
      </c>
      <c r="G7" s="190">
        <v>30628267.739999998</v>
      </c>
      <c r="H7" s="190">
        <v>0</v>
      </c>
      <c r="I7" s="190">
        <v>35928240.380000003</v>
      </c>
      <c r="J7" s="190">
        <v>0</v>
      </c>
      <c r="K7" s="190">
        <v>5147619.9400000004</v>
      </c>
      <c r="L7" s="190">
        <v>0</v>
      </c>
      <c r="M7" s="190">
        <v>100305.71</v>
      </c>
      <c r="N7" s="190">
        <v>0</v>
      </c>
      <c r="O7" s="190">
        <v>11035.02</v>
      </c>
      <c r="P7" s="190">
        <v>0</v>
      </c>
      <c r="Q7" s="190">
        <v>22070.04</v>
      </c>
      <c r="R7" s="190">
        <v>0</v>
      </c>
      <c r="S7" s="190">
        <v>11035.02</v>
      </c>
      <c r="T7" s="190">
        <v>0</v>
      </c>
      <c r="U7" s="190">
        <v>22070.04</v>
      </c>
      <c r="V7" s="190">
        <v>0</v>
      </c>
      <c r="W7" s="190">
        <v>11035.02</v>
      </c>
      <c r="X7" s="190">
        <v>0</v>
      </c>
      <c r="Y7" s="190">
        <v>1839.17</v>
      </c>
      <c r="Z7" s="190">
        <v>0</v>
      </c>
      <c r="AA7" s="190">
        <v>0</v>
      </c>
      <c r="AB7" s="190">
        <v>0</v>
      </c>
      <c r="AC7" s="190">
        <v>0</v>
      </c>
      <c r="AD7" s="190">
        <v>0</v>
      </c>
      <c r="AE7" s="190">
        <v>0</v>
      </c>
      <c r="AF7" s="190">
        <v>0</v>
      </c>
      <c r="AG7" s="190">
        <v>3900</v>
      </c>
      <c r="AH7" s="190">
        <v>0</v>
      </c>
      <c r="AI7" s="190">
        <v>3900</v>
      </c>
      <c r="AJ7" s="190">
        <v>0</v>
      </c>
      <c r="AK7" s="190">
        <v>7800</v>
      </c>
      <c r="AL7" s="190">
        <v>0</v>
      </c>
      <c r="AM7" s="190">
        <v>3900</v>
      </c>
      <c r="AN7" s="190">
        <v>0</v>
      </c>
      <c r="AO7" s="190">
        <v>7800</v>
      </c>
      <c r="AP7" s="190">
        <v>0</v>
      </c>
      <c r="AQ7" s="190">
        <v>3900</v>
      </c>
      <c r="AR7" s="190">
        <v>0</v>
      </c>
      <c r="AS7" s="190">
        <v>7800</v>
      </c>
      <c r="AT7" s="190">
        <v>0</v>
      </c>
      <c r="AU7" s="190">
        <v>0</v>
      </c>
      <c r="AV7" s="190">
        <v>0</v>
      </c>
      <c r="AW7" s="190">
        <v>7800</v>
      </c>
      <c r="AX7" s="190">
        <v>0</v>
      </c>
      <c r="AY7" s="190">
        <v>0</v>
      </c>
      <c r="AZ7" s="190">
        <v>0</v>
      </c>
      <c r="BA7" s="190">
        <v>1369286.88</v>
      </c>
      <c r="BB7" s="190">
        <v>1026965.16</v>
      </c>
      <c r="BC7" s="190">
        <v>684643.44</v>
      </c>
      <c r="BD7" s="190">
        <v>342321.72</v>
      </c>
      <c r="BE7" s="190">
        <v>2273538.1800000002</v>
      </c>
      <c r="BF7" s="190">
        <v>1931216.46</v>
      </c>
      <c r="BG7" s="190">
        <v>1585046.14</v>
      </c>
      <c r="BH7" s="190">
        <v>794447.37</v>
      </c>
      <c r="BI7" s="190">
        <v>3177789.4399999999</v>
      </c>
      <c r="BJ7" s="190">
        <v>2124519.75</v>
      </c>
      <c r="BK7" s="190">
        <v>1416346.5</v>
      </c>
      <c r="BL7" s="190">
        <v>11545.8</v>
      </c>
      <c r="BM7" s="190">
        <v>3046750.73</v>
      </c>
      <c r="BN7" s="190">
        <v>903471.02</v>
      </c>
      <c r="BO7" s="190">
        <v>2915366.2</v>
      </c>
      <c r="BP7" s="190">
        <v>1158214.45</v>
      </c>
      <c r="BQ7" s="190">
        <v>2918937.52</v>
      </c>
      <c r="BR7" s="190">
        <v>416924.26</v>
      </c>
      <c r="BS7" s="190">
        <v>3563875.88</v>
      </c>
      <c r="BT7" s="190">
        <v>1228508.78</v>
      </c>
      <c r="BU7" s="190">
        <v>0</v>
      </c>
      <c r="BV7" s="190">
        <v>0</v>
      </c>
    </row>
    <row r="8" spans="1:74" s="26" customFormat="1" x14ac:dyDescent="0.25">
      <c r="A8" s="17" t="s">
        <v>307</v>
      </c>
      <c r="B8" s="190">
        <v>0</v>
      </c>
      <c r="C8" s="190">
        <v>685660.94</v>
      </c>
      <c r="D8" s="190">
        <v>0</v>
      </c>
      <c r="E8" s="190">
        <v>5475214.0700000003</v>
      </c>
      <c r="F8" s="190">
        <v>0</v>
      </c>
      <c r="G8" s="190">
        <v>4165428.66</v>
      </c>
      <c r="H8" s="190">
        <v>0</v>
      </c>
      <c r="I8" s="190">
        <v>8078841.1600000001</v>
      </c>
      <c r="J8" s="190">
        <v>0</v>
      </c>
      <c r="K8" s="190">
        <v>3589088.2</v>
      </c>
      <c r="L8" s="190">
        <v>0</v>
      </c>
      <c r="M8" s="190">
        <v>6159277.1900000004</v>
      </c>
      <c r="N8" s="190">
        <v>0</v>
      </c>
      <c r="O8" s="190">
        <v>3744507.06</v>
      </c>
      <c r="P8" s="190">
        <v>0</v>
      </c>
      <c r="Q8" s="190">
        <v>624084.51</v>
      </c>
      <c r="R8" s="190">
        <v>0</v>
      </c>
      <c r="S8" s="190">
        <v>0</v>
      </c>
      <c r="T8" s="190">
        <v>0</v>
      </c>
      <c r="U8" s="190">
        <v>0</v>
      </c>
      <c r="V8" s="190">
        <v>0</v>
      </c>
      <c r="W8" s="190">
        <v>16335.3</v>
      </c>
      <c r="X8" s="190">
        <v>0</v>
      </c>
      <c r="Y8" s="190">
        <v>32670.6</v>
      </c>
      <c r="Z8" s="190">
        <v>0</v>
      </c>
      <c r="AA8" s="190">
        <v>16335.3</v>
      </c>
      <c r="AB8" s="190">
        <v>0</v>
      </c>
      <c r="AC8" s="190">
        <v>372374.89</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35216.03</v>
      </c>
      <c r="BJ8" s="190">
        <v>649925.61</v>
      </c>
      <c r="BK8" s="190">
        <v>435520.02</v>
      </c>
      <c r="BL8" s="190">
        <v>261786.21</v>
      </c>
      <c r="BM8" s="190">
        <v>1583181.82</v>
      </c>
      <c r="BN8" s="190">
        <v>536880.96</v>
      </c>
      <c r="BO8" s="190">
        <v>797104.82</v>
      </c>
      <c r="BP8" s="190">
        <v>1116785.6100000001</v>
      </c>
      <c r="BQ8" s="190">
        <v>0</v>
      </c>
      <c r="BR8" s="190">
        <v>0</v>
      </c>
      <c r="BS8" s="190">
        <v>0</v>
      </c>
      <c r="BT8" s="190">
        <v>0</v>
      </c>
      <c r="BU8" s="190">
        <v>0</v>
      </c>
      <c r="BV8" s="190">
        <v>0</v>
      </c>
    </row>
    <row r="9" spans="1:74" s="26" customFormat="1" x14ac:dyDescent="0.25">
      <c r="A9" s="17" t="s">
        <v>308</v>
      </c>
      <c r="B9" s="190">
        <v>0</v>
      </c>
      <c r="C9" s="190">
        <v>-239872.94</v>
      </c>
      <c r="D9" s="190">
        <v>0</v>
      </c>
      <c r="E9" s="190">
        <v>59542.3</v>
      </c>
      <c r="F9" s="190">
        <v>0</v>
      </c>
      <c r="G9" s="190">
        <v>25678.84</v>
      </c>
      <c r="H9" s="190">
        <v>0</v>
      </c>
      <c r="I9" s="190">
        <v>742316.92</v>
      </c>
      <c r="J9" s="190">
        <v>0</v>
      </c>
      <c r="K9" s="190">
        <v>-186339.78</v>
      </c>
      <c r="L9" s="190">
        <v>0</v>
      </c>
      <c r="M9" s="190">
        <v>-661256.77</v>
      </c>
      <c r="N9" s="190">
        <v>0</v>
      </c>
      <c r="O9" s="190">
        <v>14891.12</v>
      </c>
      <c r="P9" s="190">
        <v>0</v>
      </c>
      <c r="Q9" s="190">
        <v>-19634.54</v>
      </c>
      <c r="R9" s="190">
        <v>0</v>
      </c>
      <c r="S9" s="190">
        <v>-10892.68</v>
      </c>
      <c r="T9" s="190">
        <v>0</v>
      </c>
      <c r="U9" s="190">
        <v>-655683.78</v>
      </c>
      <c r="V9" s="190">
        <v>0</v>
      </c>
      <c r="W9" s="190">
        <v>8360.4599999999991</v>
      </c>
      <c r="X9" s="190">
        <v>0</v>
      </c>
      <c r="Y9" s="190">
        <v>420284.24</v>
      </c>
      <c r="Z9" s="190">
        <v>0</v>
      </c>
      <c r="AA9" s="190">
        <v>39873.339999999997</v>
      </c>
      <c r="AB9" s="190">
        <v>0</v>
      </c>
      <c r="AC9" s="190">
        <v>186904.92</v>
      </c>
      <c r="AD9" s="190">
        <v>0</v>
      </c>
      <c r="AE9" s="190">
        <v>0</v>
      </c>
      <c r="AF9" s="190">
        <v>0</v>
      </c>
      <c r="AG9" s="190">
        <v>0</v>
      </c>
      <c r="AH9" s="190">
        <v>0</v>
      </c>
      <c r="AI9" s="190">
        <v>0</v>
      </c>
      <c r="AJ9" s="190">
        <v>0</v>
      </c>
      <c r="AK9" s="190">
        <v>-53845.41</v>
      </c>
      <c r="AL9" s="190">
        <v>0</v>
      </c>
      <c r="AM9" s="190">
        <v>-53845.41</v>
      </c>
      <c r="AN9" s="190">
        <v>0</v>
      </c>
      <c r="AO9" s="190">
        <v>62291.97</v>
      </c>
      <c r="AP9" s="190">
        <v>0</v>
      </c>
      <c r="AQ9" s="190">
        <v>117250.88</v>
      </c>
      <c r="AR9" s="190">
        <v>0</v>
      </c>
      <c r="AS9" s="190">
        <v>6979.11</v>
      </c>
      <c r="AT9" s="190">
        <v>0</v>
      </c>
      <c r="AU9" s="190">
        <v>0</v>
      </c>
      <c r="AV9" s="190">
        <v>0</v>
      </c>
      <c r="AW9" s="190">
        <v>-102534.36</v>
      </c>
      <c r="AX9" s="190">
        <v>0</v>
      </c>
      <c r="AY9" s="190">
        <v>0</v>
      </c>
      <c r="AZ9" s="190">
        <v>0</v>
      </c>
      <c r="BA9" s="190">
        <v>-1600</v>
      </c>
      <c r="BB9" s="190">
        <v>0</v>
      </c>
      <c r="BC9" s="190">
        <v>0</v>
      </c>
      <c r="BD9" s="190">
        <v>0</v>
      </c>
      <c r="BE9" s="190">
        <v>-2634.58</v>
      </c>
      <c r="BF9" s="190">
        <v>-1284.8900000000001</v>
      </c>
      <c r="BG9" s="190">
        <v>-1284.8900000000001</v>
      </c>
      <c r="BH9" s="190">
        <v>0</v>
      </c>
      <c r="BI9" s="190">
        <v>20331.14</v>
      </c>
      <c r="BJ9" s="190">
        <v>51091.15</v>
      </c>
      <c r="BK9" s="190">
        <v>51091.15</v>
      </c>
      <c r="BL9" s="190">
        <v>51091.15</v>
      </c>
      <c r="BM9" s="190">
        <v>3931.2</v>
      </c>
      <c r="BN9" s="190">
        <v>6870.72</v>
      </c>
      <c r="BO9" s="190">
        <v>-634718.19999999995</v>
      </c>
      <c r="BP9" s="190">
        <v>14769.9</v>
      </c>
      <c r="BQ9" s="190">
        <v>37595.620000000003</v>
      </c>
      <c r="BR9" s="190">
        <v>1353090.33</v>
      </c>
      <c r="BS9" s="190">
        <v>50791.58</v>
      </c>
      <c r="BT9" s="190">
        <v>0</v>
      </c>
      <c r="BU9" s="190">
        <v>0</v>
      </c>
      <c r="BV9" s="190">
        <v>0</v>
      </c>
    </row>
    <row r="10" spans="1:74" s="26" customFormat="1" x14ac:dyDescent="0.25">
      <c r="A10" s="17" t="s">
        <v>309</v>
      </c>
      <c r="B10" s="190">
        <v>0</v>
      </c>
      <c r="C10" s="190">
        <v>416.5</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390397.34</v>
      </c>
      <c r="BB10" s="190">
        <v>0</v>
      </c>
      <c r="BC10" s="190">
        <v>0</v>
      </c>
      <c r="BD10" s="190">
        <v>0</v>
      </c>
      <c r="BE10" s="190">
        <v>0</v>
      </c>
      <c r="BF10" s="190">
        <v>0</v>
      </c>
      <c r="BG10" s="190">
        <v>0</v>
      </c>
      <c r="BH10" s="190">
        <v>0</v>
      </c>
      <c r="BI10" s="190">
        <v>0</v>
      </c>
      <c r="BJ10" s="190">
        <v>0</v>
      </c>
      <c r="BK10" s="190">
        <v>0</v>
      </c>
      <c r="BL10" s="190">
        <v>0</v>
      </c>
      <c r="BM10" s="190">
        <v>0</v>
      </c>
      <c r="BN10" s="190">
        <v>0</v>
      </c>
      <c r="BO10" s="190">
        <v>107412.34</v>
      </c>
      <c r="BP10" s="190">
        <v>0</v>
      </c>
      <c r="BQ10" s="190">
        <v>0</v>
      </c>
      <c r="BR10" s="190">
        <v>20584.86</v>
      </c>
      <c r="BS10" s="190">
        <v>0</v>
      </c>
      <c r="BT10" s="190">
        <v>47110</v>
      </c>
      <c r="BU10" s="190">
        <v>0</v>
      </c>
      <c r="BV10" s="190">
        <v>0</v>
      </c>
    </row>
    <row r="11" spans="1:74" s="47" customFormat="1" x14ac:dyDescent="0.25">
      <c r="A11" s="135" t="s">
        <v>296</v>
      </c>
      <c r="E11" s="47">
        <f>E5-E6-E7-E8-E9-E10</f>
        <v>-78004747.200000003</v>
      </c>
      <c r="F11" s="47">
        <f t="shared" ref="F11:BQ11" si="1">F5-F6-F7-F8-F9-F10</f>
        <v>5638214.54</v>
      </c>
      <c r="G11" s="47">
        <f t="shared" si="1"/>
        <v>-42502435.989999995</v>
      </c>
      <c r="H11" s="47">
        <f t="shared" si="1"/>
        <v>336675.5</v>
      </c>
      <c r="I11" s="47">
        <f t="shared" si="1"/>
        <v>-55347869.460000008</v>
      </c>
      <c r="J11" s="47">
        <f t="shared" si="1"/>
        <v>282516.42000000004</v>
      </c>
      <c r="K11" s="47">
        <f t="shared" si="1"/>
        <v>-18538664.459999997</v>
      </c>
      <c r="L11" s="47">
        <f t="shared" si="1"/>
        <v>45393.2</v>
      </c>
      <c r="M11" s="47">
        <f t="shared" si="1"/>
        <v>-17061917.000000004</v>
      </c>
      <c r="N11" s="47">
        <f t="shared" si="1"/>
        <v>2566452.27</v>
      </c>
      <c r="O11" s="47">
        <f t="shared" si="1"/>
        <v>-12812210.739999998</v>
      </c>
      <c r="P11" s="47">
        <f t="shared" si="1"/>
        <v>1121352.2899999998</v>
      </c>
      <c r="Q11" s="47">
        <f t="shared" si="1"/>
        <v>-15667064.809999997</v>
      </c>
      <c r="R11" s="47">
        <f t="shared" si="1"/>
        <v>8199470.5199999996</v>
      </c>
      <c r="S11" s="47">
        <f t="shared" si="1"/>
        <v>-4594890.8400000008</v>
      </c>
      <c r="T11" s="47">
        <f t="shared" si="1"/>
        <v>1212771.43</v>
      </c>
      <c r="U11" s="47">
        <f t="shared" si="1"/>
        <v>138234287</v>
      </c>
      <c r="V11" s="47">
        <f t="shared" si="1"/>
        <v>1319031.4100000001</v>
      </c>
      <c r="W11" s="47">
        <f t="shared" si="1"/>
        <v>-7836829.9299999997</v>
      </c>
      <c r="X11" s="47">
        <f t="shared" si="1"/>
        <v>190396.49</v>
      </c>
      <c r="Y11" s="47">
        <f t="shared" si="1"/>
        <v>34686398.719999991</v>
      </c>
      <c r="Z11" s="47">
        <f t="shared" si="1"/>
        <v>1105406.8500000001</v>
      </c>
      <c r="AA11" s="47">
        <f t="shared" si="1"/>
        <v>-6481528.9899999993</v>
      </c>
      <c r="AB11" s="47">
        <f t="shared" si="1"/>
        <v>546914.65</v>
      </c>
      <c r="AC11" s="47">
        <f t="shared" si="1"/>
        <v>27456382.169999994</v>
      </c>
      <c r="AD11" s="47">
        <f t="shared" si="1"/>
        <v>2599</v>
      </c>
      <c r="AE11" s="47">
        <f t="shared" si="1"/>
        <v>-467039.94</v>
      </c>
      <c r="AF11" s="47">
        <f t="shared" si="1"/>
        <v>0</v>
      </c>
      <c r="AG11" s="47">
        <f t="shared" si="1"/>
        <v>-1019148.8</v>
      </c>
      <c r="AH11" s="47">
        <f t="shared" si="1"/>
        <v>0</v>
      </c>
      <c r="AI11" s="47">
        <f t="shared" si="1"/>
        <v>-459075.54</v>
      </c>
      <c r="AJ11" s="47">
        <f t="shared" si="1"/>
        <v>0</v>
      </c>
      <c r="AK11" s="47">
        <f t="shared" si="1"/>
        <v>-1246980.51</v>
      </c>
      <c r="AL11" s="47">
        <f t="shared" si="1"/>
        <v>-324440</v>
      </c>
      <c r="AM11" s="47">
        <f t="shared" si="1"/>
        <v>-761640.11</v>
      </c>
      <c r="AN11" s="47">
        <f t="shared" si="1"/>
        <v>0</v>
      </c>
      <c r="AO11" s="47">
        <f t="shared" si="1"/>
        <v>-1143771.31</v>
      </c>
      <c r="AP11" s="47">
        <f t="shared" si="1"/>
        <v>-22940</v>
      </c>
      <c r="AQ11" s="47">
        <f t="shared" si="1"/>
        <v>-805383.75</v>
      </c>
      <c r="AR11" s="47">
        <f t="shared" si="1"/>
        <v>12000</v>
      </c>
      <c r="AS11" s="47">
        <f t="shared" si="1"/>
        <v>-1522360.4600000002</v>
      </c>
      <c r="AT11" s="47">
        <f t="shared" si="1"/>
        <v>0</v>
      </c>
      <c r="AU11" s="47">
        <f t="shared" si="1"/>
        <v>0</v>
      </c>
      <c r="AV11" s="47">
        <f t="shared" si="1"/>
        <v>0</v>
      </c>
      <c r="AW11" s="47">
        <f t="shared" si="1"/>
        <v>-2617557.37</v>
      </c>
      <c r="AX11" s="47">
        <f t="shared" si="1"/>
        <v>0</v>
      </c>
      <c r="AY11" s="47">
        <f t="shared" si="1"/>
        <v>0</v>
      </c>
      <c r="AZ11" s="47">
        <f t="shared" si="1"/>
        <v>0</v>
      </c>
      <c r="BA11" s="47">
        <f t="shared" si="1"/>
        <v>-5076269.71</v>
      </c>
      <c r="BB11" s="47">
        <f t="shared" si="1"/>
        <v>-3758054.19</v>
      </c>
      <c r="BC11" s="47">
        <f t="shared" si="1"/>
        <v>-2486464.79</v>
      </c>
      <c r="BD11" s="47">
        <f t="shared" si="1"/>
        <v>-1271730.0899999999</v>
      </c>
      <c r="BE11" s="47">
        <f t="shared" si="1"/>
        <v>-6665679.1899999995</v>
      </c>
      <c r="BF11" s="47">
        <f t="shared" si="1"/>
        <v>-4717961.0900000008</v>
      </c>
      <c r="BG11" s="47">
        <f t="shared" si="1"/>
        <v>-3924475.8399999994</v>
      </c>
      <c r="BH11" s="47">
        <f t="shared" si="1"/>
        <v>-1984458.94</v>
      </c>
      <c r="BI11" s="47">
        <f t="shared" si="1"/>
        <v>-8655562.4199999999</v>
      </c>
      <c r="BJ11" s="47">
        <f t="shared" si="1"/>
        <v>-6385931.6400000006</v>
      </c>
      <c r="BK11" s="47">
        <f t="shared" si="1"/>
        <v>-3628754.11</v>
      </c>
      <c r="BL11" s="47">
        <f t="shared" si="1"/>
        <v>-999631.42</v>
      </c>
      <c r="BM11" s="47">
        <f t="shared" si="1"/>
        <v>-9533233.0499999989</v>
      </c>
      <c r="BN11" s="47">
        <f t="shared" si="1"/>
        <v>-3938512.1300000004</v>
      </c>
      <c r="BO11" s="47">
        <f t="shared" si="1"/>
        <v>-6288163.6299999999</v>
      </c>
      <c r="BP11" s="47">
        <f t="shared" si="1"/>
        <v>-4294876.62</v>
      </c>
      <c r="BQ11" s="47">
        <f t="shared" si="1"/>
        <v>-6549126.8200000003</v>
      </c>
      <c r="BR11" s="47">
        <f t="shared" ref="BR11:BS11" si="2">BR5-BR6-BR7-BR8-BR9-BR10</f>
        <v>-3550120.8699999996</v>
      </c>
      <c r="BS11" s="47">
        <f t="shared" si="2"/>
        <v>-6207824.1299999999</v>
      </c>
    </row>
    <row r="12" spans="1:74" s="26" customFormat="1" x14ac:dyDescent="0.25">
      <c r="A12" s="17" t="s">
        <v>297</v>
      </c>
      <c r="E12" s="26">
        <f t="shared" ref="E12:Q12" si="3">I34</f>
        <v>1650434359.1199999</v>
      </c>
      <c r="F12" s="26">
        <f t="shared" si="3"/>
        <v>1640010009.53</v>
      </c>
      <c r="G12" s="26">
        <f t="shared" si="3"/>
        <v>1654274232.3900001</v>
      </c>
      <c r="H12" s="26">
        <f t="shared" si="3"/>
        <v>980386284.47000003</v>
      </c>
      <c r="I12" s="26">
        <f t="shared" si="3"/>
        <v>1055825153.77</v>
      </c>
      <c r="J12" s="26">
        <f t="shared" si="3"/>
        <v>1019265918.5899999</v>
      </c>
      <c r="K12" s="26">
        <f t="shared" si="3"/>
        <v>1031038937.4400001</v>
      </c>
      <c r="L12" s="26">
        <f t="shared" si="3"/>
        <v>1021605893.4000001</v>
      </c>
      <c r="M12" s="26">
        <f t="shared" si="3"/>
        <v>1025663336.4300001</v>
      </c>
      <c r="N12" s="26">
        <f t="shared" si="3"/>
        <v>1017494796.95</v>
      </c>
      <c r="O12" s="26">
        <f t="shared" si="3"/>
        <v>1165470706.26</v>
      </c>
      <c r="P12" s="26">
        <f t="shared" si="3"/>
        <v>1149990899.75</v>
      </c>
      <c r="Q12" s="26">
        <f t="shared" si="3"/>
        <v>1152059415.05</v>
      </c>
      <c r="R12" s="193">
        <f t="shared" ref="R12" si="4">V34</f>
        <v>1025046758.39</v>
      </c>
      <c r="S12" s="193">
        <f t="shared" ref="S12" si="5">W34</f>
        <v>703150357.21000004</v>
      </c>
      <c r="T12" s="193">
        <f t="shared" ref="T12" si="6">X34</f>
        <v>704466106.5</v>
      </c>
      <c r="U12" s="193">
        <f t="shared" ref="U12" si="7">Y34</f>
        <v>671471327.80999994</v>
      </c>
      <c r="V12" s="193">
        <f t="shared" ref="V12" si="8">Z34</f>
        <v>643603724.62</v>
      </c>
      <c r="W12" s="193">
        <f t="shared" ref="W12" si="9">AA34</f>
        <v>630314509.45000005</v>
      </c>
      <c r="X12" s="193">
        <f t="shared" ref="X12" si="10">AB34</f>
        <v>639424075.38999999</v>
      </c>
      <c r="Y12" s="193">
        <f t="shared" ref="Y12" si="11">AC34</f>
        <v>624470658.96000004</v>
      </c>
      <c r="Z12" s="193">
        <f t="shared" ref="Z12" si="12">AD34</f>
        <v>57967561.600000001</v>
      </c>
      <c r="AA12" s="193">
        <f t="shared" ref="AA12" si="13">AE34</f>
        <v>58208707.729999997</v>
      </c>
      <c r="AB12" s="193">
        <f t="shared" ref="AB12" si="14">AF34</f>
        <v>58468231.75</v>
      </c>
      <c r="AC12" s="193">
        <f t="shared" ref="AC12" si="15">AG34</f>
        <v>58680760.960000001</v>
      </c>
      <c r="AD12" s="193">
        <f t="shared" ref="AD12" si="16">AH34</f>
        <v>59018298.130000003</v>
      </c>
      <c r="AE12" s="193">
        <f t="shared" ref="AE12" si="17">AI34</f>
        <v>59245281.219999999</v>
      </c>
      <c r="AF12" s="193">
        <f t="shared" ref="AF12" si="18">AJ34</f>
        <v>59480422.689999998</v>
      </c>
      <c r="AG12" s="193">
        <f t="shared" ref="AG12" si="19">AK34</f>
        <v>59704356.759999998</v>
      </c>
      <c r="AH12" s="193">
        <f t="shared" ref="AH12" si="20">AL34</f>
        <v>61146409.640000001</v>
      </c>
      <c r="AI12" s="193">
        <f t="shared" ref="AI12" si="21">AM34</f>
        <v>61403000.68</v>
      </c>
      <c r="AJ12" s="193">
        <f t="shared" ref="AJ12" si="22">AN34</f>
        <v>62018526.890000001</v>
      </c>
      <c r="AK12" s="193">
        <f t="shared" ref="AK12" si="23">AO34</f>
        <v>62278841.43</v>
      </c>
      <c r="AL12" s="193">
        <f t="shared" ref="AL12" si="24">AP34</f>
        <v>64368202.850000001</v>
      </c>
      <c r="AM12" s="193">
        <f t="shared" ref="AM12" si="25">AQ34</f>
        <v>64959022.719999999</v>
      </c>
      <c r="AN12" s="193">
        <f t="shared" ref="AN12" si="26">AR34</f>
        <v>66339249.469999999</v>
      </c>
      <c r="AO12" s="193">
        <f t="shared" ref="AO12" si="27">AS34</f>
        <v>66695061.439999998</v>
      </c>
      <c r="AP12" s="193">
        <f t="shared" ref="AP12" si="28">AT34</f>
        <v>76952751.599999994</v>
      </c>
      <c r="AQ12" s="193">
        <f t="shared" ref="AQ12" si="29">AU34</f>
        <v>76757146</v>
      </c>
      <c r="AR12" s="193">
        <f t="shared" ref="AR12" si="30">AV34</f>
        <v>77339937.370000005</v>
      </c>
      <c r="AS12" s="193">
        <f t="shared" ref="AS12" si="31">AW34</f>
        <v>70281536.150000006</v>
      </c>
      <c r="AT12" s="193">
        <f t="shared" ref="AT12" si="32">AX34</f>
        <v>54330317.359999999</v>
      </c>
      <c r="AU12" s="193">
        <f t="shared" ref="AU12" si="33">AY34</f>
        <v>47956229.450000003</v>
      </c>
      <c r="AV12" s="193">
        <f t="shared" ref="AV12" si="34">AZ34</f>
        <v>629546709.39999998</v>
      </c>
      <c r="AW12" s="193">
        <f t="shared" ref="AW12" si="35">BA34</f>
        <v>48856197.369999997</v>
      </c>
      <c r="AX12" s="193">
        <f t="shared" ref="AX12" si="36">BB34</f>
        <v>54872784.280000001</v>
      </c>
      <c r="AY12" s="193">
        <f t="shared" ref="AY12" si="37">BC34</f>
        <v>56095126.740000002</v>
      </c>
      <c r="AZ12" s="193">
        <f t="shared" ref="AZ12" si="38">BD34</f>
        <v>57749055.399999999</v>
      </c>
      <c r="BA12" s="193">
        <f t="shared" ref="BA12" si="39">BE34</f>
        <v>59341364.520000003</v>
      </c>
      <c r="BB12" s="193">
        <f t="shared" ref="BB12" si="40">BF34</f>
        <v>60279075.25</v>
      </c>
      <c r="BC12" s="193">
        <f t="shared" ref="BC12" si="41">BG34</f>
        <v>61448564.43</v>
      </c>
      <c r="BD12" s="193">
        <f t="shared" ref="BD12" si="42">BH34</f>
        <v>63663117.240000002</v>
      </c>
      <c r="BE12" s="193">
        <f t="shared" ref="BE12" si="43">BI34</f>
        <v>65679113.390000001</v>
      </c>
      <c r="BF12" s="193">
        <f t="shared" ref="BF12" si="44">BJ34</f>
        <v>44914132.539999999</v>
      </c>
      <c r="BG12" s="193">
        <f t="shared" ref="BG12" si="45">BK34</f>
        <v>47164482.600000001</v>
      </c>
      <c r="BH12" s="193">
        <f t="shared" ref="BH12" si="46">BL34</f>
        <v>49895913.460000001</v>
      </c>
      <c r="BI12" s="193">
        <f t="shared" ref="BI12" si="47">BM34</f>
        <v>50967898.100000001</v>
      </c>
      <c r="BJ12" s="193">
        <f t="shared" ref="BJ12" si="48">BN34</f>
        <v>54761896.590000004</v>
      </c>
      <c r="BK12" s="193">
        <f t="shared" ref="BK12" si="49">BO34</f>
        <v>56396883.130000003</v>
      </c>
      <c r="BL12" s="193">
        <f t="shared" ref="BL12" si="50">BP34</f>
        <v>57045954.109999999</v>
      </c>
      <c r="BM12" s="193">
        <f t="shared" ref="BM12" si="51">BQ34</f>
        <v>64368202.850000001</v>
      </c>
      <c r="BN12" s="193">
        <f t="shared" ref="BN12" si="52">BR34</f>
        <v>64959022.719999999</v>
      </c>
    </row>
    <row r="13" spans="1:74" s="220" customFormat="1" x14ac:dyDescent="0.25">
      <c r="A13" s="220" t="s">
        <v>351</v>
      </c>
      <c r="E13" s="220">
        <f>E11/E12</f>
        <v>-4.7263162432943769E-2</v>
      </c>
      <c r="F13" s="220">
        <f t="shared" ref="F13:AR13" si="53">F11/F12</f>
        <v>3.437914712249726E-3</v>
      </c>
      <c r="G13" s="220">
        <f t="shared" si="53"/>
        <v>-2.5692497143351454E-2</v>
      </c>
      <c r="H13" s="220">
        <f t="shared" si="53"/>
        <v>3.4341106697755144E-4</v>
      </c>
      <c r="I13" s="220">
        <f t="shared" si="53"/>
        <v>-5.2421434801369529E-2</v>
      </c>
      <c r="J13" s="220">
        <f t="shared" si="53"/>
        <v>2.7717636275999372E-4</v>
      </c>
      <c r="K13" s="220">
        <f t="shared" si="53"/>
        <v>-1.7980566772803214E-2</v>
      </c>
      <c r="L13" s="220">
        <f t="shared" si="53"/>
        <v>4.4433181418841639E-5</v>
      </c>
      <c r="M13" s="220">
        <f t="shared" si="53"/>
        <v>-1.6635007213367865E-2</v>
      </c>
      <c r="N13" s="220">
        <f t="shared" si="53"/>
        <v>2.5223247113332573E-3</v>
      </c>
      <c r="O13" s="220">
        <f t="shared" si="53"/>
        <v>-1.0993164110588788E-2</v>
      </c>
      <c r="P13" s="220">
        <f t="shared" si="53"/>
        <v>9.7509666402036219E-4</v>
      </c>
      <c r="Q13" s="220">
        <f t="shared" si="53"/>
        <v>-1.3599181262122699E-2</v>
      </c>
      <c r="R13" s="220">
        <f t="shared" si="53"/>
        <v>7.9991185308254439E-3</v>
      </c>
      <c r="S13" s="220">
        <f t="shared" si="53"/>
        <v>-6.5347201958793986E-3</v>
      </c>
      <c r="T13" s="220">
        <f t="shared" si="53"/>
        <v>1.7215468832495206E-3</v>
      </c>
      <c r="U13" s="220">
        <f t="shared" si="53"/>
        <v>0.20586774337908123</v>
      </c>
      <c r="V13" s="220">
        <f t="shared" si="53"/>
        <v>2.0494465142798695E-3</v>
      </c>
      <c r="W13" s="220">
        <f t="shared" si="53"/>
        <v>-1.2433205665594247E-2</v>
      </c>
      <c r="X13" s="220">
        <f t="shared" si="53"/>
        <v>2.9776246676960455E-4</v>
      </c>
      <c r="Y13" s="220">
        <f t="shared" si="53"/>
        <v>5.5545281787565619E-2</v>
      </c>
      <c r="Z13" s="220">
        <f t="shared" si="53"/>
        <v>1.9069403981967735E-2</v>
      </c>
      <c r="AA13" s="220">
        <f t="shared" si="53"/>
        <v>-0.11134981762633266</v>
      </c>
      <c r="AB13" s="220">
        <f t="shared" si="53"/>
        <v>9.3540480638872759E-3</v>
      </c>
      <c r="AC13" s="220">
        <f t="shared" si="53"/>
        <v>0.46789410567998185</v>
      </c>
      <c r="AD13" s="220">
        <f t="shared" si="53"/>
        <v>4.4037189860594848E-5</v>
      </c>
      <c r="AE13" s="220">
        <f t="shared" si="53"/>
        <v>-7.8831584622867292E-3</v>
      </c>
      <c r="AF13" s="220">
        <f t="shared" si="53"/>
        <v>0</v>
      </c>
      <c r="AG13" s="220">
        <f t="shared" si="53"/>
        <v>-1.7069923457961062E-2</v>
      </c>
      <c r="AH13" s="220">
        <f t="shared" si="53"/>
        <v>0</v>
      </c>
      <c r="AI13" s="220">
        <f t="shared" si="53"/>
        <v>-7.4764349448076511E-3</v>
      </c>
      <c r="AJ13" s="220">
        <f t="shared" si="53"/>
        <v>0</v>
      </c>
      <c r="AK13" s="220">
        <f t="shared" si="53"/>
        <v>-2.0022538656271852E-2</v>
      </c>
      <c r="AL13" s="220">
        <f t="shared" si="53"/>
        <v>-5.040376857437771E-3</v>
      </c>
      <c r="AM13" s="220">
        <f t="shared" si="53"/>
        <v>-1.1724931781732322E-2</v>
      </c>
      <c r="AN13" s="220">
        <f t="shared" si="53"/>
        <v>0</v>
      </c>
      <c r="AO13" s="220">
        <f t="shared" si="53"/>
        <v>-1.714926540743884E-2</v>
      </c>
      <c r="AP13" s="220">
        <f t="shared" si="53"/>
        <v>-2.9810499979574483E-4</v>
      </c>
      <c r="AQ13" s="220">
        <f t="shared" si="53"/>
        <v>-1.0492622406778907E-2</v>
      </c>
      <c r="AR13" s="220">
        <f t="shared" si="53"/>
        <v>1.5515916366199147E-4</v>
      </c>
    </row>
    <row r="14" spans="1:74" s="48" customFormat="1" x14ac:dyDescent="0.25">
      <c r="A14" s="46" t="s">
        <v>293</v>
      </c>
    </row>
    <row r="15" spans="1:74" s="26" customFormat="1" x14ac:dyDescent="0.25">
      <c r="A15" s="17" t="s">
        <v>313</v>
      </c>
      <c r="B15" s="190">
        <v>0</v>
      </c>
      <c r="C15" s="190">
        <v>0</v>
      </c>
      <c r="D15" s="190">
        <v>0</v>
      </c>
      <c r="E15" s="190">
        <v>304582697.89999998</v>
      </c>
      <c r="F15" s="190">
        <v>304582697.89999998</v>
      </c>
      <c r="G15" s="190">
        <v>304582697.89999998</v>
      </c>
      <c r="H15" s="190">
        <v>304582697.89999998</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-5200244.92</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612200388.27999997</v>
      </c>
      <c r="J16" s="190">
        <v>0</v>
      </c>
      <c r="K16" s="190">
        <v>0</v>
      </c>
      <c r="L16" s="190">
        <v>0</v>
      </c>
      <c r="M16" s="190">
        <v>0</v>
      </c>
      <c r="N16" s="190">
        <v>0</v>
      </c>
      <c r="O16" s="190">
        <v>0</v>
      </c>
      <c r="P16" s="190">
        <v>0</v>
      </c>
      <c r="Q16" s="190">
        <v>0</v>
      </c>
      <c r="R16" s="190">
        <v>0</v>
      </c>
      <c r="S16" s="190">
        <v>0</v>
      </c>
      <c r="T16" s="190">
        <v>0</v>
      </c>
      <c r="U16" s="190">
        <v>250646983.65000001</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-304582697.89999998</v>
      </c>
      <c r="F17" s="47">
        <f t="shared" ref="F17:AV17" si="54">F16-F15</f>
        <v>-304582697.89999998</v>
      </c>
      <c r="G17" s="47">
        <f t="shared" si="54"/>
        <v>-304582697.89999998</v>
      </c>
      <c r="H17" s="47">
        <f t="shared" si="54"/>
        <v>-304582697.89999998</v>
      </c>
      <c r="I17" s="47">
        <f t="shared" si="54"/>
        <v>612200388.27999997</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250646983.65000001</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5200244.92</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-290071623.73999995</v>
      </c>
      <c r="F19" s="193">
        <f t="shared" ref="F19:AS19" si="55">F5+F17</f>
        <v>-298944483.35999995</v>
      </c>
      <c r="G19" s="193">
        <f t="shared" si="55"/>
        <v>-301652338.25999999</v>
      </c>
      <c r="H19" s="193">
        <f t="shared" si="55"/>
        <v>-304246022.39999998</v>
      </c>
      <c r="I19" s="193">
        <f t="shared" si="55"/>
        <v>617736402.56999993</v>
      </c>
      <c r="J19" s="193">
        <f t="shared" si="55"/>
        <v>282516.42000000004</v>
      </c>
      <c r="K19" s="193">
        <f t="shared" si="55"/>
        <v>662108.93999999994</v>
      </c>
      <c r="L19" s="193">
        <f t="shared" si="55"/>
        <v>45393.2</v>
      </c>
      <c r="M19" s="193">
        <f t="shared" si="55"/>
        <v>9030713.0199999996</v>
      </c>
      <c r="N19" s="193">
        <f t="shared" si="55"/>
        <v>2566452.27</v>
      </c>
      <c r="O19" s="193">
        <f t="shared" si="55"/>
        <v>1306810.5</v>
      </c>
      <c r="P19" s="193">
        <f t="shared" si="55"/>
        <v>1121352.2899999998</v>
      </c>
      <c r="Q19" s="193">
        <f t="shared" si="55"/>
        <v>11484069.940000001</v>
      </c>
      <c r="R19" s="193">
        <f t="shared" si="55"/>
        <v>8199470.5199999996</v>
      </c>
      <c r="S19" s="193">
        <f t="shared" si="55"/>
        <v>7936920.3099999996</v>
      </c>
      <c r="T19" s="193">
        <f t="shared" si="55"/>
        <v>1212771.43</v>
      </c>
      <c r="U19" s="193">
        <f t="shared" si="55"/>
        <v>405043520.68000001</v>
      </c>
      <c r="V19" s="193">
        <f t="shared" si="55"/>
        <v>1319031.4100000001</v>
      </c>
      <c r="W19" s="193">
        <f t="shared" si="55"/>
        <v>911479.49</v>
      </c>
      <c r="X19" s="193">
        <f t="shared" si="55"/>
        <v>190396.49</v>
      </c>
      <c r="Y19" s="193">
        <f t="shared" si="55"/>
        <v>49508136.149999999</v>
      </c>
      <c r="Z19" s="193">
        <f t="shared" si="55"/>
        <v>1105406.8500000001</v>
      </c>
      <c r="AA19" s="193">
        <f t="shared" si="55"/>
        <v>668918.15</v>
      </c>
      <c r="AB19" s="193">
        <f t="shared" si="55"/>
        <v>546914.65</v>
      </c>
      <c r="AC19" s="193">
        <f t="shared" si="55"/>
        <v>41126361.799999997</v>
      </c>
      <c r="AD19" s="193">
        <f t="shared" si="55"/>
        <v>2599</v>
      </c>
      <c r="AE19" s="193">
        <f t="shared" si="55"/>
        <v>0</v>
      </c>
      <c r="AF19" s="193">
        <f t="shared" si="55"/>
        <v>0</v>
      </c>
      <c r="AG19" s="193">
        <f t="shared" si="55"/>
        <v>0</v>
      </c>
      <c r="AH19" s="193">
        <f t="shared" si="55"/>
        <v>0</v>
      </c>
      <c r="AI19" s="193">
        <f t="shared" si="55"/>
        <v>0</v>
      </c>
      <c r="AJ19" s="193">
        <f t="shared" si="55"/>
        <v>0</v>
      </c>
      <c r="AK19" s="193">
        <f t="shared" si="55"/>
        <v>-324440</v>
      </c>
      <c r="AL19" s="193">
        <f t="shared" si="55"/>
        <v>-324440</v>
      </c>
      <c r="AM19" s="193">
        <f t="shared" si="55"/>
        <v>-324440</v>
      </c>
      <c r="AN19" s="193">
        <f t="shared" si="55"/>
        <v>0</v>
      </c>
      <c r="AO19" s="193">
        <f t="shared" si="55"/>
        <v>5241083.07</v>
      </c>
      <c r="AP19" s="193">
        <f t="shared" si="55"/>
        <v>-22940</v>
      </c>
      <c r="AQ19" s="193">
        <f t="shared" si="55"/>
        <v>-22940</v>
      </c>
      <c r="AR19" s="193">
        <f t="shared" si="55"/>
        <v>12000</v>
      </c>
      <c r="AS19" s="193">
        <f t="shared" si="55"/>
        <v>0</v>
      </c>
    </row>
    <row r="20" spans="1:74" s="193" customFormat="1" x14ac:dyDescent="0.25">
      <c r="A20" s="193" t="s">
        <v>300</v>
      </c>
      <c r="B20" s="190">
        <v>1461942363.54</v>
      </c>
      <c r="C20" s="190">
        <v>962745404.91999996</v>
      </c>
      <c r="D20" s="190">
        <v>-174635022.5</v>
      </c>
      <c r="E20" s="190">
        <v>-2545673422.1100001</v>
      </c>
      <c r="F20" s="190">
        <v>-2750566131.23</v>
      </c>
      <c r="G20" s="190">
        <v>-1445376116.1900001</v>
      </c>
      <c r="H20" s="190">
        <v>-1565308419.46</v>
      </c>
      <c r="I20" s="190">
        <v>691104491.77999997</v>
      </c>
      <c r="J20" s="190">
        <v>137878888.19999999</v>
      </c>
      <c r="K20" s="190">
        <v>-385520336.01999998</v>
      </c>
      <c r="L20" s="190">
        <v>89349997.129999995</v>
      </c>
      <c r="M20" s="190">
        <v>-768907546.52999997</v>
      </c>
      <c r="N20" s="190">
        <v>-1562092516.05</v>
      </c>
      <c r="O20" s="190">
        <v>-2086574627.5899999</v>
      </c>
      <c r="P20" s="190">
        <v>-1396335655.1099999</v>
      </c>
      <c r="Q20" s="190">
        <v>-1425465822.8</v>
      </c>
      <c r="R20" s="190">
        <v>-466478960.85000002</v>
      </c>
      <c r="S20" s="190">
        <v>-617771034.63</v>
      </c>
      <c r="T20" s="190">
        <v>-549212482.45000005</v>
      </c>
      <c r="U20" s="190">
        <v>-204524340.52000001</v>
      </c>
      <c r="V20" s="190">
        <v>-438497845.25</v>
      </c>
      <c r="W20" s="190">
        <v>-488956284.01999998</v>
      </c>
      <c r="X20" s="190">
        <v>-253170549.13</v>
      </c>
      <c r="Y20" s="190">
        <v>592891844.79999995</v>
      </c>
      <c r="Z20" s="190">
        <v>-186895588.00999999</v>
      </c>
      <c r="AA20" s="190">
        <v>-128819902.31</v>
      </c>
      <c r="AB20" s="190">
        <v>-209240468.47999999</v>
      </c>
      <c r="AC20" s="190">
        <v>-240562991.19999999</v>
      </c>
      <c r="AD20" s="190">
        <v>-1172244.23</v>
      </c>
      <c r="AE20" s="190">
        <v>-1283167.74</v>
      </c>
      <c r="AF20" s="190">
        <v>-1208218.99</v>
      </c>
      <c r="AG20" s="190">
        <v>21073685.140000001</v>
      </c>
      <c r="AH20" s="190">
        <v>-313210.71000000002</v>
      </c>
      <c r="AI20" s="190">
        <v>-158636.32999999999</v>
      </c>
      <c r="AJ20" s="190">
        <v>-272384.93</v>
      </c>
      <c r="AK20" s="190">
        <v>-292174.2</v>
      </c>
      <c r="AL20" s="190">
        <v>-710375.51</v>
      </c>
      <c r="AM20" s="190">
        <v>-611585.43999999994</v>
      </c>
      <c r="AN20" s="190">
        <v>-6636.6</v>
      </c>
      <c r="AO20" s="190">
        <v>-4209778.05</v>
      </c>
      <c r="AP20" s="190">
        <v>-7172700.2400000002</v>
      </c>
      <c r="AQ20" s="190">
        <v>-8412004.8000000007</v>
      </c>
      <c r="AR20" s="190">
        <v>-12304361.58</v>
      </c>
      <c r="AS20" s="190">
        <v>13324244.859999999</v>
      </c>
      <c r="AT20" s="190">
        <v>1507130.52</v>
      </c>
      <c r="AU20" s="190">
        <v>1991862.12</v>
      </c>
      <c r="AV20" s="190">
        <v>7239244.5800000001</v>
      </c>
      <c r="AW20" s="190">
        <v>6962586.4100000001</v>
      </c>
      <c r="AX20" s="190">
        <v>-6609543.79</v>
      </c>
      <c r="AY20" s="190">
        <v>-3889806.9</v>
      </c>
      <c r="AZ20" s="190">
        <v>-11072594.890000001</v>
      </c>
      <c r="BA20" s="190">
        <v>-31223327.969999999</v>
      </c>
      <c r="BB20" s="190">
        <v>-39777854.969999999</v>
      </c>
      <c r="BC20" s="190">
        <v>-45370548.880000003</v>
      </c>
      <c r="BD20" s="190">
        <v>-44984721.909999996</v>
      </c>
      <c r="BE20" s="190">
        <v>-318439670.99000001</v>
      </c>
      <c r="BF20" s="190">
        <v>-277675337.48000002</v>
      </c>
      <c r="BG20" s="190">
        <v>-243361897.47999999</v>
      </c>
      <c r="BH20" s="190">
        <v>-156109067.38</v>
      </c>
      <c r="BI20" s="190">
        <v>69402939.780000001</v>
      </c>
      <c r="BJ20" s="190">
        <v>-127067140.53</v>
      </c>
      <c r="BK20" s="190">
        <v>-28667883.329999998</v>
      </c>
      <c r="BL20" s="190">
        <v>-88581604.349999994</v>
      </c>
      <c r="BM20" s="190">
        <v>46532285.009999998</v>
      </c>
      <c r="BN20" s="190">
        <v>-77192979.090000004</v>
      </c>
      <c r="BO20" s="190">
        <v>-99741360.409999996</v>
      </c>
      <c r="BP20" s="190">
        <v>6771450.3099999996</v>
      </c>
      <c r="BQ20" s="190">
        <v>-7089081.2999999998</v>
      </c>
      <c r="BR20" s="190">
        <v>4455370.5199999996</v>
      </c>
      <c r="BS20" s="190">
        <v>-8375594.7699999996</v>
      </c>
      <c r="BT20" s="190">
        <v>2582327.89</v>
      </c>
      <c r="BU20" s="190">
        <v>0</v>
      </c>
      <c r="BV20" s="190">
        <v>0</v>
      </c>
    </row>
    <row r="21" spans="1:74" s="221" customFormat="1" x14ac:dyDescent="0.25">
      <c r="A21" s="221" t="s">
        <v>667</v>
      </c>
      <c r="E21" s="221">
        <f>E20/E19</f>
        <v>8.7760167274816414</v>
      </c>
      <c r="F21" s="221">
        <f t="shared" ref="F21:AS21" si="56">F20/F19</f>
        <v>9.2009262064811779</v>
      </c>
      <c r="G21" s="221">
        <f t="shared" si="56"/>
        <v>4.7915296282046462</v>
      </c>
      <c r="H21" s="221">
        <f t="shared" si="56"/>
        <v>5.1448771856154272</v>
      </c>
      <c r="I21" s="221">
        <f t="shared" si="56"/>
        <v>1.118769249966107</v>
      </c>
      <c r="J21" s="221">
        <f t="shared" si="56"/>
        <v>488.0384941873466</v>
      </c>
      <c r="K21" s="221">
        <f t="shared" si="56"/>
        <v>-582.26118502492966</v>
      </c>
      <c r="L21" s="221">
        <f t="shared" si="56"/>
        <v>1968.3564306988712</v>
      </c>
      <c r="M21" s="221">
        <f t="shared" si="56"/>
        <v>-85.143614333345297</v>
      </c>
      <c r="N21" s="221">
        <f t="shared" si="56"/>
        <v>-608.65831572624563</v>
      </c>
      <c r="O21" s="221">
        <f t="shared" si="56"/>
        <v>-1596.692579061769</v>
      </c>
      <c r="P21" s="221">
        <f t="shared" si="56"/>
        <v>-1245.2247768718607</v>
      </c>
      <c r="Q21" s="221">
        <f t="shared" si="56"/>
        <v>-124.12549124548433</v>
      </c>
      <c r="R21" s="221">
        <f t="shared" si="56"/>
        <v>-56.891351668644091</v>
      </c>
      <c r="S21" s="221">
        <f t="shared" si="56"/>
        <v>-77.83510612443078</v>
      </c>
      <c r="T21" s="221">
        <f t="shared" si="56"/>
        <v>-452.8573718544805</v>
      </c>
      <c r="U21" s="221">
        <f t="shared" si="56"/>
        <v>-0.50494411113313953</v>
      </c>
      <c r="V21" s="221">
        <f t="shared" si="56"/>
        <v>-332.43927470233626</v>
      </c>
      <c r="W21" s="221">
        <f t="shared" si="56"/>
        <v>-536.44244262698658</v>
      </c>
      <c r="X21" s="221">
        <f t="shared" si="56"/>
        <v>-1329.7017667184937</v>
      </c>
      <c r="Y21" s="221">
        <f t="shared" si="56"/>
        <v>11.975644629473695</v>
      </c>
      <c r="Z21" s="221">
        <f t="shared" si="56"/>
        <v>-169.07402736829428</v>
      </c>
      <c r="AA21" s="221">
        <f t="shared" si="56"/>
        <v>-192.57946926690508</v>
      </c>
      <c r="AB21" s="221">
        <f t="shared" si="56"/>
        <v>-382.58340397354499</v>
      </c>
      <c r="AC21" s="221">
        <f t="shared" si="56"/>
        <v>-5.8493623231219063</v>
      </c>
      <c r="AD21" s="221">
        <f t="shared" si="56"/>
        <v>-451.03664101577527</v>
      </c>
      <c r="AE21" s="221" t="e">
        <f t="shared" si="56"/>
        <v>#DIV/0!</v>
      </c>
      <c r="AF21" s="221" t="e">
        <f t="shared" si="56"/>
        <v>#DIV/0!</v>
      </c>
      <c r="AG21" s="221" t="e">
        <f t="shared" si="56"/>
        <v>#DIV/0!</v>
      </c>
      <c r="AH21" s="221" t="e">
        <f t="shared" si="56"/>
        <v>#DIV/0!</v>
      </c>
      <c r="AI21" s="221" t="e">
        <f t="shared" si="56"/>
        <v>#DIV/0!</v>
      </c>
      <c r="AJ21" s="221" t="e">
        <f t="shared" si="56"/>
        <v>#DIV/0!</v>
      </c>
      <c r="AK21" s="221">
        <f t="shared" si="56"/>
        <v>0.90054925409937125</v>
      </c>
      <c r="AL21" s="221">
        <f t="shared" si="56"/>
        <v>2.1895435519664654</v>
      </c>
      <c r="AM21" s="221">
        <f t="shared" si="56"/>
        <v>1.8850494390334112</v>
      </c>
      <c r="AN21" s="221" t="e">
        <f t="shared" si="56"/>
        <v>#DIV/0!</v>
      </c>
      <c r="AO21" s="221">
        <f t="shared" si="56"/>
        <v>-0.80322673649208154</v>
      </c>
      <c r="AP21" s="221">
        <f t="shared" si="56"/>
        <v>312.6721987794246</v>
      </c>
      <c r="AQ21" s="221">
        <f t="shared" si="56"/>
        <v>366.69593722755019</v>
      </c>
      <c r="AR21" s="221">
        <f t="shared" si="56"/>
        <v>-1025.3634649999999</v>
      </c>
      <c r="AS21" s="221" t="e">
        <f t="shared" si="56"/>
        <v>#DIV/0!</v>
      </c>
    </row>
    <row r="22" spans="1:74" s="193" customFormat="1" x14ac:dyDescent="0.25">
      <c r="A22" s="193" t="s">
        <v>301</v>
      </c>
      <c r="E22" s="193">
        <f>I35</f>
        <v>1438863232.1800001</v>
      </c>
      <c r="F22" s="193">
        <f t="shared" ref="F22:Y22" si="57">J35</f>
        <v>1056196901.1600001</v>
      </c>
      <c r="G22" s="193">
        <f t="shared" si="57"/>
        <v>1737525344.23</v>
      </c>
      <c r="H22" s="193">
        <f t="shared" si="57"/>
        <v>1933316623.48</v>
      </c>
      <c r="I22" s="193">
        <f t="shared" si="57"/>
        <v>764091700.45000005</v>
      </c>
      <c r="J22" s="193">
        <f t="shared" si="57"/>
        <v>785217963.60000002</v>
      </c>
      <c r="K22" s="193">
        <f t="shared" si="57"/>
        <v>794522845.71000004</v>
      </c>
      <c r="L22" s="193">
        <f t="shared" si="57"/>
        <v>1003198817.6400001</v>
      </c>
      <c r="M22" s="193">
        <f t="shared" si="57"/>
        <v>2510334268.3099999</v>
      </c>
      <c r="N22" s="193">
        <f t="shared" si="57"/>
        <v>1023170234.97</v>
      </c>
      <c r="O22" s="193">
        <f t="shared" si="57"/>
        <v>763798441.50999999</v>
      </c>
      <c r="P22" s="193">
        <f t="shared" si="57"/>
        <v>915094214.45000005</v>
      </c>
      <c r="Q22" s="193">
        <f t="shared" si="57"/>
        <v>891052090.87</v>
      </c>
      <c r="R22" s="193">
        <f t="shared" si="57"/>
        <v>796187571.14999998</v>
      </c>
      <c r="S22" s="193">
        <f t="shared" si="57"/>
        <v>562966007.25999999</v>
      </c>
      <c r="T22" s="193">
        <f t="shared" si="57"/>
        <v>738153106.33000004</v>
      </c>
      <c r="U22" s="193">
        <f t="shared" si="57"/>
        <v>1135896723.99</v>
      </c>
      <c r="V22" s="193">
        <f t="shared" si="57"/>
        <v>771284537.24000001</v>
      </c>
      <c r="W22" s="193">
        <f t="shared" si="57"/>
        <v>441810812.27999997</v>
      </c>
      <c r="X22" s="193">
        <f t="shared" si="57"/>
        <v>340794569.60000002</v>
      </c>
      <c r="Y22" s="193">
        <f t="shared" si="57"/>
        <v>596448701.64999998</v>
      </c>
      <c r="Z22" s="193">
        <f t="shared" ref="Z22" si="58">AD35</f>
        <v>466216.12</v>
      </c>
      <c r="AA22" s="193">
        <f t="shared" ref="AA22" si="59">AE35</f>
        <v>357891.61</v>
      </c>
      <c r="AB22" s="193">
        <f t="shared" ref="AB22" si="60">AF35</f>
        <v>432840.36</v>
      </c>
      <c r="AC22" s="193">
        <f t="shared" ref="AC22" si="61">AG35</f>
        <v>1641059.35</v>
      </c>
      <c r="AD22" s="193">
        <f t="shared" ref="AD22" si="62">AH35</f>
        <v>254163.5</v>
      </c>
      <c r="AE22" s="193">
        <f t="shared" ref="AE22" si="63">AI35</f>
        <v>408737.88</v>
      </c>
      <c r="AF22" s="193">
        <f t="shared" ref="AF22" si="64">AJ35</f>
        <v>294989.28000000003</v>
      </c>
      <c r="AG22" s="193">
        <f t="shared" ref="AG22" si="65">AK35</f>
        <v>567374.21</v>
      </c>
      <c r="AH22" s="193">
        <f t="shared" ref="AH22" si="66">AL35</f>
        <v>149172.9</v>
      </c>
      <c r="AI22" s="193">
        <f t="shared" ref="AI22" si="67">AM35</f>
        <v>247962.97</v>
      </c>
      <c r="AJ22" s="193">
        <f t="shared" ref="AJ22" si="68">AN35</f>
        <v>528471.81000000006</v>
      </c>
      <c r="AK22" s="193">
        <f t="shared" ref="AK22" si="69">AO35</f>
        <v>535108.41</v>
      </c>
      <c r="AL22" s="193">
        <f t="shared" ref="AL22" si="70">AP35</f>
        <v>1997288.68</v>
      </c>
      <c r="AM22" s="193">
        <f t="shared" ref="AM22" si="71">AQ35</f>
        <v>1596904.73</v>
      </c>
      <c r="AN22" s="193">
        <f t="shared" ref="AN22" si="72">AR35</f>
        <v>3671275.8</v>
      </c>
      <c r="AO22" s="193">
        <f t="shared" ref="AO22" si="73">AS35</f>
        <v>15985969.529999999</v>
      </c>
      <c r="AP22" s="193">
        <f t="shared" ref="AP22" si="74">AT35</f>
        <v>7460925.71</v>
      </c>
      <c r="AQ22" s="193">
        <f t="shared" ref="AQ22" si="75">AU35</f>
        <v>8511971.4000000004</v>
      </c>
      <c r="AR22" s="193">
        <f t="shared" ref="AR22" si="76">AV35</f>
        <v>13812006.470000001</v>
      </c>
      <c r="AS22" s="193">
        <f t="shared" ref="AS22" si="77">AW35</f>
        <v>10885333.24</v>
      </c>
    </row>
    <row r="23" spans="1:74" s="193" customFormat="1" x14ac:dyDescent="0.25">
      <c r="A23" s="193" t="s">
        <v>302</v>
      </c>
      <c r="E23" s="193">
        <f>E20+E22-E19</f>
        <v>-816738566.19000006</v>
      </c>
      <c r="F23" s="193">
        <f t="shared" ref="F23:AS23" si="78">F20+F22-F19</f>
        <v>-1395424746.71</v>
      </c>
      <c r="G23" s="193">
        <f t="shared" si="78"/>
        <v>593801566.29999995</v>
      </c>
      <c r="H23" s="193">
        <f t="shared" si="78"/>
        <v>672254226.41999996</v>
      </c>
      <c r="I23" s="193">
        <f t="shared" si="78"/>
        <v>837459789.66000009</v>
      </c>
      <c r="J23" s="193">
        <f t="shared" si="78"/>
        <v>922814335.38</v>
      </c>
      <c r="K23" s="193">
        <f t="shared" si="78"/>
        <v>408340400.75000006</v>
      </c>
      <c r="L23" s="193">
        <f t="shared" si="78"/>
        <v>1092503421.5699999</v>
      </c>
      <c r="M23" s="193">
        <f t="shared" si="78"/>
        <v>1732396008.76</v>
      </c>
      <c r="N23" s="193">
        <f t="shared" si="78"/>
        <v>-541488733.3499999</v>
      </c>
      <c r="O23" s="193">
        <f t="shared" si="78"/>
        <v>-1324082996.5799999</v>
      </c>
      <c r="P23" s="193">
        <f t="shared" si="78"/>
        <v>-482362792.94999987</v>
      </c>
      <c r="Q23" s="193">
        <f t="shared" si="78"/>
        <v>-545897801.87</v>
      </c>
      <c r="R23" s="193">
        <f t="shared" si="78"/>
        <v>321509139.77999997</v>
      </c>
      <c r="S23" s="193">
        <f t="shared" si="78"/>
        <v>-62741947.680000007</v>
      </c>
      <c r="T23" s="193">
        <f t="shared" si="78"/>
        <v>187727852.44999999</v>
      </c>
      <c r="U23" s="193">
        <f t="shared" si="78"/>
        <v>526328862.79000002</v>
      </c>
      <c r="V23" s="193">
        <f t="shared" si="78"/>
        <v>331467660.57999998</v>
      </c>
      <c r="W23" s="193">
        <f t="shared" si="78"/>
        <v>-48056951.230000012</v>
      </c>
      <c r="X23" s="193">
        <f t="shared" si="78"/>
        <v>87433623.980000034</v>
      </c>
      <c r="Y23" s="193">
        <f t="shared" si="78"/>
        <v>1139832410.2999997</v>
      </c>
      <c r="Z23" s="193">
        <f t="shared" si="78"/>
        <v>-187534778.73999998</v>
      </c>
      <c r="AA23" s="193">
        <f t="shared" si="78"/>
        <v>-129130928.85000001</v>
      </c>
      <c r="AB23" s="193">
        <f t="shared" si="78"/>
        <v>-209354542.76999998</v>
      </c>
      <c r="AC23" s="193">
        <f t="shared" si="78"/>
        <v>-280048293.64999998</v>
      </c>
      <c r="AD23" s="193">
        <f t="shared" si="78"/>
        <v>-920679.73</v>
      </c>
      <c r="AE23" s="193">
        <f t="shared" si="78"/>
        <v>-874429.86</v>
      </c>
      <c r="AF23" s="193">
        <f t="shared" si="78"/>
        <v>-913229.71</v>
      </c>
      <c r="AG23" s="193">
        <f t="shared" si="78"/>
        <v>21641059.350000001</v>
      </c>
      <c r="AH23" s="193">
        <f t="shared" si="78"/>
        <v>-164037.81000000003</v>
      </c>
      <c r="AI23" s="193">
        <f t="shared" si="78"/>
        <v>89326.640000000014</v>
      </c>
      <c r="AJ23" s="193">
        <f t="shared" si="78"/>
        <v>256086.88000000006</v>
      </c>
      <c r="AK23" s="193">
        <f t="shared" si="78"/>
        <v>567374.21</v>
      </c>
      <c r="AL23" s="193">
        <f t="shared" si="78"/>
        <v>1611353.17</v>
      </c>
      <c r="AM23" s="193">
        <f t="shared" si="78"/>
        <v>1309759.29</v>
      </c>
      <c r="AN23" s="193">
        <f t="shared" si="78"/>
        <v>3664639.1999999997</v>
      </c>
      <c r="AO23" s="193">
        <f t="shared" si="78"/>
        <v>6535108.4100000001</v>
      </c>
      <c r="AP23" s="193">
        <f t="shared" si="78"/>
        <v>311165.46999999974</v>
      </c>
      <c r="AQ23" s="193">
        <f t="shared" si="78"/>
        <v>122906.59999999963</v>
      </c>
      <c r="AR23" s="193">
        <f t="shared" si="78"/>
        <v>1495644.8900000006</v>
      </c>
      <c r="AS23" s="193">
        <f t="shared" si="78"/>
        <v>24209578.100000001</v>
      </c>
    </row>
    <row r="24" spans="1:74" s="221" customFormat="1" x14ac:dyDescent="0.25">
      <c r="A24" s="221" t="s">
        <v>303</v>
      </c>
      <c r="B24" s="190">
        <v>-899495009.83000004</v>
      </c>
      <c r="C24" s="190">
        <v>-457515301.64999998</v>
      </c>
      <c r="D24" s="190">
        <v>30484705.469999999</v>
      </c>
      <c r="E24" s="190">
        <v>1793290046.49</v>
      </c>
      <c r="F24" s="190">
        <v>2482837948.5100002</v>
      </c>
      <c r="G24" s="190">
        <v>947841364.10000002</v>
      </c>
      <c r="H24" s="190">
        <v>1006824795.16</v>
      </c>
      <c r="I24" s="190">
        <v>596438553.82000005</v>
      </c>
      <c r="J24" s="190">
        <v>976166350.05999994</v>
      </c>
      <c r="K24" s="190">
        <v>1712216253.75</v>
      </c>
      <c r="L24" s="190">
        <v>1082486466.45</v>
      </c>
      <c r="M24" s="190">
        <v>-1393577742.4300001</v>
      </c>
      <c r="N24" s="190">
        <v>-387982386.91000003</v>
      </c>
      <c r="O24" s="190">
        <v>141904463.28999999</v>
      </c>
      <c r="P24" s="190">
        <v>-106317398.22</v>
      </c>
      <c r="Q24" s="190">
        <v>2789393379.79</v>
      </c>
      <c r="R24" s="190">
        <v>447741433.19999999</v>
      </c>
      <c r="S24" s="190">
        <v>486941527.75</v>
      </c>
      <c r="T24" s="190">
        <v>582904828.14999998</v>
      </c>
      <c r="U24" s="190">
        <v>427971635.61000001</v>
      </c>
      <c r="V24" s="190">
        <v>297747046.89999998</v>
      </c>
      <c r="W24" s="190">
        <v>-186225932.40000001</v>
      </c>
      <c r="X24" s="190">
        <v>-142928445.69999999</v>
      </c>
      <c r="Y24" s="190">
        <v>-210247257.30000001</v>
      </c>
      <c r="Z24" s="190">
        <v>159673907.40000001</v>
      </c>
      <c r="AA24" s="190">
        <v>-121724974.76000001</v>
      </c>
      <c r="AB24" s="190">
        <v>-44173651.469999999</v>
      </c>
      <c r="AC24" s="190">
        <v>358484404.81999999</v>
      </c>
      <c r="AD24" s="190">
        <v>0</v>
      </c>
      <c r="AE24" s="190">
        <v>0</v>
      </c>
      <c r="AF24" s="190">
        <v>0</v>
      </c>
      <c r="AG24" s="190">
        <v>-20000000</v>
      </c>
      <c r="AH24" s="190">
        <v>0</v>
      </c>
      <c r="AI24" s="190">
        <v>0</v>
      </c>
      <c r="AJ24" s="190">
        <v>0</v>
      </c>
      <c r="AK24" s="190">
        <v>0</v>
      </c>
      <c r="AL24" s="190">
        <v>0</v>
      </c>
      <c r="AM24" s="190">
        <v>0</v>
      </c>
      <c r="AN24" s="190">
        <v>0</v>
      </c>
      <c r="AO24" s="190">
        <v>-6000000</v>
      </c>
      <c r="AP24" s="190">
        <v>-6000000</v>
      </c>
      <c r="AQ24" s="190">
        <v>-6000000</v>
      </c>
      <c r="AR24" s="190">
        <v>0</v>
      </c>
      <c r="AS24" s="190">
        <v>-7000000</v>
      </c>
      <c r="AT24" s="190">
        <v>-4000073.2</v>
      </c>
      <c r="AU24" s="190">
        <v>-4000071.71</v>
      </c>
      <c r="AV24" s="190">
        <v>-4000069.01</v>
      </c>
      <c r="AW24" s="190">
        <v>-12559491.439999999</v>
      </c>
      <c r="AX24" s="190">
        <v>-550016.81999999995</v>
      </c>
      <c r="AY24" s="190">
        <v>-550015.44999999995</v>
      </c>
      <c r="AZ24" s="190">
        <v>-400007.64</v>
      </c>
      <c r="BA24" s="190">
        <v>-69499645.280000001</v>
      </c>
      <c r="BB24" s="190">
        <v>-7264621.3200000003</v>
      </c>
      <c r="BC24" s="190">
        <v>-7031567.54</v>
      </c>
      <c r="BD24" s="190">
        <v>-6495074.1600000001</v>
      </c>
      <c r="BE24" s="190">
        <v>-2630946.08</v>
      </c>
      <c r="BF24" s="190">
        <v>55953357.810000002</v>
      </c>
      <c r="BG24" s="190">
        <v>54770900.130000003</v>
      </c>
      <c r="BH24" s="190">
        <v>35898317.369999997</v>
      </c>
      <c r="BI24" s="190">
        <v>-29748514.93</v>
      </c>
      <c r="BJ24" s="190">
        <v>165776362.13999999</v>
      </c>
      <c r="BK24" s="190">
        <v>119511569.02</v>
      </c>
      <c r="BL24" s="190">
        <v>171306773.87</v>
      </c>
      <c r="BM24" s="190">
        <v>6253389.0899999999</v>
      </c>
      <c r="BN24" s="190">
        <v>161371518.47999999</v>
      </c>
      <c r="BO24" s="190">
        <v>224590355.59</v>
      </c>
      <c r="BP24" s="190">
        <v>47231186.469999999</v>
      </c>
      <c r="BQ24" s="190">
        <v>27621806.739999998</v>
      </c>
      <c r="BR24" s="190">
        <v>35543711.810000002</v>
      </c>
      <c r="BS24" s="190">
        <v>79867395.5</v>
      </c>
      <c r="BT24" s="190">
        <v>-4890483.17</v>
      </c>
      <c r="BU24" s="190">
        <v>0</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527580000</v>
      </c>
      <c r="N26" s="26">
        <f>现金流量表!N15</f>
        <v>306840000</v>
      </c>
      <c r="O26" s="26">
        <f>现金流量表!O15</f>
        <v>306340000</v>
      </c>
      <c r="P26" s="26">
        <f>现金流量表!P15</f>
        <v>0</v>
      </c>
      <c r="Q26" s="26">
        <f>现金流量表!Q15</f>
        <v>136233051.84999999</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510000</v>
      </c>
      <c r="Z26" s="26">
        <f>现金流量表!Z15</f>
        <v>510000</v>
      </c>
      <c r="AA26" s="26">
        <f>现金流量表!AA15</f>
        <v>510000</v>
      </c>
      <c r="AB26" s="26">
        <f>现金流量表!AB15</f>
        <v>0</v>
      </c>
      <c r="AC26" s="26">
        <f>现金流量表!AC15</f>
        <v>800901.97</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40100472.5</v>
      </c>
      <c r="BF26" s="26">
        <f>现金流量表!BF15</f>
        <v>40138366.789999999</v>
      </c>
      <c r="BG26" s="26">
        <f>现金流量表!BG15</f>
        <v>16638366.789999999</v>
      </c>
      <c r="BH26" s="26">
        <f>现金流量表!BH15</f>
        <v>638366.79</v>
      </c>
      <c r="BI26" s="26">
        <f>现金流量表!BI15</f>
        <v>102191826.52</v>
      </c>
      <c r="BJ26" s="26">
        <f>现金流量表!BJ15</f>
        <v>45178643.399999999</v>
      </c>
      <c r="BK26" s="26">
        <f>现金流量表!BK15</f>
        <v>44925219.409999996</v>
      </c>
      <c r="BL26" s="26">
        <f>现金流量表!BL15</f>
        <v>0</v>
      </c>
      <c r="BM26" s="26">
        <f>现金流量表!BM15</f>
        <v>0</v>
      </c>
      <c r="BN26" s="26">
        <f>现金流量表!BN15</f>
        <v>0</v>
      </c>
      <c r="BO26" s="26">
        <f>现金流量表!BO15</f>
        <v>46665857.579999998</v>
      </c>
      <c r="BP26" s="26">
        <f>现金流量表!BP15</f>
        <v>39820000</v>
      </c>
      <c r="BQ26" s="26">
        <f>现金流量表!BQ15</f>
        <v>1006850</v>
      </c>
      <c r="BR26" s="26">
        <f>现金流量表!BR15</f>
        <v>1000150</v>
      </c>
      <c r="BS26" s="26">
        <f>现金流量表!BS15</f>
        <v>6016052.7800000003</v>
      </c>
      <c r="BT26" s="26">
        <f>现金流量表!BT15</f>
        <v>117754600</v>
      </c>
      <c r="BU26" s="26">
        <f>现金流量表!BU15</f>
        <v>0</v>
      </c>
      <c r="BV26" s="26">
        <f>现金流量表!BV15</f>
        <v>0</v>
      </c>
    </row>
    <row r="27" spans="1:74" s="26" customFormat="1" x14ac:dyDescent="0.25">
      <c r="A27" s="17" t="s">
        <v>632</v>
      </c>
      <c r="E27" s="26">
        <f>现金流量表!E22</f>
        <v>0</v>
      </c>
      <c r="F27" s="26">
        <f>现金流量表!F22</f>
        <v>251797471.40000001</v>
      </c>
      <c r="G27" s="26">
        <f>现金流量表!G22</f>
        <v>551797471.39999998</v>
      </c>
      <c r="H27" s="26">
        <f>现金流量表!H22</f>
        <v>539797471.39999998</v>
      </c>
      <c r="I27" s="26">
        <f>现金流量表!I22</f>
        <v>72711694.959999993</v>
      </c>
      <c r="J27" s="26">
        <f>现金流量表!J22</f>
        <v>832934061.77999997</v>
      </c>
      <c r="K27" s="26">
        <f>现金流量表!K22</f>
        <v>362821887.27999997</v>
      </c>
      <c r="L27" s="26">
        <f>现金流量表!L22</f>
        <v>290000000</v>
      </c>
      <c r="M27" s="26">
        <f>现金流量表!M22</f>
        <v>0</v>
      </c>
      <c r="N27" s="26">
        <f>现金流量表!N22</f>
        <v>0</v>
      </c>
      <c r="O27" s="26">
        <f>现金流量表!O22</f>
        <v>0</v>
      </c>
      <c r="P27" s="26">
        <f>现金流量表!P22</f>
        <v>0</v>
      </c>
      <c r="Q27" s="26">
        <f>现金流量表!Q22</f>
        <v>0</v>
      </c>
      <c r="R27" s="26">
        <f>现金流量表!R22</f>
        <v>0</v>
      </c>
      <c r="S27" s="26">
        <f>现金流量表!S22</f>
        <v>0</v>
      </c>
      <c r="T27" s="26">
        <f>现金流量表!T22</f>
        <v>0</v>
      </c>
      <c r="U27" s="26">
        <f>现金流量表!U22</f>
        <v>300000000</v>
      </c>
      <c r="V27" s="26">
        <f>现金流量表!V22</f>
        <v>300000000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675244.1</v>
      </c>
      <c r="AY27" s="26">
        <f>现金流量表!AY22</f>
        <v>675244.1</v>
      </c>
      <c r="AZ27" s="26">
        <f>现金流量表!AZ22</f>
        <v>675243.1</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73592299.019999996</v>
      </c>
      <c r="BJ27" s="26">
        <f>现金流量表!BJ22</f>
        <v>66486347.810000002</v>
      </c>
      <c r="BK27" s="26">
        <f>现金流量表!BK22</f>
        <v>60949049.5</v>
      </c>
      <c r="BL27" s="26">
        <f>现金流量表!BL22</f>
        <v>0</v>
      </c>
      <c r="BM27" s="26">
        <f>现金流量表!BM22</f>
        <v>200000</v>
      </c>
      <c r="BN27" s="26">
        <f>现金流量表!BN22</f>
        <v>0</v>
      </c>
      <c r="BO27" s="26">
        <f>现金流量表!BO22</f>
        <v>12254900</v>
      </c>
      <c r="BP27" s="26">
        <f>现金流量表!BP22</f>
        <v>12158400</v>
      </c>
      <c r="BQ27" s="26">
        <f>现金流量表!BQ22</f>
        <v>62035200</v>
      </c>
      <c r="BR27" s="26">
        <f>现金流量表!BR22</f>
        <v>5000000</v>
      </c>
      <c r="BS27" s="26">
        <f>现金流量表!BS22</f>
        <v>2000300</v>
      </c>
      <c r="BT27" s="26">
        <f>现金流量表!BT22</f>
        <v>235509200</v>
      </c>
      <c r="BU27" s="26">
        <f>现金流量表!BU22</f>
        <v>0</v>
      </c>
      <c r="BV27" s="26">
        <f>现金流量表!BV22</f>
        <v>0</v>
      </c>
    </row>
    <row r="28" spans="1:74" s="26" customFormat="1" x14ac:dyDescent="0.25">
      <c r="A28" s="17" t="s">
        <v>633</v>
      </c>
      <c r="E28" s="26">
        <f>E27-E26</f>
        <v>0</v>
      </c>
      <c r="F28" s="26">
        <f t="shared" ref="F28:BQ28" si="79">F27-F26</f>
        <v>251797471.40000001</v>
      </c>
      <c r="G28" s="26">
        <f t="shared" si="79"/>
        <v>551797471.39999998</v>
      </c>
      <c r="H28" s="26">
        <f t="shared" si="79"/>
        <v>539797471.39999998</v>
      </c>
      <c r="I28" s="26">
        <f t="shared" si="79"/>
        <v>72711694.959999993</v>
      </c>
      <c r="J28" s="26">
        <f t="shared" si="79"/>
        <v>832934061.77999997</v>
      </c>
      <c r="K28" s="26">
        <f t="shared" si="79"/>
        <v>362821887.27999997</v>
      </c>
      <c r="L28" s="26">
        <f t="shared" si="79"/>
        <v>290000000</v>
      </c>
      <c r="M28" s="26">
        <f t="shared" si="79"/>
        <v>-527580000</v>
      </c>
      <c r="N28" s="26">
        <f t="shared" si="79"/>
        <v>-306840000</v>
      </c>
      <c r="O28" s="26">
        <f t="shared" si="79"/>
        <v>-306340000</v>
      </c>
      <c r="P28" s="26">
        <f t="shared" si="79"/>
        <v>0</v>
      </c>
      <c r="Q28" s="26">
        <f t="shared" si="79"/>
        <v>-136233051.84999999</v>
      </c>
      <c r="R28" s="26">
        <f t="shared" si="79"/>
        <v>0</v>
      </c>
      <c r="S28" s="26">
        <f t="shared" si="79"/>
        <v>0</v>
      </c>
      <c r="T28" s="26">
        <f t="shared" si="79"/>
        <v>0</v>
      </c>
      <c r="U28" s="26">
        <f t="shared" si="79"/>
        <v>300000000</v>
      </c>
      <c r="V28" s="26">
        <f t="shared" si="79"/>
        <v>300000000</v>
      </c>
      <c r="W28" s="26">
        <f t="shared" si="79"/>
        <v>0</v>
      </c>
      <c r="X28" s="26">
        <f t="shared" si="79"/>
        <v>0</v>
      </c>
      <c r="Y28" s="26">
        <f t="shared" si="79"/>
        <v>-510000</v>
      </c>
      <c r="Z28" s="26">
        <f t="shared" si="79"/>
        <v>-510000</v>
      </c>
      <c r="AA28" s="26">
        <f t="shared" si="79"/>
        <v>-510000</v>
      </c>
      <c r="AB28" s="26">
        <f t="shared" si="79"/>
        <v>0</v>
      </c>
      <c r="AC28" s="26">
        <f t="shared" si="79"/>
        <v>-800901.97</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675244.1</v>
      </c>
      <c r="AY28" s="26">
        <f t="shared" si="79"/>
        <v>675244.1</v>
      </c>
      <c r="AZ28" s="26">
        <f t="shared" si="79"/>
        <v>675243.1</v>
      </c>
      <c r="BA28" s="26">
        <f t="shared" si="79"/>
        <v>0</v>
      </c>
      <c r="BB28" s="26">
        <f t="shared" si="79"/>
        <v>0</v>
      </c>
      <c r="BC28" s="26">
        <f t="shared" si="79"/>
        <v>0</v>
      </c>
      <c r="BD28" s="26">
        <f t="shared" si="79"/>
        <v>0</v>
      </c>
      <c r="BE28" s="26">
        <f t="shared" si="79"/>
        <v>-40100472.5</v>
      </c>
      <c r="BF28" s="26">
        <f t="shared" si="79"/>
        <v>-40138366.789999999</v>
      </c>
      <c r="BG28" s="26">
        <f t="shared" si="79"/>
        <v>-16638366.789999999</v>
      </c>
      <c r="BH28" s="26">
        <f t="shared" si="79"/>
        <v>-638366.79</v>
      </c>
      <c r="BI28" s="26">
        <f t="shared" si="79"/>
        <v>-28599527.5</v>
      </c>
      <c r="BJ28" s="26">
        <f t="shared" si="79"/>
        <v>21307704.410000004</v>
      </c>
      <c r="BK28" s="26">
        <f t="shared" si="79"/>
        <v>16023830.090000004</v>
      </c>
      <c r="BL28" s="26">
        <f t="shared" si="79"/>
        <v>0</v>
      </c>
      <c r="BM28" s="26">
        <f t="shared" si="79"/>
        <v>200000</v>
      </c>
      <c r="BN28" s="26">
        <f t="shared" si="79"/>
        <v>0</v>
      </c>
      <c r="BO28" s="26">
        <f t="shared" si="79"/>
        <v>-34410957.579999998</v>
      </c>
      <c r="BP28" s="26">
        <f t="shared" si="79"/>
        <v>-27661600</v>
      </c>
      <c r="BQ28" s="26">
        <f t="shared" si="79"/>
        <v>61028350</v>
      </c>
      <c r="BR28" s="26">
        <f t="shared" ref="BR28:BV28" si="80">BR27-BR26</f>
        <v>3999850</v>
      </c>
      <c r="BS28" s="26">
        <f t="shared" si="80"/>
        <v>-4015752.7800000003</v>
      </c>
      <c r="BT28" s="26">
        <f t="shared" si="80"/>
        <v>117754600</v>
      </c>
      <c r="BU28" s="26">
        <f t="shared" si="80"/>
        <v>0</v>
      </c>
      <c r="BV28" s="26">
        <f t="shared" si="80"/>
        <v>0</v>
      </c>
    </row>
    <row r="29" spans="1:74" s="26" customFormat="1" ht="16.2" customHeight="1" x14ac:dyDescent="0.25">
      <c r="A29" s="181" t="s">
        <v>634</v>
      </c>
      <c r="E29" s="182">
        <f>POWER(E28/U28,1/5)-1</f>
        <v>-1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36160</v>
      </c>
      <c r="BU30" s="1">
        <v>25569</v>
      </c>
      <c r="BV30" s="1">
        <v>25569</v>
      </c>
    </row>
    <row r="31" spans="1:74" s="51" customFormat="1" ht="17.399999999999999" customHeight="1" x14ac:dyDescent="0.25">
      <c r="A31" s="111" t="s">
        <v>310</v>
      </c>
      <c r="B31" s="190">
        <v>2810365156.7399998</v>
      </c>
      <c r="C31" s="190">
        <v>2818818324.4699998</v>
      </c>
      <c r="D31" s="190">
        <v>2824501050.3499999</v>
      </c>
      <c r="E31" s="190">
        <v>2823818002.1100001</v>
      </c>
      <c r="F31" s="190">
        <v>2838197789.9400001</v>
      </c>
      <c r="G31" s="190">
        <v>2839264576.8899999</v>
      </c>
      <c r="H31" s="190">
        <v>2863649781.1199999</v>
      </c>
      <c r="I31" s="190">
        <v>3031221329.29</v>
      </c>
      <c r="J31" s="190">
        <v>3002296883.71</v>
      </c>
      <c r="K31" s="190">
        <v>3016561106.5700002</v>
      </c>
      <c r="L31" s="190">
        <v>1070136280.49</v>
      </c>
      <c r="M31" s="190">
        <v>1145575149.79</v>
      </c>
      <c r="N31" s="190">
        <v>1159065914.6099999</v>
      </c>
      <c r="O31" s="190">
        <v>1170838933.46</v>
      </c>
      <c r="P31" s="190">
        <v>1230705889.4200001</v>
      </c>
      <c r="Q31" s="190">
        <v>1234763332.45</v>
      </c>
      <c r="R31" s="190">
        <v>1257394792.97</v>
      </c>
      <c r="S31" s="190">
        <v>1255220702.28</v>
      </c>
      <c r="T31" s="190">
        <v>1239740895.77</v>
      </c>
      <c r="U31" s="190">
        <v>1241809411.0699999</v>
      </c>
      <c r="V31" s="190">
        <v>1025046758.39</v>
      </c>
      <c r="W31" s="190">
        <v>703150357.21000004</v>
      </c>
      <c r="X31" s="190">
        <v>704466106.5</v>
      </c>
      <c r="Y31" s="190">
        <v>671471327.80999994</v>
      </c>
      <c r="Z31" s="190">
        <v>643603724.62</v>
      </c>
      <c r="AA31" s="190">
        <v>630314509.45000005</v>
      </c>
      <c r="AB31" s="190">
        <v>639424075.38999999</v>
      </c>
      <c r="AC31" s="190">
        <v>624470658.96000004</v>
      </c>
      <c r="AD31" s="190">
        <v>57967561.600000001</v>
      </c>
      <c r="AE31" s="190">
        <v>58208707.729999997</v>
      </c>
      <c r="AF31" s="190">
        <v>58468231.75</v>
      </c>
      <c r="AG31" s="190">
        <v>58680760.960000001</v>
      </c>
      <c r="AH31" s="190">
        <v>59018298.130000003</v>
      </c>
      <c r="AI31" s="190">
        <v>59245281.219999999</v>
      </c>
      <c r="AJ31" s="190">
        <v>59480422.689999998</v>
      </c>
      <c r="AK31" s="190">
        <v>59704356.759999998</v>
      </c>
      <c r="AL31" s="190">
        <v>61146409.640000001</v>
      </c>
      <c r="AM31" s="190">
        <v>61403000.68</v>
      </c>
      <c r="AN31" s="190">
        <v>62018526.890000001</v>
      </c>
      <c r="AO31" s="190">
        <v>62278841.43</v>
      </c>
      <c r="AP31" s="190">
        <v>64368202.850000001</v>
      </c>
      <c r="AQ31" s="190">
        <v>64959022.719999999</v>
      </c>
      <c r="AR31" s="190">
        <v>66339249.469999999</v>
      </c>
      <c r="AS31" s="190">
        <v>66695061.439999998</v>
      </c>
      <c r="AT31" s="190">
        <v>78211061.239999995</v>
      </c>
      <c r="AU31" s="190">
        <v>78015455.640000001</v>
      </c>
      <c r="AV31" s="190">
        <v>78598247.010000005</v>
      </c>
      <c r="AW31" s="190">
        <v>70281536.150000006</v>
      </c>
      <c r="AX31" s="190">
        <v>54330317.359999999</v>
      </c>
      <c r="AY31" s="190">
        <v>47956229.450000003</v>
      </c>
      <c r="AZ31" s="190">
        <v>629546709.39999998</v>
      </c>
      <c r="BA31" s="190">
        <v>48856197.369999997</v>
      </c>
      <c r="BB31" s="190">
        <v>54872784.280000001</v>
      </c>
      <c r="BC31" s="190">
        <v>56095126.740000002</v>
      </c>
      <c r="BD31" s="190">
        <v>57749055.399999999</v>
      </c>
      <c r="BE31" s="190">
        <v>59341364.520000003</v>
      </c>
      <c r="BF31" s="190">
        <v>60279075.25</v>
      </c>
      <c r="BG31" s="190">
        <v>61448564.43</v>
      </c>
      <c r="BH31" s="190">
        <v>63663117.240000002</v>
      </c>
      <c r="BI31" s="190">
        <v>65679113.390000001</v>
      </c>
      <c r="BJ31" s="190">
        <v>44914132.539999999</v>
      </c>
      <c r="BK31" s="190">
        <v>47164482.600000001</v>
      </c>
      <c r="BL31" s="190">
        <v>49895913.460000001</v>
      </c>
      <c r="BM31" s="190">
        <v>50967898.100000001</v>
      </c>
      <c r="BN31" s="190">
        <v>54761896.590000004</v>
      </c>
      <c r="BO31" s="190">
        <v>56396883.130000003</v>
      </c>
      <c r="BP31" s="190">
        <v>57045954.109999999</v>
      </c>
      <c r="BQ31" s="190">
        <v>58523923.979999997</v>
      </c>
      <c r="BR31" s="190">
        <v>63630297.270000003</v>
      </c>
      <c r="BS31" s="190">
        <v>123915709.05</v>
      </c>
      <c r="BT31" s="190">
        <v>111228433.48999999</v>
      </c>
      <c r="BU31" s="190">
        <v>122353815.67</v>
      </c>
      <c r="BV31" s="190">
        <v>1686369507.6900001</v>
      </c>
    </row>
    <row r="32" spans="1:74" s="54" customFormat="1" ht="15" customHeight="1" x14ac:dyDescent="0.25">
      <c r="A32" s="138" t="s">
        <v>311</v>
      </c>
      <c r="B32" s="190">
        <v>1250851256.3399999</v>
      </c>
      <c r="C32" s="190">
        <v>1250851256.3399999</v>
      </c>
      <c r="D32" s="190">
        <v>1250851256.3399999</v>
      </c>
      <c r="E32" s="190">
        <v>1250851256.3399999</v>
      </c>
      <c r="F32" s="190">
        <v>1250851256.3399999</v>
      </c>
      <c r="G32" s="190">
        <v>1250851256.3399999</v>
      </c>
      <c r="H32" s="190">
        <v>1250851256.3399999</v>
      </c>
      <c r="I32" s="190">
        <v>1335586970.1700001</v>
      </c>
      <c r="J32" s="190">
        <v>1342086874.1800001</v>
      </c>
      <c r="K32" s="190">
        <v>1342086874.1800001</v>
      </c>
      <c r="L32" s="190">
        <v>89749996.019999996</v>
      </c>
      <c r="M32" s="190">
        <v>89749996.019999996</v>
      </c>
      <c r="N32" s="190">
        <v>89749996.019999996</v>
      </c>
      <c r="O32" s="190">
        <v>89749996.019999996</v>
      </c>
      <c r="P32" s="190">
        <v>89749996.019999996</v>
      </c>
      <c r="Q32" s="190">
        <v>89749996.019999996</v>
      </c>
      <c r="R32" s="190">
        <v>89749996.019999996</v>
      </c>
      <c r="S32" s="190">
        <v>89749996.019999996</v>
      </c>
      <c r="T32" s="190">
        <v>89749996.019999996</v>
      </c>
      <c r="U32" s="190">
        <v>89749996.019999996</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1258309.6399999999</v>
      </c>
      <c r="AU32" s="190">
        <v>1258309.6399999999</v>
      </c>
      <c r="AV32" s="190">
        <v>1258309.6399999999</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40000000</v>
      </c>
      <c r="C33" s="190">
        <v>40000000</v>
      </c>
      <c r="D33" s="190">
        <v>40000000</v>
      </c>
      <c r="E33" s="190">
        <v>25000000</v>
      </c>
      <c r="F33" s="190">
        <v>45200000</v>
      </c>
      <c r="G33" s="190">
        <v>45200000</v>
      </c>
      <c r="H33" s="190">
        <v>45200000</v>
      </c>
      <c r="I33" s="190">
        <v>45200000</v>
      </c>
      <c r="J33" s="190">
        <v>20200000</v>
      </c>
      <c r="K33" s="190">
        <v>20200000</v>
      </c>
      <c r="L33" s="190">
        <v>0</v>
      </c>
      <c r="M33" s="190">
        <v>0</v>
      </c>
      <c r="N33" s="190">
        <v>50050000</v>
      </c>
      <c r="O33" s="190">
        <v>50050000</v>
      </c>
      <c r="P33" s="190">
        <v>119350000</v>
      </c>
      <c r="Q33" s="190">
        <v>119350000</v>
      </c>
      <c r="R33" s="190">
        <v>150150000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1547966745.7700002</v>
      </c>
      <c r="F34" s="49">
        <f t="shared" ref="F34:BP34" si="81">F31-F32-F33</f>
        <v>1542146533.6000001</v>
      </c>
      <c r="G34" s="49">
        <f t="shared" si="81"/>
        <v>1543213320.55</v>
      </c>
      <c r="H34" s="49">
        <f t="shared" si="81"/>
        <v>1567598524.78</v>
      </c>
      <c r="I34" s="49">
        <f t="shared" si="81"/>
        <v>1650434359.1199999</v>
      </c>
      <c r="J34" s="49">
        <f t="shared" si="81"/>
        <v>1640010009.53</v>
      </c>
      <c r="K34" s="49">
        <f t="shared" si="81"/>
        <v>1654274232.3900001</v>
      </c>
      <c r="L34" s="49">
        <f t="shared" si="81"/>
        <v>980386284.47000003</v>
      </c>
      <c r="M34" s="49">
        <f t="shared" si="81"/>
        <v>1055825153.77</v>
      </c>
      <c r="N34" s="49">
        <f t="shared" si="81"/>
        <v>1019265918.5899999</v>
      </c>
      <c r="O34" s="49">
        <f t="shared" si="81"/>
        <v>1031038937.4400001</v>
      </c>
      <c r="P34" s="49">
        <f t="shared" si="81"/>
        <v>1021605893.4000001</v>
      </c>
      <c r="Q34" s="49">
        <f t="shared" si="81"/>
        <v>1025663336.4300001</v>
      </c>
      <c r="R34" s="49">
        <f t="shared" si="81"/>
        <v>1017494796.95</v>
      </c>
      <c r="S34" s="49">
        <f t="shared" si="81"/>
        <v>1165470706.26</v>
      </c>
      <c r="T34" s="49">
        <f t="shared" si="81"/>
        <v>1149990899.75</v>
      </c>
      <c r="U34" s="49">
        <f t="shared" si="81"/>
        <v>1152059415.05</v>
      </c>
      <c r="V34" s="49">
        <f t="shared" si="81"/>
        <v>1025046758.39</v>
      </c>
      <c r="W34" s="49">
        <f t="shared" si="81"/>
        <v>703150357.21000004</v>
      </c>
      <c r="X34" s="49">
        <f t="shared" si="81"/>
        <v>704466106.5</v>
      </c>
      <c r="Y34" s="49">
        <f t="shared" si="81"/>
        <v>671471327.80999994</v>
      </c>
      <c r="Z34" s="49">
        <f t="shared" si="81"/>
        <v>643603724.62</v>
      </c>
      <c r="AA34" s="49">
        <f t="shared" si="81"/>
        <v>630314509.45000005</v>
      </c>
      <c r="AB34" s="49">
        <f t="shared" si="81"/>
        <v>639424075.38999999</v>
      </c>
      <c r="AC34" s="49">
        <f t="shared" si="81"/>
        <v>624470658.96000004</v>
      </c>
      <c r="AD34" s="49">
        <f t="shared" si="81"/>
        <v>57967561.600000001</v>
      </c>
      <c r="AE34" s="49">
        <f t="shared" si="81"/>
        <v>58208707.729999997</v>
      </c>
      <c r="AF34" s="49">
        <f t="shared" si="81"/>
        <v>58468231.75</v>
      </c>
      <c r="AG34" s="49">
        <f t="shared" si="81"/>
        <v>58680760.960000001</v>
      </c>
      <c r="AH34" s="49">
        <f t="shared" si="81"/>
        <v>59018298.130000003</v>
      </c>
      <c r="AI34" s="49">
        <f t="shared" si="81"/>
        <v>59245281.219999999</v>
      </c>
      <c r="AJ34" s="49">
        <f t="shared" si="81"/>
        <v>59480422.689999998</v>
      </c>
      <c r="AK34" s="49">
        <f t="shared" si="81"/>
        <v>59704356.759999998</v>
      </c>
      <c r="AL34" s="49">
        <f t="shared" si="81"/>
        <v>61146409.640000001</v>
      </c>
      <c r="AM34" s="49">
        <f t="shared" si="81"/>
        <v>61403000.68</v>
      </c>
      <c r="AN34" s="49">
        <f t="shared" si="81"/>
        <v>62018526.890000001</v>
      </c>
      <c r="AO34" s="49">
        <f t="shared" si="81"/>
        <v>62278841.43</v>
      </c>
      <c r="AP34" s="49">
        <f t="shared" si="81"/>
        <v>64368202.850000001</v>
      </c>
      <c r="AQ34" s="49">
        <f t="shared" si="81"/>
        <v>64959022.719999999</v>
      </c>
      <c r="AR34" s="49">
        <f t="shared" si="81"/>
        <v>66339249.469999999</v>
      </c>
      <c r="AS34" s="49">
        <f t="shared" si="81"/>
        <v>66695061.439999998</v>
      </c>
      <c r="AT34" s="49">
        <f t="shared" si="81"/>
        <v>76952751.599999994</v>
      </c>
      <c r="AU34" s="49">
        <f t="shared" si="81"/>
        <v>76757146</v>
      </c>
      <c r="AV34" s="49">
        <f t="shared" si="81"/>
        <v>77339937.370000005</v>
      </c>
      <c r="AW34" s="49">
        <f t="shared" si="81"/>
        <v>70281536.150000006</v>
      </c>
      <c r="AX34" s="49">
        <f t="shared" si="81"/>
        <v>54330317.359999999</v>
      </c>
      <c r="AY34" s="49">
        <f t="shared" si="81"/>
        <v>47956229.450000003</v>
      </c>
      <c r="AZ34" s="49">
        <f t="shared" si="81"/>
        <v>629546709.39999998</v>
      </c>
      <c r="BA34" s="49">
        <f t="shared" si="81"/>
        <v>48856197.369999997</v>
      </c>
      <c r="BB34" s="49">
        <f t="shared" si="81"/>
        <v>54872784.280000001</v>
      </c>
      <c r="BC34" s="49">
        <f t="shared" si="81"/>
        <v>56095126.740000002</v>
      </c>
      <c r="BD34" s="49">
        <f t="shared" si="81"/>
        <v>57749055.399999999</v>
      </c>
      <c r="BE34" s="49">
        <f t="shared" si="81"/>
        <v>59341364.520000003</v>
      </c>
      <c r="BF34" s="49">
        <f t="shared" si="81"/>
        <v>60279075.25</v>
      </c>
      <c r="BG34" s="49">
        <f t="shared" si="81"/>
        <v>61448564.43</v>
      </c>
      <c r="BH34" s="49">
        <f t="shared" si="81"/>
        <v>63663117.240000002</v>
      </c>
      <c r="BI34" s="49">
        <f t="shared" si="81"/>
        <v>65679113.390000001</v>
      </c>
      <c r="BJ34" s="49">
        <f t="shared" si="81"/>
        <v>44914132.539999999</v>
      </c>
      <c r="BK34" s="49">
        <f t="shared" si="81"/>
        <v>47164482.600000001</v>
      </c>
      <c r="BL34" s="49">
        <f t="shared" si="81"/>
        <v>49895913.460000001</v>
      </c>
      <c r="BM34" s="49">
        <f t="shared" si="81"/>
        <v>50967898.100000001</v>
      </c>
      <c r="BN34" s="49">
        <f t="shared" si="81"/>
        <v>54761896.590000004</v>
      </c>
      <c r="BO34" s="49">
        <f t="shared" si="81"/>
        <v>56396883.130000003</v>
      </c>
      <c r="BP34" s="49">
        <f t="shared" si="81"/>
        <v>57045954.109999999</v>
      </c>
      <c r="BQ34" s="49">
        <f>AP31-AP32-AP33</f>
        <v>64368202.850000001</v>
      </c>
      <c r="BR34" s="49">
        <f>AQ31-AQ32-AQ33</f>
        <v>64959022.719999999</v>
      </c>
      <c r="BS34" s="49">
        <f>AR31-AR32-AR33</f>
        <v>66339249.469999999</v>
      </c>
      <c r="BT34" s="49"/>
      <c r="BU34" s="50"/>
    </row>
    <row r="35" spans="1:74" s="106" customFormat="1" ht="15" thickBot="1" x14ac:dyDescent="0.3">
      <c r="A35" s="140" t="s">
        <v>317</v>
      </c>
      <c r="B35" s="33">
        <f>SUM(B22:B31)</f>
        <v>1910913519.9099998</v>
      </c>
      <c r="C35" s="33">
        <f>SUM(C22:C31)</f>
        <v>2361346303.8199997</v>
      </c>
      <c r="D35" s="33">
        <f>SUM(D22:D31)</f>
        <v>2855028945.8199997</v>
      </c>
      <c r="E35" s="33">
        <f>资产资本表!E17</f>
        <v>926091901.50999999</v>
      </c>
      <c r="F35" s="33">
        <f>资产资本表!F17</f>
        <v>1356734900.6700001</v>
      </c>
      <c r="G35" s="33">
        <f>资产资本表!G17</f>
        <v>823765163.36000001</v>
      </c>
      <c r="H35" s="33">
        <f>资产资本表!H17</f>
        <v>776416588.15999997</v>
      </c>
      <c r="I35" s="33">
        <f>资产资本表!I17</f>
        <v>1438863232.1800001</v>
      </c>
      <c r="J35" s="33">
        <f>资产资本表!J17</f>
        <v>1056196901.1600001</v>
      </c>
      <c r="K35" s="33">
        <f>资产资本表!K17</f>
        <v>1737525344.23</v>
      </c>
      <c r="L35" s="33">
        <f>资产资本表!L17</f>
        <v>1933316623.48</v>
      </c>
      <c r="M35" s="33">
        <f>资产资本表!M17</f>
        <v>764091700.45000005</v>
      </c>
      <c r="N35" s="33">
        <f>资产资本表!N17</f>
        <v>785217963.60000002</v>
      </c>
      <c r="O35" s="33">
        <f>资产资本表!O17</f>
        <v>794522845.71000004</v>
      </c>
      <c r="P35" s="33">
        <f>资产资本表!P17</f>
        <v>1003198817.6400001</v>
      </c>
      <c r="Q35" s="33">
        <f>资产资本表!Q17</f>
        <v>2510334268.3099999</v>
      </c>
      <c r="R35" s="33">
        <f>资产资本表!R17</f>
        <v>1023170234.97</v>
      </c>
      <c r="S35" s="33">
        <f>资产资本表!S17</f>
        <v>763798441.50999999</v>
      </c>
      <c r="T35" s="33">
        <f>资产资本表!T17</f>
        <v>915094214.45000005</v>
      </c>
      <c r="U35" s="33">
        <f>资产资本表!U17</f>
        <v>891052090.87</v>
      </c>
      <c r="V35" s="33">
        <f>资产资本表!V17</f>
        <v>796187571.14999998</v>
      </c>
      <c r="W35" s="33">
        <f>资产资本表!W17</f>
        <v>562966007.25999999</v>
      </c>
      <c r="X35" s="33">
        <f>资产资本表!X17</f>
        <v>738153106.33000004</v>
      </c>
      <c r="Y35" s="33">
        <f>资产资本表!Y17</f>
        <v>1135896723.99</v>
      </c>
      <c r="Z35" s="33">
        <f>资产资本表!Z17</f>
        <v>771284537.24000001</v>
      </c>
      <c r="AA35" s="33">
        <f>资产资本表!AA17</f>
        <v>441810812.27999997</v>
      </c>
      <c r="AB35" s="33">
        <f>资产资本表!AB17</f>
        <v>340794569.60000002</v>
      </c>
      <c r="AC35" s="33">
        <f>资产资本表!AC17</f>
        <v>596448701.64999998</v>
      </c>
      <c r="AD35" s="33">
        <f>资产资本表!AD17</f>
        <v>466216.12</v>
      </c>
      <c r="AE35" s="33">
        <f>资产资本表!AE17</f>
        <v>357891.61</v>
      </c>
      <c r="AF35" s="33">
        <f>资产资本表!AF17</f>
        <v>432840.36</v>
      </c>
      <c r="AG35" s="33">
        <f>资产资本表!AG17</f>
        <v>1641059.35</v>
      </c>
      <c r="AH35" s="33">
        <f>资产资本表!AH17</f>
        <v>254163.5</v>
      </c>
      <c r="AI35" s="33">
        <f>资产资本表!AI17</f>
        <v>408737.88</v>
      </c>
      <c r="AJ35" s="33">
        <f>资产资本表!AJ17</f>
        <v>294989.28000000003</v>
      </c>
      <c r="AK35" s="33">
        <f>资产资本表!AK17</f>
        <v>567374.21</v>
      </c>
      <c r="AL35" s="33">
        <f>资产资本表!AL17</f>
        <v>149172.9</v>
      </c>
      <c r="AM35" s="33">
        <f>资产资本表!AM17</f>
        <v>247962.97</v>
      </c>
      <c r="AN35" s="33">
        <f>资产资本表!AN17</f>
        <v>528471.81000000006</v>
      </c>
      <c r="AO35" s="33">
        <f>资产资本表!AO17</f>
        <v>535108.41</v>
      </c>
      <c r="AP35" s="33">
        <f>资产资本表!AP17</f>
        <v>1997288.68</v>
      </c>
      <c r="AQ35" s="33">
        <f>资产资本表!AQ17</f>
        <v>1596904.73</v>
      </c>
      <c r="AR35" s="33">
        <f>资产资本表!AR17</f>
        <v>3671275.8</v>
      </c>
      <c r="AS35" s="33">
        <f>资产资本表!AS17</f>
        <v>15985969.529999999</v>
      </c>
      <c r="AT35" s="33">
        <f>资产资本表!AT17</f>
        <v>7460925.71</v>
      </c>
      <c r="AU35" s="33">
        <f>资产资本表!AU17</f>
        <v>8511971.4000000004</v>
      </c>
      <c r="AV35" s="33">
        <f>资产资本表!AV17</f>
        <v>13812006.470000001</v>
      </c>
      <c r="AW35" s="33">
        <f>资产资本表!AW17</f>
        <v>10885333.24</v>
      </c>
      <c r="AX35" s="33">
        <f>资产资本表!AX17</f>
        <v>8527816.3599999994</v>
      </c>
      <c r="AY35" s="33">
        <f>资产资本表!AY17</f>
        <v>11255685.550000001</v>
      </c>
      <c r="AZ35" s="33">
        <f>资产资本表!AZ17</f>
        <v>0</v>
      </c>
      <c r="BA35" s="33">
        <f>资产资本表!BA17</f>
        <v>15379893.4</v>
      </c>
      <c r="BB35" s="33">
        <f>资产资本表!BB17</f>
        <v>10394963.039999999</v>
      </c>
      <c r="BC35" s="33">
        <f>资产资本表!BC17</f>
        <v>5070086.91</v>
      </c>
      <c r="BD35" s="33">
        <f>资产资本表!BD17</f>
        <v>6028307.2599999998</v>
      </c>
      <c r="BE35" s="33">
        <f>资产资本表!BE17</f>
        <v>114701814.88</v>
      </c>
      <c r="BF35" s="33">
        <f>资产资本表!BF17</f>
        <v>156125796.11000001</v>
      </c>
      <c r="BG35" s="33">
        <f>资产资本表!BG17</f>
        <v>165748121.43000001</v>
      </c>
      <c r="BH35" s="33">
        <f>资产资本表!BH17</f>
        <v>234795792.46000001</v>
      </c>
      <c r="BI35" s="33">
        <f>资产资本表!BI17</f>
        <v>354968648.18000001</v>
      </c>
      <c r="BJ35" s="33">
        <f>资产资本表!BJ17</f>
        <v>311317648.56</v>
      </c>
      <c r="BK35" s="33">
        <f>资产资本表!BK17</f>
        <v>363845847.88999999</v>
      </c>
      <c r="BL35" s="33">
        <f>资产资本表!BL17</f>
        <v>355952252.56999999</v>
      </c>
      <c r="BM35" s="33">
        <f>资产资本表!BM17</f>
        <v>273294947.05000001</v>
      </c>
      <c r="BN35" s="33">
        <f>资产资本表!BN17</f>
        <v>145494670.44</v>
      </c>
      <c r="BO35" s="33">
        <f>资产资本表!BO17</f>
        <v>303869580.30000001</v>
      </c>
      <c r="BP35" s="33">
        <f>资产资本表!BP17</f>
        <v>227671628.03999999</v>
      </c>
      <c r="BQ35" s="33">
        <f>资产资本表!BQ17</f>
        <v>221556058.13999999</v>
      </c>
      <c r="BR35" s="33">
        <f>资产资本表!BR17</f>
        <v>140183193.76999998</v>
      </c>
      <c r="BS35" s="33">
        <f>资产资本表!BS17</f>
        <v>53694794.680000007</v>
      </c>
      <c r="BT35" s="33">
        <f>资产资本表!BT17</f>
        <v>119104358.29000001</v>
      </c>
      <c r="BU35" s="33">
        <f>资产资本表!BU17</f>
        <v>71006139.680000007</v>
      </c>
      <c r="BV35" s="33">
        <f>资产资本表!BV17</f>
        <v>16689141.880000001</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36160</v>
      </c>
      <c r="BU38" s="1">
        <v>25569</v>
      </c>
      <c r="BV38" s="1">
        <v>25569</v>
      </c>
    </row>
    <row r="39" spans="1:74" s="48" customFormat="1" x14ac:dyDescent="0.25">
      <c r="A39" s="46" t="s">
        <v>319</v>
      </c>
    </row>
    <row r="40" spans="1:74" s="193" customFormat="1" x14ac:dyDescent="0.25">
      <c r="A40" s="193" t="s">
        <v>744</v>
      </c>
      <c r="B40" s="190">
        <v>0</v>
      </c>
      <c r="C40" s="190">
        <v>0</v>
      </c>
      <c r="D40" s="190">
        <v>0</v>
      </c>
      <c r="E40" s="190">
        <v>0</v>
      </c>
      <c r="F40" s="190">
        <v>0</v>
      </c>
      <c r="G40" s="190">
        <v>0</v>
      </c>
      <c r="H40" s="190">
        <v>0</v>
      </c>
      <c r="I40" s="190">
        <v>1859999999</v>
      </c>
      <c r="J40" s="190">
        <v>1857999999</v>
      </c>
      <c r="K40" s="190">
        <v>1857999999</v>
      </c>
      <c r="L40" s="190">
        <v>0</v>
      </c>
      <c r="M40" s="190">
        <v>130280000</v>
      </c>
      <c r="N40" s="190">
        <v>130280000</v>
      </c>
      <c r="O40" s="190">
        <v>111080000</v>
      </c>
      <c r="P40" s="190">
        <v>10000000</v>
      </c>
      <c r="Q40" s="190">
        <v>1009310302.76</v>
      </c>
      <c r="R40" s="190">
        <v>10000000</v>
      </c>
      <c r="S40" s="190">
        <v>10000000</v>
      </c>
      <c r="T40" s="190">
        <v>10000000</v>
      </c>
      <c r="U40" s="190">
        <v>92010000</v>
      </c>
      <c r="V40" s="190">
        <v>92064432</v>
      </c>
      <c r="W40" s="190">
        <v>12054432</v>
      </c>
      <c r="X40" s="190">
        <v>12054432</v>
      </c>
      <c r="Y40" s="190">
        <v>5334000</v>
      </c>
      <c r="Z40" s="190">
        <v>0</v>
      </c>
      <c r="AA40" s="190">
        <v>0</v>
      </c>
      <c r="AB40" s="190">
        <v>0</v>
      </c>
      <c r="AC40" s="190">
        <v>51667000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3500000</v>
      </c>
      <c r="BF40" s="190">
        <v>3500000</v>
      </c>
      <c r="BG40" s="190">
        <v>0</v>
      </c>
      <c r="BH40" s="190">
        <v>0</v>
      </c>
      <c r="BI40" s="190">
        <v>0</v>
      </c>
      <c r="BJ40" s="190">
        <v>0</v>
      </c>
      <c r="BK40" s="190">
        <v>0</v>
      </c>
      <c r="BL40" s="190">
        <v>0</v>
      </c>
      <c r="BM40" s="190">
        <v>0</v>
      </c>
      <c r="BN40" s="190">
        <v>0</v>
      </c>
      <c r="BO40" s="190">
        <v>0</v>
      </c>
      <c r="BP40" s="190">
        <v>0</v>
      </c>
      <c r="BQ40" s="190">
        <v>500000</v>
      </c>
      <c r="BR40" s="190">
        <v>0</v>
      </c>
      <c r="BS40" s="190">
        <v>75923147.5</v>
      </c>
      <c r="BT40" s="190">
        <v>0</v>
      </c>
      <c r="BU40" s="190">
        <v>0</v>
      </c>
      <c r="BV40" s="190">
        <v>0</v>
      </c>
    </row>
    <row r="41" spans="1:74" s="53" customFormat="1" ht="21.75" customHeight="1" x14ac:dyDescent="0.25">
      <c r="A41" s="141" t="s">
        <v>635</v>
      </c>
      <c r="B41" s="53">
        <v>1419647033.29</v>
      </c>
      <c r="C41" s="53">
        <v>682396282.87</v>
      </c>
      <c r="D41" s="53">
        <v>73246783.790000007</v>
      </c>
      <c r="E41" s="53">
        <v>276350518.80000001</v>
      </c>
      <c r="I41" s="53">
        <v>138878960.19999999</v>
      </c>
      <c r="M41" s="53">
        <v>92848191</v>
      </c>
    </row>
    <row r="42" spans="1:74" s="26" customFormat="1" x14ac:dyDescent="0.25">
      <c r="A42" s="17" t="s">
        <v>322</v>
      </c>
      <c r="E42" s="26">
        <f>E40-E41</f>
        <v>-276350518.80000001</v>
      </c>
      <c r="F42" s="26">
        <f t="shared" ref="F42:Y42" si="82">F40-F41</f>
        <v>0</v>
      </c>
      <c r="G42" s="26">
        <f t="shared" si="82"/>
        <v>0</v>
      </c>
      <c r="H42" s="26">
        <f t="shared" si="82"/>
        <v>0</v>
      </c>
      <c r="I42" s="26">
        <f>I40-I41</f>
        <v>1721121038.8</v>
      </c>
      <c r="J42" s="26">
        <f t="shared" si="82"/>
        <v>1857999999</v>
      </c>
      <c r="K42" s="26">
        <f t="shared" si="82"/>
        <v>1857999999</v>
      </c>
      <c r="L42" s="26">
        <f t="shared" si="82"/>
        <v>0</v>
      </c>
      <c r="M42" s="26">
        <f t="shared" si="82"/>
        <v>37431809</v>
      </c>
      <c r="N42" s="26">
        <f t="shared" si="82"/>
        <v>130280000</v>
      </c>
      <c r="O42" s="26">
        <f t="shared" si="82"/>
        <v>111080000</v>
      </c>
      <c r="P42" s="26">
        <f t="shared" si="82"/>
        <v>10000000</v>
      </c>
      <c r="Q42" s="26">
        <f t="shared" si="82"/>
        <v>1009310302.76</v>
      </c>
      <c r="R42" s="26">
        <f t="shared" si="82"/>
        <v>10000000</v>
      </c>
      <c r="S42" s="26">
        <f t="shared" si="82"/>
        <v>10000000</v>
      </c>
      <c r="T42" s="26">
        <f t="shared" si="82"/>
        <v>10000000</v>
      </c>
      <c r="U42" s="26">
        <f t="shared" si="82"/>
        <v>92010000</v>
      </c>
      <c r="V42" s="26">
        <f t="shared" si="82"/>
        <v>92064432</v>
      </c>
      <c r="W42" s="26">
        <f t="shared" si="82"/>
        <v>12054432</v>
      </c>
      <c r="X42" s="26">
        <f t="shared" si="82"/>
        <v>12054432</v>
      </c>
      <c r="Y42" s="26">
        <f t="shared" si="82"/>
        <v>5334000</v>
      </c>
      <c r="Z42" s="26">
        <f t="shared" ref="Z42:BQ42" si="83">Z40-Z41</f>
        <v>0</v>
      </c>
      <c r="AA42" s="26">
        <f t="shared" si="83"/>
        <v>0</v>
      </c>
      <c r="AB42" s="26">
        <f t="shared" si="83"/>
        <v>0</v>
      </c>
      <c r="AC42" s="26">
        <f t="shared" si="83"/>
        <v>51667000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3">
        <f t="shared" si="83"/>
        <v>0</v>
      </c>
      <c r="AM42" s="193">
        <f t="shared" si="83"/>
        <v>0</v>
      </c>
      <c r="AN42" s="193">
        <f t="shared" si="83"/>
        <v>0</v>
      </c>
      <c r="AO42" s="193">
        <f t="shared" si="83"/>
        <v>0</v>
      </c>
      <c r="AP42" s="193">
        <f t="shared" si="83"/>
        <v>0</v>
      </c>
      <c r="AQ42" s="193">
        <f t="shared" si="83"/>
        <v>0</v>
      </c>
      <c r="AR42" s="193">
        <f t="shared" si="83"/>
        <v>0</v>
      </c>
      <c r="AS42" s="193">
        <f t="shared" si="83"/>
        <v>0</v>
      </c>
      <c r="AT42" s="193">
        <f t="shared" si="83"/>
        <v>0</v>
      </c>
      <c r="AU42" s="193">
        <f t="shared" si="83"/>
        <v>0</v>
      </c>
      <c r="AV42" s="193">
        <f t="shared" si="83"/>
        <v>0</v>
      </c>
      <c r="AW42" s="193">
        <f t="shared" si="83"/>
        <v>0</v>
      </c>
      <c r="AX42" s="193">
        <f t="shared" si="83"/>
        <v>0</v>
      </c>
      <c r="AY42" s="193">
        <f t="shared" si="83"/>
        <v>0</v>
      </c>
      <c r="AZ42" s="193">
        <f t="shared" si="83"/>
        <v>0</v>
      </c>
      <c r="BA42" s="26">
        <f t="shared" si="83"/>
        <v>0</v>
      </c>
      <c r="BB42" s="26">
        <f t="shared" si="83"/>
        <v>0</v>
      </c>
      <c r="BC42" s="26">
        <f t="shared" si="83"/>
        <v>0</v>
      </c>
      <c r="BD42" s="26">
        <f t="shared" si="83"/>
        <v>0</v>
      </c>
      <c r="BE42" s="26">
        <f t="shared" si="83"/>
        <v>3500000</v>
      </c>
      <c r="BF42" s="26">
        <f t="shared" si="83"/>
        <v>3500000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500000</v>
      </c>
      <c r="BR42" s="26">
        <f t="shared" ref="BR42:BV42" si="84">BR40-BR41</f>
        <v>0</v>
      </c>
      <c r="BS42" s="26">
        <f t="shared" si="84"/>
        <v>75923147.5</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0">
        <v>1015000000</v>
      </c>
      <c r="C44" s="190">
        <v>1015000000</v>
      </c>
      <c r="D44" s="190">
        <v>685000000</v>
      </c>
      <c r="E44" s="190">
        <v>2750000000</v>
      </c>
      <c r="F44" s="190">
        <v>2750000000</v>
      </c>
      <c r="G44" s="190">
        <v>1130000000</v>
      </c>
      <c r="H44" s="190">
        <v>1130000000</v>
      </c>
      <c r="I44" s="190">
        <v>2690780000</v>
      </c>
      <c r="J44" s="190">
        <v>2436000000</v>
      </c>
      <c r="K44" s="190">
        <v>2346000000</v>
      </c>
      <c r="L44" s="190">
        <v>1796000000</v>
      </c>
      <c r="M44" s="190">
        <v>2157500000</v>
      </c>
      <c r="N44" s="190">
        <v>1897500000</v>
      </c>
      <c r="O44" s="190">
        <v>375000000</v>
      </c>
      <c r="P44" s="190">
        <v>150000000</v>
      </c>
      <c r="Q44" s="190">
        <v>3811525129.0799999</v>
      </c>
      <c r="R44" s="190">
        <v>1944525129.0799999</v>
      </c>
      <c r="S44" s="190">
        <v>1889525129.0799999</v>
      </c>
      <c r="T44" s="190">
        <v>1799525129.0799999</v>
      </c>
      <c r="U44" s="190">
        <v>1227280000</v>
      </c>
      <c r="V44" s="190">
        <v>834800000</v>
      </c>
      <c r="W44" s="190">
        <v>167800000</v>
      </c>
      <c r="X44" s="190">
        <v>167800000</v>
      </c>
      <c r="Y44" s="190">
        <v>332200000</v>
      </c>
      <c r="Z44" s="190">
        <v>453900000</v>
      </c>
      <c r="AA44" s="190">
        <v>0</v>
      </c>
      <c r="AB44" s="190">
        <v>0</v>
      </c>
      <c r="AC44" s="190">
        <v>455960000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34000000</v>
      </c>
      <c r="BB44" s="190">
        <v>34000000</v>
      </c>
      <c r="BC44" s="190">
        <v>34000000</v>
      </c>
      <c r="BD44" s="190">
        <v>34000000</v>
      </c>
      <c r="BE44" s="190">
        <v>323000000</v>
      </c>
      <c r="BF44" s="190">
        <v>320000000</v>
      </c>
      <c r="BG44" s="190">
        <v>300000000</v>
      </c>
      <c r="BH44" s="190">
        <v>0</v>
      </c>
      <c r="BI44" s="190">
        <v>898220000</v>
      </c>
      <c r="BJ44" s="190">
        <v>719220000</v>
      </c>
      <c r="BK44" s="190">
        <v>574540000</v>
      </c>
      <c r="BL44" s="190">
        <v>309540000</v>
      </c>
      <c r="BM44" s="190">
        <v>894095741.49000001</v>
      </c>
      <c r="BN44" s="190">
        <v>483500000</v>
      </c>
      <c r="BO44" s="190">
        <v>443000000</v>
      </c>
      <c r="BP44" s="190">
        <v>130000000</v>
      </c>
      <c r="BQ44" s="190">
        <v>85000000</v>
      </c>
      <c r="BR44" s="190">
        <v>500000</v>
      </c>
      <c r="BS44" s="190">
        <v>8000000</v>
      </c>
      <c r="BT44" s="190">
        <v>19600000</v>
      </c>
      <c r="BU44" s="190">
        <v>0</v>
      </c>
      <c r="BV44" s="190">
        <v>0</v>
      </c>
    </row>
    <row r="45" spans="1:74" s="193" customFormat="1" x14ac:dyDescent="0.25">
      <c r="A45" s="193" t="s">
        <v>323</v>
      </c>
      <c r="E45" s="193">
        <f>股权价值增加表!E53</f>
        <v>132033825.75</v>
      </c>
      <c r="F45" s="193">
        <f>股权价值增加表!F53</f>
        <v>0</v>
      </c>
      <c r="G45" s="193">
        <f>股权价值增加表!G53</f>
        <v>0</v>
      </c>
      <c r="H45" s="193">
        <f>股权价值增加表!H53</f>
        <v>0</v>
      </c>
      <c r="I45" s="193">
        <f>股权价值增加表!I53</f>
        <v>190076870.66</v>
      </c>
      <c r="J45" s="193">
        <f>股权价值增加表!J53</f>
        <v>0</v>
      </c>
      <c r="K45" s="193">
        <f>股权价值增加表!K53</f>
        <v>0</v>
      </c>
      <c r="L45" s="193">
        <f>股权价值增加表!L53</f>
        <v>0</v>
      </c>
      <c r="M45" s="193">
        <f>股权价值增加表!M53</f>
        <v>222528015.47</v>
      </c>
      <c r="N45" s="193">
        <f>股权价值增加表!N53</f>
        <v>0</v>
      </c>
      <c r="O45" s="193">
        <f>股权价值增加表!O53</f>
        <v>0</v>
      </c>
      <c r="P45" s="193">
        <f>股权价值增加表!P53</f>
        <v>0</v>
      </c>
      <c r="Q45" s="193">
        <f>股权价值增加表!Q53</f>
        <v>114413529.48999999</v>
      </c>
      <c r="R45" s="193">
        <f>股权价值增加表!R53</f>
        <v>0</v>
      </c>
      <c r="S45" s="193">
        <f>股权价值增加表!S53</f>
        <v>0</v>
      </c>
      <c r="T45" s="193">
        <f>股权价值增加表!T53</f>
        <v>0</v>
      </c>
      <c r="U45" s="193">
        <f>股权价值增加表!U53</f>
        <v>99337359.890000001</v>
      </c>
      <c r="V45" s="193">
        <f>股权价值增加表!V53</f>
        <v>0</v>
      </c>
      <c r="W45" s="193">
        <f>股权价值增加表!W53</f>
        <v>0</v>
      </c>
      <c r="X45" s="193">
        <f>股权价值增加表!X53</f>
        <v>0</v>
      </c>
      <c r="Y45" s="193">
        <f>股权价值增加表!Y53</f>
        <v>23183593.739999998</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19917708.109999999</v>
      </c>
      <c r="D46" s="190">
        <v>6274913.4199999999</v>
      </c>
      <c r="E46" s="190">
        <v>55980494.759999998</v>
      </c>
      <c r="F46" s="190">
        <v>36804744.229999997</v>
      </c>
      <c r="G46" s="190">
        <v>21775769.23</v>
      </c>
      <c r="H46" s="190">
        <v>4967577</v>
      </c>
      <c r="I46" s="190">
        <v>54712843.149999999</v>
      </c>
      <c r="J46" s="190">
        <v>38264986.090000004</v>
      </c>
      <c r="K46" s="190">
        <v>23796210.390000001</v>
      </c>
      <c r="L46" s="190">
        <v>9791538.1999999993</v>
      </c>
      <c r="M46" s="190">
        <v>9910797.2100000009</v>
      </c>
      <c r="N46" s="190">
        <v>9311137.6600000001</v>
      </c>
      <c r="O46" s="190">
        <v>12539423.550000001</v>
      </c>
      <c r="P46" s="190">
        <v>14293525.939999999</v>
      </c>
      <c r="Q46" s="190">
        <v>11806971.42</v>
      </c>
      <c r="R46" s="190">
        <v>7151098.4699999997</v>
      </c>
      <c r="S46" s="190">
        <v>7246219.0300000003</v>
      </c>
      <c r="T46" s="190">
        <v>7704194.1399999997</v>
      </c>
      <c r="U46" s="190">
        <v>6102827.8300000001</v>
      </c>
      <c r="V46" s="190">
        <v>3300726.21</v>
      </c>
      <c r="W46" s="190">
        <v>2267274.9900000002</v>
      </c>
      <c r="X46" s="190">
        <v>2174580.84</v>
      </c>
      <c r="Y46" s="190">
        <v>2282099.84</v>
      </c>
      <c r="Z46" s="190">
        <v>2177418.48</v>
      </c>
      <c r="AA46" s="190">
        <v>2502785.2400000002</v>
      </c>
      <c r="AB46" s="190">
        <v>1786136.25</v>
      </c>
      <c r="AC46" s="190">
        <v>2792383.86</v>
      </c>
      <c r="AD46" s="190">
        <v>101952653.75</v>
      </c>
      <c r="AE46" s="190">
        <v>90564288.890000001</v>
      </c>
      <c r="AF46" s="190">
        <v>80677434.599999994</v>
      </c>
      <c r="AG46" s="190">
        <v>75027013.780000001</v>
      </c>
      <c r="AH46" s="190">
        <v>82909869.629999995</v>
      </c>
      <c r="AI46" s="190">
        <v>71521504.769999996</v>
      </c>
      <c r="AJ46" s="190">
        <v>65100760.5</v>
      </c>
      <c r="AK46" s="190">
        <v>70901110.829999998</v>
      </c>
      <c r="AL46" s="190">
        <v>124782789.18000001</v>
      </c>
      <c r="AM46" s="190">
        <v>111456193.95</v>
      </c>
      <c r="AN46" s="190">
        <v>112334752.01000001</v>
      </c>
      <c r="AO46" s="190">
        <v>108329957.87</v>
      </c>
      <c r="AP46" s="190">
        <v>143045624.56</v>
      </c>
      <c r="AQ46" s="190">
        <v>129434928.19</v>
      </c>
      <c r="AR46" s="190">
        <v>118052667.48</v>
      </c>
      <c r="AS46" s="190">
        <v>117558871.23999999</v>
      </c>
      <c r="AT46" s="190">
        <v>0</v>
      </c>
      <c r="AU46" s="190">
        <v>0</v>
      </c>
      <c r="AV46" s="190">
        <v>0</v>
      </c>
      <c r="AW46" s="190">
        <v>126295325.19</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1345652000</v>
      </c>
      <c r="C47" s="190">
        <v>1260652000</v>
      </c>
      <c r="D47" s="190">
        <v>517652000</v>
      </c>
      <c r="E47" s="190">
        <v>427050000</v>
      </c>
      <c r="F47" s="190">
        <v>78550000</v>
      </c>
      <c r="G47" s="190">
        <v>45050000</v>
      </c>
      <c r="H47" s="190">
        <v>27550000</v>
      </c>
      <c r="I47" s="190">
        <v>3262305129.0799999</v>
      </c>
      <c r="J47" s="190">
        <v>3844275129.0799999</v>
      </c>
      <c r="K47" s="190">
        <v>3098145129.0799999</v>
      </c>
      <c r="L47" s="190">
        <v>1612645129.0799999</v>
      </c>
      <c r="M47" s="190">
        <v>2855200000</v>
      </c>
      <c r="N47" s="190">
        <v>2153200000</v>
      </c>
      <c r="O47" s="190">
        <v>478800000</v>
      </c>
      <c r="P47" s="190">
        <v>146800000</v>
      </c>
      <c r="Q47" s="190">
        <v>1301105129.0799999</v>
      </c>
      <c r="R47" s="190">
        <v>1257105129.0799999</v>
      </c>
      <c r="S47" s="190">
        <v>1256105129.0799999</v>
      </c>
      <c r="T47" s="190">
        <v>1147105129.0799999</v>
      </c>
      <c r="U47" s="190">
        <v>725160000</v>
      </c>
      <c r="V47" s="190">
        <v>537860000</v>
      </c>
      <c r="W47" s="190">
        <v>292960000</v>
      </c>
      <c r="X47" s="190">
        <v>290960000</v>
      </c>
      <c r="Y47" s="190">
        <v>446000000</v>
      </c>
      <c r="Z47" s="190">
        <v>226000000</v>
      </c>
      <c r="AA47" s="190">
        <v>75530000</v>
      </c>
      <c r="AB47" s="190">
        <v>20000000</v>
      </c>
      <c r="AC47" s="190">
        <v>66000000</v>
      </c>
      <c r="AD47" s="190">
        <v>0</v>
      </c>
      <c r="AE47" s="190">
        <v>0</v>
      </c>
      <c r="AF47" s="190">
        <v>0</v>
      </c>
      <c r="AG47" s="190">
        <v>20000000</v>
      </c>
      <c r="AH47" s="190">
        <v>0</v>
      </c>
      <c r="AI47" s="190">
        <v>0</v>
      </c>
      <c r="AJ47" s="190">
        <v>0</v>
      </c>
      <c r="AK47" s="190">
        <v>0</v>
      </c>
      <c r="AL47" s="190">
        <v>0</v>
      </c>
      <c r="AM47" s="190">
        <v>0</v>
      </c>
      <c r="AN47" s="190">
        <v>0</v>
      </c>
      <c r="AO47" s="190">
        <v>6000000</v>
      </c>
      <c r="AP47" s="190">
        <v>6000000</v>
      </c>
      <c r="AQ47" s="190">
        <v>6000000</v>
      </c>
      <c r="AR47" s="190">
        <v>0</v>
      </c>
      <c r="AS47" s="190">
        <v>7000000</v>
      </c>
      <c r="AT47" s="190">
        <v>4000069.01</v>
      </c>
      <c r="AU47" s="190">
        <v>4000069.01</v>
      </c>
      <c r="AV47" s="190">
        <v>4000069.01</v>
      </c>
      <c r="AW47" s="190">
        <v>12559491.439999999</v>
      </c>
      <c r="AX47" s="190">
        <v>550000</v>
      </c>
      <c r="AY47" s="190">
        <v>550000</v>
      </c>
      <c r="AZ47" s="190">
        <v>400000</v>
      </c>
      <c r="BA47" s="190">
        <v>99684365.840000004</v>
      </c>
      <c r="BB47" s="190">
        <v>39910983.32</v>
      </c>
      <c r="BC47" s="190">
        <v>39910983.32</v>
      </c>
      <c r="BD47" s="190">
        <v>39910983.32</v>
      </c>
      <c r="BE47" s="190">
        <v>259764247</v>
      </c>
      <c r="BF47" s="190">
        <v>255764247</v>
      </c>
      <c r="BG47" s="190">
        <v>235764247</v>
      </c>
      <c r="BH47" s="190">
        <v>111180000</v>
      </c>
      <c r="BI47" s="190">
        <v>907540000</v>
      </c>
      <c r="BJ47" s="190">
        <v>480040000</v>
      </c>
      <c r="BK47" s="190">
        <v>390360000</v>
      </c>
      <c r="BL47" s="190">
        <v>133000000</v>
      </c>
      <c r="BM47" s="190">
        <v>834095741.49000001</v>
      </c>
      <c r="BN47" s="190">
        <v>232000000</v>
      </c>
      <c r="BO47" s="190">
        <v>290000000</v>
      </c>
      <c r="BP47" s="190">
        <v>80000000</v>
      </c>
      <c r="BQ47" s="190">
        <v>53000000</v>
      </c>
      <c r="BR47" s="190">
        <v>8000000</v>
      </c>
      <c r="BS47" s="190">
        <v>600000</v>
      </c>
      <c r="BT47" s="190">
        <v>20500000</v>
      </c>
      <c r="BU47" s="190">
        <v>0</v>
      </c>
      <c r="BV47" s="190">
        <v>0</v>
      </c>
    </row>
    <row r="48" spans="1:74" s="193" customFormat="1" x14ac:dyDescent="0.25">
      <c r="A48" s="193" t="s">
        <v>599</v>
      </c>
      <c r="B48" s="190">
        <v>0</v>
      </c>
      <c r="C48" s="190">
        <v>0</v>
      </c>
      <c r="D48" s="190">
        <v>0</v>
      </c>
      <c r="E48" s="190">
        <v>0</v>
      </c>
      <c r="F48" s="190">
        <v>0</v>
      </c>
      <c r="G48" s="190">
        <v>0</v>
      </c>
      <c r="H48" s="190">
        <v>0</v>
      </c>
      <c r="I48" s="190">
        <v>0</v>
      </c>
      <c r="J48" s="190">
        <v>984800000</v>
      </c>
      <c r="K48" s="190">
        <v>984800000</v>
      </c>
      <c r="L48" s="190">
        <v>984800000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2134935679.4899998</v>
      </c>
      <c r="F49" s="193">
        <f t="shared" ref="F49:BQ49" si="85">F44+F48-F45-F46-F47</f>
        <v>2634645255.77</v>
      </c>
      <c r="G49" s="193">
        <f t="shared" si="85"/>
        <v>1063174230.77</v>
      </c>
      <c r="H49" s="193">
        <f t="shared" si="85"/>
        <v>1097482423</v>
      </c>
      <c r="I49" s="193">
        <f t="shared" si="85"/>
        <v>-816314842.88999987</v>
      </c>
      <c r="J49" s="193">
        <f t="shared" si="85"/>
        <v>-461740115.17000008</v>
      </c>
      <c r="K49" s="193">
        <f t="shared" si="85"/>
        <v>208858660.53000021</v>
      </c>
      <c r="L49" s="193">
        <f t="shared" si="85"/>
        <v>1158363332.7200003</v>
      </c>
      <c r="M49" s="193">
        <f t="shared" si="85"/>
        <v>-930138812.68000007</v>
      </c>
      <c r="N49" s="193">
        <f t="shared" si="85"/>
        <v>-265011137.66000009</v>
      </c>
      <c r="O49" s="193">
        <f t="shared" si="85"/>
        <v>-116339423.55000001</v>
      </c>
      <c r="P49" s="193">
        <f t="shared" si="85"/>
        <v>-11093525.939999998</v>
      </c>
      <c r="Q49" s="193">
        <f t="shared" si="85"/>
        <v>2384199499.0900002</v>
      </c>
      <c r="R49" s="193">
        <f t="shared" si="85"/>
        <v>680268901.52999997</v>
      </c>
      <c r="S49" s="193">
        <f t="shared" si="85"/>
        <v>626173780.97000003</v>
      </c>
      <c r="T49" s="193">
        <f t="shared" si="85"/>
        <v>644715805.8599999</v>
      </c>
      <c r="U49" s="193">
        <f t="shared" si="85"/>
        <v>396679812.27999997</v>
      </c>
      <c r="V49" s="193">
        <f t="shared" si="85"/>
        <v>293639273.78999996</v>
      </c>
      <c r="W49" s="193">
        <f t="shared" si="85"/>
        <v>-127427274.99000001</v>
      </c>
      <c r="X49" s="193">
        <f t="shared" si="85"/>
        <v>-125334580.84</v>
      </c>
      <c r="Y49" s="193">
        <f t="shared" si="85"/>
        <v>-139265693.57999998</v>
      </c>
      <c r="Z49" s="193">
        <f t="shared" si="85"/>
        <v>225722581.51999998</v>
      </c>
      <c r="AA49" s="193">
        <f t="shared" si="85"/>
        <v>-78032785.239999995</v>
      </c>
      <c r="AB49" s="193">
        <f t="shared" si="85"/>
        <v>-21786136.25</v>
      </c>
      <c r="AC49" s="193">
        <f t="shared" si="85"/>
        <v>387167616.13999999</v>
      </c>
      <c r="AD49" s="193">
        <f t="shared" si="85"/>
        <v>-101952653.75</v>
      </c>
      <c r="AE49" s="193">
        <f t="shared" si="85"/>
        <v>-90564288.890000001</v>
      </c>
      <c r="AF49" s="193">
        <f t="shared" si="85"/>
        <v>-80677434.599999994</v>
      </c>
      <c r="AG49" s="193">
        <f t="shared" si="85"/>
        <v>-95027013.780000001</v>
      </c>
      <c r="AH49" s="193">
        <f t="shared" si="85"/>
        <v>-82909869.629999995</v>
      </c>
      <c r="AI49" s="193">
        <f t="shared" si="85"/>
        <v>-71521504.769999996</v>
      </c>
      <c r="AJ49" s="193">
        <f t="shared" si="85"/>
        <v>-65100760.5</v>
      </c>
      <c r="AK49" s="193">
        <f t="shared" si="85"/>
        <v>-70901110.829999998</v>
      </c>
      <c r="AL49" s="193">
        <f t="shared" si="85"/>
        <v>-124782789.18000001</v>
      </c>
      <c r="AM49" s="193">
        <f t="shared" si="85"/>
        <v>-111456193.95</v>
      </c>
      <c r="AN49" s="193">
        <f t="shared" si="85"/>
        <v>-112334752.01000001</v>
      </c>
      <c r="AO49" s="193">
        <f t="shared" si="85"/>
        <v>-114329957.87</v>
      </c>
      <c r="AP49" s="193">
        <f t="shared" si="85"/>
        <v>-149045624.56</v>
      </c>
      <c r="AQ49" s="193">
        <f t="shared" si="85"/>
        <v>-135434928.19</v>
      </c>
      <c r="AR49" s="193">
        <f t="shared" si="85"/>
        <v>-118052667.48</v>
      </c>
      <c r="AS49" s="193">
        <f t="shared" si="85"/>
        <v>-124558871.23999999</v>
      </c>
      <c r="AT49" s="193">
        <f t="shared" si="85"/>
        <v>-4000069.01</v>
      </c>
      <c r="AU49" s="193">
        <f t="shared" si="85"/>
        <v>-4000069.01</v>
      </c>
      <c r="AV49" s="193">
        <f t="shared" si="85"/>
        <v>-4000069.01</v>
      </c>
      <c r="AW49" s="193">
        <f t="shared" si="85"/>
        <v>-138854816.63</v>
      </c>
      <c r="AX49" s="193">
        <f t="shared" si="85"/>
        <v>-550000</v>
      </c>
      <c r="AY49" s="193">
        <f t="shared" si="85"/>
        <v>-550000</v>
      </c>
      <c r="AZ49" s="193">
        <f t="shared" si="85"/>
        <v>-400000</v>
      </c>
      <c r="BA49" s="193">
        <f t="shared" si="85"/>
        <v>-65684365.840000004</v>
      </c>
      <c r="BB49" s="193">
        <f t="shared" si="85"/>
        <v>-5910983.3200000003</v>
      </c>
      <c r="BC49" s="193">
        <f t="shared" si="85"/>
        <v>-5910983.3200000003</v>
      </c>
      <c r="BD49" s="193">
        <f t="shared" si="85"/>
        <v>-5910983.3200000003</v>
      </c>
      <c r="BE49" s="193">
        <f t="shared" si="85"/>
        <v>63235753</v>
      </c>
      <c r="BF49" s="193">
        <f t="shared" si="85"/>
        <v>64235753</v>
      </c>
      <c r="BG49" s="193">
        <f t="shared" si="85"/>
        <v>64235753</v>
      </c>
      <c r="BH49" s="193">
        <f t="shared" si="85"/>
        <v>-111180000</v>
      </c>
      <c r="BI49" s="193">
        <f t="shared" si="85"/>
        <v>-9320000</v>
      </c>
      <c r="BJ49" s="193">
        <f t="shared" si="85"/>
        <v>239180000</v>
      </c>
      <c r="BK49" s="193">
        <f t="shared" si="85"/>
        <v>184180000</v>
      </c>
      <c r="BL49" s="193">
        <f t="shared" si="85"/>
        <v>176540000</v>
      </c>
      <c r="BM49" s="193">
        <f t="shared" si="85"/>
        <v>60000000</v>
      </c>
      <c r="BN49" s="193">
        <f t="shared" si="85"/>
        <v>251500000</v>
      </c>
      <c r="BO49" s="193">
        <f t="shared" si="85"/>
        <v>153000000</v>
      </c>
      <c r="BP49" s="193">
        <f t="shared" si="85"/>
        <v>50000000</v>
      </c>
      <c r="BQ49" s="193">
        <f t="shared" si="85"/>
        <v>32000000</v>
      </c>
      <c r="BR49" s="193">
        <f t="shared" ref="BR49:BV49" si="86">BR44+BR48-BR45-BR46-BR47</f>
        <v>-7500000</v>
      </c>
      <c r="BS49" s="193">
        <f t="shared" si="86"/>
        <v>7400000</v>
      </c>
      <c r="BT49" s="193">
        <f t="shared" si="86"/>
        <v>-900000</v>
      </c>
      <c r="BU49" s="193">
        <f t="shared" si="86"/>
        <v>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BT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8.33203125" hidden="1" customWidth="1"/>
    <col min="44" max="44" width="20.44140625" hidden="1" customWidth="1"/>
    <col min="45" max="45" width="20.44140625" bestFit="1" customWidth="1"/>
    <col min="46" max="48" width="20.44140625" hidden="1" customWidth="1"/>
    <col min="49" max="49" width="20.44140625" bestFit="1" customWidth="1"/>
    <col min="50" max="52" width="18.33203125" hidden="1" customWidth="1"/>
    <col min="53" max="53" width="18.33203125" bestFit="1" customWidth="1"/>
    <col min="54" max="56" width="17.21875" hidden="1" customWidth="1"/>
    <col min="57" max="57" width="17.21875" bestFit="1" customWidth="1"/>
    <col min="58"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2" width="17.21875" bestFit="1" customWidth="1"/>
    <col min="73" max="73" width="17.21875" hidden="1" customWidth="1"/>
    <col min="74" max="74" width="16.109375" hidden="1" customWidth="1"/>
  </cols>
  <sheetData>
    <row r="1" spans="1:74"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row>
    <row r="2" spans="1:74" s="48" customFormat="1" x14ac:dyDescent="0.25">
      <c r="A2" s="46" t="s">
        <v>327</v>
      </c>
    </row>
    <row r="3" spans="1:74" s="26" customFormat="1" x14ac:dyDescent="0.25">
      <c r="A3" s="17" t="s">
        <v>328</v>
      </c>
      <c r="B3" s="26">
        <f>平均资本成本表!E53</f>
        <v>0</v>
      </c>
      <c r="E3" s="26">
        <f>股权价值增加表!E53</f>
        <v>132033825.75</v>
      </c>
      <c r="F3" s="26">
        <f>股权价值增加表!F53</f>
        <v>0</v>
      </c>
      <c r="G3" s="26">
        <f>股权价值增加表!G53</f>
        <v>0</v>
      </c>
      <c r="H3" s="26">
        <f>股权价值增加表!H53</f>
        <v>0</v>
      </c>
      <c r="I3" s="26">
        <f>股权价值增加表!I53</f>
        <v>190076870.66</v>
      </c>
      <c r="J3" s="26">
        <f>股权价值增加表!J53</f>
        <v>0</v>
      </c>
      <c r="K3" s="26">
        <f>股权价值增加表!K53</f>
        <v>0</v>
      </c>
      <c r="L3" s="26">
        <f>股权价值增加表!L53</f>
        <v>0</v>
      </c>
      <c r="M3" s="26">
        <f>股权价值增加表!M53</f>
        <v>222528015.47</v>
      </c>
      <c r="N3" s="26">
        <f>股权价值增加表!N53</f>
        <v>0</v>
      </c>
      <c r="O3" s="26">
        <f>股权价值增加表!O53</f>
        <v>0</v>
      </c>
      <c r="P3" s="26">
        <f>股权价值增加表!P53</f>
        <v>0</v>
      </c>
      <c r="Q3" s="26">
        <f>股权价值增加表!Q53</f>
        <v>114413529.48999999</v>
      </c>
      <c r="R3" s="26">
        <f>股权价值增加表!R53</f>
        <v>0</v>
      </c>
      <c r="S3" s="26">
        <f>股权价值增加表!S53</f>
        <v>0</v>
      </c>
      <c r="T3" s="26">
        <f>股权价值增加表!T53</f>
        <v>0</v>
      </c>
      <c r="U3" s="26">
        <f>股权价值增加表!U53</f>
        <v>99337359.890000001</v>
      </c>
      <c r="V3" s="26">
        <f>股权价值增加表!V53</f>
        <v>0</v>
      </c>
      <c r="W3" s="26">
        <f>股权价值增加表!W53</f>
        <v>0</v>
      </c>
      <c r="X3" s="26">
        <f>股权价值增加表!X53</f>
        <v>0</v>
      </c>
      <c r="Y3" s="26">
        <f>股权价值增加表!Y53</f>
        <v>23183593.739999998</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5477444392.6900005</v>
      </c>
      <c r="F4" s="26">
        <f>资产资本表!F89</f>
        <v>5805832718.6299992</v>
      </c>
      <c r="G4" s="26">
        <f>资产资本表!G89</f>
        <v>4202974146.71</v>
      </c>
      <c r="H4" s="26">
        <f>资产资本表!H89</f>
        <v>4202358718.02</v>
      </c>
      <c r="I4" s="26">
        <f>资产资本表!I89</f>
        <v>4065988732.1500001</v>
      </c>
      <c r="J4" s="26">
        <f>资产资本表!J89</f>
        <v>4196989931.3800001</v>
      </c>
      <c r="K4" s="26">
        <f>资产资本表!K89</f>
        <v>4837408387.9200001</v>
      </c>
      <c r="L4" s="26">
        <f>资产资本表!L89</f>
        <v>5757701848.2200003</v>
      </c>
      <c r="M4" s="26">
        <f>资产资本表!M89</f>
        <v>4589545926.29</v>
      </c>
      <c r="N4" s="26">
        <f>资产资本表!N89</f>
        <v>5030946266.7399998</v>
      </c>
      <c r="O4" s="26">
        <f>资产资本表!O89</f>
        <v>5186074552.6300001</v>
      </c>
      <c r="P4" s="26">
        <f>资产资本表!P89</f>
        <v>5294828655.0200005</v>
      </c>
      <c r="Q4" s="26">
        <f>资产资本表!Q89</f>
        <v>5289142100.5</v>
      </c>
      <c r="R4" s="26">
        <f>资产资本表!R89</f>
        <v>3461486227.5499997</v>
      </c>
      <c r="S4" s="26">
        <f>资产资本表!S89</f>
        <v>3407581348.1100001</v>
      </c>
      <c r="T4" s="26">
        <f>资产资本表!T89</f>
        <v>3427039323.2199998</v>
      </c>
      <c r="U4" s="26">
        <f>资产资本表!U89</f>
        <v>2773017956.9099998</v>
      </c>
      <c r="V4" s="26">
        <f>资产资本表!V89</f>
        <v>1665060726.21</v>
      </c>
      <c r="W4" s="26">
        <f>资产资本表!W89</f>
        <v>1241927274.99</v>
      </c>
      <c r="X4" s="26">
        <f>资产资本表!X89</f>
        <v>1243834580.8399999</v>
      </c>
      <c r="Y4" s="26">
        <f>资产资本表!Y89</f>
        <v>1367102099.8399999</v>
      </c>
      <c r="Z4" s="26">
        <f>资产资本表!Z89</f>
        <v>1258697418.48</v>
      </c>
      <c r="AA4" s="26">
        <f>资产资本表!AA89</f>
        <v>1405592785.24</v>
      </c>
      <c r="AB4" s="26">
        <f>资产资本表!AB89</f>
        <v>1460406136.25</v>
      </c>
      <c r="AC4" s="26">
        <f>资产资本表!AC89</f>
        <v>1481412383.8599999</v>
      </c>
      <c r="AD4" s="26">
        <f>资产资本表!AD89</f>
        <v>699528928.87</v>
      </c>
      <c r="AE4" s="26">
        <f>资产资本表!AE89</f>
        <v>688140564.00999999</v>
      </c>
      <c r="AF4" s="26">
        <f>资产资本表!AF89</f>
        <v>678253709.72000003</v>
      </c>
      <c r="AG4" s="26">
        <f>资产资本表!AG89</f>
        <v>672603288.89999998</v>
      </c>
      <c r="AH4" s="26">
        <f>资产资本表!AH89</f>
        <v>680486144.75</v>
      </c>
      <c r="AI4" s="26">
        <f>资产资本表!AI89</f>
        <v>688685128.25999999</v>
      </c>
      <c r="AJ4" s="26">
        <f>资产资本表!AJ89</f>
        <v>682264383.99000001</v>
      </c>
      <c r="AK4" s="26">
        <f>资产资本表!AK89</f>
        <v>688064734.32000005</v>
      </c>
      <c r="AL4" s="26">
        <f>资产资本表!AL89</f>
        <v>741946412.67000008</v>
      </c>
      <c r="AM4" s="26">
        <f>资产资本表!AM89</f>
        <v>728619817.44000006</v>
      </c>
      <c r="AN4" s="26">
        <f>资产资本表!AN89</f>
        <v>729498375.5</v>
      </c>
      <c r="AO4" s="26">
        <f>资产资本表!AO89</f>
        <v>725493581.36000001</v>
      </c>
      <c r="AP4" s="26">
        <f>资产资本表!AP89</f>
        <v>760215624.70000005</v>
      </c>
      <c r="AQ4" s="26">
        <f>资产资本表!AQ89</f>
        <v>746604928.32999992</v>
      </c>
      <c r="AR4" s="26">
        <f>资产资本表!AR89</f>
        <v>739222667.62</v>
      </c>
      <c r="AS4" s="26">
        <f>资产资本表!AS89</f>
        <v>771577862.41999996</v>
      </c>
      <c r="AT4" s="26">
        <f>资产资本表!AT89</f>
        <v>657678991.17999995</v>
      </c>
      <c r="AU4" s="26">
        <f>资产资本表!AU89</f>
        <v>657678991.17999995</v>
      </c>
      <c r="AV4" s="26">
        <f>资产资本表!AV89</f>
        <v>657678991.17999995</v>
      </c>
      <c r="AW4" s="26">
        <f>资产资本表!AW89</f>
        <v>787314385.38000011</v>
      </c>
      <c r="AX4" s="26">
        <f>资产资本表!AX89</f>
        <v>673190646.28999996</v>
      </c>
      <c r="AY4" s="26">
        <f>资产资本表!AY89</f>
        <v>673190646.28999996</v>
      </c>
      <c r="AZ4" s="26">
        <f>资产资本表!AZ89</f>
        <v>0</v>
      </c>
      <c r="BA4" s="26">
        <f>资产资本表!BA89</f>
        <v>673578551.63</v>
      </c>
      <c r="BB4" s="26">
        <f>资产资本表!BB89</f>
        <v>426102066.17000002</v>
      </c>
      <c r="BC4" s="26">
        <f>资产资本表!BC89</f>
        <v>426202066.17000002</v>
      </c>
      <c r="BD4" s="26">
        <f>资产资本表!BD89</f>
        <v>428569933.24000001</v>
      </c>
      <c r="BE4" s="26">
        <f>资产资本表!BE89</f>
        <v>454455698.52999997</v>
      </c>
      <c r="BF4" s="26">
        <f>资产资本表!BF89</f>
        <v>304573984.10000002</v>
      </c>
      <c r="BG4" s="26">
        <f>资产资本表!BG89</f>
        <v>304575753</v>
      </c>
      <c r="BH4" s="26">
        <f>资产资本表!BH89</f>
        <v>284660000</v>
      </c>
      <c r="BI4" s="26">
        <f>资产资本表!BI89</f>
        <v>244340000</v>
      </c>
      <c r="BJ4" s="26">
        <f>资产资本表!BJ89</f>
        <v>492980000</v>
      </c>
      <c r="BK4" s="26">
        <f>资产资本表!BK89</f>
        <v>437980000</v>
      </c>
      <c r="BL4" s="26">
        <f>资产资本表!BL89</f>
        <v>430140000</v>
      </c>
      <c r="BM4" s="26">
        <f>资产资本表!BM89</f>
        <v>253600000</v>
      </c>
      <c r="BN4" s="26">
        <f>资产资本表!BN89</f>
        <v>346600000</v>
      </c>
      <c r="BO4" s="26">
        <f>资产资本表!BO89</f>
        <v>445100000</v>
      </c>
      <c r="BP4" s="26">
        <f>资产资本表!BP89</f>
        <v>370100000</v>
      </c>
      <c r="BQ4" s="26">
        <f>资产资本表!BQ89</f>
        <v>193600000</v>
      </c>
      <c r="BR4" s="26">
        <f>资产资本表!BR89</f>
        <v>92600000</v>
      </c>
      <c r="BS4" s="26">
        <f>资产资本表!BS89</f>
        <v>84796469.060000002</v>
      </c>
      <c r="BT4" s="26">
        <f>资产资本表!BT89</f>
        <v>90638036.310000002</v>
      </c>
      <c r="BU4" s="26">
        <f>资产资本表!BU89</f>
        <v>53141185.07</v>
      </c>
      <c r="BV4" s="26">
        <f>资产资本表!BV89</f>
        <v>49052987.25</v>
      </c>
    </row>
    <row r="5" spans="1:74" s="63" customFormat="1" x14ac:dyDescent="0.25">
      <c r="A5" s="63" t="s">
        <v>333</v>
      </c>
      <c r="E5" s="63">
        <f>IF(E4+I4=0,0,E3/((E4+I4)/2))</f>
        <v>2.7670089793229123E-2</v>
      </c>
      <c r="F5" s="63">
        <f t="shared" ref="F5:BQ5" si="0">IF(F4+J4=0,0,F3/((F4+J4)/2))</f>
        <v>0</v>
      </c>
      <c r="G5" s="63">
        <f t="shared" si="0"/>
        <v>0</v>
      </c>
      <c r="H5" s="63">
        <f t="shared" si="0"/>
        <v>0</v>
      </c>
      <c r="I5" s="63">
        <f t="shared" si="0"/>
        <v>4.392030721629802E-2</v>
      </c>
      <c r="J5" s="63">
        <f t="shared" si="0"/>
        <v>0</v>
      </c>
      <c r="K5" s="63">
        <f t="shared" si="0"/>
        <v>0</v>
      </c>
      <c r="L5" s="63">
        <f t="shared" si="0"/>
        <v>0</v>
      </c>
      <c r="M5" s="63">
        <f t="shared" si="0"/>
        <v>4.5052139487860444E-2</v>
      </c>
      <c r="N5" s="63">
        <f t="shared" si="0"/>
        <v>0</v>
      </c>
      <c r="O5" s="63">
        <f t="shared" si="0"/>
        <v>0</v>
      </c>
      <c r="P5" s="63">
        <f t="shared" si="0"/>
        <v>0</v>
      </c>
      <c r="Q5" s="63">
        <f t="shared" si="0"/>
        <v>2.8382847444176341E-2</v>
      </c>
      <c r="R5" s="63">
        <f t="shared" si="0"/>
        <v>0</v>
      </c>
      <c r="S5" s="63">
        <f t="shared" si="0"/>
        <v>0</v>
      </c>
      <c r="T5" s="63">
        <f t="shared" si="0"/>
        <v>0</v>
      </c>
      <c r="U5" s="63">
        <f t="shared" si="0"/>
        <v>4.7987671144000578E-2</v>
      </c>
      <c r="V5" s="63">
        <f t="shared" si="0"/>
        <v>0</v>
      </c>
      <c r="W5" s="63">
        <f t="shared" si="0"/>
        <v>0</v>
      </c>
      <c r="X5" s="63">
        <f t="shared" si="0"/>
        <v>0</v>
      </c>
      <c r="Y5" s="63">
        <f t="shared" si="0"/>
        <v>1.6277673062687962E-2</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0.43060053350670346</v>
      </c>
      <c r="F6" s="63">
        <f>股权价值增加表!F41</f>
        <v>0.66762048000686525</v>
      </c>
      <c r="G6" s="63">
        <f>股权价值增加表!G41</f>
        <v>0.45303118694069999</v>
      </c>
      <c r="H6" s="63">
        <f>股权价值增加表!H41</f>
        <v>0.36979318326052485</v>
      </c>
      <c r="I6" s="63">
        <f>股权价值增加表!I41</f>
        <v>0.27185852414514694</v>
      </c>
      <c r="J6" s="63">
        <f>股权价值增加表!J41</f>
        <v>0.30196392896856089</v>
      </c>
      <c r="K6" s="63">
        <f>股权价值增加表!K41</f>
        <v>0.29847202366986331</v>
      </c>
      <c r="L6" s="63">
        <f>股权价值增加表!L41</f>
        <v>0.26964517825238599</v>
      </c>
      <c r="M6" s="63">
        <f>股权价值增加表!M41</f>
        <v>0.22762662595099092</v>
      </c>
      <c r="N6" s="63">
        <f>股权价值增加表!N41</f>
        <v>1.2992077762518828</v>
      </c>
      <c r="O6" s="63">
        <f>股权价值增加表!O41</f>
        <v>6.0073285115831113E-2</v>
      </c>
      <c r="P6" s="63">
        <f>股权价值增加表!P41</f>
        <v>-0.10997166060603317</v>
      </c>
      <c r="Q6" s="63">
        <f>股权价值增加表!Q41</f>
        <v>0.34440451106794157</v>
      </c>
      <c r="R6" s="63">
        <f>股权价值增加表!R41</f>
        <v>0.78355504093780071</v>
      </c>
      <c r="S6" s="63">
        <f>股权价值增加表!S41</f>
        <v>0.56330863655885932</v>
      </c>
      <c r="T6" s="63">
        <f>股权价值增加表!T41</f>
        <v>0.67827186037836262</v>
      </c>
      <c r="U6" s="63">
        <f>股权价值增加表!U41</f>
        <v>0.29510871279711198</v>
      </c>
      <c r="V6" s="63">
        <f>股权价值增加表!V41</f>
        <v>0.38881224211968179</v>
      </c>
      <c r="W6" s="63">
        <f>股权价值增加表!W41</f>
        <v>0.26289934372850121</v>
      </c>
      <c r="X6" s="63">
        <f>股权价值增加表!X41</f>
        <v>0.94127439696607706</v>
      </c>
      <c r="Y6" s="63">
        <f>股权价值增加表!Y41</f>
        <v>0.13000978945575703</v>
      </c>
      <c r="Z6" s="63">
        <f>股权价值增加表!Z41</f>
        <v>0.1597868353541583</v>
      </c>
      <c r="AA6" s="63">
        <f>股权价值增加表!AA41</f>
        <v>-3.8949831157033328E-2</v>
      </c>
      <c r="AB6" s="63">
        <f>股权价值增加表!AB41</f>
        <v>6.6818342772937507E-3</v>
      </c>
      <c r="AC6" s="63">
        <f>股权价值增加表!AC41</f>
        <v>0.2156005800209253</v>
      </c>
      <c r="AD6" s="63">
        <f>股权价值增加表!AD41</f>
        <v>-7.8933309297183154E-4</v>
      </c>
      <c r="AE6" s="63">
        <f>股权价值增加表!AE41</f>
        <v>-1.2923008392402937E-3</v>
      </c>
      <c r="AF6" s="63">
        <f>股权价值增加表!AF41</f>
        <v>0</v>
      </c>
      <c r="AG6" s="63">
        <f>股权价值增加表!AG41</f>
        <v>0</v>
      </c>
      <c r="AH6" s="63">
        <f>股权价值增加表!AH41</f>
        <v>0</v>
      </c>
      <c r="AI6" s="63">
        <f>股权价值增加表!AI41</f>
        <v>0</v>
      </c>
      <c r="AJ6" s="63">
        <f>股权价值增加表!AJ41</f>
        <v>0</v>
      </c>
      <c r="AK6" s="63">
        <f>股权价值增加表!AK41</f>
        <v>0</v>
      </c>
      <c r="AL6" s="63">
        <f>股权价值增加表!AL41</f>
        <v>0</v>
      </c>
      <c r="AM6" s="63">
        <f>股权价值增加表!AM41</f>
        <v>0</v>
      </c>
      <c r="AN6" s="63">
        <f>股权价值增加表!AN41</f>
        <v>0</v>
      </c>
      <c r="AO6" s="63">
        <f>股权价值增加表!AO41</f>
        <v>0.32359996077215658</v>
      </c>
      <c r="AP6" s="63">
        <f>股权价值增加表!AP41</f>
        <v>-4.1789529516207714E-3</v>
      </c>
      <c r="AQ6" s="63">
        <f>股权价值增加表!AQ41</f>
        <v>1.8534684393467268E-3</v>
      </c>
      <c r="AR6" s="63">
        <f>股权价值增加表!AR41</f>
        <v>0</v>
      </c>
      <c r="AS6" s="63">
        <f>股权价值增加表!AS41</f>
        <v>5.3720858986602546E-2</v>
      </c>
      <c r="AT6" s="63">
        <f>股权价值增加表!AT41</f>
        <v>-5.0492363238192183E-3</v>
      </c>
      <c r="AU6" s="63">
        <f>股权价值增加表!AU41</f>
        <v>-6.9939076594624236E-3</v>
      </c>
      <c r="AV6" s="63">
        <f>股权价值增加表!AV41</f>
        <v>-1.2766237360621459E-3</v>
      </c>
      <c r="AW6" s="63">
        <f>股权价值增加表!AW41</f>
        <v>3.816832353837759E-3</v>
      </c>
      <c r="AX6" s="63">
        <f>股权价值增加表!AX41</f>
        <v>-7.9464993716309509E-4</v>
      </c>
      <c r="AY6" s="63">
        <f>股权价值增加表!AY41</f>
        <v>-4.6022007916518109E-4</v>
      </c>
      <c r="AZ6" s="63">
        <f>股权价值增加表!AZ41</f>
        <v>1.2555738089460756E-3</v>
      </c>
      <c r="BA6" s="63">
        <f>股权价值增加表!BA41</f>
        <v>1.4264351742142566E-4</v>
      </c>
      <c r="BB6" s="63">
        <f>股权价值增加表!BB41</f>
        <v>8.7063760187228157E-4</v>
      </c>
      <c r="BC6" s="63">
        <f>股权价值增加表!BC41</f>
        <v>1.1296300353561349E-3</v>
      </c>
      <c r="BD6" s="63">
        <f>股权价值增加表!BD41</f>
        <v>3.3284968706259808E-3</v>
      </c>
      <c r="BE6" s="63">
        <f>股权价值增加表!BE41</f>
        <v>-3.4574880204849906E-4</v>
      </c>
      <c r="BF6" s="63">
        <f>股权价值增加表!BF41</f>
        <v>-0.88588998241239869</v>
      </c>
      <c r="BG6" s="63">
        <f>股权价值增加表!BG41</f>
        <v>0.18702863326935198</v>
      </c>
      <c r="BH6" s="63">
        <f>股权价值增加表!BH41</f>
        <v>0.19926515440004919</v>
      </c>
      <c r="BI6" s="63">
        <f>股权价值增加表!BI41</f>
        <v>0.23681418133223686</v>
      </c>
      <c r="BJ6" s="63">
        <f>股权价值增加表!BJ41</f>
        <v>0.24347606217369688</v>
      </c>
      <c r="BK6" s="63">
        <f>股权价值增加表!BK41</f>
        <v>0.18486662828078282</v>
      </c>
      <c r="BL6" s="63">
        <f>股权价值增加表!BL41</f>
        <v>0.36242127868307988</v>
      </c>
      <c r="BM6" s="63">
        <f>股权价值增加表!BM41</f>
        <v>0.21003726405825512</v>
      </c>
      <c r="BN6" s="63">
        <f>股权价值增加表!BN41</f>
        <v>0.15238252623538759</v>
      </c>
      <c r="BO6" s="63">
        <f>股权价值增加表!BO41</f>
        <v>0.12856383729798482</v>
      </c>
      <c r="BP6" s="63">
        <f>股权价值增加表!BP41</f>
        <v>0.18486049306586227</v>
      </c>
      <c r="BQ6" s="63">
        <f>股权价值增加表!BQ41</f>
        <v>0.17890388732779672</v>
      </c>
      <c r="BR6" s="63">
        <f>股权价值增加表!BR41</f>
        <v>0.1623173941672531</v>
      </c>
      <c r="BS6" s="63">
        <f>股权价值增加表!BS41</f>
        <v>0.1229614700718178</v>
      </c>
      <c r="BT6" s="63">
        <f>股权价值增加表!BT41</f>
        <v>4.5469087729467013E-2</v>
      </c>
      <c r="BU6" s="63">
        <f>股权价值增加表!BU41</f>
        <v>5.5998579163968554E-2</v>
      </c>
    </row>
    <row r="7" spans="1:74" s="63" customFormat="1" x14ac:dyDescent="0.25">
      <c r="A7" s="63" t="s">
        <v>330</v>
      </c>
      <c r="E7" s="63">
        <f>E5*(1-E6)</f>
        <v>1.5755334366086272E-2</v>
      </c>
      <c r="F7" s="63">
        <f t="shared" ref="F7:BQ7" si="2">F5*(1-F6)</f>
        <v>0</v>
      </c>
      <c r="G7" s="63">
        <f t="shared" si="2"/>
        <v>0</v>
      </c>
      <c r="H7" s="63">
        <f t="shared" si="2"/>
        <v>0</v>
      </c>
      <c r="I7" s="63">
        <f t="shared" si="2"/>
        <v>3.1980197316473793E-2</v>
      </c>
      <c r="J7" s="63">
        <f t="shared" si="2"/>
        <v>0</v>
      </c>
      <c r="K7" s="63">
        <f t="shared" si="2"/>
        <v>0</v>
      </c>
      <c r="L7" s="63">
        <f t="shared" si="2"/>
        <v>0</v>
      </c>
      <c r="M7" s="63">
        <f t="shared" si="2"/>
        <v>3.4797072984365365E-2</v>
      </c>
      <c r="N7" s="63">
        <f t="shared" si="2"/>
        <v>0</v>
      </c>
      <c r="O7" s="63">
        <f t="shared" si="2"/>
        <v>0</v>
      </c>
      <c r="P7" s="63">
        <f t="shared" si="2"/>
        <v>0</v>
      </c>
      <c r="Q7" s="63">
        <f t="shared" si="2"/>
        <v>1.8607666747448813E-2</v>
      </c>
      <c r="R7" s="63">
        <f t="shared" si="2"/>
        <v>0</v>
      </c>
      <c r="S7" s="63">
        <f t="shared" si="2"/>
        <v>0</v>
      </c>
      <c r="T7" s="63">
        <f t="shared" si="2"/>
        <v>0</v>
      </c>
      <c r="U7" s="63">
        <f t="shared" si="2"/>
        <v>3.3826091282563454E-2</v>
      </c>
      <c r="V7" s="63">
        <f t="shared" si="2"/>
        <v>0</v>
      </c>
      <c r="W7" s="63">
        <f t="shared" si="2"/>
        <v>0</v>
      </c>
      <c r="X7" s="63">
        <f t="shared" si="2"/>
        <v>0</v>
      </c>
      <c r="Y7" s="63">
        <f t="shared" si="2"/>
        <v>1.4161416214978252E-2</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6352383930.3800001</v>
      </c>
      <c r="F8" s="26">
        <f>资产资本表!F107</f>
        <v>6447034863.5</v>
      </c>
      <c r="G8" s="26">
        <f>资产资本表!G107</f>
        <v>6486478392.71</v>
      </c>
      <c r="H8" s="26">
        <f>资产资本表!H107</f>
        <v>6437598842.7399998</v>
      </c>
      <c r="I8" s="26">
        <f>资产资本表!I107</f>
        <v>6622168000.7600002</v>
      </c>
      <c r="J8" s="26">
        <f>资产资本表!J107</f>
        <v>6119169497.5500002</v>
      </c>
      <c r="K8" s="26">
        <f>资产资本表!K107</f>
        <v>6275809860.8500004</v>
      </c>
      <c r="L8" s="26">
        <f>资产资本表!L107</f>
        <v>3423046573.1700001</v>
      </c>
      <c r="M8" s="26">
        <f>资产资本表!M107</f>
        <v>3013768304.3400002</v>
      </c>
      <c r="N8" s="26">
        <f>资产资本表!N107</f>
        <v>3103130003.5100002</v>
      </c>
      <c r="O8" s="26">
        <f>资产资本表!O107</f>
        <v>3164838587.5599999</v>
      </c>
      <c r="P8" s="26">
        <f>资产资本表!P107</f>
        <v>3007216286.5100002</v>
      </c>
      <c r="Q8" s="26">
        <f>资产资本表!Q107</f>
        <v>3071108762.3499999</v>
      </c>
      <c r="R8" s="26">
        <f>资产资本表!R107</f>
        <v>1965484173.4400001</v>
      </c>
      <c r="S8" s="26">
        <f>资产资本表!S107</f>
        <v>1978688218.71</v>
      </c>
      <c r="T8" s="26">
        <f>资产资本表!T107</f>
        <v>1964208569.45</v>
      </c>
      <c r="U8" s="26">
        <f>资产资本表!U107</f>
        <v>1943003746.25</v>
      </c>
      <c r="V8" s="26">
        <f>资产资本表!V107</f>
        <v>1506748270.3099999</v>
      </c>
      <c r="W8" s="26">
        <f>资产资本表!W107</f>
        <v>1460877622.8499999</v>
      </c>
      <c r="X8" s="26">
        <f>资产资本表!X107</f>
        <v>1404497137.5799999</v>
      </c>
      <c r="Y8" s="26">
        <f>资产资本表!Y107</f>
        <v>1391588016.6300001</v>
      </c>
      <c r="Z8" s="26">
        <f>资产资本表!Z107</f>
        <v>1107801224.8800001</v>
      </c>
      <c r="AA8" s="26">
        <f>资产资本表!AA107</f>
        <v>1077483499.3099999</v>
      </c>
      <c r="AB8" s="26">
        <f>资产资本表!AB107</f>
        <v>955945458.15999997</v>
      </c>
      <c r="AC8" s="26">
        <f>资产资本表!AC107</f>
        <v>977503547.96000004</v>
      </c>
      <c r="AD8" s="26">
        <f>资产资本表!AD107</f>
        <v>-1055921416.9000001</v>
      </c>
      <c r="AE8" s="26">
        <f>资产资本表!AE107</f>
        <v>-1043828663</v>
      </c>
      <c r="AF8" s="26">
        <f>资产资本表!AF107</f>
        <v>-1031305764.4499999</v>
      </c>
      <c r="AG8" s="26">
        <f>资产资本表!AG107</f>
        <v>-1024826358.7900001</v>
      </c>
      <c r="AH8" s="26">
        <f>资产资本表!AH107</f>
        <v>-1038258740.4699999</v>
      </c>
      <c r="AI8" s="26">
        <f>资产资本表!AI107</f>
        <v>-1025834103.58</v>
      </c>
      <c r="AJ8" s="26">
        <f>资产资本表!AJ107</f>
        <v>-1024669202.66</v>
      </c>
      <c r="AK8" s="26">
        <f>资产资本表!AK107</f>
        <v>-1029790554.1900001</v>
      </c>
      <c r="AL8" s="26">
        <f>资产资本表!AL107</f>
        <v>-1076570214.1500001</v>
      </c>
      <c r="AM8" s="26">
        <f>资产资本表!AM107</f>
        <v>-1060262708.3299999</v>
      </c>
      <c r="AN8" s="26">
        <f>资产资本表!AN107</f>
        <v>-1035982494.5</v>
      </c>
      <c r="AO8" s="26">
        <f>资产资本表!AO107</f>
        <v>-1037217502.96</v>
      </c>
      <c r="AP8" s="26">
        <f>资产资本表!AP107</f>
        <v>-1065219378.6799999</v>
      </c>
      <c r="AQ8" s="26">
        <f>资产资本表!AQ107</f>
        <v>-984544643.92999995</v>
      </c>
      <c r="AR8" s="26">
        <f>资产资本表!AR107</f>
        <v>-1018324662.37</v>
      </c>
      <c r="AS8" s="26">
        <f>资产资本表!AS107</f>
        <v>-1040437778.6799999</v>
      </c>
      <c r="AT8" s="26">
        <f>资产资本表!AT107</f>
        <v>-1114806971.4300001</v>
      </c>
      <c r="AU8" s="26">
        <f>资产资本表!AU107</f>
        <v>-1095886891.6299999</v>
      </c>
      <c r="AV8" s="26">
        <f>资产资本表!AV107</f>
        <v>-1082317378.9300001</v>
      </c>
      <c r="AW8" s="26">
        <f>资产资本表!AW107</f>
        <v>-1071407797.1</v>
      </c>
      <c r="AX8" s="26">
        <f>资产资本表!AX107</f>
        <v>-364409975.45000005</v>
      </c>
      <c r="AY8" s="26">
        <f>资产资本表!AY107</f>
        <v>-350373819.86000001</v>
      </c>
      <c r="AZ8" s="26">
        <f>资产资本表!AZ107</f>
        <v>-322803201.73000002</v>
      </c>
      <c r="BA8" s="26">
        <f>资产资本表!BA107</f>
        <v>-301003049.14999998</v>
      </c>
      <c r="BB8" s="26">
        <f>资产资本表!BB107</f>
        <v>69519586.5</v>
      </c>
      <c r="BC8" s="26">
        <f>资产资本表!BC107</f>
        <v>86294922.359999999</v>
      </c>
      <c r="BD8" s="26">
        <f>资产资本表!BD107</f>
        <v>123359055.77</v>
      </c>
      <c r="BE8" s="26">
        <f>资产资本表!BE107</f>
        <v>142606280.47999999</v>
      </c>
      <c r="BF8" s="26">
        <f>资产资本表!BF107</f>
        <v>320184679.37</v>
      </c>
      <c r="BG8" s="26">
        <f>资产资本表!BG107</f>
        <v>325447646.62</v>
      </c>
      <c r="BH8" s="26">
        <f>资产资本表!BH107</f>
        <v>323528473.12</v>
      </c>
      <c r="BI8" s="26">
        <f>资产资本表!BI107</f>
        <v>321803981.69</v>
      </c>
      <c r="BJ8" s="26">
        <f>资产资本表!BJ107</f>
        <v>334934941.16999996</v>
      </c>
      <c r="BK8" s="26">
        <f>资产资本表!BK107</f>
        <v>331874559.22000003</v>
      </c>
      <c r="BL8" s="26">
        <f>资产资本表!BL107</f>
        <v>325278086.61000001</v>
      </c>
      <c r="BM8" s="26">
        <f>资产资本表!BM107</f>
        <v>324206521.53000003</v>
      </c>
      <c r="BN8" s="26">
        <f>资产资本表!BN107</f>
        <v>318051094.69999999</v>
      </c>
      <c r="BO8" s="26">
        <f>资产资本表!BO107</f>
        <v>318842550.87</v>
      </c>
      <c r="BP8" s="26">
        <f>资产资本表!BP107</f>
        <v>309582857.23000002</v>
      </c>
      <c r="BQ8" s="26">
        <f>资产资本表!BQ107</f>
        <v>307460264.46999997</v>
      </c>
      <c r="BR8" s="26">
        <f>资产资本表!BR107</f>
        <v>292915481.10999995</v>
      </c>
      <c r="BS8" s="26">
        <f>资产资本表!BS107</f>
        <v>292229523.38</v>
      </c>
      <c r="BT8" s="26">
        <f>资产资本表!BT107</f>
        <v>279791032.28000003</v>
      </c>
      <c r="BU8" s="26">
        <f>资产资本表!BU107</f>
        <v>259836913.32999998</v>
      </c>
    </row>
    <row r="9" spans="1:74" s="63" customFormat="1" x14ac:dyDescent="0.25">
      <c r="A9" s="63" t="s">
        <v>742</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股东权益回报率分析表!BU14</f>
        <v>7.6340670214195383E-2</v>
      </c>
      <c r="BV9" s="63">
        <f>股东权益回报率分析表!BV14</f>
        <v>4.2873604944251777E-2</v>
      </c>
    </row>
    <row r="10" spans="1:74" s="26" customFormat="1" x14ac:dyDescent="0.25">
      <c r="A10" s="17" t="s">
        <v>332</v>
      </c>
      <c r="E10" s="26">
        <f>资产资本表!E70</f>
        <v>12014045508.25</v>
      </c>
      <c r="F10" s="26">
        <f>资产资本表!F70</f>
        <v>12435232451.149998</v>
      </c>
      <c r="G10" s="26">
        <f>资产资本表!G70</f>
        <v>10873836547.58</v>
      </c>
      <c r="H10" s="26">
        <f>资产资本表!H70</f>
        <v>10824341568.919998</v>
      </c>
      <c r="I10" s="26">
        <f>资产资本表!I70</f>
        <v>10881122711.829998</v>
      </c>
      <c r="J10" s="26">
        <f>资产资本表!J70</f>
        <v>10671529466.230001</v>
      </c>
      <c r="K10" s="26">
        <f>资产资本表!K70</f>
        <v>11329709325.869999</v>
      </c>
      <c r="L10" s="26">
        <f>资产资本表!L70</f>
        <v>9197239498.4900017</v>
      </c>
      <c r="M10" s="26">
        <f>资产资本表!M70</f>
        <v>7619805307.7300014</v>
      </c>
      <c r="N10" s="26">
        <f>资产资本表!N70</f>
        <v>8150567347.3500013</v>
      </c>
      <c r="O10" s="26">
        <f>资产资本表!O70</f>
        <v>8457534370.3299999</v>
      </c>
      <c r="P10" s="26">
        <f>资产资本表!P70</f>
        <v>8315817985.8100014</v>
      </c>
      <c r="Q10" s="26">
        <f>资产资本表!Q70</f>
        <v>8374023907.1299992</v>
      </c>
      <c r="R10" s="26">
        <f>资产资本表!R70</f>
        <v>5440743445.2699995</v>
      </c>
      <c r="S10" s="26">
        <f>资产资本表!S70</f>
        <v>5400042611.0999994</v>
      </c>
      <c r="T10" s="26">
        <f>资产资本表!T70</f>
        <v>5405020936.9499989</v>
      </c>
      <c r="U10" s="26">
        <f>资产资本表!U70</f>
        <v>4729794747.4399996</v>
      </c>
      <c r="V10" s="26">
        <f>资产资本表!V70</f>
        <v>3185582040.8000011</v>
      </c>
      <c r="W10" s="26">
        <f>资产资本表!W70</f>
        <v>2716577942.1199999</v>
      </c>
      <c r="X10" s="26">
        <f>资产资本表!X70</f>
        <v>2662104762.6999998</v>
      </c>
      <c r="Y10" s="26">
        <f>资产资本表!Y70</f>
        <v>2772463160.75</v>
      </c>
      <c r="Z10" s="26">
        <f>资产资本表!Z70</f>
        <v>2385434310.9100008</v>
      </c>
      <c r="AA10" s="26">
        <f>资产资本表!AA70</f>
        <v>2502011952.0999999</v>
      </c>
      <c r="AB10" s="26">
        <f>资产资本表!AB70</f>
        <v>2435287261.9599996</v>
      </c>
      <c r="AC10" s="26">
        <f>资产资本表!AC70</f>
        <v>2477851599.3700004</v>
      </c>
      <c r="AD10" s="26">
        <f>资产资本表!AD70</f>
        <v>-39751701.739999995</v>
      </c>
      <c r="AE10" s="26">
        <f>资产资本表!AE70</f>
        <v>-39047312.699999981</v>
      </c>
      <c r="AF10" s="26">
        <f>资产资本表!AF70</f>
        <v>-36411268.439999975</v>
      </c>
      <c r="AG10" s="26">
        <f>资产资本表!AG70</f>
        <v>-35582283.599999964</v>
      </c>
      <c r="AH10" s="26">
        <f>资产资本表!AH70</f>
        <v>-41131809.430000015</v>
      </c>
      <c r="AI10" s="26">
        <f>资产资本表!AI70</f>
        <v>-20508189.029999994</v>
      </c>
      <c r="AJ10" s="26">
        <f>资产资本表!AJ70</f>
        <v>-17278748.230000034</v>
      </c>
      <c r="AK10" s="26">
        <f>资产资本表!AK70</f>
        <v>-16599749.430000007</v>
      </c>
      <c r="AL10" s="26">
        <f>资产资本表!AL70</f>
        <v>-9584742.0800000206</v>
      </c>
      <c r="AM10" s="26">
        <f>资产资本表!AM70</f>
        <v>-6783766.9399999753</v>
      </c>
      <c r="AN10" s="26">
        <f>资产资本表!AN70</f>
        <v>7255983.9399999827</v>
      </c>
      <c r="AO10" s="26">
        <f>资产资本表!AO70</f>
        <v>6415989.3599999472</v>
      </c>
      <c r="AP10" s="26">
        <f>资产资本表!AP70</f>
        <v>35514882.669999987</v>
      </c>
      <c r="AQ10" s="26">
        <f>资产资本表!AQ70</f>
        <v>36178921.049999967</v>
      </c>
      <c r="AR10" s="26">
        <f>资产资本表!AR70</f>
        <v>53406889.079999968</v>
      </c>
      <c r="AS10" s="26">
        <f>资产资本表!AS70</f>
        <v>64048775.589999974</v>
      </c>
      <c r="AT10" s="26">
        <f>资产资本表!AT70</f>
        <v>-125723099.84000006</v>
      </c>
      <c r="AU10" s="26">
        <f>资产资本表!AU70</f>
        <v>-106803020.03999999</v>
      </c>
      <c r="AV10" s="26">
        <f>资产资本表!AV70</f>
        <v>-93233507.339999944</v>
      </c>
      <c r="AW10" s="26">
        <f>资产资本表!AW70</f>
        <v>47311468.689999953</v>
      </c>
      <c r="AX10" s="26">
        <f>资产资本表!AX70</f>
        <v>431452090.99999994</v>
      </c>
      <c r="AY10" s="26">
        <f>资产资本表!AY70</f>
        <v>432262488.81999993</v>
      </c>
      <c r="AZ10" s="26">
        <f>资产资本表!AZ70</f>
        <v>0</v>
      </c>
      <c r="BA10" s="26">
        <f>资产资本表!BA70</f>
        <v>456201037.26999998</v>
      </c>
      <c r="BB10" s="26">
        <f>资产资本表!BB70</f>
        <v>541556394.80999994</v>
      </c>
      <c r="BC10" s="26">
        <f>资产资本表!BC70</f>
        <v>545473270.31000006</v>
      </c>
      <c r="BD10" s="26">
        <f>资产资本表!BD70</f>
        <v>573572727.24000001</v>
      </c>
      <c r="BE10" s="26">
        <f>资产资本表!BE70</f>
        <v>583508767.37000012</v>
      </c>
      <c r="BF10" s="26">
        <f>资产资本表!BF70</f>
        <v>607480275.64999986</v>
      </c>
      <c r="BG10" s="26">
        <f>资产资本表!BG70</f>
        <v>614206778.68999982</v>
      </c>
      <c r="BH10" s="26">
        <f>资产资本表!BH70</f>
        <v>591853089.88</v>
      </c>
      <c r="BI10" s="26">
        <f>资产资本表!BI70</f>
        <v>544991411.41999996</v>
      </c>
      <c r="BJ10" s="26">
        <f>资产资本表!BJ70</f>
        <v>808994112.13999999</v>
      </c>
      <c r="BK10" s="26">
        <f>资产资本表!BK70</f>
        <v>750363270.3599999</v>
      </c>
      <c r="BL10" s="26">
        <f>资产资本表!BL70</f>
        <v>735437111.59000003</v>
      </c>
      <c r="BM10" s="26">
        <f>资产资本表!BM70</f>
        <v>553669533.25</v>
      </c>
      <c r="BN10" s="26">
        <f>资产资本表!BN70</f>
        <v>639788713.31000006</v>
      </c>
      <c r="BO10" s="26">
        <f>资产资本表!BO70</f>
        <v>736007781.99000001</v>
      </c>
      <c r="BP10" s="26">
        <f>资产资本表!BP70</f>
        <v>651679747.31999993</v>
      </c>
      <c r="BQ10" s="26">
        <f>资产资本表!BQ70</f>
        <v>481334448.19999993</v>
      </c>
      <c r="BR10" s="26">
        <f>资产资本表!BR70</f>
        <v>360381746.28000003</v>
      </c>
      <c r="BS10" s="26">
        <f>资产资本表!BS70</f>
        <v>381452196.47999996</v>
      </c>
      <c r="BT10" s="26">
        <f>资产资本表!BT70</f>
        <v>392402089.85000002</v>
      </c>
      <c r="BU10" s="26">
        <f>资产资本表!BU70</f>
        <v>316170216.48000002</v>
      </c>
    </row>
    <row r="11" spans="1:74" s="63" customFormat="1" x14ac:dyDescent="0.25">
      <c r="A11" s="17" t="s">
        <v>348</v>
      </c>
      <c r="E11" s="63">
        <f>E4/E10</f>
        <v>0.45592006363956755</v>
      </c>
      <c r="F11" s="63">
        <f t="shared" ref="F11:BQ11" si="3">F4/F10</f>
        <v>0.46688574109389341</v>
      </c>
      <c r="G11" s="63">
        <f t="shared" si="3"/>
        <v>0.38652173299821974</v>
      </c>
      <c r="H11" s="63">
        <f t="shared" si="3"/>
        <v>0.38823227179806113</v>
      </c>
      <c r="I11" s="63">
        <f t="shared" si="3"/>
        <v>0.37367364010420007</v>
      </c>
      <c r="J11" s="63">
        <f t="shared" si="3"/>
        <v>0.39328851076702293</v>
      </c>
      <c r="K11" s="63">
        <f t="shared" si="3"/>
        <v>0.42696668103164592</v>
      </c>
      <c r="L11" s="63">
        <f t="shared" si="3"/>
        <v>0.62602499904077702</v>
      </c>
      <c r="M11" s="63">
        <f t="shared" si="3"/>
        <v>0.60231800432408433</v>
      </c>
      <c r="N11" s="63">
        <f t="shared" si="3"/>
        <v>0.61725105165540584</v>
      </c>
      <c r="O11" s="63">
        <f t="shared" si="3"/>
        <v>0.61318988792092222</v>
      </c>
      <c r="P11" s="63">
        <f t="shared" si="3"/>
        <v>0.63671771845596237</v>
      </c>
      <c r="Q11" s="63">
        <f t="shared" si="3"/>
        <v>0.63161296876601947</v>
      </c>
      <c r="R11" s="63">
        <f t="shared" si="3"/>
        <v>0.63621566838614674</v>
      </c>
      <c r="S11" s="63">
        <f t="shared" si="3"/>
        <v>0.63102860357167978</v>
      </c>
      <c r="T11" s="63">
        <f t="shared" si="3"/>
        <v>0.63404737247028042</v>
      </c>
      <c r="U11" s="63">
        <f t="shared" si="3"/>
        <v>0.58628716571916684</v>
      </c>
      <c r="V11" s="63">
        <f t="shared" si="3"/>
        <v>0.52268649963629576</v>
      </c>
      <c r="W11" s="63">
        <f t="shared" si="3"/>
        <v>0.45716607491144096</v>
      </c>
      <c r="X11" s="63">
        <f t="shared" si="3"/>
        <v>0.46723727716051994</v>
      </c>
      <c r="Y11" s="63">
        <f t="shared" si="3"/>
        <v>0.49310018585429094</v>
      </c>
      <c r="Z11" s="63">
        <f t="shared" si="3"/>
        <v>0.52765964366456575</v>
      </c>
      <c r="AA11" s="63">
        <f t="shared" si="3"/>
        <v>0.56178500029156597</v>
      </c>
      <c r="AB11" s="63">
        <f t="shared" si="3"/>
        <v>0.59968536733305822</v>
      </c>
      <c r="AC11" s="63">
        <f t="shared" si="3"/>
        <v>0.59786162506126372</v>
      </c>
      <c r="AD11" s="63">
        <f t="shared" si="3"/>
        <v>-17.597458681022999</v>
      </c>
      <c r="AE11" s="63">
        <f t="shared" si="3"/>
        <v>-17.623250268129215</v>
      </c>
      <c r="AF11" s="63">
        <f t="shared" si="3"/>
        <v>-18.627577087506719</v>
      </c>
      <c r="AG11" s="63">
        <f t="shared" si="3"/>
        <v>-18.902757801076056</v>
      </c>
      <c r="AH11" s="63">
        <f t="shared" si="3"/>
        <v>-16.544036213823325</v>
      </c>
      <c r="AI11" s="63">
        <f t="shared" si="3"/>
        <v>-33.580982077577438</v>
      </c>
      <c r="AJ11" s="63">
        <f t="shared" si="3"/>
        <v>-39.485752955496281</v>
      </c>
      <c r="AK11" s="63">
        <f t="shared" si="3"/>
        <v>-41.450308465288671</v>
      </c>
      <c r="AL11" s="63">
        <f t="shared" si="3"/>
        <v>-77.409116121985249</v>
      </c>
      <c r="AM11" s="63">
        <f t="shared" si="3"/>
        <v>-107.40637523139949</v>
      </c>
      <c r="AN11" s="63">
        <f t="shared" si="3"/>
        <v>100.53748485832533</v>
      </c>
      <c r="AO11" s="63">
        <f t="shared" si="3"/>
        <v>113.07587040013513</v>
      </c>
      <c r="AP11" s="63">
        <f t="shared" si="3"/>
        <v>21.405550787365176</v>
      </c>
      <c r="AQ11" s="63">
        <f t="shared" si="3"/>
        <v>20.636461969061418</v>
      </c>
      <c r="AR11" s="63">
        <f t="shared" si="3"/>
        <v>13.841335459788597</v>
      </c>
      <c r="AS11" s="63">
        <f t="shared" si="3"/>
        <v>12.046723068668115</v>
      </c>
      <c r="AT11" s="63">
        <f t="shared" si="3"/>
        <v>-5.2311706601013412</v>
      </c>
      <c r="AU11" s="63">
        <f t="shared" si="3"/>
        <v>-6.1578688592671371</v>
      </c>
      <c r="AV11" s="63">
        <f t="shared" si="3"/>
        <v>-7.0541054385265642</v>
      </c>
      <c r="AW11" s="63">
        <f t="shared" si="3"/>
        <v>16.641089511271328</v>
      </c>
      <c r="AX11" s="63">
        <f t="shared" si="3"/>
        <v>1.5602906100876912</v>
      </c>
      <c r="AY11" s="63">
        <f t="shared" si="3"/>
        <v>1.5573654057461503</v>
      </c>
      <c r="AZ11" s="63" t="e">
        <f t="shared" si="3"/>
        <v>#DIV/0!</v>
      </c>
      <c r="BA11" s="63">
        <f t="shared" si="3"/>
        <v>1.4764950024244385</v>
      </c>
      <c r="BB11" s="63">
        <f t="shared" si="3"/>
        <v>0.78681014618891909</v>
      </c>
      <c r="BC11" s="63">
        <f t="shared" si="3"/>
        <v>0.78134363197628998</v>
      </c>
      <c r="BD11" s="63">
        <f t="shared" si="3"/>
        <v>0.74719370863788215</v>
      </c>
      <c r="BE11" s="63">
        <f t="shared" si="3"/>
        <v>0.77883268246050497</v>
      </c>
      <c r="BF11" s="63">
        <f t="shared" si="3"/>
        <v>0.50137263102758012</v>
      </c>
      <c r="BG11" s="63">
        <f t="shared" si="3"/>
        <v>0.49588471434589027</v>
      </c>
      <c r="BH11" s="63">
        <f t="shared" si="3"/>
        <v>0.48096395012099319</v>
      </c>
      <c r="BI11" s="63">
        <f t="shared" si="3"/>
        <v>0.4483373405158092</v>
      </c>
      <c r="BJ11" s="63">
        <f t="shared" si="3"/>
        <v>0.60937402708153166</v>
      </c>
      <c r="BK11" s="63">
        <f t="shared" si="3"/>
        <v>0.58369061666607358</v>
      </c>
      <c r="BL11" s="63">
        <f t="shared" si="3"/>
        <v>0.58487665800553101</v>
      </c>
      <c r="BM11" s="63">
        <f t="shared" si="3"/>
        <v>0.45803495545688849</v>
      </c>
      <c r="BN11" s="63">
        <f t="shared" si="3"/>
        <v>0.54174134802540685</v>
      </c>
      <c r="BO11" s="63">
        <f t="shared" si="3"/>
        <v>0.60474904055572543</v>
      </c>
      <c r="BP11" s="63">
        <f t="shared" si="3"/>
        <v>0.56791698916840294</v>
      </c>
      <c r="BQ11" s="63">
        <f t="shared" si="3"/>
        <v>0.40221513486929361</v>
      </c>
      <c r="BR11" s="63">
        <f>BR4/BR10</f>
        <v>0.25694975107882978</v>
      </c>
      <c r="BS11" s="63">
        <f>BS4/BS10</f>
        <v>0.22229907139739327</v>
      </c>
      <c r="BT11" s="63">
        <f>BT4/BT10</f>
        <v>0.23098255247480304</v>
      </c>
      <c r="BU11" s="63">
        <f>BU4/BU10</f>
        <v>0.16807777045426273</v>
      </c>
      <c r="BV11" s="63" t="e">
        <f>BV4/BV10*100</f>
        <v>#DIV/0!</v>
      </c>
    </row>
    <row r="12" spans="1:74" s="63" customFormat="1" x14ac:dyDescent="0.25">
      <c r="A12" s="17" t="s">
        <v>349</v>
      </c>
      <c r="E12" s="63">
        <f>E8/E10</f>
        <v>0.52874645147780086</v>
      </c>
      <c r="F12" s="63">
        <f t="shared" ref="F12:BQ12" si="4">F8/F10</f>
        <v>0.51844908318571759</v>
      </c>
      <c r="G12" s="63">
        <f t="shared" si="4"/>
        <v>0.59652160158261547</v>
      </c>
      <c r="H12" s="63">
        <f t="shared" si="4"/>
        <v>0.5947335273698604</v>
      </c>
      <c r="I12" s="63">
        <f t="shared" si="4"/>
        <v>0.60859234622548219</v>
      </c>
      <c r="J12" s="63">
        <f t="shared" si="4"/>
        <v>0.57341072963478001</v>
      </c>
      <c r="K12" s="63">
        <f t="shared" si="4"/>
        <v>0.55392505494558097</v>
      </c>
      <c r="L12" s="63">
        <f t="shared" si="4"/>
        <v>0.37218195456712788</v>
      </c>
      <c r="M12" s="63">
        <f t="shared" si="4"/>
        <v>0.39551775703280073</v>
      </c>
      <c r="N12" s="63">
        <f t="shared" si="4"/>
        <v>0.38072564415027166</v>
      </c>
      <c r="O12" s="63">
        <f t="shared" si="4"/>
        <v>0.37420345563863344</v>
      </c>
      <c r="P12" s="63">
        <f t="shared" si="4"/>
        <v>0.36162603506251256</v>
      </c>
      <c r="Q12" s="63">
        <f t="shared" si="4"/>
        <v>0.3667422969422296</v>
      </c>
      <c r="R12" s="63">
        <f t="shared" si="4"/>
        <v>0.3612528679603017</v>
      </c>
      <c r="S12" s="63">
        <f t="shared" si="4"/>
        <v>0.36642085279896286</v>
      </c>
      <c r="T12" s="63">
        <f t="shared" si="4"/>
        <v>0.36340443309334969</v>
      </c>
      <c r="U12" s="63">
        <f t="shared" si="4"/>
        <v>0.41080085923425119</v>
      </c>
      <c r="V12" s="63">
        <f t="shared" si="4"/>
        <v>0.47298994375659131</v>
      </c>
      <c r="W12" s="63">
        <f t="shared" si="4"/>
        <v>0.53776392725545741</v>
      </c>
      <c r="X12" s="63">
        <f t="shared" si="4"/>
        <v>0.52758898044099123</v>
      </c>
      <c r="Y12" s="63">
        <f t="shared" si="4"/>
        <v>0.50193201350006433</v>
      </c>
      <c r="Z12" s="63">
        <f t="shared" si="4"/>
        <v>0.46440231861064901</v>
      </c>
      <c r="AA12" s="63">
        <f t="shared" si="4"/>
        <v>0.4306468234117114</v>
      </c>
      <c r="AB12" s="63">
        <f t="shared" si="4"/>
        <v>0.39253909511710888</v>
      </c>
      <c r="AC12" s="63">
        <f t="shared" si="4"/>
        <v>0.39449640495360278</v>
      </c>
      <c r="AD12" s="63">
        <f t="shared" si="4"/>
        <v>26.562923615355146</v>
      </c>
      <c r="AE12" s="63">
        <f t="shared" si="4"/>
        <v>26.732407195847834</v>
      </c>
      <c r="AF12" s="63">
        <f t="shared" si="4"/>
        <v>28.323807673699395</v>
      </c>
      <c r="AG12" s="63">
        <f t="shared" si="4"/>
        <v>28.801590429401251</v>
      </c>
      <c r="AH12" s="63">
        <f t="shared" si="4"/>
        <v>25.242233562249574</v>
      </c>
      <c r="AI12" s="63">
        <f t="shared" si="4"/>
        <v>50.020706464104613</v>
      </c>
      <c r="AJ12" s="63">
        <f t="shared" si="4"/>
        <v>59.302282145701362</v>
      </c>
      <c r="AK12" s="63">
        <f t="shared" si="4"/>
        <v>62.036511968602625</v>
      </c>
      <c r="AL12" s="63">
        <f t="shared" si="4"/>
        <v>112.32125029179687</v>
      </c>
      <c r="AM12" s="63">
        <f t="shared" si="4"/>
        <v>156.29409407894602</v>
      </c>
      <c r="AN12" s="63">
        <f t="shared" si="4"/>
        <v>-142.77629375513783</v>
      </c>
      <c r="AO12" s="63">
        <f t="shared" si="4"/>
        <v>-161.66135022393624</v>
      </c>
      <c r="AP12" s="63">
        <f t="shared" si="4"/>
        <v>-29.993605457686293</v>
      </c>
      <c r="AQ12" s="63">
        <f t="shared" si="4"/>
        <v>-27.213211874653204</v>
      </c>
      <c r="AR12" s="63">
        <f t="shared" si="4"/>
        <v>-19.067290379797583</v>
      </c>
      <c r="AS12" s="63">
        <f t="shared" si="4"/>
        <v>-16.244460086797428</v>
      </c>
      <c r="AT12" s="63">
        <f t="shared" si="4"/>
        <v>8.867161029665553</v>
      </c>
      <c r="AU12" s="63">
        <f t="shared" si="4"/>
        <v>10.260823066796867</v>
      </c>
      <c r="AV12" s="63">
        <f t="shared" si="4"/>
        <v>11.608673853521907</v>
      </c>
      <c r="AW12" s="63">
        <f t="shared" si="4"/>
        <v>-22.645836765715529</v>
      </c>
      <c r="AX12" s="63">
        <f t="shared" si="4"/>
        <v>-0.84461283894901806</v>
      </c>
      <c r="AY12" s="63">
        <f t="shared" si="4"/>
        <v>-0.81055800334759209</v>
      </c>
      <c r="AZ12" s="63" t="e">
        <f t="shared" si="4"/>
        <v>#DIV/0!</v>
      </c>
      <c r="BA12" s="63">
        <f t="shared" si="4"/>
        <v>-0.65980351765805623</v>
      </c>
      <c r="BB12" s="63">
        <f t="shared" si="4"/>
        <v>0.12836998540916555</v>
      </c>
      <c r="BC12" s="63">
        <f t="shared" si="4"/>
        <v>0.15820192676161271</v>
      </c>
      <c r="BD12" s="63">
        <f t="shared" si="4"/>
        <v>0.21507134128150915</v>
      </c>
      <c r="BE12" s="63">
        <f t="shared" si="4"/>
        <v>0.24439440922671524</v>
      </c>
      <c r="BF12" s="63">
        <f t="shared" si="4"/>
        <v>0.52707008310254111</v>
      </c>
      <c r="BG12" s="63">
        <f t="shared" si="4"/>
        <v>0.5298665822512173</v>
      </c>
      <c r="BH12" s="63">
        <f t="shared" si="4"/>
        <v>0.54663645193707844</v>
      </c>
      <c r="BI12" s="63">
        <f t="shared" si="4"/>
        <v>0.59047532666895619</v>
      </c>
      <c r="BJ12" s="63">
        <f t="shared" si="4"/>
        <v>0.41401406529895485</v>
      </c>
      <c r="BK12" s="63">
        <f t="shared" si="4"/>
        <v>0.44228518682794454</v>
      </c>
      <c r="BL12" s="63">
        <f t="shared" si="4"/>
        <v>0.44229218444899443</v>
      </c>
      <c r="BM12" s="63">
        <f t="shared" si="4"/>
        <v>0.58555962006240669</v>
      </c>
      <c r="BN12" s="63">
        <f t="shared" si="4"/>
        <v>0.49711895205924506</v>
      </c>
      <c r="BO12" s="63">
        <f t="shared" si="4"/>
        <v>0.43320540716012707</v>
      </c>
      <c r="BP12" s="63">
        <f t="shared" si="4"/>
        <v>0.47505367245666891</v>
      </c>
      <c r="BQ12" s="63">
        <f t="shared" si="4"/>
        <v>0.63876638295841803</v>
      </c>
      <c r="BR12" s="63">
        <f>BR8/BR10</f>
        <v>0.81279222417224795</v>
      </c>
      <c r="BS12" s="63">
        <f>BS8/BS10</f>
        <v>0.76609736705323173</v>
      </c>
      <c r="BT12" s="63">
        <f>BT8/BT10</f>
        <v>0.7130212593591263</v>
      </c>
      <c r="BU12" s="63">
        <f>BU8/BU10</f>
        <v>0.82182602846918218</v>
      </c>
      <c r="BV12" s="63" t="e">
        <f>BV8/BV10*100</f>
        <v>#DIV/0!</v>
      </c>
    </row>
    <row r="13" spans="1:74" s="63" customFormat="1" x14ac:dyDescent="0.25">
      <c r="A13" s="63" t="s">
        <v>350</v>
      </c>
      <c r="E13" s="63">
        <f>E5*E11*(1-E6)+E9*E12</f>
        <v>4.9482889165072791E-2</v>
      </c>
      <c r="F13" s="63">
        <f t="shared" ref="F13:J13" si="5">F5*F11*(1-F6)+F9*F12</f>
        <v>4.1475926654857408E-2</v>
      </c>
      <c r="G13" s="63">
        <f t="shared" si="5"/>
        <v>4.7721728126609242E-2</v>
      </c>
      <c r="H13" s="63">
        <f t="shared" si="5"/>
        <v>4.7578682189588835E-2</v>
      </c>
      <c r="I13" s="63">
        <f t="shared" si="5"/>
        <v>6.0637544440535908E-2</v>
      </c>
      <c r="J13" s="63">
        <f t="shared" si="5"/>
        <v>4.58728583707824E-2</v>
      </c>
      <c r="K13" s="63">
        <f t="shared" ref="K13" si="6">K5*K11*(1-K6)+K9*K12</f>
        <v>4.4314004395646478E-2</v>
      </c>
      <c r="L13" s="63">
        <f t="shared" ref="L13" si="7">L5*L11*(1-L6)+L9*L12</f>
        <v>2.9774556365370231E-2</v>
      </c>
      <c r="M13" s="63">
        <f t="shared" ref="M13" si="8">M5*M11*(1-M6)+M9*M12</f>
        <v>5.2600324118886516E-2</v>
      </c>
      <c r="N13" s="63">
        <f t="shared" ref="N13:O13" si="9">N5*N11*(1-N6)+N9*N12</f>
        <v>3.0458051532021732E-2</v>
      </c>
      <c r="O13" s="63">
        <f t="shared" si="9"/>
        <v>2.9936276451090676E-2</v>
      </c>
      <c r="P13" s="63">
        <f t="shared" ref="P13" si="10">P5*P11*(1-P6)+P9*P12</f>
        <v>2.8930082805001006E-2</v>
      </c>
      <c r="Q13" s="63">
        <f t="shared" ref="Q13" si="11">Q5*Q11*(1-Q6)+Q9*Q12</f>
        <v>4.1092227391543251E-2</v>
      </c>
      <c r="R13" s="63">
        <f t="shared" ref="R13" si="12">R5*R11*(1-R6)+R9*R12</f>
        <v>2.8900229436824135E-2</v>
      </c>
      <c r="S13" s="63">
        <f t="shared" ref="S13:T13" si="13">S5*S11*(1-S6)+S9*S12</f>
        <v>2.9313668223917028E-2</v>
      </c>
      <c r="T13" s="63">
        <f t="shared" si="13"/>
        <v>2.9072354647467977E-2</v>
      </c>
      <c r="U13" s="63">
        <f t="shared" ref="U13" si="14">U5*U11*(1-U6)+U9*U12</f>
        <v>5.2695871924152038E-2</v>
      </c>
      <c r="V13" s="63">
        <f t="shared" ref="V13" si="15">V5*V11*(1-V6)+V9*V12</f>
        <v>3.7839195500527306E-2</v>
      </c>
      <c r="W13" s="63">
        <f t="shared" ref="W13" si="16">W5*W11*(1-W6)+W9*W12</f>
        <v>4.3021114180436595E-2</v>
      </c>
      <c r="X13" s="63">
        <f t="shared" ref="X13:Y13" si="17">X5*X11*(1-X6)+X9*X12</f>
        <v>4.2207118435279301E-2</v>
      </c>
      <c r="Y13" s="63">
        <f t="shared" si="17"/>
        <v>4.7137558047570895E-2</v>
      </c>
      <c r="Z13" s="63">
        <f t="shared" ref="Z13" si="18">Z5*Z11*(1-Z6)+Z9*Z12</f>
        <v>3.7152185488851922E-2</v>
      </c>
      <c r="AA13" s="63">
        <f t="shared" ref="AA13" si="19">AA5*AA11*(1-AA6)+AA9*AA12</f>
        <v>3.4451745872936916E-2</v>
      </c>
      <c r="AB13" s="63">
        <f t="shared" ref="AB13" si="20">AB5*AB11*(1-AB6)+AB9*AB12</f>
        <v>3.1403127609368711E-2</v>
      </c>
      <c r="AC13" s="63">
        <f t="shared" ref="AC13:AD13" si="21">AC5*AC11*(1-AC6)+AC9*AC12</f>
        <v>3.1559712396288221E-2</v>
      </c>
      <c r="AD13" s="63">
        <f t="shared" si="21"/>
        <v>2.1250338892284115</v>
      </c>
      <c r="AE13" s="63">
        <f t="shared" ref="AE13" si="22">AE5*AE11*(1-AE6)+AE9*AE12</f>
        <v>2.1385925756678268</v>
      </c>
      <c r="AF13" s="63">
        <f t="shared" ref="AF13" si="23">AF5*AF11*(1-AF6)+AF9*AF12</f>
        <v>2.2659046138959518</v>
      </c>
      <c r="AG13" s="63">
        <f t="shared" ref="AG13" si="24">AG5*AG11*(1-AG6)+AG9*AG12</f>
        <v>2.3041272343521002</v>
      </c>
      <c r="AH13" s="63">
        <f t="shared" ref="AH13:AI13" si="25">AH5*AH11*(1-AH6)+AH9*AH12</f>
        <v>2.0193786849799658</v>
      </c>
      <c r="AI13" s="63">
        <f t="shared" si="25"/>
        <v>4.0016565171283691</v>
      </c>
      <c r="AJ13" s="63">
        <f t="shared" ref="AJ13" si="26">AJ5*AJ11*(1-AJ6)+AJ9*AJ12</f>
        <v>4.7441825716561095</v>
      </c>
      <c r="AK13" s="63">
        <f t="shared" ref="AK13" si="27">AK5*AK11*(1-AK6)+AK9*AK12</f>
        <v>4.96292095748821</v>
      </c>
      <c r="AL13" s="63">
        <f t="shared" ref="AL13" si="28">AL5*AL11*(1-AL6)+AL9*AL12</f>
        <v>8.9857000233437496</v>
      </c>
      <c r="AM13" s="63">
        <f t="shared" ref="AM13:AN13" si="29">AM5*AM11*(1-AM6)+AM9*AM12</f>
        <v>12.503527526315681</v>
      </c>
      <c r="AN13" s="63">
        <f t="shared" si="29"/>
        <v>-11.422103500411026</v>
      </c>
      <c r="AO13" s="63">
        <f t="shared" ref="AO13" si="30">AO5*AO11*(1-AO6)+AO9*AO12</f>
        <v>-12.932908017914899</v>
      </c>
      <c r="AP13" s="63">
        <f t="shared" ref="AP13" si="31">AP5*AP11*(1-AP6)+AP9*AP12</f>
        <v>-2.3994884366149036</v>
      </c>
      <c r="AQ13" s="63">
        <f t="shared" ref="AQ13" si="32">AQ5*AQ11*(1-AQ6)+AQ9*AQ12</f>
        <v>-2.1770569499722563</v>
      </c>
      <c r="AR13" s="63">
        <f t="shared" ref="AR13:AS13" si="33">AR5*AR11*(1-AR6)+AR9*AR12</f>
        <v>-1.5253832303838066</v>
      </c>
      <c r="AS13" s="63">
        <f t="shared" si="33"/>
        <v>-1.2995568069437942</v>
      </c>
      <c r="AT13" s="63">
        <f t="shared" ref="AT13" si="34">AT5*AT11*(1-AT6)+AT9*AT12</f>
        <v>0.70937288237324425</v>
      </c>
      <c r="AU13" s="63">
        <f t="shared" ref="AU13" si="35">AU5*AU11*(1-AU6)+AU9*AU12</f>
        <v>0.8208658453437494</v>
      </c>
      <c r="AV13" s="63">
        <f t="shared" ref="AV13" si="36">AV5*AV11*(1-AV6)+AV9*AV12</f>
        <v>0.92869390828175258</v>
      </c>
      <c r="AW13" s="63">
        <f t="shared" ref="AW13:AX13" si="37">AW5*AW11*(1-AW6)+AW9*AW12</f>
        <v>-1.8116669412572424</v>
      </c>
      <c r="AX13" s="63">
        <f t="shared" si="37"/>
        <v>-6.7569027115921443E-2</v>
      </c>
      <c r="AY13" s="63">
        <f t="shared" ref="AY13" si="38">AY5*AY11*(1-AY6)+AY9*AY12</f>
        <v>-6.4844640267807369E-2</v>
      </c>
      <c r="AZ13" s="63" t="e">
        <f t="shared" ref="AZ13" si="39">AZ5*AZ11*(1-AZ6)+AZ9*AZ12</f>
        <v>#DIV/0!</v>
      </c>
      <c r="BA13" s="63">
        <f t="shared" ref="BA13" si="40">BA5*BA11*(1-BA6)+BA9*BA12</f>
        <v>-5.2784281412644497E-2</v>
      </c>
      <c r="BB13" s="63">
        <f t="shared" ref="BB13:BC13" si="41">BB5*BB11*(1-BB6)+BB9*BB12</f>
        <v>1.0269598832733245E-2</v>
      </c>
      <c r="BC13" s="63">
        <f t="shared" si="41"/>
        <v>1.2656154140929018E-2</v>
      </c>
      <c r="BD13" s="63">
        <f t="shared" ref="BD13" si="42">BD5*BD11*(1-BD6)+BD9*BD12</f>
        <v>1.7205707302520731E-2</v>
      </c>
      <c r="BE13" s="63">
        <f t="shared" ref="BE13" si="43">BE5*BE11*(1-BE6)+BE9*BE12</f>
        <v>1.9551552738137218E-2</v>
      </c>
      <c r="BF13" s="63">
        <f t="shared" ref="BF13" si="44">BF5*BF11*(1-BF6)+BF9*BF12</f>
        <v>4.2165606648203291E-2</v>
      </c>
      <c r="BG13" s="63">
        <f t="shared" ref="BG13:BH13" si="45">BG5*BG11*(1-BG6)+BG9*BG12</f>
        <v>4.2389326580097385E-2</v>
      </c>
      <c r="BH13" s="63">
        <f t="shared" si="45"/>
        <v>4.3730916154966278E-2</v>
      </c>
      <c r="BI13" s="63">
        <f t="shared" ref="BI13" si="46">BI5*BI11*(1-BI6)+BI9*BI12</f>
        <v>4.7238026133516499E-2</v>
      </c>
      <c r="BJ13" s="63">
        <f t="shared" ref="BJ13" si="47">BJ5*BJ11*(1-BJ6)+BJ9*BJ12</f>
        <v>3.3121125223916387E-2</v>
      </c>
      <c r="BK13" s="63">
        <f t="shared" ref="BK13" si="48">BK5*BK11*(1-BK6)+BK9*BK12</f>
        <v>3.5382814946235568E-2</v>
      </c>
      <c r="BL13" s="63">
        <f t="shared" ref="BL13:BM13" si="49">BL5*BL11*(1-BL6)+BL9*BL12</f>
        <v>3.5383374755919558E-2</v>
      </c>
      <c r="BM13" s="63">
        <f t="shared" si="49"/>
        <v>4.6844769604992537E-2</v>
      </c>
      <c r="BN13" s="63">
        <f t="shared" ref="BN13" si="50">BN5*BN11*(1-BN6)+BN9*BN12</f>
        <v>3.9769516164739609E-2</v>
      </c>
      <c r="BO13" s="63">
        <f t="shared" ref="BO13" si="51">BO5*BO11*(1-BO6)+BO9*BO12</f>
        <v>3.4656432572810168E-2</v>
      </c>
      <c r="BP13" s="63">
        <f t="shared" ref="BP13" si="52">BP5*BP11*(1-BP6)+BP9*BP12</f>
        <v>3.8004293796533514E-2</v>
      </c>
      <c r="BQ13" s="63">
        <f t="shared" ref="BQ13:BR13" si="53">BQ5*BQ11*(1-BQ6)+BQ9*BQ12</f>
        <v>5.1101310636673447E-2</v>
      </c>
      <c r="BR13" s="63">
        <f t="shared" si="53"/>
        <v>6.5023377933779838E-2</v>
      </c>
      <c r="BS13" s="63">
        <f t="shared" ref="BS13" si="54">BS5*BS11*(1-BS6)+BS9*BS12</f>
        <v>6.1287789364258542E-2</v>
      </c>
      <c r="BT13" s="63">
        <f t="shared" ref="BT13" si="55">BT5*BT11*(1-BT6)+BT9*BT12</f>
        <v>5.7041700748730106E-2</v>
      </c>
      <c r="BU13" s="63">
        <f t="shared" ref="BU13" si="56">BU5*BU11*(1-BU6)+BU9*BU12</f>
        <v>6.273874981280779E-2</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6.7764504318512345E-2</v>
      </c>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1" width="22.6640625" hidden="1" customWidth="1"/>
    <col min="12"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19" hidden="1" customWidth="1"/>
    <col min="33" max="33" width="19" bestFit="1" customWidth="1"/>
    <col min="34" max="36" width="19" hidden="1" customWidth="1"/>
    <col min="37" max="37" width="19" bestFit="1" customWidth="1"/>
    <col min="38" max="40" width="18.33203125" hidden="1" customWidth="1"/>
    <col min="41" max="41" width="18.33203125" bestFit="1" customWidth="1"/>
    <col min="42" max="44" width="18.33203125" hidden="1" customWidth="1"/>
    <col min="45" max="45" width="18.33203125" bestFit="1" customWidth="1"/>
    <col min="46" max="47" width="20.21875" hidden="1" customWidth="1"/>
    <col min="48" max="48" width="19" hidden="1" customWidth="1"/>
    <col min="49" max="49" width="18.33203125" bestFit="1" customWidth="1"/>
    <col min="50" max="51" width="19" hidden="1" customWidth="1"/>
    <col min="52" max="52" width="9.5546875" hidden="1" customWidth="1"/>
    <col min="53" max="53" width="19" bestFit="1" customWidth="1"/>
    <col min="54" max="55" width="19" hidden="1" customWidth="1"/>
    <col min="56" max="56" width="19.33203125" hidden="1" customWidth="1"/>
    <col min="57" max="57" width="19" bestFit="1" customWidth="1"/>
    <col min="58" max="58" width="19.33203125" hidden="1" customWidth="1"/>
    <col min="59"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1" width="19" bestFit="1" customWidth="1"/>
    <col min="72" max="72" width="19" hidden="1" customWidth="1"/>
    <col min="73" max="73" width="19" bestFit="1" customWidth="1"/>
    <col min="74" max="74" width="19" hidden="1" customWidth="1"/>
    <col min="75" max="75" width="19" bestFit="1" customWidth="1"/>
    <col min="76" max="76" width="19" hidden="1" customWidth="1"/>
    <col min="77" max="77" width="19" bestFit="1" customWidth="1"/>
    <col min="78" max="78" width="17.77734375" hidden="1" customWidth="1"/>
    <col min="79" max="79" width="17.77734375" bestFit="1" customWidth="1"/>
    <col min="80" max="80" width="19" bestFit="1" customWidth="1"/>
    <col min="81" max="81" width="17.77734375" bestFit="1" customWidth="1"/>
    <col min="82" max="82" width="9.5546875" hidden="1" customWidth="1"/>
    <col min="83" max="90" width="8.5546875" bestFit="1" customWidth="1"/>
  </cols>
  <sheetData>
    <row r="1" spans="1:90"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90"/>
      <c r="CF1" s="190"/>
      <c r="CG1" s="190"/>
      <c r="CH1" s="190"/>
      <c r="CI1" s="190"/>
      <c r="CJ1" s="190"/>
      <c r="CK1" s="190"/>
      <c r="CL1" s="190"/>
    </row>
    <row r="2" spans="1:90" s="26" customFormat="1" x14ac:dyDescent="0.25">
      <c r="A2" s="41" t="s">
        <v>553</v>
      </c>
      <c r="E2" s="26">
        <f>资产资本表!E17</f>
        <v>926091901.50999999</v>
      </c>
      <c r="F2" s="26">
        <f>资产资本表!F17</f>
        <v>1356734900.6700001</v>
      </c>
      <c r="G2" s="26">
        <f>资产资本表!G17</f>
        <v>823765163.36000001</v>
      </c>
      <c r="H2" s="26">
        <f>资产资本表!H17</f>
        <v>776416588.15999997</v>
      </c>
      <c r="I2" s="26">
        <f>资产资本表!I17</f>
        <v>1438863232.1800001</v>
      </c>
      <c r="J2" s="26">
        <f>资产资本表!J17</f>
        <v>1056196901.1600001</v>
      </c>
      <c r="K2" s="26">
        <f>资产资本表!K17</f>
        <v>1737525344.23</v>
      </c>
      <c r="L2" s="26">
        <f>资产资本表!L17</f>
        <v>1933316623.48</v>
      </c>
      <c r="M2" s="26">
        <f>资产资本表!M17</f>
        <v>764091700.45000005</v>
      </c>
      <c r="N2" s="26">
        <f>资产资本表!N17</f>
        <v>785217963.60000002</v>
      </c>
      <c r="O2" s="26">
        <f>资产资本表!O17</f>
        <v>794522845.71000004</v>
      </c>
      <c r="P2" s="26">
        <f>资产资本表!P17</f>
        <v>1003198817.6400001</v>
      </c>
      <c r="Q2" s="26">
        <f>资产资本表!Q17</f>
        <v>2510334268.3099999</v>
      </c>
      <c r="R2" s="26">
        <f>资产资本表!R17</f>
        <v>1023170234.97</v>
      </c>
      <c r="S2" s="26">
        <f>资产资本表!S17</f>
        <v>763798441.50999999</v>
      </c>
      <c r="T2" s="26">
        <f>资产资本表!T17</f>
        <v>915094214.45000005</v>
      </c>
      <c r="U2" s="26">
        <f>资产资本表!U17</f>
        <v>891052090.87</v>
      </c>
      <c r="V2" s="26">
        <f>资产资本表!V17</f>
        <v>796187571.14999998</v>
      </c>
      <c r="W2" s="26">
        <f>资产资本表!W17</f>
        <v>562966007.25999999</v>
      </c>
      <c r="X2" s="26">
        <f>资产资本表!X17</f>
        <v>738153106.33000004</v>
      </c>
      <c r="Y2" s="26">
        <f>资产资本表!Y17</f>
        <v>1135896723.99</v>
      </c>
      <c r="Z2" s="26">
        <f>资产资本表!Z17</f>
        <v>771284537.24000001</v>
      </c>
      <c r="AA2" s="26">
        <f>资产资本表!AA17</f>
        <v>441810812.27999997</v>
      </c>
      <c r="AB2" s="26">
        <f>资产资本表!AB17</f>
        <v>340794569.60000002</v>
      </c>
      <c r="AC2" s="26">
        <f>资产资本表!AC17</f>
        <v>596448701.64999998</v>
      </c>
      <c r="AD2" s="26">
        <f>资产资本表!AD17</f>
        <v>466216.12</v>
      </c>
      <c r="AE2" s="26">
        <f>资产资本表!AE17</f>
        <v>357891.61</v>
      </c>
      <c r="AF2" s="26">
        <f>资产资本表!AF17</f>
        <v>432840.36</v>
      </c>
      <c r="AG2" s="26">
        <f>资产资本表!AG17</f>
        <v>1641059.35</v>
      </c>
      <c r="AH2" s="26">
        <f>资产资本表!AH17</f>
        <v>254163.5</v>
      </c>
      <c r="AI2" s="26">
        <f>资产资本表!AI17</f>
        <v>408737.88</v>
      </c>
      <c r="AJ2" s="26">
        <f>资产资本表!AJ17</f>
        <v>294989.28000000003</v>
      </c>
      <c r="AK2" s="26">
        <f>资产资本表!AK17</f>
        <v>567374.21</v>
      </c>
      <c r="AL2" s="26">
        <f>资产资本表!AL17</f>
        <v>149172.9</v>
      </c>
      <c r="AM2" s="26">
        <f>资产资本表!AM17</f>
        <v>247962.97</v>
      </c>
      <c r="AN2" s="26">
        <f>资产资本表!AN17</f>
        <v>528471.81000000006</v>
      </c>
      <c r="AO2" s="26">
        <f>资产资本表!AO17</f>
        <v>535108.41</v>
      </c>
      <c r="AP2" s="26">
        <f>资产资本表!AP17</f>
        <v>1997288.68</v>
      </c>
      <c r="AQ2" s="26">
        <f>资产资本表!AQ17</f>
        <v>1596904.73</v>
      </c>
      <c r="AR2" s="26">
        <f>资产资本表!AR17</f>
        <v>3671275.8</v>
      </c>
      <c r="AS2" s="26">
        <f>资产资本表!AS17</f>
        <v>15985969.529999999</v>
      </c>
      <c r="AT2" s="26">
        <f>资产资本表!AT17</f>
        <v>7460925.71</v>
      </c>
      <c r="AU2" s="26">
        <f>资产资本表!AU17</f>
        <v>8511971.4000000004</v>
      </c>
      <c r="AV2" s="26">
        <f>资产资本表!AV17</f>
        <v>13812006.470000001</v>
      </c>
      <c r="AW2" s="26">
        <f>资产资本表!AW17</f>
        <v>10885333.24</v>
      </c>
      <c r="AX2" s="26">
        <f>资产资本表!AX17</f>
        <v>8527816.3599999994</v>
      </c>
      <c r="AY2" s="26">
        <f>资产资本表!AY17</f>
        <v>11255685.550000001</v>
      </c>
      <c r="AZ2" s="26">
        <f>资产资本表!AZ17</f>
        <v>0</v>
      </c>
      <c r="BA2" s="26">
        <f>资产资本表!BA17</f>
        <v>15379893.4</v>
      </c>
      <c r="BB2" s="26">
        <f>资产资本表!BB17</f>
        <v>10394963.039999999</v>
      </c>
      <c r="BC2" s="26">
        <f>资产资本表!BC17</f>
        <v>5070086.91</v>
      </c>
      <c r="BD2" s="26">
        <f>资产资本表!BD17</f>
        <v>6028307.2599999998</v>
      </c>
      <c r="BE2" s="26">
        <f>资产资本表!BE17</f>
        <v>114701814.88</v>
      </c>
      <c r="BF2" s="26">
        <f>资产资本表!BF17</f>
        <v>156125796.11000001</v>
      </c>
      <c r="BG2" s="26">
        <f>资产资本表!BG17</f>
        <v>165748121.43000001</v>
      </c>
      <c r="BH2" s="26">
        <f>资产资本表!BH17</f>
        <v>234795792.46000001</v>
      </c>
      <c r="BI2" s="26">
        <f>资产资本表!BI17</f>
        <v>354968648.18000001</v>
      </c>
      <c r="BJ2" s="26">
        <f>资产资本表!BJ17</f>
        <v>311317648.56</v>
      </c>
      <c r="BK2" s="26">
        <f>资产资本表!BK17</f>
        <v>363845847.88999999</v>
      </c>
      <c r="BL2" s="26">
        <f>资产资本表!BL17</f>
        <v>355952252.56999999</v>
      </c>
      <c r="BM2" s="26">
        <f>资产资本表!BM17</f>
        <v>273294947.05000001</v>
      </c>
      <c r="BN2" s="26">
        <f>资产资本表!BN17</f>
        <v>145494670.44</v>
      </c>
      <c r="BO2" s="26">
        <f>资产资本表!BO17</f>
        <v>303869580.30000001</v>
      </c>
      <c r="BP2" s="26">
        <f>资产资本表!BP17</f>
        <v>227671628.03999999</v>
      </c>
      <c r="BQ2" s="26">
        <f>资产资本表!BQ17</f>
        <v>221556058.13999999</v>
      </c>
      <c r="BR2" s="26">
        <f>资产资本表!BR17</f>
        <v>140183193.76999998</v>
      </c>
      <c r="BS2" s="26">
        <f>资产资本表!BS17</f>
        <v>53694794.680000007</v>
      </c>
      <c r="BT2" s="26">
        <f>资产资本表!BT17</f>
        <v>119104358.29000001</v>
      </c>
      <c r="BU2" s="26">
        <f>资产资本表!BU17</f>
        <v>71006139.680000007</v>
      </c>
      <c r="BV2" s="26">
        <f>资产资本表!BV17</f>
        <v>16689141.880000001</v>
      </c>
      <c r="BW2" s="26">
        <f>资产资本表!BW17</f>
        <v>24236168.48</v>
      </c>
      <c r="BX2" s="26">
        <f>资产资本表!BX17</f>
        <v>80436947.620000005</v>
      </c>
      <c r="BY2" s="26">
        <f>资产资本表!BY17</f>
        <v>84797442.760000005</v>
      </c>
      <c r="BZ2" s="26">
        <f>资产资本表!BZ17</f>
        <v>6152356.9900000002</v>
      </c>
      <c r="CA2" s="26">
        <f>资产资本表!CA17</f>
        <v>7469187.54</v>
      </c>
      <c r="CB2" s="26">
        <f>资产资本表!CB17</f>
        <v>9023293.9000000004</v>
      </c>
      <c r="CC2" s="26">
        <f>资产资本表!CC17</f>
        <v>2977734.29</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403915866.87</v>
      </c>
      <c r="F3" s="26">
        <f>资产资本表!F19</f>
        <v>447363408.45999998</v>
      </c>
      <c r="G3" s="26">
        <f>资产资本表!G19</f>
        <v>444375867.52999997</v>
      </c>
      <c r="H3" s="26">
        <f>资产资本表!H19</f>
        <v>453022802.99000001</v>
      </c>
      <c r="I3" s="26">
        <f>资产资本表!I19</f>
        <v>453295920.87</v>
      </c>
      <c r="J3" s="26">
        <f>资产资本表!J19</f>
        <v>455520618.37</v>
      </c>
      <c r="K3" s="26">
        <f>资产资本表!K19</f>
        <v>455552971.31</v>
      </c>
      <c r="L3" s="26">
        <f>资产资本表!L19</f>
        <v>369416304.49000001</v>
      </c>
      <c r="M3" s="26">
        <f>资产资本表!M19</f>
        <v>369507558.10000002</v>
      </c>
      <c r="N3" s="26">
        <f>资产资本表!N19</f>
        <v>371618200.89999998</v>
      </c>
      <c r="O3" s="26">
        <f>资产资本表!O19</f>
        <v>401620545.66000003</v>
      </c>
      <c r="P3" s="26">
        <f>资产资本表!P19</f>
        <v>402085418.17000002</v>
      </c>
      <c r="Q3" s="26">
        <f>资产资本表!Q19</f>
        <v>402190572.31</v>
      </c>
      <c r="R3" s="26">
        <f>资产资本表!R19</f>
        <v>401226841.66000003</v>
      </c>
      <c r="S3" s="26">
        <f>资产资本表!S19</f>
        <v>551819434.76999998</v>
      </c>
      <c r="T3" s="26">
        <f>资产资本表!T19</f>
        <v>549570492.28999996</v>
      </c>
      <c r="U3" s="26">
        <f>资产资本表!U19</f>
        <v>549237419.96000004</v>
      </c>
      <c r="V3" s="26">
        <f>资产资本表!V19</f>
        <v>554732945.21000004</v>
      </c>
      <c r="W3" s="26">
        <f>资产资本表!W19</f>
        <v>247513091</v>
      </c>
      <c r="X3" s="26">
        <f>资产资本表!X19</f>
        <v>247812784.97999999</v>
      </c>
      <c r="Y3" s="26">
        <f>资产资本表!Y19</f>
        <v>218139580.31</v>
      </c>
      <c r="Z3" s="26">
        <f>资产资本表!Z19</f>
        <v>221938920.36000001</v>
      </c>
      <c r="AA3" s="26">
        <f>资产资本表!AA19</f>
        <v>215834322.86000001</v>
      </c>
      <c r="AB3" s="26">
        <f>资产资本表!AB19</f>
        <v>193607895.25999999</v>
      </c>
      <c r="AC3" s="26">
        <f>资产资本表!AC19</f>
        <v>194315631.08000001</v>
      </c>
      <c r="AD3" s="26">
        <f>资产资本表!AD19</f>
        <v>45031970.539999999</v>
      </c>
      <c r="AE3" s="26">
        <f>资产资本表!AE19</f>
        <v>45031970.539999999</v>
      </c>
      <c r="AF3" s="26">
        <f>资产资本表!AF19</f>
        <v>45031970.539999999</v>
      </c>
      <c r="AG3" s="26">
        <f>资产资本表!AG19</f>
        <v>45031970.539999999</v>
      </c>
      <c r="AH3" s="26">
        <f>资产资本表!AH19</f>
        <v>45036417.539999999</v>
      </c>
      <c r="AI3" s="26">
        <f>资产资本表!AI19</f>
        <v>45036417.539999999</v>
      </c>
      <c r="AJ3" s="26">
        <f>资产资本表!AJ19</f>
        <v>45036417.539999999</v>
      </c>
      <c r="AK3" s="26">
        <f>资产资本表!AK19</f>
        <v>45036417.539999999</v>
      </c>
      <c r="AL3" s="26">
        <f>资产资本表!AL19</f>
        <v>46232321.960000001</v>
      </c>
      <c r="AM3" s="26">
        <f>资产资本表!AM19</f>
        <v>46249721.060000002</v>
      </c>
      <c r="AN3" s="26">
        <f>资产资本表!AN19</f>
        <v>46249915.490000002</v>
      </c>
      <c r="AO3" s="26">
        <f>资产资本表!AO19</f>
        <v>46249915.490000002</v>
      </c>
      <c r="AP3" s="26">
        <f>资产资本表!AP19</f>
        <v>46448435.030000001</v>
      </c>
      <c r="AQ3" s="26">
        <f>资产资本表!AQ19</f>
        <v>46448435.030000001</v>
      </c>
      <c r="AR3" s="26">
        <f>资产资本表!AR19</f>
        <v>46621892.890000001</v>
      </c>
      <c r="AS3" s="26">
        <f>资产资本表!AS19</f>
        <v>46621892.890000001</v>
      </c>
      <c r="AT3" s="26">
        <f>资产资本表!AT19</f>
        <v>51021782.5</v>
      </c>
      <c r="AU3" s="26">
        <f>资产资本表!AU19</f>
        <v>51021782.5</v>
      </c>
      <c r="AV3" s="26">
        <f>资产资本表!AV19</f>
        <v>51047379.210000001</v>
      </c>
      <c r="AW3" s="26">
        <f>资产资本表!AW19</f>
        <v>48209000.299999997</v>
      </c>
      <c r="AX3" s="26">
        <f>资产资本表!AX19</f>
        <v>31080094.460000001</v>
      </c>
      <c r="AY3" s="26">
        <f>资产资本表!AY19</f>
        <v>24038511.09</v>
      </c>
      <c r="AZ3" s="26">
        <f>资产资本表!AZ19</f>
        <v>0</v>
      </c>
      <c r="BA3" s="26">
        <f>资产资本表!BA19</f>
        <v>23940760.68</v>
      </c>
      <c r="BB3" s="26">
        <f>资产资本表!BB19</f>
        <v>21123595.420000002</v>
      </c>
      <c r="BC3" s="26">
        <f>资产资本表!BC19</f>
        <v>21132708.809999999</v>
      </c>
      <c r="BD3" s="26">
        <f>资产资本表!BD19</f>
        <v>21656552.77</v>
      </c>
      <c r="BE3" s="26">
        <f>资产资本表!BE19</f>
        <v>22011331.800000001</v>
      </c>
      <c r="BF3" s="26">
        <f>资产资本表!BF19</f>
        <v>21828507.649999999</v>
      </c>
      <c r="BG3" s="26">
        <f>资产资本表!BG19</f>
        <v>21912655.920000002</v>
      </c>
      <c r="BH3" s="26">
        <f>资产资本表!BH19</f>
        <v>21923525.120000001</v>
      </c>
      <c r="BI3" s="26">
        <f>资产资本表!BI19</f>
        <v>21958922.329999998</v>
      </c>
      <c r="BJ3" s="26">
        <f>资产资本表!BJ19</f>
        <v>418858.82</v>
      </c>
      <c r="BK3" s="26">
        <f>资产资本表!BK19</f>
        <v>418858.82</v>
      </c>
      <c r="BL3" s="26">
        <f>资产资本表!BL19</f>
        <v>468493.93</v>
      </c>
      <c r="BM3" s="26">
        <f>资产资本表!BM19</f>
        <v>468493.93</v>
      </c>
      <c r="BN3" s="26">
        <f>资产资本表!BN19</f>
        <v>518129.04</v>
      </c>
      <c r="BO3" s="26">
        <f>资产资本表!BO19</f>
        <v>518129.04</v>
      </c>
      <c r="BP3" s="26">
        <f>资产资本表!BP19</f>
        <v>567764.15</v>
      </c>
      <c r="BQ3" s="26">
        <f>资产资本表!BQ19</f>
        <v>567764.15</v>
      </c>
      <c r="BR3" s="26">
        <f>资产资本表!BR19</f>
        <v>1538688.4</v>
      </c>
      <c r="BS3" s="26">
        <f>资产资本表!BS19</f>
        <v>37201034.369999997</v>
      </c>
      <c r="BT3" s="26">
        <f>资产资本表!BT19</f>
        <v>28320562.699999999</v>
      </c>
      <c r="BU3" s="26">
        <f>资产资本表!BU19</f>
        <v>22912443.02</v>
      </c>
      <c r="BV3" s="26">
        <f>资产资本表!BV19</f>
        <v>22460635.140000001</v>
      </c>
      <c r="BW3" s="26">
        <f>资产资本表!BW19</f>
        <v>21867618.27</v>
      </c>
      <c r="BX3" s="26">
        <f>资产资本表!BX19</f>
        <v>10386134.18</v>
      </c>
      <c r="BY3" s="26">
        <f>资产资本表!BY19</f>
        <v>10451921.84</v>
      </c>
      <c r="BZ3" s="26">
        <f>资产资本表!BZ19</f>
        <v>8624172.8399999999</v>
      </c>
      <c r="CA3" s="26">
        <f>资产资本表!CA19</f>
        <v>8826522.8399999999</v>
      </c>
      <c r="CB3" s="26">
        <f>资产资本表!CB19</f>
        <v>371522.84</v>
      </c>
      <c r="CC3" s="26">
        <f>资产资本表!CC19</f>
        <v>381522.84</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8917709566.8800011</v>
      </c>
      <c r="F4" s="26">
        <f>资产资本表!F50</f>
        <v>8824617882.2199993</v>
      </c>
      <c r="G4" s="26">
        <f>资产资本表!G50</f>
        <v>7798732946.3300009</v>
      </c>
      <c r="H4" s="26">
        <f>资产资本表!H50</f>
        <v>7780319144.3199997</v>
      </c>
      <c r="I4" s="26">
        <f>资产资本表!I50</f>
        <v>7076963978.3899994</v>
      </c>
      <c r="J4" s="26">
        <f>资产资本表!J50</f>
        <v>7288699572.2900009</v>
      </c>
      <c r="K4" s="26">
        <f>资产资本表!K50</f>
        <v>7266747968.2300005</v>
      </c>
      <c r="L4" s="26">
        <f>资产资本表!L50</f>
        <v>6708235583.6300011</v>
      </c>
      <c r="M4" s="26">
        <f>资产资本表!M50</f>
        <v>6203098773.3500013</v>
      </c>
      <c r="N4" s="26">
        <f>资产资本表!N50</f>
        <v>6752790677.8300018</v>
      </c>
      <c r="O4" s="26">
        <f>资产资本表!O50</f>
        <v>7058989594.5</v>
      </c>
      <c r="P4" s="26">
        <f>资产资本表!P50</f>
        <v>6721589422.2000008</v>
      </c>
      <c r="Q4" s="26">
        <f>资产资本表!Q50</f>
        <v>5271947531.5499992</v>
      </c>
      <c r="R4" s="26">
        <f>资产资本表!R50</f>
        <v>3836438024.7199993</v>
      </c>
      <c r="S4" s="26">
        <f>资产资本表!S50</f>
        <v>3916657326.6399999</v>
      </c>
      <c r="T4" s="26">
        <f>资产资本表!T50</f>
        <v>3793101021.0099993</v>
      </c>
      <c r="U4" s="26">
        <f>资产资本表!U50</f>
        <v>3148588274.6499996</v>
      </c>
      <c r="V4" s="26">
        <f>资产资本表!V50</f>
        <v>1670365395.3800011</v>
      </c>
      <c r="W4" s="26">
        <f>资产资本表!W50</f>
        <v>1757289554.0299997</v>
      </c>
      <c r="X4" s="26">
        <f>资产资本表!X50</f>
        <v>1530654280.5899997</v>
      </c>
      <c r="Y4" s="26">
        <f>资产资本表!Y50</f>
        <v>1277706676.0100002</v>
      </c>
      <c r="Z4" s="26">
        <f>资产资本表!Z50</f>
        <v>1279987718.1700006</v>
      </c>
      <c r="AA4" s="26">
        <f>资产资本表!AA50</f>
        <v>1632763892.29</v>
      </c>
      <c r="AB4" s="26">
        <f>资产资本表!AB50</f>
        <v>1660168005.5899997</v>
      </c>
      <c r="AC4" s="26">
        <f>资产资本表!AC50</f>
        <v>1463722004.8300004</v>
      </c>
      <c r="AD4" s="26">
        <f>资产资本表!AD50</f>
        <v>-98185479.459999993</v>
      </c>
      <c r="AE4" s="26">
        <f>资产资本表!AE50</f>
        <v>-97613912.039999977</v>
      </c>
      <c r="AF4" s="26">
        <f>资产资本表!AF50</f>
        <v>-95312340.549999967</v>
      </c>
      <c r="AG4" s="26">
        <f>资产资本表!AG50</f>
        <v>-95904103.909999967</v>
      </c>
      <c r="AH4" s="26">
        <f>资产资本表!AH50</f>
        <v>-100404271.06000002</v>
      </c>
      <c r="AI4" s="26">
        <f>资产资本表!AI50</f>
        <v>-80162208.129999995</v>
      </c>
      <c r="AJ4" s="26">
        <f>资产资本表!AJ50</f>
        <v>-77054160.200000033</v>
      </c>
      <c r="AK4" s="26">
        <f>资产资本表!AK50</f>
        <v>-76871480.400000006</v>
      </c>
      <c r="AL4" s="26">
        <f>资产资本表!AL50</f>
        <v>-70880324.62000002</v>
      </c>
      <c r="AM4" s="26">
        <f>资产资本表!AM50</f>
        <v>-68434730.589999974</v>
      </c>
      <c r="AN4" s="26">
        <f>资产资本表!AN50</f>
        <v>-55291014.76000002</v>
      </c>
      <c r="AO4" s="26">
        <f>资产资本表!AO50</f>
        <v>-56397960.480000049</v>
      </c>
      <c r="AP4" s="26">
        <f>资产资本表!AP50</f>
        <v>-30850608.860000014</v>
      </c>
      <c r="AQ4" s="26">
        <f>资产资本表!AQ50</f>
        <v>-30377006.400000036</v>
      </c>
      <c r="AR4" s="26">
        <f>资产资本表!AR50</f>
        <v>-16603636.190000027</v>
      </c>
      <c r="AS4" s="26">
        <f>资产资本表!AS50</f>
        <v>-18632255.380000025</v>
      </c>
      <c r="AT4" s="26">
        <f>资产资本表!AT50</f>
        <v>-211395086.79000008</v>
      </c>
      <c r="AU4" s="26">
        <f>资产资本表!AU50</f>
        <v>-193330447.08000001</v>
      </c>
      <c r="AV4" s="26">
        <f>资产资本表!AV50</f>
        <v>-185643760.81999996</v>
      </c>
      <c r="AW4" s="26">
        <f>资产资本表!AW50</f>
        <v>-33855400.700000048</v>
      </c>
      <c r="AX4" s="26">
        <f>资产资本表!AX50</f>
        <v>368593957.27999997</v>
      </c>
      <c r="AY4" s="26">
        <f>资产资本表!AY50</f>
        <v>373050573.81999993</v>
      </c>
      <c r="AZ4" s="26">
        <f>资产资本表!AZ50</f>
        <v>0</v>
      </c>
      <c r="BA4" s="26">
        <f>资产资本表!BA50</f>
        <v>391964946.5</v>
      </c>
      <c r="BB4" s="26">
        <f>资产资本表!BB50</f>
        <v>476288647.48999989</v>
      </c>
      <c r="BC4" s="26">
        <f>资产资本表!BC50</f>
        <v>484308056.66000009</v>
      </c>
      <c r="BD4" s="26">
        <f>资产资本表!BD50</f>
        <v>509795364.57999998</v>
      </c>
      <c r="BE4" s="26">
        <f>资产资本表!BE50</f>
        <v>409465587.97000003</v>
      </c>
      <c r="BF4" s="26">
        <f>资产资本表!BF50</f>
        <v>391075404.28999984</v>
      </c>
      <c r="BG4" s="26">
        <f>资产资本表!BG50</f>
        <v>387010092.8299998</v>
      </c>
      <c r="BH4" s="26">
        <f>资产资本表!BH50</f>
        <v>293394180.17999995</v>
      </c>
      <c r="BI4" s="26">
        <f>资产资本表!BI50</f>
        <v>124343649.84999996</v>
      </c>
      <c r="BJ4" s="26">
        <f>资产资本表!BJ50</f>
        <v>452762331.04000002</v>
      </c>
      <c r="BK4" s="26">
        <f>资产资本表!BK50</f>
        <v>339352939.87</v>
      </c>
      <c r="BL4" s="26">
        <f>资产资本表!BL50</f>
        <v>329588945.56</v>
      </c>
      <c r="BM4" s="26">
        <f>资产资本表!BM50</f>
        <v>229406688.10000002</v>
      </c>
      <c r="BN4" s="26">
        <f>资产资本表!BN50</f>
        <v>439532146.28000009</v>
      </c>
      <c r="BO4" s="26">
        <f>资产资本表!BO50</f>
        <v>375741318.56000006</v>
      </c>
      <c r="BP4" s="26">
        <f>资产资本表!BP50</f>
        <v>366962165.16999996</v>
      </c>
      <c r="BQ4" s="26">
        <f>资产资本表!BQ50</f>
        <v>201254466.07999998</v>
      </c>
      <c r="BR4" s="26">
        <f>资产资本表!BR50</f>
        <v>156568255.24000004</v>
      </c>
      <c r="BS4" s="26">
        <f>资产资本表!BS50</f>
        <v>203901914.58999997</v>
      </c>
      <c r="BT4" s="26">
        <f>资产资本表!BT50</f>
        <v>162517305.94</v>
      </c>
      <c r="BU4" s="26">
        <f>资产资本表!BU50</f>
        <v>123415931.37</v>
      </c>
      <c r="BV4" s="26">
        <f>资产资本表!BV50</f>
        <v>103763099.44999999</v>
      </c>
      <c r="BW4" s="26">
        <f>资产资本表!BW50</f>
        <v>67301843.900000006</v>
      </c>
      <c r="BX4" s="26">
        <f>资产资本表!BX50</f>
        <v>58617618.859999999</v>
      </c>
      <c r="BY4" s="26">
        <f>资产资本表!BY50</f>
        <v>46260953.439999998</v>
      </c>
      <c r="BZ4" s="26">
        <f>资产资本表!BZ50</f>
        <v>43274226.899999991</v>
      </c>
      <c r="CA4" s="26">
        <f>资产资本表!CA50</f>
        <v>38288197.360000007</v>
      </c>
      <c r="CB4" s="26">
        <f>资产资本表!CB50</f>
        <v>46860986.359999999</v>
      </c>
      <c r="CC4" s="26">
        <f>资产资本表!CC50</f>
        <v>34630354.600000001</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9809163354.1100006</v>
      </c>
      <c r="F5" s="26">
        <f>资产资本表!F33</f>
        <v>10654706351.969999</v>
      </c>
      <c r="G5" s="26">
        <f>资产资本表!G33</f>
        <v>9305644055.1100006</v>
      </c>
      <c r="H5" s="26">
        <f>资产资本表!H33</f>
        <v>9114666751.4200001</v>
      </c>
      <c r="I5" s="26">
        <f>资产资本表!I33</f>
        <v>9832072445.0499992</v>
      </c>
      <c r="J5" s="26">
        <f>资产资本表!J33</f>
        <v>10662218510.360001</v>
      </c>
      <c r="K5" s="26">
        <f>资产资本表!K33</f>
        <v>11220224249.85</v>
      </c>
      <c r="L5" s="26">
        <f>资产资本表!L33</f>
        <v>10571065343.780001</v>
      </c>
      <c r="M5" s="26">
        <f>资产资本表!M33</f>
        <v>11974851997.18</v>
      </c>
      <c r="N5" s="26">
        <f>资产资本表!N33</f>
        <v>11605575195.460001</v>
      </c>
      <c r="O5" s="26">
        <f>资产资本表!O33</f>
        <v>11245163554.83</v>
      </c>
      <c r="P5" s="26">
        <f>资产资本表!P33</f>
        <v>9936428310.4500008</v>
      </c>
      <c r="Q5" s="26">
        <f>资产资本表!Q33</f>
        <v>8313895671.1499996</v>
      </c>
      <c r="R5" s="26">
        <f>资产资本表!R33</f>
        <v>7697397264.4399996</v>
      </c>
      <c r="S5" s="26">
        <f>资产资本表!S33</f>
        <v>7553859730.8400002</v>
      </c>
      <c r="T5" s="26">
        <f>资产资本表!T33</f>
        <v>7547541921.2399998</v>
      </c>
      <c r="U5" s="26">
        <f>资产资本表!U33</f>
        <v>6383596541.3599997</v>
      </c>
      <c r="V5" s="26">
        <f>资产资本表!V33</f>
        <v>5513317494.2800007</v>
      </c>
      <c r="W5" s="26">
        <f>资产资本表!W33</f>
        <v>5273156341.3299999</v>
      </c>
      <c r="X5" s="26">
        <f>资产资本表!X33</f>
        <v>4171608096.1799998</v>
      </c>
      <c r="Y5" s="26">
        <f>资产资本表!Y33</f>
        <v>3722404205.46</v>
      </c>
      <c r="Z5" s="26">
        <f>资产资本表!Z33</f>
        <v>4357340199.0500002</v>
      </c>
      <c r="AA5" s="26">
        <f>资产资本表!AA33</f>
        <v>4016937996.0500002</v>
      </c>
      <c r="AB5" s="26">
        <f>资产资本表!AB33</f>
        <v>3881511262.5</v>
      </c>
      <c r="AC5" s="26">
        <f>资产资本表!AC33</f>
        <v>3754991318.4900002</v>
      </c>
      <c r="AD5" s="26">
        <f>资产资本表!AD33</f>
        <v>112821388.63000001</v>
      </c>
      <c r="AE5" s="26">
        <f>资产资本表!AE33</f>
        <v>110163782.54000001</v>
      </c>
      <c r="AF5" s="26">
        <f>资产资本表!AF33</f>
        <v>111384399.48</v>
      </c>
      <c r="AG5" s="26">
        <f>资产资本表!AG33</f>
        <v>110525875.68000001</v>
      </c>
      <c r="AH5" s="26">
        <f>资产资本表!AH33</f>
        <v>103811287.83999999</v>
      </c>
      <c r="AI5" s="26">
        <f>资产资本表!AI33</f>
        <v>122789196.19999999</v>
      </c>
      <c r="AJ5" s="26">
        <f>资产资本表!AJ33</f>
        <v>125453647.14999999</v>
      </c>
      <c r="AK5" s="26">
        <f>资产资本表!AK33</f>
        <v>125342630.69</v>
      </c>
      <c r="AL5" s="26">
        <f>资产资本表!AL33</f>
        <v>130481241.86</v>
      </c>
      <c r="AM5" s="26">
        <f>资产资本表!AM33</f>
        <v>135115808.48000002</v>
      </c>
      <c r="AN5" s="26">
        <f>资产资本表!AN33</f>
        <v>135330409.41</v>
      </c>
      <c r="AO5" s="26">
        <f>资产资本表!AO33</f>
        <v>135176064.44</v>
      </c>
      <c r="AP5" s="26">
        <f>资产资本表!AP33</f>
        <v>145697019.61000001</v>
      </c>
      <c r="AQ5" s="26">
        <f>资产资本表!AQ33</f>
        <v>169715146.13</v>
      </c>
      <c r="AR5" s="26">
        <f>资产资本表!AR33</f>
        <v>182213706.09999996</v>
      </c>
      <c r="AS5" s="26">
        <f>资产资本表!AS33</f>
        <v>186197655.91999999</v>
      </c>
      <c r="AT5" s="26">
        <f>资产资本表!AT33</f>
        <v>174257793.77999997</v>
      </c>
      <c r="AU5" s="26">
        <f>资产资本表!AU33</f>
        <v>184847711.16</v>
      </c>
      <c r="AV5" s="26">
        <f>资产资本表!AV33</f>
        <v>158302028.08000001</v>
      </c>
      <c r="AW5" s="26">
        <f>资产资本表!AW33</f>
        <v>175228134.67999998</v>
      </c>
      <c r="AX5" s="26">
        <f>资产资本表!AX33</f>
        <v>564709997.23000002</v>
      </c>
      <c r="AY5" s="26">
        <f>资产资本表!AY33</f>
        <v>568158099.92999995</v>
      </c>
      <c r="AZ5" s="26">
        <f>资产资本表!AZ33</f>
        <v>0</v>
      </c>
      <c r="BA5" s="26">
        <f>资产资本表!BA33</f>
        <v>580091715.08000004</v>
      </c>
      <c r="BB5" s="26">
        <f>资产资本表!BB33</f>
        <v>896082714.9799999</v>
      </c>
      <c r="BC5" s="26">
        <f>资产资本表!BC33</f>
        <v>933373837.6500001</v>
      </c>
      <c r="BD5" s="26">
        <f>资产资本表!BD33</f>
        <v>1002074664.5</v>
      </c>
      <c r="BE5" s="26">
        <f>资产资本表!BE33</f>
        <v>978614860.32000005</v>
      </c>
      <c r="BF5" s="26">
        <f>资产资本表!BF33</f>
        <v>1051130575.3299999</v>
      </c>
      <c r="BG5" s="26">
        <f>资产资本表!BG33</f>
        <v>860021159.96999991</v>
      </c>
      <c r="BH5" s="26">
        <f>资产资本表!BH33</f>
        <v>597986494.36000001</v>
      </c>
      <c r="BI5" s="26">
        <f>资产资本表!BI33</f>
        <v>639865454.00999999</v>
      </c>
      <c r="BJ5" s="26">
        <f>资产资本表!BJ33</f>
        <v>689777608.23000002</v>
      </c>
      <c r="BK5" s="26">
        <f>资产资本表!BK33</f>
        <v>612701040.75</v>
      </c>
      <c r="BL5" s="26">
        <f>资产资本表!BL33</f>
        <v>590505315.12</v>
      </c>
      <c r="BM5" s="26">
        <f>资产资本表!BM33</f>
        <v>619170762.00999999</v>
      </c>
      <c r="BN5" s="26">
        <f>资产资本表!BN33</f>
        <v>728432381.43000007</v>
      </c>
      <c r="BO5" s="26">
        <f>资产资本表!BO33</f>
        <v>561379183.10000002</v>
      </c>
      <c r="BP5" s="26">
        <f>资产资本表!BP33</f>
        <v>630902291.63999999</v>
      </c>
      <c r="BQ5" s="26">
        <f>资产资本表!BQ33</f>
        <v>573270269.25</v>
      </c>
      <c r="BR5" s="26">
        <f>资产资本表!BR33</f>
        <v>393191952.98000002</v>
      </c>
      <c r="BS5" s="26">
        <f>资产资本表!BS33</f>
        <v>283776709.40999997</v>
      </c>
      <c r="BT5" s="26">
        <f>资产资本表!BT33</f>
        <v>181513880.10999998</v>
      </c>
      <c r="BU5" s="26">
        <f>资产资本表!BU33</f>
        <v>139528712.72</v>
      </c>
      <c r="BV5" s="26">
        <f>资产资本表!BV33</f>
        <v>119866230.50999999</v>
      </c>
      <c r="BW5" s="26">
        <f>资产资本表!BW33</f>
        <v>76124339.700000003</v>
      </c>
      <c r="BX5" s="26">
        <f>资产资本表!BX33</f>
        <v>66200136.600000001</v>
      </c>
      <c r="BY5" s="26">
        <f>资产资本表!BY33</f>
        <v>55799233.539999992</v>
      </c>
      <c r="BZ5" s="26">
        <f>资产资本表!BZ33</f>
        <v>54142324.379999995</v>
      </c>
      <c r="CA5" s="26">
        <f>资产资本表!CA33</f>
        <v>45619679.450000003</v>
      </c>
      <c r="CB5" s="26">
        <f>资产资本表!CB33</f>
        <v>59245094.18</v>
      </c>
      <c r="CC5" s="26">
        <f>资产资本表!CC33</f>
        <v>47247368.609999999</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891453787.23000002</v>
      </c>
      <c r="F6" s="26">
        <f>资产资本表!F49</f>
        <v>1830088469.7500002</v>
      </c>
      <c r="G6" s="26">
        <f>资产资本表!G49</f>
        <v>1506911108.78</v>
      </c>
      <c r="H6" s="26">
        <f>资产资本表!H49</f>
        <v>1334347607.1000001</v>
      </c>
      <c r="I6" s="26">
        <f>资产资本表!I49</f>
        <v>2755108466.6599998</v>
      </c>
      <c r="J6" s="26">
        <f>资产资本表!J49</f>
        <v>3373518938.0700002</v>
      </c>
      <c r="K6" s="26">
        <f>资产资本表!K49</f>
        <v>3953476281.6199999</v>
      </c>
      <c r="L6" s="26">
        <f>资产资本表!L49</f>
        <v>3862829760.1499996</v>
      </c>
      <c r="M6" s="26">
        <f>资产资本表!M49</f>
        <v>5771753223.829999</v>
      </c>
      <c r="N6" s="26">
        <f>资产资本表!N49</f>
        <v>4852784517.6299992</v>
      </c>
      <c r="O6" s="26">
        <f>资产资本表!O49</f>
        <v>4186173960.3299999</v>
      </c>
      <c r="P6" s="26">
        <f>资产资本表!P49</f>
        <v>3214838888.25</v>
      </c>
      <c r="Q6" s="26">
        <f>资产资本表!Q49</f>
        <v>3041948139.5999999</v>
      </c>
      <c r="R6" s="26">
        <f>资产资本表!R49</f>
        <v>3860959239.7200003</v>
      </c>
      <c r="S6" s="26">
        <f>资产资本表!S49</f>
        <v>3637202404.2000003</v>
      </c>
      <c r="T6" s="26">
        <f>资产资本表!T49</f>
        <v>3754440900.2300005</v>
      </c>
      <c r="U6" s="26">
        <f>资产资本表!U49</f>
        <v>3235008266.71</v>
      </c>
      <c r="V6" s="26">
        <f>资产资本表!V49</f>
        <v>3842952098.8999996</v>
      </c>
      <c r="W6" s="26">
        <f>资产资本表!W49</f>
        <v>3515866787.3000002</v>
      </c>
      <c r="X6" s="26">
        <f>资产资本表!X49</f>
        <v>2640953815.5900002</v>
      </c>
      <c r="Y6" s="26">
        <f>资产资本表!Y49</f>
        <v>2444697529.4499998</v>
      </c>
      <c r="Z6" s="26">
        <f>资产资本表!Z49</f>
        <v>3077352480.8799996</v>
      </c>
      <c r="AA6" s="26">
        <f>资产资本表!AA49</f>
        <v>2384174103.7600002</v>
      </c>
      <c r="AB6" s="26">
        <f>资产资本表!AB49</f>
        <v>2221343256.9100003</v>
      </c>
      <c r="AC6" s="26">
        <f>资产资本表!AC49</f>
        <v>2291269313.6599998</v>
      </c>
      <c r="AD6" s="26">
        <f>资产资本表!AD49</f>
        <v>211006868.09</v>
      </c>
      <c r="AE6" s="26">
        <f>资产资本表!AE49</f>
        <v>207777694.57999998</v>
      </c>
      <c r="AF6" s="26">
        <f>资产资本表!AF49</f>
        <v>206696740.02999997</v>
      </c>
      <c r="AG6" s="26">
        <f>资产资本表!AG49</f>
        <v>206429979.58999997</v>
      </c>
      <c r="AH6" s="26">
        <f>资产资本表!AH49</f>
        <v>204215558.90000001</v>
      </c>
      <c r="AI6" s="26">
        <f>资产资本表!AI49</f>
        <v>202951404.32999998</v>
      </c>
      <c r="AJ6" s="26">
        <f>资产资本表!AJ49</f>
        <v>202507807.35000002</v>
      </c>
      <c r="AK6" s="26">
        <f>资产资本表!AK49</f>
        <v>202214111.09</v>
      </c>
      <c r="AL6" s="26">
        <f>资产资本表!AL49</f>
        <v>201361566.48000002</v>
      </c>
      <c r="AM6" s="26">
        <f>资产资本表!AM49</f>
        <v>203550539.06999999</v>
      </c>
      <c r="AN6" s="26">
        <f>资产资本表!AN49</f>
        <v>190621424.17000002</v>
      </c>
      <c r="AO6" s="26">
        <f>资产资本表!AO49</f>
        <v>191574024.92000005</v>
      </c>
      <c r="AP6" s="26">
        <f>资产资本表!AP49</f>
        <v>176547628.47000003</v>
      </c>
      <c r="AQ6" s="26">
        <f>资产资本表!AQ49</f>
        <v>200092152.53000003</v>
      </c>
      <c r="AR6" s="26">
        <f>资产资本表!AR49</f>
        <v>198817342.28999999</v>
      </c>
      <c r="AS6" s="26">
        <f>资产资本表!AS49</f>
        <v>204829911.30000001</v>
      </c>
      <c r="AT6" s="26">
        <f>资产资本表!AT49</f>
        <v>385652880.57000005</v>
      </c>
      <c r="AU6" s="26">
        <f>资产资本表!AU49</f>
        <v>378178158.24000001</v>
      </c>
      <c r="AV6" s="26">
        <f>资产资本表!AV49</f>
        <v>343945788.89999998</v>
      </c>
      <c r="AW6" s="26">
        <f>资产资本表!AW49</f>
        <v>209083535.38000003</v>
      </c>
      <c r="AX6" s="26">
        <f>资产资本表!AX49</f>
        <v>196116039.95000002</v>
      </c>
      <c r="AY6" s="26">
        <f>资产资本表!AY49</f>
        <v>195107526.10999998</v>
      </c>
      <c r="AZ6" s="26">
        <f>资产资本表!AZ49</f>
        <v>0</v>
      </c>
      <c r="BA6" s="26">
        <f>资产资本表!BA49</f>
        <v>188126768.58000001</v>
      </c>
      <c r="BB6" s="26">
        <f>资产资本表!BB49</f>
        <v>419794067.49000001</v>
      </c>
      <c r="BC6" s="26">
        <f>资产资本表!BC49</f>
        <v>449065780.99000001</v>
      </c>
      <c r="BD6" s="26">
        <f>资产资本表!BD49</f>
        <v>492279299.92000002</v>
      </c>
      <c r="BE6" s="26">
        <f>资产资本表!BE49</f>
        <v>569149272.35000002</v>
      </c>
      <c r="BF6" s="26">
        <f>资产资本表!BF49</f>
        <v>660055171.04000008</v>
      </c>
      <c r="BG6" s="26">
        <f>资产资本表!BG49</f>
        <v>473011067.1400001</v>
      </c>
      <c r="BH6" s="26">
        <f>资产资本表!BH49</f>
        <v>304592314.18000007</v>
      </c>
      <c r="BI6" s="26">
        <f>资产资本表!BI49</f>
        <v>515521804.16000003</v>
      </c>
      <c r="BJ6" s="26">
        <f>资产资本表!BJ49</f>
        <v>237015277.19</v>
      </c>
      <c r="BK6" s="26">
        <f>资产资本表!BK49</f>
        <v>273348100.88</v>
      </c>
      <c r="BL6" s="26">
        <f>资产资本表!BL49</f>
        <v>260916369.56</v>
      </c>
      <c r="BM6" s="26">
        <f>资产资本表!BM49</f>
        <v>389764073.90999997</v>
      </c>
      <c r="BN6" s="26">
        <f>资产资本表!BN49</f>
        <v>288900235.14999998</v>
      </c>
      <c r="BO6" s="26">
        <f>资产资本表!BO49</f>
        <v>185637864.53999999</v>
      </c>
      <c r="BP6" s="26">
        <f>资产资本表!BP49</f>
        <v>263940126.47</v>
      </c>
      <c r="BQ6" s="26">
        <f>资产资本表!BQ49</f>
        <v>372015803.17000002</v>
      </c>
      <c r="BR6" s="26">
        <f>资产资本表!BR49</f>
        <v>236623697.73999998</v>
      </c>
      <c r="BS6" s="26">
        <f>资产资本表!BS49</f>
        <v>79874794.819999993</v>
      </c>
      <c r="BT6" s="26">
        <f>资产资本表!BT49</f>
        <v>18996574.170000002</v>
      </c>
      <c r="BU6" s="26">
        <f>资产资本表!BU49</f>
        <v>16112781.350000001</v>
      </c>
      <c r="BV6" s="26">
        <f>资产资本表!BV49</f>
        <v>16103131.060000001</v>
      </c>
      <c r="BW6" s="26">
        <f>资产资本表!BW49</f>
        <v>8822495.7999999989</v>
      </c>
      <c r="BX6" s="26">
        <f>资产资本表!BX49</f>
        <v>7582517.7400000002</v>
      </c>
      <c r="BY6" s="26">
        <f>资产资本表!BY49</f>
        <v>9538280.0999999978</v>
      </c>
      <c r="BZ6" s="26">
        <f>资产资本表!BZ49</f>
        <v>10868097.48</v>
      </c>
      <c r="CA6" s="26">
        <f>资产资本表!CA49</f>
        <v>7331482.0899999989</v>
      </c>
      <c r="CB6" s="26">
        <f>资产资本表!CB49</f>
        <v>12384107.82</v>
      </c>
      <c r="CC6" s="26">
        <f>资产资本表!CC49</f>
        <v>12617014.01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1766328172.9899998</v>
      </c>
      <c r="F7" s="26">
        <f>资产资本表!F68</f>
        <v>1806516259.7999997</v>
      </c>
      <c r="G7" s="26">
        <f>资产资本表!G68</f>
        <v>1806962570.3600001</v>
      </c>
      <c r="H7" s="26">
        <f>资产资本表!H68</f>
        <v>1814583033.4499996</v>
      </c>
      <c r="I7" s="26">
        <f>资产资本表!I68</f>
        <v>1911999580.3899999</v>
      </c>
      <c r="J7" s="26">
        <f>资产资本表!J68</f>
        <v>1871112374.4100001</v>
      </c>
      <c r="K7" s="26">
        <f>资产资本表!K68</f>
        <v>1869883042.1000001</v>
      </c>
      <c r="L7" s="26">
        <f>资产资本表!L68</f>
        <v>186270986.89000002</v>
      </c>
      <c r="M7" s="26">
        <f>资产资本表!M68</f>
        <v>283107275.83000004</v>
      </c>
      <c r="N7" s="26">
        <f>资产资本表!N68</f>
        <v>240940505.01999995</v>
      </c>
      <c r="O7" s="26">
        <f>资产资本表!O68</f>
        <v>202401384.45999998</v>
      </c>
      <c r="P7" s="26">
        <f>资产资本表!P68</f>
        <v>188944327.79999998</v>
      </c>
      <c r="Q7" s="26">
        <f>资产资本表!Q68</f>
        <v>189551534.95999998</v>
      </c>
      <c r="R7" s="26">
        <f>资产资本表!R68</f>
        <v>179908343.92000002</v>
      </c>
      <c r="S7" s="26">
        <f>资产资本表!S68</f>
        <v>167767408.17999998</v>
      </c>
      <c r="T7" s="26">
        <f>资产资本表!T68</f>
        <v>147255209.20000005</v>
      </c>
      <c r="U7" s="26">
        <f>资产资本表!U68</f>
        <v>140916961.95999998</v>
      </c>
      <c r="V7" s="26">
        <f>资产资本表!V68</f>
        <v>164296129.06</v>
      </c>
      <c r="W7" s="26">
        <f>资产资本表!W68</f>
        <v>148809289.83000001</v>
      </c>
      <c r="X7" s="26">
        <f>资产资本表!X68</f>
        <v>145484590.80000001</v>
      </c>
      <c r="Y7" s="26">
        <f>资产资本表!Y68</f>
        <v>140720180.44</v>
      </c>
      <c r="Z7" s="26">
        <f>资产资本表!Z68</f>
        <v>112223135.14</v>
      </c>
      <c r="AA7" s="26">
        <f>资产资本表!AA68</f>
        <v>211602924.66999999</v>
      </c>
      <c r="AB7" s="26">
        <f>资产资本表!AB68</f>
        <v>240716791.50999999</v>
      </c>
      <c r="AC7" s="26">
        <f>资产资本表!AC68</f>
        <v>223365261.81</v>
      </c>
      <c r="AD7" s="26">
        <f>资产资本表!AD68</f>
        <v>12935591.060000001</v>
      </c>
      <c r="AE7" s="26">
        <f>资产资本表!AE68</f>
        <v>13176737.189999999</v>
      </c>
      <c r="AF7" s="26">
        <f>资产资本表!AF68</f>
        <v>13436261.210000001</v>
      </c>
      <c r="AG7" s="26">
        <f>资产资本表!AG68</f>
        <v>13648790.42</v>
      </c>
      <c r="AH7" s="26">
        <f>资产资本表!AH68</f>
        <v>13981880.59</v>
      </c>
      <c r="AI7" s="26">
        <f>资产资本表!AI68</f>
        <v>14208863.68</v>
      </c>
      <c r="AJ7" s="26">
        <f>资产资本表!AJ68</f>
        <v>14444005.15</v>
      </c>
      <c r="AK7" s="26">
        <f>资产资本表!AK68</f>
        <v>14667939.220000001</v>
      </c>
      <c r="AL7" s="26">
        <f>资产资本表!AL68</f>
        <v>14914087.68</v>
      </c>
      <c r="AM7" s="26">
        <f>资产资本表!AM68</f>
        <v>15153279.619999999</v>
      </c>
      <c r="AN7" s="26">
        <f>资产资本表!AN68</f>
        <v>15768611.4</v>
      </c>
      <c r="AO7" s="26">
        <f>资产资本表!AO68</f>
        <v>16028925.939999999</v>
      </c>
      <c r="AP7" s="26">
        <f>资产资本表!AP68</f>
        <v>17919767.82</v>
      </c>
      <c r="AQ7" s="26">
        <f>资产资本表!AQ68</f>
        <v>18510587.690000001</v>
      </c>
      <c r="AR7" s="26">
        <f>资产资本表!AR68</f>
        <v>19717356.580000002</v>
      </c>
      <c r="AS7" s="26">
        <f>资产资本表!AS68</f>
        <v>20073168.550000001</v>
      </c>
      <c r="AT7" s="26">
        <f>资产资本表!AT68</f>
        <v>27189278.740000002</v>
      </c>
      <c r="AU7" s="26">
        <f>资产资本表!AU68</f>
        <v>26993673.140000001</v>
      </c>
      <c r="AV7" s="26">
        <f>资产资本表!AV68</f>
        <v>27550867.800000001</v>
      </c>
      <c r="AW7" s="26">
        <f>资产资本表!AW68</f>
        <v>22072535.849999998</v>
      </c>
      <c r="AX7" s="26">
        <f>资产资本表!AX68</f>
        <v>23250222.899999999</v>
      </c>
      <c r="AY7" s="26">
        <f>资产资本表!AY68</f>
        <v>23917718.359999999</v>
      </c>
      <c r="AZ7" s="26">
        <f>资产资本表!AZ68</f>
        <v>0</v>
      </c>
      <c r="BA7" s="26">
        <f>资产资本表!BA68</f>
        <v>24915436.690000001</v>
      </c>
      <c r="BB7" s="26">
        <f>资产资本表!BB68</f>
        <v>33749188.859999999</v>
      </c>
      <c r="BC7" s="26">
        <f>资产资本表!BC68</f>
        <v>34962417.93</v>
      </c>
      <c r="BD7" s="26">
        <f>资产资本表!BD68</f>
        <v>36092502.630000003</v>
      </c>
      <c r="BE7" s="26">
        <f>资产资本表!BE68</f>
        <v>37330032.719999999</v>
      </c>
      <c r="BF7" s="26">
        <f>资产资本表!BF68</f>
        <v>38450567.600000001</v>
      </c>
      <c r="BG7" s="26">
        <f>资产资本表!BG68</f>
        <v>39535908.510000005</v>
      </c>
      <c r="BH7" s="26">
        <f>资产资本表!BH68</f>
        <v>41739592.120000005</v>
      </c>
      <c r="BI7" s="26">
        <f>资产资本表!BI68</f>
        <v>43720191.060000002</v>
      </c>
      <c r="BJ7" s="26">
        <f>资产资本表!BJ68</f>
        <v>44495273.719999999</v>
      </c>
      <c r="BK7" s="26">
        <f>资产资本表!BK68</f>
        <v>46745623.780000001</v>
      </c>
      <c r="BL7" s="26">
        <f>资产资本表!BL68</f>
        <v>49427419.530000001</v>
      </c>
      <c r="BM7" s="26">
        <f>资产资本表!BM68</f>
        <v>50499404.169999994</v>
      </c>
      <c r="BN7" s="26">
        <f>资产资本表!BN68</f>
        <v>54243767.549999997</v>
      </c>
      <c r="BO7" s="26">
        <f>资产资本表!BO68</f>
        <v>55878754.089999996</v>
      </c>
      <c r="BP7" s="26">
        <f>资产资本表!BP68</f>
        <v>56478189.960000001</v>
      </c>
      <c r="BQ7" s="26">
        <f>资产资本表!BQ68</f>
        <v>57956159.829999998</v>
      </c>
      <c r="BR7" s="26">
        <f>资产资本表!BR68</f>
        <v>62091608.870000005</v>
      </c>
      <c r="BS7" s="26">
        <f>资产资本表!BS68</f>
        <v>86654452.840000004</v>
      </c>
      <c r="BT7" s="26">
        <f>资产资本表!BT68</f>
        <v>82459862.920000002</v>
      </c>
      <c r="BU7" s="26">
        <f>资产资本表!BU68</f>
        <v>98835702.410000011</v>
      </c>
      <c r="BV7" s="26">
        <f>资产资本表!BV68</f>
        <v>84786698.969999999</v>
      </c>
      <c r="BW7" s="26">
        <f>资产资本表!BW68</f>
        <v>83755328.88000001</v>
      </c>
      <c r="BX7" s="26">
        <f>资产资本表!BX68</f>
        <v>34913165.379999995</v>
      </c>
      <c r="BY7" s="26">
        <f>资产资本表!BY68</f>
        <v>35816290.990000002</v>
      </c>
      <c r="BZ7" s="26">
        <f>资产资本表!BZ68</f>
        <v>26097698.739999998</v>
      </c>
      <c r="CA7" s="26">
        <f>资产资本表!CA68</f>
        <v>27602197.959999997</v>
      </c>
      <c r="CB7" s="26">
        <f>资产资本表!CB68</f>
        <v>48745128.380000003</v>
      </c>
      <c r="CC7" s="26">
        <f>资产资本表!CC68</f>
        <v>53283631.57</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10684037739.870001</v>
      </c>
      <c r="F8" s="26">
        <f>资产资本表!F69</f>
        <v>10631134142.019999</v>
      </c>
      <c r="G8" s="26">
        <f>资产资本表!G69</f>
        <v>9605695516.6900005</v>
      </c>
      <c r="H8" s="26">
        <f>资产资本表!H69</f>
        <v>9594902177.7699986</v>
      </c>
      <c r="I8" s="26">
        <f>资产资本表!I69</f>
        <v>8988963558.7799988</v>
      </c>
      <c r="J8" s="26">
        <f>资产资本表!J69</f>
        <v>9159811946.7000008</v>
      </c>
      <c r="K8" s="26">
        <f>资产资本表!K69</f>
        <v>9136631010.3299999</v>
      </c>
      <c r="L8" s="26">
        <f>资产资本表!L69</f>
        <v>6894506570.5200014</v>
      </c>
      <c r="M8" s="26">
        <f>资产资本表!M69</f>
        <v>6486206049.1800013</v>
      </c>
      <c r="N8" s="26">
        <f>资产资本表!N69</f>
        <v>6993731182.8500013</v>
      </c>
      <c r="O8" s="26">
        <f>资产资本表!O69</f>
        <v>7261390978.96</v>
      </c>
      <c r="P8" s="26">
        <f>资产资本表!P69</f>
        <v>6910533750.000001</v>
      </c>
      <c r="Q8" s="26">
        <f>资产资本表!Q69</f>
        <v>5461499066.5099993</v>
      </c>
      <c r="R8" s="26">
        <f>资产资本表!R69</f>
        <v>4016346368.6399994</v>
      </c>
      <c r="S8" s="26">
        <f>资产资本表!S69</f>
        <v>4084424734.8199997</v>
      </c>
      <c r="T8" s="26">
        <f>资产资本表!T69</f>
        <v>3940356230.2099991</v>
      </c>
      <c r="U8" s="26">
        <f>资产资本表!U69</f>
        <v>3289505236.6099997</v>
      </c>
      <c r="V8" s="26">
        <f>资产资本表!V69</f>
        <v>1834661524.440001</v>
      </c>
      <c r="W8" s="26">
        <f>资产资本表!W69</f>
        <v>1906098843.8599997</v>
      </c>
      <c r="X8" s="26">
        <f>资产资本表!X69</f>
        <v>1676138871.3899996</v>
      </c>
      <c r="Y8" s="26">
        <f>资产资本表!Y69</f>
        <v>1418426856.4500003</v>
      </c>
      <c r="Z8" s="26">
        <f>资产资本表!Z69</f>
        <v>1392210853.3100007</v>
      </c>
      <c r="AA8" s="26">
        <f>资产资本表!AA69</f>
        <v>1844366816.96</v>
      </c>
      <c r="AB8" s="26">
        <f>资产资本表!AB69</f>
        <v>1900884797.0999997</v>
      </c>
      <c r="AC8" s="26">
        <f>资产资本表!AC69</f>
        <v>1687087266.6400003</v>
      </c>
      <c r="AD8" s="26">
        <f>资产资本表!AD69</f>
        <v>-85249888.399999991</v>
      </c>
      <c r="AE8" s="26">
        <f>资产资本表!AE69</f>
        <v>-84437174.849999979</v>
      </c>
      <c r="AF8" s="26">
        <f>资产资本表!AF69</f>
        <v>-81876079.339999974</v>
      </c>
      <c r="AG8" s="26">
        <f>资产资本表!AG69</f>
        <v>-82255313.489999965</v>
      </c>
      <c r="AH8" s="26">
        <f>资产资本表!AH69</f>
        <v>-86422390.470000014</v>
      </c>
      <c r="AI8" s="26">
        <f>资产资本表!AI69</f>
        <v>-65953344.449999996</v>
      </c>
      <c r="AJ8" s="26">
        <f>资产资本表!AJ69</f>
        <v>-62610155.050000034</v>
      </c>
      <c r="AK8" s="26">
        <f>资产资本表!AK69</f>
        <v>-62203541.180000007</v>
      </c>
      <c r="AL8" s="26">
        <f>资产资本表!AL69</f>
        <v>-55966236.94000002</v>
      </c>
      <c r="AM8" s="26">
        <f>资产资本表!AM69</f>
        <v>-53281450.969999976</v>
      </c>
      <c r="AN8" s="26">
        <f>资产资本表!AN69</f>
        <v>-39522403.360000022</v>
      </c>
      <c r="AO8" s="26">
        <f>资产资本表!AO69</f>
        <v>-40369034.540000051</v>
      </c>
      <c r="AP8" s="26">
        <f>资产资本表!AP69</f>
        <v>-12930841.040000014</v>
      </c>
      <c r="AQ8" s="26">
        <f>资产资本表!AQ69</f>
        <v>-11866418.710000034</v>
      </c>
      <c r="AR8" s="26">
        <f>资产资本表!AR69</f>
        <v>3113720.3899999745</v>
      </c>
      <c r="AS8" s="26">
        <f>资产资本表!AS69</f>
        <v>1440913.1699999757</v>
      </c>
      <c r="AT8" s="26">
        <f>资产资本表!AT69</f>
        <v>-184205808.05000007</v>
      </c>
      <c r="AU8" s="26">
        <f>资产资本表!AU69</f>
        <v>-166336773.94</v>
      </c>
      <c r="AV8" s="26">
        <f>资产资本表!AV69</f>
        <v>-158092893.01999995</v>
      </c>
      <c r="AW8" s="26">
        <f>资产资本表!AW69</f>
        <v>-11782864.85000005</v>
      </c>
      <c r="AX8" s="26">
        <f>资产资本表!AX69</f>
        <v>391844180.17999995</v>
      </c>
      <c r="AY8" s="26">
        <f>资产资本表!AY69</f>
        <v>396968292.17999995</v>
      </c>
      <c r="AZ8" s="26">
        <f>资产资本表!AZ69</f>
        <v>0</v>
      </c>
      <c r="BA8" s="26">
        <f>资产资本表!BA69</f>
        <v>416880383.19</v>
      </c>
      <c r="BB8" s="26">
        <f>资产资本表!BB69</f>
        <v>510037836.3499999</v>
      </c>
      <c r="BC8" s="26">
        <f>资产资本表!BC69</f>
        <v>519270474.59000009</v>
      </c>
      <c r="BD8" s="26">
        <f>资产资本表!BD69</f>
        <v>545887867.21000004</v>
      </c>
      <c r="BE8" s="26">
        <f>资产资本表!BE69</f>
        <v>446795620.69000006</v>
      </c>
      <c r="BF8" s="26">
        <f>资产资本表!BF69</f>
        <v>429525971.88999987</v>
      </c>
      <c r="BG8" s="26">
        <f>资产资本表!BG69</f>
        <v>426546001.33999979</v>
      </c>
      <c r="BH8" s="26">
        <f>资产资本表!BH69</f>
        <v>335133772.29999995</v>
      </c>
      <c r="BI8" s="26">
        <f>资产资本表!BI69</f>
        <v>168063840.90999997</v>
      </c>
      <c r="BJ8" s="26">
        <f>资产资本表!BJ69</f>
        <v>497257604.75999999</v>
      </c>
      <c r="BK8" s="26">
        <f>资产资本表!BK69</f>
        <v>386098563.64999998</v>
      </c>
      <c r="BL8" s="26">
        <f>资产资本表!BL69</f>
        <v>379016365.09000003</v>
      </c>
      <c r="BM8" s="26">
        <f>资产资本表!BM69</f>
        <v>279906092.27000004</v>
      </c>
      <c r="BN8" s="26">
        <f>资产资本表!BN69</f>
        <v>493775913.8300001</v>
      </c>
      <c r="BO8" s="26">
        <f>资产资本表!BO69</f>
        <v>431620072.65000004</v>
      </c>
      <c r="BP8" s="26">
        <f>资产资本表!BP69</f>
        <v>423440355.12999994</v>
      </c>
      <c r="BQ8" s="26">
        <f>资产资本表!BQ69</f>
        <v>259210625.90999997</v>
      </c>
      <c r="BR8" s="26">
        <f>资产资本表!BR69</f>
        <v>218659864.11000004</v>
      </c>
      <c r="BS8" s="26">
        <f>资产资本表!BS69</f>
        <v>290556367.42999995</v>
      </c>
      <c r="BT8" s="26">
        <f>资产资本表!BT69</f>
        <v>244977168.86000001</v>
      </c>
      <c r="BU8" s="26">
        <f>资产资本表!BU69</f>
        <v>222251633.78000003</v>
      </c>
      <c r="BV8" s="26">
        <f>资产资本表!BV69</f>
        <v>188549798.41999999</v>
      </c>
      <c r="BW8" s="26">
        <f>资产资本表!BW69</f>
        <v>151057172.78000003</v>
      </c>
      <c r="BX8" s="26">
        <f>资产资本表!BX69</f>
        <v>93530784.239999995</v>
      </c>
      <c r="BY8" s="26">
        <f>资产资本表!BY69</f>
        <v>82077244.430000007</v>
      </c>
      <c r="BZ8" s="26">
        <f>资产资本表!BZ69</f>
        <v>69371925.639999986</v>
      </c>
      <c r="CA8" s="26">
        <f>资产资本表!CA69</f>
        <v>65890395.320000008</v>
      </c>
      <c r="CB8" s="26">
        <f>资产资本表!CB69</f>
        <v>95606114.74000001</v>
      </c>
      <c r="CC8" s="26">
        <f>资产资本表!CC69</f>
        <v>87913986.170000002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12014045508.25</v>
      </c>
      <c r="F9" s="48">
        <f>资产资本表!F70</f>
        <v>12435232451.149998</v>
      </c>
      <c r="G9" s="48">
        <f>资产资本表!G70</f>
        <v>10873836547.58</v>
      </c>
      <c r="H9" s="48">
        <f>资产资本表!H70</f>
        <v>10824341568.919998</v>
      </c>
      <c r="I9" s="48">
        <f>资产资本表!I70</f>
        <v>10881122711.829998</v>
      </c>
      <c r="J9" s="48">
        <f>资产资本表!J70</f>
        <v>10671529466.230001</v>
      </c>
      <c r="K9" s="48">
        <f>资产资本表!K70</f>
        <v>11329709325.869999</v>
      </c>
      <c r="L9" s="48">
        <f>资产资本表!L70</f>
        <v>9197239498.4900017</v>
      </c>
      <c r="M9" s="48">
        <f>资产资本表!M70</f>
        <v>7619805307.7300014</v>
      </c>
      <c r="N9" s="48">
        <f>资产资本表!N70</f>
        <v>8150567347.3500013</v>
      </c>
      <c r="O9" s="48">
        <f>资产资本表!O70</f>
        <v>8457534370.3299999</v>
      </c>
      <c r="P9" s="48">
        <f>资产资本表!P70</f>
        <v>8315817985.8100014</v>
      </c>
      <c r="Q9" s="48">
        <f>资产资本表!Q70</f>
        <v>8374023907.1299992</v>
      </c>
      <c r="R9" s="48">
        <f>资产资本表!R70</f>
        <v>5440743445.2699995</v>
      </c>
      <c r="S9" s="48">
        <f>资产资本表!S70</f>
        <v>5400042611.0999994</v>
      </c>
      <c r="T9" s="48">
        <f>资产资本表!T70</f>
        <v>5405020936.9499989</v>
      </c>
      <c r="U9" s="48">
        <f>资产资本表!U70</f>
        <v>4729794747.4399996</v>
      </c>
      <c r="V9" s="48">
        <f>资产资本表!V70</f>
        <v>3185582040.8000011</v>
      </c>
      <c r="W9" s="48">
        <f>资产资本表!W70</f>
        <v>2716577942.1199999</v>
      </c>
      <c r="X9" s="48">
        <f>资产资本表!X70</f>
        <v>2662104762.6999998</v>
      </c>
      <c r="Y9" s="48">
        <f>资产资本表!Y70</f>
        <v>2772463160.75</v>
      </c>
      <c r="Z9" s="48">
        <f>资产资本表!Z70</f>
        <v>2385434310.9100008</v>
      </c>
      <c r="AA9" s="48">
        <f>资产资本表!AA70</f>
        <v>2502011952.0999999</v>
      </c>
      <c r="AB9" s="48">
        <f>资产资本表!AB70</f>
        <v>2435287261.9599996</v>
      </c>
      <c r="AC9" s="48">
        <f>资产资本表!AC70</f>
        <v>2477851599.3700004</v>
      </c>
      <c r="AD9" s="48">
        <f>资产资本表!AD70</f>
        <v>-39751701.739999995</v>
      </c>
      <c r="AE9" s="48">
        <f>资产资本表!AE70</f>
        <v>-39047312.699999981</v>
      </c>
      <c r="AF9" s="48">
        <f>资产资本表!AF70</f>
        <v>-36411268.439999975</v>
      </c>
      <c r="AG9" s="48">
        <f>资产资本表!AG70</f>
        <v>-35582283.599999964</v>
      </c>
      <c r="AH9" s="48">
        <f>资产资本表!AH70</f>
        <v>-41131809.430000015</v>
      </c>
      <c r="AI9" s="48">
        <f>资产资本表!AI70</f>
        <v>-20508189.029999994</v>
      </c>
      <c r="AJ9" s="48">
        <f>资产资本表!AJ70</f>
        <v>-17278748.230000034</v>
      </c>
      <c r="AK9" s="48">
        <f>资产资本表!AK70</f>
        <v>-16599749.430000007</v>
      </c>
      <c r="AL9" s="48">
        <f>资产资本表!AL70</f>
        <v>-9584742.0800000206</v>
      </c>
      <c r="AM9" s="48">
        <f>资产资本表!AM70</f>
        <v>-6783766.9399999753</v>
      </c>
      <c r="AN9" s="48">
        <f>资产资本表!AN70</f>
        <v>7255983.9399999827</v>
      </c>
      <c r="AO9" s="48">
        <f>资产资本表!AO70</f>
        <v>6415989.3599999472</v>
      </c>
      <c r="AP9" s="48">
        <f>资产资本表!AP70</f>
        <v>35514882.669999987</v>
      </c>
      <c r="AQ9" s="48">
        <f>资产资本表!AQ70</f>
        <v>36178921.049999967</v>
      </c>
      <c r="AR9" s="48">
        <f>资产资本表!AR70</f>
        <v>53406889.079999968</v>
      </c>
      <c r="AS9" s="48">
        <f>资产资本表!AS70</f>
        <v>64048775.589999974</v>
      </c>
      <c r="AT9" s="48">
        <f>资产资本表!AT70</f>
        <v>-125723099.84000006</v>
      </c>
      <c r="AU9" s="48">
        <f>资产资本表!AU70</f>
        <v>-106803020.03999999</v>
      </c>
      <c r="AV9" s="48">
        <f>资产资本表!AV70</f>
        <v>-93233507.339999944</v>
      </c>
      <c r="AW9" s="48">
        <f>资产资本表!AW70</f>
        <v>47311468.689999953</v>
      </c>
      <c r="AX9" s="48">
        <f>资产资本表!AX70</f>
        <v>431452090.99999994</v>
      </c>
      <c r="AY9" s="48">
        <f>资产资本表!AY70</f>
        <v>432262488.81999993</v>
      </c>
      <c r="AZ9" s="48">
        <f>资产资本表!AZ70</f>
        <v>0</v>
      </c>
      <c r="BA9" s="48">
        <f>资产资本表!BA70</f>
        <v>456201037.26999998</v>
      </c>
      <c r="BB9" s="48">
        <f>资产资本表!BB70</f>
        <v>541556394.80999994</v>
      </c>
      <c r="BC9" s="48">
        <f>资产资本表!BC70</f>
        <v>545473270.31000006</v>
      </c>
      <c r="BD9" s="48">
        <f>资产资本表!BD70</f>
        <v>573572727.24000001</v>
      </c>
      <c r="BE9" s="48">
        <f>资产资本表!BE70</f>
        <v>583508767.37000012</v>
      </c>
      <c r="BF9" s="48">
        <f>资产资本表!BF70</f>
        <v>607480275.64999986</v>
      </c>
      <c r="BG9" s="48">
        <f>资产资本表!BG70</f>
        <v>614206778.68999982</v>
      </c>
      <c r="BH9" s="48">
        <f>资产资本表!BH70</f>
        <v>591853089.88</v>
      </c>
      <c r="BI9" s="48">
        <f>资产资本表!BI70</f>
        <v>544991411.41999996</v>
      </c>
      <c r="BJ9" s="48">
        <f>资产资本表!BJ70</f>
        <v>808994112.13999999</v>
      </c>
      <c r="BK9" s="48">
        <f>资产资本表!BK70</f>
        <v>750363270.3599999</v>
      </c>
      <c r="BL9" s="48">
        <f>资产资本表!BL70</f>
        <v>735437111.59000003</v>
      </c>
      <c r="BM9" s="48">
        <f>资产资本表!BM70</f>
        <v>553669533.25</v>
      </c>
      <c r="BN9" s="48">
        <f>资产资本表!BN70</f>
        <v>639788713.31000006</v>
      </c>
      <c r="BO9" s="48">
        <f>资产资本表!BO70</f>
        <v>736007781.99000001</v>
      </c>
      <c r="BP9" s="48">
        <f>资产资本表!BP70</f>
        <v>651679747.31999993</v>
      </c>
      <c r="BQ9" s="48">
        <f>资产资本表!BQ70</f>
        <v>481334448.19999993</v>
      </c>
      <c r="BR9" s="48">
        <f>资产资本表!BR70</f>
        <v>360381746.28000003</v>
      </c>
      <c r="BS9" s="48">
        <f>资产资本表!BS70</f>
        <v>381452196.47999996</v>
      </c>
      <c r="BT9" s="48">
        <f>资产资本表!BT70</f>
        <v>392402089.85000002</v>
      </c>
      <c r="BU9" s="48">
        <f>资产资本表!BU70</f>
        <v>316170216.48000002</v>
      </c>
      <c r="BV9" s="48">
        <f>资产资本表!BV70</f>
        <v>227699575.44</v>
      </c>
      <c r="BW9" s="48">
        <f>资产资本表!BW70</f>
        <v>197160959.53000003</v>
      </c>
      <c r="BX9" s="48">
        <f>资产资本表!BX70</f>
        <v>184353866.04000002</v>
      </c>
      <c r="BY9" s="48">
        <f>资产资本表!BY70</f>
        <v>177326609.03000003</v>
      </c>
      <c r="BZ9" s="48">
        <f>资产资本表!BZ70</f>
        <v>84148455.469999984</v>
      </c>
      <c r="CA9" s="48">
        <f>资产资本表!CA70</f>
        <v>82186105.700000003</v>
      </c>
      <c r="CB9" s="48">
        <f>资产资本表!CB70</f>
        <v>105000931.48</v>
      </c>
      <c r="CC9" s="48">
        <f>资产资本表!CC70</f>
        <v>91273243.299999997</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1046132494.76</v>
      </c>
      <c r="F10" s="26">
        <f>资产资本表!F72</f>
        <v>354304744.23000002</v>
      </c>
      <c r="G10" s="26">
        <f>资产资本表!G72</f>
        <v>671775769.23000002</v>
      </c>
      <c r="H10" s="26">
        <f>资产资本表!H72</f>
        <v>354967577</v>
      </c>
      <c r="I10" s="26">
        <f>资产资本表!I72</f>
        <v>408082843.14999998</v>
      </c>
      <c r="J10" s="26">
        <f>资产资本表!J72</f>
        <v>761664986.09000003</v>
      </c>
      <c r="K10" s="26">
        <f>资产资本表!K72</f>
        <v>459126210.38999999</v>
      </c>
      <c r="L10" s="26">
        <f>资产资本表!L72</f>
        <v>544791538.20000005</v>
      </c>
      <c r="M10" s="26">
        <f>资产资本表!M72</f>
        <v>703790797.21000004</v>
      </c>
      <c r="N10" s="26">
        <f>资产资本表!N72</f>
        <v>659311137.65999997</v>
      </c>
      <c r="O10" s="26">
        <f>资产资本表!O72</f>
        <v>722539423.54999995</v>
      </c>
      <c r="P10" s="26">
        <f>资产资本表!P72</f>
        <v>924293525.94000006</v>
      </c>
      <c r="Q10" s="26">
        <f>资产资本表!Q72</f>
        <v>745606971.42000008</v>
      </c>
      <c r="R10" s="26">
        <f>资产资本表!R72</f>
        <v>207151098.47</v>
      </c>
      <c r="S10" s="26">
        <f>资产资本表!S72</f>
        <v>105246219.03</v>
      </c>
      <c r="T10" s="26">
        <f>资产资本表!T72</f>
        <v>122704194.14</v>
      </c>
      <c r="U10" s="26">
        <f>资产资本表!U72</f>
        <v>121102827.83</v>
      </c>
      <c r="V10" s="26">
        <f>资产资本表!V72</f>
        <v>155400726.21000001</v>
      </c>
      <c r="W10" s="26">
        <f>资产资本表!W72</f>
        <v>43267274.990000002</v>
      </c>
      <c r="X10" s="26">
        <f>资产资本表!X72</f>
        <v>43174580.840000004</v>
      </c>
      <c r="Y10" s="26">
        <f>资产资本表!Y72</f>
        <v>229442099.84</v>
      </c>
      <c r="Z10" s="26">
        <f>资产资本表!Z72</f>
        <v>302037418.48000002</v>
      </c>
      <c r="AA10" s="26">
        <f>资产资本表!AA72</f>
        <v>26972785.240000002</v>
      </c>
      <c r="AB10" s="26">
        <f>资产资本表!AB72</f>
        <v>35786136.25</v>
      </c>
      <c r="AC10" s="26">
        <f>资产资本表!AC72</f>
        <v>46792383.859999999</v>
      </c>
      <c r="AD10" s="26">
        <f>资产资本表!AD72</f>
        <v>699528928.87</v>
      </c>
      <c r="AE10" s="26">
        <f>资产资本表!AE72</f>
        <v>688140564.00999999</v>
      </c>
      <c r="AF10" s="26">
        <f>资产资本表!AF72</f>
        <v>678253709.72000003</v>
      </c>
      <c r="AG10" s="26">
        <f>资产资本表!AG72</f>
        <v>672603288.89999998</v>
      </c>
      <c r="AH10" s="26">
        <f>资产资本表!AH72</f>
        <v>680486144.75</v>
      </c>
      <c r="AI10" s="26">
        <f>资产资本表!AI72</f>
        <v>688685128.25999999</v>
      </c>
      <c r="AJ10" s="26">
        <f>资产资本表!AJ72</f>
        <v>682264383.99000001</v>
      </c>
      <c r="AK10" s="26">
        <f>资产资本表!AK72</f>
        <v>688064734.32000005</v>
      </c>
      <c r="AL10" s="26">
        <f>资产资本表!AL72</f>
        <v>741946412.67000008</v>
      </c>
      <c r="AM10" s="26">
        <f>资产资本表!AM72</f>
        <v>728619817.44000006</v>
      </c>
      <c r="AN10" s="26">
        <f>资产资本表!AN72</f>
        <v>729498375.5</v>
      </c>
      <c r="AO10" s="26">
        <f>资产资本表!AO72</f>
        <v>725493581.36000001</v>
      </c>
      <c r="AP10" s="26">
        <f>资产资本表!AP72</f>
        <v>760215624.70000005</v>
      </c>
      <c r="AQ10" s="26">
        <f>资产资本表!AQ72</f>
        <v>746604928.32999992</v>
      </c>
      <c r="AR10" s="26">
        <f>资产资本表!AR72</f>
        <v>739222667.62</v>
      </c>
      <c r="AS10" s="26">
        <f>资产资本表!AS72</f>
        <v>771577862.41999996</v>
      </c>
      <c r="AT10" s="26">
        <f>资产资本表!AT72</f>
        <v>657018991.17999995</v>
      </c>
      <c r="AU10" s="26">
        <f>资产资本表!AU72</f>
        <v>657018991.17999995</v>
      </c>
      <c r="AV10" s="26">
        <f>资产资本表!AV72</f>
        <v>657018991.17999995</v>
      </c>
      <c r="AW10" s="26">
        <f>资产资本表!AW72</f>
        <v>787314385.38000011</v>
      </c>
      <c r="AX10" s="26">
        <f>资产资本表!AX72</f>
        <v>673178551.63</v>
      </c>
      <c r="AY10" s="26">
        <f>资产资本表!AY72</f>
        <v>673178551.63</v>
      </c>
      <c r="AZ10" s="26">
        <f>资产资本表!AZ72</f>
        <v>0</v>
      </c>
      <c r="BA10" s="26">
        <f>资产资本表!BA72</f>
        <v>673578551.63</v>
      </c>
      <c r="BB10" s="26">
        <f>资产资本表!BB72</f>
        <v>426102066.17000002</v>
      </c>
      <c r="BC10" s="26">
        <f>资产资本表!BC72</f>
        <v>426202066.17000002</v>
      </c>
      <c r="BD10" s="26">
        <f>资产资本表!BD72</f>
        <v>428569933.24000001</v>
      </c>
      <c r="BE10" s="26">
        <f>资产资本表!BE72</f>
        <v>454455698.52999997</v>
      </c>
      <c r="BF10" s="26">
        <f>资产资本表!BF72</f>
        <v>303913984.10000002</v>
      </c>
      <c r="BG10" s="26">
        <f>资产资本表!BG72</f>
        <v>303915753</v>
      </c>
      <c r="BH10" s="26">
        <f>资产资本表!BH72</f>
        <v>284000000</v>
      </c>
      <c r="BI10" s="26">
        <f>资产资本表!BI72</f>
        <v>243680000</v>
      </c>
      <c r="BJ10" s="26">
        <f>资产资本表!BJ72</f>
        <v>492180000</v>
      </c>
      <c r="BK10" s="26">
        <f>资产资本表!BK72</f>
        <v>437180000</v>
      </c>
      <c r="BL10" s="26">
        <f>资产资本表!BL72</f>
        <v>429540000</v>
      </c>
      <c r="BM10" s="26">
        <f>资产资本表!BM72</f>
        <v>253000000</v>
      </c>
      <c r="BN10" s="26">
        <f>资产资本表!BN72</f>
        <v>346000000</v>
      </c>
      <c r="BO10" s="26">
        <f>资产资本表!BO72</f>
        <v>444500000</v>
      </c>
      <c r="BP10" s="26">
        <f>资产资本表!BP72</f>
        <v>369500000</v>
      </c>
      <c r="BQ10" s="26">
        <f>资产资本表!BQ72</f>
        <v>193000000</v>
      </c>
      <c r="BR10" s="26">
        <f>资产资本表!BR72</f>
        <v>92000000</v>
      </c>
      <c r="BS10" s="26">
        <f>资产资本表!BS72</f>
        <v>80000000</v>
      </c>
      <c r="BT10" s="26">
        <f>资产资本表!BT72</f>
        <v>85000000</v>
      </c>
      <c r="BU10" s="26">
        <f>资产资本表!BU72</f>
        <v>48000000</v>
      </c>
      <c r="BV10" s="26">
        <f>资产资本表!BV72</f>
        <v>43600000</v>
      </c>
      <c r="BW10" s="26">
        <f>资产资本表!BW72</f>
        <v>40600000</v>
      </c>
      <c r="BX10" s="26">
        <f>资产资本表!BX72</f>
        <v>40600000</v>
      </c>
      <c r="BY10" s="26">
        <f>资产资本表!BY72</f>
        <v>40550000</v>
      </c>
      <c r="BZ10" s="26">
        <f>资产资本表!BZ72</f>
        <v>24170000</v>
      </c>
      <c r="CA10" s="26">
        <f>资产资本表!CA72</f>
        <v>24170000</v>
      </c>
      <c r="CB10" s="26">
        <f>资产资本表!CB72</f>
        <v>26170000</v>
      </c>
      <c r="CC10" s="26">
        <f>资产资本表!CC72</f>
        <v>22470000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4431311897.9300003</v>
      </c>
      <c r="F11" s="26">
        <f>资产资本表!F81</f>
        <v>5451527974.3999996</v>
      </c>
      <c r="G11" s="26">
        <f>资产资本表!G81</f>
        <v>3531198377.48</v>
      </c>
      <c r="H11" s="26">
        <f>资产资本表!H81</f>
        <v>3847391141.02</v>
      </c>
      <c r="I11" s="26">
        <f>资产资本表!I81</f>
        <v>3657905889</v>
      </c>
      <c r="J11" s="26">
        <f>资产资本表!J81</f>
        <v>3435324945.29</v>
      </c>
      <c r="K11" s="26">
        <f>资产资本表!K81</f>
        <v>4378282177.5299997</v>
      </c>
      <c r="L11" s="26">
        <f>资产资本表!L81</f>
        <v>5212910310.0200005</v>
      </c>
      <c r="M11" s="26">
        <f>资产资本表!M81</f>
        <v>3885755129.0799999</v>
      </c>
      <c r="N11" s="26">
        <f>资产资本表!N81</f>
        <v>4371635129.0799999</v>
      </c>
      <c r="O11" s="26">
        <f>资产资本表!O81</f>
        <v>4463535129.0799999</v>
      </c>
      <c r="P11" s="26">
        <f>资产资本表!P81</f>
        <v>4370535129.0799999</v>
      </c>
      <c r="Q11" s="26">
        <f>资产资本表!Q81</f>
        <v>4543535129.0799999</v>
      </c>
      <c r="R11" s="26">
        <f>资产资本表!R81</f>
        <v>3254335129.0799999</v>
      </c>
      <c r="S11" s="26">
        <f>资产资本表!S81</f>
        <v>3302335129.0799999</v>
      </c>
      <c r="T11" s="26">
        <f>资产资本表!T81</f>
        <v>3304335129.0799999</v>
      </c>
      <c r="U11" s="26">
        <f>资产资本表!U81</f>
        <v>2651915129.0799999</v>
      </c>
      <c r="V11" s="26">
        <f>资产资本表!V81</f>
        <v>1509660000</v>
      </c>
      <c r="W11" s="26">
        <f>资产资本表!W81</f>
        <v>1198660000</v>
      </c>
      <c r="X11" s="26">
        <f>资产资本表!X81</f>
        <v>1200660000</v>
      </c>
      <c r="Y11" s="26">
        <f>资产资本表!Y81</f>
        <v>1137660000</v>
      </c>
      <c r="Z11" s="26">
        <f>资产资本表!Z81</f>
        <v>956660000</v>
      </c>
      <c r="AA11" s="26">
        <f>资产资本表!AA81</f>
        <v>1378620000</v>
      </c>
      <c r="AB11" s="26">
        <f>资产资本表!AB81</f>
        <v>1424620000</v>
      </c>
      <c r="AC11" s="26">
        <f>资产资本表!AC81</f>
        <v>1434620000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660000</v>
      </c>
      <c r="AU11" s="26">
        <f>资产资本表!AU81</f>
        <v>660000</v>
      </c>
      <c r="AV11" s="26">
        <f>资产资本表!AV81</f>
        <v>660000</v>
      </c>
      <c r="AW11" s="26">
        <f>资产资本表!AW81</f>
        <v>0</v>
      </c>
      <c r="AX11" s="26">
        <f>资产资本表!AX81</f>
        <v>12094.66</v>
      </c>
      <c r="AY11" s="26">
        <f>资产资本表!AY81</f>
        <v>12094.66</v>
      </c>
      <c r="AZ11" s="26">
        <f>资产资本表!AZ81</f>
        <v>0</v>
      </c>
      <c r="BA11" s="26">
        <f>资产资本表!BA81</f>
        <v>0</v>
      </c>
      <c r="BB11" s="26">
        <f>资产资本表!BB81</f>
        <v>0</v>
      </c>
      <c r="BC11" s="26">
        <f>资产资本表!BC81</f>
        <v>0</v>
      </c>
      <c r="BD11" s="26">
        <f>资产资本表!BD81</f>
        <v>0</v>
      </c>
      <c r="BE11" s="26">
        <f>资产资本表!BE81</f>
        <v>0</v>
      </c>
      <c r="BF11" s="26">
        <f>资产资本表!BF81</f>
        <v>660000</v>
      </c>
      <c r="BG11" s="26">
        <f>资产资本表!BG81</f>
        <v>660000</v>
      </c>
      <c r="BH11" s="26">
        <f>资产资本表!BH81</f>
        <v>660000</v>
      </c>
      <c r="BI11" s="26">
        <f>资产资本表!BI81</f>
        <v>660000</v>
      </c>
      <c r="BJ11" s="26">
        <f>资产资本表!BJ81</f>
        <v>800000</v>
      </c>
      <c r="BK11" s="26">
        <f>资产资本表!BK81</f>
        <v>800000</v>
      </c>
      <c r="BL11" s="26">
        <f>资产资本表!BL81</f>
        <v>600000</v>
      </c>
      <c r="BM11" s="26">
        <f>资产资本表!BM81</f>
        <v>600000</v>
      </c>
      <c r="BN11" s="26">
        <f>资产资本表!BN81</f>
        <v>600000</v>
      </c>
      <c r="BO11" s="26">
        <f>资产资本表!BO81</f>
        <v>600000</v>
      </c>
      <c r="BP11" s="26">
        <f>资产资本表!BP81</f>
        <v>600000</v>
      </c>
      <c r="BQ11" s="26">
        <f>资产资本表!BQ81</f>
        <v>600000</v>
      </c>
      <c r="BR11" s="26">
        <f>资产资本表!BR81</f>
        <v>600000</v>
      </c>
      <c r="BS11" s="26">
        <f>资产资本表!BS81</f>
        <v>4796469.0600000005</v>
      </c>
      <c r="BT11" s="26">
        <f>资产资本表!BT81</f>
        <v>5638036.3100000005</v>
      </c>
      <c r="BU11" s="26">
        <f>资产资本表!BU81</f>
        <v>5141185.07</v>
      </c>
      <c r="BV11" s="26">
        <f>资产资本表!BV81</f>
        <v>5452987.25</v>
      </c>
      <c r="BW11" s="26">
        <f>资产资本表!BW81</f>
        <v>5215482.6099999994</v>
      </c>
      <c r="BX11" s="26">
        <f>资产资本表!BX81</f>
        <v>5909000.1500000004</v>
      </c>
      <c r="BY11" s="26">
        <f>资产资本表!BY81</f>
        <v>5849780.1500000004</v>
      </c>
      <c r="BZ11" s="26">
        <f>资产资本表!BZ81</f>
        <v>19229610</v>
      </c>
      <c r="CA11" s="26">
        <f>资产资本表!CA81</f>
        <v>19200000</v>
      </c>
      <c r="CB11" s="26">
        <f>资产资本表!CB81</f>
        <v>36067551.43</v>
      </c>
      <c r="CC11" s="26">
        <f>资产资本表!CC81</f>
        <v>35460426.859999999</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5477444392.6900005</v>
      </c>
      <c r="F12" s="26">
        <f>资产资本表!F89</f>
        <v>5805832718.6299992</v>
      </c>
      <c r="G12" s="26">
        <f>资产资本表!G89</f>
        <v>4202974146.71</v>
      </c>
      <c r="H12" s="26">
        <f>资产资本表!H89</f>
        <v>4202358718.02</v>
      </c>
      <c r="I12" s="26">
        <f>资产资本表!I89</f>
        <v>4065988732.1500001</v>
      </c>
      <c r="J12" s="26">
        <f>资产资本表!J89</f>
        <v>4196989931.3800001</v>
      </c>
      <c r="K12" s="26">
        <f>资产资本表!K89</f>
        <v>4837408387.9200001</v>
      </c>
      <c r="L12" s="26">
        <f>资产资本表!L89</f>
        <v>5757701848.2200003</v>
      </c>
      <c r="M12" s="26">
        <f>资产资本表!M89</f>
        <v>4589545926.29</v>
      </c>
      <c r="N12" s="26">
        <f>资产资本表!N89</f>
        <v>5030946266.7399998</v>
      </c>
      <c r="O12" s="26">
        <f>资产资本表!O89</f>
        <v>5186074552.6300001</v>
      </c>
      <c r="P12" s="26">
        <f>资产资本表!P89</f>
        <v>5294828655.0200005</v>
      </c>
      <c r="Q12" s="26">
        <f>资产资本表!Q89</f>
        <v>5289142100.5</v>
      </c>
      <c r="R12" s="26">
        <f>资产资本表!R89</f>
        <v>3461486227.5499997</v>
      </c>
      <c r="S12" s="26">
        <f>资产资本表!S89</f>
        <v>3407581348.1100001</v>
      </c>
      <c r="T12" s="26">
        <f>资产资本表!T89</f>
        <v>3427039323.2199998</v>
      </c>
      <c r="U12" s="26">
        <f>资产资本表!U89</f>
        <v>2773017956.9099998</v>
      </c>
      <c r="V12" s="26">
        <f>资产资本表!V89</f>
        <v>1665060726.21</v>
      </c>
      <c r="W12" s="26">
        <f>资产资本表!W89</f>
        <v>1241927274.99</v>
      </c>
      <c r="X12" s="26">
        <f>资产资本表!X89</f>
        <v>1243834580.8399999</v>
      </c>
      <c r="Y12" s="26">
        <f>资产资本表!Y89</f>
        <v>1367102099.8399999</v>
      </c>
      <c r="Z12" s="26">
        <f>资产资本表!Z89</f>
        <v>1258697418.48</v>
      </c>
      <c r="AA12" s="26">
        <f>资产资本表!AA89</f>
        <v>1405592785.24</v>
      </c>
      <c r="AB12" s="26">
        <f>资产资本表!AB89</f>
        <v>1460406136.25</v>
      </c>
      <c r="AC12" s="26">
        <f>资产资本表!AC89</f>
        <v>1481412383.8599999</v>
      </c>
      <c r="AD12" s="26">
        <f>资产资本表!AD89</f>
        <v>699528928.87</v>
      </c>
      <c r="AE12" s="26">
        <f>资产资本表!AE89</f>
        <v>688140564.00999999</v>
      </c>
      <c r="AF12" s="26">
        <f>资产资本表!AF89</f>
        <v>678253709.72000003</v>
      </c>
      <c r="AG12" s="26">
        <f>资产资本表!AG89</f>
        <v>672603288.89999998</v>
      </c>
      <c r="AH12" s="26">
        <f>资产资本表!AH89</f>
        <v>680486144.75</v>
      </c>
      <c r="AI12" s="26">
        <f>资产资本表!AI89</f>
        <v>688685128.25999999</v>
      </c>
      <c r="AJ12" s="26">
        <f>资产资本表!AJ89</f>
        <v>682264383.99000001</v>
      </c>
      <c r="AK12" s="26">
        <f>资产资本表!AK89</f>
        <v>688064734.32000005</v>
      </c>
      <c r="AL12" s="26">
        <f>资产资本表!AL89</f>
        <v>741946412.67000008</v>
      </c>
      <c r="AM12" s="26">
        <f>资产资本表!AM89</f>
        <v>728619817.44000006</v>
      </c>
      <c r="AN12" s="26">
        <f>资产资本表!AN89</f>
        <v>729498375.5</v>
      </c>
      <c r="AO12" s="26">
        <f>资产资本表!AO89</f>
        <v>725493581.36000001</v>
      </c>
      <c r="AP12" s="26">
        <f>资产资本表!AP89</f>
        <v>760215624.70000005</v>
      </c>
      <c r="AQ12" s="26">
        <f>资产资本表!AQ89</f>
        <v>746604928.32999992</v>
      </c>
      <c r="AR12" s="26">
        <f>资产资本表!AR89</f>
        <v>739222667.62</v>
      </c>
      <c r="AS12" s="26">
        <f>资产资本表!AS89</f>
        <v>771577862.41999996</v>
      </c>
      <c r="AT12" s="26">
        <f>资产资本表!AT89</f>
        <v>657678991.17999995</v>
      </c>
      <c r="AU12" s="26">
        <f>资产资本表!AU89</f>
        <v>657678991.17999995</v>
      </c>
      <c r="AV12" s="26">
        <f>资产资本表!AV89</f>
        <v>657678991.17999995</v>
      </c>
      <c r="AW12" s="26">
        <f>资产资本表!AW89</f>
        <v>787314385.38000011</v>
      </c>
      <c r="AX12" s="26">
        <f>资产资本表!AX89</f>
        <v>673190646.28999996</v>
      </c>
      <c r="AY12" s="26">
        <f>资产资本表!AY89</f>
        <v>673190646.28999996</v>
      </c>
      <c r="AZ12" s="26">
        <f>资产资本表!AZ89</f>
        <v>0</v>
      </c>
      <c r="BA12" s="26">
        <f>资产资本表!BA89</f>
        <v>673578551.63</v>
      </c>
      <c r="BB12" s="26">
        <f>资产资本表!BB89</f>
        <v>426102066.17000002</v>
      </c>
      <c r="BC12" s="26">
        <f>资产资本表!BC89</f>
        <v>426202066.17000002</v>
      </c>
      <c r="BD12" s="26">
        <f>资产资本表!BD89</f>
        <v>428569933.24000001</v>
      </c>
      <c r="BE12" s="26">
        <f>资产资本表!BE89</f>
        <v>454455698.52999997</v>
      </c>
      <c r="BF12" s="26">
        <f>资产资本表!BF89</f>
        <v>304573984.10000002</v>
      </c>
      <c r="BG12" s="26">
        <f>资产资本表!BG89</f>
        <v>304575753</v>
      </c>
      <c r="BH12" s="26">
        <f>资产资本表!BH89</f>
        <v>284660000</v>
      </c>
      <c r="BI12" s="26">
        <f>资产资本表!BI89</f>
        <v>244340000</v>
      </c>
      <c r="BJ12" s="26">
        <f>资产资本表!BJ89</f>
        <v>492980000</v>
      </c>
      <c r="BK12" s="26">
        <f>资产资本表!BK89</f>
        <v>437980000</v>
      </c>
      <c r="BL12" s="26">
        <f>资产资本表!BL89</f>
        <v>430140000</v>
      </c>
      <c r="BM12" s="26">
        <f>资产资本表!BM89</f>
        <v>253600000</v>
      </c>
      <c r="BN12" s="26">
        <f>资产资本表!BN89</f>
        <v>346600000</v>
      </c>
      <c r="BO12" s="26">
        <f>资产资本表!BO89</f>
        <v>445100000</v>
      </c>
      <c r="BP12" s="26">
        <f>资产资本表!BP89</f>
        <v>370100000</v>
      </c>
      <c r="BQ12" s="26">
        <f>资产资本表!BQ89</f>
        <v>193600000</v>
      </c>
      <c r="BR12" s="26">
        <f>资产资本表!BR89</f>
        <v>92600000</v>
      </c>
      <c r="BS12" s="26">
        <f>资产资本表!BS89</f>
        <v>84796469.060000002</v>
      </c>
      <c r="BT12" s="26">
        <f>资产资本表!BT89</f>
        <v>90638036.310000002</v>
      </c>
      <c r="BU12" s="26">
        <f>资产资本表!BU89</f>
        <v>53141185.07</v>
      </c>
      <c r="BV12" s="26">
        <f>资产资本表!BV89</f>
        <v>49052987.25</v>
      </c>
      <c r="BW12" s="26">
        <f>资产资本表!BW89</f>
        <v>45815482.609999999</v>
      </c>
      <c r="BX12" s="26">
        <f>资产资本表!BX89</f>
        <v>46509000.149999999</v>
      </c>
      <c r="BY12" s="26">
        <f>资产资本表!BY89</f>
        <v>46399780.149999999</v>
      </c>
      <c r="BZ12" s="26">
        <f>资产资本表!BZ89</f>
        <v>43399610</v>
      </c>
      <c r="CA12" s="26">
        <f>资产资本表!CA89</f>
        <v>43370000</v>
      </c>
      <c r="CB12" s="26">
        <f>资产资本表!CB89</f>
        <v>62237551.43</v>
      </c>
      <c r="CC12" s="26">
        <f>资产资本表!CC89</f>
        <v>57930426.859999999</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6536601115.5599995</v>
      </c>
      <c r="F13" s="26">
        <f t="shared" ref="F13:BQ13" si="0">F9-F12</f>
        <v>6629399732.5199986</v>
      </c>
      <c r="G13" s="26">
        <f t="shared" si="0"/>
        <v>6670862400.8699999</v>
      </c>
      <c r="H13" s="26">
        <f t="shared" si="0"/>
        <v>6621982850.8999977</v>
      </c>
      <c r="I13" s="26">
        <f t="shared" si="0"/>
        <v>6815133979.6799984</v>
      </c>
      <c r="J13" s="26">
        <f t="shared" si="0"/>
        <v>6474539534.8500013</v>
      </c>
      <c r="K13" s="26">
        <f t="shared" si="0"/>
        <v>6492300937.9499989</v>
      </c>
      <c r="L13" s="26">
        <f t="shared" si="0"/>
        <v>3439537650.2700014</v>
      </c>
      <c r="M13" s="26">
        <f t="shared" si="0"/>
        <v>3030259381.4400015</v>
      </c>
      <c r="N13" s="26">
        <f t="shared" si="0"/>
        <v>3119621080.6100016</v>
      </c>
      <c r="O13" s="26">
        <f t="shared" si="0"/>
        <v>3271459817.6999998</v>
      </c>
      <c r="P13" s="26">
        <f t="shared" si="0"/>
        <v>3020989330.7900009</v>
      </c>
      <c r="Q13" s="26">
        <f t="shared" si="0"/>
        <v>3084881806.6299992</v>
      </c>
      <c r="R13" s="26">
        <f t="shared" si="0"/>
        <v>1979257217.7199998</v>
      </c>
      <c r="S13" s="26">
        <f t="shared" si="0"/>
        <v>1992461262.9899993</v>
      </c>
      <c r="T13" s="26">
        <f t="shared" si="0"/>
        <v>1977981613.7299991</v>
      </c>
      <c r="U13" s="26">
        <f t="shared" si="0"/>
        <v>1956776790.5299997</v>
      </c>
      <c r="V13" s="26">
        <f t="shared" si="0"/>
        <v>1520521314.5900011</v>
      </c>
      <c r="W13" s="26">
        <f t="shared" si="0"/>
        <v>1474650667.1299999</v>
      </c>
      <c r="X13" s="26">
        <f t="shared" si="0"/>
        <v>1418270181.8599999</v>
      </c>
      <c r="Y13" s="26">
        <f t="shared" si="0"/>
        <v>1405361060.9100001</v>
      </c>
      <c r="Z13" s="26">
        <f t="shared" si="0"/>
        <v>1126736892.4300008</v>
      </c>
      <c r="AA13" s="26">
        <f t="shared" si="0"/>
        <v>1096419166.8599999</v>
      </c>
      <c r="AB13" s="26">
        <f t="shared" si="0"/>
        <v>974881125.70999956</v>
      </c>
      <c r="AC13" s="26">
        <f t="shared" si="0"/>
        <v>996439215.51000047</v>
      </c>
      <c r="AD13" s="26">
        <f t="shared" si="0"/>
        <v>-739280630.61000001</v>
      </c>
      <c r="AE13" s="26">
        <f t="shared" si="0"/>
        <v>-727187876.70999992</v>
      </c>
      <c r="AF13" s="26">
        <f t="shared" si="0"/>
        <v>-714664978.15999997</v>
      </c>
      <c r="AG13" s="26">
        <f t="shared" si="0"/>
        <v>-708185572.5</v>
      </c>
      <c r="AH13" s="26">
        <f t="shared" si="0"/>
        <v>-721617954.18000007</v>
      </c>
      <c r="AI13" s="26">
        <f t="shared" si="0"/>
        <v>-709193317.28999996</v>
      </c>
      <c r="AJ13" s="26">
        <f t="shared" si="0"/>
        <v>-699543132.22000003</v>
      </c>
      <c r="AK13" s="26">
        <f t="shared" si="0"/>
        <v>-704664483.75</v>
      </c>
      <c r="AL13" s="26">
        <f t="shared" si="0"/>
        <v>-751531154.75000012</v>
      </c>
      <c r="AM13" s="26">
        <f t="shared" si="0"/>
        <v>-735403584.38</v>
      </c>
      <c r="AN13" s="26">
        <f t="shared" si="0"/>
        <v>-722242391.56000006</v>
      </c>
      <c r="AO13" s="26">
        <f t="shared" si="0"/>
        <v>-719077592.00000012</v>
      </c>
      <c r="AP13" s="26">
        <f t="shared" si="0"/>
        <v>-724700742.03000009</v>
      </c>
      <c r="AQ13" s="26">
        <f t="shared" si="0"/>
        <v>-710426007.27999997</v>
      </c>
      <c r="AR13" s="26">
        <f t="shared" si="0"/>
        <v>-685815778.54000008</v>
      </c>
      <c r="AS13" s="26">
        <f t="shared" si="0"/>
        <v>-707529086.82999992</v>
      </c>
      <c r="AT13" s="26">
        <f t="shared" si="0"/>
        <v>-783402091.01999998</v>
      </c>
      <c r="AU13" s="26">
        <f t="shared" si="0"/>
        <v>-764482011.21999991</v>
      </c>
      <c r="AV13" s="26">
        <f t="shared" si="0"/>
        <v>-750912498.51999986</v>
      </c>
      <c r="AW13" s="26">
        <f t="shared" si="0"/>
        <v>-740002916.69000018</v>
      </c>
      <c r="AX13" s="26">
        <f t="shared" si="0"/>
        <v>-241738555.29000002</v>
      </c>
      <c r="AY13" s="26">
        <f t="shared" si="0"/>
        <v>-240928157.47000003</v>
      </c>
      <c r="AZ13" s="26">
        <f t="shared" si="0"/>
        <v>0</v>
      </c>
      <c r="BA13" s="26">
        <f t="shared" si="0"/>
        <v>-217377514.36000001</v>
      </c>
      <c r="BB13" s="26">
        <f t="shared" si="0"/>
        <v>115454328.63999993</v>
      </c>
      <c r="BC13" s="26">
        <f t="shared" si="0"/>
        <v>119271204.14000005</v>
      </c>
      <c r="BD13" s="26">
        <f t="shared" si="0"/>
        <v>145002794</v>
      </c>
      <c r="BE13" s="26">
        <f t="shared" si="0"/>
        <v>129053068.84000015</v>
      </c>
      <c r="BF13" s="26">
        <f t="shared" si="0"/>
        <v>302906291.54999983</v>
      </c>
      <c r="BG13" s="26">
        <f t="shared" si="0"/>
        <v>309631025.68999982</v>
      </c>
      <c r="BH13" s="26">
        <f t="shared" si="0"/>
        <v>307193089.88</v>
      </c>
      <c r="BI13" s="26">
        <f t="shared" si="0"/>
        <v>300651411.41999996</v>
      </c>
      <c r="BJ13" s="26">
        <f t="shared" si="0"/>
        <v>316014112.13999999</v>
      </c>
      <c r="BK13" s="26">
        <f t="shared" si="0"/>
        <v>312383270.3599999</v>
      </c>
      <c r="BL13" s="26">
        <f t="shared" si="0"/>
        <v>305297111.59000003</v>
      </c>
      <c r="BM13" s="26">
        <f t="shared" si="0"/>
        <v>300069533.25</v>
      </c>
      <c r="BN13" s="26">
        <f t="shared" si="0"/>
        <v>293188713.31000006</v>
      </c>
      <c r="BO13" s="26">
        <f t="shared" si="0"/>
        <v>290907781.99000001</v>
      </c>
      <c r="BP13" s="26">
        <f t="shared" si="0"/>
        <v>281579747.31999993</v>
      </c>
      <c r="BQ13" s="26">
        <f t="shared" si="0"/>
        <v>287734448.19999993</v>
      </c>
      <c r="BR13" s="26">
        <f t="shared" ref="BR13:CL13" si="1">BR9-BR12</f>
        <v>267781746.28000003</v>
      </c>
      <c r="BS13" s="26">
        <f t="shared" si="1"/>
        <v>296655727.41999996</v>
      </c>
      <c r="BT13" s="26">
        <f t="shared" si="1"/>
        <v>301764053.54000002</v>
      </c>
      <c r="BU13" s="26">
        <f t="shared" si="1"/>
        <v>263029031.41000003</v>
      </c>
      <c r="BV13" s="26">
        <f t="shared" si="1"/>
        <v>178646588.19</v>
      </c>
      <c r="BW13" s="26">
        <f t="shared" si="1"/>
        <v>151345476.92000002</v>
      </c>
      <c r="BX13" s="26">
        <f t="shared" si="1"/>
        <v>137844865.89000002</v>
      </c>
      <c r="BY13" s="26">
        <f t="shared" si="1"/>
        <v>130926828.88000003</v>
      </c>
      <c r="BZ13" s="26">
        <f t="shared" si="1"/>
        <v>40748845.469999984</v>
      </c>
      <c r="CA13" s="26">
        <f t="shared" si="1"/>
        <v>38816105.700000003</v>
      </c>
      <c r="CB13" s="26">
        <f t="shared" si="1"/>
        <v>42763380.050000004</v>
      </c>
      <c r="CC13" s="26">
        <f t="shared" si="1"/>
        <v>33342816.439999998</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12014045508.25</v>
      </c>
      <c r="F14" s="48">
        <f t="shared" ref="F14:BQ14" si="2">F9</f>
        <v>12435232451.149998</v>
      </c>
      <c r="G14" s="48">
        <f t="shared" si="2"/>
        <v>10873836547.58</v>
      </c>
      <c r="H14" s="48">
        <f t="shared" si="2"/>
        <v>10824341568.919998</v>
      </c>
      <c r="I14" s="48">
        <f t="shared" si="2"/>
        <v>10881122711.829998</v>
      </c>
      <c r="J14" s="48">
        <f t="shared" si="2"/>
        <v>10671529466.230001</v>
      </c>
      <c r="K14" s="48">
        <f t="shared" si="2"/>
        <v>11329709325.869999</v>
      </c>
      <c r="L14" s="48">
        <f t="shared" si="2"/>
        <v>9197239498.4900017</v>
      </c>
      <c r="M14" s="48">
        <f t="shared" si="2"/>
        <v>7619805307.7300014</v>
      </c>
      <c r="N14" s="48">
        <f t="shared" si="2"/>
        <v>8150567347.3500013</v>
      </c>
      <c r="O14" s="48">
        <f t="shared" si="2"/>
        <v>8457534370.3299999</v>
      </c>
      <c r="P14" s="48">
        <f t="shared" si="2"/>
        <v>8315817985.8100014</v>
      </c>
      <c r="Q14" s="48">
        <f t="shared" si="2"/>
        <v>8374023907.1299992</v>
      </c>
      <c r="R14" s="48">
        <f t="shared" si="2"/>
        <v>5440743445.2699995</v>
      </c>
      <c r="S14" s="48">
        <f t="shared" si="2"/>
        <v>5400042611.0999994</v>
      </c>
      <c r="T14" s="48">
        <f t="shared" si="2"/>
        <v>5405020936.9499989</v>
      </c>
      <c r="U14" s="48">
        <f t="shared" si="2"/>
        <v>4729794747.4399996</v>
      </c>
      <c r="V14" s="48">
        <f t="shared" si="2"/>
        <v>3185582040.8000011</v>
      </c>
      <c r="W14" s="48">
        <f t="shared" si="2"/>
        <v>2716577942.1199999</v>
      </c>
      <c r="X14" s="48">
        <f t="shared" si="2"/>
        <v>2662104762.6999998</v>
      </c>
      <c r="Y14" s="48">
        <f t="shared" si="2"/>
        <v>2772463160.75</v>
      </c>
      <c r="Z14" s="48">
        <f t="shared" si="2"/>
        <v>2385434310.9100008</v>
      </c>
      <c r="AA14" s="48">
        <f t="shared" si="2"/>
        <v>2502011952.0999999</v>
      </c>
      <c r="AB14" s="48">
        <f t="shared" si="2"/>
        <v>2435287261.9599996</v>
      </c>
      <c r="AC14" s="48">
        <f t="shared" si="2"/>
        <v>2477851599.3700004</v>
      </c>
      <c r="AD14" s="48">
        <f t="shared" si="2"/>
        <v>-39751701.739999995</v>
      </c>
      <c r="AE14" s="48">
        <f t="shared" si="2"/>
        <v>-39047312.699999981</v>
      </c>
      <c r="AF14" s="48">
        <f t="shared" si="2"/>
        <v>-36411268.439999975</v>
      </c>
      <c r="AG14" s="48">
        <f t="shared" si="2"/>
        <v>-35582283.599999964</v>
      </c>
      <c r="AH14" s="48">
        <f t="shared" si="2"/>
        <v>-41131809.430000015</v>
      </c>
      <c r="AI14" s="48">
        <f t="shared" si="2"/>
        <v>-20508189.029999994</v>
      </c>
      <c r="AJ14" s="48">
        <f t="shared" si="2"/>
        <v>-17278748.230000034</v>
      </c>
      <c r="AK14" s="48">
        <f t="shared" si="2"/>
        <v>-16599749.430000007</v>
      </c>
      <c r="AL14" s="48">
        <f t="shared" si="2"/>
        <v>-9584742.0800000206</v>
      </c>
      <c r="AM14" s="48">
        <f t="shared" si="2"/>
        <v>-6783766.9399999753</v>
      </c>
      <c r="AN14" s="48">
        <f t="shared" si="2"/>
        <v>7255983.9399999827</v>
      </c>
      <c r="AO14" s="48">
        <f t="shared" si="2"/>
        <v>6415989.3599999472</v>
      </c>
      <c r="AP14" s="48">
        <f t="shared" si="2"/>
        <v>35514882.669999987</v>
      </c>
      <c r="AQ14" s="48">
        <f t="shared" si="2"/>
        <v>36178921.049999967</v>
      </c>
      <c r="AR14" s="48">
        <f t="shared" si="2"/>
        <v>53406889.079999968</v>
      </c>
      <c r="AS14" s="48">
        <f t="shared" si="2"/>
        <v>64048775.589999974</v>
      </c>
      <c r="AT14" s="48">
        <f t="shared" si="2"/>
        <v>-125723099.84000006</v>
      </c>
      <c r="AU14" s="48">
        <f t="shared" si="2"/>
        <v>-106803020.03999999</v>
      </c>
      <c r="AV14" s="48">
        <f t="shared" si="2"/>
        <v>-93233507.339999944</v>
      </c>
      <c r="AW14" s="48">
        <f t="shared" si="2"/>
        <v>47311468.689999953</v>
      </c>
      <c r="AX14" s="48">
        <f t="shared" si="2"/>
        <v>431452090.99999994</v>
      </c>
      <c r="AY14" s="48">
        <f t="shared" si="2"/>
        <v>432262488.81999993</v>
      </c>
      <c r="AZ14" s="48">
        <f t="shared" si="2"/>
        <v>0</v>
      </c>
      <c r="BA14" s="48">
        <f t="shared" si="2"/>
        <v>456201037.26999998</v>
      </c>
      <c r="BB14" s="48">
        <f t="shared" si="2"/>
        <v>541556394.80999994</v>
      </c>
      <c r="BC14" s="48">
        <f t="shared" si="2"/>
        <v>545473270.31000006</v>
      </c>
      <c r="BD14" s="48">
        <f t="shared" si="2"/>
        <v>573572727.24000001</v>
      </c>
      <c r="BE14" s="48">
        <f t="shared" si="2"/>
        <v>583508767.37000012</v>
      </c>
      <c r="BF14" s="48">
        <f t="shared" si="2"/>
        <v>607480275.64999986</v>
      </c>
      <c r="BG14" s="48">
        <f t="shared" si="2"/>
        <v>614206778.68999982</v>
      </c>
      <c r="BH14" s="48">
        <f t="shared" si="2"/>
        <v>591853089.88</v>
      </c>
      <c r="BI14" s="48">
        <f t="shared" si="2"/>
        <v>544991411.41999996</v>
      </c>
      <c r="BJ14" s="48">
        <f t="shared" si="2"/>
        <v>808994112.13999999</v>
      </c>
      <c r="BK14" s="48">
        <f t="shared" si="2"/>
        <v>750363270.3599999</v>
      </c>
      <c r="BL14" s="48">
        <f t="shared" si="2"/>
        <v>735437111.59000003</v>
      </c>
      <c r="BM14" s="48">
        <f t="shared" si="2"/>
        <v>553669533.25</v>
      </c>
      <c r="BN14" s="48">
        <f t="shared" si="2"/>
        <v>639788713.31000006</v>
      </c>
      <c r="BO14" s="48">
        <f t="shared" si="2"/>
        <v>736007781.99000001</v>
      </c>
      <c r="BP14" s="48">
        <f t="shared" si="2"/>
        <v>651679747.31999993</v>
      </c>
      <c r="BQ14" s="48">
        <f t="shared" si="2"/>
        <v>481334448.19999993</v>
      </c>
      <c r="BR14" s="48">
        <f t="shared" ref="BR14:CL14" si="3">BR9</f>
        <v>360381746.28000003</v>
      </c>
      <c r="BS14" s="48">
        <f t="shared" si="3"/>
        <v>381452196.47999996</v>
      </c>
      <c r="BT14" s="48">
        <f t="shared" si="3"/>
        <v>392402089.85000002</v>
      </c>
      <c r="BU14" s="48">
        <f t="shared" si="3"/>
        <v>316170216.48000002</v>
      </c>
      <c r="BV14" s="48">
        <f t="shared" si="3"/>
        <v>227699575.44</v>
      </c>
      <c r="BW14" s="48">
        <f t="shared" si="3"/>
        <v>197160959.53000003</v>
      </c>
      <c r="BX14" s="48">
        <f t="shared" si="3"/>
        <v>184353866.04000002</v>
      </c>
      <c r="BY14" s="48">
        <f t="shared" si="3"/>
        <v>177326609.03000003</v>
      </c>
      <c r="BZ14" s="48">
        <f t="shared" si="3"/>
        <v>84148455.469999984</v>
      </c>
      <c r="CA14" s="48">
        <f t="shared" si="3"/>
        <v>82186105.700000003</v>
      </c>
      <c r="CB14" s="48">
        <f t="shared" si="3"/>
        <v>105000931.48</v>
      </c>
      <c r="CC14" s="48">
        <f t="shared" si="3"/>
        <v>91273243.299999997</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-120040593.25000191</v>
      </c>
      <c r="F15" s="58">
        <f t="shared" ref="F15:BQ15" si="4">F11+F13-F3-F4-F7</f>
        <v>1002430156.4400001</v>
      </c>
      <c r="G15" s="58">
        <f t="shared" si="4"/>
        <v>151989394.12999868</v>
      </c>
      <c r="H15" s="58">
        <f t="shared" si="4"/>
        <v>421449011.15999913</v>
      </c>
      <c r="I15" s="58">
        <f t="shared" si="4"/>
        <v>1030780389.0299983</v>
      </c>
      <c r="J15" s="58">
        <f t="shared" si="4"/>
        <v>294531915.06999946</v>
      </c>
      <c r="K15" s="58">
        <f t="shared" si="4"/>
        <v>1278399133.8399994</v>
      </c>
      <c r="L15" s="58">
        <f t="shared" si="4"/>
        <v>1388525085.28</v>
      </c>
      <c r="M15" s="58">
        <f t="shared" si="4"/>
        <v>60300903.239999652</v>
      </c>
      <c r="N15" s="58">
        <f t="shared" si="4"/>
        <v>125906825.94000009</v>
      </c>
      <c r="O15" s="58">
        <f t="shared" si="4"/>
        <v>71983422.159999907</v>
      </c>
      <c r="P15" s="58">
        <f t="shared" si="4"/>
        <v>78905291.700000018</v>
      </c>
      <c r="Q15" s="58">
        <f t="shared" si="4"/>
        <v>1764727296.8899994</v>
      </c>
      <c r="R15" s="58">
        <f t="shared" si="4"/>
        <v>816019136.5</v>
      </c>
      <c r="S15" s="58">
        <f t="shared" si="4"/>
        <v>658552222.47999942</v>
      </c>
      <c r="T15" s="58">
        <f t="shared" si="4"/>
        <v>792390020.31000018</v>
      </c>
      <c r="U15" s="58">
        <f t="shared" si="4"/>
        <v>769949263.03999996</v>
      </c>
      <c r="V15" s="58">
        <f t="shared" si="4"/>
        <v>640786844.94000006</v>
      </c>
      <c r="W15" s="58">
        <f t="shared" si="4"/>
        <v>519698732.27000034</v>
      </c>
      <c r="X15" s="58">
        <f t="shared" si="4"/>
        <v>694978525.49000001</v>
      </c>
      <c r="Y15" s="58">
        <f t="shared" si="4"/>
        <v>906454624.14999962</v>
      </c>
      <c r="Z15" s="58">
        <f t="shared" si="4"/>
        <v>469247118.76000011</v>
      </c>
      <c r="AA15" s="58">
        <f t="shared" si="4"/>
        <v>414838027.0399996</v>
      </c>
      <c r="AB15" s="58">
        <f t="shared" si="4"/>
        <v>305008433.35000014</v>
      </c>
      <c r="AC15" s="58">
        <f t="shared" si="4"/>
        <v>549656317.78999996</v>
      </c>
      <c r="AD15" s="58">
        <f t="shared" si="4"/>
        <v>-699062712.74999988</v>
      </c>
      <c r="AE15" s="58">
        <f t="shared" si="4"/>
        <v>-687782672.39999998</v>
      </c>
      <c r="AF15" s="58">
        <f t="shared" si="4"/>
        <v>-677820869.36000001</v>
      </c>
      <c r="AG15" s="58">
        <f t="shared" si="4"/>
        <v>-670962229.54999995</v>
      </c>
      <c r="AH15" s="58">
        <f t="shared" si="4"/>
        <v>-680231981.25</v>
      </c>
      <c r="AI15" s="58">
        <f t="shared" si="4"/>
        <v>-688276390.37999988</v>
      </c>
      <c r="AJ15" s="58">
        <f t="shared" si="4"/>
        <v>-681969394.70999992</v>
      </c>
      <c r="AK15" s="58">
        <f t="shared" si="4"/>
        <v>-687497360.11000001</v>
      </c>
      <c r="AL15" s="58">
        <f t="shared" si="4"/>
        <v>-741797239.7700001</v>
      </c>
      <c r="AM15" s="58">
        <f t="shared" si="4"/>
        <v>-728371854.47000015</v>
      </c>
      <c r="AN15" s="58">
        <f t="shared" si="4"/>
        <v>-728969903.69000006</v>
      </c>
      <c r="AO15" s="58">
        <f t="shared" si="4"/>
        <v>-724958472.95000017</v>
      </c>
      <c r="AP15" s="58">
        <f t="shared" si="4"/>
        <v>-758218336.0200001</v>
      </c>
      <c r="AQ15" s="58">
        <f t="shared" si="4"/>
        <v>-745008023.5999999</v>
      </c>
      <c r="AR15" s="58">
        <f t="shared" si="4"/>
        <v>-735551391.82000005</v>
      </c>
      <c r="AS15" s="58">
        <f t="shared" si="4"/>
        <v>-755591892.88999987</v>
      </c>
      <c r="AT15" s="58">
        <f t="shared" si="4"/>
        <v>-649558065.46999991</v>
      </c>
      <c r="AU15" s="58">
        <f t="shared" si="4"/>
        <v>-648507019.77999985</v>
      </c>
      <c r="AV15" s="58">
        <f t="shared" si="4"/>
        <v>-643206984.70999992</v>
      </c>
      <c r="AW15" s="58">
        <f t="shared" si="4"/>
        <v>-776429052.1400001</v>
      </c>
      <c r="AX15" s="58">
        <f t="shared" si="4"/>
        <v>-664650735.26999998</v>
      </c>
      <c r="AY15" s="58">
        <f t="shared" si="4"/>
        <v>-661922866.08000004</v>
      </c>
      <c r="AZ15" s="58">
        <f t="shared" si="4"/>
        <v>0</v>
      </c>
      <c r="BA15" s="58">
        <f t="shared" si="4"/>
        <v>-658198658.23000002</v>
      </c>
      <c r="BB15" s="58">
        <f t="shared" si="4"/>
        <v>-415707103.13</v>
      </c>
      <c r="BC15" s="58">
        <f t="shared" si="4"/>
        <v>-421131979.26000005</v>
      </c>
      <c r="BD15" s="58">
        <f t="shared" si="4"/>
        <v>-422541625.97999996</v>
      </c>
      <c r="BE15" s="58">
        <f t="shared" si="4"/>
        <v>-339753883.64999986</v>
      </c>
      <c r="BF15" s="58">
        <f t="shared" si="4"/>
        <v>-147788187.98999998</v>
      </c>
      <c r="BG15" s="58">
        <f t="shared" si="4"/>
        <v>-138167631.56999999</v>
      </c>
      <c r="BH15" s="58">
        <f t="shared" si="4"/>
        <v>-49204207.539999962</v>
      </c>
      <c r="BI15" s="58">
        <f t="shared" si="4"/>
        <v>111288648.18000001</v>
      </c>
      <c r="BJ15" s="58">
        <f t="shared" si="4"/>
        <v>-180862351.44000003</v>
      </c>
      <c r="BK15" s="58">
        <f t="shared" si="4"/>
        <v>-73334152.110000104</v>
      </c>
      <c r="BL15" s="58">
        <f t="shared" si="4"/>
        <v>-73587747.429999977</v>
      </c>
      <c r="BM15" s="58">
        <f t="shared" si="4"/>
        <v>20294947.049999975</v>
      </c>
      <c r="BN15" s="58">
        <f t="shared" si="4"/>
        <v>-200505329.56000006</v>
      </c>
      <c r="BO15" s="58">
        <f t="shared" si="4"/>
        <v>-140630419.70000008</v>
      </c>
      <c r="BP15" s="58">
        <f t="shared" si="4"/>
        <v>-141828371.96000001</v>
      </c>
      <c r="BQ15" s="58">
        <f t="shared" si="4"/>
        <v>28556058.139999971</v>
      </c>
      <c r="BR15" s="58">
        <f t="shared" ref="BR15:CL15" si="5">BR11+BR13-BR3-BR4-BR7</f>
        <v>48183193.769999981</v>
      </c>
      <c r="BS15" s="58">
        <f t="shared" si="5"/>
        <v>-26305205.320000023</v>
      </c>
      <c r="BT15" s="58">
        <f t="shared" si="5"/>
        <v>34104358.290000036</v>
      </c>
      <c r="BU15" s="58">
        <f t="shared" si="5"/>
        <v>23006139.679999992</v>
      </c>
      <c r="BV15" s="58">
        <f t="shared" si="5"/>
        <v>-26910858.119999975</v>
      </c>
      <c r="BW15" s="58">
        <f t="shared" si="5"/>
        <v>-16363831.519999996</v>
      </c>
      <c r="BX15" s="58">
        <f t="shared" si="5"/>
        <v>39836947.62000002</v>
      </c>
      <c r="BY15" s="58">
        <f t="shared" si="5"/>
        <v>44247442.760000028</v>
      </c>
      <c r="BZ15" s="58">
        <f t="shared" si="5"/>
        <v>-18017643.010000009</v>
      </c>
      <c r="CA15" s="58">
        <f t="shared" si="5"/>
        <v>-16700812.460000005</v>
      </c>
      <c r="CB15" s="58">
        <f t="shared" si="5"/>
        <v>-17146706.100000001</v>
      </c>
      <c r="CC15" s="58">
        <f t="shared" si="5"/>
        <v>-19492265.710000008</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120040593.25</v>
      </c>
      <c r="F16" s="58">
        <f t="shared" ref="F16:BQ16" si="6">F10-F2</f>
        <v>-1002430156.4400001</v>
      </c>
      <c r="G16" s="58">
        <f t="shared" si="6"/>
        <v>-151989394.13</v>
      </c>
      <c r="H16" s="58">
        <f t="shared" si="6"/>
        <v>-421449011.15999997</v>
      </c>
      <c r="I16" s="58">
        <f t="shared" si="6"/>
        <v>-1030780389.0300001</v>
      </c>
      <c r="J16" s="58">
        <f t="shared" si="6"/>
        <v>-294531915.07000005</v>
      </c>
      <c r="K16" s="58">
        <f t="shared" si="6"/>
        <v>-1278399133.8400002</v>
      </c>
      <c r="L16" s="58">
        <f t="shared" si="6"/>
        <v>-1388525085.28</v>
      </c>
      <c r="M16" s="58">
        <f t="shared" si="6"/>
        <v>-60300903.24000001</v>
      </c>
      <c r="N16" s="58">
        <f t="shared" si="6"/>
        <v>-125906825.94000006</v>
      </c>
      <c r="O16" s="58">
        <f t="shared" si="6"/>
        <v>-71983422.160000086</v>
      </c>
      <c r="P16" s="58">
        <f t="shared" si="6"/>
        <v>-78905291.700000048</v>
      </c>
      <c r="Q16" s="58">
        <f t="shared" si="6"/>
        <v>-1764727296.8899999</v>
      </c>
      <c r="R16" s="58">
        <f t="shared" si="6"/>
        <v>-816019136.5</v>
      </c>
      <c r="S16" s="58">
        <f t="shared" si="6"/>
        <v>-658552222.48000002</v>
      </c>
      <c r="T16" s="58">
        <f t="shared" si="6"/>
        <v>-792390020.31000006</v>
      </c>
      <c r="U16" s="58">
        <f t="shared" si="6"/>
        <v>-769949263.03999996</v>
      </c>
      <c r="V16" s="58">
        <f t="shared" si="6"/>
        <v>-640786844.93999994</v>
      </c>
      <c r="W16" s="58">
        <f t="shared" si="6"/>
        <v>-519698732.26999998</v>
      </c>
      <c r="X16" s="58">
        <f t="shared" si="6"/>
        <v>-694978525.49000001</v>
      </c>
      <c r="Y16" s="58">
        <f t="shared" si="6"/>
        <v>-906454624.14999998</v>
      </c>
      <c r="Z16" s="58">
        <f t="shared" si="6"/>
        <v>-469247118.75999999</v>
      </c>
      <c r="AA16" s="58">
        <f t="shared" si="6"/>
        <v>-414838027.03999996</v>
      </c>
      <c r="AB16" s="58">
        <f t="shared" si="6"/>
        <v>-305008433.35000002</v>
      </c>
      <c r="AC16" s="58">
        <f t="shared" si="6"/>
        <v>-549656317.78999996</v>
      </c>
      <c r="AD16" s="58">
        <f t="shared" si="6"/>
        <v>699062712.75</v>
      </c>
      <c r="AE16" s="58">
        <f t="shared" si="6"/>
        <v>687782672.39999998</v>
      </c>
      <c r="AF16" s="58">
        <f t="shared" si="6"/>
        <v>677820869.36000001</v>
      </c>
      <c r="AG16" s="58">
        <f t="shared" si="6"/>
        <v>670962229.54999995</v>
      </c>
      <c r="AH16" s="58">
        <f t="shared" si="6"/>
        <v>680231981.25</v>
      </c>
      <c r="AI16" s="58">
        <f t="shared" si="6"/>
        <v>688276390.38</v>
      </c>
      <c r="AJ16" s="58">
        <f t="shared" si="6"/>
        <v>681969394.71000004</v>
      </c>
      <c r="AK16" s="58">
        <f t="shared" si="6"/>
        <v>687497360.11000001</v>
      </c>
      <c r="AL16" s="58">
        <f t="shared" si="6"/>
        <v>741797239.7700001</v>
      </c>
      <c r="AM16" s="58">
        <f t="shared" si="6"/>
        <v>728371854.47000003</v>
      </c>
      <c r="AN16" s="58">
        <f t="shared" si="6"/>
        <v>728969903.69000006</v>
      </c>
      <c r="AO16" s="58">
        <f t="shared" si="6"/>
        <v>724958472.95000005</v>
      </c>
      <c r="AP16" s="58">
        <f t="shared" si="6"/>
        <v>758218336.0200001</v>
      </c>
      <c r="AQ16" s="58">
        <f t="shared" si="6"/>
        <v>745008023.5999999</v>
      </c>
      <c r="AR16" s="58">
        <f t="shared" si="6"/>
        <v>735551391.82000005</v>
      </c>
      <c r="AS16" s="58">
        <f t="shared" si="6"/>
        <v>755591892.88999999</v>
      </c>
      <c r="AT16" s="58">
        <f t="shared" si="6"/>
        <v>649558065.46999991</v>
      </c>
      <c r="AU16" s="58">
        <f t="shared" si="6"/>
        <v>648507019.77999997</v>
      </c>
      <c r="AV16" s="58">
        <f t="shared" si="6"/>
        <v>643206984.70999992</v>
      </c>
      <c r="AW16" s="58">
        <f t="shared" si="6"/>
        <v>776429052.1400001</v>
      </c>
      <c r="AX16" s="58">
        <f t="shared" si="6"/>
        <v>664650735.26999998</v>
      </c>
      <c r="AY16" s="58">
        <f t="shared" si="6"/>
        <v>661922866.08000004</v>
      </c>
      <c r="AZ16" s="58">
        <f t="shared" si="6"/>
        <v>0</v>
      </c>
      <c r="BA16" s="58">
        <f t="shared" si="6"/>
        <v>658198658.23000002</v>
      </c>
      <c r="BB16" s="58">
        <f t="shared" si="6"/>
        <v>415707103.13</v>
      </c>
      <c r="BC16" s="58">
        <f t="shared" si="6"/>
        <v>421131979.25999999</v>
      </c>
      <c r="BD16" s="58">
        <f t="shared" si="6"/>
        <v>422541625.98000002</v>
      </c>
      <c r="BE16" s="58">
        <f t="shared" si="6"/>
        <v>339753883.64999998</v>
      </c>
      <c r="BF16" s="58">
        <f t="shared" si="6"/>
        <v>147788187.99000001</v>
      </c>
      <c r="BG16" s="58">
        <f t="shared" si="6"/>
        <v>138167631.56999999</v>
      </c>
      <c r="BH16" s="58">
        <f t="shared" si="6"/>
        <v>49204207.539999992</v>
      </c>
      <c r="BI16" s="58">
        <f t="shared" si="6"/>
        <v>-111288648.18000001</v>
      </c>
      <c r="BJ16" s="58">
        <f t="shared" si="6"/>
        <v>180862351.44</v>
      </c>
      <c r="BK16" s="58">
        <f t="shared" si="6"/>
        <v>73334152.110000014</v>
      </c>
      <c r="BL16" s="58">
        <f t="shared" si="6"/>
        <v>73587747.430000007</v>
      </c>
      <c r="BM16" s="58">
        <f t="shared" si="6"/>
        <v>-20294947.050000012</v>
      </c>
      <c r="BN16" s="58">
        <f t="shared" si="6"/>
        <v>200505329.56</v>
      </c>
      <c r="BO16" s="58">
        <f t="shared" si="6"/>
        <v>140630419.69999999</v>
      </c>
      <c r="BP16" s="58">
        <f t="shared" si="6"/>
        <v>141828371.96000001</v>
      </c>
      <c r="BQ16" s="58">
        <f t="shared" si="6"/>
        <v>-28556058.139999986</v>
      </c>
      <c r="BR16" s="58">
        <f t="shared" ref="BR16:CL16" si="7">BR10-BR2</f>
        <v>-48183193.769999981</v>
      </c>
      <c r="BS16" s="58">
        <f t="shared" si="7"/>
        <v>26305205.319999993</v>
      </c>
      <c r="BT16" s="58">
        <f t="shared" si="7"/>
        <v>-34104358.290000007</v>
      </c>
      <c r="BU16" s="58">
        <f t="shared" si="7"/>
        <v>-23006139.680000007</v>
      </c>
      <c r="BV16" s="58">
        <f t="shared" si="7"/>
        <v>26910858.119999997</v>
      </c>
      <c r="BW16" s="58">
        <f t="shared" si="7"/>
        <v>16363831.52</v>
      </c>
      <c r="BX16" s="58">
        <f t="shared" si="7"/>
        <v>-39836947.620000005</v>
      </c>
      <c r="BY16" s="58">
        <f t="shared" si="7"/>
        <v>-44247442.760000005</v>
      </c>
      <c r="BZ16" s="58">
        <f t="shared" si="7"/>
        <v>18017643.009999998</v>
      </c>
      <c r="CA16" s="58">
        <f t="shared" si="7"/>
        <v>16700812.460000001</v>
      </c>
      <c r="CB16" s="58">
        <f t="shared" si="7"/>
        <v>17146706.100000001</v>
      </c>
      <c r="CC16" s="58">
        <f t="shared" si="7"/>
        <v>19492265.710000001</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0.98653907796057549</v>
      </c>
      <c r="F17" s="59">
        <f t="shared" ref="F17:BQ17" si="8">(F11+F13-F7-F3)/F4</f>
        <v>1.1135947380180296</v>
      </c>
      <c r="G17" s="59">
        <f t="shared" si="8"/>
        <v>1.0194889856052225</v>
      </c>
      <c r="H17" s="59">
        <f t="shared" si="8"/>
        <v>1.0541686019997878</v>
      </c>
      <c r="I17" s="59">
        <f t="shared" si="8"/>
        <v>1.1456529088147911</v>
      </c>
      <c r="J17" s="59">
        <f t="shared" si="8"/>
        <v>1.0404093915723656</v>
      </c>
      <c r="K17" s="59">
        <f t="shared" si="8"/>
        <v>1.1759245180139892</v>
      </c>
      <c r="L17" s="59">
        <f t="shared" si="8"/>
        <v>1.2069881219837293</v>
      </c>
      <c r="M17" s="59">
        <f t="shared" si="8"/>
        <v>1.0097210935120149</v>
      </c>
      <c r="N17" s="59">
        <f t="shared" si="8"/>
        <v>1.0186451545660025</v>
      </c>
      <c r="O17" s="59">
        <f t="shared" si="8"/>
        <v>1.0101974115695094</v>
      </c>
      <c r="P17" s="59">
        <f t="shared" si="8"/>
        <v>1.0117390823425472</v>
      </c>
      <c r="Q17" s="59">
        <f t="shared" si="8"/>
        <v>1.334739161634098</v>
      </c>
      <c r="R17" s="59">
        <f t="shared" si="8"/>
        <v>1.2127022856206719</v>
      </c>
      <c r="S17" s="59">
        <f t="shared" si="8"/>
        <v>1.1681413939383241</v>
      </c>
      <c r="T17" s="59">
        <f t="shared" si="8"/>
        <v>1.2089029572165226</v>
      </c>
      <c r="U17" s="59">
        <f t="shared" si="8"/>
        <v>1.2445379312497085</v>
      </c>
      <c r="V17" s="59">
        <f t="shared" si="8"/>
        <v>1.3836207614886704</v>
      </c>
      <c r="W17" s="59">
        <f t="shared" si="8"/>
        <v>1.2957388161092593</v>
      </c>
      <c r="X17" s="59">
        <f t="shared" si="8"/>
        <v>1.4540401672036067</v>
      </c>
      <c r="Y17" s="59">
        <f t="shared" si="8"/>
        <v>1.7094387476949404</v>
      </c>
      <c r="Z17" s="59">
        <f t="shared" si="8"/>
        <v>1.3666028291512697</v>
      </c>
      <c r="AA17" s="59">
        <f t="shared" si="8"/>
        <v>1.2540710441962168</v>
      </c>
      <c r="AB17" s="59">
        <f t="shared" si="8"/>
        <v>1.1837214259779718</v>
      </c>
      <c r="AC17" s="59">
        <f t="shared" si="8"/>
        <v>1.3755196109481447</v>
      </c>
      <c r="AD17" s="59">
        <f t="shared" si="8"/>
        <v>8.119817681745829</v>
      </c>
      <c r="AE17" s="59">
        <f t="shared" si="8"/>
        <v>8.0459492712284923</v>
      </c>
      <c r="AF17" s="59">
        <f t="shared" si="8"/>
        <v>8.1115751165970114</v>
      </c>
      <c r="AG17" s="59">
        <f t="shared" si="8"/>
        <v>7.9961784970083896</v>
      </c>
      <c r="AH17" s="59">
        <f t="shared" si="8"/>
        <v>7.7749307282307152</v>
      </c>
      <c r="AI17" s="59">
        <f t="shared" si="8"/>
        <v>9.5860457993349435</v>
      </c>
      <c r="AJ17" s="59">
        <f t="shared" si="8"/>
        <v>9.8505201139029435</v>
      </c>
      <c r="AK17" s="59">
        <f t="shared" si="8"/>
        <v>9.9434645532076935</v>
      </c>
      <c r="AL17" s="59">
        <f t="shared" si="8"/>
        <v>11.465488748067756</v>
      </c>
      <c r="AM17" s="59">
        <f t="shared" si="8"/>
        <v>11.643307107231212</v>
      </c>
      <c r="AN17" s="59">
        <f t="shared" si="8"/>
        <v>14.184238105489959</v>
      </c>
      <c r="AO17" s="59">
        <f t="shared" si="8"/>
        <v>13.85433846862399</v>
      </c>
      <c r="AP17" s="59">
        <f t="shared" si="8"/>
        <v>25.577094716697264</v>
      </c>
      <c r="AQ17" s="59">
        <f t="shared" si="8"/>
        <v>25.525393114444586</v>
      </c>
      <c r="AR17" s="59">
        <f t="shared" si="8"/>
        <v>45.300620864181852</v>
      </c>
      <c r="AS17" s="59">
        <f t="shared" si="8"/>
        <v>41.552894831028169</v>
      </c>
      <c r="AT17" s="59">
        <f t="shared" si="8"/>
        <v>4.0727207303321622</v>
      </c>
      <c r="AU17" s="59">
        <f t="shared" si="8"/>
        <v>4.3543967314762799</v>
      </c>
      <c r="AV17" s="59">
        <f t="shared" si="8"/>
        <v>4.4647379576287127</v>
      </c>
      <c r="AW17" s="59">
        <f t="shared" si="8"/>
        <v>23.933683728043988</v>
      </c>
      <c r="AX17" s="59">
        <f t="shared" si="8"/>
        <v>-0.80320572853315231</v>
      </c>
      <c r="AY17" s="59">
        <f t="shared" si="8"/>
        <v>-0.77435155588149107</v>
      </c>
      <c r="AZ17" s="59" t="e">
        <f t="shared" si="8"/>
        <v>#DIV/0!</v>
      </c>
      <c r="BA17" s="59">
        <f t="shared" si="8"/>
        <v>-0.67922837005528003</v>
      </c>
      <c r="BB17" s="59">
        <f t="shared" si="8"/>
        <v>0.12719502066500943</v>
      </c>
      <c r="BC17" s="59">
        <f t="shared" si="8"/>
        <v>0.13044605913783441</v>
      </c>
      <c r="BD17" s="59">
        <f t="shared" si="8"/>
        <v>0.17115443698058116</v>
      </c>
      <c r="BE17" s="59">
        <f t="shared" si="8"/>
        <v>0.17025045905715444</v>
      </c>
      <c r="BF17" s="59">
        <f t="shared" si="8"/>
        <v>0.62209797300264769</v>
      </c>
      <c r="BG17" s="59">
        <f t="shared" si="8"/>
        <v>0.64298700698048128</v>
      </c>
      <c r="BH17" s="59">
        <f t="shared" si="8"/>
        <v>0.83229317122168978</v>
      </c>
      <c r="BI17" s="59">
        <f t="shared" si="8"/>
        <v>1.8950086981864482</v>
      </c>
      <c r="BJ17" s="59">
        <f t="shared" si="8"/>
        <v>0.60053577994318286</v>
      </c>
      <c r="BK17" s="59">
        <f t="shared" si="8"/>
        <v>0.78390005361941728</v>
      </c>
      <c r="BL17" s="59">
        <f t="shared" si="8"/>
        <v>0.77672871489980333</v>
      </c>
      <c r="BM17" s="59">
        <f t="shared" si="8"/>
        <v>1.0884671114782549</v>
      </c>
      <c r="BN17" s="59">
        <f t="shared" si="8"/>
        <v>0.54382101228093138</v>
      </c>
      <c r="BO17" s="59">
        <f t="shared" si="8"/>
        <v>0.62572543195687025</v>
      </c>
      <c r="BP17" s="59">
        <f t="shared" si="8"/>
        <v>0.61350682598491801</v>
      </c>
      <c r="BQ17" s="59">
        <f t="shared" si="8"/>
        <v>1.1418903078088649</v>
      </c>
      <c r="BR17" s="59">
        <f t="shared" ref="BR17:CL17" si="9">(BR11+BR13-BR7-BR3)/BR4</f>
        <v>1.3077456135417811</v>
      </c>
      <c r="BS17" s="59">
        <f t="shared" si="9"/>
        <v>0.87099088611848607</v>
      </c>
      <c r="BT17" s="59">
        <f t="shared" si="9"/>
        <v>1.2098506254010331</v>
      </c>
      <c r="BU17" s="59">
        <f t="shared" si="9"/>
        <v>1.1864114253696125</v>
      </c>
      <c r="BV17" s="59">
        <f t="shared" si="9"/>
        <v>0.74065098033268129</v>
      </c>
      <c r="BW17" s="59">
        <f t="shared" si="9"/>
        <v>0.75685909075070701</v>
      </c>
      <c r="BX17" s="59">
        <f t="shared" si="9"/>
        <v>1.6796070600401733</v>
      </c>
      <c r="BY17" s="59">
        <f t="shared" si="9"/>
        <v>1.9564749420348311</v>
      </c>
      <c r="BZ17" s="59">
        <f t="shared" si="9"/>
        <v>0.58364032587720227</v>
      </c>
      <c r="CA17" s="59">
        <f t="shared" si="9"/>
        <v>0.56381303870295352</v>
      </c>
      <c r="CB17" s="59">
        <f t="shared" si="9"/>
        <v>0.63409421286453693</v>
      </c>
      <c r="CC17" s="59">
        <f t="shared" si="9"/>
        <v>0.43713352245027248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0.20495102542260502</v>
      </c>
      <c r="F20" s="115"/>
      <c r="G20" s="115"/>
      <c r="H20" s="115"/>
      <c r="I20" s="115">
        <f>POWER(E9/Y9,1/6)-1</f>
        <v>0.27684225965057907</v>
      </c>
      <c r="M20" s="115">
        <f>POWER(E9/AC9,1/7)-1</f>
        <v>0.25298206411436541</v>
      </c>
    </row>
    <row r="21" spans="1:90" s="63" customFormat="1" ht="14.25" customHeight="1" x14ac:dyDescent="0.25">
      <c r="A21" s="113" t="s">
        <v>574</v>
      </c>
      <c r="B21" s="115"/>
      <c r="C21" s="115"/>
      <c r="D21" s="115"/>
      <c r="E21" s="115">
        <f>POWER(E4/U4,1/5)-1</f>
        <v>0.2314803602219031</v>
      </c>
      <c r="F21" s="115"/>
      <c r="G21" s="115"/>
      <c r="H21" s="115"/>
      <c r="I21" s="115">
        <f>POWER(E4/Y4,1/6)-1</f>
        <v>0.3824105091777279</v>
      </c>
      <c r="M21" s="115">
        <f>POWER(E4/AC4,1/7)-1</f>
        <v>0.29453420984160283</v>
      </c>
    </row>
    <row r="22" spans="1:90" s="63" customFormat="1" ht="14.25" customHeight="1" x14ac:dyDescent="0.25">
      <c r="A22" s="113" t="s">
        <v>577</v>
      </c>
      <c r="B22" s="115"/>
      <c r="C22" s="115"/>
      <c r="D22" s="115"/>
      <c r="E22" s="115">
        <f>POWER(E5/U5,1/5)-1</f>
        <v>8.9715949007502571E-2</v>
      </c>
      <c r="F22" s="115"/>
      <c r="G22" s="115"/>
      <c r="H22" s="115"/>
      <c r="I22" s="115">
        <f>POWER(E5/Y5,1/6)-1</f>
        <v>0.17526212239113437</v>
      </c>
      <c r="M22" s="115">
        <f>POWER(E5/AC5,1/7)-1</f>
        <v>0.14702984609496816</v>
      </c>
    </row>
    <row r="23" spans="1:90" s="63" customFormat="1" ht="14.25" customHeight="1" x14ac:dyDescent="0.25">
      <c r="A23" s="113" t="s">
        <v>578</v>
      </c>
      <c r="B23" s="115"/>
      <c r="C23" s="115"/>
      <c r="D23" s="115"/>
      <c r="E23" s="115">
        <f>POWER(E6/U6,1/5)-1</f>
        <v>-0.22723990374117742</v>
      </c>
      <c r="F23" s="115"/>
      <c r="G23" s="115"/>
      <c r="H23" s="115"/>
      <c r="I23" s="115">
        <f>POWER(E6/Y6,1/6)-1</f>
        <v>-0.15476212378322107</v>
      </c>
      <c r="M23" s="115">
        <f>POWER(E6/AC6,1/7)-1</f>
        <v>-0.12616021526885102</v>
      </c>
    </row>
    <row r="24" spans="1:90" s="63" customFormat="1" ht="14.25" customHeight="1" x14ac:dyDescent="0.25">
      <c r="A24" s="113" t="s">
        <v>579</v>
      </c>
      <c r="B24" s="115"/>
      <c r="C24" s="115"/>
      <c r="D24" s="115"/>
      <c r="E24" s="115">
        <f>POWER(E7/U7,1/5)-1</f>
        <v>0.65814163709452966</v>
      </c>
      <c r="F24" s="115"/>
      <c r="G24" s="115"/>
      <c r="H24" s="115"/>
      <c r="I24" s="115">
        <f>POWER(E7/Y7,1/6)-1</f>
        <v>0.524471005543931</v>
      </c>
      <c r="M24" s="115">
        <f>POWER(E7/AC7,1/7)-1</f>
        <v>0.34367327890973276</v>
      </c>
    </row>
    <row r="25" spans="1:90" s="107" customFormat="1" x14ac:dyDescent="0.25">
      <c r="A25" s="143" t="s">
        <v>555</v>
      </c>
      <c r="B25" s="108"/>
      <c r="C25" s="108"/>
      <c r="D25" s="108"/>
      <c r="E25" s="108">
        <f>(E2-I2)/I2</f>
        <v>-0.356372530204353</v>
      </c>
      <c r="F25" s="108">
        <f t="shared" ref="F25:BQ25" si="10">(F2-J2)/J2</f>
        <v>0.28454732179191689</v>
      </c>
      <c r="G25" s="108">
        <f t="shared" si="10"/>
        <v>-0.52589746900925982</v>
      </c>
      <c r="H25" s="108">
        <f t="shared" si="10"/>
        <v>-0.59840174199586726</v>
      </c>
      <c r="I25" s="108">
        <f t="shared" si="10"/>
        <v>0.88310281518907185</v>
      </c>
      <c r="J25" s="107">
        <f t="shared" si="10"/>
        <v>0.3451002780395383</v>
      </c>
      <c r="K25" s="107">
        <f t="shared" si="10"/>
        <v>1.1868790225626751</v>
      </c>
      <c r="L25" s="107">
        <f t="shared" si="10"/>
        <v>0.92715201561748106</v>
      </c>
      <c r="M25" s="108">
        <f t="shared" si="10"/>
        <v>-0.69562153132522875</v>
      </c>
      <c r="N25" s="108">
        <f t="shared" si="10"/>
        <v>-0.23256371543780974</v>
      </c>
      <c r="O25" s="108">
        <f t="shared" si="10"/>
        <v>4.0225801114832191E-2</v>
      </c>
      <c r="P25" s="108">
        <f t="shared" si="10"/>
        <v>9.6279270263940689E-2</v>
      </c>
      <c r="Q25" s="108">
        <f t="shared" si="10"/>
        <v>1.8172699374499814</v>
      </c>
      <c r="R25" s="108">
        <f t="shared" si="10"/>
        <v>0.28508692178169787</v>
      </c>
      <c r="S25" s="108">
        <f t="shared" si="10"/>
        <v>0.35673989487832014</v>
      </c>
      <c r="T25" s="108">
        <f t="shared" si="10"/>
        <v>0.23970786900800009</v>
      </c>
      <c r="U25" s="108">
        <f t="shared" si="10"/>
        <v>-0.21555184370982966</v>
      </c>
      <c r="V25" s="107">
        <f t="shared" si="10"/>
        <v>3.2287739099650728E-2</v>
      </c>
      <c r="W25" s="107">
        <f t="shared" si="10"/>
        <v>0.27422415118083904</v>
      </c>
      <c r="X25" s="107">
        <f t="shared" si="10"/>
        <v>1.1659767266725836</v>
      </c>
      <c r="Y25" s="107">
        <f t="shared" si="10"/>
        <v>0.90443322426167616</v>
      </c>
      <c r="Z25" s="107">
        <f t="shared" si="10"/>
        <v>1653.3497836153756</v>
      </c>
      <c r="AA25" s="107">
        <f t="shared" si="10"/>
        <v>1233.482172633217</v>
      </c>
      <c r="AB25" s="107">
        <f t="shared" si="10"/>
        <v>786.34471434225782</v>
      </c>
      <c r="AC25" s="107">
        <f t="shared" si="10"/>
        <v>362.4534617227585</v>
      </c>
      <c r="AD25" s="107">
        <f t="shared" si="10"/>
        <v>0.83431578491797598</v>
      </c>
      <c r="AE25" s="107">
        <f t="shared" si="10"/>
        <v>-0.12439823292130403</v>
      </c>
      <c r="AF25" s="107">
        <f t="shared" si="10"/>
        <v>0.46730877813593752</v>
      </c>
      <c r="AG25" s="107">
        <f t="shared" si="10"/>
        <v>1.8923756509835021</v>
      </c>
      <c r="AH25" s="107">
        <f t="shared" si="10"/>
        <v>0.70381818681543373</v>
      </c>
      <c r="AI25" s="107">
        <f t="shared" si="10"/>
        <v>0.64838274037450028</v>
      </c>
      <c r="AJ25" s="107">
        <f t="shared" si="10"/>
        <v>-0.44180697169069433</v>
      </c>
      <c r="AK25" s="107">
        <f t="shared" si="10"/>
        <v>6.0297688089035878E-2</v>
      </c>
      <c r="AL25" s="107">
        <f t="shared" si="10"/>
        <v>-0.92531229887108757</v>
      </c>
      <c r="AM25" s="107">
        <f t="shared" si="10"/>
        <v>-0.84472275312253597</v>
      </c>
      <c r="AN25" s="107">
        <f t="shared" si="10"/>
        <v>-0.85605227207392043</v>
      </c>
      <c r="AO25" s="107">
        <f t="shared" si="10"/>
        <v>-0.96652637120346119</v>
      </c>
      <c r="AP25" s="107">
        <f t="shared" si="10"/>
        <v>-0.73230015179979591</v>
      </c>
      <c r="AQ25" s="107">
        <f t="shared" si="10"/>
        <v>-0.81239308087900763</v>
      </c>
      <c r="AR25" s="107">
        <f t="shared" si="10"/>
        <v>-0.73419677959360252</v>
      </c>
      <c r="AS25" s="107">
        <f t="shared" si="10"/>
        <v>0.46857879107061667</v>
      </c>
      <c r="AT25" s="107">
        <f t="shared" si="10"/>
        <v>-0.12510713234917731</v>
      </c>
      <c r="AU25" s="107">
        <f t="shared" si="10"/>
        <v>-0.24376250898373758</v>
      </c>
      <c r="AV25" s="107" t="e">
        <f t="shared" si="10"/>
        <v>#DIV/0!</v>
      </c>
      <c r="AW25" s="107">
        <f t="shared" si="10"/>
        <v>-0.29223610613582018</v>
      </c>
      <c r="AX25" s="107">
        <f t="shared" si="10"/>
        <v>-0.17962032888574847</v>
      </c>
      <c r="AY25" s="107">
        <f t="shared" si="10"/>
        <v>1.220018265919627</v>
      </c>
      <c r="AZ25" s="107">
        <f t="shared" si="10"/>
        <v>-1</v>
      </c>
      <c r="BA25" s="107">
        <f t="shared" si="10"/>
        <v>-0.86591412336334594</v>
      </c>
      <c r="BB25" s="107">
        <f t="shared" si="10"/>
        <v>-0.93341931122851651</v>
      </c>
      <c r="BC25" s="107">
        <f t="shared" si="10"/>
        <v>-0.96941089367253408</v>
      </c>
      <c r="BD25" s="107">
        <f t="shared" si="10"/>
        <v>-0.9743253181973992</v>
      </c>
      <c r="BE25" s="107">
        <f t="shared" si="10"/>
        <v>-0.67686775869333626</v>
      </c>
      <c r="BF25" s="107">
        <f t="shared" si="10"/>
        <v>-0.49850001491351359</v>
      </c>
      <c r="BG25" s="107">
        <f t="shared" si="10"/>
        <v>-0.54445509714842222</v>
      </c>
      <c r="BH25" s="107">
        <f t="shared" si="10"/>
        <v>-0.34037278661742387</v>
      </c>
      <c r="BI25" s="107">
        <f t="shared" si="10"/>
        <v>0.29884819317591549</v>
      </c>
      <c r="BJ25" s="107">
        <f t="shared" si="10"/>
        <v>1.1397185726358487</v>
      </c>
      <c r="BK25" s="107">
        <f t="shared" si="10"/>
        <v>0.1973750302046933</v>
      </c>
      <c r="BL25" s="107">
        <f t="shared" si="10"/>
        <v>0.56344580848458714</v>
      </c>
      <c r="BM25" s="107">
        <f t="shared" si="10"/>
        <v>0.23352504708901492</v>
      </c>
      <c r="BN25" s="107">
        <f t="shared" si="10"/>
        <v>3.7889539588565883E-2</v>
      </c>
      <c r="BO25" s="107">
        <f t="shared" si="10"/>
        <v>4.6591999673514719</v>
      </c>
      <c r="BP25" s="107">
        <f t="shared" si="10"/>
        <v>0.91153062162222565</v>
      </c>
      <c r="BQ25" s="107">
        <f t="shared" si="10"/>
        <v>2.1202380405198218</v>
      </c>
      <c r="BR25" s="107">
        <f t="shared" ref="BR25:CK25" si="11">(BR2-BV2)/BV2</f>
        <v>7.3996645710102849</v>
      </c>
      <c r="BS25" s="107">
        <f t="shared" si="11"/>
        <v>1.2154819861196149</v>
      </c>
      <c r="BT25" s="107">
        <f t="shared" si="11"/>
        <v>0.48071703134077726</v>
      </c>
      <c r="BU25" s="107">
        <f t="shared" si="11"/>
        <v>-0.16263819557664214</v>
      </c>
      <c r="BV25" s="107">
        <f t="shared" si="11"/>
        <v>1.7126419853604757</v>
      </c>
      <c r="BW25" s="107">
        <f t="shared" si="11"/>
        <v>2.2448199151791548</v>
      </c>
      <c r="BX25" s="107">
        <f t="shared" si="11"/>
        <v>7.9143663623768248</v>
      </c>
      <c r="BY25" s="107">
        <f t="shared" si="11"/>
        <v>27.477169049223662</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7.7084101344052358E-2</v>
      </c>
      <c r="F26" s="108">
        <f t="shared" ref="F26:BQ26" si="12">F2/F9</f>
        <v>0.10910410448696764</v>
      </c>
      <c r="G26" s="108">
        <f t="shared" si="12"/>
        <v>7.5756625525452745E-2</v>
      </c>
      <c r="H26" s="108">
        <f t="shared" si="12"/>
        <v>7.1728759039656503E-2</v>
      </c>
      <c r="I26" s="108">
        <f t="shared" si="12"/>
        <v>0.13223481347339852</v>
      </c>
      <c r="J26" s="108">
        <f t="shared" si="12"/>
        <v>9.8973338779818731E-2</v>
      </c>
      <c r="K26" s="108">
        <f t="shared" si="12"/>
        <v>0.1533600990329535</v>
      </c>
      <c r="L26" s="108">
        <f t="shared" si="12"/>
        <v>0.21020618456194504</v>
      </c>
      <c r="M26" s="108">
        <f t="shared" si="12"/>
        <v>0.10027706346707549</v>
      </c>
      <c r="N26" s="108">
        <f t="shared" si="12"/>
        <v>9.633905593765793E-2</v>
      </c>
      <c r="O26" s="108">
        <f t="shared" si="12"/>
        <v>9.3942609148273432E-2</v>
      </c>
      <c r="P26" s="108">
        <f t="shared" si="12"/>
        <v>0.12063741887470901</v>
      </c>
      <c r="Q26" s="108">
        <f t="shared" si="12"/>
        <v>0.29977634362526656</v>
      </c>
      <c r="R26" s="108">
        <f t="shared" si="12"/>
        <v>0.18805706338892161</v>
      </c>
      <c r="S26" s="108">
        <f t="shared" si="12"/>
        <v>0.14144303971601674</v>
      </c>
      <c r="T26" s="108">
        <f t="shared" si="12"/>
        <v>0.1693044717355672</v>
      </c>
      <c r="U26" s="108">
        <f t="shared" si="12"/>
        <v>0.18839128090120227</v>
      </c>
      <c r="V26" s="108">
        <f t="shared" si="12"/>
        <v>0.24993472494277746</v>
      </c>
      <c r="W26" s="108">
        <f t="shared" si="12"/>
        <v>0.207233519249098</v>
      </c>
      <c r="X26" s="108">
        <f t="shared" si="12"/>
        <v>0.27728176466704463</v>
      </c>
      <c r="Y26" s="108">
        <f t="shared" si="12"/>
        <v>0.40970669694407047</v>
      </c>
      <c r="Z26" s="108">
        <f t="shared" si="12"/>
        <v>0.32333086420047702</v>
      </c>
      <c r="AA26" s="108">
        <f t="shared" si="12"/>
        <v>0.17658221492874057</v>
      </c>
      <c r="AB26" s="108">
        <f t="shared" si="12"/>
        <v>0.13994019306195413</v>
      </c>
      <c r="AC26" s="108">
        <f t="shared" si="12"/>
        <v>0.24071203529769436</v>
      </c>
      <c r="AD26" s="108">
        <f t="shared" si="12"/>
        <v>-1.1728205324374122E-2</v>
      </c>
      <c r="AE26" s="108">
        <f t="shared" si="12"/>
        <v>-9.1655887499781808E-3</v>
      </c>
      <c r="AF26" s="108">
        <f t="shared" si="12"/>
        <v>-1.188753862594083E-2</v>
      </c>
      <c r="AG26" s="108">
        <f t="shared" si="12"/>
        <v>-4.6120124510502236E-2</v>
      </c>
      <c r="AH26" s="108">
        <f t="shared" si="12"/>
        <v>-6.179244325065422E-3</v>
      </c>
      <c r="AI26" s="108">
        <f t="shared" si="12"/>
        <v>-1.9930471647305669E-2</v>
      </c>
      <c r="AJ26" s="108">
        <f t="shared" si="12"/>
        <v>-1.7072375618496956E-2</v>
      </c>
      <c r="AK26" s="108">
        <f t="shared" si="12"/>
        <v>-3.417968520504347E-2</v>
      </c>
      <c r="AL26" s="108">
        <f t="shared" si="12"/>
        <v>-1.5563579985242512E-2</v>
      </c>
      <c r="AM26" s="108">
        <f t="shared" si="12"/>
        <v>-3.6552401076443954E-2</v>
      </c>
      <c r="AN26" s="108">
        <f t="shared" si="12"/>
        <v>7.2832549571492197E-2</v>
      </c>
      <c r="AO26" s="108">
        <f t="shared" si="12"/>
        <v>8.3402321914075692E-2</v>
      </c>
      <c r="AP26" s="108">
        <f t="shared" si="12"/>
        <v>5.6238076261114697E-2</v>
      </c>
      <c r="AQ26" s="108">
        <f t="shared" si="12"/>
        <v>4.4139092146862166E-2</v>
      </c>
      <c r="AR26" s="108">
        <f t="shared" si="12"/>
        <v>6.8741614859848379E-2</v>
      </c>
      <c r="AS26" s="108">
        <f t="shared" si="12"/>
        <v>0.24959055630246757</v>
      </c>
      <c r="AT26" s="108">
        <f t="shared" si="12"/>
        <v>-5.9344111937225968E-2</v>
      </c>
      <c r="AU26" s="108">
        <f t="shared" si="12"/>
        <v>-7.9697853083293774E-2</v>
      </c>
      <c r="AV26" s="108">
        <f t="shared" si="12"/>
        <v>-0.14814423337771654</v>
      </c>
      <c r="AW26" s="108">
        <f t="shared" si="12"/>
        <v>0.23007810878424056</v>
      </c>
      <c r="AX26" s="108">
        <f t="shared" si="12"/>
        <v>1.9765384240541323E-2</v>
      </c>
      <c r="AY26" s="108">
        <f t="shared" si="12"/>
        <v>2.6039006023229148E-2</v>
      </c>
      <c r="AZ26" s="108" t="e">
        <f t="shared" si="12"/>
        <v>#DIV/0!</v>
      </c>
      <c r="BA26" s="108">
        <f t="shared" si="12"/>
        <v>3.3712973324296715E-2</v>
      </c>
      <c r="BB26" s="108">
        <f t="shared" si="12"/>
        <v>1.9194608612547129E-2</v>
      </c>
      <c r="BC26" s="108">
        <f t="shared" si="12"/>
        <v>9.2948402533429356E-3</v>
      </c>
      <c r="BD26" s="108">
        <f t="shared" si="12"/>
        <v>1.0510100940482088E-2</v>
      </c>
      <c r="BE26" s="108">
        <f t="shared" si="12"/>
        <v>0.19657256461969855</v>
      </c>
      <c r="BF26" s="108">
        <f t="shared" si="12"/>
        <v>0.2570055397155841</v>
      </c>
      <c r="BG26" s="108">
        <f t="shared" si="12"/>
        <v>0.26985719985623241</v>
      </c>
      <c r="BH26" s="108">
        <f t="shared" si="12"/>
        <v>0.39671296217716051</v>
      </c>
      <c r="BI26" s="108">
        <f t="shared" si="12"/>
        <v>0.65132888471602335</v>
      </c>
      <c r="BJ26" s="108">
        <f t="shared" si="12"/>
        <v>0.38482066048229174</v>
      </c>
      <c r="BK26" s="108">
        <f t="shared" si="12"/>
        <v>0.48489293421230306</v>
      </c>
      <c r="BL26" s="108">
        <f t="shared" si="12"/>
        <v>0.48400093897959334</v>
      </c>
      <c r="BM26" s="108">
        <f t="shared" si="12"/>
        <v>0.49360662026277391</v>
      </c>
      <c r="BN26" s="108">
        <f t="shared" si="12"/>
        <v>0.22741049883057679</v>
      </c>
      <c r="BO26" s="108">
        <f t="shared" si="12"/>
        <v>0.41286191224555369</v>
      </c>
      <c r="BP26" s="108">
        <f t="shared" si="12"/>
        <v>0.34936121457861485</v>
      </c>
      <c r="BQ26" s="108">
        <f t="shared" si="12"/>
        <v>0.46029545354281587</v>
      </c>
      <c r="BR26" s="108">
        <f t="shared" ref="BR26:CK26" si="13">BR2/BR9</f>
        <v>0.38898527801983646</v>
      </c>
      <c r="BS26" s="108">
        <f t="shared" si="13"/>
        <v>0.14076415125011685</v>
      </c>
      <c r="BT26" s="108">
        <f t="shared" si="13"/>
        <v>0.30352630980005468</v>
      </c>
      <c r="BU26" s="108">
        <f t="shared" si="13"/>
        <v>0.22458200038741361</v>
      </c>
      <c r="BV26" s="108">
        <f t="shared" si="13"/>
        <v>7.3294567404222827E-2</v>
      </c>
      <c r="BW26" s="108">
        <f t="shared" si="13"/>
        <v>0.12292579899070852</v>
      </c>
      <c r="BX26" s="108">
        <f t="shared" si="13"/>
        <v>0.43631820339773764</v>
      </c>
      <c r="BY26" s="108">
        <f t="shared" si="13"/>
        <v>0.4781992010327904</v>
      </c>
      <c r="BZ26" s="108">
        <f t="shared" si="13"/>
        <v>7.3113130308058896E-2</v>
      </c>
      <c r="CA26" s="108">
        <f t="shared" si="13"/>
        <v>9.0881390186127287E-2</v>
      </c>
      <c r="CB26" s="108">
        <f t="shared" si="13"/>
        <v>8.593537002782406E-2</v>
      </c>
      <c r="CC26" s="108">
        <f t="shared" si="13"/>
        <v>3.2624394426444145E-2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-0.10893557988615041</v>
      </c>
      <c r="F27" s="109">
        <f t="shared" ref="F27:BQ27" si="14">(F3-J3)/J3</f>
        <v>-1.79074438807823E-2</v>
      </c>
      <c r="G27" s="109">
        <f t="shared" si="14"/>
        <v>-2.4535245040458984E-2</v>
      </c>
      <c r="H27" s="109">
        <f t="shared" si="14"/>
        <v>0.22632054266100537</v>
      </c>
      <c r="I27" s="109">
        <f t="shared" si="14"/>
        <v>0.22675683063382507</v>
      </c>
      <c r="J27" s="109">
        <f t="shared" si="14"/>
        <v>0.22577585615236756</v>
      </c>
      <c r="K27" s="109">
        <f t="shared" si="14"/>
        <v>0.13428701851238845</v>
      </c>
      <c r="L27" s="109">
        <f t="shared" si="14"/>
        <v>-8.1249187868304248E-2</v>
      </c>
      <c r="M27" s="109">
        <f t="shared" si="14"/>
        <v>-8.126250703064368E-2</v>
      </c>
      <c r="N27" s="109">
        <f t="shared" si="14"/>
        <v>-7.379526413910871E-2</v>
      </c>
      <c r="O27" s="109">
        <f t="shared" si="14"/>
        <v>-0.27218847261623419</v>
      </c>
      <c r="P27" s="109">
        <f t="shared" si="14"/>
        <v>-0.26836425206427261</v>
      </c>
      <c r="Q27" s="109">
        <f t="shared" si="14"/>
        <v>-0.2677291136876821</v>
      </c>
      <c r="R27" s="109">
        <f t="shared" si="14"/>
        <v>-0.27672072638824191</v>
      </c>
      <c r="S27" s="109">
        <f t="shared" si="14"/>
        <v>1.2294555513833407</v>
      </c>
      <c r="T27" s="109">
        <f t="shared" si="14"/>
        <v>1.2176841777326124</v>
      </c>
      <c r="U27" s="109">
        <f t="shared" si="14"/>
        <v>1.5178256012937867</v>
      </c>
      <c r="V27" s="109">
        <f t="shared" si="14"/>
        <v>1.4994847425146769</v>
      </c>
      <c r="W27" s="109">
        <f t="shared" si="14"/>
        <v>0.14677354241080684</v>
      </c>
      <c r="X27" s="109">
        <f t="shared" si="14"/>
        <v>0.27997251686046765</v>
      </c>
      <c r="Y27" s="109">
        <f t="shared" si="14"/>
        <v>0.12260438904264802</v>
      </c>
      <c r="Z27" s="109">
        <f t="shared" si="14"/>
        <v>3.928474541500711</v>
      </c>
      <c r="AA27" s="109">
        <f t="shared" si="14"/>
        <v>3.7929131297570802</v>
      </c>
      <c r="AB27" s="109">
        <f t="shared" si="14"/>
        <v>3.2993431763779086</v>
      </c>
      <c r="AC27" s="109">
        <f t="shared" si="14"/>
        <v>3.3150594733001446</v>
      </c>
      <c r="AD27" s="109">
        <f t="shared" si="14"/>
        <v>-9.8742312175481263E-5</v>
      </c>
      <c r="AE27" s="109">
        <f t="shared" si="14"/>
        <v>-9.8742312175481263E-5</v>
      </c>
      <c r="AF27" s="109">
        <f t="shared" si="14"/>
        <v>-9.8742312175481263E-5</v>
      </c>
      <c r="AG27" s="109">
        <f t="shared" si="14"/>
        <v>-9.8742312175481263E-5</v>
      </c>
      <c r="AH27" s="109">
        <f t="shared" si="14"/>
        <v>-2.5867280060791517E-2</v>
      </c>
      <c r="AI27" s="109">
        <f t="shared" si="14"/>
        <v>-2.6233747840900021E-2</v>
      </c>
      <c r="AJ27" s="109">
        <f t="shared" si="14"/>
        <v>-2.6237841456432095E-2</v>
      </c>
      <c r="AK27" s="109">
        <f t="shared" si="14"/>
        <v>-2.6237841456432095E-2</v>
      </c>
      <c r="AL27" s="109">
        <f t="shared" si="14"/>
        <v>-4.652752452486671E-3</v>
      </c>
      <c r="AM27" s="109">
        <f t="shared" si="14"/>
        <v>-4.2781628675251154E-3</v>
      </c>
      <c r="AN27" s="109">
        <f t="shared" si="14"/>
        <v>-7.9785992575986658E-3</v>
      </c>
      <c r="AO27" s="109">
        <f t="shared" si="14"/>
        <v>-7.9785992575986658E-3</v>
      </c>
      <c r="AP27" s="109">
        <f t="shared" si="14"/>
        <v>-8.9635195908727788E-2</v>
      </c>
      <c r="AQ27" s="109">
        <f t="shared" si="14"/>
        <v>-8.9635195908727788E-2</v>
      </c>
      <c r="AR27" s="109">
        <f t="shared" si="14"/>
        <v>-8.6693702761787686E-2</v>
      </c>
      <c r="AS27" s="109">
        <f t="shared" si="14"/>
        <v>-3.2921392273716085E-2</v>
      </c>
      <c r="AT27" s="109">
        <f t="shared" si="14"/>
        <v>0.64162250425798728</v>
      </c>
      <c r="AU27" s="109">
        <f t="shared" si="14"/>
        <v>1.1225017767936973</v>
      </c>
      <c r="AV27" s="109" t="e">
        <f t="shared" si="14"/>
        <v>#DIV/0!</v>
      </c>
      <c r="AW27" s="109">
        <f t="shared" si="14"/>
        <v>1.0136787190840419</v>
      </c>
      <c r="AX27" s="109">
        <f t="shared" si="14"/>
        <v>0.47134490327215317</v>
      </c>
      <c r="AY27" s="109">
        <f t="shared" si="14"/>
        <v>0.13750259401790343</v>
      </c>
      <c r="AZ27" s="109">
        <f t="shared" si="14"/>
        <v>-1</v>
      </c>
      <c r="BA27" s="109">
        <f t="shared" si="14"/>
        <v>8.765616263164952E-2</v>
      </c>
      <c r="BB27" s="109">
        <f t="shared" si="14"/>
        <v>-3.2293193895918795E-2</v>
      </c>
      <c r="BC27" s="109">
        <f t="shared" si="14"/>
        <v>-3.5593453976892592E-2</v>
      </c>
      <c r="BD27" s="109">
        <f t="shared" si="14"/>
        <v>-1.2177437183970598E-2</v>
      </c>
      <c r="BE27" s="109">
        <f t="shared" si="14"/>
        <v>2.3867050127683812E-3</v>
      </c>
      <c r="BF27" s="109">
        <f t="shared" si="14"/>
        <v>51.114236606023951</v>
      </c>
      <c r="BG27" s="109">
        <f t="shared" si="14"/>
        <v>51.315135491237839</v>
      </c>
      <c r="BH27" s="109">
        <f t="shared" si="14"/>
        <v>45.795750630109552</v>
      </c>
      <c r="BI27" s="109">
        <f t="shared" si="14"/>
        <v>45.871305952672643</v>
      </c>
      <c r="BJ27" s="109">
        <f t="shared" si="14"/>
        <v>-0.19159362308663488</v>
      </c>
      <c r="BK27" s="109">
        <f t="shared" si="14"/>
        <v>-0.19159362308663488</v>
      </c>
      <c r="BL27" s="109">
        <f t="shared" si="14"/>
        <v>-0.17484411440912573</v>
      </c>
      <c r="BM27" s="109">
        <f t="shared" si="14"/>
        <v>-0.17484411440912573</v>
      </c>
      <c r="BN27" s="109">
        <f t="shared" si="14"/>
        <v>-0.66326577882825399</v>
      </c>
      <c r="BO27" s="109">
        <f t="shared" si="14"/>
        <v>-0.98607218727181867</v>
      </c>
      <c r="BP27" s="109">
        <f t="shared" si="14"/>
        <v>-0.97995222919776248</v>
      </c>
      <c r="BQ27" s="109">
        <f t="shared" si="14"/>
        <v>-0.97522027007314738</v>
      </c>
      <c r="BR27" s="109">
        <f t="shared" ref="BR27:CL27" si="15">(BR3-BV3)/BV3</f>
        <v>-0.93149399425220358</v>
      </c>
      <c r="BS27" s="109">
        <f t="shared" si="15"/>
        <v>0.70119278243647509</v>
      </c>
      <c r="BT27" s="109">
        <f t="shared" si="15"/>
        <v>1.7267664955200877</v>
      </c>
      <c r="BU27" s="109">
        <f t="shared" si="15"/>
        <v>1.1921751205900712</v>
      </c>
      <c r="BV27" s="109">
        <f t="shared" si="15"/>
        <v>1.6043813774029141</v>
      </c>
      <c r="BW27" s="109">
        <f t="shared" si="15"/>
        <v>1.4774895693806418</v>
      </c>
      <c r="BX27" s="109">
        <f t="shared" si="15"/>
        <v>26.955573821517941</v>
      </c>
      <c r="BY27" s="109">
        <f t="shared" si="15"/>
        <v>26.395271643501079</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3.3620304383950646E-2</v>
      </c>
      <c r="F28" s="109">
        <f t="shared" ref="F28:BQ28" si="16">F3/F9</f>
        <v>3.5975476149513255E-2</v>
      </c>
      <c r="G28" s="109">
        <f t="shared" si="16"/>
        <v>4.0866520807589013E-2</v>
      </c>
      <c r="H28" s="109">
        <f t="shared" si="16"/>
        <v>4.1852227232995615E-2</v>
      </c>
      <c r="I28" s="109">
        <f t="shared" si="16"/>
        <v>4.1658929218505635E-2</v>
      </c>
      <c r="J28" s="109">
        <f t="shared" si="16"/>
        <v>4.2685598143311375E-2</v>
      </c>
      <c r="K28" s="109">
        <f t="shared" si="16"/>
        <v>4.0208707761795866E-2</v>
      </c>
      <c r="L28" s="109">
        <f t="shared" si="16"/>
        <v>4.0165998129183283E-2</v>
      </c>
      <c r="M28" s="109">
        <f t="shared" si="16"/>
        <v>4.84930445303043E-2</v>
      </c>
      <c r="N28" s="109">
        <f t="shared" si="16"/>
        <v>4.5594151310316383E-2</v>
      </c>
      <c r="O28" s="109">
        <f t="shared" si="16"/>
        <v>4.7486717531876776E-2</v>
      </c>
      <c r="P28" s="109">
        <f t="shared" si="16"/>
        <v>4.8351878174355559E-2</v>
      </c>
      <c r="Q28" s="109">
        <f t="shared" si="16"/>
        <v>4.8028352530443325E-2</v>
      </c>
      <c r="R28" s="109">
        <f t="shared" si="16"/>
        <v>7.3744855955083344E-2</v>
      </c>
      <c r="S28" s="109">
        <f t="shared" si="16"/>
        <v>0.10218797785701052</v>
      </c>
      <c r="T28" s="109">
        <f t="shared" si="16"/>
        <v>0.10167777307447717</v>
      </c>
      <c r="U28" s="109">
        <f t="shared" si="16"/>
        <v>0.11612288678219593</v>
      </c>
      <c r="V28" s="109">
        <f t="shared" si="16"/>
        <v>0.17413864659743275</v>
      </c>
      <c r="W28" s="109">
        <f t="shared" si="16"/>
        <v>9.1112088912436051E-2</v>
      </c>
      <c r="X28" s="109">
        <f t="shared" si="16"/>
        <v>9.3089043095606644E-2</v>
      </c>
      <c r="Y28" s="109">
        <f t="shared" si="16"/>
        <v>7.8680785879582049E-2</v>
      </c>
      <c r="Z28" s="109">
        <f t="shared" si="16"/>
        <v>9.3039208560446271E-2</v>
      </c>
      <c r="AA28" s="109">
        <f t="shared" si="16"/>
        <v>8.6264305283931586E-2</v>
      </c>
      <c r="AB28" s="109">
        <f t="shared" si="16"/>
        <v>7.950105036240282E-2</v>
      </c>
      <c r="AC28" s="109">
        <f t="shared" si="16"/>
        <v>7.8421012432465784E-2</v>
      </c>
      <c r="AD28" s="109">
        <f t="shared" si="16"/>
        <v>-1.132831264294951</v>
      </c>
      <c r="AE28" s="109">
        <f t="shared" si="16"/>
        <v>-1.1532668300628028</v>
      </c>
      <c r="AF28" s="109">
        <f t="shared" si="16"/>
        <v>-1.2367591811366192</v>
      </c>
      <c r="AG28" s="109">
        <f t="shared" si="16"/>
        <v>-1.2655728071370902</v>
      </c>
      <c r="AH28" s="109">
        <f t="shared" si="16"/>
        <v>-1.0949291597940767</v>
      </c>
      <c r="AI28" s="109">
        <f t="shared" si="16"/>
        <v>-2.1960211832512067</v>
      </c>
      <c r="AJ28" s="109">
        <f t="shared" si="16"/>
        <v>-2.6064629763981411</v>
      </c>
      <c r="AK28" s="109">
        <f t="shared" si="16"/>
        <v>-2.7130781539754834</v>
      </c>
      <c r="AL28" s="109">
        <f t="shared" si="16"/>
        <v>-4.8235332337706369</v>
      </c>
      <c r="AM28" s="109">
        <f t="shared" si="16"/>
        <v>-6.817704893028087</v>
      </c>
      <c r="AN28" s="109">
        <f t="shared" si="16"/>
        <v>6.3740377421508061</v>
      </c>
      <c r="AO28" s="109">
        <f t="shared" si="16"/>
        <v>7.208539929685978</v>
      </c>
      <c r="AP28" s="109">
        <f t="shared" si="16"/>
        <v>1.3078583269327755</v>
      </c>
      <c r="AQ28" s="109">
        <f t="shared" si="16"/>
        <v>1.2838535169638521</v>
      </c>
      <c r="AR28" s="109">
        <f t="shared" si="16"/>
        <v>0.87295653600350143</v>
      </c>
      <c r="AS28" s="109">
        <f t="shared" si="16"/>
        <v>0.72791232089187885</v>
      </c>
      <c r="AT28" s="109">
        <f t="shared" si="16"/>
        <v>-0.40582663460360296</v>
      </c>
      <c r="AU28" s="109">
        <f t="shared" si="16"/>
        <v>-0.47771853718079565</v>
      </c>
      <c r="AV28" s="109">
        <f t="shared" si="16"/>
        <v>-0.54752181556189461</v>
      </c>
      <c r="AW28" s="109">
        <f t="shared" si="16"/>
        <v>1.0189706985399452</v>
      </c>
      <c r="AX28" s="109">
        <f t="shared" si="16"/>
        <v>7.2036026961797728E-2</v>
      </c>
      <c r="AY28" s="109">
        <f t="shared" si="16"/>
        <v>5.561091168382637E-2</v>
      </c>
      <c r="AZ28" s="109" t="e">
        <f t="shared" si="16"/>
        <v>#DIV/0!</v>
      </c>
      <c r="BA28" s="109">
        <f t="shared" si="16"/>
        <v>5.2478531884246456E-2</v>
      </c>
      <c r="BB28" s="109">
        <f t="shared" si="16"/>
        <v>3.9005347591567117E-2</v>
      </c>
      <c r="BC28" s="109">
        <f t="shared" si="16"/>
        <v>3.8741969515738113E-2</v>
      </c>
      <c r="BD28" s="109">
        <f t="shared" si="16"/>
        <v>3.7757291693784195E-2</v>
      </c>
      <c r="BE28" s="109">
        <f t="shared" si="16"/>
        <v>3.7722366879266993E-2</v>
      </c>
      <c r="BF28" s="109">
        <f t="shared" si="16"/>
        <v>3.593286650606662E-2</v>
      </c>
      <c r="BG28" s="109">
        <f t="shared" si="16"/>
        <v>3.5676349855232839E-2</v>
      </c>
      <c r="BH28" s="109">
        <f t="shared" si="16"/>
        <v>3.7042173969971268E-2</v>
      </c>
      <c r="BI28" s="109">
        <f t="shared" si="16"/>
        <v>4.0292235565300059E-2</v>
      </c>
      <c r="BJ28" s="109">
        <f t="shared" si="16"/>
        <v>5.1775261860931147E-4</v>
      </c>
      <c r="BK28" s="109">
        <f t="shared" si="16"/>
        <v>5.5820805274629868E-4</v>
      </c>
      <c r="BL28" s="109">
        <f t="shared" si="16"/>
        <v>6.3702786086919881E-4</v>
      </c>
      <c r="BM28" s="109">
        <f t="shared" si="16"/>
        <v>8.461616575685041E-4</v>
      </c>
      <c r="BN28" s="109">
        <f t="shared" si="16"/>
        <v>8.0984398321035762E-4</v>
      </c>
      <c r="BO28" s="109">
        <f t="shared" si="16"/>
        <v>7.039722305640509E-4</v>
      </c>
      <c r="BP28" s="109">
        <f t="shared" si="16"/>
        <v>8.7123184713795612E-4</v>
      </c>
      <c r="BQ28" s="109">
        <f t="shared" si="16"/>
        <v>1.1795626764783051E-3</v>
      </c>
      <c r="BR28" s="109">
        <f t="shared" ref="BR28:CK28" si="17">BR3/BR9</f>
        <v>4.2696069262190377E-3</v>
      </c>
      <c r="BS28" s="109">
        <f t="shared" si="17"/>
        <v>9.752476119756856E-2</v>
      </c>
      <c r="BT28" s="109">
        <f t="shared" si="17"/>
        <v>7.2172303442180549E-2</v>
      </c>
      <c r="BU28" s="109">
        <f t="shared" si="17"/>
        <v>7.2468695106989542E-2</v>
      </c>
      <c r="BV28" s="109">
        <f t="shared" si="17"/>
        <v>9.8641532803026649E-2</v>
      </c>
      <c r="BW28" s="109">
        <f t="shared" si="17"/>
        <v>0.11091251697155907</v>
      </c>
      <c r="BX28" s="109">
        <f t="shared" si="17"/>
        <v>5.6338032953138488E-2</v>
      </c>
      <c r="BY28" s="109">
        <f t="shared" si="17"/>
        <v>5.8941643880596334E-2</v>
      </c>
      <c r="BZ28" s="109">
        <f t="shared" si="17"/>
        <v>0.10248759518913129</v>
      </c>
      <c r="CA28" s="109">
        <f t="shared" si="17"/>
        <v>0.10739677667924835</v>
      </c>
      <c r="CB28" s="109">
        <f t="shared" si="17"/>
        <v>3.5382813729682543E-3</v>
      </c>
      <c r="CC28" s="109">
        <f t="shared" si="17"/>
        <v>4.1800074830911594E-3</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0.26010385161078198</v>
      </c>
      <c r="F29" s="108">
        <f t="shared" ref="F29:BQ29" si="18">(F4-J4)/J4</f>
        <v>0.2107259730897971</v>
      </c>
      <c r="G29" s="108">
        <f t="shared" si="18"/>
        <v>7.3208122866765493E-2</v>
      </c>
      <c r="H29" s="108">
        <f t="shared" si="18"/>
        <v>0.15981602722870777</v>
      </c>
      <c r="I29" s="108">
        <f t="shared" si="18"/>
        <v>0.14087559088923948</v>
      </c>
      <c r="J29" s="108">
        <f t="shared" si="18"/>
        <v>7.9361099733097684E-2</v>
      </c>
      <c r="K29" s="108">
        <f t="shared" si="18"/>
        <v>2.9431743870521509E-2</v>
      </c>
      <c r="L29" s="108">
        <f t="shared" si="18"/>
        <v>-1.9867084600399374E-3</v>
      </c>
      <c r="M29" s="108">
        <f t="shared" si="18"/>
        <v>0.1766237687737828</v>
      </c>
      <c r="N29" s="108">
        <f t="shared" si="18"/>
        <v>0.76017197054104668</v>
      </c>
      <c r="O29" s="108">
        <f t="shared" si="18"/>
        <v>0.8022995135384301</v>
      </c>
      <c r="P29" s="108">
        <f t="shared" si="18"/>
        <v>0.77205652709197414</v>
      </c>
      <c r="Q29" s="108">
        <f t="shared" si="18"/>
        <v>0.67438454052428765</v>
      </c>
      <c r="R29" s="108">
        <f t="shared" si="18"/>
        <v>1.2967657467827427</v>
      </c>
      <c r="S29" s="108">
        <f t="shared" si="18"/>
        <v>1.2288059003468794</v>
      </c>
      <c r="T29" s="108">
        <f t="shared" si="18"/>
        <v>1.4780912771157744</v>
      </c>
      <c r="U29" s="108">
        <f t="shared" si="18"/>
        <v>1.4642496856026106</v>
      </c>
      <c r="V29" s="108">
        <f t="shared" si="18"/>
        <v>0.30498548671085984</v>
      </c>
      <c r="W29" s="108">
        <f t="shared" si="18"/>
        <v>7.6266790518835406E-2</v>
      </c>
      <c r="X29" s="108">
        <f t="shared" si="18"/>
        <v>-7.8012420769410437E-2</v>
      </c>
      <c r="Y29" s="108">
        <f t="shared" si="18"/>
        <v>-0.12708378244378746</v>
      </c>
      <c r="Z29" s="108">
        <f t="shared" si="18"/>
        <v>-14.036425805624932</v>
      </c>
      <c r="AA29" s="108">
        <f t="shared" si="18"/>
        <v>-17.726753985855318</v>
      </c>
      <c r="AB29" s="108">
        <f t="shared" si="18"/>
        <v>-18.418185263419179</v>
      </c>
      <c r="AC29" s="108">
        <f t="shared" si="18"/>
        <v>-16.262350047122201</v>
      </c>
      <c r="AD29" s="108">
        <f t="shared" si="18"/>
        <v>-2.2098577845100921E-2</v>
      </c>
      <c r="AE29" s="108">
        <f t="shared" si="18"/>
        <v>0.21770488010632577</v>
      </c>
      <c r="AF29" s="108">
        <f t="shared" si="18"/>
        <v>0.23695255781919386</v>
      </c>
      <c r="AG29" s="108">
        <f t="shared" si="18"/>
        <v>0.24759017793027907</v>
      </c>
      <c r="AH29" s="108">
        <f t="shared" si="18"/>
        <v>0.41653232541304336</v>
      </c>
      <c r="AI29" s="108">
        <f t="shared" si="18"/>
        <v>0.17136733700700357</v>
      </c>
      <c r="AJ29" s="108">
        <f t="shared" si="18"/>
        <v>0.393610888396001</v>
      </c>
      <c r="AK29" s="108">
        <f t="shared" si="18"/>
        <v>0.36301879971812662</v>
      </c>
      <c r="AL29" s="108">
        <f t="shared" si="18"/>
        <v>1.2975340597540475</v>
      </c>
      <c r="AM29" s="108">
        <f t="shared" si="18"/>
        <v>1.2528464355197257</v>
      </c>
      <c r="AN29" s="108">
        <f t="shared" si="18"/>
        <v>2.3300545812549469</v>
      </c>
      <c r="AO29" s="108">
        <f t="shared" si="18"/>
        <v>2.0268992845889158</v>
      </c>
      <c r="AP29" s="108">
        <f t="shared" si="18"/>
        <v>-0.85406184538883345</v>
      </c>
      <c r="AQ29" s="108">
        <f t="shared" si="18"/>
        <v>-0.84287520740367372</v>
      </c>
      <c r="AR29" s="108">
        <f t="shared" si="18"/>
        <v>-0.91056184104081528</v>
      </c>
      <c r="AS29" s="108">
        <f t="shared" si="18"/>
        <v>-0.44965190206713462</v>
      </c>
      <c r="AT29" s="108">
        <f t="shared" si="18"/>
        <v>-1.5735175051429702</v>
      </c>
      <c r="AU29" s="108">
        <f t="shared" si="18"/>
        <v>-1.51824192387728</v>
      </c>
      <c r="AV29" s="108" t="e">
        <f t="shared" si="18"/>
        <v>#DIV/0!</v>
      </c>
      <c r="AW29" s="108">
        <f t="shared" si="18"/>
        <v>-1.0863735418238478</v>
      </c>
      <c r="AX29" s="108">
        <f t="shared" si="18"/>
        <v>-0.22611223420407278</v>
      </c>
      <c r="AY29" s="108">
        <f t="shared" si="18"/>
        <v>-0.22972461702842681</v>
      </c>
      <c r="AZ29" s="108">
        <f t="shared" si="18"/>
        <v>-1</v>
      </c>
      <c r="BA29" s="108">
        <f t="shared" si="18"/>
        <v>-4.2740200847555067E-2</v>
      </c>
      <c r="BB29" s="108">
        <f t="shared" si="18"/>
        <v>0.21789466242374739</v>
      </c>
      <c r="BC29" s="108">
        <f t="shared" si="18"/>
        <v>0.25140937053737233</v>
      </c>
      <c r="BD29" s="108">
        <f t="shared" si="18"/>
        <v>0.73757831279146702</v>
      </c>
      <c r="BE29" s="108">
        <f t="shared" si="18"/>
        <v>2.2930156744148373</v>
      </c>
      <c r="BF29" s="108">
        <f t="shared" si="18"/>
        <v>-0.13624571330460428</v>
      </c>
      <c r="BG29" s="108">
        <f t="shared" si="18"/>
        <v>0.14043536201058518</v>
      </c>
      <c r="BH29" s="108">
        <f t="shared" si="18"/>
        <v>-0.10981789852964283</v>
      </c>
      <c r="BI29" s="108">
        <f t="shared" si="18"/>
        <v>-0.45797722429174481</v>
      </c>
      <c r="BJ29" s="108">
        <f t="shared" si="18"/>
        <v>3.0100607821234894E-2</v>
      </c>
      <c r="BK29" s="108">
        <f t="shared" si="18"/>
        <v>-9.68442300395808E-2</v>
      </c>
      <c r="BL29" s="108">
        <f t="shared" si="18"/>
        <v>-0.10184488526953815</v>
      </c>
      <c r="BM29" s="108">
        <f t="shared" si="18"/>
        <v>0.13988371323302384</v>
      </c>
      <c r="BN29" s="108">
        <f t="shared" si="18"/>
        <v>1.8072877583406097</v>
      </c>
      <c r="BO29" s="108">
        <f t="shared" si="18"/>
        <v>0.84275522530295877</v>
      </c>
      <c r="BP29" s="108">
        <f t="shared" si="18"/>
        <v>1.2579882372987359</v>
      </c>
      <c r="BQ29" s="108">
        <f t="shared" si="18"/>
        <v>0.63070086532540648</v>
      </c>
      <c r="BR29" s="108">
        <f t="shared" ref="BR29:CK29" si="19">(BR4-BV4)/BV4</f>
        <v>0.50890110328137517</v>
      </c>
      <c r="BS29" s="108">
        <f t="shared" si="19"/>
        <v>2.0296631232417091</v>
      </c>
      <c r="BT29" s="108">
        <f t="shared" si="19"/>
        <v>1.7724992775320658</v>
      </c>
      <c r="BU29" s="108">
        <f t="shared" si="19"/>
        <v>1.6678207471462787</v>
      </c>
      <c r="BV29" s="108">
        <f t="shared" si="19"/>
        <v>1.3978036555056286</v>
      </c>
      <c r="BW29" s="108">
        <f t="shared" si="19"/>
        <v>0.7577699797982862</v>
      </c>
      <c r="BX29" s="108">
        <f t="shared" si="19"/>
        <v>0.25088316344180339</v>
      </c>
      <c r="BY29" s="108">
        <f t="shared" si="19"/>
        <v>0.33584983389110301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-2.3300368328278858E-3</v>
      </c>
      <c r="F30" s="108">
        <f t="shared" ref="F30:BQ30" si="20">(F5-J5)/J5</f>
        <v>-7.0455866034841331E-4</v>
      </c>
      <c r="G30" s="108">
        <f t="shared" si="20"/>
        <v>-0.17063653560806463</v>
      </c>
      <c r="H30" s="108">
        <f t="shared" si="20"/>
        <v>-0.13777216817763249</v>
      </c>
      <c r="I30" s="108">
        <f t="shared" si="20"/>
        <v>-0.17893996123163874</v>
      </c>
      <c r="J30" s="108">
        <f t="shared" si="20"/>
        <v>-8.128478504615895E-2</v>
      </c>
      <c r="K30" s="108">
        <f t="shared" si="20"/>
        <v>-2.2177805470234946E-3</v>
      </c>
      <c r="L30" s="108">
        <f t="shared" si="20"/>
        <v>6.3869734023297001E-2</v>
      </c>
      <c r="M30" s="108">
        <f t="shared" si="20"/>
        <v>0.44034186509386491</v>
      </c>
      <c r="N30" s="108">
        <f t="shared" si="20"/>
        <v>0.50772719618809081</v>
      </c>
      <c r="O30" s="108">
        <f t="shared" si="20"/>
        <v>0.48866459737392043</v>
      </c>
      <c r="P30" s="108">
        <f t="shared" si="20"/>
        <v>0.31651184109190433</v>
      </c>
      <c r="Q30" s="108">
        <f t="shared" si="20"/>
        <v>0.30238426211358865</v>
      </c>
      <c r="R30" s="108">
        <f t="shared" si="20"/>
        <v>0.39614619916700877</v>
      </c>
      <c r="S30" s="108">
        <f t="shared" si="20"/>
        <v>0.43251199886380748</v>
      </c>
      <c r="T30" s="108">
        <f t="shared" si="20"/>
        <v>0.8092643765245805</v>
      </c>
      <c r="U30" s="108">
        <f t="shared" si="20"/>
        <v>0.71491224193132463</v>
      </c>
      <c r="V30" s="108">
        <f t="shared" si="20"/>
        <v>0.26529424888192799</v>
      </c>
      <c r="W30" s="108">
        <f t="shared" si="20"/>
        <v>0.31273033004624029</v>
      </c>
      <c r="X30" s="108">
        <f t="shared" si="20"/>
        <v>7.4738114631452732E-2</v>
      </c>
      <c r="Y30" s="108">
        <f t="shared" si="20"/>
        <v>-8.678345771277178E-3</v>
      </c>
      <c r="Z30" s="108">
        <f t="shared" si="20"/>
        <v>37.621579223244488</v>
      </c>
      <c r="AA30" s="108">
        <f t="shared" si="20"/>
        <v>35.463326725291651</v>
      </c>
      <c r="AB30" s="108">
        <f t="shared" si="20"/>
        <v>33.847889656189757</v>
      </c>
      <c r="AC30" s="108">
        <f t="shared" si="20"/>
        <v>32.973866258808364</v>
      </c>
      <c r="AD30" s="108">
        <f t="shared" si="20"/>
        <v>8.6793074023770081E-2</v>
      </c>
      <c r="AE30" s="108">
        <f t="shared" si="20"/>
        <v>-0.10282186096760183</v>
      </c>
      <c r="AF30" s="108">
        <f t="shared" si="20"/>
        <v>-0.1121469800967838</v>
      </c>
      <c r="AG30" s="108">
        <f t="shared" si="20"/>
        <v>-0.1182100210314326</v>
      </c>
      <c r="AH30" s="108">
        <f t="shared" si="20"/>
        <v>-0.2043968438667649</v>
      </c>
      <c r="AI30" s="108">
        <f t="shared" si="20"/>
        <v>-9.1229978332436415E-2</v>
      </c>
      <c r="AJ30" s="108">
        <f t="shared" si="20"/>
        <v>-7.2982578734962278E-2</v>
      </c>
      <c r="AK30" s="108">
        <f t="shared" si="20"/>
        <v>-7.2745376858968425E-2</v>
      </c>
      <c r="AL30" s="108">
        <f t="shared" si="20"/>
        <v>-0.10443437889621504</v>
      </c>
      <c r="AM30" s="108">
        <f t="shared" si="20"/>
        <v>-0.20386711757297873</v>
      </c>
      <c r="AN30" s="108">
        <f t="shared" si="20"/>
        <v>-0.25729840906847112</v>
      </c>
      <c r="AO30" s="108">
        <f t="shared" si="20"/>
        <v>-0.27401844146696169</v>
      </c>
      <c r="AP30" s="108">
        <f t="shared" si="20"/>
        <v>-0.16389955106431489</v>
      </c>
      <c r="AQ30" s="108">
        <f t="shared" si="20"/>
        <v>-8.1865038712335456E-2</v>
      </c>
      <c r="AR30" s="108">
        <f t="shared" si="20"/>
        <v>0.15105098974421144</v>
      </c>
      <c r="AS30" s="108">
        <f t="shared" si="20"/>
        <v>6.2601369694612399E-2</v>
      </c>
      <c r="AT30" s="108">
        <f t="shared" si="20"/>
        <v>-0.69142073872471799</v>
      </c>
      <c r="AU30" s="108">
        <f t="shared" si="20"/>
        <v>-0.67465444709355693</v>
      </c>
      <c r="AV30" s="108" t="e">
        <f t="shared" si="20"/>
        <v>#DIV/0!</v>
      </c>
      <c r="AW30" s="108">
        <f t="shared" si="20"/>
        <v>-0.69793029252997629</v>
      </c>
      <c r="AX30" s="108">
        <f t="shared" si="20"/>
        <v>-0.36980148395943108</v>
      </c>
      <c r="AY30" s="108">
        <f t="shared" si="20"/>
        <v>-0.39128559531893592</v>
      </c>
      <c r="AZ30" s="108">
        <f t="shared" si="20"/>
        <v>-1</v>
      </c>
      <c r="BA30" s="108">
        <f t="shared" si="20"/>
        <v>-0.4072318553487792</v>
      </c>
      <c r="BB30" s="108">
        <f t="shared" si="20"/>
        <v>-0.14750580374024713</v>
      </c>
      <c r="BC30" s="108">
        <f t="shared" si="20"/>
        <v>8.5291712685951759E-2</v>
      </c>
      <c r="BD30" s="108">
        <f t="shared" si="20"/>
        <v>0.67574798754021814</v>
      </c>
      <c r="BE30" s="108">
        <f t="shared" si="20"/>
        <v>0.52940724364329561</v>
      </c>
      <c r="BF30" s="108">
        <f t="shared" si="20"/>
        <v>0.52386879885423898</v>
      </c>
      <c r="BG30" s="108">
        <f t="shared" si="20"/>
        <v>0.40365545799833852</v>
      </c>
      <c r="BH30" s="108">
        <f t="shared" si="20"/>
        <v>1.2669114144179575E-2</v>
      </c>
      <c r="BI30" s="108">
        <f t="shared" si="20"/>
        <v>3.3423238417814319E-2</v>
      </c>
      <c r="BJ30" s="108">
        <f t="shared" si="20"/>
        <v>-5.306569859527125E-2</v>
      </c>
      <c r="BK30" s="108">
        <f t="shared" si="20"/>
        <v>9.1421020221296431E-2</v>
      </c>
      <c r="BL30" s="108">
        <f t="shared" si="20"/>
        <v>-6.4030479925805933E-2</v>
      </c>
      <c r="BM30" s="108">
        <f t="shared" si="20"/>
        <v>8.006780609790011E-2</v>
      </c>
      <c r="BN30" s="108">
        <f t="shared" si="20"/>
        <v>0.85261263845613922</v>
      </c>
      <c r="BO30" s="108">
        <f t="shared" si="20"/>
        <v>0.97824262698359998</v>
      </c>
      <c r="BP30" s="108">
        <f t="shared" si="20"/>
        <v>2.4757798756638567</v>
      </c>
      <c r="BQ30" s="108">
        <f t="shared" si="20"/>
        <v>3.1086186353658491</v>
      </c>
      <c r="BR30" s="108">
        <f t="shared" ref="BR30:CK30" si="21">(BR5-BV5)/BV5</f>
        <v>2.2802562598912917</v>
      </c>
      <c r="BS30" s="108">
        <f t="shared" si="21"/>
        <v>2.7278052003911171</v>
      </c>
      <c r="BT30" s="108">
        <f t="shared" si="21"/>
        <v>1.7418958544868015</v>
      </c>
      <c r="BU30" s="108">
        <f t="shared" si="21"/>
        <v>1.5005489120200561</v>
      </c>
      <c r="BV30" s="108">
        <f t="shared" si="21"/>
        <v>1.2139099472108774</v>
      </c>
      <c r="BW30" s="108">
        <f t="shared" si="21"/>
        <v>0.66867327034670776</v>
      </c>
      <c r="BX30" s="108">
        <f t="shared" si="21"/>
        <v>0.11739440229209544</v>
      </c>
      <c r="BY30" s="108">
        <f t="shared" si="21"/>
        <v>0.18100193051153271</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-0.67643604670464985</v>
      </c>
      <c r="F31" s="108">
        <f t="shared" ref="F31:BQ31" si="22">(F6-J6)/J6</f>
        <v>-0.45751350345257019</v>
      </c>
      <c r="G31" s="108">
        <f t="shared" si="22"/>
        <v>-0.6188389656501192</v>
      </c>
      <c r="H31" s="108">
        <f t="shared" si="22"/>
        <v>-0.65456732759349312</v>
      </c>
      <c r="I31" s="108">
        <f t="shared" si="22"/>
        <v>-0.52265657248045416</v>
      </c>
      <c r="J31" s="108">
        <f t="shared" si="22"/>
        <v>-0.3048282020736503</v>
      </c>
      <c r="K31" s="108">
        <f t="shared" si="22"/>
        <v>-5.5587197501858303E-2</v>
      </c>
      <c r="L31" s="108">
        <f t="shared" si="22"/>
        <v>0.20156247153422172</v>
      </c>
      <c r="M31" s="108">
        <f t="shared" si="22"/>
        <v>0.89738712132973908</v>
      </c>
      <c r="N31" s="108">
        <f t="shared" si="22"/>
        <v>0.25688571578443464</v>
      </c>
      <c r="O31" s="108">
        <f t="shared" si="22"/>
        <v>0.15093236370241142</v>
      </c>
      <c r="P31" s="108">
        <f t="shared" si="22"/>
        <v>-0.14372366653765783</v>
      </c>
      <c r="Q31" s="108">
        <f t="shared" si="22"/>
        <v>-5.9678403018840531E-2</v>
      </c>
      <c r="R31" s="108">
        <f t="shared" si="22"/>
        <v>4.6857572919410014E-3</v>
      </c>
      <c r="S31" s="108">
        <f t="shared" si="22"/>
        <v>3.4510868653581564E-2</v>
      </c>
      <c r="T31" s="108">
        <f t="shared" si="22"/>
        <v>0.42162308105007229</v>
      </c>
      <c r="U31" s="108">
        <f t="shared" si="22"/>
        <v>0.32327546771718702</v>
      </c>
      <c r="V31" s="108">
        <f t="shared" si="22"/>
        <v>0.2487851563240715</v>
      </c>
      <c r="W31" s="108">
        <f t="shared" si="22"/>
        <v>0.47466864175533396</v>
      </c>
      <c r="X31" s="108">
        <f t="shared" si="22"/>
        <v>0.18889946764179938</v>
      </c>
      <c r="Y31" s="108">
        <f t="shared" si="22"/>
        <v>6.6962104749231185E-2</v>
      </c>
      <c r="Z31" s="108">
        <f t="shared" si="22"/>
        <v>13.584134197790318</v>
      </c>
      <c r="AA31" s="108">
        <f t="shared" si="22"/>
        <v>10.474639318620552</v>
      </c>
      <c r="AB31" s="108">
        <f t="shared" si="22"/>
        <v>9.7468712694142852</v>
      </c>
      <c r="AC31" s="108">
        <f t="shared" si="22"/>
        <v>10.099498814129589</v>
      </c>
      <c r="AD31" s="108">
        <f t="shared" si="22"/>
        <v>3.3255591427906607E-2</v>
      </c>
      <c r="AE31" s="108">
        <f t="shared" si="22"/>
        <v>2.3780521578221889E-2</v>
      </c>
      <c r="AF31" s="108">
        <f t="shared" si="22"/>
        <v>2.0685289791124425E-2</v>
      </c>
      <c r="AG31" s="108">
        <f t="shared" si="22"/>
        <v>2.0848537608355144E-2</v>
      </c>
      <c r="AH31" s="108">
        <f t="shared" si="22"/>
        <v>1.4173471481626837E-2</v>
      </c>
      <c r="AI31" s="108">
        <f t="shared" si="22"/>
        <v>-2.9434200603810248E-3</v>
      </c>
      <c r="AJ31" s="108">
        <f t="shared" si="22"/>
        <v>6.2355966711273185E-2</v>
      </c>
      <c r="AK31" s="108">
        <f t="shared" si="22"/>
        <v>5.5540338385870323E-2</v>
      </c>
      <c r="AL31" s="108">
        <f t="shared" si="22"/>
        <v>0.14055095627759459</v>
      </c>
      <c r="AM31" s="108">
        <f t="shared" si="22"/>
        <v>1.7283968892690293E-2</v>
      </c>
      <c r="AN31" s="108">
        <f t="shared" si="22"/>
        <v>-4.1223356200211156E-2</v>
      </c>
      <c r="AO31" s="108">
        <f t="shared" si="22"/>
        <v>-6.4716555779712262E-2</v>
      </c>
      <c r="AP31" s="108">
        <f t="shared" si="22"/>
        <v>-0.54221104686405996</v>
      </c>
      <c r="AQ31" s="108">
        <f t="shared" si="22"/>
        <v>-0.47090505316011072</v>
      </c>
      <c r="AR31" s="108">
        <f t="shared" si="22"/>
        <v>-0.42195151472604642</v>
      </c>
      <c r="AS31" s="108">
        <f t="shared" si="22"/>
        <v>-2.0344136960709223E-2</v>
      </c>
      <c r="AT31" s="108">
        <f t="shared" si="22"/>
        <v>0.96645251794969267</v>
      </c>
      <c r="AU31" s="108">
        <f t="shared" si="22"/>
        <v>0.93830635742255453</v>
      </c>
      <c r="AV31" s="108" t="e">
        <f t="shared" si="22"/>
        <v>#DIV/0!</v>
      </c>
      <c r="AW31" s="108">
        <f t="shared" si="22"/>
        <v>0.11139704869319672</v>
      </c>
      <c r="AX31" s="108">
        <f t="shared" si="22"/>
        <v>-0.53282798605849346</v>
      </c>
      <c r="AY31" s="108">
        <f t="shared" si="22"/>
        <v>-0.56552573282277163</v>
      </c>
      <c r="AZ31" s="108">
        <f t="shared" si="22"/>
        <v>-1</v>
      </c>
      <c r="BA31" s="108">
        <f t="shared" si="22"/>
        <v>-0.66945970465141713</v>
      </c>
      <c r="BB31" s="108">
        <f t="shared" si="22"/>
        <v>-0.36400154728193163</v>
      </c>
      <c r="BC31" s="108">
        <f t="shared" si="22"/>
        <v>-5.0623099148149227E-2</v>
      </c>
      <c r="BD31" s="108">
        <f t="shared" si="22"/>
        <v>0.61619081310464574</v>
      </c>
      <c r="BE31" s="108">
        <f t="shared" si="22"/>
        <v>0.10402560620569969</v>
      </c>
      <c r="BF31" s="108">
        <f t="shared" si="22"/>
        <v>1.7848634014881499</v>
      </c>
      <c r="BG31" s="108">
        <f t="shared" si="22"/>
        <v>0.73043480315838116</v>
      </c>
      <c r="BH31" s="108">
        <f t="shared" si="22"/>
        <v>0.16739442103097482</v>
      </c>
      <c r="BI31" s="108">
        <f t="shared" si="22"/>
        <v>0.32265090260483742</v>
      </c>
      <c r="BJ31" s="108">
        <f t="shared" si="22"/>
        <v>-0.17959472387781469</v>
      </c>
      <c r="BK31" s="108">
        <f t="shared" si="22"/>
        <v>0.4724803129864748</v>
      </c>
      <c r="BL31" s="108">
        <f t="shared" si="22"/>
        <v>-1.1456222857965794E-2</v>
      </c>
      <c r="BM31" s="108">
        <f t="shared" si="22"/>
        <v>4.7708378484904106E-2</v>
      </c>
      <c r="BN31" s="108">
        <f t="shared" si="22"/>
        <v>0.2209268890195478</v>
      </c>
      <c r="BO31" s="108">
        <f t="shared" si="22"/>
        <v>1.3241106904667477</v>
      </c>
      <c r="BP31" s="108">
        <f t="shared" si="22"/>
        <v>12.89409080332088</v>
      </c>
      <c r="BQ31" s="108">
        <f t="shared" si="22"/>
        <v>22.088242500727532</v>
      </c>
      <c r="BR31" s="108">
        <f t="shared" ref="BR31:CK31" si="23">(BR6-BV6)/BV6</f>
        <v>13.694266404362232</v>
      </c>
      <c r="BS31" s="108">
        <f t="shared" si="23"/>
        <v>8.0535373017689622</v>
      </c>
      <c r="BT31" s="108">
        <f t="shared" si="23"/>
        <v>1.5053121959461451</v>
      </c>
      <c r="BU31" s="108">
        <f t="shared" si="23"/>
        <v>0.68927533906243799</v>
      </c>
      <c r="BV31" s="108">
        <f t="shared" si="23"/>
        <v>0.48168813259485044</v>
      </c>
      <c r="BW31" s="108">
        <f t="shared" si="23"/>
        <v>0.20337139089976283</v>
      </c>
      <c r="BX31" s="108">
        <f t="shared" si="23"/>
        <v>-0.38772192149728879</v>
      </c>
      <c r="BY31" s="108">
        <f t="shared" si="23"/>
        <v>-0.24401446392623941</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-7.61879913019054E-2</v>
      </c>
      <c r="F32" s="109">
        <f t="shared" ref="F32:BQ32" si="24">(F7-J7)/J7</f>
        <v>-3.4522840794299618E-2</v>
      </c>
      <c r="G32" s="109">
        <f t="shared" si="24"/>
        <v>-3.3649415671119322E-2</v>
      </c>
      <c r="H32" s="109">
        <f t="shared" si="24"/>
        <v>8.7416299969548064</v>
      </c>
      <c r="I32" s="109">
        <f t="shared" si="24"/>
        <v>5.7536221906854683</v>
      </c>
      <c r="J32" s="109">
        <f t="shared" si="24"/>
        <v>6.7658688988581765</v>
      </c>
      <c r="K32" s="109">
        <f t="shared" si="24"/>
        <v>8.238489386269686</v>
      </c>
      <c r="L32" s="109">
        <f t="shared" si="24"/>
        <v>-1.4148828605374874E-2</v>
      </c>
      <c r="M32" s="109">
        <f t="shared" si="24"/>
        <v>0.49356361524449072</v>
      </c>
      <c r="N32" s="109">
        <f t="shared" si="24"/>
        <v>0.33924030297971702</v>
      </c>
      <c r="O32" s="109">
        <f t="shared" si="24"/>
        <v>0.20644043235644868</v>
      </c>
      <c r="P32" s="109">
        <f t="shared" si="24"/>
        <v>0.28310793775300902</v>
      </c>
      <c r="Q32" s="109">
        <f t="shared" si="24"/>
        <v>0.34512930397836122</v>
      </c>
      <c r="R32" s="109">
        <f t="shared" si="24"/>
        <v>9.5024849029148595E-2</v>
      </c>
      <c r="S32" s="109">
        <f t="shared" si="24"/>
        <v>0.12739875562646494</v>
      </c>
      <c r="T32" s="109">
        <f t="shared" si="24"/>
        <v>1.2170487542795053E-2</v>
      </c>
      <c r="U32" s="109">
        <f t="shared" si="24"/>
        <v>1.3983887697179599E-3</v>
      </c>
      <c r="V32" s="109">
        <f t="shared" si="24"/>
        <v>0.46401300280052044</v>
      </c>
      <c r="W32" s="109">
        <f t="shared" si="24"/>
        <v>-0.29675220670001706</v>
      </c>
      <c r="X32" s="109">
        <f t="shared" si="24"/>
        <v>-0.39561926740803949</v>
      </c>
      <c r="Y32" s="109">
        <f t="shared" si="24"/>
        <v>-0.3699997067596838</v>
      </c>
      <c r="Z32" s="109">
        <f t="shared" si="24"/>
        <v>7.6755320742181841</v>
      </c>
      <c r="AA32" s="109">
        <f t="shared" si="24"/>
        <v>15.058825612048198</v>
      </c>
      <c r="AB32" s="109">
        <f t="shared" si="24"/>
        <v>16.915459348977627</v>
      </c>
      <c r="AC32" s="109">
        <f t="shared" si="24"/>
        <v>15.365205628968843</v>
      </c>
      <c r="AD32" s="109">
        <f t="shared" si="24"/>
        <v>-7.4831817026696501E-2</v>
      </c>
      <c r="AE32" s="109">
        <f t="shared" si="24"/>
        <v>-7.2639622227693879E-2</v>
      </c>
      <c r="AF32" s="109">
        <f t="shared" si="24"/>
        <v>-6.9769010017280378E-2</v>
      </c>
      <c r="AG32" s="109">
        <f t="shared" si="24"/>
        <v>-6.9481389629047069E-2</v>
      </c>
      <c r="AH32" s="109">
        <f t="shared" si="24"/>
        <v>-6.2505136754030396E-2</v>
      </c>
      <c r="AI32" s="109">
        <f t="shared" si="24"/>
        <v>-6.2324194080964207E-2</v>
      </c>
      <c r="AJ32" s="109">
        <f t="shared" si="24"/>
        <v>-8.400272011269172E-2</v>
      </c>
      <c r="AK32" s="109">
        <f t="shared" si="24"/>
        <v>-8.4908166966051801E-2</v>
      </c>
      <c r="AL32" s="109">
        <f t="shared" si="24"/>
        <v>-0.16772985957136138</v>
      </c>
      <c r="AM32" s="109">
        <f t="shared" si="24"/>
        <v>-0.18137231114567612</v>
      </c>
      <c r="AN32" s="109">
        <f t="shared" si="24"/>
        <v>-0.20026747317667068</v>
      </c>
      <c r="AO32" s="109">
        <f t="shared" si="24"/>
        <v>-0.20147504864148622</v>
      </c>
      <c r="AP32" s="109">
        <f t="shared" si="24"/>
        <v>-0.3409252230866644</v>
      </c>
      <c r="AQ32" s="109">
        <f t="shared" si="24"/>
        <v>-0.31426199043025083</v>
      </c>
      <c r="AR32" s="109">
        <f t="shared" si="24"/>
        <v>-0.28432901921151094</v>
      </c>
      <c r="AS32" s="109">
        <f t="shared" si="24"/>
        <v>-9.0581676413949389E-2</v>
      </c>
      <c r="AT32" s="109">
        <f t="shared" si="24"/>
        <v>0.16942013231193598</v>
      </c>
      <c r="AU32" s="109">
        <f t="shared" si="24"/>
        <v>0.12860569447728881</v>
      </c>
      <c r="AV32" s="109" t="e">
        <f t="shared" si="24"/>
        <v>#DIV/0!</v>
      </c>
      <c r="AW32" s="109">
        <f t="shared" si="24"/>
        <v>-0.11410198726884138</v>
      </c>
      <c r="AX32" s="109">
        <f t="shared" si="24"/>
        <v>-0.31108794950753671</v>
      </c>
      <c r="AY32" s="109">
        <f t="shared" si="24"/>
        <v>-0.31590205208670474</v>
      </c>
      <c r="AZ32" s="109">
        <f t="shared" si="24"/>
        <v>-1</v>
      </c>
      <c r="BA32" s="109">
        <f t="shared" si="24"/>
        <v>-0.33256322390922344</v>
      </c>
      <c r="BB32" s="109">
        <f t="shared" si="24"/>
        <v>-0.12227072403477346</v>
      </c>
      <c r="BC32" s="109">
        <f t="shared" si="24"/>
        <v>-0.11567941024659167</v>
      </c>
      <c r="BD32" s="109">
        <f t="shared" si="24"/>
        <v>-0.13529335585658811</v>
      </c>
      <c r="BE32" s="109">
        <f t="shared" si="24"/>
        <v>-0.14616034800100444</v>
      </c>
      <c r="BF32" s="109">
        <f t="shared" si="24"/>
        <v>-0.13585052106967907</v>
      </c>
      <c r="BG32" s="109">
        <f t="shared" si="24"/>
        <v>-0.15423294603856916</v>
      </c>
      <c r="BH32" s="109">
        <f t="shared" si="24"/>
        <v>-0.15553770524746624</v>
      </c>
      <c r="BI32" s="109">
        <f t="shared" si="24"/>
        <v>-0.13424342764874234</v>
      </c>
      <c r="BJ32" s="109">
        <f t="shared" si="24"/>
        <v>-0.1797163853158647</v>
      </c>
      <c r="BK32" s="109">
        <f t="shared" si="24"/>
        <v>-0.16344548941248585</v>
      </c>
      <c r="BL32" s="109">
        <f t="shared" si="24"/>
        <v>-0.12484058775597488</v>
      </c>
      <c r="BM32" s="109">
        <f t="shared" si="24"/>
        <v>-0.12866200386417156</v>
      </c>
      <c r="BN32" s="109">
        <f t="shared" si="24"/>
        <v>-0.12639133472013717</v>
      </c>
      <c r="BO32" s="109">
        <f t="shared" si="24"/>
        <v>-0.35515426780000203</v>
      </c>
      <c r="BP32" s="109">
        <f t="shared" si="24"/>
        <v>-0.31508266009618052</v>
      </c>
      <c r="BQ32" s="109">
        <f t="shared" si="24"/>
        <v>-0.41361108974993127</v>
      </c>
      <c r="BR32" s="109">
        <f t="shared" ref="BR32:CK32" si="25">(BR7-BV7)/BV7</f>
        <v>-0.26767276442771026</v>
      </c>
      <c r="BS32" s="109">
        <f t="shared" si="25"/>
        <v>3.4614203045560211E-2</v>
      </c>
      <c r="BT32" s="109">
        <f t="shared" si="25"/>
        <v>1.3618558220801467</v>
      </c>
      <c r="BU32" s="109">
        <f t="shared" si="25"/>
        <v>1.7595180762183105</v>
      </c>
      <c r="BV32" s="109">
        <f t="shared" si="25"/>
        <v>2.2488189788185133</v>
      </c>
      <c r="BW32" s="109">
        <f t="shared" si="25"/>
        <v>2.0343717192875324</v>
      </c>
      <c r="BX32" s="109">
        <f t="shared" si="25"/>
        <v>-0.28376093077796111</v>
      </c>
      <c r="BY32" s="109">
        <f t="shared" si="25"/>
        <v>-0.32781813223546391</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0.14702193127011787</v>
      </c>
      <c r="F33" s="109">
        <f t="shared" ref="F33:BQ33" si="26">F7/F9</f>
        <v>0.14527402418062035</v>
      </c>
      <c r="G33" s="109">
        <f t="shared" si="26"/>
        <v>0.16617525584952297</v>
      </c>
      <c r="H33" s="109">
        <f t="shared" si="26"/>
        <v>0.16763911429589617</v>
      </c>
      <c r="I33" s="109">
        <f t="shared" si="26"/>
        <v>0.17571712322582914</v>
      </c>
      <c r="J33" s="109">
        <f t="shared" si="26"/>
        <v>0.17533685122935053</v>
      </c>
      <c r="K33" s="109">
        <f t="shared" si="26"/>
        <v>0.16504245504607537</v>
      </c>
      <c r="L33" s="109">
        <f t="shared" si="26"/>
        <v>2.0252923382128071E-2</v>
      </c>
      <c r="M33" s="109">
        <f t="shared" si="26"/>
        <v>3.7154135098806072E-2</v>
      </c>
      <c r="N33" s="109">
        <f t="shared" si="26"/>
        <v>2.9561194301196355E-2</v>
      </c>
      <c r="O33" s="109">
        <f t="shared" si="26"/>
        <v>2.3931488256204697E-2</v>
      </c>
      <c r="P33" s="109">
        <f t="shared" si="26"/>
        <v>2.2721075439892022E-2</v>
      </c>
      <c r="Q33" s="109">
        <f t="shared" si="26"/>
        <v>2.2635657249390914E-2</v>
      </c>
      <c r="R33" s="109">
        <f t="shared" si="26"/>
        <v>3.306686774146763E-2</v>
      </c>
      <c r="S33" s="109">
        <f t="shared" si="26"/>
        <v>3.1067793397620138E-2</v>
      </c>
      <c r="T33" s="109">
        <f t="shared" si="26"/>
        <v>2.724415148761565E-2</v>
      </c>
      <c r="U33" s="109">
        <f t="shared" si="26"/>
        <v>2.9793462398399265E-2</v>
      </c>
      <c r="V33" s="109">
        <f t="shared" si="26"/>
        <v>5.1574916908666404E-2</v>
      </c>
      <c r="W33" s="109">
        <f t="shared" si="26"/>
        <v>5.4778214724761479E-2</v>
      </c>
      <c r="X33" s="109">
        <f t="shared" si="26"/>
        <v>5.4650212432828693E-2</v>
      </c>
      <c r="Y33" s="109">
        <f t="shared" si="26"/>
        <v>5.0756375208943341E-2</v>
      </c>
      <c r="Z33" s="109">
        <f t="shared" si="26"/>
        <v>4.7045158454683614E-2</v>
      </c>
      <c r="AA33" s="109">
        <f t="shared" si="26"/>
        <v>8.4573107051865382E-2</v>
      </c>
      <c r="AB33" s="109">
        <f t="shared" si="26"/>
        <v>9.8845337578887166E-2</v>
      </c>
      <c r="AC33" s="109">
        <f t="shared" si="26"/>
        <v>9.0144729356185477E-2</v>
      </c>
      <c r="AD33" s="109">
        <f t="shared" si="26"/>
        <v>-0.32540974332637468</v>
      </c>
      <c r="AE33" s="109">
        <f t="shared" si="26"/>
        <v>-0.33745567310192914</v>
      </c>
      <c r="AF33" s="109">
        <f t="shared" si="26"/>
        <v>-0.36901381867925964</v>
      </c>
      <c r="AG33" s="109">
        <f t="shared" si="26"/>
        <v>-0.38358388049045883</v>
      </c>
      <c r="AH33" s="109">
        <f t="shared" si="26"/>
        <v>-0.33992865336486111</v>
      </c>
      <c r="AI33" s="109">
        <f t="shared" si="26"/>
        <v>-0.69283853680180385</v>
      </c>
      <c r="AJ33" s="109">
        <f t="shared" si="26"/>
        <v>-0.83594048351961958</v>
      </c>
      <c r="AK33" s="109">
        <f t="shared" si="26"/>
        <v>-0.88362413431923681</v>
      </c>
      <c r="AL33" s="109">
        <f t="shared" si="26"/>
        <v>-1.5560238925072847</v>
      </c>
      <c r="AM33" s="109">
        <f t="shared" si="26"/>
        <v>-2.2337559285313615</v>
      </c>
      <c r="AN33" s="109">
        <f t="shared" si="26"/>
        <v>2.1731871969937187</v>
      </c>
      <c r="AO33" s="109">
        <f t="shared" si="26"/>
        <v>2.4982781361719919</v>
      </c>
      <c r="AP33" s="109">
        <f t="shared" si="26"/>
        <v>0.50457066088344782</v>
      </c>
      <c r="AQ33" s="109">
        <f t="shared" si="26"/>
        <v>0.5116401250445809</v>
      </c>
      <c r="AR33" s="109">
        <f t="shared" si="26"/>
        <v>0.36919125827502725</v>
      </c>
      <c r="AS33" s="109">
        <f t="shared" si="26"/>
        <v>0.31340440726760832</v>
      </c>
      <c r="AT33" s="109">
        <f t="shared" si="26"/>
        <v>-0.21626319089015542</v>
      </c>
      <c r="AU33" s="109">
        <f t="shared" si="26"/>
        <v>-0.25274260156585737</v>
      </c>
      <c r="AV33" s="109">
        <f t="shared" si="26"/>
        <v>-0.29550392971411749</v>
      </c>
      <c r="AW33" s="109">
        <f t="shared" si="26"/>
        <v>0.46653668679419769</v>
      </c>
      <c r="AX33" s="109">
        <f t="shared" si="26"/>
        <v>5.3888307381038981E-2</v>
      </c>
      <c r="AY33" s="109">
        <f t="shared" si="26"/>
        <v>5.5331468676107276E-2</v>
      </c>
      <c r="AZ33" s="109" t="e">
        <f t="shared" si="26"/>
        <v>#DIV/0!</v>
      </c>
      <c r="BA33" s="109">
        <f t="shared" si="26"/>
        <v>5.461503735085535E-2</v>
      </c>
      <c r="BB33" s="109">
        <f t="shared" si="26"/>
        <v>6.2318881622366568E-2</v>
      </c>
      <c r="BC33" s="109">
        <f t="shared" si="26"/>
        <v>6.4095565874621813E-2</v>
      </c>
      <c r="BD33" s="109">
        <f t="shared" si="26"/>
        <v>6.2925764974347917E-2</v>
      </c>
      <c r="BE33" s="109">
        <f t="shared" si="26"/>
        <v>6.3975101673715215E-2</v>
      </c>
      <c r="BF33" s="109">
        <f t="shared" si="26"/>
        <v>6.3295170462708689E-2</v>
      </c>
      <c r="BG33" s="109">
        <f t="shared" si="26"/>
        <v>6.4369052706196889E-2</v>
      </c>
      <c r="BH33" s="109">
        <f t="shared" si="26"/>
        <v>7.0523568827633956E-2</v>
      </c>
      <c r="BI33" s="109">
        <f t="shared" si="26"/>
        <v>8.0221798259324947E-2</v>
      </c>
      <c r="BJ33" s="109">
        <f t="shared" si="26"/>
        <v>5.5000738636154498E-2</v>
      </c>
      <c r="BK33" s="109">
        <f t="shared" si="26"/>
        <v>6.2297324011572383E-2</v>
      </c>
      <c r="BL33" s="109">
        <f t="shared" si="26"/>
        <v>6.7208220459719428E-2</v>
      </c>
      <c r="BM33" s="109">
        <f t="shared" si="26"/>
        <v>9.1208566007907554E-2</v>
      </c>
      <c r="BN33" s="109">
        <f t="shared" si="26"/>
        <v>8.4783876960513038E-2</v>
      </c>
      <c r="BO33" s="109">
        <f t="shared" si="26"/>
        <v>7.5921417486804796E-2</v>
      </c>
      <c r="BP33" s="109">
        <f t="shared" si="26"/>
        <v>8.6665559567047634E-2</v>
      </c>
      <c r="BQ33" s="109">
        <f t="shared" si="26"/>
        <v>0.12040725538496791</v>
      </c>
      <c r="BR33" s="109">
        <f t="shared" ref="BR33:CK33" si="27">BR7/BR9</f>
        <v>0.17229398966771664</v>
      </c>
      <c r="BS33" s="109">
        <f t="shared" si="27"/>
        <v>0.22716988823144293</v>
      </c>
      <c r="BT33" s="109">
        <f t="shared" si="27"/>
        <v>0.21014124300795947</v>
      </c>
      <c r="BU33" s="109">
        <f t="shared" si="27"/>
        <v>0.3126028236004072</v>
      </c>
      <c r="BV33" s="109">
        <f t="shared" si="27"/>
        <v>0.37236213025940285</v>
      </c>
      <c r="BW33" s="109">
        <f t="shared" si="27"/>
        <v>0.42480686379118476</v>
      </c>
      <c r="BX33" s="109">
        <f t="shared" si="27"/>
        <v>0.18938124884467972</v>
      </c>
      <c r="BY33" s="109">
        <f t="shared" si="27"/>
        <v>0.20197922458405901</v>
      </c>
      <c r="BZ33" s="109">
        <f t="shared" si="27"/>
        <v>0.31013877312702626</v>
      </c>
      <c r="CA33" s="109">
        <f t="shared" si="27"/>
        <v>0.33584993138323133</v>
      </c>
      <c r="CB33" s="109">
        <f t="shared" si="27"/>
        <v>0.4642351995637744</v>
      </c>
      <c r="CC33" s="109">
        <f t="shared" si="27"/>
        <v>0.58378150752094515</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1.5635297154001415</v>
      </c>
      <c r="F34" s="108">
        <f t="shared" ref="F34:BQ34" si="28">(F10-J10)/J10</f>
        <v>-0.53482863109039569</v>
      </c>
      <c r="G34" s="108">
        <f t="shared" si="28"/>
        <v>0.46316144456089114</v>
      </c>
      <c r="H34" s="108">
        <f t="shared" si="28"/>
        <v>-0.34843412184260691</v>
      </c>
      <c r="I34" s="108">
        <f t="shared" si="28"/>
        <v>-0.42016456485685688</v>
      </c>
      <c r="J34" s="108">
        <f t="shared" si="28"/>
        <v>0.15524362108195253</v>
      </c>
      <c r="K34" s="108">
        <f t="shared" si="28"/>
        <v>-0.36456586945220393</v>
      </c>
      <c r="L34" s="108">
        <f t="shared" si="28"/>
        <v>-0.41058600659790312</v>
      </c>
      <c r="M34" s="108">
        <f t="shared" si="28"/>
        <v>-5.6083400253570059E-2</v>
      </c>
      <c r="N34" s="108">
        <f t="shared" si="28"/>
        <v>2.1827547260411104</v>
      </c>
      <c r="O34" s="108">
        <f t="shared" si="28"/>
        <v>5.8652292710300893</v>
      </c>
      <c r="P34" s="108">
        <f t="shared" si="28"/>
        <v>6.5326970884583009</v>
      </c>
      <c r="Q34" s="108">
        <f t="shared" si="28"/>
        <v>5.1568089265979618</v>
      </c>
      <c r="R34" s="108">
        <f t="shared" si="28"/>
        <v>0.33301242228474132</v>
      </c>
      <c r="S34" s="108">
        <f t="shared" si="28"/>
        <v>1.4324670100976931</v>
      </c>
      <c r="T34" s="108">
        <f t="shared" si="28"/>
        <v>1.8420471433116521</v>
      </c>
      <c r="U34" s="108">
        <f t="shared" si="28"/>
        <v>-0.47218567161628017</v>
      </c>
      <c r="V34" s="108">
        <f t="shared" si="28"/>
        <v>-0.48549180763081456</v>
      </c>
      <c r="W34" s="108">
        <f t="shared" si="28"/>
        <v>0.60410853402842724</v>
      </c>
      <c r="X34" s="108">
        <f t="shared" si="28"/>
        <v>0.20646108700824062</v>
      </c>
      <c r="Y34" s="108">
        <f t="shared" si="28"/>
        <v>3.9034069417466952</v>
      </c>
      <c r="Z34" s="108">
        <f t="shared" si="28"/>
        <v>-0.56822740845342445</v>
      </c>
      <c r="AA34" s="108">
        <f t="shared" si="28"/>
        <v>-0.96080337848008612</v>
      </c>
      <c r="AB34" s="108">
        <f t="shared" si="28"/>
        <v>-0.94723783189512756</v>
      </c>
      <c r="AC34" s="108">
        <f t="shared" si="28"/>
        <v>-0.93043093212266925</v>
      </c>
      <c r="AD34" s="108">
        <f t="shared" si="28"/>
        <v>2.7984087944944166E-2</v>
      </c>
      <c r="AE34" s="108">
        <f t="shared" si="28"/>
        <v>-7.9073037539792803E-4</v>
      </c>
      <c r="AF34" s="108">
        <f t="shared" si="28"/>
        <v>-5.8784752130030078E-3</v>
      </c>
      <c r="AG34" s="108">
        <f t="shared" si="28"/>
        <v>-2.2470916832091823E-2</v>
      </c>
      <c r="AH34" s="108">
        <f t="shared" si="28"/>
        <v>-8.2836532221817111E-2</v>
      </c>
      <c r="AI34" s="108">
        <f t="shared" si="28"/>
        <v>-5.4808678304016326E-2</v>
      </c>
      <c r="AJ34" s="108">
        <f t="shared" si="28"/>
        <v>-6.4748590396278394E-2</v>
      </c>
      <c r="AK34" s="108">
        <f t="shared" si="28"/>
        <v>-5.1590872754292839E-2</v>
      </c>
      <c r="AL34" s="108">
        <f t="shared" si="28"/>
        <v>-2.4031618709769949E-2</v>
      </c>
      <c r="AM34" s="108">
        <f t="shared" si="28"/>
        <v>-2.4089193906379404E-2</v>
      </c>
      <c r="AN34" s="108">
        <f t="shared" si="28"/>
        <v>-1.3154753697297079E-2</v>
      </c>
      <c r="AO34" s="108">
        <f t="shared" si="28"/>
        <v>-5.972732410370072E-2</v>
      </c>
      <c r="AP34" s="108">
        <f t="shared" si="28"/>
        <v>0.15706796136084272</v>
      </c>
      <c r="AQ34" s="108">
        <f t="shared" si="28"/>
        <v>0.13635212733973559</v>
      </c>
      <c r="AR34" s="108">
        <f t="shared" si="28"/>
        <v>0.12511613445505285</v>
      </c>
      <c r="AS34" s="108">
        <f t="shared" si="28"/>
        <v>-1.9987597397200952E-2</v>
      </c>
      <c r="AT34" s="108">
        <f t="shared" si="28"/>
        <v>-2.4004865292977795E-2</v>
      </c>
      <c r="AU34" s="108">
        <f t="shared" si="28"/>
        <v>-2.4004865292977795E-2</v>
      </c>
      <c r="AV34" s="108" t="e">
        <f t="shared" si="28"/>
        <v>#DIV/0!</v>
      </c>
      <c r="AW34" s="108">
        <f t="shared" si="28"/>
        <v>0.16885311070961145</v>
      </c>
      <c r="AX34" s="108">
        <f t="shared" si="28"/>
        <v>0.57985282183875864</v>
      </c>
      <c r="AY34" s="108">
        <f t="shared" si="28"/>
        <v>0.57948214019565081</v>
      </c>
      <c r="AZ34" s="108">
        <f t="shared" si="28"/>
        <v>-1</v>
      </c>
      <c r="BA34" s="108">
        <f t="shared" si="28"/>
        <v>0.48216548677634213</v>
      </c>
      <c r="BB34" s="108">
        <f t="shared" si="28"/>
        <v>0.40204823885232988</v>
      </c>
      <c r="BC34" s="108">
        <f t="shared" si="28"/>
        <v>0.40236911697696703</v>
      </c>
      <c r="BD34" s="108">
        <f t="shared" si="28"/>
        <v>0.5090490607042254</v>
      </c>
      <c r="BE34" s="108">
        <f t="shared" si="28"/>
        <v>0.86496921589789877</v>
      </c>
      <c r="BF34" s="108">
        <f t="shared" si="28"/>
        <v>-0.38251455951074803</v>
      </c>
      <c r="BG34" s="108">
        <f t="shared" si="28"/>
        <v>-0.30482695228509998</v>
      </c>
      <c r="BH34" s="108">
        <f t="shared" si="28"/>
        <v>-0.33882758299576293</v>
      </c>
      <c r="BI34" s="108">
        <f t="shared" si="28"/>
        <v>-3.6837944664031619E-2</v>
      </c>
      <c r="BJ34" s="108">
        <f t="shared" si="28"/>
        <v>0.422485549132948</v>
      </c>
      <c r="BK34" s="108">
        <f t="shared" si="28"/>
        <v>-1.6467941507311585E-2</v>
      </c>
      <c r="BL34" s="108">
        <f t="shared" si="28"/>
        <v>0.16248985115020298</v>
      </c>
      <c r="BM34" s="108">
        <f t="shared" si="28"/>
        <v>0.31088082901554404</v>
      </c>
      <c r="BN34" s="108">
        <f t="shared" si="28"/>
        <v>2.7608695652173911</v>
      </c>
      <c r="BO34" s="108">
        <f t="shared" si="28"/>
        <v>4.5562500000000004</v>
      </c>
      <c r="BP34" s="108">
        <f t="shared" si="28"/>
        <v>3.3470588235294119</v>
      </c>
      <c r="BQ34" s="108">
        <f t="shared" si="28"/>
        <v>3.0208333333333335</v>
      </c>
      <c r="BR34" s="108">
        <f t="shared" ref="BR34:CK34" si="29">(BR10-BV10)/BV10</f>
        <v>1.1100917431192661</v>
      </c>
      <c r="BS34" s="108">
        <f t="shared" si="29"/>
        <v>0.97044334975369462</v>
      </c>
      <c r="BT34" s="108">
        <f t="shared" si="29"/>
        <v>1.0935960591133005</v>
      </c>
      <c r="BU34" s="108">
        <f t="shared" si="29"/>
        <v>0.18372379778051787</v>
      </c>
      <c r="BV34" s="108">
        <f t="shared" si="29"/>
        <v>0.80388911874224245</v>
      </c>
      <c r="BW34" s="108">
        <f t="shared" si="29"/>
        <v>0.67976830781961106</v>
      </c>
      <c r="BX34" s="108">
        <f t="shared" si="29"/>
        <v>0.55139472678639667</v>
      </c>
      <c r="BY34" s="108">
        <f t="shared" si="29"/>
        <v>0.80462839341344017</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0.1909891584031653</v>
      </c>
      <c r="F35" s="108">
        <f t="shared" ref="F35:BQ35" si="30">F10/F12</f>
        <v>6.1025654957830959E-2</v>
      </c>
      <c r="G35" s="108">
        <f t="shared" si="30"/>
        <v>0.15983342884843868</v>
      </c>
      <c r="H35" s="108">
        <f t="shared" si="30"/>
        <v>8.4468652206646441E-2</v>
      </c>
      <c r="I35" s="108">
        <f t="shared" si="30"/>
        <v>0.10036497148240135</v>
      </c>
      <c r="J35" s="108">
        <f t="shared" si="30"/>
        <v>0.18147886903306418</v>
      </c>
      <c r="K35" s="108">
        <f t="shared" si="30"/>
        <v>9.491160835966056E-2</v>
      </c>
      <c r="L35" s="108">
        <f t="shared" si="30"/>
        <v>9.4619616048445251E-2</v>
      </c>
      <c r="M35" s="108">
        <f t="shared" si="30"/>
        <v>0.15334649843648379</v>
      </c>
      <c r="N35" s="108">
        <f t="shared" si="30"/>
        <v>0.1310511189552471</v>
      </c>
      <c r="O35" s="108">
        <f t="shared" si="30"/>
        <v>0.13932299202748261</v>
      </c>
      <c r="P35" s="108">
        <f t="shared" si="30"/>
        <v>0.17456533273530617</v>
      </c>
      <c r="Q35" s="108">
        <f t="shared" si="30"/>
        <v>0.14096935897213186</v>
      </c>
      <c r="R35" s="108">
        <f t="shared" si="30"/>
        <v>5.9844553712588122E-2</v>
      </c>
      <c r="S35" s="108">
        <f t="shared" si="30"/>
        <v>3.0885900666281774E-2</v>
      </c>
      <c r="T35" s="108">
        <f t="shared" si="30"/>
        <v>3.5804723134810368E-2</v>
      </c>
      <c r="U35" s="108">
        <f t="shared" si="30"/>
        <v>4.3671851286872308E-2</v>
      </c>
      <c r="V35" s="108">
        <f t="shared" si="30"/>
        <v>9.3330365531905907E-2</v>
      </c>
      <c r="W35" s="108">
        <f t="shared" si="30"/>
        <v>3.4838815332683945E-2</v>
      </c>
      <c r="X35" s="108">
        <f t="shared" si="30"/>
        <v>3.471087032396452E-2</v>
      </c>
      <c r="Y35" s="108">
        <f t="shared" si="30"/>
        <v>0.16783099072618862</v>
      </c>
      <c r="Z35" s="108">
        <f t="shared" si="30"/>
        <v>0.23996030661979087</v>
      </c>
      <c r="AA35" s="108">
        <f t="shared" si="30"/>
        <v>1.9189615600790449E-2</v>
      </c>
      <c r="AB35" s="108">
        <f t="shared" si="30"/>
        <v>2.4504235747660499E-2</v>
      </c>
      <c r="AC35" s="108">
        <f t="shared" si="30"/>
        <v>3.1586332320293398E-2</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1</v>
      </c>
      <c r="AM35" s="108">
        <f t="shared" si="30"/>
        <v>1</v>
      </c>
      <c r="AN35" s="108">
        <f t="shared" si="30"/>
        <v>1</v>
      </c>
      <c r="AO35" s="108">
        <f t="shared" si="30"/>
        <v>1</v>
      </c>
      <c r="AP35" s="108">
        <f t="shared" si="30"/>
        <v>1</v>
      </c>
      <c r="AQ35" s="108">
        <f t="shared" si="30"/>
        <v>1</v>
      </c>
      <c r="AR35" s="108">
        <f t="shared" si="30"/>
        <v>1</v>
      </c>
      <c r="AS35" s="108">
        <f t="shared" si="30"/>
        <v>1</v>
      </c>
      <c r="AT35" s="108">
        <f t="shared" si="30"/>
        <v>0.99899647090928689</v>
      </c>
      <c r="AU35" s="108">
        <f t="shared" si="30"/>
        <v>0.99899647090928689</v>
      </c>
      <c r="AV35" s="108">
        <f t="shared" si="30"/>
        <v>0.99899647090928689</v>
      </c>
      <c r="AW35" s="108">
        <f t="shared" si="30"/>
        <v>1</v>
      </c>
      <c r="AX35" s="108">
        <f t="shared" si="30"/>
        <v>0.99998203382642548</v>
      </c>
      <c r="AY35" s="108">
        <f t="shared" si="30"/>
        <v>0.99998203382642548</v>
      </c>
      <c r="AZ35" s="108" t="e">
        <f t="shared" si="30"/>
        <v>#DIV/0!</v>
      </c>
      <c r="BA35" s="108">
        <f t="shared" si="30"/>
        <v>1</v>
      </c>
      <c r="BB35" s="108">
        <f t="shared" si="30"/>
        <v>1</v>
      </c>
      <c r="BC35" s="108">
        <f t="shared" si="30"/>
        <v>1</v>
      </c>
      <c r="BD35" s="108">
        <f t="shared" si="30"/>
        <v>1</v>
      </c>
      <c r="BE35" s="108">
        <f t="shared" si="30"/>
        <v>1</v>
      </c>
      <c r="BF35" s="108">
        <f t="shared" si="30"/>
        <v>0.99783303881994301</v>
      </c>
      <c r="BG35" s="108">
        <f t="shared" si="30"/>
        <v>0.99783305140511303</v>
      </c>
      <c r="BH35" s="108">
        <f t="shared" si="30"/>
        <v>0.99768144453031682</v>
      </c>
      <c r="BI35" s="108">
        <f t="shared" si="30"/>
        <v>0.99729884587050832</v>
      </c>
      <c r="BJ35" s="108">
        <f t="shared" si="30"/>
        <v>0.99837721611424401</v>
      </c>
      <c r="BK35" s="108">
        <f t="shared" si="30"/>
        <v>0.99817343257683</v>
      </c>
      <c r="BL35" s="108">
        <f t="shared" si="30"/>
        <v>0.99860510531454871</v>
      </c>
      <c r="BM35" s="108">
        <f t="shared" si="30"/>
        <v>0.99763406940063093</v>
      </c>
      <c r="BN35" s="108">
        <f t="shared" si="30"/>
        <v>0.99826889786497408</v>
      </c>
      <c r="BO35" s="108">
        <f t="shared" si="30"/>
        <v>0.99865198831723212</v>
      </c>
      <c r="BP35" s="108">
        <f t="shared" si="30"/>
        <v>0.9983788165360713</v>
      </c>
      <c r="BQ35" s="108">
        <f t="shared" si="30"/>
        <v>0.99690082644628097</v>
      </c>
      <c r="BR35" s="108">
        <f t="shared" ref="BR35:CK35" si="31">BR10/BR12</f>
        <v>0.99352051835853128</v>
      </c>
      <c r="BS35" s="108">
        <f t="shared" si="31"/>
        <v>0.94343550960115885</v>
      </c>
      <c r="BT35" s="108">
        <f t="shared" si="31"/>
        <v>0.93779613350495805</v>
      </c>
      <c r="BU35" s="108">
        <f t="shared" si="31"/>
        <v>0.90325422620463214</v>
      </c>
      <c r="BV35" s="108">
        <f t="shared" si="31"/>
        <v>0.88883475694948633</v>
      </c>
      <c r="BW35" s="108">
        <f t="shared" si="31"/>
        <v>0.88616331613493404</v>
      </c>
      <c r="BX35" s="108">
        <f t="shared" si="31"/>
        <v>0.87294931882125193</v>
      </c>
      <c r="BY35" s="108">
        <f t="shared" si="31"/>
        <v>0.87392655458519453</v>
      </c>
      <c r="BZ35" s="108">
        <f t="shared" si="31"/>
        <v>0.55691744695401646</v>
      </c>
      <c r="CA35" s="108">
        <f t="shared" si="31"/>
        <v>0.55729767120129126</v>
      </c>
      <c r="CB35" s="108">
        <f t="shared" si="31"/>
        <v>0.42048569390513374</v>
      </c>
      <c r="CC35" s="108">
        <f t="shared" si="31"/>
        <v>0.38787906835734304</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0.21143409163581145</v>
      </c>
      <c r="F36" s="108">
        <f t="shared" ref="F36:BQ36" si="32">(F11-J11)/J11</f>
        <v>0.58690314925646658</v>
      </c>
      <c r="G36" s="108">
        <f t="shared" si="32"/>
        <v>-0.19347400777349635</v>
      </c>
      <c r="H36" s="108">
        <f t="shared" si="32"/>
        <v>-0.26194948460464906</v>
      </c>
      <c r="I36" s="108">
        <f t="shared" si="32"/>
        <v>-5.8637055735919728E-2</v>
      </c>
      <c r="J36" s="108">
        <f t="shared" si="32"/>
        <v>-0.21417848382672416</v>
      </c>
      <c r="K36" s="108">
        <f t="shared" si="32"/>
        <v>-1.9099872429495603E-2</v>
      </c>
      <c r="L36" s="108">
        <f t="shared" si="32"/>
        <v>0.19273959734018223</v>
      </c>
      <c r="M36" s="108">
        <f t="shared" si="32"/>
        <v>-0.14477273341412261</v>
      </c>
      <c r="N36" s="108">
        <f t="shared" si="32"/>
        <v>0.3433266568080407</v>
      </c>
      <c r="O36" s="108">
        <f t="shared" si="32"/>
        <v>0.35162996928282675</v>
      </c>
      <c r="P36" s="108">
        <f t="shared" si="32"/>
        <v>0.3226670293266693</v>
      </c>
      <c r="Q36" s="108">
        <f t="shared" si="32"/>
        <v>0.71330337055554227</v>
      </c>
      <c r="R36" s="108">
        <f t="shared" si="32"/>
        <v>1.1556742108024323</v>
      </c>
      <c r="S36" s="108">
        <f t="shared" si="32"/>
        <v>1.7550223825605258</v>
      </c>
      <c r="T36" s="108">
        <f t="shared" si="32"/>
        <v>1.7520989531424382</v>
      </c>
      <c r="U36" s="108">
        <f t="shared" si="32"/>
        <v>1.3310260790394317</v>
      </c>
      <c r="V36" s="108">
        <f t="shared" si="32"/>
        <v>0.57805280873037446</v>
      </c>
      <c r="W36" s="108">
        <f t="shared" si="32"/>
        <v>-0.13053633343488416</v>
      </c>
      <c r="X36" s="108">
        <f t="shared" si="32"/>
        <v>-0.15720683410312924</v>
      </c>
      <c r="Y36" s="108">
        <f t="shared" si="32"/>
        <v>-0.2069955807112685</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f t="shared" si="32"/>
        <v>-1</v>
      </c>
      <c r="AQ36" s="108">
        <f t="shared" si="32"/>
        <v>-1</v>
      </c>
      <c r="AR36" s="108">
        <f t="shared" si="32"/>
        <v>-1</v>
      </c>
      <c r="AS36" s="108" t="e">
        <f t="shared" si="32"/>
        <v>#DIV/0!</v>
      </c>
      <c r="AT36" s="108">
        <f t="shared" si="32"/>
        <v>53.569537299932364</v>
      </c>
      <c r="AU36" s="108">
        <f t="shared" si="32"/>
        <v>53.569537299932364</v>
      </c>
      <c r="AV36" s="108" t="e">
        <f t="shared" si="32"/>
        <v>#DIV/0!</v>
      </c>
      <c r="AW36" s="108" t="e">
        <f t="shared" si="32"/>
        <v>#DIV/0!</v>
      </c>
      <c r="AX36" s="108" t="e">
        <f t="shared" si="32"/>
        <v>#DIV/0!</v>
      </c>
      <c r="AY36" s="108" t="e">
        <f t="shared" si="32"/>
        <v>#DIV/0!</v>
      </c>
      <c r="AZ36" s="108" t="e">
        <f t="shared" si="32"/>
        <v>#DIV/0!</v>
      </c>
      <c r="BA36" s="108" t="e">
        <f t="shared" si="32"/>
        <v>#DIV/0!</v>
      </c>
      <c r="BB36" s="108">
        <f t="shared" si="32"/>
        <v>-1</v>
      </c>
      <c r="BC36" s="108">
        <f t="shared" si="32"/>
        <v>-1</v>
      </c>
      <c r="BD36" s="108">
        <f t="shared" si="32"/>
        <v>-1</v>
      </c>
      <c r="BE36" s="108">
        <f t="shared" si="32"/>
        <v>-1</v>
      </c>
      <c r="BF36" s="108">
        <f t="shared" si="32"/>
        <v>-0.17499999999999999</v>
      </c>
      <c r="BG36" s="108">
        <f t="shared" si="32"/>
        <v>-0.17499999999999999</v>
      </c>
      <c r="BH36" s="108">
        <f t="shared" si="32"/>
        <v>0.1</v>
      </c>
      <c r="BI36" s="108">
        <f t="shared" si="32"/>
        <v>0.1</v>
      </c>
      <c r="BJ36" s="108">
        <f t="shared" si="32"/>
        <v>0.33333333333333331</v>
      </c>
      <c r="BK36" s="108">
        <f t="shared" si="32"/>
        <v>0.33333333333333331</v>
      </c>
      <c r="BL36" s="108">
        <f t="shared" si="32"/>
        <v>0</v>
      </c>
      <c r="BM36" s="108">
        <f t="shared" si="32"/>
        <v>0</v>
      </c>
      <c r="BN36" s="108">
        <f t="shared" si="32"/>
        <v>0</v>
      </c>
      <c r="BO36" s="108">
        <f t="shared" si="32"/>
        <v>-0.87490798074698728</v>
      </c>
      <c r="BP36" s="108">
        <f t="shared" si="32"/>
        <v>-0.89357996880300339</v>
      </c>
      <c r="BQ36" s="108">
        <f t="shared" si="32"/>
        <v>-0.88329538971449628</v>
      </c>
      <c r="BR36" s="108">
        <f t="shared" ref="BR36:CK36" si="33">(BR11-BV11)/BV11</f>
        <v>-0.88996856722890738</v>
      </c>
      <c r="BS36" s="108">
        <f t="shared" si="33"/>
        <v>-8.0340321564220288E-2</v>
      </c>
      <c r="BT36" s="108">
        <f t="shared" si="33"/>
        <v>-4.5856123391704404E-2</v>
      </c>
      <c r="BU36" s="108">
        <f t="shared" si="33"/>
        <v>-0.12113191638492603</v>
      </c>
      <c r="BV36" s="108">
        <f t="shared" si="33"/>
        <v>-0.71642756925387463</v>
      </c>
      <c r="BW36" s="108">
        <f t="shared" si="33"/>
        <v>-0.7283602807291667</v>
      </c>
      <c r="BX36" s="108">
        <f t="shared" si="33"/>
        <v>-0.8361685250115134</v>
      </c>
      <c r="BY36" s="108">
        <f t="shared" si="33"/>
        <v>-0.83503356648538662</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0.80901084159683467</v>
      </c>
      <c r="F37" s="108">
        <f t="shared" ref="F37:BQ37" si="34">F11/F12</f>
        <v>0.93897434504216915</v>
      </c>
      <c r="G37" s="108">
        <f t="shared" si="34"/>
        <v>0.84016657115156135</v>
      </c>
      <c r="H37" s="108">
        <f t="shared" si="34"/>
        <v>0.91553134779335354</v>
      </c>
      <c r="I37" s="108">
        <f t="shared" si="34"/>
        <v>0.89963502851759858</v>
      </c>
      <c r="J37" s="108">
        <f t="shared" si="34"/>
        <v>0.81852113096693579</v>
      </c>
      <c r="K37" s="108">
        <f t="shared" si="34"/>
        <v>0.90508839164033938</v>
      </c>
      <c r="L37" s="108">
        <f t="shared" si="34"/>
        <v>0.90538038395155473</v>
      </c>
      <c r="M37" s="108">
        <f t="shared" si="34"/>
        <v>0.84665350156351615</v>
      </c>
      <c r="N37" s="108">
        <f t="shared" si="34"/>
        <v>0.86894888104475299</v>
      </c>
      <c r="O37" s="110">
        <f t="shared" si="34"/>
        <v>0.86067700797251734</v>
      </c>
      <c r="P37" s="110">
        <f t="shared" si="34"/>
        <v>0.82543466726469372</v>
      </c>
      <c r="Q37" s="110">
        <f t="shared" si="34"/>
        <v>0.85903064102786808</v>
      </c>
      <c r="R37" s="110">
        <f t="shared" si="34"/>
        <v>0.94015544628741199</v>
      </c>
      <c r="S37" s="110">
        <f t="shared" si="34"/>
        <v>0.96911409933371817</v>
      </c>
      <c r="T37" s="110">
        <f t="shared" si="34"/>
        <v>0.96419527686518969</v>
      </c>
      <c r="U37" s="110">
        <f t="shared" si="34"/>
        <v>0.95632814871312777</v>
      </c>
      <c r="V37" s="110">
        <f t="shared" si="34"/>
        <v>0.90666963446809412</v>
      </c>
      <c r="W37" s="110">
        <f t="shared" si="34"/>
        <v>0.96516118466731604</v>
      </c>
      <c r="X37" s="110">
        <f t="shared" si="34"/>
        <v>0.96528912967603553</v>
      </c>
      <c r="Y37" s="110">
        <f t="shared" si="34"/>
        <v>0.83216900927381143</v>
      </c>
      <c r="Z37" s="110">
        <f t="shared" si="34"/>
        <v>0.76003969338020916</v>
      </c>
      <c r="AA37" s="110">
        <f t="shared" si="34"/>
        <v>0.98081038439920953</v>
      </c>
      <c r="AB37" s="110">
        <f t="shared" si="34"/>
        <v>0.97549576425233953</v>
      </c>
      <c r="AC37" s="110">
        <f t="shared" si="34"/>
        <v>0.96841366767970671</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0</v>
      </c>
      <c r="AM37" s="110">
        <f t="shared" si="34"/>
        <v>0</v>
      </c>
      <c r="AN37" s="110">
        <f t="shared" si="34"/>
        <v>0</v>
      </c>
      <c r="AO37" s="110">
        <f t="shared" si="34"/>
        <v>0</v>
      </c>
      <c r="AP37" s="110">
        <f t="shared" si="34"/>
        <v>0</v>
      </c>
      <c r="AQ37" s="110">
        <f t="shared" si="34"/>
        <v>0</v>
      </c>
      <c r="AR37" s="110">
        <f t="shared" si="34"/>
        <v>0</v>
      </c>
      <c r="AS37" s="110">
        <f t="shared" si="34"/>
        <v>0</v>
      </c>
      <c r="AT37" s="110">
        <f t="shared" si="34"/>
        <v>1.0035290907131392E-3</v>
      </c>
      <c r="AU37" s="110">
        <f t="shared" si="34"/>
        <v>1.0035290907131392E-3</v>
      </c>
      <c r="AV37" s="110">
        <f t="shared" si="34"/>
        <v>1.0035290907131392E-3</v>
      </c>
      <c r="AW37" s="110">
        <f t="shared" si="34"/>
        <v>0</v>
      </c>
      <c r="AX37" s="110">
        <f t="shared" si="34"/>
        <v>1.7966173574535689E-5</v>
      </c>
      <c r="AY37" s="110">
        <f t="shared" si="34"/>
        <v>1.7966173574535689E-5</v>
      </c>
      <c r="AZ37" s="110" t="e">
        <f t="shared" si="34"/>
        <v>#DIV/0!</v>
      </c>
      <c r="BA37" s="110">
        <f t="shared" si="34"/>
        <v>0</v>
      </c>
      <c r="BB37" s="110">
        <f t="shared" si="34"/>
        <v>0</v>
      </c>
      <c r="BC37" s="110">
        <f t="shared" si="34"/>
        <v>0</v>
      </c>
      <c r="BD37" s="110">
        <f t="shared" si="34"/>
        <v>0</v>
      </c>
      <c r="BE37" s="110">
        <f t="shared" si="34"/>
        <v>0</v>
      </c>
      <c r="BF37" s="110">
        <f t="shared" si="34"/>
        <v>2.1669611800570064E-3</v>
      </c>
      <c r="BG37" s="110">
        <f t="shared" si="34"/>
        <v>2.166948594887E-3</v>
      </c>
      <c r="BH37" s="110">
        <f t="shared" si="34"/>
        <v>2.3185554696831309E-3</v>
      </c>
      <c r="BI37" s="110">
        <f t="shared" si="34"/>
        <v>2.701154129491692E-3</v>
      </c>
      <c r="BJ37" s="110">
        <f t="shared" si="34"/>
        <v>1.6227838857560144E-3</v>
      </c>
      <c r="BK37" s="110">
        <f t="shared" si="34"/>
        <v>1.8265674231700078E-3</v>
      </c>
      <c r="BL37" s="110">
        <f t="shared" si="34"/>
        <v>1.3948946854512485E-3</v>
      </c>
      <c r="BM37" s="110">
        <f t="shared" si="34"/>
        <v>2.3659305993690852E-3</v>
      </c>
      <c r="BN37" s="110">
        <f t="shared" si="34"/>
        <v>1.7311021350259665E-3</v>
      </c>
      <c r="BO37" s="110">
        <f t="shared" si="34"/>
        <v>1.3480116827679174E-3</v>
      </c>
      <c r="BP37" s="110">
        <f t="shared" si="34"/>
        <v>1.6211834639286678E-3</v>
      </c>
      <c r="BQ37" s="110">
        <f t="shared" si="34"/>
        <v>3.0991735537190084E-3</v>
      </c>
      <c r="BR37" s="110">
        <f t="shared" ref="BR37:CK37" si="35">BR11/BR12</f>
        <v>6.4794816414686825E-3</v>
      </c>
      <c r="BS37" s="110">
        <f t="shared" si="35"/>
        <v>5.656449039884115E-2</v>
      </c>
      <c r="BT37" s="110">
        <f t="shared" si="35"/>
        <v>6.22038664950419E-2</v>
      </c>
      <c r="BU37" s="110">
        <f t="shared" si="35"/>
        <v>9.6745773795367876E-2</v>
      </c>
      <c r="BV37" s="110">
        <f t="shared" si="35"/>
        <v>0.1111652430505137</v>
      </c>
      <c r="BW37" s="110">
        <f t="shared" si="35"/>
        <v>0.11383668386506601</v>
      </c>
      <c r="BX37" s="110">
        <f t="shared" si="35"/>
        <v>0.12705068117874815</v>
      </c>
      <c r="BY37" s="110">
        <f t="shared" si="35"/>
        <v>0.1260734454148055</v>
      </c>
      <c r="BZ37" s="110">
        <f t="shared" si="35"/>
        <v>0.4430825530459836</v>
      </c>
      <c r="CA37" s="110">
        <f t="shared" si="35"/>
        <v>0.4427023287987088</v>
      </c>
      <c r="CB37" s="110">
        <f t="shared" si="35"/>
        <v>0.57951430609486621</v>
      </c>
      <c r="CC37" s="110">
        <f t="shared" si="35"/>
        <v>0.61212093164265702</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7.7084101344052358E-2</v>
      </c>
      <c r="F39" s="224">
        <f t="shared" ref="F39:U39" si="37">F2/F9</f>
        <v>0.10910410448696764</v>
      </c>
      <c r="G39" s="224">
        <f t="shared" si="37"/>
        <v>7.5756625525452745E-2</v>
      </c>
      <c r="H39" s="224">
        <f t="shared" si="37"/>
        <v>7.1728759039656503E-2</v>
      </c>
      <c r="I39" s="224">
        <f t="shared" si="37"/>
        <v>0.13223481347339852</v>
      </c>
      <c r="J39" s="224">
        <f t="shared" si="37"/>
        <v>9.8973338779818731E-2</v>
      </c>
      <c r="K39" s="224">
        <f t="shared" si="37"/>
        <v>0.1533600990329535</v>
      </c>
      <c r="L39" s="224">
        <f t="shared" si="37"/>
        <v>0.21020618456194504</v>
      </c>
      <c r="M39" s="224">
        <f t="shared" si="37"/>
        <v>0.10027706346707549</v>
      </c>
      <c r="N39" s="224">
        <f t="shared" si="37"/>
        <v>9.633905593765793E-2</v>
      </c>
      <c r="O39" s="224">
        <f t="shared" si="37"/>
        <v>9.3942609148273432E-2</v>
      </c>
      <c r="P39" s="224">
        <f t="shared" si="37"/>
        <v>0.12063741887470901</v>
      </c>
      <c r="Q39" s="224">
        <f t="shared" si="37"/>
        <v>0.29977634362526656</v>
      </c>
      <c r="R39" s="224">
        <f t="shared" si="37"/>
        <v>0.18805706338892161</v>
      </c>
      <c r="S39" s="224">
        <f t="shared" si="37"/>
        <v>0.14144303971601674</v>
      </c>
      <c r="T39" s="224">
        <f t="shared" si="37"/>
        <v>0.1693044717355672</v>
      </c>
      <c r="U39" s="224">
        <f t="shared" si="37"/>
        <v>0.18839128090120227</v>
      </c>
    </row>
    <row r="40" spans="1:89" s="225" customFormat="1" x14ac:dyDescent="0.25">
      <c r="A40" s="222" t="s">
        <v>554</v>
      </c>
      <c r="B40" s="223"/>
      <c r="C40" s="223"/>
      <c r="D40" s="223"/>
      <c r="E40" s="224">
        <f>E3/E9</f>
        <v>3.3620304383950646E-2</v>
      </c>
      <c r="F40" s="224">
        <f t="shared" ref="F40:U40" si="38">F3/F9</f>
        <v>3.5975476149513255E-2</v>
      </c>
      <c r="G40" s="224">
        <f t="shared" si="38"/>
        <v>4.0866520807589013E-2</v>
      </c>
      <c r="H40" s="224">
        <f t="shared" si="38"/>
        <v>4.1852227232995615E-2</v>
      </c>
      <c r="I40" s="224">
        <f t="shared" si="38"/>
        <v>4.1658929218505635E-2</v>
      </c>
      <c r="J40" s="224">
        <f t="shared" si="38"/>
        <v>4.2685598143311375E-2</v>
      </c>
      <c r="K40" s="224">
        <f t="shared" si="38"/>
        <v>4.0208707761795866E-2</v>
      </c>
      <c r="L40" s="224">
        <f t="shared" si="38"/>
        <v>4.0165998129183283E-2</v>
      </c>
      <c r="M40" s="224">
        <f t="shared" si="38"/>
        <v>4.84930445303043E-2</v>
      </c>
      <c r="N40" s="224">
        <f t="shared" si="38"/>
        <v>4.5594151310316383E-2</v>
      </c>
      <c r="O40" s="224">
        <f t="shared" si="38"/>
        <v>4.7486717531876776E-2</v>
      </c>
      <c r="P40" s="224">
        <f t="shared" si="38"/>
        <v>4.8351878174355559E-2</v>
      </c>
      <c r="Q40" s="224">
        <f t="shared" si="38"/>
        <v>4.8028352530443325E-2</v>
      </c>
      <c r="R40" s="224">
        <f t="shared" si="38"/>
        <v>7.3744855955083344E-2</v>
      </c>
      <c r="S40" s="224">
        <f t="shared" si="38"/>
        <v>0.10218797785701052</v>
      </c>
      <c r="T40" s="224">
        <f t="shared" si="38"/>
        <v>0.10167777307447717</v>
      </c>
      <c r="U40" s="224">
        <f t="shared" si="38"/>
        <v>0.11612288678219593</v>
      </c>
    </row>
    <row r="41" spans="1:89" x14ac:dyDescent="0.25">
      <c r="A41" s="184" t="s">
        <v>559</v>
      </c>
      <c r="B41" s="64"/>
      <c r="C41" s="64"/>
      <c r="D41" s="64"/>
      <c r="E41" s="90">
        <f>E4/E9</f>
        <v>0.74227366300187925</v>
      </c>
      <c r="F41" s="90">
        <f t="shared" ref="F41:U41" si="39">F4/F9</f>
        <v>0.70964639518289885</v>
      </c>
      <c r="G41" s="90">
        <f t="shared" si="39"/>
        <v>0.71720159781743531</v>
      </c>
      <c r="H41" s="90">
        <f t="shared" si="39"/>
        <v>0.71877989943145182</v>
      </c>
      <c r="I41" s="90">
        <f t="shared" si="39"/>
        <v>0.65038913408226684</v>
      </c>
      <c r="J41" s="90">
        <f t="shared" si="39"/>
        <v>0.68300421184751936</v>
      </c>
      <c r="K41" s="90">
        <f t="shared" si="39"/>
        <v>0.64138873815917541</v>
      </c>
      <c r="L41" s="90">
        <f t="shared" si="39"/>
        <v>0.72937489392674359</v>
      </c>
      <c r="M41" s="90">
        <f t="shared" si="39"/>
        <v>0.81407575690381417</v>
      </c>
      <c r="N41" s="214">
        <f t="shared" si="39"/>
        <v>0.82850559845082938</v>
      </c>
      <c r="O41" s="214">
        <f t="shared" si="39"/>
        <v>0.83463918506364509</v>
      </c>
      <c r="P41" s="214">
        <f t="shared" si="39"/>
        <v>0.80828962751104338</v>
      </c>
      <c r="Q41" s="214">
        <f t="shared" si="39"/>
        <v>0.62955964659489916</v>
      </c>
      <c r="R41" s="214">
        <f t="shared" si="39"/>
        <v>0.70513121291452741</v>
      </c>
      <c r="S41" s="214">
        <f t="shared" si="39"/>
        <v>0.7253011890293527</v>
      </c>
      <c r="T41" s="214">
        <f t="shared" si="39"/>
        <v>0.7017736037023401</v>
      </c>
      <c r="U41" s="214">
        <f t="shared" si="39"/>
        <v>0.66569236991820258</v>
      </c>
    </row>
    <row r="42" spans="1:89" x14ac:dyDescent="0.25">
      <c r="A42" s="184" t="s">
        <v>335</v>
      </c>
      <c r="B42" s="64"/>
      <c r="C42" s="64"/>
      <c r="D42" s="64"/>
      <c r="E42" s="90">
        <f>E5/E9</f>
        <v>0.81647462941388771</v>
      </c>
      <c r="F42" s="90">
        <f t="shared" ref="F42:U42" si="40">F5/F9</f>
        <v>0.85681601802181528</v>
      </c>
      <c r="G42" s="90">
        <f t="shared" si="40"/>
        <v>0.8557829625626473</v>
      </c>
      <c r="H42" s="90">
        <f t="shared" si="40"/>
        <v>0.84205276537013596</v>
      </c>
      <c r="I42" s="90">
        <f t="shared" si="40"/>
        <v>0.90358988731562895</v>
      </c>
      <c r="J42" s="90">
        <f t="shared" si="40"/>
        <v>0.99912749565097814</v>
      </c>
      <c r="K42" s="90">
        <f t="shared" si="40"/>
        <v>0.99033646205114878</v>
      </c>
      <c r="L42" s="90">
        <f t="shared" si="40"/>
        <v>1.1493737164847728</v>
      </c>
      <c r="M42" s="90">
        <f t="shared" si="40"/>
        <v>1.5715430399556234</v>
      </c>
      <c r="N42" s="214">
        <f t="shared" si="40"/>
        <v>1.4238978344536137</v>
      </c>
      <c r="O42" s="214">
        <f t="shared" si="40"/>
        <v>1.3296030571604087</v>
      </c>
      <c r="P42" s="214">
        <f t="shared" si="40"/>
        <v>1.194882851862004</v>
      </c>
      <c r="Q42" s="214">
        <f t="shared" si="40"/>
        <v>0.99281967228099222</v>
      </c>
      <c r="R42" s="214">
        <f t="shared" si="40"/>
        <v>1.4147693861822983</v>
      </c>
      <c r="S42" s="214">
        <f t="shared" si="40"/>
        <v>1.3988518748560883</v>
      </c>
      <c r="T42" s="214">
        <f t="shared" si="40"/>
        <v>1.3963945763175905</v>
      </c>
      <c r="U42" s="214">
        <f t="shared" si="40"/>
        <v>1.3496561441308039</v>
      </c>
    </row>
    <row r="43" spans="1:89" x14ac:dyDescent="0.25">
      <c r="A43" s="184" t="s">
        <v>336</v>
      </c>
      <c r="B43" s="64"/>
      <c r="C43" s="64"/>
      <c r="D43" s="64"/>
      <c r="E43" s="90">
        <f>E6/E9</f>
        <v>7.4200966412008518E-2</v>
      </c>
      <c r="F43" s="90">
        <f t="shared" ref="F43:U43" si="41">F6/F9</f>
        <v>0.14716962283891649</v>
      </c>
      <c r="G43" s="90">
        <f t="shared" si="41"/>
        <v>0.13858136474521193</v>
      </c>
      <c r="H43" s="90">
        <f t="shared" si="41"/>
        <v>0.12327286593868407</v>
      </c>
      <c r="I43" s="90">
        <f t="shared" si="41"/>
        <v>0.25320075323336216</v>
      </c>
      <c r="J43" s="90">
        <f t="shared" si="41"/>
        <v>0.31612328380345883</v>
      </c>
      <c r="K43" s="90">
        <f t="shared" si="41"/>
        <v>0.34894772389197337</v>
      </c>
      <c r="L43" s="90">
        <f t="shared" si="41"/>
        <v>0.41999882255802917</v>
      </c>
      <c r="M43" s="90">
        <f t="shared" si="41"/>
        <v>0.75746728305180921</v>
      </c>
      <c r="N43" s="214">
        <f t="shared" si="41"/>
        <v>0.59539223600278424</v>
      </c>
      <c r="O43" s="214">
        <f t="shared" si="41"/>
        <v>0.49496387209676357</v>
      </c>
      <c r="P43" s="214">
        <f t="shared" si="41"/>
        <v>0.38659322435096072</v>
      </c>
      <c r="Q43" s="214">
        <f t="shared" si="41"/>
        <v>0.36326002568609295</v>
      </c>
      <c r="R43" s="214">
        <f t="shared" si="41"/>
        <v>0.70963817326777079</v>
      </c>
      <c r="S43" s="214">
        <f t="shared" si="41"/>
        <v>0.6735506858267355</v>
      </c>
      <c r="T43" s="214">
        <f t="shared" si="41"/>
        <v>0.69462097261525046</v>
      </c>
      <c r="U43" s="214">
        <f t="shared" si="41"/>
        <v>0.68396377421260146</v>
      </c>
    </row>
    <row r="44" spans="1:89" x14ac:dyDescent="0.25">
      <c r="A44" s="184" t="s">
        <v>337</v>
      </c>
      <c r="B44" s="64"/>
      <c r="C44" s="64"/>
      <c r="D44" s="64"/>
      <c r="E44" s="90">
        <f>E7/E9</f>
        <v>0.14702193127011787</v>
      </c>
      <c r="F44" s="90">
        <f t="shared" ref="F44:U44" si="42">F7/F9</f>
        <v>0.14527402418062035</v>
      </c>
      <c r="G44" s="90">
        <f t="shared" si="42"/>
        <v>0.16617525584952297</v>
      </c>
      <c r="H44" s="90">
        <f t="shared" si="42"/>
        <v>0.16763911429589617</v>
      </c>
      <c r="I44" s="90">
        <f t="shared" si="42"/>
        <v>0.17571712322582914</v>
      </c>
      <c r="J44" s="90">
        <f t="shared" si="42"/>
        <v>0.17533685122935053</v>
      </c>
      <c r="K44" s="90">
        <f t="shared" si="42"/>
        <v>0.16504245504607537</v>
      </c>
      <c r="L44" s="90">
        <f t="shared" si="42"/>
        <v>2.0252923382128071E-2</v>
      </c>
      <c r="M44" s="90">
        <f t="shared" si="42"/>
        <v>3.7154135098806072E-2</v>
      </c>
      <c r="N44" s="214">
        <f t="shared" si="42"/>
        <v>2.9561194301196355E-2</v>
      </c>
      <c r="O44" s="214">
        <f t="shared" si="42"/>
        <v>2.3931488256204697E-2</v>
      </c>
      <c r="P44" s="214">
        <f t="shared" si="42"/>
        <v>2.2721075439892022E-2</v>
      </c>
      <c r="Q44" s="214">
        <f t="shared" si="42"/>
        <v>2.2635657249390914E-2</v>
      </c>
      <c r="R44" s="214">
        <f t="shared" si="42"/>
        <v>3.306686774146763E-2</v>
      </c>
      <c r="S44" s="214">
        <f t="shared" si="42"/>
        <v>3.1067793397620138E-2</v>
      </c>
      <c r="T44" s="214">
        <f t="shared" si="42"/>
        <v>2.724415148761565E-2</v>
      </c>
      <c r="U44" s="214">
        <f t="shared" si="42"/>
        <v>2.9793462398399265E-2</v>
      </c>
    </row>
    <row r="45" spans="1:89" s="225" customFormat="1" x14ac:dyDescent="0.25">
      <c r="A45" s="222" t="s">
        <v>338</v>
      </c>
      <c r="B45" s="223"/>
      <c r="C45" s="223"/>
      <c r="D45" s="223"/>
      <c r="E45" s="224">
        <f>E8/E9</f>
        <v>0.88929559427199711</v>
      </c>
      <c r="F45" s="224">
        <f t="shared" ref="F45:U45" si="43">F8/F9</f>
        <v>0.85492041936351915</v>
      </c>
      <c r="G45" s="224">
        <f t="shared" si="43"/>
        <v>0.88337685366695828</v>
      </c>
      <c r="H45" s="224">
        <f t="shared" si="43"/>
        <v>0.88641901372734788</v>
      </c>
      <c r="I45" s="224">
        <f t="shared" si="43"/>
        <v>0.82610625730809595</v>
      </c>
      <c r="J45" s="224">
        <f t="shared" si="43"/>
        <v>0.85834106307686986</v>
      </c>
      <c r="K45" s="224">
        <f t="shared" si="43"/>
        <v>0.8064311932052507</v>
      </c>
      <c r="L45" s="224">
        <f t="shared" si="43"/>
        <v>0.74962781730887162</v>
      </c>
      <c r="M45" s="224">
        <f t="shared" si="43"/>
        <v>0.85122989200262023</v>
      </c>
      <c r="N45" s="224">
        <f t="shared" si="43"/>
        <v>0.85806679275202569</v>
      </c>
      <c r="O45" s="224">
        <f t="shared" si="43"/>
        <v>0.85857067331984982</v>
      </c>
      <c r="P45" s="224">
        <f t="shared" si="43"/>
        <v>0.83101070295093538</v>
      </c>
      <c r="Q45" s="224">
        <f t="shared" si="43"/>
        <v>0.65219530384429014</v>
      </c>
      <c r="R45" s="224">
        <f t="shared" si="43"/>
        <v>0.73819808065599501</v>
      </c>
      <c r="S45" s="224">
        <f t="shared" si="43"/>
        <v>0.75636898242697281</v>
      </c>
      <c r="T45" s="224">
        <f t="shared" si="43"/>
        <v>0.72901775518995571</v>
      </c>
      <c r="U45" s="224">
        <f t="shared" si="43"/>
        <v>0.69548583231660188</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8.7075789253638569E-2</v>
      </c>
      <c r="F47" s="90">
        <f t="shared" ref="F47:U47" si="45">F10/F14</f>
        <v>2.8492008140727137E-2</v>
      </c>
      <c r="G47" s="90">
        <f t="shared" si="45"/>
        <v>6.1779093909546161E-2</v>
      </c>
      <c r="H47" s="90">
        <f t="shared" si="45"/>
        <v>3.279345674190666E-2</v>
      </c>
      <c r="I47" s="90">
        <f t="shared" si="45"/>
        <v>3.7503744232783146E-2</v>
      </c>
      <c r="J47" s="90">
        <f t="shared" si="45"/>
        <v>7.1373554137697401E-2</v>
      </c>
      <c r="K47" s="90">
        <f t="shared" si="45"/>
        <v>4.052409441269969E-2</v>
      </c>
      <c r="L47" s="90">
        <f t="shared" si="45"/>
        <v>5.9234245045966638E-2</v>
      </c>
      <c r="M47" s="90">
        <f t="shared" si="45"/>
        <v>9.2363356908349237E-2</v>
      </c>
      <c r="N47" s="214">
        <f t="shared" si="45"/>
        <v>8.0891440995743955E-2</v>
      </c>
      <c r="O47" s="214">
        <f t="shared" si="45"/>
        <v>8.5431449866139597E-2</v>
      </c>
      <c r="P47" s="214">
        <f t="shared" si="45"/>
        <v>0.11114884038073007</v>
      </c>
      <c r="Q47" s="214">
        <f t="shared" si="45"/>
        <v>8.9038075325430899E-2</v>
      </c>
      <c r="R47" s="214">
        <f t="shared" si="45"/>
        <v>3.8074042739524916E-2</v>
      </c>
      <c r="S47" s="214">
        <f t="shared" si="45"/>
        <v>1.9489886767497404E-2</v>
      </c>
      <c r="T47" s="214">
        <f t="shared" si="45"/>
        <v>2.2701890625652376E-2</v>
      </c>
      <c r="U47" s="214">
        <f t="shared" si="45"/>
        <v>2.5604245912689314E-2</v>
      </c>
    </row>
    <row r="48" spans="1:89" x14ac:dyDescent="0.25">
      <c r="A48" s="184" t="s">
        <v>341</v>
      </c>
      <c r="B48" s="64"/>
      <c r="C48" s="64"/>
      <c r="D48" s="64"/>
      <c r="E48" s="90">
        <f>E11/E14</f>
        <v>0.36884427438592898</v>
      </c>
      <c r="F48" s="90">
        <f t="shared" ref="F48:U48" si="46">F11/F14</f>
        <v>0.4383937329531663</v>
      </c>
      <c r="G48" s="90">
        <f t="shared" si="46"/>
        <v>0.32474263908867357</v>
      </c>
      <c r="H48" s="90">
        <f t="shared" si="46"/>
        <v>0.35543881505615443</v>
      </c>
      <c r="I48" s="90">
        <f t="shared" si="46"/>
        <v>0.33616989587141693</v>
      </c>
      <c r="J48" s="90">
        <f t="shared" si="46"/>
        <v>0.32191495662932551</v>
      </c>
      <c r="K48" s="90">
        <f t="shared" si="46"/>
        <v>0.3864425866189462</v>
      </c>
      <c r="L48" s="90">
        <f t="shared" si="46"/>
        <v>0.56679075399481049</v>
      </c>
      <c r="M48" s="90">
        <f t="shared" si="46"/>
        <v>0.50995464741573515</v>
      </c>
      <c r="N48" s="214">
        <f t="shared" si="46"/>
        <v>0.53635961065966187</v>
      </c>
      <c r="O48" s="214">
        <f t="shared" si="46"/>
        <v>0.52775843805478262</v>
      </c>
      <c r="P48" s="214">
        <f t="shared" si="46"/>
        <v>0.52556887807523223</v>
      </c>
      <c r="Q48" s="214">
        <f t="shared" si="46"/>
        <v>0.54257489344058851</v>
      </c>
      <c r="R48" s="214">
        <f t="shared" si="46"/>
        <v>0.59814162564662188</v>
      </c>
      <c r="S48" s="214">
        <f t="shared" si="46"/>
        <v>0.61153871680418237</v>
      </c>
      <c r="T48" s="214">
        <f t="shared" si="46"/>
        <v>0.611345481844628</v>
      </c>
      <c r="U48" s="214">
        <f t="shared" si="46"/>
        <v>0.56068291980647755</v>
      </c>
    </row>
    <row r="49" spans="1:21" x14ac:dyDescent="0.25">
      <c r="A49" s="184" t="s">
        <v>342</v>
      </c>
      <c r="B49" s="64"/>
      <c r="C49" s="64"/>
      <c r="D49" s="64"/>
      <c r="E49" s="90">
        <f>E12/E14</f>
        <v>0.45592006363956755</v>
      </c>
      <c r="F49" s="90">
        <f t="shared" ref="F49:U49" si="47">F12/F14</f>
        <v>0.46688574109389341</v>
      </c>
      <c r="G49" s="90">
        <f t="shared" si="47"/>
        <v>0.38652173299821974</v>
      </c>
      <c r="H49" s="90">
        <f t="shared" si="47"/>
        <v>0.38823227179806113</v>
      </c>
      <c r="I49" s="90">
        <f t="shared" si="47"/>
        <v>0.37367364010420007</v>
      </c>
      <c r="J49" s="90">
        <f t="shared" si="47"/>
        <v>0.39328851076702293</v>
      </c>
      <c r="K49" s="90">
        <f t="shared" si="47"/>
        <v>0.42696668103164592</v>
      </c>
      <c r="L49" s="90">
        <f t="shared" si="47"/>
        <v>0.62602499904077702</v>
      </c>
      <c r="M49" s="90">
        <f t="shared" si="47"/>
        <v>0.60231800432408433</v>
      </c>
      <c r="N49" s="214">
        <f t="shared" si="47"/>
        <v>0.61725105165540584</v>
      </c>
      <c r="O49" s="214">
        <f t="shared" si="47"/>
        <v>0.61318988792092222</v>
      </c>
      <c r="P49" s="214">
        <f t="shared" si="47"/>
        <v>0.63671771845596237</v>
      </c>
      <c r="Q49" s="214">
        <f t="shared" si="47"/>
        <v>0.63161296876601947</v>
      </c>
      <c r="R49" s="214">
        <f t="shared" si="47"/>
        <v>0.63621566838614674</v>
      </c>
      <c r="S49" s="214">
        <f t="shared" si="47"/>
        <v>0.63102860357167978</v>
      </c>
      <c r="T49" s="214">
        <f t="shared" si="47"/>
        <v>0.63404737247028042</v>
      </c>
      <c r="U49" s="214">
        <f t="shared" si="47"/>
        <v>0.58628716571916684</v>
      </c>
    </row>
    <row r="50" spans="1:21" x14ac:dyDescent="0.25">
      <c r="A50" s="184" t="s">
        <v>346</v>
      </c>
      <c r="B50" s="64"/>
      <c r="C50" s="64"/>
      <c r="D50" s="64"/>
      <c r="E50" s="90">
        <f>E13/E14</f>
        <v>0.5440799363604325</v>
      </c>
      <c r="F50" s="90">
        <f t="shared" ref="F50:U50" si="48">F13/F14</f>
        <v>0.53311425890610664</v>
      </c>
      <c r="G50" s="90">
        <f t="shared" si="48"/>
        <v>0.61347826700178032</v>
      </c>
      <c r="H50" s="90">
        <f t="shared" si="48"/>
        <v>0.61176772820193881</v>
      </c>
      <c r="I50" s="90">
        <f t="shared" si="48"/>
        <v>0.62632635989579999</v>
      </c>
      <c r="J50" s="90">
        <f t="shared" si="48"/>
        <v>0.60671148923297713</v>
      </c>
      <c r="K50" s="90">
        <f t="shared" si="48"/>
        <v>0.57303331896835408</v>
      </c>
      <c r="L50" s="90">
        <f t="shared" si="48"/>
        <v>0.37397500095922293</v>
      </c>
      <c r="M50" s="90">
        <f t="shared" si="48"/>
        <v>0.39768199567591567</v>
      </c>
      <c r="N50" s="214">
        <f t="shared" si="48"/>
        <v>0.38274894834459416</v>
      </c>
      <c r="O50" s="214">
        <f t="shared" si="48"/>
        <v>0.38681011207907778</v>
      </c>
      <c r="P50" s="214">
        <f t="shared" si="48"/>
        <v>0.36328228154403763</v>
      </c>
      <c r="Q50" s="214">
        <f t="shared" si="48"/>
        <v>0.36838703123398059</v>
      </c>
      <c r="R50" s="214">
        <f t="shared" si="48"/>
        <v>0.36378433161385321</v>
      </c>
      <c r="S50" s="214">
        <f t="shared" si="48"/>
        <v>0.36897139642832022</v>
      </c>
      <c r="T50" s="214">
        <f t="shared" si="48"/>
        <v>0.36595262752971963</v>
      </c>
      <c r="U50" s="214">
        <f t="shared" si="48"/>
        <v>0.41371283428083316</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7.7084101344052358E-2</v>
      </c>
      <c r="F55" s="214">
        <f t="shared" ref="F55:U55" si="51">F2/F9</f>
        <v>0.10910410448696764</v>
      </c>
      <c r="G55" s="214">
        <f t="shared" si="51"/>
        <v>7.5756625525452745E-2</v>
      </c>
      <c r="H55" s="214">
        <f t="shared" si="51"/>
        <v>7.1728759039656503E-2</v>
      </c>
      <c r="I55" s="214">
        <f t="shared" si="51"/>
        <v>0.13223481347339852</v>
      </c>
      <c r="J55" s="214">
        <f t="shared" si="51"/>
        <v>9.8973338779818731E-2</v>
      </c>
      <c r="K55" s="214">
        <f t="shared" si="51"/>
        <v>0.1533600990329535</v>
      </c>
      <c r="L55" s="214">
        <f t="shared" si="51"/>
        <v>0.21020618456194504</v>
      </c>
      <c r="M55" s="214">
        <f t="shared" si="51"/>
        <v>0.10027706346707549</v>
      </c>
      <c r="N55" s="214">
        <f t="shared" si="51"/>
        <v>9.633905593765793E-2</v>
      </c>
      <c r="O55" s="214">
        <f t="shared" si="51"/>
        <v>9.3942609148273432E-2</v>
      </c>
      <c r="P55" s="214">
        <f t="shared" si="51"/>
        <v>0.12063741887470901</v>
      </c>
      <c r="Q55" s="214">
        <f t="shared" si="51"/>
        <v>0.29977634362526656</v>
      </c>
      <c r="R55" s="214">
        <f t="shared" si="51"/>
        <v>0.18805706338892161</v>
      </c>
      <c r="S55" s="214">
        <f t="shared" si="51"/>
        <v>0.14144303971601674</v>
      </c>
      <c r="T55" s="214">
        <f t="shared" si="51"/>
        <v>0.1693044717355672</v>
      </c>
      <c r="U55" s="214">
        <f t="shared" si="51"/>
        <v>0.18839128090120227</v>
      </c>
    </row>
    <row r="56" spans="1:21" x14ac:dyDescent="0.25">
      <c r="A56" s="184" t="s">
        <v>647</v>
      </c>
      <c r="B56" s="64"/>
      <c r="C56" s="64"/>
      <c r="D56" s="64"/>
      <c r="E56" s="214">
        <f>E4/E9</f>
        <v>0.74227366300187925</v>
      </c>
      <c r="F56" s="214">
        <f t="shared" ref="F56:U56" si="52">F4/F9</f>
        <v>0.70964639518289885</v>
      </c>
      <c r="G56" s="214">
        <f t="shared" si="52"/>
        <v>0.71720159781743531</v>
      </c>
      <c r="H56" s="214">
        <f t="shared" si="52"/>
        <v>0.71877989943145182</v>
      </c>
      <c r="I56" s="214">
        <f t="shared" si="52"/>
        <v>0.65038913408226684</v>
      </c>
      <c r="J56" s="214">
        <f t="shared" si="52"/>
        <v>0.68300421184751936</v>
      </c>
      <c r="K56" s="214">
        <f t="shared" si="52"/>
        <v>0.64138873815917541</v>
      </c>
      <c r="L56" s="214">
        <f t="shared" si="52"/>
        <v>0.72937489392674359</v>
      </c>
      <c r="M56" s="214">
        <f t="shared" si="52"/>
        <v>0.81407575690381417</v>
      </c>
      <c r="N56" s="214">
        <f t="shared" si="52"/>
        <v>0.82850559845082938</v>
      </c>
      <c r="O56" s="214">
        <f t="shared" si="52"/>
        <v>0.83463918506364509</v>
      </c>
      <c r="P56" s="214">
        <f t="shared" si="52"/>
        <v>0.80828962751104338</v>
      </c>
      <c r="Q56" s="214">
        <f t="shared" si="52"/>
        <v>0.62955964659489916</v>
      </c>
      <c r="R56" s="214">
        <f t="shared" si="52"/>
        <v>0.70513121291452741</v>
      </c>
      <c r="S56" s="214">
        <f t="shared" si="52"/>
        <v>0.7253011890293527</v>
      </c>
      <c r="T56" s="214">
        <f t="shared" si="52"/>
        <v>0.7017736037023401</v>
      </c>
      <c r="U56" s="214">
        <f t="shared" si="52"/>
        <v>0.66569236991820258</v>
      </c>
    </row>
    <row r="57" spans="1:21" x14ac:dyDescent="0.25">
      <c r="A57" s="184" t="s">
        <v>648</v>
      </c>
      <c r="B57" s="64"/>
      <c r="C57" s="64"/>
      <c r="D57" s="64"/>
      <c r="E57" s="214">
        <f>E5/E9</f>
        <v>0.81647462941388771</v>
      </c>
      <c r="F57" s="214">
        <f t="shared" ref="F57:U57" si="53">F5/F9</f>
        <v>0.85681601802181528</v>
      </c>
      <c r="G57" s="214">
        <f t="shared" si="53"/>
        <v>0.8557829625626473</v>
      </c>
      <c r="H57" s="214">
        <f t="shared" si="53"/>
        <v>0.84205276537013596</v>
      </c>
      <c r="I57" s="214">
        <f t="shared" si="53"/>
        <v>0.90358988731562895</v>
      </c>
      <c r="J57" s="214">
        <f t="shared" si="53"/>
        <v>0.99912749565097814</v>
      </c>
      <c r="K57" s="214">
        <f t="shared" si="53"/>
        <v>0.99033646205114878</v>
      </c>
      <c r="L57" s="214">
        <f t="shared" si="53"/>
        <v>1.1493737164847728</v>
      </c>
      <c r="M57" s="214">
        <f t="shared" si="53"/>
        <v>1.5715430399556234</v>
      </c>
      <c r="N57" s="214">
        <f t="shared" si="53"/>
        <v>1.4238978344536137</v>
      </c>
      <c r="O57" s="214">
        <f t="shared" si="53"/>
        <v>1.3296030571604087</v>
      </c>
      <c r="P57" s="214">
        <f t="shared" si="53"/>
        <v>1.194882851862004</v>
      </c>
      <c r="Q57" s="214">
        <f t="shared" si="53"/>
        <v>0.99281967228099222</v>
      </c>
      <c r="R57" s="214">
        <f t="shared" si="53"/>
        <v>1.4147693861822983</v>
      </c>
      <c r="S57" s="214">
        <f t="shared" si="53"/>
        <v>1.3988518748560883</v>
      </c>
      <c r="T57" s="214">
        <f t="shared" si="53"/>
        <v>1.3963945763175905</v>
      </c>
      <c r="U57" s="214">
        <f t="shared" si="53"/>
        <v>1.3496561441308039</v>
      </c>
    </row>
    <row r="58" spans="1:21" x14ac:dyDescent="0.25">
      <c r="A58" s="184" t="s">
        <v>649</v>
      </c>
      <c r="B58" s="64"/>
      <c r="C58" s="64"/>
      <c r="D58" s="64"/>
      <c r="E58" s="214">
        <f>E6/E9</f>
        <v>7.4200966412008518E-2</v>
      </c>
      <c r="F58" s="214">
        <f t="shared" ref="F58:U58" si="54">F6/F9</f>
        <v>0.14716962283891649</v>
      </c>
      <c r="G58" s="214">
        <f t="shared" si="54"/>
        <v>0.13858136474521193</v>
      </c>
      <c r="H58" s="214">
        <f t="shared" si="54"/>
        <v>0.12327286593868407</v>
      </c>
      <c r="I58" s="214">
        <f t="shared" si="54"/>
        <v>0.25320075323336216</v>
      </c>
      <c r="J58" s="214">
        <f t="shared" si="54"/>
        <v>0.31612328380345883</v>
      </c>
      <c r="K58" s="214">
        <f t="shared" si="54"/>
        <v>0.34894772389197337</v>
      </c>
      <c r="L58" s="214">
        <f t="shared" si="54"/>
        <v>0.41999882255802917</v>
      </c>
      <c r="M58" s="214">
        <f t="shared" si="54"/>
        <v>0.75746728305180921</v>
      </c>
      <c r="N58" s="214">
        <f t="shared" si="54"/>
        <v>0.59539223600278424</v>
      </c>
      <c r="O58" s="214">
        <f t="shared" si="54"/>
        <v>0.49496387209676357</v>
      </c>
      <c r="P58" s="214">
        <f t="shared" si="54"/>
        <v>0.38659322435096072</v>
      </c>
      <c r="Q58" s="214">
        <f t="shared" si="54"/>
        <v>0.36326002568609295</v>
      </c>
      <c r="R58" s="214">
        <f t="shared" si="54"/>
        <v>0.70963817326777079</v>
      </c>
      <c r="S58" s="214">
        <f t="shared" si="54"/>
        <v>0.6735506858267355</v>
      </c>
      <c r="T58" s="214">
        <f t="shared" si="54"/>
        <v>0.69462097261525046</v>
      </c>
      <c r="U58" s="214">
        <f t="shared" si="54"/>
        <v>0.68396377421260146</v>
      </c>
    </row>
    <row r="59" spans="1:21" s="225" customFormat="1" x14ac:dyDescent="0.25">
      <c r="A59" s="227" t="s">
        <v>643</v>
      </c>
      <c r="B59" s="223"/>
      <c r="C59" s="223"/>
      <c r="D59" s="223"/>
      <c r="E59" s="224">
        <f>E55+E56</f>
        <v>0.81935776434593155</v>
      </c>
      <c r="F59" s="224">
        <f t="shared" ref="F59:U59" si="55">F55+F56</f>
        <v>0.81875049966986646</v>
      </c>
      <c r="G59" s="224">
        <f t="shared" si="55"/>
        <v>0.79295822334288801</v>
      </c>
      <c r="H59" s="224">
        <f t="shared" si="55"/>
        <v>0.79050865847110829</v>
      </c>
      <c r="I59" s="224">
        <f t="shared" si="55"/>
        <v>0.78262394755566533</v>
      </c>
      <c r="J59" s="224">
        <f t="shared" si="55"/>
        <v>0.78197755062733809</v>
      </c>
      <c r="K59" s="224">
        <f t="shared" si="55"/>
        <v>0.79474883719212897</v>
      </c>
      <c r="L59" s="224">
        <f t="shared" si="55"/>
        <v>0.93958107848868866</v>
      </c>
      <c r="M59" s="224">
        <f t="shared" si="55"/>
        <v>0.91435282037088972</v>
      </c>
      <c r="N59" s="224">
        <f t="shared" si="55"/>
        <v>0.92484465438848729</v>
      </c>
      <c r="O59" s="224">
        <f t="shared" si="55"/>
        <v>0.92858179421191855</v>
      </c>
      <c r="P59" s="224">
        <f t="shared" si="55"/>
        <v>0.92892704638575241</v>
      </c>
      <c r="Q59" s="224">
        <f t="shared" si="55"/>
        <v>0.92933599022016566</v>
      </c>
      <c r="R59" s="224">
        <f t="shared" si="55"/>
        <v>0.89318827630344899</v>
      </c>
      <c r="S59" s="224">
        <f t="shared" si="55"/>
        <v>0.86674422874536949</v>
      </c>
      <c r="T59" s="224">
        <f t="shared" si="55"/>
        <v>0.87107807543790727</v>
      </c>
      <c r="U59" s="224">
        <f t="shared" si="55"/>
        <v>0.85408365081940485</v>
      </c>
    </row>
    <row r="60" spans="1:21" x14ac:dyDescent="0.25">
      <c r="A60" s="184" t="s">
        <v>650</v>
      </c>
      <c r="B60" s="64"/>
      <c r="C60" s="64"/>
      <c r="D60" s="64"/>
      <c r="E60" s="214">
        <f>E3/E9</f>
        <v>3.3620304383950646E-2</v>
      </c>
      <c r="F60" s="214">
        <f t="shared" ref="F60:U60" si="56">F3/F9</f>
        <v>3.5975476149513255E-2</v>
      </c>
      <c r="G60" s="214">
        <f t="shared" si="56"/>
        <v>4.0866520807589013E-2</v>
      </c>
      <c r="H60" s="214">
        <f t="shared" si="56"/>
        <v>4.1852227232995615E-2</v>
      </c>
      <c r="I60" s="214">
        <f t="shared" si="56"/>
        <v>4.1658929218505635E-2</v>
      </c>
      <c r="J60" s="214">
        <f t="shared" si="56"/>
        <v>4.2685598143311375E-2</v>
      </c>
      <c r="K60" s="214">
        <f t="shared" si="56"/>
        <v>4.0208707761795866E-2</v>
      </c>
      <c r="L60" s="214">
        <f t="shared" si="56"/>
        <v>4.0165998129183283E-2</v>
      </c>
      <c r="M60" s="214">
        <f t="shared" si="56"/>
        <v>4.84930445303043E-2</v>
      </c>
      <c r="N60" s="214">
        <f t="shared" si="56"/>
        <v>4.5594151310316383E-2</v>
      </c>
      <c r="O60" s="214">
        <f t="shared" si="56"/>
        <v>4.7486717531876776E-2</v>
      </c>
      <c r="P60" s="214">
        <f t="shared" si="56"/>
        <v>4.8351878174355559E-2</v>
      </c>
      <c r="Q60" s="214">
        <f t="shared" si="56"/>
        <v>4.8028352530443325E-2</v>
      </c>
      <c r="R60" s="214">
        <f t="shared" si="56"/>
        <v>7.3744855955083344E-2</v>
      </c>
      <c r="S60" s="214">
        <f t="shared" si="56"/>
        <v>0.10218797785701052</v>
      </c>
      <c r="T60" s="214">
        <f t="shared" si="56"/>
        <v>0.10167777307447717</v>
      </c>
      <c r="U60" s="214">
        <f t="shared" si="56"/>
        <v>0.11612288678219593</v>
      </c>
    </row>
    <row r="61" spans="1:21" x14ac:dyDescent="0.25">
      <c r="A61" s="184" t="s">
        <v>651</v>
      </c>
      <c r="B61" s="64"/>
      <c r="C61" s="64"/>
      <c r="D61" s="64"/>
      <c r="E61" s="214">
        <f>E7/E9</f>
        <v>0.14702193127011787</v>
      </c>
      <c r="F61" s="214">
        <f t="shared" ref="F61:U61" si="57">F7/F9</f>
        <v>0.14527402418062035</v>
      </c>
      <c r="G61" s="214">
        <f t="shared" si="57"/>
        <v>0.16617525584952297</v>
      </c>
      <c r="H61" s="214">
        <f t="shared" si="57"/>
        <v>0.16763911429589617</v>
      </c>
      <c r="I61" s="214">
        <f t="shared" si="57"/>
        <v>0.17571712322582914</v>
      </c>
      <c r="J61" s="214">
        <f t="shared" si="57"/>
        <v>0.17533685122935053</v>
      </c>
      <c r="K61" s="214">
        <f t="shared" si="57"/>
        <v>0.16504245504607537</v>
      </c>
      <c r="L61" s="214">
        <f t="shared" si="57"/>
        <v>2.0252923382128071E-2</v>
      </c>
      <c r="M61" s="214">
        <f t="shared" si="57"/>
        <v>3.7154135098806072E-2</v>
      </c>
      <c r="N61" s="214">
        <f t="shared" si="57"/>
        <v>2.9561194301196355E-2</v>
      </c>
      <c r="O61" s="214">
        <f t="shared" si="57"/>
        <v>2.3931488256204697E-2</v>
      </c>
      <c r="P61" s="214">
        <f t="shared" si="57"/>
        <v>2.2721075439892022E-2</v>
      </c>
      <c r="Q61" s="214">
        <f t="shared" si="57"/>
        <v>2.2635657249390914E-2</v>
      </c>
      <c r="R61" s="214">
        <f t="shared" si="57"/>
        <v>3.306686774146763E-2</v>
      </c>
      <c r="S61" s="214">
        <f t="shared" si="57"/>
        <v>3.1067793397620138E-2</v>
      </c>
      <c r="T61" s="214">
        <f t="shared" si="57"/>
        <v>2.724415148761565E-2</v>
      </c>
      <c r="U61" s="214">
        <f t="shared" si="57"/>
        <v>2.9793462398399265E-2</v>
      </c>
    </row>
    <row r="62" spans="1:21" s="225" customFormat="1" x14ac:dyDescent="0.25">
      <c r="A62" s="227" t="s">
        <v>644</v>
      </c>
      <c r="B62" s="223"/>
      <c r="C62" s="223"/>
      <c r="D62" s="223"/>
      <c r="E62" s="224">
        <f>E60+E61</f>
        <v>0.18064223565406851</v>
      </c>
      <c r="F62" s="224">
        <f t="shared" ref="F62:M62" si="58">F60+F61</f>
        <v>0.18124950033013359</v>
      </c>
      <c r="G62" s="224">
        <f t="shared" si="58"/>
        <v>0.20704177665711199</v>
      </c>
      <c r="H62" s="224">
        <f t="shared" si="58"/>
        <v>0.20949134152889179</v>
      </c>
      <c r="I62" s="224">
        <f t="shared" si="58"/>
        <v>0.21737605244433478</v>
      </c>
      <c r="J62" s="224">
        <f t="shared" si="58"/>
        <v>0.21802244937266191</v>
      </c>
      <c r="K62" s="224">
        <f t="shared" si="58"/>
        <v>0.20525116280787123</v>
      </c>
      <c r="L62" s="224">
        <f t="shared" si="58"/>
        <v>6.0418921511311355E-2</v>
      </c>
      <c r="M62" s="224">
        <f t="shared" si="58"/>
        <v>8.5647179629110365E-2</v>
      </c>
      <c r="N62" s="224">
        <f t="shared" ref="N62" si="59">N60+N61</f>
        <v>7.5155345611512742E-2</v>
      </c>
      <c r="O62" s="224">
        <f t="shared" ref="O62" si="60">O60+O61</f>
        <v>7.1418205788081474E-2</v>
      </c>
      <c r="P62" s="224">
        <f t="shared" ref="P62" si="61">P60+P61</f>
        <v>7.1072953614247578E-2</v>
      </c>
      <c r="Q62" s="224">
        <f t="shared" ref="Q62" si="62">Q60+Q61</f>
        <v>7.0664009779834239E-2</v>
      </c>
      <c r="R62" s="224">
        <f t="shared" ref="R62" si="63">R60+R61</f>
        <v>0.10681172369655098</v>
      </c>
      <c r="S62" s="224">
        <f t="shared" ref="S62" si="64">S60+S61</f>
        <v>0.13325577125463064</v>
      </c>
      <c r="T62" s="224">
        <f t="shared" ref="T62" si="65">T60+T61</f>
        <v>0.12892192456209284</v>
      </c>
      <c r="U62" s="224">
        <f t="shared" ref="U62" si="66">U60+U61</f>
        <v>0.14591634918059521</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1046132494.76</v>
      </c>
      <c r="F67" s="193">
        <f t="shared" ref="F67:U67" si="68">F10</f>
        <v>354304744.23000002</v>
      </c>
      <c r="G67" s="193">
        <f t="shared" si="68"/>
        <v>671775769.23000002</v>
      </c>
      <c r="H67" s="193">
        <f t="shared" si="68"/>
        <v>354967577</v>
      </c>
      <c r="I67" s="193">
        <f t="shared" si="68"/>
        <v>408082843.14999998</v>
      </c>
      <c r="J67" s="193">
        <f t="shared" si="68"/>
        <v>761664986.09000003</v>
      </c>
      <c r="K67" s="193">
        <f t="shared" si="68"/>
        <v>459126210.38999999</v>
      </c>
      <c r="L67" s="193">
        <f t="shared" si="68"/>
        <v>544791538.20000005</v>
      </c>
      <c r="M67" s="193">
        <f t="shared" si="68"/>
        <v>703790797.21000004</v>
      </c>
      <c r="N67" s="193">
        <f t="shared" si="68"/>
        <v>659311137.65999997</v>
      </c>
      <c r="O67" s="193">
        <f t="shared" si="68"/>
        <v>722539423.54999995</v>
      </c>
      <c r="P67" s="193">
        <f t="shared" si="68"/>
        <v>924293525.94000006</v>
      </c>
      <c r="Q67" s="193">
        <f t="shared" si="68"/>
        <v>745606971.42000008</v>
      </c>
      <c r="R67" s="193">
        <f t="shared" si="68"/>
        <v>207151098.47</v>
      </c>
      <c r="S67" s="193">
        <f t="shared" si="68"/>
        <v>105246219.03</v>
      </c>
      <c r="T67" s="193">
        <f t="shared" si="68"/>
        <v>122704194.14</v>
      </c>
      <c r="U67" s="193">
        <f t="shared" si="68"/>
        <v>121102827.83</v>
      </c>
    </row>
    <row r="68" spans="1:21" x14ac:dyDescent="0.25">
      <c r="A68" s="17" t="s">
        <v>654</v>
      </c>
      <c r="E68" s="193">
        <f>E11</f>
        <v>4431311897.9300003</v>
      </c>
      <c r="F68" s="193">
        <f t="shared" ref="F68:U68" si="69">F11</f>
        <v>5451527974.3999996</v>
      </c>
      <c r="G68" s="193">
        <f t="shared" si="69"/>
        <v>3531198377.48</v>
      </c>
      <c r="H68" s="193">
        <f t="shared" si="69"/>
        <v>3847391141.02</v>
      </c>
      <c r="I68" s="193">
        <f t="shared" si="69"/>
        <v>3657905889</v>
      </c>
      <c r="J68" s="193">
        <f t="shared" si="69"/>
        <v>3435324945.29</v>
      </c>
      <c r="K68" s="193">
        <f t="shared" si="69"/>
        <v>4378282177.5299997</v>
      </c>
      <c r="L68" s="193">
        <f t="shared" si="69"/>
        <v>5212910310.0200005</v>
      </c>
      <c r="M68" s="193">
        <f t="shared" si="69"/>
        <v>3885755129.0799999</v>
      </c>
      <c r="N68" s="193">
        <f t="shared" si="69"/>
        <v>4371635129.0799999</v>
      </c>
      <c r="O68" s="193">
        <f t="shared" si="69"/>
        <v>4463535129.0799999</v>
      </c>
      <c r="P68" s="193">
        <f t="shared" si="69"/>
        <v>4370535129.0799999</v>
      </c>
      <c r="Q68" s="193">
        <f t="shared" si="69"/>
        <v>4543535129.0799999</v>
      </c>
      <c r="R68" s="193">
        <f t="shared" si="69"/>
        <v>3254335129.0799999</v>
      </c>
      <c r="S68" s="193">
        <f t="shared" si="69"/>
        <v>3302335129.0799999</v>
      </c>
      <c r="T68" s="193">
        <f t="shared" si="69"/>
        <v>3304335129.0799999</v>
      </c>
      <c r="U68" s="193">
        <f t="shared" si="69"/>
        <v>2651915129.0799999</v>
      </c>
    </row>
    <row r="69" spans="1:21" x14ac:dyDescent="0.25">
      <c r="A69" s="17" t="s">
        <v>655</v>
      </c>
      <c r="E69" s="193">
        <f>E12</f>
        <v>5477444392.6900005</v>
      </c>
      <c r="F69" s="193">
        <f t="shared" ref="F69:U69" si="70">F12</f>
        <v>5805832718.6299992</v>
      </c>
      <c r="G69" s="193">
        <f t="shared" si="70"/>
        <v>4202974146.71</v>
      </c>
      <c r="H69" s="193">
        <f t="shared" si="70"/>
        <v>4202358718.02</v>
      </c>
      <c r="I69" s="193">
        <f t="shared" si="70"/>
        <v>4065988732.1500001</v>
      </c>
      <c r="J69" s="193">
        <f t="shared" si="70"/>
        <v>4196989931.3800001</v>
      </c>
      <c r="K69" s="193">
        <f t="shared" si="70"/>
        <v>4837408387.9200001</v>
      </c>
      <c r="L69" s="193">
        <f t="shared" si="70"/>
        <v>5757701848.2200003</v>
      </c>
      <c r="M69" s="193">
        <f t="shared" si="70"/>
        <v>4589545926.29</v>
      </c>
      <c r="N69" s="193">
        <f t="shared" si="70"/>
        <v>5030946266.7399998</v>
      </c>
      <c r="O69" s="193">
        <f t="shared" si="70"/>
        <v>5186074552.6300001</v>
      </c>
      <c r="P69" s="193">
        <f t="shared" si="70"/>
        <v>5294828655.0200005</v>
      </c>
      <c r="Q69" s="193">
        <f t="shared" si="70"/>
        <v>5289142100.5</v>
      </c>
      <c r="R69" s="193">
        <f t="shared" si="70"/>
        <v>3461486227.5499997</v>
      </c>
      <c r="S69" s="193">
        <f t="shared" si="70"/>
        <v>3407581348.1100001</v>
      </c>
      <c r="T69" s="193">
        <f t="shared" si="70"/>
        <v>3427039323.2199998</v>
      </c>
      <c r="U69" s="193">
        <f t="shared" si="70"/>
        <v>2773017956.9099998</v>
      </c>
    </row>
    <row r="70" spans="1:21" s="234" customFormat="1" x14ac:dyDescent="0.25">
      <c r="A70" s="234" t="s">
        <v>658</v>
      </c>
      <c r="E70" s="234">
        <f>E69/E74</f>
        <v>0.45592006363956755</v>
      </c>
      <c r="F70" s="234">
        <f t="shared" ref="F70:U70" si="71">F69/F74</f>
        <v>0.46688574109389341</v>
      </c>
      <c r="G70" s="234">
        <f t="shared" si="71"/>
        <v>0.38652173299821974</v>
      </c>
      <c r="H70" s="234">
        <f t="shared" si="71"/>
        <v>0.38823227179806113</v>
      </c>
      <c r="I70" s="234">
        <f t="shared" si="71"/>
        <v>0.37367364010420007</v>
      </c>
      <c r="J70" s="234">
        <f t="shared" si="71"/>
        <v>0.39328851076702293</v>
      </c>
      <c r="K70" s="234">
        <f t="shared" si="71"/>
        <v>0.42696668103164592</v>
      </c>
      <c r="L70" s="234">
        <f t="shared" si="71"/>
        <v>0.62602499904077702</v>
      </c>
      <c r="M70" s="234">
        <f t="shared" si="71"/>
        <v>0.60231800432408433</v>
      </c>
      <c r="N70" s="234">
        <f t="shared" si="71"/>
        <v>0.61725105165540584</v>
      </c>
      <c r="O70" s="234">
        <f t="shared" si="71"/>
        <v>0.61318988792092222</v>
      </c>
      <c r="P70" s="234">
        <f t="shared" si="71"/>
        <v>0.63671771845596237</v>
      </c>
      <c r="Q70" s="234">
        <f t="shared" si="71"/>
        <v>0.63161296876601947</v>
      </c>
      <c r="R70" s="234">
        <f t="shared" si="71"/>
        <v>0.63621566838614674</v>
      </c>
      <c r="S70" s="234">
        <f t="shared" si="71"/>
        <v>0.63102860357167978</v>
      </c>
      <c r="T70" s="234">
        <f t="shared" si="71"/>
        <v>0.63404737247028042</v>
      </c>
      <c r="U70" s="234">
        <f t="shared" si="71"/>
        <v>0.58628716571916684</v>
      </c>
    </row>
    <row r="71" spans="1:21" x14ac:dyDescent="0.25">
      <c r="A71" s="17" t="s">
        <v>656</v>
      </c>
      <c r="E71" s="193">
        <f>E13</f>
        <v>6536601115.5599995</v>
      </c>
      <c r="F71" s="193">
        <f t="shared" ref="F71:U71" si="72">F13</f>
        <v>6629399732.5199986</v>
      </c>
      <c r="G71" s="193">
        <f t="shared" si="72"/>
        <v>6670862400.8699999</v>
      </c>
      <c r="H71" s="193">
        <f t="shared" si="72"/>
        <v>6621982850.8999977</v>
      </c>
      <c r="I71" s="193">
        <f t="shared" si="72"/>
        <v>6815133979.6799984</v>
      </c>
      <c r="J71" s="193">
        <f t="shared" si="72"/>
        <v>6474539534.8500013</v>
      </c>
      <c r="K71" s="193">
        <f t="shared" si="72"/>
        <v>6492300937.9499989</v>
      </c>
      <c r="L71" s="193">
        <f t="shared" si="72"/>
        <v>3439537650.2700014</v>
      </c>
      <c r="M71" s="193">
        <f t="shared" si="72"/>
        <v>3030259381.4400015</v>
      </c>
      <c r="N71" s="193">
        <f t="shared" si="72"/>
        <v>3119621080.6100016</v>
      </c>
      <c r="O71" s="193">
        <f t="shared" si="72"/>
        <v>3271459817.6999998</v>
      </c>
      <c r="P71" s="193">
        <f t="shared" si="72"/>
        <v>3020989330.7900009</v>
      </c>
      <c r="Q71" s="193">
        <f t="shared" si="72"/>
        <v>3084881806.6299992</v>
      </c>
      <c r="R71" s="193">
        <f t="shared" si="72"/>
        <v>1979257217.7199998</v>
      </c>
      <c r="S71" s="193">
        <f t="shared" si="72"/>
        <v>1992461262.9899993</v>
      </c>
      <c r="T71" s="193">
        <f t="shared" si="72"/>
        <v>1977981613.7299991</v>
      </c>
      <c r="U71" s="193">
        <f t="shared" si="72"/>
        <v>1956776790.5299997</v>
      </c>
    </row>
    <row r="72" spans="1:21" s="234" customFormat="1" x14ac:dyDescent="0.25">
      <c r="A72" s="234" t="s">
        <v>659</v>
      </c>
      <c r="E72" s="234">
        <f>E71/E74</f>
        <v>0.5440799363604325</v>
      </c>
      <c r="F72" s="234">
        <f t="shared" ref="F72:U72" si="73">F71/F74</f>
        <v>0.53311425890610664</v>
      </c>
      <c r="G72" s="234">
        <f t="shared" si="73"/>
        <v>0.61347826700178032</v>
      </c>
      <c r="H72" s="234">
        <f t="shared" si="73"/>
        <v>0.61176772820193881</v>
      </c>
      <c r="I72" s="234">
        <f t="shared" si="73"/>
        <v>0.62632635989579999</v>
      </c>
      <c r="J72" s="234">
        <f t="shared" si="73"/>
        <v>0.60671148923297713</v>
      </c>
      <c r="K72" s="234">
        <f t="shared" si="73"/>
        <v>0.57303331896835408</v>
      </c>
      <c r="L72" s="234">
        <f t="shared" si="73"/>
        <v>0.37397500095922293</v>
      </c>
      <c r="M72" s="234">
        <f t="shared" si="73"/>
        <v>0.39768199567591567</v>
      </c>
      <c r="N72" s="234">
        <f t="shared" si="73"/>
        <v>0.38274894834459416</v>
      </c>
      <c r="O72" s="234">
        <f t="shared" si="73"/>
        <v>0.38681011207907778</v>
      </c>
      <c r="P72" s="234">
        <f t="shared" si="73"/>
        <v>0.36328228154403763</v>
      </c>
      <c r="Q72" s="234">
        <f t="shared" si="73"/>
        <v>0.36838703123398059</v>
      </c>
      <c r="R72" s="234">
        <f t="shared" si="73"/>
        <v>0.36378433161385321</v>
      </c>
      <c r="S72" s="234">
        <f t="shared" si="73"/>
        <v>0.36897139642832022</v>
      </c>
      <c r="T72" s="234">
        <f t="shared" si="73"/>
        <v>0.36595262752971963</v>
      </c>
      <c r="U72" s="234">
        <f t="shared" si="73"/>
        <v>0.41371283428083316</v>
      </c>
    </row>
    <row r="73" spans="1:21" s="236" customFormat="1" x14ac:dyDescent="0.25">
      <c r="A73" s="235" t="s">
        <v>660</v>
      </c>
      <c r="E73" s="237">
        <f>E74/E71</f>
        <v>1.8379652201281278</v>
      </c>
      <c r="F73" s="237">
        <f t="shared" ref="F73:U73" si="74">F74/F71</f>
        <v>1.8757705000273168</v>
      </c>
      <c r="G73" s="237">
        <f t="shared" si="74"/>
        <v>1.6300495939118542</v>
      </c>
      <c r="H73" s="237">
        <f t="shared" si="74"/>
        <v>1.6346073091157063</v>
      </c>
      <c r="I73" s="237">
        <f t="shared" si="74"/>
        <v>1.5966117092155709</v>
      </c>
      <c r="J73" s="237">
        <f t="shared" si="74"/>
        <v>1.6482298716054151</v>
      </c>
      <c r="K73" s="237">
        <f t="shared" si="74"/>
        <v>1.74509922355008</v>
      </c>
      <c r="L73" s="237">
        <f t="shared" si="74"/>
        <v>2.6739755262652887</v>
      </c>
      <c r="M73" s="237">
        <f t="shared" si="74"/>
        <v>2.5145719717593988</v>
      </c>
      <c r="N73" s="237">
        <f t="shared" si="74"/>
        <v>2.6126786352386948</v>
      </c>
      <c r="O73" s="237">
        <f t="shared" si="74"/>
        <v>2.5852478225687241</v>
      </c>
      <c r="P73" s="237">
        <f t="shared" si="74"/>
        <v>2.7526803557546433</v>
      </c>
      <c r="Q73" s="237">
        <f t="shared" si="74"/>
        <v>2.7145363848730364</v>
      </c>
      <c r="R73" s="237">
        <f t="shared" si="74"/>
        <v>2.7488814473226726</v>
      </c>
      <c r="S73" s="237">
        <f t="shared" si="74"/>
        <v>2.7102371882484642</v>
      </c>
      <c r="T73" s="237">
        <f t="shared" si="74"/>
        <v>2.73259412495621</v>
      </c>
      <c r="U73" s="237">
        <f t="shared" si="74"/>
        <v>2.417135551857664</v>
      </c>
    </row>
    <row r="74" spans="1:21" x14ac:dyDescent="0.25">
      <c r="A74" s="17" t="s">
        <v>657</v>
      </c>
      <c r="E74" s="193">
        <f>E14</f>
        <v>12014045508.25</v>
      </c>
      <c r="F74" s="193">
        <f t="shared" ref="F74:U74" si="75">F14</f>
        <v>12435232451.149998</v>
      </c>
      <c r="G74" s="193">
        <f t="shared" si="75"/>
        <v>10873836547.58</v>
      </c>
      <c r="H74" s="193">
        <f t="shared" si="75"/>
        <v>10824341568.919998</v>
      </c>
      <c r="I74" s="193">
        <f t="shared" si="75"/>
        <v>10881122711.829998</v>
      </c>
      <c r="J74" s="193">
        <f t="shared" si="75"/>
        <v>10671529466.230001</v>
      </c>
      <c r="K74" s="193">
        <f t="shared" si="75"/>
        <v>11329709325.869999</v>
      </c>
      <c r="L74" s="193">
        <f t="shared" si="75"/>
        <v>9197239498.4900017</v>
      </c>
      <c r="M74" s="193">
        <f t="shared" si="75"/>
        <v>7619805307.7300014</v>
      </c>
      <c r="N74" s="193">
        <f t="shared" si="75"/>
        <v>8150567347.3500013</v>
      </c>
      <c r="O74" s="193">
        <f t="shared" si="75"/>
        <v>8457534370.3299999</v>
      </c>
      <c r="P74" s="193">
        <f t="shared" si="75"/>
        <v>8315817985.8100014</v>
      </c>
      <c r="Q74" s="193">
        <f t="shared" si="75"/>
        <v>8374023907.1299992</v>
      </c>
      <c r="R74" s="193">
        <f t="shared" si="75"/>
        <v>5440743445.2699995</v>
      </c>
      <c r="S74" s="193">
        <f t="shared" si="75"/>
        <v>5400042611.0999994</v>
      </c>
      <c r="T74" s="193">
        <f t="shared" si="75"/>
        <v>5405020936.9499989</v>
      </c>
      <c r="U74" s="193">
        <f t="shared" si="75"/>
        <v>4729794747.4399996</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1046132494.76</v>
      </c>
      <c r="F78" s="89">
        <f t="shared" ref="F78:U78" si="77">F10</f>
        <v>354304744.23000002</v>
      </c>
      <c r="G78" s="89">
        <f t="shared" si="77"/>
        <v>671775769.23000002</v>
      </c>
      <c r="H78" s="89">
        <f t="shared" si="77"/>
        <v>354967577</v>
      </c>
      <c r="I78" s="89">
        <f t="shared" si="77"/>
        <v>408082843.14999998</v>
      </c>
      <c r="J78" s="89">
        <f t="shared" si="77"/>
        <v>761664986.09000003</v>
      </c>
      <c r="K78" s="89">
        <f t="shared" si="77"/>
        <v>459126210.38999999</v>
      </c>
      <c r="L78" s="89">
        <f t="shared" si="77"/>
        <v>544791538.20000005</v>
      </c>
      <c r="M78" s="89">
        <f t="shared" si="77"/>
        <v>703790797.21000004</v>
      </c>
      <c r="N78" s="89">
        <f t="shared" si="77"/>
        <v>659311137.65999997</v>
      </c>
      <c r="O78" s="89">
        <f t="shared" si="77"/>
        <v>722539423.54999995</v>
      </c>
      <c r="P78" s="89">
        <f t="shared" si="77"/>
        <v>924293525.94000006</v>
      </c>
      <c r="Q78" s="89">
        <f t="shared" si="77"/>
        <v>745606971.42000008</v>
      </c>
      <c r="R78" s="89">
        <f t="shared" si="77"/>
        <v>207151098.47</v>
      </c>
      <c r="S78" s="89">
        <f t="shared" si="77"/>
        <v>105246219.03</v>
      </c>
      <c r="T78" s="89">
        <f t="shared" si="77"/>
        <v>122704194.14</v>
      </c>
      <c r="U78" s="89">
        <f t="shared" si="77"/>
        <v>121102827.83</v>
      </c>
    </row>
    <row r="79" spans="1:21" x14ac:dyDescent="0.25">
      <c r="A79" s="184" t="s">
        <v>662</v>
      </c>
      <c r="B79" s="64"/>
      <c r="C79" s="64"/>
      <c r="D79" s="64"/>
      <c r="E79" s="89">
        <f>E78</f>
        <v>1046132494.76</v>
      </c>
      <c r="F79" s="89">
        <f t="shared" ref="F79:U79" si="78">F78</f>
        <v>354304744.23000002</v>
      </c>
      <c r="G79" s="89">
        <f t="shared" si="78"/>
        <v>671775769.23000002</v>
      </c>
      <c r="H79" s="89">
        <f t="shared" si="78"/>
        <v>354967577</v>
      </c>
      <c r="I79" s="89">
        <f t="shared" si="78"/>
        <v>408082843.14999998</v>
      </c>
      <c r="J79" s="89">
        <f t="shared" si="78"/>
        <v>761664986.09000003</v>
      </c>
      <c r="K79" s="89">
        <f t="shared" si="78"/>
        <v>459126210.38999999</v>
      </c>
      <c r="L79" s="89">
        <f t="shared" si="78"/>
        <v>544791538.20000005</v>
      </c>
      <c r="M79" s="89">
        <f t="shared" si="78"/>
        <v>703790797.21000004</v>
      </c>
      <c r="N79" s="89">
        <f t="shared" si="78"/>
        <v>659311137.65999997</v>
      </c>
      <c r="O79" s="89">
        <f t="shared" si="78"/>
        <v>722539423.54999995</v>
      </c>
      <c r="P79" s="89">
        <f t="shared" si="78"/>
        <v>924293525.94000006</v>
      </c>
      <c r="Q79" s="89">
        <f t="shared" si="78"/>
        <v>745606971.42000008</v>
      </c>
      <c r="R79" s="89">
        <f t="shared" si="78"/>
        <v>207151098.47</v>
      </c>
      <c r="S79" s="89">
        <f t="shared" si="78"/>
        <v>105246219.03</v>
      </c>
      <c r="T79" s="89">
        <f t="shared" si="78"/>
        <v>122704194.14</v>
      </c>
      <c r="U79" s="89">
        <f t="shared" si="78"/>
        <v>121102827.83</v>
      </c>
    </row>
    <row r="80" spans="1:21" s="220" customFormat="1" x14ac:dyDescent="0.25">
      <c r="A80" s="224" t="s">
        <v>663</v>
      </c>
      <c r="B80" s="224"/>
      <c r="C80" s="224"/>
      <c r="D80" s="224"/>
      <c r="E80" s="224">
        <f>E79/E85</f>
        <v>8.7075789253638569E-2</v>
      </c>
      <c r="F80" s="224">
        <f t="shared" ref="F80:U80" si="79">F79/F85</f>
        <v>2.8492008140727137E-2</v>
      </c>
      <c r="G80" s="224">
        <f t="shared" si="79"/>
        <v>6.1779093909546161E-2</v>
      </c>
      <c r="H80" s="224">
        <f t="shared" si="79"/>
        <v>3.279345674190666E-2</v>
      </c>
      <c r="I80" s="224">
        <f t="shared" si="79"/>
        <v>3.7503744232783146E-2</v>
      </c>
      <c r="J80" s="224">
        <f t="shared" si="79"/>
        <v>7.1373554137697401E-2</v>
      </c>
      <c r="K80" s="224">
        <f t="shared" si="79"/>
        <v>4.052409441269969E-2</v>
      </c>
      <c r="L80" s="224">
        <f t="shared" si="79"/>
        <v>5.9234245045966638E-2</v>
      </c>
      <c r="M80" s="224">
        <f t="shared" si="79"/>
        <v>9.2363356908349237E-2</v>
      </c>
      <c r="N80" s="224">
        <f t="shared" si="79"/>
        <v>8.0891440995743955E-2</v>
      </c>
      <c r="O80" s="224">
        <f t="shared" si="79"/>
        <v>8.5431449866139597E-2</v>
      </c>
      <c r="P80" s="224">
        <f t="shared" si="79"/>
        <v>0.11114884038073007</v>
      </c>
      <c r="Q80" s="224">
        <f t="shared" si="79"/>
        <v>8.9038075325430899E-2</v>
      </c>
      <c r="R80" s="224">
        <f t="shared" si="79"/>
        <v>3.8074042739524916E-2</v>
      </c>
      <c r="S80" s="224">
        <f t="shared" si="79"/>
        <v>1.9489886767497404E-2</v>
      </c>
      <c r="T80" s="224">
        <f t="shared" si="79"/>
        <v>2.2701890625652376E-2</v>
      </c>
      <c r="U80" s="224">
        <f t="shared" si="79"/>
        <v>2.5604245912689314E-2</v>
      </c>
    </row>
    <row r="81" spans="1:21" x14ac:dyDescent="0.25">
      <c r="A81" s="184" t="s">
        <v>654</v>
      </c>
      <c r="B81" s="64"/>
      <c r="C81" s="64"/>
      <c r="D81" s="64"/>
      <c r="E81" s="89">
        <f>E11</f>
        <v>4431311897.9300003</v>
      </c>
      <c r="F81" s="89">
        <f t="shared" ref="F81:U81" si="80">F11</f>
        <v>5451527974.3999996</v>
      </c>
      <c r="G81" s="89">
        <f t="shared" si="80"/>
        <v>3531198377.48</v>
      </c>
      <c r="H81" s="89">
        <f t="shared" si="80"/>
        <v>3847391141.02</v>
      </c>
      <c r="I81" s="89">
        <f t="shared" si="80"/>
        <v>3657905889</v>
      </c>
      <c r="J81" s="89">
        <f t="shared" si="80"/>
        <v>3435324945.29</v>
      </c>
      <c r="K81" s="89">
        <f t="shared" si="80"/>
        <v>4378282177.5299997</v>
      </c>
      <c r="L81" s="89">
        <f t="shared" si="80"/>
        <v>5212910310.0200005</v>
      </c>
      <c r="M81" s="89">
        <f t="shared" si="80"/>
        <v>3885755129.0799999</v>
      </c>
      <c r="N81" s="89">
        <f t="shared" si="80"/>
        <v>4371635129.0799999</v>
      </c>
      <c r="O81" s="89">
        <f t="shared" si="80"/>
        <v>4463535129.0799999</v>
      </c>
      <c r="P81" s="89">
        <f t="shared" si="80"/>
        <v>4370535129.0799999</v>
      </c>
      <c r="Q81" s="89">
        <f t="shared" si="80"/>
        <v>4543535129.0799999</v>
      </c>
      <c r="R81" s="89">
        <f t="shared" si="80"/>
        <v>3254335129.0799999</v>
      </c>
      <c r="S81" s="89">
        <f t="shared" si="80"/>
        <v>3302335129.0799999</v>
      </c>
      <c r="T81" s="89">
        <f t="shared" si="80"/>
        <v>3304335129.0799999</v>
      </c>
      <c r="U81" s="89">
        <f t="shared" si="80"/>
        <v>2651915129.0799999</v>
      </c>
    </row>
    <row r="82" spans="1:21" x14ac:dyDescent="0.25">
      <c r="A82" s="184" t="s">
        <v>656</v>
      </c>
      <c r="B82" s="64"/>
      <c r="C82" s="64"/>
      <c r="D82" s="64"/>
      <c r="E82" s="89">
        <f>E13</f>
        <v>6536601115.5599995</v>
      </c>
      <c r="F82" s="89">
        <f t="shared" ref="F82:U82" si="81">F13</f>
        <v>6629399732.5199986</v>
      </c>
      <c r="G82" s="89">
        <f t="shared" si="81"/>
        <v>6670862400.8699999</v>
      </c>
      <c r="H82" s="89">
        <f t="shared" si="81"/>
        <v>6621982850.8999977</v>
      </c>
      <c r="I82" s="89">
        <f t="shared" si="81"/>
        <v>6815133979.6799984</v>
      </c>
      <c r="J82" s="89">
        <f t="shared" si="81"/>
        <v>6474539534.8500013</v>
      </c>
      <c r="K82" s="89">
        <f t="shared" si="81"/>
        <v>6492300937.9499989</v>
      </c>
      <c r="L82" s="89">
        <f t="shared" si="81"/>
        <v>3439537650.2700014</v>
      </c>
      <c r="M82" s="89">
        <f t="shared" si="81"/>
        <v>3030259381.4400015</v>
      </c>
      <c r="N82" s="89">
        <f t="shared" si="81"/>
        <v>3119621080.6100016</v>
      </c>
      <c r="O82" s="89">
        <f t="shared" si="81"/>
        <v>3271459817.6999998</v>
      </c>
      <c r="P82" s="89">
        <f t="shared" si="81"/>
        <v>3020989330.7900009</v>
      </c>
      <c r="Q82" s="89">
        <f t="shared" si="81"/>
        <v>3084881806.6299992</v>
      </c>
      <c r="R82" s="89">
        <f t="shared" si="81"/>
        <v>1979257217.7199998</v>
      </c>
      <c r="S82" s="89">
        <f t="shared" si="81"/>
        <v>1992461262.9899993</v>
      </c>
      <c r="T82" s="89">
        <f t="shared" si="81"/>
        <v>1977981613.7299991</v>
      </c>
      <c r="U82" s="89">
        <f t="shared" si="81"/>
        <v>1956776790.5299997</v>
      </c>
    </row>
    <row r="83" spans="1:21" x14ac:dyDescent="0.25">
      <c r="A83" s="184" t="s">
        <v>664</v>
      </c>
      <c r="B83" s="64"/>
      <c r="C83" s="64"/>
      <c r="D83" s="64"/>
      <c r="E83" s="89">
        <f>E81+E82</f>
        <v>10967913013.49</v>
      </c>
      <c r="F83" s="89">
        <f t="shared" ref="F83:U83" si="82">F81+F82</f>
        <v>12080927706.919998</v>
      </c>
      <c r="G83" s="89">
        <f t="shared" si="82"/>
        <v>10202060778.35</v>
      </c>
      <c r="H83" s="89">
        <f t="shared" si="82"/>
        <v>10469373991.919998</v>
      </c>
      <c r="I83" s="89">
        <f t="shared" si="82"/>
        <v>10473039868.679998</v>
      </c>
      <c r="J83" s="89">
        <f t="shared" si="82"/>
        <v>9909864480.1400013</v>
      </c>
      <c r="K83" s="89">
        <f t="shared" si="82"/>
        <v>10870583115.48</v>
      </c>
      <c r="L83" s="89">
        <f t="shared" si="82"/>
        <v>8652447960.2900009</v>
      </c>
      <c r="M83" s="89">
        <f t="shared" si="82"/>
        <v>6916014510.5200014</v>
      </c>
      <c r="N83" s="89">
        <f t="shared" si="82"/>
        <v>7491256209.6900015</v>
      </c>
      <c r="O83" s="89">
        <f t="shared" si="82"/>
        <v>7734994946.7799997</v>
      </c>
      <c r="P83" s="89">
        <f t="shared" si="82"/>
        <v>7391524459.8700008</v>
      </c>
      <c r="Q83" s="89">
        <f t="shared" si="82"/>
        <v>7628416935.7099991</v>
      </c>
      <c r="R83" s="89">
        <f t="shared" si="82"/>
        <v>5233592346.7999992</v>
      </c>
      <c r="S83" s="89">
        <f t="shared" si="82"/>
        <v>5294796392.0699997</v>
      </c>
      <c r="T83" s="89">
        <f t="shared" si="82"/>
        <v>5282316742.8099995</v>
      </c>
      <c r="U83" s="89">
        <f t="shared" si="82"/>
        <v>4608691919.6099997</v>
      </c>
    </row>
    <row r="84" spans="1:21" s="220" customFormat="1" x14ac:dyDescent="0.25">
      <c r="A84" s="224" t="s">
        <v>665</v>
      </c>
      <c r="B84" s="224"/>
      <c r="C84" s="224"/>
      <c r="D84" s="224"/>
      <c r="E84" s="224">
        <f>E83/E85</f>
        <v>0.91292421074636143</v>
      </c>
      <c r="F84" s="224">
        <f t="shared" ref="F84:U84" si="83">F83/F85</f>
        <v>0.97150799185927295</v>
      </c>
      <c r="G84" s="224">
        <f t="shared" si="83"/>
        <v>0.93822090609045383</v>
      </c>
      <c r="H84" s="224">
        <f t="shared" si="83"/>
        <v>0.9672065432580933</v>
      </c>
      <c r="I84" s="224">
        <f t="shared" si="83"/>
        <v>0.96249625576721687</v>
      </c>
      <c r="J84" s="224">
        <f t="shared" si="83"/>
        <v>0.92862644586230259</v>
      </c>
      <c r="K84" s="224">
        <f t="shared" si="83"/>
        <v>0.95947590558730034</v>
      </c>
      <c r="L84" s="224">
        <f t="shared" si="83"/>
        <v>0.94076575495403325</v>
      </c>
      <c r="M84" s="224">
        <f t="shared" si="83"/>
        <v>0.90763664309165071</v>
      </c>
      <c r="N84" s="224">
        <f t="shared" si="83"/>
        <v>0.91910855900425603</v>
      </c>
      <c r="O84" s="224">
        <f t="shared" si="83"/>
        <v>0.9145685501338604</v>
      </c>
      <c r="P84" s="224">
        <f t="shared" si="83"/>
        <v>0.88885115961926986</v>
      </c>
      <c r="Q84" s="224">
        <f t="shared" si="83"/>
        <v>0.91096192467456905</v>
      </c>
      <c r="R84" s="224">
        <f t="shared" si="83"/>
        <v>0.96192595726047503</v>
      </c>
      <c r="S84" s="224">
        <f t="shared" si="83"/>
        <v>0.9805101132325027</v>
      </c>
      <c r="T84" s="224">
        <f t="shared" si="83"/>
        <v>0.97729810937434769</v>
      </c>
      <c r="U84" s="224">
        <f t="shared" si="83"/>
        <v>0.97439575408731072</v>
      </c>
    </row>
    <row r="85" spans="1:21" x14ac:dyDescent="0.25">
      <c r="A85" s="184" t="s">
        <v>657</v>
      </c>
      <c r="B85" s="64"/>
      <c r="C85" s="64"/>
      <c r="D85" s="64"/>
      <c r="E85" s="89">
        <f>E14</f>
        <v>12014045508.25</v>
      </c>
      <c r="F85" s="89">
        <f t="shared" ref="F85:U85" si="84">F14</f>
        <v>12435232451.149998</v>
      </c>
      <c r="G85" s="89">
        <f t="shared" si="84"/>
        <v>10873836547.58</v>
      </c>
      <c r="H85" s="89">
        <f t="shared" si="84"/>
        <v>10824341568.919998</v>
      </c>
      <c r="I85" s="89">
        <f t="shared" si="84"/>
        <v>10881122711.829998</v>
      </c>
      <c r="J85" s="89">
        <f t="shared" si="84"/>
        <v>10671529466.230001</v>
      </c>
      <c r="K85" s="89">
        <f t="shared" si="84"/>
        <v>11329709325.869999</v>
      </c>
      <c r="L85" s="89">
        <f t="shared" si="84"/>
        <v>9197239498.4900017</v>
      </c>
      <c r="M85" s="89">
        <f t="shared" si="84"/>
        <v>7619805307.7300014</v>
      </c>
      <c r="N85" s="89">
        <f t="shared" si="84"/>
        <v>8150567347.3500013</v>
      </c>
      <c r="O85" s="89">
        <f t="shared" si="84"/>
        <v>8457534370.3299999</v>
      </c>
      <c r="P85" s="89">
        <f t="shared" si="84"/>
        <v>8315817985.8100014</v>
      </c>
      <c r="Q85" s="89">
        <f t="shared" si="84"/>
        <v>8374023907.1299992</v>
      </c>
      <c r="R85" s="89">
        <f t="shared" si="84"/>
        <v>5440743445.2699995</v>
      </c>
      <c r="S85" s="89">
        <f t="shared" si="84"/>
        <v>5400042611.0999994</v>
      </c>
      <c r="T85" s="89">
        <f t="shared" si="84"/>
        <v>5405020936.9499989</v>
      </c>
      <c r="U85" s="89">
        <f t="shared" si="84"/>
        <v>4729794747.4399996</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6" width="19.33203125" hidden="1" customWidth="1"/>
    <col min="7" max="8" width="18.33203125" hidden="1" customWidth="1"/>
    <col min="9" max="9" width="21.5546875" bestFit="1" customWidth="1"/>
    <col min="10" max="12" width="19.33203125" hidden="1" customWidth="1"/>
    <col min="13" max="13" width="21.5546875" bestFit="1" customWidth="1"/>
    <col min="14" max="16" width="18.33203125" hidden="1" customWidth="1"/>
    <col min="17" max="17" width="19.33203125" bestFit="1" customWidth="1"/>
    <col min="18" max="20" width="18.33203125" hidden="1" customWidth="1"/>
    <col min="21" max="21" width="19.33203125" bestFit="1" customWidth="1"/>
    <col min="22" max="23" width="17.21875" hidden="1" customWidth="1"/>
    <col min="24" max="24" width="18.33203125" hidden="1" customWidth="1"/>
    <col min="25" max="25" width="19.33203125" bestFit="1" customWidth="1"/>
    <col min="26" max="28" width="17.21875" hidden="1" customWidth="1"/>
    <col min="29" max="29" width="17.21875" bestFit="1" customWidth="1"/>
    <col min="30" max="31" width="17.21875" hidden="1" customWidth="1"/>
    <col min="32" max="32" width="16.109375" hidden="1" customWidth="1"/>
    <col min="33" max="33" width="17.21875" bestFit="1" customWidth="1"/>
    <col min="34" max="36" width="16.109375" hidden="1" customWidth="1"/>
    <col min="37" max="37" width="16.109375" bestFit="1" customWidth="1"/>
    <col min="38" max="39" width="17.21875" hidden="1" customWidth="1"/>
    <col min="40" max="40" width="16.109375" hidden="1" customWidth="1"/>
    <col min="41" max="41" width="16.109375" bestFit="1" customWidth="1"/>
    <col min="42" max="44" width="17.21875" hidden="1" customWidth="1"/>
    <col min="45" max="45" width="17.21875" bestFit="1" customWidth="1"/>
    <col min="46" max="48" width="17.21875" hidden="1" customWidth="1"/>
    <col min="49" max="49" width="18.33203125" bestFit="1" customWidth="1"/>
    <col min="50" max="52" width="17.21875" hidden="1" customWidth="1"/>
    <col min="53" max="53" width="18.33203125" bestFit="1" customWidth="1"/>
    <col min="54" max="56" width="17.21875" hidden="1" customWidth="1"/>
    <col min="57" max="57" width="18.33203125" bestFit="1" customWidth="1"/>
    <col min="58" max="60" width="17.21875" hidden="1" customWidth="1"/>
    <col min="61" max="61" width="17.21875" bestFit="1" customWidth="1"/>
    <col min="62" max="64" width="17.21875" hidden="1" customWidth="1"/>
    <col min="65" max="65" width="17.21875" bestFit="1" customWidth="1"/>
    <col min="66"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hidden="1" customWidth="1"/>
    <col min="75" max="75" width="16.109375" bestFit="1" customWidth="1"/>
    <col min="76" max="76" width="16.109375" hidden="1" customWidth="1"/>
    <col min="77" max="77" width="16.109375" bestFit="1" customWidth="1"/>
    <col min="78" max="78" width="16.109375" hidden="1" customWidth="1"/>
    <col min="79" max="81" width="16.1093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352</v>
      </c>
      <c r="E2" s="26">
        <f>股权价值增加表!E4</f>
        <v>2473918205.1599998</v>
      </c>
      <c r="F2" s="26">
        <f>股权价值增加表!F4</f>
        <v>1008208630.3099999</v>
      </c>
      <c r="G2" s="26">
        <f>股权价值增加表!G4</f>
        <v>878288856.76999998</v>
      </c>
      <c r="H2" s="26">
        <f>股权价值增加表!H4</f>
        <v>630272076.14999998</v>
      </c>
      <c r="I2" s="26">
        <f>股权价值增加表!I4</f>
        <v>6704848495.9899998</v>
      </c>
      <c r="J2" s="26">
        <f>股权价值增加表!J4</f>
        <v>4576608658.5100002</v>
      </c>
      <c r="K2" s="26">
        <f>股权价值增加表!K4</f>
        <v>3995822264.8899999</v>
      </c>
      <c r="L2" s="26">
        <f>股权价值增加表!L4</f>
        <v>2925433262.5500002</v>
      </c>
      <c r="M2" s="26">
        <f>股权价值增加表!M4</f>
        <v>519502880.88</v>
      </c>
      <c r="N2" s="26">
        <f>股权价值增加表!N4</f>
        <v>367419981.04000002</v>
      </c>
      <c r="O2" s="26">
        <f>股权价值增加表!O4</f>
        <v>217567191.96000001</v>
      </c>
      <c r="P2" s="26">
        <f>股权价值增加表!P4</f>
        <v>144601402.62</v>
      </c>
      <c r="Q2" s="26">
        <f>股权价值增加表!Q4</f>
        <v>1270810233.05</v>
      </c>
      <c r="R2" s="26">
        <f>股权价值增加表!R4</f>
        <v>893502435.89999998</v>
      </c>
      <c r="S2" s="26">
        <f>股权价值增加表!S4</f>
        <v>679685555.03999996</v>
      </c>
      <c r="T2" s="26">
        <f>股权价值增加表!T4</f>
        <v>301403886.20999998</v>
      </c>
      <c r="U2" s="26">
        <f>股权价值增加表!U4</f>
        <v>2776957460.2800002</v>
      </c>
      <c r="V2" s="26">
        <f>股权价值增加表!V4</f>
        <v>326513513.94</v>
      </c>
      <c r="W2" s="26">
        <f>股权价值增加表!W4</f>
        <v>251933246.53999999</v>
      </c>
      <c r="X2" s="26">
        <f>股权价值增加表!X4</f>
        <v>159552882.02000001</v>
      </c>
      <c r="Y2" s="26">
        <f>股权价值增加表!Y4</f>
        <v>1886509459.79</v>
      </c>
      <c r="Z2" s="26">
        <f>股权价值增加表!Z4</f>
        <v>362275701.70999998</v>
      </c>
      <c r="AA2" s="26">
        <f>股权价值增加表!AA4</f>
        <v>92328849.569999993</v>
      </c>
      <c r="AB2" s="26">
        <f>股权价值增加表!AB4</f>
        <v>38430091.479999997</v>
      </c>
      <c r="AC2" s="26">
        <f>股权价值增加表!AC4</f>
        <v>911117929.50999999</v>
      </c>
      <c r="AD2" s="26">
        <f>股权价值增加表!AD4</f>
        <v>2325028.98</v>
      </c>
      <c r="AE2" s="26">
        <f>股权价值增加表!AE4</f>
        <v>719549.52</v>
      </c>
      <c r="AF2" s="26">
        <f>股权价值增加表!AF4</f>
        <v>454838.86</v>
      </c>
      <c r="AG2" s="26">
        <f>股权价值增加表!AG4</f>
        <v>1972005.12</v>
      </c>
      <c r="AH2" s="26">
        <f>股权价值增加表!AH4</f>
        <v>2247045.88</v>
      </c>
      <c r="AI2" s="26">
        <f>股权价值增加表!AI4</f>
        <v>1644331.61</v>
      </c>
      <c r="AJ2" s="26">
        <f>股权价值增加表!AJ4</f>
        <v>118276.34</v>
      </c>
      <c r="AK2" s="26">
        <f>股权价值增加表!AK4</f>
        <v>2319583.5699999998</v>
      </c>
      <c r="AL2" s="26">
        <f>股权价值增加表!AL4</f>
        <v>1059567.43</v>
      </c>
      <c r="AM2" s="26">
        <f>股权价值增加表!AM4</f>
        <v>714108.94</v>
      </c>
      <c r="AN2" s="26">
        <f>股权价值增加表!AN4</f>
        <v>317568.12</v>
      </c>
      <c r="AO2" s="26">
        <f>股权价值增加表!AO4</f>
        <v>29625077.149999999</v>
      </c>
      <c r="AP2" s="26">
        <f>股权价值增加表!AP4</f>
        <v>39690074.759999998</v>
      </c>
      <c r="AQ2" s="26">
        <f>股权价值增加表!AQ4</f>
        <v>38358193.560000002</v>
      </c>
      <c r="AR2" s="26">
        <f>股权价值增加表!AR4</f>
        <v>19981743.039999999</v>
      </c>
      <c r="AS2" s="26">
        <f>股权价值增加表!AS4</f>
        <v>276226954.25999999</v>
      </c>
      <c r="AT2" s="26">
        <f>股权价值增加表!AT4</f>
        <v>212112113.97</v>
      </c>
      <c r="AU2" s="26">
        <f>股权价值增加表!AU4</f>
        <v>151644166.93000001</v>
      </c>
      <c r="AV2" s="26">
        <f>股权价值增加表!AV4</f>
        <v>63063671.619999997</v>
      </c>
      <c r="AW2" s="26">
        <f>股权价值增加表!AW4</f>
        <v>229176151.38999999</v>
      </c>
      <c r="AX2" s="26">
        <f>股权价值增加表!AX4</f>
        <v>126125572.09</v>
      </c>
      <c r="AY2" s="26">
        <f>股权价值增加表!AY4</f>
        <v>70840155.810000002</v>
      </c>
      <c r="AZ2" s="26">
        <f>股权价值增加表!AZ4</f>
        <v>40009471.130000003</v>
      </c>
      <c r="BA2" s="26">
        <f>股权价值增加表!BA4</f>
        <v>221398699.53999999</v>
      </c>
      <c r="BB2" s="26">
        <f>股权价值增加表!BB4</f>
        <v>200305982.11000001</v>
      </c>
      <c r="BC2" s="26">
        <f>股权价值增加表!BC4</f>
        <v>173464164.24000001</v>
      </c>
      <c r="BD2" s="26">
        <f>股权价值增加表!BD4</f>
        <v>100452203.73</v>
      </c>
      <c r="BE2" s="26">
        <f>股权价值增加表!BE4</f>
        <v>801751161.67999995</v>
      </c>
      <c r="BF2" s="26">
        <f>股权价值增加表!BF4</f>
        <v>607574415.46000004</v>
      </c>
      <c r="BG2" s="26">
        <f>股权价值增加表!BG4</f>
        <v>387005787.07999998</v>
      </c>
      <c r="BH2" s="26">
        <f>股权价值增加表!BH4</f>
        <v>169994827.43000001</v>
      </c>
      <c r="BI2" s="26">
        <f>股权价值增加表!BI4</f>
        <v>866672859.30999994</v>
      </c>
      <c r="BJ2" s="26">
        <f>股权价值增加表!BJ4</f>
        <v>563313712.90999997</v>
      </c>
      <c r="BK2" s="26">
        <f>股权价值增加表!BK4</f>
        <v>312828694.13</v>
      </c>
      <c r="BL2" s="26">
        <f>股权价值增加表!BL4</f>
        <v>129824200.04000001</v>
      </c>
      <c r="BM2" s="26">
        <f>股权价值增加表!BM4</f>
        <v>996144233.25</v>
      </c>
      <c r="BN2" s="26">
        <f>股权价值增加表!BN4</f>
        <v>672287661.65999997</v>
      </c>
      <c r="BO2" s="26">
        <f>股权价值增加表!BO4</f>
        <v>424822929.56</v>
      </c>
      <c r="BP2" s="26">
        <f>股权价值增加表!BP4</f>
        <v>207516777.69999999</v>
      </c>
      <c r="BQ2" s="26">
        <f>股权价值增加表!BQ4</f>
        <v>761826036.83000004</v>
      </c>
      <c r="BR2" s="26">
        <f>股权价值增加表!BR4</f>
        <v>229750188.44999999</v>
      </c>
      <c r="BS2" s="26">
        <f>股权价值增加表!BS4</f>
        <v>198550035.96000001</v>
      </c>
      <c r="BT2" s="26">
        <f>股权价值增加表!BT4</f>
        <v>103771025.11</v>
      </c>
      <c r="BU2" s="26">
        <f>股权价值增加表!BU4</f>
        <v>101468040.58</v>
      </c>
      <c r="BV2" s="26">
        <f>股权价值增加表!BV4</f>
        <v>39700177.020000003</v>
      </c>
      <c r="BW2" s="26">
        <f>股权价值增加表!BW4</f>
        <v>71986605.340000004</v>
      </c>
      <c r="BX2" s="26">
        <f>股权价值增加表!BX4</f>
        <v>30318598.989999998</v>
      </c>
      <c r="BY2" s="26">
        <f>股权价值增加表!BY4</f>
        <v>61924611.850000001</v>
      </c>
      <c r="BZ2" s="26">
        <f>股权价值增加表!BZ4</f>
        <v>31098969.670000002</v>
      </c>
      <c r="CA2" s="26">
        <f>股权价值增加表!CA4</f>
        <v>71088754.129999995</v>
      </c>
      <c r="CB2" s="26">
        <f>股权价值增加表!CB4</f>
        <v>89207139.980000004</v>
      </c>
      <c r="CC2" s="26">
        <f>股权价值增加表!CC4</f>
        <v>71981187.920000002</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-0.631025487505111</v>
      </c>
      <c r="F3" s="66">
        <f t="shared" ref="F3:BQ3" si="0">(F2-J2)/J2</f>
        <v>-0.77970398923331996</v>
      </c>
      <c r="G3" s="66">
        <f t="shared" si="0"/>
        <v>-0.78019821740139927</v>
      </c>
      <c r="H3" s="66">
        <f t="shared" si="0"/>
        <v>-0.78455427979901571</v>
      </c>
      <c r="I3" s="66">
        <f t="shared" si="0"/>
        <v>11.906277795096102</v>
      </c>
      <c r="J3" s="66">
        <f t="shared" si="0"/>
        <v>11.45606906177418</v>
      </c>
      <c r="K3" s="66">
        <f t="shared" si="0"/>
        <v>17.365922862232999</v>
      </c>
      <c r="L3" s="66">
        <f t="shared" si="0"/>
        <v>19.231015809976519</v>
      </c>
      <c r="M3" s="66">
        <f t="shared" si="0"/>
        <v>-0.59120341702539614</v>
      </c>
      <c r="N3" s="66">
        <f t="shared" si="0"/>
        <v>-0.58878681660234289</v>
      </c>
      <c r="O3" s="66">
        <f t="shared" si="0"/>
        <v>-0.67990022688183205</v>
      </c>
      <c r="P3" s="66">
        <f t="shared" si="0"/>
        <v>-0.52024041747341476</v>
      </c>
      <c r="Q3" s="66">
        <f t="shared" si="0"/>
        <v>-0.54237317235609928</v>
      </c>
      <c r="R3" s="66">
        <f t="shared" si="0"/>
        <v>1.7364945025344027</v>
      </c>
      <c r="S3" s="66">
        <f t="shared" si="0"/>
        <v>1.6978795549006067</v>
      </c>
      <c r="T3" s="66">
        <f t="shared" si="0"/>
        <v>0.88905322419822475</v>
      </c>
      <c r="U3" s="66">
        <f t="shared" si="0"/>
        <v>0.47200823503377609</v>
      </c>
      <c r="V3" s="66">
        <f t="shared" si="0"/>
        <v>-9.8715391623552626E-2</v>
      </c>
      <c r="W3" s="66">
        <f t="shared" si="0"/>
        <v>1.728651420583275</v>
      </c>
      <c r="X3" s="66">
        <f t="shared" si="0"/>
        <v>3.1517695086163253</v>
      </c>
      <c r="Y3" s="66">
        <f t="shared" si="0"/>
        <v>1.0705436680458769</v>
      </c>
      <c r="Z3" s="66">
        <f t="shared" si="0"/>
        <v>154.81556394621799</v>
      </c>
      <c r="AA3" s="66">
        <f t="shared" si="0"/>
        <v>127.31479558210253</v>
      </c>
      <c r="AB3" s="66">
        <f t="shared" si="0"/>
        <v>83.491662563748392</v>
      </c>
      <c r="AC3" s="66">
        <f t="shared" si="0"/>
        <v>461.02614804062978</v>
      </c>
      <c r="AD3" s="66">
        <f t="shared" si="0"/>
        <v>3.4704720848868512E-2</v>
      </c>
      <c r="AE3" s="66">
        <f t="shared" si="0"/>
        <v>-0.56240607695913603</v>
      </c>
      <c r="AF3" s="66">
        <f t="shared" si="0"/>
        <v>2.8455608281419602</v>
      </c>
      <c r="AG3" s="66">
        <f t="shared" si="0"/>
        <v>-0.149845193980228</v>
      </c>
      <c r="AH3" s="66">
        <f t="shared" si="0"/>
        <v>1.120720037610065</v>
      </c>
      <c r="AI3" s="66">
        <f t="shared" si="0"/>
        <v>1.3026341191023323</v>
      </c>
      <c r="AJ3" s="66">
        <f t="shared" si="0"/>
        <v>-0.62755600278768542</v>
      </c>
      <c r="AK3" s="66">
        <f t="shared" si="0"/>
        <v>-0.92170202432704884</v>
      </c>
      <c r="AL3" s="66">
        <f t="shared" si="0"/>
        <v>-0.97330396991169588</v>
      </c>
      <c r="AM3" s="66">
        <f t="shared" si="0"/>
        <v>-0.98138314467590904</v>
      </c>
      <c r="AN3" s="66">
        <f t="shared" si="0"/>
        <v>-0.9841070861854101</v>
      </c>
      <c r="AO3" s="66">
        <f t="shared" si="0"/>
        <v>-0.89275095462944842</v>
      </c>
      <c r="AP3" s="66">
        <f t="shared" si="0"/>
        <v>-0.81288162181244616</v>
      </c>
      <c r="AQ3" s="66">
        <f t="shared" si="0"/>
        <v>-0.74705130875422066</v>
      </c>
      <c r="AR3" s="66">
        <f t="shared" si="0"/>
        <v>-0.68314970367721195</v>
      </c>
      <c r="AS3" s="66">
        <f t="shared" si="0"/>
        <v>0.20530409723973159</v>
      </c>
      <c r="AT3" s="66">
        <f t="shared" si="0"/>
        <v>0.68175343393996413</v>
      </c>
      <c r="AU3" s="66">
        <f t="shared" si="0"/>
        <v>1.1406526453262469</v>
      </c>
      <c r="AV3" s="66">
        <f t="shared" si="0"/>
        <v>0.57621857622390404</v>
      </c>
      <c r="AW3" s="66">
        <f t="shared" si="0"/>
        <v>3.512871514674297E-2</v>
      </c>
      <c r="AX3" s="66">
        <f t="shared" si="0"/>
        <v>-0.37033546995747291</v>
      </c>
      <c r="AY3" s="66">
        <f t="shared" si="0"/>
        <v>-0.59161503979584162</v>
      </c>
      <c r="AZ3" s="66">
        <f t="shared" si="0"/>
        <v>-0.60170638727310277</v>
      </c>
      <c r="BA3" s="66">
        <f t="shared" si="0"/>
        <v>-0.72385609136371165</v>
      </c>
      <c r="BB3" s="66">
        <f t="shared" si="0"/>
        <v>-0.6703186029346766</v>
      </c>
      <c r="BC3" s="66">
        <f t="shared" si="0"/>
        <v>-0.55177888798819863</v>
      </c>
      <c r="BD3" s="66">
        <f t="shared" si="0"/>
        <v>-0.40908670429184718</v>
      </c>
      <c r="BE3" s="66">
        <f t="shared" si="0"/>
        <v>-7.4909115859111239E-2</v>
      </c>
      <c r="BF3" s="66">
        <f t="shared" si="0"/>
        <v>7.857203106481371E-2</v>
      </c>
      <c r="BG3" s="66">
        <f t="shared" si="0"/>
        <v>0.23711729244112992</v>
      </c>
      <c r="BH3" s="66">
        <f t="shared" si="0"/>
        <v>0.30942326143833793</v>
      </c>
      <c r="BI3" s="66">
        <f t="shared" si="0"/>
        <v>-0.12997251765197634</v>
      </c>
      <c r="BJ3" s="66">
        <f t="shared" si="0"/>
        <v>-0.16209422686848601</v>
      </c>
      <c r="BK3" s="66">
        <f t="shared" si="0"/>
        <v>-0.26362568410795367</v>
      </c>
      <c r="BL3" s="66">
        <f t="shared" si="0"/>
        <v>-0.37439178904520926</v>
      </c>
      <c r="BM3" s="66">
        <f t="shared" si="0"/>
        <v>0.30757441343828418</v>
      </c>
      <c r="BN3" s="66">
        <f t="shared" si="0"/>
        <v>1.9261680532040495</v>
      </c>
      <c r="BO3" s="66">
        <f t="shared" si="0"/>
        <v>1.1396265556234151</v>
      </c>
      <c r="BP3" s="66">
        <f t="shared" si="0"/>
        <v>0.99975645879981212</v>
      </c>
      <c r="BQ3" s="66">
        <f t="shared" si="0"/>
        <v>6.5080393045469016</v>
      </c>
      <c r="BR3" s="66">
        <f t="shared" ref="BR3:CJ3" si="1">(BR2-BV2)/BV2</f>
        <v>4.7871325947553665</v>
      </c>
      <c r="BS3" s="66">
        <f t="shared" si="1"/>
        <v>1.7581525065979726</v>
      </c>
      <c r="BT3" s="66">
        <f t="shared" si="1"/>
        <v>2.4226853669665562</v>
      </c>
      <c r="BU3" s="66">
        <f t="shared" si="1"/>
        <v>0.63857370355079579</v>
      </c>
      <c r="BV3" s="66">
        <f t="shared" si="1"/>
        <v>0.2765753155577132</v>
      </c>
      <c r="BW3" s="66">
        <f t="shared" si="1"/>
        <v>1.2630003451152175E-2</v>
      </c>
      <c r="BX3" s="66">
        <f t="shared" si="1"/>
        <v>-0.66013259704551297</v>
      </c>
      <c r="BY3" s="66">
        <f t="shared" si="1"/>
        <v>-0.13971117121847021</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1616027058.0599999</v>
      </c>
      <c r="F4" s="26">
        <f>股权价值增加表!F5</f>
        <v>600153230.5</v>
      </c>
      <c r="G4" s="26">
        <f>股权价值增加表!G5</f>
        <v>508306514.16000003</v>
      </c>
      <c r="H4" s="26">
        <f>股权价值增加表!H5</f>
        <v>365987243.24000001</v>
      </c>
      <c r="I4" s="26">
        <f>股权价值增加表!I5</f>
        <v>4539441199.6700001</v>
      </c>
      <c r="J4" s="26">
        <f>股权价值增加表!J5</f>
        <v>3382976744.8299999</v>
      </c>
      <c r="K4" s="26">
        <f>股权价值增加表!K5</f>
        <v>2928384287.7600002</v>
      </c>
      <c r="L4" s="26">
        <f>股权价值增加表!L5</f>
        <v>2058609440.3299999</v>
      </c>
      <c r="M4" s="26">
        <f>股权价值增加表!M5</f>
        <v>313954249.98000002</v>
      </c>
      <c r="N4" s="26">
        <f>股权价值增加表!N5</f>
        <v>211737968.27000001</v>
      </c>
      <c r="O4" s="26">
        <f>股权价值增加表!O5</f>
        <v>116658735.59</v>
      </c>
      <c r="P4" s="26">
        <f>股权价值增加表!P5</f>
        <v>78663009.230000004</v>
      </c>
      <c r="Q4" s="26">
        <f>股权价值增加表!Q5</f>
        <v>812740259.87</v>
      </c>
      <c r="R4" s="26">
        <f>股权价值增加表!R5</f>
        <v>514968866.93000001</v>
      </c>
      <c r="S4" s="26">
        <f>股权价值增加表!S5</f>
        <v>396215248.80000001</v>
      </c>
      <c r="T4" s="26">
        <f>股权价值增加表!T5</f>
        <v>157583419.81999999</v>
      </c>
      <c r="U4" s="26">
        <f>股权价值增加表!U5</f>
        <v>1671380022</v>
      </c>
      <c r="V4" s="26">
        <f>股权价值增加表!V5</f>
        <v>175894801.06</v>
      </c>
      <c r="W4" s="26">
        <f>股权价值增加表!W5</f>
        <v>126409864.45</v>
      </c>
      <c r="X4" s="26">
        <f>股权价值增加表!X5</f>
        <v>75818115.939999998</v>
      </c>
      <c r="Y4" s="26">
        <f>股权价值增加表!Y5</f>
        <v>1211372080.8099999</v>
      </c>
      <c r="Z4" s="26">
        <f>股权价值增加表!Z5</f>
        <v>172648495.69999999</v>
      </c>
      <c r="AA4" s="26">
        <f>股权价值增加表!AA5</f>
        <v>62530779.710000001</v>
      </c>
      <c r="AB4" s="26">
        <f>股权价值增加表!AB5</f>
        <v>28367218.780000001</v>
      </c>
      <c r="AC4" s="26">
        <f>股权价值增加表!AC5</f>
        <v>470449669.13</v>
      </c>
      <c r="AD4" s="26">
        <f>股权价值增加表!AD5</f>
        <v>1705033.33</v>
      </c>
      <c r="AE4" s="26">
        <f>股权价值增加表!AE5</f>
        <v>438811.08</v>
      </c>
      <c r="AF4" s="26">
        <f>股权价值增加表!AF5</f>
        <v>315678.40000000002</v>
      </c>
      <c r="AG4" s="26">
        <f>股权价值增加表!AG5</f>
        <v>4099904.38</v>
      </c>
      <c r="AH4" s="26">
        <f>股权价值增加表!AH5</f>
        <v>4345105.6399999997</v>
      </c>
      <c r="AI4" s="26">
        <f>股权价值增加表!AI5</f>
        <v>3915105.64</v>
      </c>
      <c r="AJ4" s="26">
        <f>股权价值增加表!AJ5</f>
        <v>84000</v>
      </c>
      <c r="AK4" s="26">
        <f>股权价值增加表!AK5</f>
        <v>3793869.56</v>
      </c>
      <c r="AL4" s="26">
        <f>股权价值增加表!AL5</f>
        <v>635376.02</v>
      </c>
      <c r="AM4" s="26">
        <f>股权价值增加表!AM5</f>
        <v>424581.18</v>
      </c>
      <c r="AN4" s="26">
        <f>股权价值增加表!AN5</f>
        <v>152599.22</v>
      </c>
      <c r="AO4" s="26">
        <f>股权价值增加表!AO5</f>
        <v>29569124.870000001</v>
      </c>
      <c r="AP4" s="26">
        <f>股权价值增加表!AP5</f>
        <v>38786811.189999998</v>
      </c>
      <c r="AQ4" s="26">
        <f>股权价值增加表!AQ5</f>
        <v>37424619.420000002</v>
      </c>
      <c r="AR4" s="26">
        <f>股权价值增加表!AR5</f>
        <v>19857872.609999999</v>
      </c>
      <c r="AS4" s="26">
        <f>股权价值增加表!AS5</f>
        <v>238984727.55000001</v>
      </c>
      <c r="AT4" s="26">
        <f>股权价值增加表!AT5</f>
        <v>198543038.46000001</v>
      </c>
      <c r="AU4" s="26">
        <f>股权价值增加表!AU5</f>
        <v>140102053.34999999</v>
      </c>
      <c r="AV4" s="26">
        <f>股权价值增加表!AV5</f>
        <v>56881135.210000001</v>
      </c>
      <c r="AW4" s="26">
        <f>股权价值增加表!AW5</f>
        <v>215780698.36000001</v>
      </c>
      <c r="AX4" s="26">
        <f>股权价值增加表!AX5</f>
        <v>117329240.27</v>
      </c>
      <c r="AY4" s="26">
        <f>股权价值增加表!AY5</f>
        <v>68868369.069999993</v>
      </c>
      <c r="AZ4" s="26">
        <f>股权价值增加表!AZ5</f>
        <v>39466456.479999997</v>
      </c>
      <c r="BA4" s="26">
        <f>股权价值增加表!BA5</f>
        <v>218314124.33000001</v>
      </c>
      <c r="BB4" s="26">
        <f>股权价值增加表!BB5</f>
        <v>197131177.56</v>
      </c>
      <c r="BC4" s="26">
        <f>股权价值增加表!BC5</f>
        <v>173158410.75</v>
      </c>
      <c r="BD4" s="26">
        <f>股权价值增加表!BD5</f>
        <v>100427642.67</v>
      </c>
      <c r="BE4" s="26">
        <f>股权价值增加表!BE5</f>
        <v>758309533.38</v>
      </c>
      <c r="BF4" s="26">
        <f>股权价值增加表!BF5</f>
        <v>570889335.45000005</v>
      </c>
      <c r="BG4" s="26">
        <f>股权价值增加表!BG5</f>
        <v>354856131.64999998</v>
      </c>
      <c r="BH4" s="26">
        <f>股权价值增加表!BH5</f>
        <v>154647892.50999999</v>
      </c>
      <c r="BI4" s="26">
        <f>股权价值增加表!BI5</f>
        <v>769721036.62</v>
      </c>
      <c r="BJ4" s="26">
        <f>股权价值增加表!BJ5</f>
        <v>504092879.63</v>
      </c>
      <c r="BK4" s="26">
        <f>股权价值增加表!BK5</f>
        <v>279952562.36000001</v>
      </c>
      <c r="BL4" s="26">
        <f>股权价值增加表!BL5</f>
        <v>115370952.12</v>
      </c>
      <c r="BM4" s="26">
        <f>股权价值增加表!BM5</f>
        <v>901152413.30999994</v>
      </c>
      <c r="BN4" s="26">
        <f>股权价值增加表!BN5</f>
        <v>613747270.54999995</v>
      </c>
      <c r="BO4" s="26">
        <f>股权价值增加表!BO5</f>
        <v>384726753.97000003</v>
      </c>
      <c r="BP4" s="26">
        <f>股权价值增加表!BP5</f>
        <v>192820990.41999999</v>
      </c>
      <c r="BQ4" s="26">
        <f>股权价值增加表!BQ5</f>
        <v>685163130.41999996</v>
      </c>
      <c r="BR4" s="26">
        <f>股权价值增加表!BR5</f>
        <v>196652588.31</v>
      </c>
      <c r="BS4" s="26">
        <f>股权价值增加表!BS5</f>
        <v>125981881.90000001</v>
      </c>
      <c r="BT4" s="26">
        <f>股权价值增加表!BT5</f>
        <v>69117475.049999997</v>
      </c>
      <c r="BU4" s="26">
        <f>股权价值增加表!BU5</f>
        <v>62179832.670000002</v>
      </c>
      <c r="BV4" s="26">
        <f>股权价值增加表!BV5</f>
        <v>25515819.390000001</v>
      </c>
      <c r="BW4" s="26">
        <f>股权价值增加表!BW5</f>
        <v>37705823.210000001</v>
      </c>
      <c r="BX4" s="26">
        <f>股权价值增加表!BX5</f>
        <v>14688107.789999999</v>
      </c>
      <c r="BY4" s="26">
        <f>股权价值增加表!BY5</f>
        <v>37626667.640000001</v>
      </c>
      <c r="BZ4" s="26">
        <f>股权价值增加表!BZ5</f>
        <v>20236400.73</v>
      </c>
      <c r="CA4" s="26">
        <f>股权价值增加表!CA5</f>
        <v>45078924.869999997</v>
      </c>
      <c r="CB4" s="26">
        <f>股权价值增加表!CB5</f>
        <v>49854667.170000002</v>
      </c>
      <c r="CC4" s="26">
        <f>股权价值增加表!CC5</f>
        <v>39443207.759999998</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0.6532257431508266</v>
      </c>
      <c r="F5" s="66">
        <f t="shared" si="2"/>
        <v>0.59526690454481357</v>
      </c>
      <c r="G5" s="66">
        <f t="shared" si="2"/>
        <v>0.57874640016423629</v>
      </c>
      <c r="H5" s="66">
        <f t="shared" si="2"/>
        <v>0.58068135506751817</v>
      </c>
      <c r="I5" s="66">
        <f t="shared" si="2"/>
        <v>0.67703859414346568</v>
      </c>
      <c r="J5" s="66">
        <f t="shared" si="2"/>
        <v>0.7391885558184017</v>
      </c>
      <c r="K5" s="66">
        <f t="shared" si="2"/>
        <v>0.73286149724194882</v>
      </c>
      <c r="L5" s="66">
        <f t="shared" si="2"/>
        <v>0.70369386534409617</v>
      </c>
      <c r="M5" s="66">
        <f t="shared" si="2"/>
        <v>0.60433591715253709</v>
      </c>
      <c r="N5" s="66">
        <f t="shared" si="2"/>
        <v>0.57628321592817422</v>
      </c>
      <c r="O5" s="66">
        <f t="shared" si="2"/>
        <v>0.53619635634883711</v>
      </c>
      <c r="P5" s="66">
        <f t="shared" si="2"/>
        <v>0.54399893641916874</v>
      </c>
      <c r="Q5" s="66">
        <f t="shared" si="2"/>
        <v>0.63954494442446219</v>
      </c>
      <c r="R5" s="66">
        <f t="shared" si="2"/>
        <v>0.57634858757971519</v>
      </c>
      <c r="S5" s="66">
        <f t="shared" si="2"/>
        <v>0.58293904565425469</v>
      </c>
      <c r="T5" s="66">
        <f t="shared" si="2"/>
        <v>0.52283141336208716</v>
      </c>
      <c r="U5" s="66">
        <f t="shared" si="2"/>
        <v>0.60187455008096347</v>
      </c>
      <c r="V5" s="66">
        <f t="shared" si="2"/>
        <v>0.53870603681145757</v>
      </c>
      <c r="W5" s="66">
        <f t="shared" si="2"/>
        <v>0.5017593596164357</v>
      </c>
      <c r="X5" s="66">
        <f t="shared" si="2"/>
        <v>0.47519114026718845</v>
      </c>
      <c r="Y5" s="66">
        <f t="shared" si="2"/>
        <v>0.64212351256634881</v>
      </c>
      <c r="Z5" s="66">
        <f t="shared" si="2"/>
        <v>0.4765665897135003</v>
      </c>
      <c r="AA5" s="66">
        <f t="shared" si="2"/>
        <v>0.67726154935561822</v>
      </c>
      <c r="AB5" s="66">
        <f t="shared" si="2"/>
        <v>0.73815121659970617</v>
      </c>
      <c r="AC5" s="66">
        <f t="shared" si="2"/>
        <v>0.5163433337142298</v>
      </c>
      <c r="AD5" s="66">
        <f t="shared" si="2"/>
        <v>0.73333852810729272</v>
      </c>
      <c r="AE5" s="66">
        <f t="shared" si="2"/>
        <v>0.60984139076348765</v>
      </c>
      <c r="AF5" s="66">
        <f t="shared" si="2"/>
        <v>0.69404447984061879</v>
      </c>
      <c r="AG5" s="66">
        <f t="shared" si="2"/>
        <v>2.0790536182786381</v>
      </c>
      <c r="AH5" s="66">
        <f t="shared" si="2"/>
        <v>1.9336968945200175</v>
      </c>
      <c r="AI5" s="66">
        <f t="shared" si="2"/>
        <v>2.3809708553860371</v>
      </c>
      <c r="AJ5" s="66">
        <f t="shared" si="2"/>
        <v>0.71020121184000118</v>
      </c>
      <c r="AK5" s="66">
        <f t="shared" ref="AK5:BP5" si="3">AK4/AK2</f>
        <v>1.6355821834002731</v>
      </c>
      <c r="AL5" s="66">
        <f t="shared" si="3"/>
        <v>0.59965605020531831</v>
      </c>
      <c r="AM5" s="66">
        <f t="shared" si="3"/>
        <v>0.59456079628410763</v>
      </c>
      <c r="AN5" s="66">
        <f t="shared" si="3"/>
        <v>0.48052436749633431</v>
      </c>
      <c r="AO5" s="66">
        <f t="shared" si="3"/>
        <v>0.99811132036157424</v>
      </c>
      <c r="AP5" s="66">
        <f t="shared" si="3"/>
        <v>0.97724207939990282</v>
      </c>
      <c r="AQ5" s="66">
        <f t="shared" si="3"/>
        <v>0.97566167607607224</v>
      </c>
      <c r="AR5" s="66">
        <f t="shared" si="3"/>
        <v>0.99380081959056166</v>
      </c>
      <c r="AS5" s="66">
        <f t="shared" si="3"/>
        <v>0.86517526209645146</v>
      </c>
      <c r="AT5" s="66">
        <f t="shared" si="3"/>
        <v>0.93602875735838864</v>
      </c>
      <c r="AU5" s="66">
        <f t="shared" si="3"/>
        <v>0.92388686084227734</v>
      </c>
      <c r="AV5" s="66">
        <f t="shared" si="3"/>
        <v>0.90196358297604629</v>
      </c>
      <c r="AW5" s="66">
        <f t="shared" si="3"/>
        <v>0.94154953319202794</v>
      </c>
      <c r="AX5" s="66">
        <f t="shared" si="3"/>
        <v>0.93025734849612285</v>
      </c>
      <c r="AY5" s="66">
        <f t="shared" si="3"/>
        <v>0.97216569165532996</v>
      </c>
      <c r="AZ5" s="66">
        <f t="shared" si="3"/>
        <v>0.98642784734055533</v>
      </c>
      <c r="BA5" s="66">
        <f t="shared" si="3"/>
        <v>0.98606778081168134</v>
      </c>
      <c r="BB5" s="66">
        <f t="shared" si="3"/>
        <v>0.98415022598647839</v>
      </c>
      <c r="BC5" s="66">
        <f t="shared" si="3"/>
        <v>0.99823736798122187</v>
      </c>
      <c r="BD5" s="66">
        <f t="shared" si="3"/>
        <v>0.99975549506045658</v>
      </c>
      <c r="BE5" s="66">
        <f t="shared" si="3"/>
        <v>0.94581656955884941</v>
      </c>
      <c r="BF5" s="66">
        <f t="shared" si="3"/>
        <v>0.93962043319051647</v>
      </c>
      <c r="BG5" s="66">
        <f t="shared" si="3"/>
        <v>0.91692719720660354</v>
      </c>
      <c r="BH5" s="66">
        <f t="shared" si="3"/>
        <v>0.90972116533181258</v>
      </c>
      <c r="BI5" s="66">
        <f t="shared" si="3"/>
        <v>0.88813331160827169</v>
      </c>
      <c r="BJ5" s="66">
        <f t="shared" si="3"/>
        <v>0.89487059888161891</v>
      </c>
      <c r="BK5" s="66">
        <f t="shared" si="3"/>
        <v>0.89490691746986006</v>
      </c>
      <c r="BL5" s="66">
        <f t="shared" si="3"/>
        <v>0.88867061830115779</v>
      </c>
      <c r="BM5" s="66">
        <f t="shared" si="3"/>
        <v>0.90464049605539387</v>
      </c>
      <c r="BN5" s="66">
        <f t="shared" si="3"/>
        <v>0.91292359736983242</v>
      </c>
      <c r="BO5" s="66">
        <f t="shared" si="3"/>
        <v>0.9056167339377641</v>
      </c>
      <c r="BP5" s="66">
        <f t="shared" si="3"/>
        <v>0.92918265480565043</v>
      </c>
      <c r="BQ5" s="66">
        <f t="shared" ref="BQ5:CK5" si="4">BQ4/BQ2</f>
        <v>0.89936953752723048</v>
      </c>
      <c r="BR5" s="66">
        <f t="shared" si="4"/>
        <v>0.85594092277664036</v>
      </c>
      <c r="BS5" s="66">
        <f t="shared" si="4"/>
        <v>0.63450948921198069</v>
      </c>
      <c r="BT5" s="66">
        <f t="shared" si="4"/>
        <v>0.66605755293188695</v>
      </c>
      <c r="BU5" s="66">
        <f t="shared" si="4"/>
        <v>0.61280214257193455</v>
      </c>
      <c r="BV5" s="66">
        <f t="shared" si="4"/>
        <v>0.64271298783241537</v>
      </c>
      <c r="BW5" s="66">
        <f t="shared" si="4"/>
        <v>0.52378943321346505</v>
      </c>
      <c r="BX5" s="66">
        <f t="shared" si="4"/>
        <v>0.48445865835834256</v>
      </c>
      <c r="BY5" s="66">
        <f t="shared" si="4"/>
        <v>0.60762056500480111</v>
      </c>
      <c r="BZ5" s="66">
        <f t="shared" si="4"/>
        <v>0.65070968410639307</v>
      </c>
      <c r="CA5" s="66">
        <f t="shared" si="4"/>
        <v>0.63412174572034519</v>
      </c>
      <c r="CB5" s="66">
        <f t="shared" si="4"/>
        <v>0.55886409071266363</v>
      </c>
      <c r="CC5" s="66">
        <f t="shared" si="4"/>
        <v>0.54796550181746428</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-0.64400308606762457</v>
      </c>
      <c r="F6" s="66">
        <f t="shared" ref="F6:BQ6" si="5">(F4-J4)/J4</f>
        <v>-0.82259611112693043</v>
      </c>
      <c r="G6" s="66">
        <f t="shared" si="5"/>
        <v>-0.82642082998306987</v>
      </c>
      <c r="H6" s="66">
        <f t="shared" si="5"/>
        <v>-0.82221628052899076</v>
      </c>
      <c r="I6" s="66">
        <f t="shared" si="5"/>
        <v>13.458925782846316</v>
      </c>
      <c r="J6" s="66">
        <f t="shared" si="5"/>
        <v>14.977185256241619</v>
      </c>
      <c r="K6" s="66">
        <f t="shared" si="5"/>
        <v>24.102143212419847</v>
      </c>
      <c r="L6" s="66">
        <f t="shared" si="5"/>
        <v>25.16998078869452</v>
      </c>
      <c r="M6" s="66">
        <f t="shared" si="5"/>
        <v>-0.61370899722597982</v>
      </c>
      <c r="N6" s="66">
        <f t="shared" si="5"/>
        <v>-0.5888334579675053</v>
      </c>
      <c r="O6" s="66">
        <f t="shared" si="5"/>
        <v>-0.70556727449708401</v>
      </c>
      <c r="P6" s="66">
        <f t="shared" si="5"/>
        <v>-0.50081671460199939</v>
      </c>
      <c r="Q6" s="66">
        <f t="shared" si="5"/>
        <v>-0.51373101917452502</v>
      </c>
      <c r="R6" s="66">
        <f t="shared" si="5"/>
        <v>1.9277094253305271</v>
      </c>
      <c r="S6" s="66">
        <f t="shared" si="5"/>
        <v>2.1343696991046017</v>
      </c>
      <c r="T6" s="66">
        <f t="shared" si="5"/>
        <v>1.0784401968614785</v>
      </c>
      <c r="U6" s="66">
        <f t="shared" si="5"/>
        <v>0.37974124422812328</v>
      </c>
      <c r="V6" s="66">
        <f t="shared" si="5"/>
        <v>1.8802975066987592E-2</v>
      </c>
      <c r="W6" s="66">
        <f t="shared" si="5"/>
        <v>1.0215622615974573</v>
      </c>
      <c r="X6" s="66">
        <f t="shared" si="5"/>
        <v>1.6727370253672784</v>
      </c>
      <c r="Y6" s="66">
        <f t="shared" si="5"/>
        <v>1.5749238660326486</v>
      </c>
      <c r="Z6" s="66">
        <f t="shared" si="5"/>
        <v>100.25813534683218</v>
      </c>
      <c r="AA6" s="66">
        <f t="shared" si="5"/>
        <v>141.50045762290233</v>
      </c>
      <c r="AB6" s="66">
        <f t="shared" si="5"/>
        <v>88.861133292616785</v>
      </c>
      <c r="AC6" s="66">
        <f t="shared" si="5"/>
        <v>113.74649785124988</v>
      </c>
      <c r="AD6" s="66">
        <f t="shared" si="5"/>
        <v>-0.60759680632298729</v>
      </c>
      <c r="AE6" s="66">
        <f t="shared" si="5"/>
        <v>-0.88791845729097618</v>
      </c>
      <c r="AF6" s="66">
        <f t="shared" si="5"/>
        <v>2.7580761904761908</v>
      </c>
      <c r="AG6" s="66">
        <f t="shared" si="5"/>
        <v>8.0665614660721183E-2</v>
      </c>
      <c r="AH6" s="66">
        <f t="shared" si="5"/>
        <v>5.8386364974869522</v>
      </c>
      <c r="AI6" s="66">
        <f t="shared" si="5"/>
        <v>8.2211002852269619</v>
      </c>
      <c r="AJ6" s="66">
        <f t="shared" si="5"/>
        <v>-0.44953847077331066</v>
      </c>
      <c r="AK6" s="66">
        <f t="shared" si="5"/>
        <v>-0.87169489876079653</v>
      </c>
      <c r="AL6" s="66">
        <f t="shared" si="5"/>
        <v>-0.98361876110702762</v>
      </c>
      <c r="AM6" s="66">
        <f t="shared" si="5"/>
        <v>-0.98865503012241451</v>
      </c>
      <c r="AN6" s="66">
        <f t="shared" si="5"/>
        <v>-0.99231542960331243</v>
      </c>
      <c r="AO6" s="66">
        <f t="shared" si="5"/>
        <v>-0.87627190585300641</v>
      </c>
      <c r="AP6" s="66">
        <f t="shared" si="5"/>
        <v>-0.8046428044475894</v>
      </c>
      <c r="AQ6" s="66">
        <f t="shared" si="5"/>
        <v>-0.7328760105570572</v>
      </c>
      <c r="AR6" s="66">
        <f t="shared" si="5"/>
        <v>-0.65088825079375556</v>
      </c>
      <c r="AS6" s="66">
        <f t="shared" si="5"/>
        <v>0.10753524002080719</v>
      </c>
      <c r="AT6" s="66">
        <f t="shared" si="5"/>
        <v>0.69218719905719561</v>
      </c>
      <c r="AU6" s="66">
        <f t="shared" si="5"/>
        <v>1.0343454512128176</v>
      </c>
      <c r="AV6" s="66">
        <f t="shared" si="5"/>
        <v>0.4412526556273188</v>
      </c>
      <c r="AW6" s="66">
        <f t="shared" si="5"/>
        <v>-1.1604498690934509E-2</v>
      </c>
      <c r="AX6" s="66">
        <f t="shared" si="5"/>
        <v>-0.4048164185784921</v>
      </c>
      <c r="AY6" s="66">
        <f t="shared" si="5"/>
        <v>-0.60228112067031092</v>
      </c>
      <c r="AZ6" s="66">
        <f t="shared" si="5"/>
        <v>-0.60701600245975385</v>
      </c>
      <c r="BA6" s="66">
        <f t="shared" si="5"/>
        <v>-0.71210420716074574</v>
      </c>
      <c r="BB6" s="66">
        <f t="shared" si="5"/>
        <v>-0.65469458734132324</v>
      </c>
      <c r="BC6" s="66">
        <f t="shared" si="5"/>
        <v>-0.51203207354808011</v>
      </c>
      <c r="BD6" s="66">
        <f t="shared" si="5"/>
        <v>-0.35060451817339799</v>
      </c>
      <c r="BE6" s="66">
        <f t="shared" si="5"/>
        <v>-1.4825505211745567E-2</v>
      </c>
      <c r="BF6" s="66">
        <f t="shared" si="5"/>
        <v>0.13250823115975791</v>
      </c>
      <c r="BG6" s="66">
        <f t="shared" si="5"/>
        <v>0.26755807719194602</v>
      </c>
      <c r="BH6" s="66">
        <f t="shared" si="5"/>
        <v>0.34044046329050948</v>
      </c>
      <c r="BI6" s="66">
        <f t="shared" si="5"/>
        <v>-0.14584811042922552</v>
      </c>
      <c r="BJ6" s="66">
        <f t="shared" si="5"/>
        <v>-0.17866375327703682</v>
      </c>
      <c r="BK6" s="66">
        <f t="shared" si="5"/>
        <v>-0.27233404105338105</v>
      </c>
      <c r="BL6" s="66">
        <f t="shared" si="5"/>
        <v>-0.40166808671244447</v>
      </c>
      <c r="BM6" s="66">
        <f t="shared" si="5"/>
        <v>0.31523774893958484</v>
      </c>
      <c r="BN6" s="66">
        <f t="shared" si="5"/>
        <v>2.1209722476802519</v>
      </c>
      <c r="BO6" s="66">
        <f t="shared" si="5"/>
        <v>2.0538260594914961</v>
      </c>
      <c r="BP6" s="66">
        <f t="shared" si="5"/>
        <v>1.7897574423908298</v>
      </c>
      <c r="BQ6" s="66">
        <f t="shared" si="5"/>
        <v>10.019057160483028</v>
      </c>
      <c r="BR6" s="66">
        <f t="shared" ref="BR6:CJ6" si="6">(BR4-BV4)/BV4</f>
        <v>6.7070849775285231</v>
      </c>
      <c r="BS6" s="66">
        <f t="shared" si="6"/>
        <v>2.3411783956645777</v>
      </c>
      <c r="BT6" s="66">
        <f t="shared" si="6"/>
        <v>3.7056759140245936</v>
      </c>
      <c r="BU6" s="66">
        <f t="shared" si="6"/>
        <v>0.65254689213822714</v>
      </c>
      <c r="BV6" s="66">
        <f t="shared" si="6"/>
        <v>0.26088723634402944</v>
      </c>
      <c r="BW6" s="66">
        <f t="shared" si="6"/>
        <v>-0.16355983824509515</v>
      </c>
      <c r="BX6" s="66">
        <f t="shared" si="6"/>
        <v>-0.70538148936157063</v>
      </c>
      <c r="BY6" s="66">
        <f t="shared" si="6"/>
        <v>-4.6054573731758711E-2</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857891147.0999999</v>
      </c>
      <c r="F7" s="27">
        <f>股权价值增加表!F6</f>
        <v>408055399.80999994</v>
      </c>
      <c r="G7" s="27">
        <f>股权价值增加表!G6</f>
        <v>369982342.60999995</v>
      </c>
      <c r="H7" s="27">
        <f>股权价值增加表!H6</f>
        <v>264284832.90999997</v>
      </c>
      <c r="I7" s="27">
        <f>股权价值增加表!I6</f>
        <v>2165407296.3199997</v>
      </c>
      <c r="J7" s="27">
        <f>股权价值增加表!J6</f>
        <v>1193631913.6800003</v>
      </c>
      <c r="K7" s="27">
        <f>股权价值增加表!K6</f>
        <v>1067437977.1299996</v>
      </c>
      <c r="L7" s="27">
        <f>股权价值增加表!L6</f>
        <v>866823822.22000027</v>
      </c>
      <c r="M7" s="27">
        <f>股权价值增加表!M6</f>
        <v>205548630.89999998</v>
      </c>
      <c r="N7" s="27">
        <f>股权价值增加表!N6</f>
        <v>155682012.77000001</v>
      </c>
      <c r="O7" s="27">
        <f>股权价值增加表!O6</f>
        <v>100908456.37</v>
      </c>
      <c r="P7" s="27">
        <f>股权价值增加表!P6</f>
        <v>65938393.390000001</v>
      </c>
      <c r="Q7" s="27">
        <f>股权价值增加表!Q6</f>
        <v>458069973.17999995</v>
      </c>
      <c r="R7" s="27">
        <f>股权价值增加表!R6</f>
        <v>378533568.96999997</v>
      </c>
      <c r="S7" s="27">
        <f>股权价值增加表!S6</f>
        <v>283470306.23999995</v>
      </c>
      <c r="T7" s="27">
        <f>股权价值增加表!T6</f>
        <v>143820466.38999999</v>
      </c>
      <c r="U7" s="27">
        <f>股权价值增加表!U6</f>
        <v>1105577438.2800002</v>
      </c>
      <c r="V7" s="27">
        <f>股权价值增加表!V6</f>
        <v>150618712.88</v>
      </c>
      <c r="W7" s="27">
        <f>股权价值增加表!W6</f>
        <v>125523382.08999999</v>
      </c>
      <c r="X7" s="27">
        <f>股权价值增加表!X6</f>
        <v>83734766.080000013</v>
      </c>
      <c r="Y7" s="27">
        <f>股权价值增加表!Y6</f>
        <v>675137378.98000002</v>
      </c>
      <c r="Z7" s="27">
        <f>股权价值增加表!Z6</f>
        <v>189627206.00999999</v>
      </c>
      <c r="AA7" s="27">
        <f>股权价值增加表!AA6</f>
        <v>29798069.859999992</v>
      </c>
      <c r="AB7" s="27">
        <f>股权价值增加表!AB6</f>
        <v>10062872.699999996</v>
      </c>
      <c r="AC7" s="27">
        <f>股权价值增加表!AC6</f>
        <v>440668260.38</v>
      </c>
      <c r="AD7" s="27">
        <f>股权价值增加表!AD6</f>
        <v>619995.64999999991</v>
      </c>
      <c r="AE7" s="27">
        <f>股权价值增加表!AE6</f>
        <v>280738.44</v>
      </c>
      <c r="AF7" s="27">
        <f>股权价值增加表!AF6</f>
        <v>139160.45999999996</v>
      </c>
      <c r="AG7" s="27">
        <f>股权价值增加表!AG6</f>
        <v>-2127899.2599999998</v>
      </c>
      <c r="AH7" s="27">
        <f>股权价值增加表!AH6</f>
        <v>-2098059.7599999998</v>
      </c>
      <c r="AI7" s="27">
        <f>股权价值增加表!AI6</f>
        <v>-2270774.0300000003</v>
      </c>
      <c r="AJ7" s="27">
        <f>股权价值增加表!AJ6</f>
        <v>34276.339999999997</v>
      </c>
      <c r="AK7" s="27">
        <f>股权价值增加表!AK6</f>
        <v>-1474285.9900000002</v>
      </c>
      <c r="AL7" s="27">
        <f>股权价值增加表!AL6</f>
        <v>424191.40999999992</v>
      </c>
      <c r="AM7" s="27">
        <f>股权价值增加表!AM6</f>
        <v>289527.75999999995</v>
      </c>
      <c r="AN7" s="27">
        <f>股权价值增加表!AN6</f>
        <v>164968.9</v>
      </c>
      <c r="AO7" s="27">
        <f>股权价值增加表!AO6</f>
        <v>55952.279999997467</v>
      </c>
      <c r="AP7" s="27">
        <f>股权价值增加表!AP6</f>
        <v>903263.5700000003</v>
      </c>
      <c r="AQ7" s="27">
        <f>股权价值增加表!AQ6</f>
        <v>933574.1400000006</v>
      </c>
      <c r="AR7" s="27">
        <f>股权价值增加表!AR6</f>
        <v>123870.4299999997</v>
      </c>
      <c r="AS7" s="27">
        <f>股权价值增加表!AS6</f>
        <v>37242226.709999979</v>
      </c>
      <c r="AT7" s="27">
        <f>股权价值增加表!AT6</f>
        <v>13569075.50999999</v>
      </c>
      <c r="AU7" s="27">
        <f>股权价值增加表!AU6</f>
        <v>11542113.580000013</v>
      </c>
      <c r="AV7" s="27">
        <f>股权价值增加表!AV6</f>
        <v>6182536.4099999964</v>
      </c>
      <c r="AW7" s="27">
        <f>股权价值增加表!AW6</f>
        <v>13395453.029999971</v>
      </c>
      <c r="AX7" s="27">
        <f>股权价值增加表!AX6</f>
        <v>8796331.8200000077</v>
      </c>
      <c r="AY7" s="27">
        <f>股权价值增加表!AY6</f>
        <v>1971786.7400000095</v>
      </c>
      <c r="AZ7" s="27">
        <f>股权价值增加表!AZ6</f>
        <v>543014.65000000596</v>
      </c>
      <c r="BA7" s="27">
        <f>股权价值增加表!BA6</f>
        <v>3084575.2099999785</v>
      </c>
      <c r="BB7" s="27">
        <f>股权价值增加表!BB6</f>
        <v>3174804.5500000119</v>
      </c>
      <c r="BC7" s="27">
        <f>股权价值增加表!BC6</f>
        <v>305753.49000000954</v>
      </c>
      <c r="BD7" s="27">
        <f>股权价值增加表!BD6</f>
        <v>24561.060000002384</v>
      </c>
      <c r="BE7" s="27">
        <f>股权价值增加表!BE6</f>
        <v>43441628.299999952</v>
      </c>
      <c r="BF7" s="27">
        <f>股权价值增加表!BF6</f>
        <v>36685080.00999999</v>
      </c>
      <c r="BG7" s="27">
        <f>股权价值增加表!BG6</f>
        <v>32149655.430000007</v>
      </c>
      <c r="BH7" s="27">
        <f>股权价值增加表!BH6</f>
        <v>15346934.920000017</v>
      </c>
      <c r="BI7" s="27">
        <f>股权价值增加表!BI6</f>
        <v>96951822.689999938</v>
      </c>
      <c r="BJ7" s="27">
        <f>股权价值增加表!BJ6</f>
        <v>59220833.279999971</v>
      </c>
      <c r="BK7" s="27">
        <f>股权价值增加表!BK6</f>
        <v>32876131.769999981</v>
      </c>
      <c r="BL7" s="27">
        <f>股权价值增加表!BL6</f>
        <v>14453247.920000002</v>
      </c>
      <c r="BM7" s="27">
        <f>股权价值增加表!BM6</f>
        <v>94991819.940000057</v>
      </c>
      <c r="BN7" s="27">
        <f>股权价值增加表!BN6</f>
        <v>58540391.110000014</v>
      </c>
      <c r="BO7" s="27">
        <f>股权价值增加表!BO6</f>
        <v>40096175.589999974</v>
      </c>
      <c r="BP7" s="27">
        <f>股权价值增加表!BP6</f>
        <v>14695787.280000001</v>
      </c>
      <c r="BQ7" s="27">
        <f>股权价值增加表!BQ6</f>
        <v>76662906.410000086</v>
      </c>
      <c r="BR7" s="27">
        <f>股权价值增加表!BR6</f>
        <v>33097600.139999986</v>
      </c>
      <c r="BS7" s="27">
        <f>股权价值增加表!BS6</f>
        <v>72568154.060000002</v>
      </c>
      <c r="BT7" s="27">
        <f>股权价值增加表!BT6</f>
        <v>34653550.060000002</v>
      </c>
      <c r="BU7" s="27">
        <f>股权价值增加表!BU6</f>
        <v>39288207.909999996</v>
      </c>
      <c r="BV7" s="27">
        <f>股权价值增加表!BV6</f>
        <v>14184357.630000003</v>
      </c>
      <c r="BW7" s="27">
        <f>股权价值增加表!BW6</f>
        <v>34280782.130000003</v>
      </c>
      <c r="BX7" s="27">
        <f>股权价值增加表!BX6</f>
        <v>15630491.199999999</v>
      </c>
      <c r="BY7" s="27">
        <f>股权价值增加表!BY6</f>
        <v>24297944.210000001</v>
      </c>
      <c r="BZ7" s="27">
        <f>股权价值增加表!BZ6</f>
        <v>10862568.940000001</v>
      </c>
      <c r="CA7" s="27">
        <f>股权价值增加表!CA6</f>
        <v>26009829.259999998</v>
      </c>
      <c r="CB7" s="27">
        <f>股权价值增加表!CB6</f>
        <v>39352472.810000002</v>
      </c>
      <c r="CC7" s="27">
        <f>股权价值增加表!CC6</f>
        <v>32537980.160000004</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0.3467742568491734</v>
      </c>
      <c r="F8" s="66">
        <f t="shared" ref="F8:BQ8" si="7">F7/F2</f>
        <v>0.40473309545518638</v>
      </c>
      <c r="G8" s="66">
        <f t="shared" si="7"/>
        <v>0.42125359983576371</v>
      </c>
      <c r="H8" s="66">
        <f t="shared" si="7"/>
        <v>0.41931864493248178</v>
      </c>
      <c r="I8" s="66">
        <f t="shared" si="7"/>
        <v>0.32296140585653427</v>
      </c>
      <c r="J8" s="66">
        <f t="shared" si="7"/>
        <v>0.2608114441815983</v>
      </c>
      <c r="K8" s="66">
        <f t="shared" si="7"/>
        <v>0.26713850275805118</v>
      </c>
      <c r="L8" s="66">
        <f t="shared" si="7"/>
        <v>0.29630613465590377</v>
      </c>
      <c r="M8" s="66">
        <f t="shared" si="7"/>
        <v>0.39566408284746291</v>
      </c>
      <c r="N8" s="66">
        <f t="shared" si="7"/>
        <v>0.42371678407182578</v>
      </c>
      <c r="O8" s="66">
        <f t="shared" si="7"/>
        <v>0.46380364365116294</v>
      </c>
      <c r="P8" s="66">
        <f t="shared" si="7"/>
        <v>0.45600106358083126</v>
      </c>
      <c r="Q8" s="66">
        <f t="shared" si="7"/>
        <v>0.36045505557553786</v>
      </c>
      <c r="R8" s="66">
        <f t="shared" si="7"/>
        <v>0.42365141242028481</v>
      </c>
      <c r="S8" s="66">
        <f t="shared" si="7"/>
        <v>0.41706095434574525</v>
      </c>
      <c r="T8" s="66">
        <f t="shared" si="7"/>
        <v>0.47716858663791278</v>
      </c>
      <c r="U8" s="66">
        <f t="shared" si="7"/>
        <v>0.39812544991903659</v>
      </c>
      <c r="V8" s="66">
        <f t="shared" si="7"/>
        <v>0.46129396318854243</v>
      </c>
      <c r="W8" s="66">
        <f t="shared" si="7"/>
        <v>0.4982406403835643</v>
      </c>
      <c r="X8" s="66">
        <f t="shared" si="7"/>
        <v>0.52480885973281155</v>
      </c>
      <c r="Y8" s="66">
        <f t="shared" si="7"/>
        <v>0.35787648743365119</v>
      </c>
      <c r="Z8" s="66">
        <f t="shared" si="7"/>
        <v>0.5234334102864997</v>
      </c>
      <c r="AA8" s="66">
        <f t="shared" si="7"/>
        <v>0.32273845064438178</v>
      </c>
      <c r="AB8" s="66">
        <f t="shared" si="7"/>
        <v>0.26184878340029383</v>
      </c>
      <c r="AC8" s="66">
        <f t="shared" si="7"/>
        <v>0.48365666628577025</v>
      </c>
      <c r="AD8" s="66">
        <f t="shared" si="7"/>
        <v>0.26666147189270728</v>
      </c>
      <c r="AE8" s="66">
        <f t="shared" si="7"/>
        <v>0.3901586092365123</v>
      </c>
      <c r="AF8" s="66">
        <f t="shared" si="7"/>
        <v>0.30595552015938121</v>
      </c>
      <c r="AG8" s="66">
        <f t="shared" si="7"/>
        <v>-1.0790536182786379</v>
      </c>
      <c r="AH8" s="66">
        <f t="shared" si="7"/>
        <v>-0.93369689452001747</v>
      </c>
      <c r="AI8" s="66">
        <f t="shared" si="7"/>
        <v>-1.3809708553860374</v>
      </c>
      <c r="AJ8" s="66">
        <f t="shared" si="7"/>
        <v>0.28979878815999882</v>
      </c>
      <c r="AK8" s="66">
        <f t="shared" si="7"/>
        <v>-0.63558218340027317</v>
      </c>
      <c r="AL8" s="66">
        <f t="shared" si="7"/>
        <v>0.40034394979468174</v>
      </c>
      <c r="AM8" s="66">
        <f t="shared" si="7"/>
        <v>0.40543920371589237</v>
      </c>
      <c r="AN8" s="66">
        <f t="shared" si="7"/>
        <v>0.51947563250366569</v>
      </c>
      <c r="AO8" s="66">
        <f t="shared" si="7"/>
        <v>1.8886796384257676E-3</v>
      </c>
      <c r="AP8" s="66">
        <f t="shared" si="7"/>
        <v>2.275792060009716E-2</v>
      </c>
      <c r="AQ8" s="66">
        <f t="shared" si="7"/>
        <v>2.433832392392778E-2</v>
      </c>
      <c r="AR8" s="66">
        <f t="shared" si="7"/>
        <v>6.1991804094383802E-3</v>
      </c>
      <c r="AS8" s="66">
        <f t="shared" si="7"/>
        <v>0.13482473790354851</v>
      </c>
      <c r="AT8" s="66">
        <f t="shared" si="7"/>
        <v>6.3971242641611345E-2</v>
      </c>
      <c r="AU8" s="66">
        <f t="shared" si="7"/>
        <v>7.6113139157722651E-2</v>
      </c>
      <c r="AV8" s="66">
        <f t="shared" si="7"/>
        <v>9.8036417023953742E-2</v>
      </c>
      <c r="AW8" s="66">
        <f t="shared" si="7"/>
        <v>5.845046680797205E-2</v>
      </c>
      <c r="AX8" s="66">
        <f t="shared" si="7"/>
        <v>6.9742651503877179E-2</v>
      </c>
      <c r="AY8" s="66">
        <f t="shared" si="7"/>
        <v>2.7834308344670048E-2</v>
      </c>
      <c r="AZ8" s="66">
        <f t="shared" si="7"/>
        <v>1.3572152659444711E-2</v>
      </c>
      <c r="BA8" s="66">
        <f t="shared" si="7"/>
        <v>1.3932219188318629E-2</v>
      </c>
      <c r="BB8" s="66">
        <f t="shared" si="7"/>
        <v>1.5849774013521657E-2</v>
      </c>
      <c r="BC8" s="66">
        <f t="shared" si="7"/>
        <v>1.7626320187781139E-3</v>
      </c>
      <c r="BD8" s="66">
        <f t="shared" si="7"/>
        <v>2.4450493954337446E-4</v>
      </c>
      <c r="BE8" s="66">
        <f t="shared" si="7"/>
        <v>5.4183430441150586E-2</v>
      </c>
      <c r="BF8" s="66">
        <f t="shared" si="7"/>
        <v>6.0379566809483552E-2</v>
      </c>
      <c r="BG8" s="66">
        <f t="shared" si="7"/>
        <v>8.3072802793396433E-2</v>
      </c>
      <c r="BH8" s="66">
        <f t="shared" si="7"/>
        <v>9.0278834668187383E-2</v>
      </c>
      <c r="BI8" s="66">
        <f t="shared" si="7"/>
        <v>0.11186668839172829</v>
      </c>
      <c r="BJ8" s="66">
        <f t="shared" si="7"/>
        <v>0.10512940111838112</v>
      </c>
      <c r="BK8" s="66">
        <f t="shared" si="7"/>
        <v>0.10509308253013989</v>
      </c>
      <c r="BL8" s="66">
        <f t="shared" si="7"/>
        <v>0.11132938169884217</v>
      </c>
      <c r="BM8" s="66">
        <f t="shared" si="7"/>
        <v>9.5359503944606169E-2</v>
      </c>
      <c r="BN8" s="66">
        <f t="shared" si="7"/>
        <v>8.7076402630167554E-2</v>
      </c>
      <c r="BO8" s="66">
        <f t="shared" si="7"/>
        <v>9.438326606223589E-2</v>
      </c>
      <c r="BP8" s="66">
        <f t="shared" si="7"/>
        <v>7.0817345194349568E-2</v>
      </c>
      <c r="BQ8" s="66">
        <f t="shared" si="7"/>
        <v>0.10063046247276956</v>
      </c>
      <c r="BR8" s="66">
        <f t="shared" ref="BR8:CJ8" si="8">BR7/BR2</f>
        <v>0.14405907722335967</v>
      </c>
      <c r="BS8" s="66">
        <f t="shared" si="8"/>
        <v>0.36549051078801931</v>
      </c>
      <c r="BT8" s="66">
        <f t="shared" si="8"/>
        <v>0.33394244706811305</v>
      </c>
      <c r="BU8" s="66">
        <f t="shared" si="8"/>
        <v>0.38719785742806545</v>
      </c>
      <c r="BV8" s="66">
        <f t="shared" si="8"/>
        <v>0.35728701216758457</v>
      </c>
      <c r="BW8" s="66">
        <f t="shared" si="8"/>
        <v>0.47621056678653489</v>
      </c>
      <c r="BX8" s="66">
        <f t="shared" si="8"/>
        <v>0.51554134164165744</v>
      </c>
      <c r="BY8" s="66">
        <f t="shared" si="8"/>
        <v>0.39237943499519895</v>
      </c>
      <c r="BZ8" s="66">
        <f t="shared" si="8"/>
        <v>0.34929031589360693</v>
      </c>
      <c r="CA8" s="66">
        <f t="shared" si="8"/>
        <v>0.36587825427965481</v>
      </c>
      <c r="CB8" s="66">
        <f t="shared" si="8"/>
        <v>0.44113590928733643</v>
      </c>
      <c r="CC8" s="66">
        <f t="shared" si="8"/>
        <v>0.45203449818253572</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-0.6038199610032059</v>
      </c>
      <c r="F9" s="66">
        <f t="shared" ref="F9:BQ9" si="9">(F7-J7)/J7</f>
        <v>-0.65813967008308794</v>
      </c>
      <c r="G9" s="66">
        <f t="shared" si="9"/>
        <v>-0.65339218714630665</v>
      </c>
      <c r="H9" s="66">
        <f t="shared" si="9"/>
        <v>-0.69511124851974315</v>
      </c>
      <c r="I9" s="66">
        <f t="shared" si="9"/>
        <v>9.5347687641542933</v>
      </c>
      <c r="J9" s="66">
        <f t="shared" si="9"/>
        <v>6.6671151178102814</v>
      </c>
      <c r="K9" s="66">
        <f t="shared" si="9"/>
        <v>9.578280706386348</v>
      </c>
      <c r="L9" s="66">
        <f t="shared" si="9"/>
        <v>12.145965160131729</v>
      </c>
      <c r="M9" s="66">
        <f t="shared" si="9"/>
        <v>-0.55127241920476411</v>
      </c>
      <c r="N9" s="66">
        <f t="shared" si="9"/>
        <v>-0.58872336423526461</v>
      </c>
      <c r="O9" s="66">
        <f t="shared" si="9"/>
        <v>-0.64402459746677687</v>
      </c>
      <c r="P9" s="66">
        <f t="shared" si="9"/>
        <v>-0.54152287887042494</v>
      </c>
      <c r="Q9" s="66">
        <f t="shared" si="9"/>
        <v>-0.58567355182949343</v>
      </c>
      <c r="R9" s="66">
        <f t="shared" si="9"/>
        <v>1.5131908361983075</v>
      </c>
      <c r="S9" s="66">
        <f t="shared" si="9"/>
        <v>1.2583067912936921</v>
      </c>
      <c r="T9" s="66">
        <f t="shared" si="9"/>
        <v>0.71757172227117971</v>
      </c>
      <c r="U9" s="66">
        <f t="shared" si="9"/>
        <v>0.63755921787401337</v>
      </c>
      <c r="V9" s="66">
        <f t="shared" si="9"/>
        <v>-0.20571147964887951</v>
      </c>
      <c r="W9" s="66">
        <f t="shared" si="9"/>
        <v>3.2124668704968267</v>
      </c>
      <c r="X9" s="66">
        <f t="shared" si="9"/>
        <v>7.3211592331879602</v>
      </c>
      <c r="Y9" s="66">
        <f t="shared" si="9"/>
        <v>0.53207625708693218</v>
      </c>
      <c r="Z9" s="66">
        <f t="shared" si="9"/>
        <v>304.85247817464528</v>
      </c>
      <c r="AA9" s="66">
        <f t="shared" si="9"/>
        <v>105.14175194533385</v>
      </c>
      <c r="AB9" s="66">
        <f t="shared" si="9"/>
        <v>71.311292302425542</v>
      </c>
      <c r="AC9" s="66">
        <f t="shared" si="9"/>
        <v>-208.09075314965804</v>
      </c>
      <c r="AD9" s="66">
        <f t="shared" si="9"/>
        <v>-1.2955090516582808</v>
      </c>
      <c r="AE9" s="66">
        <f t="shared" si="9"/>
        <v>-1.1236311655369777</v>
      </c>
      <c r="AF9" s="66">
        <f t="shared" si="9"/>
        <v>3.0599568098577614</v>
      </c>
      <c r="AG9" s="66">
        <f t="shared" si="9"/>
        <v>0.44334225139045069</v>
      </c>
      <c r="AH9" s="66">
        <f t="shared" si="9"/>
        <v>-5.9460213256086458</v>
      </c>
      <c r="AI9" s="66">
        <f t="shared" si="9"/>
        <v>-8.8430269691583305</v>
      </c>
      <c r="AJ9" s="66">
        <f t="shared" si="9"/>
        <v>-0.79222544370484382</v>
      </c>
      <c r="AK9" s="66">
        <f t="shared" si="9"/>
        <v>-27.348988638176444</v>
      </c>
      <c r="AL9" s="66">
        <f t="shared" si="9"/>
        <v>-0.53037914503736738</v>
      </c>
      <c r="AM9" s="66">
        <f t="shared" si="9"/>
        <v>-0.68987170103062212</v>
      </c>
      <c r="AN9" s="66">
        <f t="shared" si="9"/>
        <v>0.33178596376875735</v>
      </c>
      <c r="AO9" s="66">
        <f t="shared" si="9"/>
        <v>-0.99849761185238217</v>
      </c>
      <c r="AP9" s="66">
        <f t="shared" si="9"/>
        <v>-0.93343219519013487</v>
      </c>
      <c r="AQ9" s="66">
        <f t="shared" si="9"/>
        <v>-0.91911584186646</v>
      </c>
      <c r="AR9" s="66">
        <f t="shared" si="9"/>
        <v>-0.97996446413163951</v>
      </c>
      <c r="AS9" s="66">
        <f t="shared" si="9"/>
        <v>1.780214049244444</v>
      </c>
      <c r="AT9" s="66">
        <f t="shared" si="9"/>
        <v>0.54258340722757981</v>
      </c>
      <c r="AU9" s="66">
        <f t="shared" si="9"/>
        <v>4.8536318080726915</v>
      </c>
      <c r="AV9" s="66">
        <f t="shared" si="9"/>
        <v>10.385579394588946</v>
      </c>
      <c r="AW9" s="66">
        <f t="shared" si="9"/>
        <v>3.3427221312590607</v>
      </c>
      <c r="AX9" s="66">
        <f t="shared" si="9"/>
        <v>1.7706687707751882</v>
      </c>
      <c r="AY9" s="66">
        <f t="shared" si="9"/>
        <v>5.4489427087159266</v>
      </c>
      <c r="AZ9" s="66">
        <f t="shared" si="9"/>
        <v>21.108762813980881</v>
      </c>
      <c r="BA9" s="66">
        <f t="shared" si="9"/>
        <v>-0.92899494492475132</v>
      </c>
      <c r="BB9" s="66">
        <f t="shared" si="9"/>
        <v>-0.91345788126577365</v>
      </c>
      <c r="BC9" s="66">
        <f t="shared" si="9"/>
        <v>-0.99048968065409804</v>
      </c>
      <c r="BD9" s="66">
        <f t="shared" si="9"/>
        <v>-0.99839961137985966</v>
      </c>
      <c r="BE9" s="66">
        <f t="shared" si="9"/>
        <v>-0.55192561527282435</v>
      </c>
      <c r="BF9" s="66">
        <f t="shared" si="9"/>
        <v>-0.3805375916182987</v>
      </c>
      <c r="BG9" s="66">
        <f t="shared" si="9"/>
        <v>-2.2097378885155082E-2</v>
      </c>
      <c r="BH9" s="66">
        <f t="shared" si="9"/>
        <v>6.1832953046031661E-2</v>
      </c>
      <c r="BI9" s="66">
        <f t="shared" si="9"/>
        <v>2.0633384550773768E-2</v>
      </c>
      <c r="BJ9" s="66">
        <f t="shared" si="9"/>
        <v>1.162346470698113E-2</v>
      </c>
      <c r="BK9" s="66">
        <f t="shared" si="9"/>
        <v>-0.18006814150626074</v>
      </c>
      <c r="BL9" s="66">
        <f t="shared" si="9"/>
        <v>-1.6504005901751145E-2</v>
      </c>
      <c r="BM9" s="66">
        <f t="shared" si="9"/>
        <v>0.23908451151036852</v>
      </c>
      <c r="BN9" s="66">
        <f t="shared" si="9"/>
        <v>0.76872011452127109</v>
      </c>
      <c r="BO9" s="66">
        <f t="shared" si="9"/>
        <v>-0.44746871255884374</v>
      </c>
      <c r="BP9" s="66">
        <f t="shared" si="9"/>
        <v>-0.57592260375761339</v>
      </c>
      <c r="BQ9" s="66">
        <f t="shared" si="9"/>
        <v>0.95129557921340402</v>
      </c>
      <c r="BR9" s="66">
        <f t="shared" ref="BR9:CK9" si="10">(BR7-BV7)/BV7</f>
        <v>1.3333873132187783</v>
      </c>
      <c r="BS9" s="66">
        <f t="shared" si="10"/>
        <v>1.1168756822643706</v>
      </c>
      <c r="BT9" s="66">
        <f t="shared" si="10"/>
        <v>1.2170480515673112</v>
      </c>
      <c r="BU9" s="66">
        <f t="shared" si="10"/>
        <v>0.61693547283027506</v>
      </c>
      <c r="BV9" s="66">
        <f t="shared" si="10"/>
        <v>0.30580139084484381</v>
      </c>
      <c r="BW9" s="66">
        <f t="shared" si="10"/>
        <v>0.31799335502443071</v>
      </c>
      <c r="BX9" s="66">
        <f t="shared" si="10"/>
        <v>-0.60280790293747244</v>
      </c>
      <c r="BY9" s="66">
        <f t="shared" si="10"/>
        <v>-0.25324362205278333</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101451253.31999999</v>
      </c>
      <c r="F10" s="27">
        <f>股权价值增加表!F8</f>
        <v>89424917.439999998</v>
      </c>
      <c r="G10" s="27">
        <f>股权价值增加表!G8</f>
        <v>80628114.709999993</v>
      </c>
      <c r="H10" s="27">
        <f>股权价值增加表!H8</f>
        <v>61589906.329999998</v>
      </c>
      <c r="I10" s="27">
        <f>股权价值增加表!I8</f>
        <v>411298134.14999998</v>
      </c>
      <c r="J10" s="27">
        <f>股权价值增加表!J8</f>
        <v>252840463.41999999</v>
      </c>
      <c r="K10" s="27">
        <f>股权价值增加表!K8</f>
        <v>211189956.50999999</v>
      </c>
      <c r="L10" s="27">
        <f>股权价值增加表!L8</f>
        <v>199741282.63</v>
      </c>
      <c r="M10" s="27">
        <f>股权价值增加表!M8</f>
        <v>42561979.93</v>
      </c>
      <c r="N10" s="27">
        <f>股权价值增加表!N8</f>
        <v>22746195.420000002</v>
      </c>
      <c r="O10" s="27">
        <f>股权价值增加表!O8</f>
        <v>10482372.85</v>
      </c>
      <c r="P10" s="27">
        <f>股权价值增加表!P8</f>
        <v>14774642.84</v>
      </c>
      <c r="Q10" s="27">
        <f>股权价值增加表!Q8</f>
        <v>126295894.42</v>
      </c>
      <c r="R10" s="27">
        <f>股权价值增加表!R8</f>
        <v>120726515.27</v>
      </c>
      <c r="S10" s="27">
        <f>股权价值增加表!S8</f>
        <v>103259927.25</v>
      </c>
      <c r="T10" s="27">
        <f>股权价值增加表!T8</f>
        <v>30094731.969999999</v>
      </c>
      <c r="U10" s="27">
        <f>股权价值增加表!U8</f>
        <v>332091140.33999997</v>
      </c>
      <c r="V10" s="27">
        <f>股权价值增加表!V8</f>
        <v>45330962.090000004</v>
      </c>
      <c r="W10" s="27">
        <f>股权价值增加表!W8</f>
        <v>38447264.93</v>
      </c>
      <c r="X10" s="27">
        <f>股权价值增加表!X8</f>
        <v>13049064.960000001</v>
      </c>
      <c r="Y10" s="27">
        <f>股权价值增加表!Y8</f>
        <v>189907873.41999999</v>
      </c>
      <c r="Z10" s="27">
        <f>股权价值增加表!Z8</f>
        <v>65520930.93</v>
      </c>
      <c r="AA10" s="27">
        <f>股权价值增加表!AA8</f>
        <v>4236995.6500000004</v>
      </c>
      <c r="AB10" s="27">
        <f>股权价值增加表!AB8</f>
        <v>2758656.39</v>
      </c>
      <c r="AC10" s="27">
        <f>股权价值增加表!AC8</f>
        <v>121683843.83</v>
      </c>
      <c r="AD10" s="27">
        <f>股权价值增加表!AD8</f>
        <v>62306.68</v>
      </c>
      <c r="AE10" s="27">
        <f>股权价值增加表!AE8</f>
        <v>43233.440000000002</v>
      </c>
      <c r="AF10" s="27">
        <f>股权价值增加表!AF8</f>
        <v>21616.720000000001</v>
      </c>
      <c r="AG10" s="27">
        <f>股权价值增加表!AG8</f>
        <v>64301.83</v>
      </c>
      <c r="AH10" s="27">
        <f>股权价值增加表!AH8</f>
        <v>25308.78</v>
      </c>
      <c r="AI10" s="27">
        <f>股权价值增加表!AI8</f>
        <v>10314.98</v>
      </c>
      <c r="AJ10" s="27">
        <f>股权价值增加表!AJ8</f>
        <v>5157.49</v>
      </c>
      <c r="AK10" s="27">
        <f>股权价值增加表!AK8</f>
        <v>52354.14</v>
      </c>
      <c r="AL10" s="27">
        <f>股权价值增加表!AL8</f>
        <v>69241.78</v>
      </c>
      <c r="AM10" s="27">
        <f>股权价值增加表!AM8</f>
        <v>56402.91</v>
      </c>
      <c r="AN10" s="27">
        <f>股权价值增加表!AN8</f>
        <v>15511.07</v>
      </c>
      <c r="AO10" s="27">
        <f>股权价值增加表!AO8</f>
        <v>133622.69</v>
      </c>
      <c r="AP10" s="27">
        <f>股权价值增加表!AP8</f>
        <v>104800.8</v>
      </c>
      <c r="AQ10" s="27">
        <f>股权价值增加表!AQ8</f>
        <v>103612.12</v>
      </c>
      <c r="AR10" s="27">
        <f>股权价值增加表!AR8</f>
        <v>63806.25</v>
      </c>
      <c r="AS10" s="27">
        <f>股权价值增加表!AS8</f>
        <v>729823.35</v>
      </c>
      <c r="AT10" s="27">
        <f>股权价值增加表!AT8</f>
        <v>298035.8</v>
      </c>
      <c r="AU10" s="27">
        <f>股权价值增加表!AU8</f>
        <v>186051.24</v>
      </c>
      <c r="AV10" s="27">
        <f>股权价值增加表!AV8</f>
        <v>152345.28</v>
      </c>
      <c r="AW10" s="27">
        <f>股权价值增加表!AW8</f>
        <v>245314.92</v>
      </c>
      <c r="AX10" s="27">
        <f>股权价值增加表!AX8</f>
        <v>107675.08</v>
      </c>
      <c r="AY10" s="27">
        <f>股权价值增加表!AY8</f>
        <v>39897.870000000003</v>
      </c>
      <c r="AZ10" s="27">
        <f>股权价值增加表!AZ8</f>
        <v>8788.2999999999993</v>
      </c>
      <c r="BA10" s="27">
        <f>股权价值增加表!BA8</f>
        <v>502263.09</v>
      </c>
      <c r="BB10" s="27">
        <f>股权价值增加表!BB8</f>
        <v>295089.95</v>
      </c>
      <c r="BC10" s="27">
        <f>股权价值增加表!BC8</f>
        <v>230201.89</v>
      </c>
      <c r="BD10" s="27">
        <f>股权价值增加表!BD8</f>
        <v>129787.77</v>
      </c>
      <c r="BE10" s="27">
        <f>股权价值增加表!BE8</f>
        <v>625168.99</v>
      </c>
      <c r="BF10" s="27">
        <f>股权价值增加表!BF8</f>
        <v>445319.09</v>
      </c>
      <c r="BG10" s="27">
        <f>股权价值增加表!BG8</f>
        <v>339085.12</v>
      </c>
      <c r="BH10" s="27">
        <f>股权价值增加表!BH8</f>
        <v>157619.75</v>
      </c>
      <c r="BI10" s="27">
        <f>股权价值增加表!BI8</f>
        <v>1461794.33</v>
      </c>
      <c r="BJ10" s="27">
        <f>股权价值增加表!BJ8</f>
        <v>898372.48</v>
      </c>
      <c r="BK10" s="27">
        <f>股权价值增加表!BK8</f>
        <v>406107.11</v>
      </c>
      <c r="BL10" s="27">
        <f>股权价值增加表!BL8</f>
        <v>83009.600000000006</v>
      </c>
      <c r="BM10" s="27">
        <f>股权价值增加表!BM8</f>
        <v>1869168.06</v>
      </c>
      <c r="BN10" s="27">
        <f>股权价值增加表!BN8</f>
        <v>1417384.88</v>
      </c>
      <c r="BO10" s="27">
        <f>股权价值增加表!BO8</f>
        <v>829062.46</v>
      </c>
      <c r="BP10" s="27">
        <f>股权价值增加表!BP8</f>
        <v>666241.77</v>
      </c>
      <c r="BQ10" s="27">
        <f>股权价值增加表!BQ8</f>
        <v>3218094.36</v>
      </c>
      <c r="BR10" s="27">
        <f>股权价值增加表!BR8</f>
        <v>1944718.97</v>
      </c>
      <c r="BS10" s="27">
        <f>股权价值增加表!BS8</f>
        <v>3463019.55</v>
      </c>
      <c r="BT10" s="27">
        <f>股权价值增加表!BT8</f>
        <v>1539275.07</v>
      </c>
      <c r="BU10" s="27">
        <f>股权价值增加表!BU8</f>
        <v>1402513.88</v>
      </c>
      <c r="BV10" s="27">
        <f>股权价值增加表!BV8</f>
        <v>392976.86</v>
      </c>
      <c r="BW10" s="27">
        <f>股权价值增加表!BW8</f>
        <v>1265989.26</v>
      </c>
      <c r="BX10" s="27">
        <f>股权价值增加表!BX8</f>
        <v>488903.67999999999</v>
      </c>
      <c r="BY10" s="27">
        <f>股权价值增加表!BY8</f>
        <v>884093.29</v>
      </c>
      <c r="BZ10" s="27">
        <f>股权价值增加表!BZ8</f>
        <v>226578.78</v>
      </c>
      <c r="CA10" s="27">
        <f>股权价值增加表!CA8</f>
        <v>758737.16</v>
      </c>
      <c r="CB10" s="27">
        <f>股权价值增加表!CB8</f>
        <v>692701.56</v>
      </c>
      <c r="CC10" s="27">
        <f>股权价值增加表!CC8</f>
        <v>346846.66</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4.1008329664415345E-2</v>
      </c>
      <c r="F11" s="57">
        <f t="shared" ref="F11:BQ11" si="11">F10/F2</f>
        <v>8.8696837888110502E-2</v>
      </c>
      <c r="G11" s="57">
        <f t="shared" si="11"/>
        <v>9.1801363627131052E-2</v>
      </c>
      <c r="H11" s="57">
        <f t="shared" si="11"/>
        <v>9.7719554237941625E-2</v>
      </c>
      <c r="I11" s="57">
        <f t="shared" si="11"/>
        <v>6.1343389697170188E-2</v>
      </c>
      <c r="J11" s="57">
        <f t="shared" si="11"/>
        <v>5.5246249414368079E-2</v>
      </c>
      <c r="K11" s="57">
        <f t="shared" si="11"/>
        <v>5.285269026244184E-2</v>
      </c>
      <c r="L11" s="57">
        <f t="shared" si="11"/>
        <v>6.8277504459593227E-2</v>
      </c>
      <c r="M11" s="57">
        <f t="shared" si="11"/>
        <v>8.1928284705376622E-2</v>
      </c>
      <c r="N11" s="57">
        <f t="shared" si="11"/>
        <v>6.1907889047339765E-2</v>
      </c>
      <c r="O11" s="57">
        <f t="shared" si="11"/>
        <v>4.8179933544057488E-2</v>
      </c>
      <c r="P11" s="57">
        <f t="shared" si="11"/>
        <v>0.10217496215321289</v>
      </c>
      <c r="Q11" s="57">
        <f t="shared" si="11"/>
        <v>9.9382182434024274E-2</v>
      </c>
      <c r="R11" s="57">
        <f t="shared" si="11"/>
        <v>0.13511604492537904</v>
      </c>
      <c r="S11" s="57">
        <f t="shared" si="11"/>
        <v>0.15192308632176696</v>
      </c>
      <c r="T11" s="57">
        <f t="shared" si="11"/>
        <v>9.9848520032126631E-2</v>
      </c>
      <c r="U11" s="57">
        <f t="shared" si="11"/>
        <v>0.11958812660620133</v>
      </c>
      <c r="V11" s="57">
        <f t="shared" si="11"/>
        <v>0.13883334120844384</v>
      </c>
      <c r="W11" s="57">
        <f t="shared" si="11"/>
        <v>0.15260893692288305</v>
      </c>
      <c r="X11" s="57">
        <f t="shared" si="11"/>
        <v>8.1785203719255267E-2</v>
      </c>
      <c r="Y11" s="57">
        <f t="shared" si="11"/>
        <v>0.1006662714753309</v>
      </c>
      <c r="Z11" s="57">
        <f t="shared" si="11"/>
        <v>0.18085930306871423</v>
      </c>
      <c r="AA11" s="57">
        <f t="shared" si="11"/>
        <v>4.5890267990263238E-2</v>
      </c>
      <c r="AB11" s="57">
        <f t="shared" si="11"/>
        <v>7.1783758085397109E-2</v>
      </c>
      <c r="AC11" s="57">
        <f t="shared" si="11"/>
        <v>0.1335544388808611</v>
      </c>
      <c r="AD11" s="57">
        <f t="shared" si="11"/>
        <v>2.6798238015940775E-2</v>
      </c>
      <c r="AE11" s="57">
        <f t="shared" si="11"/>
        <v>6.0084037023608886E-2</v>
      </c>
      <c r="AF11" s="57">
        <f t="shared" si="11"/>
        <v>4.7526106278606012E-2</v>
      </c>
      <c r="AG11" s="57">
        <f t="shared" si="11"/>
        <v>3.260733420408158E-2</v>
      </c>
      <c r="AH11" s="57">
        <f t="shared" si="11"/>
        <v>1.1263134511521411E-2</v>
      </c>
      <c r="AI11" s="57">
        <f t="shared" si="11"/>
        <v>6.2730534019229851E-3</v>
      </c>
      <c r="AJ11" s="57">
        <f t="shared" si="11"/>
        <v>4.3605424381579612E-2</v>
      </c>
      <c r="AK11" s="57">
        <f t="shared" si="11"/>
        <v>2.257049096101332E-2</v>
      </c>
      <c r="AL11" s="57">
        <f t="shared" si="11"/>
        <v>6.5349101944366106E-2</v>
      </c>
      <c r="AM11" s="57">
        <f t="shared" si="11"/>
        <v>7.8983621182504737E-2</v>
      </c>
      <c r="AN11" s="57">
        <f t="shared" si="11"/>
        <v>4.8843284395171653E-2</v>
      </c>
      <c r="AO11" s="57">
        <f t="shared" si="11"/>
        <v>4.5104588022988491E-3</v>
      </c>
      <c r="AP11" s="57">
        <f t="shared" si="11"/>
        <v>2.6404787754549445E-3</v>
      </c>
      <c r="AQ11" s="57">
        <f t="shared" si="11"/>
        <v>2.7011730841268529E-3</v>
      </c>
      <c r="AR11" s="57">
        <f t="shared" si="11"/>
        <v>3.1932274312741838E-3</v>
      </c>
      <c r="AS11" s="57">
        <f t="shared" si="11"/>
        <v>2.6421148940919434E-3</v>
      </c>
      <c r="AT11" s="57">
        <f t="shared" si="11"/>
        <v>1.4050861802365167E-3</v>
      </c>
      <c r="AU11" s="57">
        <f t="shared" si="11"/>
        <v>1.2268934820676785E-3</v>
      </c>
      <c r="AV11" s="57">
        <f t="shared" si="11"/>
        <v>2.4157375567661248E-3</v>
      </c>
      <c r="AW11" s="57">
        <f t="shared" si="11"/>
        <v>1.0704208030029091E-3</v>
      </c>
      <c r="AX11" s="57">
        <f t="shared" si="11"/>
        <v>8.5371331297641841E-4</v>
      </c>
      <c r="AY11" s="57">
        <f t="shared" si="11"/>
        <v>5.6320980020159559E-4</v>
      </c>
      <c r="AZ11" s="57">
        <f t="shared" si="11"/>
        <v>2.1965549035739024E-4</v>
      </c>
      <c r="BA11" s="57">
        <f t="shared" si="11"/>
        <v>2.2685909675330155E-3</v>
      </c>
      <c r="BB11" s="57">
        <f t="shared" si="11"/>
        <v>1.4731958920625168E-3</v>
      </c>
      <c r="BC11" s="57">
        <f t="shared" si="11"/>
        <v>1.3270861506674042E-3</v>
      </c>
      <c r="BD11" s="57">
        <f t="shared" si="11"/>
        <v>1.2920350692240607E-3</v>
      </c>
      <c r="BE11" s="57">
        <f t="shared" si="11"/>
        <v>7.7975439248508557E-4</v>
      </c>
      <c r="BF11" s="57">
        <f t="shared" si="11"/>
        <v>7.329457572087609E-4</v>
      </c>
      <c r="BG11" s="57">
        <f t="shared" si="11"/>
        <v>8.7617583850214086E-4</v>
      </c>
      <c r="BH11" s="57">
        <f t="shared" si="11"/>
        <v>9.2720321190304582E-4</v>
      </c>
      <c r="BI11" s="57">
        <f t="shared" si="11"/>
        <v>1.6866737134976224E-3</v>
      </c>
      <c r="BJ11" s="57">
        <f t="shared" si="11"/>
        <v>1.5947995928576517E-3</v>
      </c>
      <c r="BK11" s="57">
        <f t="shared" si="11"/>
        <v>1.2981773015720767E-3</v>
      </c>
      <c r="BL11" s="57">
        <f t="shared" si="11"/>
        <v>6.3940005002475651E-4</v>
      </c>
      <c r="BM11" s="57">
        <f t="shared" si="11"/>
        <v>1.8764030324220119E-3</v>
      </c>
      <c r="BN11" s="57">
        <f t="shared" si="11"/>
        <v>2.1083011943134875E-3</v>
      </c>
      <c r="BO11" s="57">
        <f t="shared" si="11"/>
        <v>1.9515482859145132E-3</v>
      </c>
      <c r="BP11" s="57">
        <f t="shared" si="11"/>
        <v>3.2105441178503806E-3</v>
      </c>
      <c r="BQ11" s="57">
        <f t="shared" si="11"/>
        <v>4.2241853184628178E-3</v>
      </c>
      <c r="BR11" s="57">
        <f t="shared" ref="BR11:CJ11" si="12">BR10/BR2</f>
        <v>8.4644934705819606E-3</v>
      </c>
      <c r="BS11" s="57">
        <f t="shared" si="12"/>
        <v>1.744154582121386E-2</v>
      </c>
      <c r="BT11" s="57">
        <f t="shared" si="12"/>
        <v>1.483338020770565E-2</v>
      </c>
      <c r="BU11" s="57">
        <f t="shared" si="12"/>
        <v>1.3822222957919662E-2</v>
      </c>
      <c r="BV11" s="57">
        <f t="shared" si="12"/>
        <v>9.8986173235960026E-3</v>
      </c>
      <c r="BW11" s="57">
        <f t="shared" si="12"/>
        <v>1.7586455897185386E-2</v>
      </c>
      <c r="BX11" s="57">
        <f t="shared" si="12"/>
        <v>1.6125536676719638E-2</v>
      </c>
      <c r="BY11" s="57">
        <f t="shared" si="12"/>
        <v>1.4276929052725262E-2</v>
      </c>
      <c r="BZ11" s="57">
        <f t="shared" si="12"/>
        <v>7.2857326916065633E-3</v>
      </c>
      <c r="CA11" s="57">
        <f t="shared" si="12"/>
        <v>1.0673096881294298E-2</v>
      </c>
      <c r="CB11" s="57">
        <f t="shared" si="12"/>
        <v>7.7650910023043208E-3</v>
      </c>
      <c r="CC11" s="57">
        <f t="shared" si="12"/>
        <v>4.8185737138081945E-3</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45955102.289999999</v>
      </c>
      <c r="F12" s="27">
        <f>股权价值增加表!F9</f>
        <v>36096637.200000003</v>
      </c>
      <c r="G12" s="27">
        <f>股权价值增加表!G9</f>
        <v>26352030.510000002</v>
      </c>
      <c r="H12" s="27">
        <f>股权价值增加表!H9</f>
        <v>8610414.5399999991</v>
      </c>
      <c r="I12" s="27">
        <f>股权价值增加表!I9</f>
        <v>120514143.47</v>
      </c>
      <c r="J12" s="27">
        <f>股权价值增加表!J9</f>
        <v>84617026.969999999</v>
      </c>
      <c r="K12" s="27">
        <f>股权价值增加表!K9</f>
        <v>50856506.030000001</v>
      </c>
      <c r="L12" s="27">
        <f>股权价值增加表!L9</f>
        <v>20227825.170000002</v>
      </c>
      <c r="M12" s="27">
        <f>股权价值增加表!M9</f>
        <v>86926637.469999999</v>
      </c>
      <c r="N12" s="27">
        <f>股权价值增加表!N9</f>
        <v>55320126.909999996</v>
      </c>
      <c r="O12" s="27">
        <f>股权价值增加表!O9</f>
        <v>37191676.270000003</v>
      </c>
      <c r="P12" s="27">
        <f>股权价值增加表!P9</f>
        <v>14289501.99</v>
      </c>
      <c r="Q12" s="27">
        <f>股权价值增加表!Q9</f>
        <v>56386031.840000004</v>
      </c>
      <c r="R12" s="27">
        <f>股权价值增加表!R9</f>
        <v>43546455.869999997</v>
      </c>
      <c r="S12" s="27">
        <f>股权价值增加表!S9</f>
        <v>30709436.84</v>
      </c>
      <c r="T12" s="27">
        <f>股权价值增加表!T9</f>
        <v>13580679.880000001</v>
      </c>
      <c r="U12" s="27">
        <f>股权价值增加表!U9</f>
        <v>45246195.350000001</v>
      </c>
      <c r="V12" s="27">
        <f>股权价值增加表!V9</f>
        <v>33414029.710000001</v>
      </c>
      <c r="W12" s="27">
        <f>股权价值增加表!W9</f>
        <v>20895448.82</v>
      </c>
      <c r="X12" s="27">
        <f>股权价值增加表!X9</f>
        <v>9207108.2599999998</v>
      </c>
      <c r="Y12" s="27">
        <f>股权价值增加表!Y9</f>
        <v>39961608.130000003</v>
      </c>
      <c r="Z12" s="27">
        <f>股权价值增加表!Z9</f>
        <v>25851485.030000001</v>
      </c>
      <c r="AA12" s="27">
        <f>股权价值增加表!AA9</f>
        <v>9644357.6400000006</v>
      </c>
      <c r="AB12" s="27">
        <f>股权价值增加表!AB9</f>
        <v>4074621.71</v>
      </c>
      <c r="AC12" s="27">
        <f>股权价值增加表!AC9</f>
        <v>37176642.43</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-208622</v>
      </c>
      <c r="AM12" s="27">
        <f>股权价值增加表!AM9</f>
        <v>-402411.35</v>
      </c>
      <c r="AN12" s="27">
        <f>股权价值增加表!AN9</f>
        <v>0</v>
      </c>
      <c r="AO12" s="27">
        <f>股权价值增加表!AO9</f>
        <v>2322996.6800000002</v>
      </c>
      <c r="AP12" s="27">
        <f>股权价值增加表!AP9</f>
        <v>2822873.12</v>
      </c>
      <c r="AQ12" s="27">
        <f>股权价值增加表!AQ9</f>
        <v>2386177.29</v>
      </c>
      <c r="AR12" s="27">
        <f>股权价值增加表!AR9</f>
        <v>1239141.08</v>
      </c>
      <c r="AS12" s="27">
        <f>股权价值增加表!AS9</f>
        <v>11116450.77</v>
      </c>
      <c r="AT12" s="27">
        <f>股权价值增加表!AT9</f>
        <v>8876671.6699999999</v>
      </c>
      <c r="AU12" s="27">
        <f>股权价值增加表!AU9</f>
        <v>6574610.2599999998</v>
      </c>
      <c r="AV12" s="27">
        <f>股权价值增加表!AV9</f>
        <v>3574313.8</v>
      </c>
      <c r="AW12" s="27">
        <f>股权价值增加表!AW9</f>
        <v>13747148.449999999</v>
      </c>
      <c r="AX12" s="27">
        <f>股权价值增加表!AX9</f>
        <v>8095603.3899999997</v>
      </c>
      <c r="AY12" s="27">
        <f>股权价值增加表!AY9</f>
        <v>5208377.07</v>
      </c>
      <c r="AZ12" s="27">
        <f>股权价值增加表!AZ9</f>
        <v>2597860.15</v>
      </c>
      <c r="BA12" s="27">
        <f>股权价值增加表!BA9</f>
        <v>7668617.2000000002</v>
      </c>
      <c r="BB12" s="27">
        <f>股权价值增加表!BB9</f>
        <v>5574907.3200000003</v>
      </c>
      <c r="BC12" s="27">
        <f>股权价值增加表!BC9</f>
        <v>3227823.63</v>
      </c>
      <c r="BD12" s="27">
        <f>股权价值增加表!BD9</f>
        <v>1658146.67</v>
      </c>
      <c r="BE12" s="27">
        <f>股权价值增加表!BE9</f>
        <v>12128003.970000001</v>
      </c>
      <c r="BF12" s="27">
        <f>股权价值增加表!BF9</f>
        <v>7326654.3300000001</v>
      </c>
      <c r="BG12" s="27">
        <f>股权价值增加表!BG9</f>
        <v>5140689.68</v>
      </c>
      <c r="BH12" s="27">
        <f>股权价值增加表!BH9</f>
        <v>2572951.27</v>
      </c>
      <c r="BI12" s="27">
        <f>股权价值增加表!BI9</f>
        <v>14507809.52</v>
      </c>
      <c r="BJ12" s="27">
        <f>股权价值增加表!BJ9</f>
        <v>9700464.6400000006</v>
      </c>
      <c r="BK12" s="27">
        <f>股权价值增加表!BK9</f>
        <v>5154955.25</v>
      </c>
      <c r="BL12" s="27">
        <f>股权价值增加表!BL9</f>
        <v>2697345.63</v>
      </c>
      <c r="BM12" s="27">
        <f>股权价值增加表!BM9</f>
        <v>18616003.309999999</v>
      </c>
      <c r="BN12" s="27">
        <f>股权价值增加表!BN9</f>
        <v>12723949.17</v>
      </c>
      <c r="BO12" s="27">
        <f>股权价值增加表!BO9</f>
        <v>7435897.4400000004</v>
      </c>
      <c r="BP12" s="27">
        <f>股权价值增加表!BP9</f>
        <v>3775848.12</v>
      </c>
      <c r="BQ12" s="27">
        <f>股权价值增加表!BQ9</f>
        <v>15503561.42</v>
      </c>
      <c r="BR12" s="27">
        <f>股权价值增加表!BR9</f>
        <v>3845589.43</v>
      </c>
      <c r="BS12" s="27">
        <f>股权价值增加表!BS9</f>
        <v>5632489.0099999998</v>
      </c>
      <c r="BT12" s="27">
        <f>股权价值增加表!BT9</f>
        <v>3064819.49</v>
      </c>
      <c r="BU12" s="27">
        <f>股权价值增加表!BU9</f>
        <v>4980656.49</v>
      </c>
      <c r="BV12" s="27">
        <f>股权价值增加表!BV9</f>
        <v>2431489.89</v>
      </c>
      <c r="BW12" s="27">
        <f>股权价值增加表!BW9</f>
        <v>4165780.47</v>
      </c>
      <c r="BX12" s="27">
        <f>股权价值增加表!BX9</f>
        <v>1997711.48</v>
      </c>
      <c r="BY12" s="27">
        <f>股权价值增加表!BY9</f>
        <v>3325861.95</v>
      </c>
      <c r="BZ12" s="27">
        <f>股权价值增加表!BZ9</f>
        <v>1540271.99</v>
      </c>
      <c r="CA12" s="27">
        <f>股权价值增加表!CA9</f>
        <v>4877014.13</v>
      </c>
      <c r="CB12" s="27">
        <f>股权价值增加表!CB9</f>
        <v>7272589.9500000002</v>
      </c>
      <c r="CC12" s="27">
        <f>股权价值增加表!CC9</f>
        <v>6196688.6699999999</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1.8575837387892889E-2</v>
      </c>
      <c r="F13" s="57">
        <f t="shared" ref="F13:BQ13" si="13">F12/F2</f>
        <v>3.580274569649454E-2</v>
      </c>
      <c r="G13" s="57">
        <f t="shared" si="13"/>
        <v>3.0003831093693225E-2</v>
      </c>
      <c r="H13" s="57">
        <f t="shared" si="13"/>
        <v>1.3661424749445485E-2</v>
      </c>
      <c r="I13" s="57">
        <f t="shared" si="13"/>
        <v>1.7974178468324296E-2</v>
      </c>
      <c r="J13" s="57">
        <f t="shared" si="13"/>
        <v>1.8489023922257018E-2</v>
      </c>
      <c r="K13" s="57">
        <f t="shared" si="13"/>
        <v>1.2727419454278461E-2</v>
      </c>
      <c r="L13" s="57">
        <f t="shared" si="13"/>
        <v>6.9144715857808008E-3</v>
      </c>
      <c r="M13" s="57">
        <f t="shared" si="13"/>
        <v>0.16732657444122853</v>
      </c>
      <c r="N13" s="57">
        <f t="shared" si="13"/>
        <v>0.1505637411264725</v>
      </c>
      <c r="O13" s="57">
        <f t="shared" si="13"/>
        <v>0.17094340343758144</v>
      </c>
      <c r="P13" s="57">
        <f t="shared" si="13"/>
        <v>9.8819940409233628E-2</v>
      </c>
      <c r="Q13" s="57">
        <f t="shared" si="13"/>
        <v>4.4370143058000931E-2</v>
      </c>
      <c r="R13" s="57">
        <f t="shared" si="13"/>
        <v>4.8736807109134375E-2</v>
      </c>
      <c r="S13" s="57">
        <f t="shared" si="13"/>
        <v>4.5181829468470505E-2</v>
      </c>
      <c r="T13" s="57">
        <f t="shared" si="13"/>
        <v>4.5058078217803089E-2</v>
      </c>
      <c r="U13" s="57">
        <f t="shared" si="13"/>
        <v>1.629344201240945E-2</v>
      </c>
      <c r="V13" s="57">
        <f t="shared" si="13"/>
        <v>0.10233582465484155</v>
      </c>
      <c r="W13" s="57">
        <f t="shared" si="13"/>
        <v>8.2940418174154651E-2</v>
      </c>
      <c r="X13" s="57">
        <f t="shared" si="13"/>
        <v>5.7705684431609859E-2</v>
      </c>
      <c r="Y13" s="57">
        <f t="shared" si="13"/>
        <v>2.1182829443351106E-2</v>
      </c>
      <c r="Z13" s="57">
        <f t="shared" si="13"/>
        <v>7.1358594871190104E-2</v>
      </c>
      <c r="AA13" s="57">
        <f t="shared" si="13"/>
        <v>0.1044565992635708</v>
      </c>
      <c r="AB13" s="57">
        <f t="shared" si="13"/>
        <v>0.10602685429777177</v>
      </c>
      <c r="AC13" s="57">
        <f t="shared" si="13"/>
        <v>4.0803326579242745E-2</v>
      </c>
      <c r="AD13" s="57">
        <f t="shared" si="13"/>
        <v>0</v>
      </c>
      <c r="AE13" s="57">
        <f t="shared" si="13"/>
        <v>0</v>
      </c>
      <c r="AF13" s="57">
        <f t="shared" si="13"/>
        <v>0</v>
      </c>
      <c r="AG13" s="57">
        <f t="shared" si="13"/>
        <v>0</v>
      </c>
      <c r="AH13" s="57">
        <f t="shared" si="13"/>
        <v>0</v>
      </c>
      <c r="AI13" s="57">
        <f t="shared" si="13"/>
        <v>0</v>
      </c>
      <c r="AJ13" s="57">
        <f t="shared" si="13"/>
        <v>0</v>
      </c>
      <c r="AK13" s="57">
        <f t="shared" si="13"/>
        <v>0</v>
      </c>
      <c r="AL13" s="57">
        <f t="shared" si="13"/>
        <v>-0.19689355683573628</v>
      </c>
      <c r="AM13" s="57">
        <f t="shared" si="13"/>
        <v>-0.5635153510331351</v>
      </c>
      <c r="AN13" s="57">
        <f t="shared" si="13"/>
        <v>0</v>
      </c>
      <c r="AO13" s="57">
        <f t="shared" si="13"/>
        <v>7.8413185837053603E-2</v>
      </c>
      <c r="AP13" s="57">
        <f t="shared" si="13"/>
        <v>7.1122897527139864E-2</v>
      </c>
      <c r="AQ13" s="57">
        <f t="shared" si="13"/>
        <v>6.2207759765003902E-2</v>
      </c>
      <c r="AR13" s="57">
        <f t="shared" si="13"/>
        <v>6.2013663048286309E-2</v>
      </c>
      <c r="AS13" s="57">
        <f t="shared" si="13"/>
        <v>4.0243903060729495E-2</v>
      </c>
      <c r="AT13" s="57">
        <f t="shared" si="13"/>
        <v>4.184896139998618E-2</v>
      </c>
      <c r="AU13" s="57">
        <f t="shared" si="13"/>
        <v>4.3355510423522488E-2</v>
      </c>
      <c r="AV13" s="57">
        <f t="shared" si="13"/>
        <v>5.6677857602988706E-2</v>
      </c>
      <c r="AW13" s="57">
        <f t="shared" si="13"/>
        <v>5.9985074217455643E-2</v>
      </c>
      <c r="AX13" s="57">
        <f t="shared" si="13"/>
        <v>6.4186851689546215E-2</v>
      </c>
      <c r="AY13" s="57">
        <f t="shared" si="13"/>
        <v>7.3522947690422363E-2</v>
      </c>
      <c r="AZ13" s="57">
        <f t="shared" si="13"/>
        <v>6.4931129470793381E-2</v>
      </c>
      <c r="BA13" s="57">
        <f t="shared" si="13"/>
        <v>3.4637137507731904E-2</v>
      </c>
      <c r="BB13" s="57">
        <f t="shared" si="13"/>
        <v>2.7831956196587702E-2</v>
      </c>
      <c r="BC13" s="57">
        <f t="shared" si="13"/>
        <v>1.8608014192107579E-2</v>
      </c>
      <c r="BD13" s="57">
        <f t="shared" si="13"/>
        <v>1.6506822234152691E-2</v>
      </c>
      <c r="BE13" s="57">
        <f t="shared" si="13"/>
        <v>1.512689291847962E-2</v>
      </c>
      <c r="BF13" s="57">
        <f t="shared" si="13"/>
        <v>1.2058859200733336E-2</v>
      </c>
      <c r="BG13" s="57">
        <f t="shared" si="13"/>
        <v>1.3283237232153692E-2</v>
      </c>
      <c r="BH13" s="57">
        <f t="shared" si="13"/>
        <v>1.5135467995692296E-2</v>
      </c>
      <c r="BI13" s="57">
        <f t="shared" si="13"/>
        <v>1.673966060452195E-2</v>
      </c>
      <c r="BJ13" s="57">
        <f t="shared" si="13"/>
        <v>1.7220359486526175E-2</v>
      </c>
      <c r="BK13" s="57">
        <f t="shared" si="13"/>
        <v>1.6478524338492402E-2</v>
      </c>
      <c r="BL13" s="57">
        <f t="shared" si="13"/>
        <v>2.0776909306345993E-2</v>
      </c>
      <c r="BM13" s="57">
        <f t="shared" si="13"/>
        <v>1.8688060110797211E-2</v>
      </c>
      <c r="BN13" s="57">
        <f t="shared" si="13"/>
        <v>1.8926346407402844E-2</v>
      </c>
      <c r="BO13" s="57">
        <f t="shared" si="13"/>
        <v>1.7503521873693469E-2</v>
      </c>
      <c r="BP13" s="57">
        <f t="shared" si="13"/>
        <v>1.8195387196396316E-2</v>
      </c>
      <c r="BQ13" s="57">
        <f t="shared" si="13"/>
        <v>2.035052711575883E-2</v>
      </c>
      <c r="BR13" s="57">
        <f t="shared" ref="BR13:CJ13" si="14">BR12/BR2</f>
        <v>1.6738133952986536E-2</v>
      </c>
      <c r="BS13" s="57">
        <f t="shared" si="14"/>
        <v>2.8368108737762826E-2</v>
      </c>
      <c r="BT13" s="57">
        <f t="shared" si="14"/>
        <v>2.9534443615173035E-2</v>
      </c>
      <c r="BU13" s="57">
        <f t="shared" si="14"/>
        <v>4.908596304343852E-2</v>
      </c>
      <c r="BV13" s="57">
        <f t="shared" si="14"/>
        <v>6.1246323631632009E-2</v>
      </c>
      <c r="BW13" s="57">
        <f t="shared" si="14"/>
        <v>5.7868827823240147E-2</v>
      </c>
      <c r="BX13" s="57">
        <f t="shared" si="14"/>
        <v>6.5890626432273683E-2</v>
      </c>
      <c r="BY13" s="57">
        <f t="shared" si="14"/>
        <v>5.3708240562835276E-2</v>
      </c>
      <c r="BZ13" s="57">
        <f t="shared" si="14"/>
        <v>4.9528071390925923E-2</v>
      </c>
      <c r="CA13" s="57">
        <f t="shared" si="14"/>
        <v>6.8604580143314997E-2</v>
      </c>
      <c r="CB13" s="57">
        <f t="shared" si="14"/>
        <v>8.1524751848680438E-2</v>
      </c>
      <c r="CC13" s="57">
        <f t="shared" si="14"/>
        <v>8.6087613292614856E-2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148643860.25</v>
      </c>
      <c r="F14" s="26">
        <f>股权价值增加表!F10</f>
        <v>122399732.97</v>
      </c>
      <c r="G14" s="26">
        <f>股权价值增加表!G10</f>
        <v>88655676.859999999</v>
      </c>
      <c r="H14" s="26">
        <f>股权价值增加表!H10</f>
        <v>47525779.289999999</v>
      </c>
      <c r="I14" s="26">
        <f>股权价值增加表!I10</f>
        <v>182172498.37</v>
      </c>
      <c r="J14" s="26">
        <f>股权价值增加表!J10</f>
        <v>144290524.96000001</v>
      </c>
      <c r="K14" s="26">
        <f>股权价值增加表!K10</f>
        <v>93455186.049999997</v>
      </c>
      <c r="L14" s="26">
        <f>股权价值增加表!L10</f>
        <v>51985543.399999999</v>
      </c>
      <c r="M14" s="26">
        <f>股权价值增加表!M10</f>
        <v>193213484.40000001</v>
      </c>
      <c r="N14" s="26">
        <f>股权价值增加表!N10</f>
        <v>135627590.81999999</v>
      </c>
      <c r="O14" s="26">
        <f>股权价值增加表!O10</f>
        <v>97591166.959999993</v>
      </c>
      <c r="P14" s="26">
        <f>股权价值增加表!P10</f>
        <v>49837232.189999998</v>
      </c>
      <c r="Q14" s="26">
        <f>股权价值增加表!Q10</f>
        <v>148939850.91</v>
      </c>
      <c r="R14" s="26">
        <f>股权价值增加表!R10</f>
        <v>118289185.34</v>
      </c>
      <c r="S14" s="26">
        <f>股权价值增加表!S10</f>
        <v>77644059.790000007</v>
      </c>
      <c r="T14" s="26">
        <f>股权价值增加表!T10</f>
        <v>50880135.57</v>
      </c>
      <c r="U14" s="26">
        <f>股权价值增加表!U10</f>
        <v>108937690.45</v>
      </c>
      <c r="V14" s="26">
        <f>股权价值增加表!V10</f>
        <v>80854760.340000004</v>
      </c>
      <c r="W14" s="26">
        <f>股权价值增加表!W10</f>
        <v>54035052.049999997</v>
      </c>
      <c r="X14" s="26">
        <f>股权价值增加表!X10</f>
        <v>32815401.469999999</v>
      </c>
      <c r="Y14" s="26">
        <f>股权价值增加表!Y10</f>
        <v>84505484.939999998</v>
      </c>
      <c r="Z14" s="26">
        <f>股权价值增加表!Z10</f>
        <v>69971405.079999998</v>
      </c>
      <c r="AA14" s="26">
        <f>股权价值增加表!AA10</f>
        <v>41460248.130000003</v>
      </c>
      <c r="AB14" s="26">
        <f>股权价值增加表!AB10</f>
        <v>24641457.489999998</v>
      </c>
      <c r="AC14" s="26">
        <f>股权价值增加表!AC10</f>
        <v>78469227.819999993</v>
      </c>
      <c r="AD14" s="26">
        <f>股权价值增加表!AD10</f>
        <v>2980805.51</v>
      </c>
      <c r="AE14" s="26">
        <f>股权价值增加表!AE10</f>
        <v>1957592.03</v>
      </c>
      <c r="AF14" s="26">
        <f>股权价值增加表!AF10</f>
        <v>945560.98</v>
      </c>
      <c r="AG14" s="26">
        <f>股权价值增加表!AG10</f>
        <v>3608223.67</v>
      </c>
      <c r="AH14" s="26">
        <f>股权价值增加表!AH10</f>
        <v>2746005.31</v>
      </c>
      <c r="AI14" s="26">
        <f>股权价值增加表!AI10</f>
        <v>1552133.04</v>
      </c>
      <c r="AJ14" s="26">
        <f>股权价值增加表!AJ10</f>
        <v>706222.42</v>
      </c>
      <c r="AK14" s="26">
        <f>股权价值增加表!AK10</f>
        <v>2733963.15</v>
      </c>
      <c r="AL14" s="26">
        <f>股权价值增加表!AL10</f>
        <v>2237359.42</v>
      </c>
      <c r="AM14" s="26">
        <f>股权价值增加表!AM10</f>
        <v>1408576.38</v>
      </c>
      <c r="AN14" s="26">
        <f>股权价值增加表!AN10</f>
        <v>506551.71</v>
      </c>
      <c r="AO14" s="26">
        <f>股权价值增加表!AO10</f>
        <v>14063980.23</v>
      </c>
      <c r="AP14" s="26">
        <f>股权价值增加表!AP10</f>
        <v>13401357.779999999</v>
      </c>
      <c r="AQ14" s="26">
        <f>股权价值增加表!AQ10</f>
        <v>11333767.01</v>
      </c>
      <c r="AR14" s="26">
        <f>股权价值增加表!AR10</f>
        <v>4663545.7699999996</v>
      </c>
      <c r="AS14" s="26">
        <f>股权价值增加表!AS10</f>
        <v>14676262.720000001</v>
      </c>
      <c r="AT14" s="26">
        <f>股权价值增加表!AT10</f>
        <v>17641463.170000002</v>
      </c>
      <c r="AU14" s="26">
        <f>股权价值增加表!AU10</f>
        <v>12292359.189999999</v>
      </c>
      <c r="AV14" s="26">
        <f>股权价值增加表!AV10</f>
        <v>5701844.5199999996</v>
      </c>
      <c r="AW14" s="26">
        <f>股权价值增加表!AW10</f>
        <v>24892400.59</v>
      </c>
      <c r="AX14" s="26">
        <f>股权价值增加表!AX10</f>
        <v>14382229.800000001</v>
      </c>
      <c r="AY14" s="26">
        <f>股权价值增加表!AY10</f>
        <v>9547297.7100000009</v>
      </c>
      <c r="AZ14" s="26">
        <f>股权价值增加表!AZ10</f>
        <v>3296249.24</v>
      </c>
      <c r="BA14" s="26">
        <f>股权价值增加表!BA10</f>
        <v>370569542.62</v>
      </c>
      <c r="BB14" s="26">
        <f>股权价值增加表!BB10</f>
        <v>33707498.43</v>
      </c>
      <c r="BC14" s="26">
        <f>股权价值增加表!BC10</f>
        <v>29891715.260000002</v>
      </c>
      <c r="BD14" s="26">
        <f>股权价值增加表!BD10</f>
        <v>4891753.8600000003</v>
      </c>
      <c r="BE14" s="26">
        <f>股权价值增加表!BE10</f>
        <v>159327802.06</v>
      </c>
      <c r="BF14" s="26">
        <f>股权价值增加表!BF10</f>
        <v>16591984.41</v>
      </c>
      <c r="BG14" s="26">
        <f>股权价值增加表!BG10</f>
        <v>11976014.43</v>
      </c>
      <c r="BH14" s="26">
        <f>股权价值增加表!BH10</f>
        <v>5770128.2300000004</v>
      </c>
      <c r="BI14" s="26">
        <f>股权价值增加表!BI10</f>
        <v>29244777.52</v>
      </c>
      <c r="BJ14" s="26">
        <f>股权价值增加表!BJ10</f>
        <v>15903617.050000001</v>
      </c>
      <c r="BK14" s="26">
        <f>股权价值增加表!BK10</f>
        <v>9246246.9700000007</v>
      </c>
      <c r="BL14" s="26">
        <f>股权价值增加表!BL10</f>
        <v>5246232.58</v>
      </c>
      <c r="BM14" s="26">
        <f>股权价值增加表!BM10</f>
        <v>32355008.66</v>
      </c>
      <c r="BN14" s="26">
        <f>股权价值增加表!BN10</f>
        <v>18694792.07</v>
      </c>
      <c r="BO14" s="26">
        <f>股权价值增加表!BO10</f>
        <v>12261857.93</v>
      </c>
      <c r="BP14" s="26">
        <f>股权价值增加表!BP10</f>
        <v>6093179.75</v>
      </c>
      <c r="BQ14" s="26">
        <f>股权价值增加表!BQ10</f>
        <v>25381286.73</v>
      </c>
      <c r="BR14" s="26">
        <f>股权价值增加表!BR10</f>
        <v>9694547.5199999996</v>
      </c>
      <c r="BS14" s="26">
        <f>股权价值增加表!BS10</f>
        <v>19561959.190000001</v>
      </c>
      <c r="BT14" s="26">
        <f>股权价值增加表!BT10</f>
        <v>8496202.1199999992</v>
      </c>
      <c r="BU14" s="26">
        <f>股权价值增加表!BU10</f>
        <v>15025733.48</v>
      </c>
      <c r="BV14" s="26">
        <f>股权价值增加表!BV10</f>
        <v>5627860.6699999999</v>
      </c>
      <c r="BW14" s="26">
        <f>股权价值增加表!BW10</f>
        <v>10642772.460000001</v>
      </c>
      <c r="BX14" s="26">
        <f>股权价值增加表!BX10</f>
        <v>4713830.84</v>
      </c>
      <c r="BY14" s="26">
        <f>股权价值增加表!BY10</f>
        <v>4535806.34</v>
      </c>
      <c r="BZ14" s="26">
        <f>股权价值增加表!BZ10</f>
        <v>2150703.64</v>
      </c>
      <c r="CA14" s="26">
        <f>股权价值增加表!CA10</f>
        <v>3276807.82</v>
      </c>
      <c r="CB14" s="26">
        <f>股权价值增加表!CB10</f>
        <v>6850825.21</v>
      </c>
      <c r="CC14" s="26">
        <f>股权价值增加表!CC10</f>
        <v>5438582.0899999999</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6.0084387567852719E-2</v>
      </c>
      <c r="F15" s="57">
        <f t="shared" ref="F15:BQ15" si="15">F14/F2</f>
        <v>0.12140317915386721</v>
      </c>
      <c r="G15" s="57">
        <f t="shared" si="15"/>
        <v>0.10094136590328677</v>
      </c>
      <c r="H15" s="57">
        <f t="shared" si="15"/>
        <v>7.5405179903114128E-2</v>
      </c>
      <c r="I15" s="57">
        <f t="shared" si="15"/>
        <v>2.7170263202658907E-2</v>
      </c>
      <c r="J15" s="57">
        <f t="shared" si="15"/>
        <v>3.1527826765720551E-2</v>
      </c>
      <c r="K15" s="57">
        <f t="shared" si="15"/>
        <v>2.3388223963603322E-2</v>
      </c>
      <c r="L15" s="57">
        <f t="shared" si="15"/>
        <v>1.7770203157766101E-2</v>
      </c>
      <c r="M15" s="57">
        <f t="shared" si="15"/>
        <v>0.37191994791772948</v>
      </c>
      <c r="N15" s="57">
        <f t="shared" si="15"/>
        <v>0.36913504387023138</v>
      </c>
      <c r="O15" s="57">
        <f t="shared" si="15"/>
        <v>0.44855644861171096</v>
      </c>
      <c r="P15" s="57">
        <f t="shared" si="15"/>
        <v>0.3446524811447918</v>
      </c>
      <c r="Q15" s="57">
        <f t="shared" si="15"/>
        <v>0.11720070159691574</v>
      </c>
      <c r="R15" s="57">
        <f t="shared" si="15"/>
        <v>0.13238820688927458</v>
      </c>
      <c r="S15" s="57">
        <f t="shared" si="15"/>
        <v>0.11423526543157241</v>
      </c>
      <c r="T15" s="57">
        <f t="shared" si="15"/>
        <v>0.16881048286998462</v>
      </c>
      <c r="U15" s="57">
        <f t="shared" si="15"/>
        <v>3.9229153491971688E-2</v>
      </c>
      <c r="V15" s="57">
        <f t="shared" si="15"/>
        <v>0.24763067036440595</v>
      </c>
      <c r="W15" s="57">
        <f t="shared" si="15"/>
        <v>0.21448162476412472</v>
      </c>
      <c r="X15" s="57">
        <f t="shared" si="15"/>
        <v>0.20567100421217446</v>
      </c>
      <c r="Y15" s="57">
        <f t="shared" si="15"/>
        <v>4.479462559885964E-2</v>
      </c>
      <c r="Z15" s="57">
        <f t="shared" si="15"/>
        <v>0.19314407438788644</v>
      </c>
      <c r="AA15" s="57">
        <f t="shared" si="15"/>
        <v>0.44904976421878323</v>
      </c>
      <c r="AB15" s="57">
        <f t="shared" si="15"/>
        <v>0.64120215542094261</v>
      </c>
      <c r="AC15" s="57">
        <f t="shared" si="15"/>
        <v>8.6124117722280819E-2</v>
      </c>
      <c r="AD15" s="57">
        <f t="shared" si="15"/>
        <v>1.2820509058773106</v>
      </c>
      <c r="AE15" s="57">
        <f t="shared" si="15"/>
        <v>2.7205799956617303</v>
      </c>
      <c r="AF15" s="57">
        <f t="shared" si="15"/>
        <v>2.0788922476852574</v>
      </c>
      <c r="AG15" s="57">
        <f t="shared" si="15"/>
        <v>1.8297232767833786</v>
      </c>
      <c r="AH15" s="57">
        <f t="shared" si="15"/>
        <v>1.2220512871771003</v>
      </c>
      <c r="AI15" s="57">
        <f t="shared" si="15"/>
        <v>0.94392945471625389</v>
      </c>
      <c r="AJ15" s="57">
        <f t="shared" si="15"/>
        <v>5.9709526013402181</v>
      </c>
      <c r="AK15" s="57">
        <f t="shared" si="15"/>
        <v>1.1786439537507158</v>
      </c>
      <c r="AL15" s="57">
        <f t="shared" si="15"/>
        <v>2.1115781371271485</v>
      </c>
      <c r="AM15" s="57">
        <f t="shared" si="15"/>
        <v>1.97249509297559</v>
      </c>
      <c r="AN15" s="57">
        <f t="shared" si="15"/>
        <v>1.5950962269134572</v>
      </c>
      <c r="AO15" s="57">
        <f t="shared" si="15"/>
        <v>0.47473227356641673</v>
      </c>
      <c r="AP15" s="57">
        <f t="shared" si="15"/>
        <v>0.33765010172029214</v>
      </c>
      <c r="AQ15" s="57">
        <f t="shared" si="15"/>
        <v>0.29547186554214777</v>
      </c>
      <c r="AR15" s="57">
        <f t="shared" si="15"/>
        <v>0.23339033840363108</v>
      </c>
      <c r="AS15" s="57">
        <f t="shared" si="15"/>
        <v>5.3131175266067247E-2</v>
      </c>
      <c r="AT15" s="57">
        <f t="shared" si="15"/>
        <v>8.3170465089490914E-2</v>
      </c>
      <c r="AU15" s="57">
        <f t="shared" si="15"/>
        <v>8.1060547456957163E-2</v>
      </c>
      <c r="AV15" s="57">
        <f t="shared" si="15"/>
        <v>9.0414090609207701E-2</v>
      </c>
      <c r="AW15" s="57">
        <f t="shared" si="15"/>
        <v>0.10861688896956566</v>
      </c>
      <c r="AX15" s="57">
        <f t="shared" si="15"/>
        <v>0.11403103717727604</v>
      </c>
      <c r="AY15" s="57">
        <f t="shared" si="15"/>
        <v>0.13477239851937589</v>
      </c>
      <c r="AZ15" s="57">
        <f t="shared" si="15"/>
        <v>8.2386723615759022E-2</v>
      </c>
      <c r="BA15" s="57">
        <f t="shared" si="15"/>
        <v>1.6737656697619825</v>
      </c>
      <c r="BB15" s="57">
        <f t="shared" si="15"/>
        <v>0.16828003874337208</v>
      </c>
      <c r="BC15" s="57">
        <f t="shared" si="15"/>
        <v>0.17232213576195882</v>
      </c>
      <c r="BD15" s="57">
        <f t="shared" si="15"/>
        <v>4.8697327468775885E-2</v>
      </c>
      <c r="BE15" s="57">
        <f t="shared" si="15"/>
        <v>0.19872475360826722</v>
      </c>
      <c r="BF15" s="57">
        <f t="shared" si="15"/>
        <v>2.7308563342710965E-2</v>
      </c>
      <c r="BG15" s="57">
        <f t="shared" si="15"/>
        <v>3.0945310974185448E-2</v>
      </c>
      <c r="BH15" s="57">
        <f t="shared" si="15"/>
        <v>3.3942963543264322E-2</v>
      </c>
      <c r="BI15" s="57">
        <f t="shared" si="15"/>
        <v>3.3743732950496659E-2</v>
      </c>
      <c r="BJ15" s="57">
        <f t="shared" si="15"/>
        <v>2.8232256175416245E-2</v>
      </c>
      <c r="BK15" s="57">
        <f t="shared" si="15"/>
        <v>2.9556901727683597E-2</v>
      </c>
      <c r="BL15" s="57">
        <f t="shared" si="15"/>
        <v>4.0410282354010951E-2</v>
      </c>
      <c r="BM15" s="57">
        <f t="shared" si="15"/>
        <v>3.248024490834947E-2</v>
      </c>
      <c r="BN15" s="57">
        <f t="shared" si="15"/>
        <v>2.7807727459759075E-2</v>
      </c>
      <c r="BO15" s="57">
        <f t="shared" si="15"/>
        <v>2.8863455987886342E-2</v>
      </c>
      <c r="BP15" s="57">
        <f t="shared" si="15"/>
        <v>2.9362347553452784E-2</v>
      </c>
      <c r="BQ15" s="57">
        <f t="shared" si="15"/>
        <v>3.3316381303549206E-2</v>
      </c>
      <c r="BR15" s="57">
        <f t="shared" ref="BR15:CK15" si="16">BR14/BR2</f>
        <v>4.2196037293391823E-2</v>
      </c>
      <c r="BS15" s="57">
        <f t="shared" si="16"/>
        <v>9.852407779941659E-2</v>
      </c>
      <c r="BT15" s="57">
        <f t="shared" si="16"/>
        <v>8.1874512764943799E-2</v>
      </c>
      <c r="BU15" s="57">
        <f t="shared" si="16"/>
        <v>0.14808341024535038</v>
      </c>
      <c r="BV15" s="57">
        <f t="shared" si="16"/>
        <v>0.1417590825140356</v>
      </c>
      <c r="BW15" s="57">
        <f t="shared" si="16"/>
        <v>0.14784378857334796</v>
      </c>
      <c r="BX15" s="57">
        <f t="shared" si="16"/>
        <v>0.15547653905626593</v>
      </c>
      <c r="BY15" s="57">
        <f t="shared" si="16"/>
        <v>7.3247230858500725E-2</v>
      </c>
      <c r="BZ15" s="57">
        <f t="shared" si="16"/>
        <v>6.9156749012000307E-2</v>
      </c>
      <c r="CA15" s="57">
        <f t="shared" si="16"/>
        <v>4.6094601883269776E-2</v>
      </c>
      <c r="CB15" s="57">
        <f t="shared" si="16"/>
        <v>7.6796826033610502E-2</v>
      </c>
      <c r="CC15" s="57">
        <f t="shared" si="16"/>
        <v>7.5555603445228603E-2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51763865.259999998</v>
      </c>
      <c r="F16" s="26">
        <f>股权价值增加表!F11</f>
        <v>868208.86</v>
      </c>
      <c r="G16" s="26">
        <f>股权价值增加表!G11</f>
        <v>1079941.32</v>
      </c>
      <c r="H16" s="26">
        <f>股权价值增加表!H11</f>
        <v>-4365.97</v>
      </c>
      <c r="I16" s="26">
        <f>股权价值增加表!I11</f>
        <v>5937134.9100000001</v>
      </c>
      <c r="J16" s="26">
        <f>股权价值增加表!J11</f>
        <v>-143330.18</v>
      </c>
      <c r="K16" s="26">
        <f>股权价值增加表!K11</f>
        <v>-27780.12</v>
      </c>
      <c r="L16" s="26">
        <f>股权价值增加表!L11</f>
        <v>-15782.88</v>
      </c>
      <c r="M16" s="26">
        <f>股权价值增加表!M11</f>
        <v>914621.49</v>
      </c>
      <c r="N16" s="26">
        <f>股权价值增加表!N11</f>
        <v>361875.64</v>
      </c>
      <c r="O16" s="26">
        <f>股权价值增加表!O11</f>
        <v>649640.14</v>
      </c>
      <c r="P16" s="26">
        <f>股权价值增加表!P11</f>
        <v>310732.44</v>
      </c>
      <c r="Q16" s="26">
        <f>股权价值增加表!Q11</f>
        <v>454124.58</v>
      </c>
      <c r="R16" s="26">
        <f>股权价值增加表!R11</f>
        <v>460336.84</v>
      </c>
      <c r="S16" s="26">
        <f>股权价值增加表!S11</f>
        <v>179424.51</v>
      </c>
      <c r="T16" s="26">
        <f>股权价值增加表!T11</f>
        <v>-94545.86</v>
      </c>
      <c r="U16" s="26">
        <f>股权价值增加表!U11</f>
        <v>1462498.08</v>
      </c>
      <c r="V16" s="26">
        <f>股权价值增加表!V11</f>
        <v>1371428.65</v>
      </c>
      <c r="W16" s="26">
        <f>股权价值增加表!W11</f>
        <v>166643.57999999999</v>
      </c>
      <c r="X16" s="26">
        <f>股权价值增加表!X11</f>
        <v>-23576.58</v>
      </c>
      <c r="Y16" s="26">
        <f>股权价值增加表!Y11</f>
        <v>842692.24</v>
      </c>
      <c r="Z16" s="26">
        <f>股权价值增加表!Z11</f>
        <v>-25986.78</v>
      </c>
      <c r="AA16" s="26">
        <f>股权价值增加表!AA11</f>
        <v>89276.67</v>
      </c>
      <c r="AB16" s="26">
        <f>股权价值增加表!AB11</f>
        <v>-157222.89000000001</v>
      </c>
      <c r="AC16" s="26">
        <f>股权价值增加表!AC11</f>
        <v>-2039457.77</v>
      </c>
      <c r="AD16" s="26">
        <f>股权价值增加表!AD11</f>
        <v>1718446.35</v>
      </c>
      <c r="AE16" s="26">
        <f>股权价值增加表!AE11</f>
        <v>1718446.35</v>
      </c>
      <c r="AF16" s="26">
        <f>股权价值增加表!AF11</f>
        <v>0</v>
      </c>
      <c r="AG16" s="26">
        <f>股权价值增加表!AG11</f>
        <v>-6414659.4800000004</v>
      </c>
      <c r="AH16" s="26">
        <f>股权价值增加表!AH11</f>
        <v>70978.31</v>
      </c>
      <c r="AI16" s="26">
        <f>股权价值增加表!AI11</f>
        <v>70978.31</v>
      </c>
      <c r="AJ16" s="26">
        <f>股权价值增加表!AJ11</f>
        <v>0</v>
      </c>
      <c r="AK16" s="26">
        <f>股权价值增加表!AK11</f>
        <v>3087203.75</v>
      </c>
      <c r="AL16" s="26">
        <f>股权价值增加表!AL11</f>
        <v>-376269.27</v>
      </c>
      <c r="AM16" s="26">
        <f>股权价值增加表!AM11</f>
        <v>-660921.06000000006</v>
      </c>
      <c r="AN16" s="26">
        <f>股权价值增加表!AN11</f>
        <v>0</v>
      </c>
      <c r="AO16" s="26">
        <f>股权价值增加表!AO11</f>
        <v>12682501.439999999</v>
      </c>
      <c r="AP16" s="26">
        <f>股权价值增加表!AP11</f>
        <v>9068740.1799999997</v>
      </c>
      <c r="AQ16" s="26">
        <f>股权价值增加表!AQ11</f>
        <v>9068740.1799999997</v>
      </c>
      <c r="AR16" s="26">
        <f>股权价值增加表!AR11</f>
        <v>0</v>
      </c>
      <c r="AS16" s="26">
        <f>股权价值增加表!AS11</f>
        <v>-14047138.48</v>
      </c>
      <c r="AT16" s="26">
        <f>股权价值增加表!AT11</f>
        <v>-4019137.67</v>
      </c>
      <c r="AU16" s="26">
        <f>股权价值增加表!AU11</f>
        <v>-4019137.67</v>
      </c>
      <c r="AV16" s="26">
        <f>股权价值增加表!AV11</f>
        <v>0</v>
      </c>
      <c r="AW16" s="26">
        <f>股权价值增加表!AW11</f>
        <v>357279484.61000001</v>
      </c>
      <c r="AX16" s="26">
        <f>股权价值增加表!AX11</f>
        <v>10258869.42</v>
      </c>
      <c r="AY16" s="26">
        <f>股权价值增加表!AY11</f>
        <v>10258869.42</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16724.060000000001</v>
      </c>
      <c r="BT16" s="26">
        <f>股权价值增加表!BT11</f>
        <v>16724.060000000001</v>
      </c>
      <c r="BU16" s="26">
        <f>股权价值增加表!BU11</f>
        <v>729021.18</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2.0923838610360276E-2</v>
      </c>
      <c r="F17" s="57">
        <f t="shared" ref="F17:BQ17" si="17">F16/F2</f>
        <v>8.6114007944273064E-4</v>
      </c>
      <c r="G17" s="57">
        <f t="shared" si="17"/>
        <v>1.2295969733369934E-3</v>
      </c>
      <c r="H17" s="57">
        <f t="shared" si="17"/>
        <v>-6.9271195174461963E-6</v>
      </c>
      <c r="I17" s="57">
        <f t="shared" si="17"/>
        <v>8.8549874222375801E-4</v>
      </c>
      <c r="J17" s="57">
        <f t="shared" si="17"/>
        <v>-3.1317989082043073E-5</v>
      </c>
      <c r="K17" s="57">
        <f t="shared" si="17"/>
        <v>-6.95229120776841E-6</v>
      </c>
      <c r="L17" s="57">
        <f t="shared" si="17"/>
        <v>-5.3950572730695631E-6</v>
      </c>
      <c r="M17" s="57">
        <f t="shared" si="17"/>
        <v>1.7605705832674072E-3</v>
      </c>
      <c r="N17" s="57">
        <f t="shared" si="17"/>
        <v>9.8491007205349455E-4</v>
      </c>
      <c r="O17" s="57">
        <f t="shared" si="17"/>
        <v>2.9859287797373291E-3</v>
      </c>
      <c r="P17" s="57">
        <f t="shared" si="17"/>
        <v>2.14888952921555E-3</v>
      </c>
      <c r="Q17" s="57">
        <f t="shared" si="17"/>
        <v>3.573504274592448E-4</v>
      </c>
      <c r="R17" s="57">
        <f t="shared" si="17"/>
        <v>5.1520490768031948E-4</v>
      </c>
      <c r="S17" s="57">
        <f t="shared" si="17"/>
        <v>2.6398164367262555E-4</v>
      </c>
      <c r="T17" s="57">
        <f t="shared" si="17"/>
        <v>-3.1368494012756748E-4</v>
      </c>
      <c r="U17" s="57">
        <f t="shared" si="17"/>
        <v>5.2665483750425788E-4</v>
      </c>
      <c r="V17" s="57">
        <f t="shared" si="17"/>
        <v>4.2002201791011108E-3</v>
      </c>
      <c r="W17" s="57">
        <f t="shared" si="17"/>
        <v>6.6145926466097292E-4</v>
      </c>
      <c r="X17" s="57">
        <f t="shared" si="17"/>
        <v>-1.4776655677736157E-4</v>
      </c>
      <c r="Y17" s="57">
        <f t="shared" si="17"/>
        <v>4.4669388516811666E-4</v>
      </c>
      <c r="Z17" s="57">
        <f t="shared" si="17"/>
        <v>-7.1732053453594019E-5</v>
      </c>
      <c r="AA17" s="57">
        <f t="shared" si="17"/>
        <v>9.6694229827172322E-4</v>
      </c>
      <c r="AB17" s="57">
        <f t="shared" si="17"/>
        <v>-4.0911401442232532E-3</v>
      </c>
      <c r="AC17" s="57">
        <f t="shared" si="17"/>
        <v>-2.2384125083531417E-3</v>
      </c>
      <c r="AD17" s="57">
        <f t="shared" si="17"/>
        <v>0.73910749706010126</v>
      </c>
      <c r="AE17" s="57">
        <f t="shared" si="17"/>
        <v>2.3882252746134833</v>
      </c>
      <c r="AF17" s="57">
        <f t="shared" si="17"/>
        <v>0</v>
      </c>
      <c r="AG17" s="57">
        <f t="shared" si="17"/>
        <v>-3.2528614733008401</v>
      </c>
      <c r="AH17" s="57">
        <f t="shared" si="17"/>
        <v>3.1587387970912283E-2</v>
      </c>
      <c r="AI17" s="57">
        <f t="shared" si="17"/>
        <v>4.3165447631332704E-2</v>
      </c>
      <c r="AJ17" s="57">
        <f t="shared" si="17"/>
        <v>0</v>
      </c>
      <c r="AK17" s="57">
        <f t="shared" si="17"/>
        <v>1.3309301677800729</v>
      </c>
      <c r="AL17" s="57">
        <f t="shared" si="17"/>
        <v>-0.35511592688348304</v>
      </c>
      <c r="AM17" s="57">
        <f t="shared" si="17"/>
        <v>-0.92551853502912329</v>
      </c>
      <c r="AN17" s="57">
        <f t="shared" si="17"/>
        <v>0</v>
      </c>
      <c r="AO17" s="57">
        <f t="shared" si="17"/>
        <v>0.4281001995635309</v>
      </c>
      <c r="AP17" s="57">
        <f t="shared" si="17"/>
        <v>0.2284888661671042</v>
      </c>
      <c r="AQ17" s="57">
        <f t="shared" si="17"/>
        <v>0.23642250425100569</v>
      </c>
      <c r="AR17" s="57">
        <f t="shared" si="17"/>
        <v>0</v>
      </c>
      <c r="AS17" s="57">
        <f t="shared" si="17"/>
        <v>-5.0853612449341425E-2</v>
      </c>
      <c r="AT17" s="57">
        <f t="shared" si="17"/>
        <v>-1.8948176013032642E-2</v>
      </c>
      <c r="AU17" s="57">
        <f t="shared" si="17"/>
        <v>-2.6503740640780871E-2</v>
      </c>
      <c r="AV17" s="57">
        <f t="shared" si="17"/>
        <v>0</v>
      </c>
      <c r="AW17" s="57">
        <f t="shared" si="17"/>
        <v>1.5589732284228845</v>
      </c>
      <c r="AX17" s="57">
        <f t="shared" si="17"/>
        <v>8.1338536269865494E-2</v>
      </c>
      <c r="AY17" s="57">
        <f t="shared" si="17"/>
        <v>0.14481714929474829</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8.4230959310272995E-5</v>
      </c>
      <c r="BT17" s="57">
        <f t="shared" si="18"/>
        <v>1.611630990661609E-4</v>
      </c>
      <c r="BU17" s="57">
        <f t="shared" si="18"/>
        <v>7.184736946065506E-3</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309112.8</v>
      </c>
      <c r="F18" s="26">
        <f>股权价值增加表!F12</f>
        <v>1204</v>
      </c>
      <c r="G18" s="26">
        <f>股权价值增加表!G12</f>
        <v>868</v>
      </c>
      <c r="H18" s="26">
        <f>股权价值增加表!H12</f>
        <v>644</v>
      </c>
      <c r="I18" s="26">
        <f>股权价值增加表!I12</f>
        <v>537339.37</v>
      </c>
      <c r="J18" s="26">
        <f>股权价值增加表!J12</f>
        <v>0</v>
      </c>
      <c r="K18" s="26">
        <f>股权价值增加表!K12</f>
        <v>0</v>
      </c>
      <c r="L18" s="26">
        <f>股权价值增加表!L12</f>
        <v>0</v>
      </c>
      <c r="M18" s="26">
        <f>股权价值增加表!M12</f>
        <v>583577.59</v>
      </c>
      <c r="N18" s="26">
        <f>股权价值增加表!N12</f>
        <v>0</v>
      </c>
      <c r="O18" s="26">
        <f>股权价值增加表!O12</f>
        <v>0</v>
      </c>
      <c r="P18" s="26">
        <f>股权价值增加表!P12</f>
        <v>0</v>
      </c>
      <c r="Q18" s="26">
        <f>股权价值增加表!Q12</f>
        <v>519633.52</v>
      </c>
      <c r="R18" s="26">
        <f>股权价值增加表!R12</f>
        <v>0</v>
      </c>
      <c r="S18" s="26">
        <f>股权价值增加表!S12</f>
        <v>0</v>
      </c>
      <c r="T18" s="26">
        <f>股权价值增加表!T12</f>
        <v>0</v>
      </c>
      <c r="U18" s="26">
        <f>股权价值增加表!U12</f>
        <v>513023.09</v>
      </c>
      <c r="V18" s="26">
        <f>股权价值增加表!V12</f>
        <v>0</v>
      </c>
      <c r="W18" s="26">
        <f>股权价值增加表!W12</f>
        <v>0</v>
      </c>
      <c r="X18" s="26">
        <f>股权价值增加表!X12</f>
        <v>0</v>
      </c>
      <c r="Y18" s="26">
        <f>股权价值增加表!Y12</f>
        <v>337739.49</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1.249486742751902E-4</v>
      </c>
      <c r="F19" s="57">
        <f t="shared" ref="F19:BQ19" si="19">F18/F2</f>
        <v>1.194197276043748E-6</v>
      </c>
      <c r="G19" s="57">
        <f t="shared" si="19"/>
        <v>9.8828533837052386E-7</v>
      </c>
      <c r="H19" s="57">
        <f t="shared" si="19"/>
        <v>1.0217809488464991E-6</v>
      </c>
      <c r="I19" s="57">
        <f t="shared" si="19"/>
        <v>8.0141910786107859E-5</v>
      </c>
      <c r="J19" s="57">
        <f t="shared" si="19"/>
        <v>0</v>
      </c>
      <c r="K19" s="57">
        <f t="shared" si="19"/>
        <v>0</v>
      </c>
      <c r="L19" s="57">
        <f t="shared" si="19"/>
        <v>0</v>
      </c>
      <c r="M19" s="57">
        <f t="shared" si="19"/>
        <v>1.123338505864418E-3</v>
      </c>
      <c r="N19" s="57">
        <f t="shared" si="19"/>
        <v>0</v>
      </c>
      <c r="O19" s="57">
        <f t="shared" si="19"/>
        <v>0</v>
      </c>
      <c r="P19" s="57">
        <f t="shared" si="19"/>
        <v>0</v>
      </c>
      <c r="Q19" s="57">
        <f t="shared" si="19"/>
        <v>4.088993828392906E-4</v>
      </c>
      <c r="R19" s="57">
        <f t="shared" si="19"/>
        <v>0</v>
      </c>
      <c r="S19" s="57">
        <f t="shared" si="19"/>
        <v>0</v>
      </c>
      <c r="T19" s="57">
        <f t="shared" si="19"/>
        <v>0</v>
      </c>
      <c r="U19" s="57">
        <f t="shared" si="19"/>
        <v>1.8474286961107139E-4</v>
      </c>
      <c r="V19" s="57">
        <f t="shared" si="19"/>
        <v>0</v>
      </c>
      <c r="W19" s="57">
        <f t="shared" si="19"/>
        <v>0</v>
      </c>
      <c r="X19" s="57">
        <f t="shared" si="19"/>
        <v>0</v>
      </c>
      <c r="Y19" s="57">
        <f t="shared" si="19"/>
        <v>1.7902878156656371E-4</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32874596.919999998</v>
      </c>
      <c r="F20" s="26">
        <f>股权价值增加表!F13-股权价值增加表!F14</f>
        <v>27627947.66</v>
      </c>
      <c r="G20" s="26">
        <f>股权价值增加表!G13-股权价值增加表!G14</f>
        <v>24469549.989999998</v>
      </c>
      <c r="H20" s="26">
        <f>股权价值增加表!H13-股权价值增加表!H14</f>
        <v>3382828.2800000003</v>
      </c>
      <c r="I20" s="26">
        <f>股权价值增加表!I13-股权价值增加表!I14</f>
        <v>20274338.41</v>
      </c>
      <c r="J20" s="26">
        <f>股权价值增加表!J13-股权价值增加表!J14</f>
        <v>14104879.98</v>
      </c>
      <c r="K20" s="26">
        <f>股权价值增加表!K13-股权价值增加表!K14</f>
        <v>11024898.559999999</v>
      </c>
      <c r="L20" s="26">
        <f>股权价值增加表!L13-股权价值增加表!L14</f>
        <v>2425273.12</v>
      </c>
      <c r="M20" s="26">
        <f>股权价值增加表!M13-股权价值增加表!M14</f>
        <v>12681398.109999999</v>
      </c>
      <c r="N20" s="26">
        <f>股权价值增加表!N13-股权价值增加表!N14</f>
        <v>11893254.27</v>
      </c>
      <c r="O20" s="26">
        <f>股权价值增加表!O13-股权价值增加表!O14</f>
        <v>4143351.7700000005</v>
      </c>
      <c r="P20" s="26">
        <f>股权价值增加表!P13-股权价值增加表!P14</f>
        <v>2626422.29</v>
      </c>
      <c r="Q20" s="26">
        <f>股权价值增加表!Q13-股权价值增加表!Q14</f>
        <v>27014856.030000001</v>
      </c>
      <c r="R20" s="26">
        <f>股权价值增加表!R13-股权价值增加表!R14</f>
        <v>18868877.93</v>
      </c>
      <c r="S20" s="26">
        <f>股权价值增加表!S13-股权价值增加表!S14</f>
        <v>14247615.76</v>
      </c>
      <c r="T20" s="26">
        <f>股权价值增加表!T13-股权价值增加表!T14</f>
        <v>7958258.8100000005</v>
      </c>
      <c r="U20" s="26">
        <f>股权价值增加表!U13-股权价值增加表!U14</f>
        <v>13315482.259999998</v>
      </c>
      <c r="V20" s="26">
        <f>股权价值增加表!V13-股权价值增加表!V14</f>
        <v>8249746.8999999994</v>
      </c>
      <c r="W20" s="26">
        <f>股权价值增加表!W13-股权价值增加表!W14</f>
        <v>3054374.6699999995</v>
      </c>
      <c r="X20" s="26">
        <f>股权价值增加表!X13-股权价值增加表!X14</f>
        <v>3876576.81</v>
      </c>
      <c r="Y20" s="26">
        <f>股权价值增加表!Y13-股权价值增加表!Y14</f>
        <v>10916495.139999999</v>
      </c>
      <c r="Z20" s="26">
        <f>股权价值增加表!Z13-股权价值增加表!Z14</f>
        <v>6540190.6100000003</v>
      </c>
      <c r="AA20" s="26">
        <f>股权价值增加表!AA13-股权价值增加表!AA14</f>
        <v>4993934.2299999995</v>
      </c>
      <c r="AB20" s="26">
        <f>股权价值增加表!AB13-股权价值增加表!AB14</f>
        <v>2169450.6799999997</v>
      </c>
      <c r="AC20" s="26">
        <f>股权价值增加表!AC13-股权价值增加表!AC14</f>
        <v>16010077.359999999</v>
      </c>
      <c r="AD20" s="26">
        <f>股权价值增加表!AD13-股权价值增加表!AD14</f>
        <v>8468520.0399999991</v>
      </c>
      <c r="AE20" s="26">
        <f>股权价值增加表!AE13-股权价值增加表!AE14</f>
        <v>8468520.0399999991</v>
      </c>
      <c r="AF20" s="26">
        <f>股权价值增加表!AF13-股权价值增加表!AF14</f>
        <v>5737944.04</v>
      </c>
      <c r="AG20" s="26">
        <f>股权价值增加表!AG13-股权价值增加表!AG14</f>
        <v>31340219.93</v>
      </c>
      <c r="AH20" s="26">
        <f>股权价值增加表!AH13-股权价值增加表!AH14</f>
        <v>31340219.93</v>
      </c>
      <c r="AI20" s="26">
        <f>股权价值增加表!AI13-股权价值增加表!AI14</f>
        <v>31340219.93</v>
      </c>
      <c r="AJ20" s="26">
        <f>股权价值增加表!AJ13-股权价值增加表!AJ14</f>
        <v>17188715.190000001</v>
      </c>
      <c r="AK20" s="26">
        <f>股权价值增加表!AK13-股权价值增加表!AK14</f>
        <v>48429237</v>
      </c>
      <c r="AL20" s="26">
        <f>股权价值增加表!AL13-股权价值增加表!AL14</f>
        <v>2761951.5</v>
      </c>
      <c r="AM20" s="26">
        <f>股权价值增加表!AM13-股权价值增加表!AM14</f>
        <v>4539941.330000001</v>
      </c>
      <c r="AN20" s="26">
        <f>股权价值增加表!AN13-股权价值增加表!AN14</f>
        <v>15205366.51</v>
      </c>
      <c r="AO20" s="26">
        <f>股权价值增加表!AO13-股权价值增加表!AO14</f>
        <v>67595566.129999995</v>
      </c>
      <c r="AP20" s="26">
        <f>股权价值增加表!AP13-股权价值增加表!AP14</f>
        <v>37301543.849999994</v>
      </c>
      <c r="AQ20" s="26">
        <f>股权价值增加表!AQ13-股权价值增加表!AQ14</f>
        <v>101980548.33999999</v>
      </c>
      <c r="AR20" s="26">
        <f>股权价值增加表!AR13-股权价值增加表!AR14</f>
        <v>40422688.020000003</v>
      </c>
      <c r="AS20" s="26">
        <f>股权价值增加表!AS13-股权价值增加表!AS14</f>
        <v>33151465.259999998</v>
      </c>
      <c r="AT20" s="26">
        <f>股权价值增加表!AT13-股权价值增加表!AT14</f>
        <v>-4794.4900000000016</v>
      </c>
      <c r="AU20" s="26">
        <f>股权价值增加表!AU13-股权价值增加表!AU14</f>
        <v>-6564.2099999999991</v>
      </c>
      <c r="AV20" s="26">
        <f>股权价值增加表!AV13-股权价值增加表!AV14</f>
        <v>9578.11</v>
      </c>
      <c r="AW20" s="26">
        <f>股权价值增加表!AW13-股权价值增加表!AW14</f>
        <v>-311618647.13999999</v>
      </c>
      <c r="AX20" s="26">
        <f>股权价值增加表!AX13-股权价值增加表!AX14</f>
        <v>45218.49</v>
      </c>
      <c r="AY20" s="26">
        <f>股权价值增加表!AY13-股权价值增加表!AY14</f>
        <v>-17.510000000000002</v>
      </c>
      <c r="AZ20" s="26">
        <f>股权价值增加表!AZ13-股权价值增加表!AZ14</f>
        <v>0</v>
      </c>
      <c r="BA20" s="26">
        <f>股权价值增加表!BA13-股权价值增加表!BA14</f>
        <v>-7590699.6299999999</v>
      </c>
      <c r="BB20" s="26">
        <f>股权价值增加表!BB13-股权价值增加表!BB14</f>
        <v>56638.75</v>
      </c>
      <c r="BC20" s="26">
        <f>股权价值增加表!BC13-股权价值增加表!BC14</f>
        <v>55806.75</v>
      </c>
      <c r="BD20" s="26">
        <f>股权价值增加表!BD13-股权价值增加表!BD14</f>
        <v>-1411.25</v>
      </c>
      <c r="BE20" s="26">
        <f>股权价值增加表!BE13-股权价值增加表!BE14</f>
        <v>-24699883.390000001</v>
      </c>
      <c r="BF20" s="26">
        <f>股权价值增加表!BF13-股权价值增加表!BF14</f>
        <v>-150782.78999999998</v>
      </c>
      <c r="BG20" s="26">
        <f>股权价值增加表!BG13-股权价值增加表!BG14</f>
        <v>-2734.46</v>
      </c>
      <c r="BH20" s="26">
        <f>股权价值增加表!BH13-股权价值增加表!BH14</f>
        <v>-3231</v>
      </c>
      <c r="BI20" s="26">
        <f>股权价值增加表!BI13-股权价值增加表!BI14</f>
        <v>-65378.09</v>
      </c>
      <c r="BJ20" s="26">
        <f>股权价值增加表!BJ13-股权价值增加表!BJ14</f>
        <v>-135166.91999999998</v>
      </c>
      <c r="BK20" s="26">
        <f>股权价值增加表!BK13-股权价值增加表!BK14</f>
        <v>-103958.76000000001</v>
      </c>
      <c r="BL20" s="26">
        <f>股权价值增加表!BL13-股权价值增加表!BL14</f>
        <v>-51291.15</v>
      </c>
      <c r="BM20" s="26">
        <f>股权价值增加表!BM13-股权价值增加表!BM14</f>
        <v>-1793887.22</v>
      </c>
      <c r="BN20" s="26">
        <f>股权价值增加表!BN13-股权价值增加表!BN14</f>
        <v>-1665922.69</v>
      </c>
      <c r="BO20" s="26">
        <f>股权价值增加表!BO13-股权价值增加表!BO14</f>
        <v>-18755.009999999998</v>
      </c>
      <c r="BP20" s="26">
        <f>股权价值增加表!BP13-股权价值增加表!BP14</f>
        <v>-26680.95</v>
      </c>
      <c r="BQ20" s="26">
        <f>股权价值增加表!BQ13-股权价值增加表!BQ14</f>
        <v>-255262.02000000002</v>
      </c>
      <c r="BR20" s="26">
        <f>股权价值增加表!BR13-股权价值增加表!BR14</f>
        <v>375102.45</v>
      </c>
      <c r="BS20" s="26">
        <f>股权价值增加表!BS13-股权价值增加表!BS14</f>
        <v>563777.93000000005</v>
      </c>
      <c r="BT20" s="26">
        <f>股权价值增加表!BT13-股权价值增加表!BT14</f>
        <v>355434.59</v>
      </c>
      <c r="BU20" s="26">
        <f>股权价值增加表!BU13-股权价值增加表!BU14</f>
        <v>584383.51</v>
      </c>
      <c r="BV20" s="26">
        <f>股权价值增加表!BV13-股权价值增加表!BV14</f>
        <v>-42611.85</v>
      </c>
      <c r="BW20" s="26">
        <f>股权价值增加表!BW13-股权价值增加表!BW14</f>
        <v>739705.52999999991</v>
      </c>
      <c r="BX20" s="26">
        <f>股权价值增加表!BX13-股权价值增加表!BX14</f>
        <v>62549.950000000004</v>
      </c>
      <c r="BY20" s="26">
        <f>股权价值增加表!BY13-股权价值增加表!BY14</f>
        <v>594967.38000000012</v>
      </c>
      <c r="BZ20" s="26">
        <f>股权价值增加表!BZ13-股权价值增加表!BZ14</f>
        <v>-15016.580000000002</v>
      </c>
      <c r="CA20" s="26">
        <f>股权价值增加表!CA13-股权价值增加表!CA14</f>
        <v>144393.52999999997</v>
      </c>
      <c r="CB20" s="26">
        <f>股权价值增加表!CB13-股权价值增加表!CB14</f>
        <v>-187469.35</v>
      </c>
      <c r="CC20" s="26">
        <f>股权价值增加表!CC13-股权价值增加表!CC14</f>
        <v>-3282.3400000000038</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1.3288473665552676E-2</v>
      </c>
      <c r="F21" s="57">
        <f t="shared" ref="F21:BQ21" si="21">F20/F2</f>
        <v>2.7403006510175448E-2</v>
      </c>
      <c r="G21" s="57">
        <f t="shared" si="21"/>
        <v>2.7860480981153915E-2</v>
      </c>
      <c r="H21" s="57">
        <f t="shared" si="21"/>
        <v>5.3672507604397074E-3</v>
      </c>
      <c r="I21" s="57">
        <f t="shared" si="21"/>
        <v>3.0238324433617806E-3</v>
      </c>
      <c r="J21" s="57">
        <f t="shared" si="21"/>
        <v>3.0819502020939904E-3</v>
      </c>
      <c r="K21" s="57">
        <f t="shared" si="21"/>
        <v>2.7591063438612432E-3</v>
      </c>
      <c r="L21" s="57">
        <f t="shared" si="21"/>
        <v>8.2903040416173177E-4</v>
      </c>
      <c r="M21" s="57">
        <f t="shared" si="21"/>
        <v>2.4410640588784869E-2</v>
      </c>
      <c r="N21" s="57">
        <f t="shared" si="21"/>
        <v>3.2369644776355296E-2</v>
      </c>
      <c r="O21" s="57">
        <f t="shared" si="21"/>
        <v>1.9044009956987268E-2</v>
      </c>
      <c r="P21" s="57">
        <f t="shared" si="21"/>
        <v>1.8163186818470987E-2</v>
      </c>
      <c r="Q21" s="57">
        <f t="shared" si="21"/>
        <v>2.1257978042215766E-2</v>
      </c>
      <c r="R21" s="57">
        <f t="shared" si="21"/>
        <v>2.1117880793457389E-2</v>
      </c>
      <c r="S21" s="57">
        <f t="shared" si="21"/>
        <v>2.0962069378039846E-2</v>
      </c>
      <c r="T21" s="57">
        <f t="shared" si="21"/>
        <v>2.6403968807672134E-2</v>
      </c>
      <c r="U21" s="57">
        <f t="shared" si="21"/>
        <v>4.7949896426059766E-3</v>
      </c>
      <c r="V21" s="57">
        <f t="shared" si="21"/>
        <v>2.5266172907979452E-2</v>
      </c>
      <c r="W21" s="57">
        <f t="shared" si="21"/>
        <v>1.2123745920588729E-2</v>
      </c>
      <c r="X21" s="57">
        <f t="shared" si="21"/>
        <v>2.4296501328719775E-2</v>
      </c>
      <c r="Y21" s="57">
        <f t="shared" si="21"/>
        <v>5.786610336539307E-3</v>
      </c>
      <c r="Z21" s="57">
        <f t="shared" si="21"/>
        <v>1.8053075541995339E-2</v>
      </c>
      <c r="AA21" s="57">
        <f t="shared" si="21"/>
        <v>5.4088556862325041E-2</v>
      </c>
      <c r="AB21" s="57">
        <f t="shared" si="21"/>
        <v>5.645187394698338E-2</v>
      </c>
      <c r="AC21" s="57">
        <f t="shared" si="21"/>
        <v>1.7571904625573807E-2</v>
      </c>
      <c r="AD21" s="57">
        <f t="shared" si="21"/>
        <v>3.6423288108864771</v>
      </c>
      <c r="AE21" s="57">
        <f t="shared" si="21"/>
        <v>11.769196983134668</v>
      </c>
      <c r="AF21" s="57">
        <f t="shared" si="21"/>
        <v>12.615333790960605</v>
      </c>
      <c r="AG21" s="57">
        <f t="shared" si="21"/>
        <v>15.892565192731345</v>
      </c>
      <c r="AH21" s="57">
        <f t="shared" si="21"/>
        <v>13.947298632816523</v>
      </c>
      <c r="AI21" s="57">
        <f t="shared" si="21"/>
        <v>19.059549630624687</v>
      </c>
      <c r="AJ21" s="57">
        <f t="shared" si="21"/>
        <v>145.326742356079</v>
      </c>
      <c r="AK21" s="57">
        <f t="shared" si="21"/>
        <v>20.878418706854355</v>
      </c>
      <c r="AL21" s="57">
        <f t="shared" si="21"/>
        <v>2.6066783687377026</v>
      </c>
      <c r="AM21" s="57">
        <f t="shared" si="21"/>
        <v>6.3574912393618845</v>
      </c>
      <c r="AN21" s="57">
        <f t="shared" si="21"/>
        <v>47.880645292732787</v>
      </c>
      <c r="AO21" s="57">
        <f t="shared" si="21"/>
        <v>2.2817009315366459</v>
      </c>
      <c r="AP21" s="57">
        <f t="shared" si="21"/>
        <v>0.93982044819912547</v>
      </c>
      <c r="AQ21" s="57">
        <f t="shared" si="21"/>
        <v>2.6586379303937164</v>
      </c>
      <c r="AR21" s="57">
        <f t="shared" si="21"/>
        <v>2.0229810752285604</v>
      </c>
      <c r="AS21" s="57">
        <f t="shared" si="21"/>
        <v>0.12001531620551417</v>
      </c>
      <c r="AT21" s="57">
        <f t="shared" si="21"/>
        <v>-2.2603565210227024E-5</v>
      </c>
      <c r="AU21" s="57">
        <f t="shared" si="21"/>
        <v>-4.3286927106336267E-5</v>
      </c>
      <c r="AV21" s="57">
        <f t="shared" si="21"/>
        <v>1.5187999293340228E-4</v>
      </c>
      <c r="AW21" s="57">
        <f t="shared" si="21"/>
        <v>-1.3597341837271002</v>
      </c>
      <c r="AX21" s="57">
        <f t="shared" si="21"/>
        <v>3.5851960273157956E-4</v>
      </c>
      <c r="AY21" s="57">
        <f t="shared" si="21"/>
        <v>-2.4717619265213757E-7</v>
      </c>
      <c r="AZ21" s="57">
        <f t="shared" si="21"/>
        <v>0</v>
      </c>
      <c r="BA21" s="57">
        <f t="shared" si="21"/>
        <v>-3.4285204230066368E-2</v>
      </c>
      <c r="BB21" s="57">
        <f t="shared" si="21"/>
        <v>2.8276115073236439E-4</v>
      </c>
      <c r="BC21" s="57">
        <f t="shared" si="21"/>
        <v>3.2171918761726134E-4</v>
      </c>
      <c r="BD21" s="57">
        <f t="shared" si="21"/>
        <v>-1.4048970033482011E-5</v>
      </c>
      <c r="BE21" s="57">
        <f t="shared" si="21"/>
        <v>-3.0807418274572299E-2</v>
      </c>
      <c r="BF21" s="57">
        <f t="shared" si="21"/>
        <v>-2.4817172376463708E-4</v>
      </c>
      <c r="BG21" s="57">
        <f t="shared" si="21"/>
        <v>-7.0656824556340435E-6</v>
      </c>
      <c r="BH21" s="57">
        <f t="shared" si="21"/>
        <v>-1.9006460660283632E-5</v>
      </c>
      <c r="BI21" s="57">
        <f t="shared" si="21"/>
        <v>-7.5435718677114969E-5</v>
      </c>
      <c r="BJ21" s="57">
        <f t="shared" si="21"/>
        <v>-2.3994963534927378E-4</v>
      </c>
      <c r="BK21" s="57">
        <f t="shared" si="21"/>
        <v>-3.3231849235926741E-4</v>
      </c>
      <c r="BL21" s="57">
        <f t="shared" si="21"/>
        <v>-3.9508157942969599E-4</v>
      </c>
      <c r="BM21" s="57">
        <f t="shared" si="21"/>
        <v>-1.8008308035346446E-3</v>
      </c>
      <c r="BN21" s="57">
        <f t="shared" si="21"/>
        <v>-2.4779908735592963E-3</v>
      </c>
      <c r="BO21" s="57">
        <f t="shared" si="21"/>
        <v>-4.4147828883495162E-5</v>
      </c>
      <c r="BP21" s="57">
        <f t="shared" si="21"/>
        <v>-1.2857249565898594E-4</v>
      </c>
      <c r="BQ21" s="57">
        <f t="shared" si="21"/>
        <v>-3.3506602250319415E-4</v>
      </c>
      <c r="BR21" s="57">
        <f t="shared" ref="BR21:CK21" si="22">BR20/BR2</f>
        <v>1.6326535030530898E-3</v>
      </c>
      <c r="BS21" s="57">
        <f t="shared" si="22"/>
        <v>2.8394753356457665E-3</v>
      </c>
      <c r="BT21" s="57">
        <f t="shared" si="22"/>
        <v>3.4251814475498347E-3</v>
      </c>
      <c r="BU21" s="57">
        <f t="shared" si="22"/>
        <v>5.7592864379721331E-3</v>
      </c>
      <c r="BV21" s="57">
        <f t="shared" si="22"/>
        <v>-1.073341561639213E-3</v>
      </c>
      <c r="BW21" s="57">
        <f t="shared" si="22"/>
        <v>1.0275599557810735E-2</v>
      </c>
      <c r="BX21" s="57">
        <f t="shared" si="22"/>
        <v>2.0630884039407921E-3</v>
      </c>
      <c r="BY21" s="57">
        <f t="shared" si="22"/>
        <v>9.607930711639982E-3</v>
      </c>
      <c r="BZ21" s="57">
        <f t="shared" si="22"/>
        <v>-4.8286422860130727E-4</v>
      </c>
      <c r="CA21" s="57">
        <f t="shared" si="22"/>
        <v>2.031172606231747E-3</v>
      </c>
      <c r="CB21" s="57">
        <f t="shared" si="22"/>
        <v>-2.1015061130984598E-3</v>
      </c>
      <c r="CC21" s="57">
        <f t="shared" si="22"/>
        <v>-4.5599969865015307E-5</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0.15400581557034909</v>
      </c>
      <c r="F22" s="66">
        <f t="shared" ref="F22:BQ22" si="23">F11+F13+F15+F17+F19+F21</f>
        <v>0.27416810352536647</v>
      </c>
      <c r="G22" s="66">
        <f t="shared" si="23"/>
        <v>0.25183762686394034</v>
      </c>
      <c r="H22" s="66">
        <f t="shared" si="23"/>
        <v>0.19214750431237235</v>
      </c>
      <c r="I22" s="66">
        <f t="shared" si="23"/>
        <v>0.11047730446452503</v>
      </c>
      <c r="J22" s="66">
        <f t="shared" si="23"/>
        <v>0.1083137323153576</v>
      </c>
      <c r="K22" s="66">
        <f t="shared" si="23"/>
        <v>9.1720487732977099E-2</v>
      </c>
      <c r="L22" s="66">
        <f t="shared" si="23"/>
        <v>9.3785814550028795E-2</v>
      </c>
      <c r="M22" s="66">
        <f t="shared" si="23"/>
        <v>0.64846935674225126</v>
      </c>
      <c r="N22" s="66">
        <f t="shared" si="23"/>
        <v>0.61496122889245242</v>
      </c>
      <c r="O22" s="66">
        <f t="shared" si="23"/>
        <v>0.68970972433007449</v>
      </c>
      <c r="P22" s="66">
        <f t="shared" si="23"/>
        <v>0.56595946005492481</v>
      </c>
      <c r="Q22" s="66">
        <f t="shared" si="23"/>
        <v>0.28297725494145526</v>
      </c>
      <c r="R22" s="66">
        <f t="shared" si="23"/>
        <v>0.33787414462492565</v>
      </c>
      <c r="S22" s="66">
        <f t="shared" si="23"/>
        <v>0.33256623224352239</v>
      </c>
      <c r="T22" s="66">
        <f t="shared" si="23"/>
        <v>0.33980736498745895</v>
      </c>
      <c r="U22" s="66">
        <f t="shared" si="23"/>
        <v>0.18061710946030377</v>
      </c>
      <c r="V22" s="66">
        <f t="shared" si="23"/>
        <v>0.51826622931477195</v>
      </c>
      <c r="W22" s="66">
        <f t="shared" si="23"/>
        <v>0.46281618504641214</v>
      </c>
      <c r="X22" s="66">
        <f t="shared" si="23"/>
        <v>0.36931062713498208</v>
      </c>
      <c r="Y22" s="66">
        <f t="shared" si="23"/>
        <v>0.1730560595208156</v>
      </c>
      <c r="Z22" s="66">
        <f t="shared" si="23"/>
        <v>0.46334331581633248</v>
      </c>
      <c r="AA22" s="66">
        <f t="shared" si="23"/>
        <v>0.65445213063321406</v>
      </c>
      <c r="AB22" s="66">
        <f t="shared" si="23"/>
        <v>0.87137350160687155</v>
      </c>
      <c r="AC22" s="66">
        <f t="shared" si="23"/>
        <v>0.27581537529960526</v>
      </c>
      <c r="AD22" s="66">
        <f t="shared" si="23"/>
        <v>5.6902854518398298</v>
      </c>
      <c r="AE22" s="66">
        <f t="shared" si="23"/>
        <v>16.938086290433489</v>
      </c>
      <c r="AF22" s="66">
        <f t="shared" si="23"/>
        <v>14.741752144924469</v>
      </c>
      <c r="AG22" s="66">
        <f t="shared" si="23"/>
        <v>14.502034330417965</v>
      </c>
      <c r="AH22" s="66">
        <f t="shared" si="23"/>
        <v>15.212200442476057</v>
      </c>
      <c r="AI22" s="66">
        <f t="shared" si="23"/>
        <v>20.052917586374196</v>
      </c>
      <c r="AJ22" s="66">
        <f t="shared" si="23"/>
        <v>151.34130038180081</v>
      </c>
      <c r="AK22" s="66">
        <f t="shared" si="23"/>
        <v>23.410563319346156</v>
      </c>
      <c r="AL22" s="66">
        <f t="shared" si="23"/>
        <v>4.2315961240899984</v>
      </c>
      <c r="AM22" s="66">
        <f t="shared" si="23"/>
        <v>6.9199360674577211</v>
      </c>
      <c r="AN22" s="66">
        <f t="shared" si="23"/>
        <v>49.524584804041417</v>
      </c>
      <c r="AO22" s="66">
        <f t="shared" si="23"/>
        <v>3.2674570493059463</v>
      </c>
      <c r="AP22" s="66">
        <f t="shared" si="23"/>
        <v>1.5797227923891166</v>
      </c>
      <c r="AQ22" s="66">
        <f t="shared" si="23"/>
        <v>3.2554412330360005</v>
      </c>
      <c r="AR22" s="66">
        <f t="shared" si="23"/>
        <v>2.3215783041117519</v>
      </c>
      <c r="AS22" s="66">
        <f t="shared" si="23"/>
        <v>0.16517889697706142</v>
      </c>
      <c r="AT22" s="66">
        <f t="shared" si="23"/>
        <v>0.10745373309147074</v>
      </c>
      <c r="AU22" s="66">
        <f t="shared" si="23"/>
        <v>9.9095923794660118E-2</v>
      </c>
      <c r="AV22" s="66">
        <f t="shared" si="23"/>
        <v>0.14965956576189593</v>
      </c>
      <c r="AW22" s="66">
        <f t="shared" si="23"/>
        <v>0.36891142868580862</v>
      </c>
      <c r="AX22" s="66">
        <f t="shared" si="23"/>
        <v>0.26076865805239574</v>
      </c>
      <c r="AY22" s="66">
        <f t="shared" si="23"/>
        <v>0.3536754581285555</v>
      </c>
      <c r="AZ22" s="66">
        <f t="shared" si="23"/>
        <v>0.14753750857690978</v>
      </c>
      <c r="BA22" s="66">
        <f t="shared" si="23"/>
        <v>1.6763861940071811</v>
      </c>
      <c r="BB22" s="66">
        <f t="shared" si="23"/>
        <v>0.19786795198275467</v>
      </c>
      <c r="BC22" s="66">
        <f t="shared" si="23"/>
        <v>0.19257895529235106</v>
      </c>
      <c r="BD22" s="66">
        <f t="shared" si="23"/>
        <v>6.6482135802119147E-2</v>
      </c>
      <c r="BE22" s="66">
        <f t="shared" si="23"/>
        <v>0.1838239826446596</v>
      </c>
      <c r="BF22" s="66">
        <f t="shared" si="23"/>
        <v>3.9852196576888425E-2</v>
      </c>
      <c r="BG22" s="66">
        <f t="shared" si="23"/>
        <v>4.5097658362385648E-2</v>
      </c>
      <c r="BH22" s="66">
        <f t="shared" si="23"/>
        <v>4.9986628290199377E-2</v>
      </c>
      <c r="BI22" s="66">
        <f t="shared" si="23"/>
        <v>5.2094631549839114E-2</v>
      </c>
      <c r="BJ22" s="66">
        <f t="shared" si="23"/>
        <v>4.6807465619450796E-2</v>
      </c>
      <c r="BK22" s="66">
        <f t="shared" si="23"/>
        <v>4.7001284875388807E-2</v>
      </c>
      <c r="BL22" s="66">
        <f t="shared" si="23"/>
        <v>6.1431510130952001E-2</v>
      </c>
      <c r="BM22" s="66">
        <f t="shared" si="23"/>
        <v>5.1243877248034045E-2</v>
      </c>
      <c r="BN22" s="66">
        <f t="shared" si="23"/>
        <v>4.6364384187916115E-2</v>
      </c>
      <c r="BO22" s="66">
        <f t="shared" si="23"/>
        <v>4.8274378318610825E-2</v>
      </c>
      <c r="BP22" s="66">
        <f t="shared" si="23"/>
        <v>5.0639706372040495E-2</v>
      </c>
      <c r="BQ22" s="66">
        <f t="shared" si="23"/>
        <v>5.7556027715267653E-2</v>
      </c>
      <c r="BR22" s="66">
        <f t="shared" ref="BR22:CJ22" si="24">BR11+BR13+BR15+BR17+BR19+BR21</f>
        <v>6.9031318220013405E-2</v>
      </c>
      <c r="BS22" s="66">
        <f t="shared" si="24"/>
        <v>0.14725743865334931</v>
      </c>
      <c r="BT22" s="66">
        <f t="shared" si="24"/>
        <v>0.12982868113443846</v>
      </c>
      <c r="BU22" s="66">
        <f t="shared" si="24"/>
        <v>0.22393561963074618</v>
      </c>
      <c r="BV22" s="66">
        <f t="shared" si="24"/>
        <v>0.21183068190762441</v>
      </c>
      <c r="BW22" s="66">
        <f t="shared" si="24"/>
        <v>0.23357467185158423</v>
      </c>
      <c r="BX22" s="66">
        <f t="shared" si="24"/>
        <v>0.23955579056920004</v>
      </c>
      <c r="BY22" s="66">
        <f t="shared" si="24"/>
        <v>0.15084033118570125</v>
      </c>
      <c r="BZ22" s="66">
        <f t="shared" si="24"/>
        <v>0.12548768886593151</v>
      </c>
      <c r="CA22" s="66">
        <f t="shared" si="24"/>
        <v>0.12740345151411081</v>
      </c>
      <c r="CB22" s="66">
        <f t="shared" si="24"/>
        <v>0.16398516277149683</v>
      </c>
      <c r="CC22" s="66">
        <f t="shared" si="24"/>
        <v>0.16641619048178663</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308980378.52350187</v>
      </c>
      <c r="F23" s="27">
        <f>股权价值增加表!F17</f>
        <v>62119288.300106347</v>
      </c>
      <c r="G23" s="27">
        <f>股权价值增加表!G17</f>
        <v>108155021.11853465</v>
      </c>
      <c r="H23" s="27">
        <f>股权价值增加表!H17</f>
        <v>94496539.484529719</v>
      </c>
      <c r="I23" s="27">
        <f>股权价值增加表!I17</f>
        <v>1066889189.4762712</v>
      </c>
      <c r="J23" s="27">
        <f>股权价值增加表!J17</f>
        <v>506866404.06013447</v>
      </c>
      <c r="K23" s="27">
        <f>股权价值增加表!K17</f>
        <v>507197015.14398098</v>
      </c>
      <c r="L23" s="27">
        <f>股权价值增加表!L17</f>
        <v>436248404.38321924</v>
      </c>
      <c r="M23" s="27">
        <f>股权价值增加表!M17</f>
        <v>-81848616.433122709</v>
      </c>
      <c r="N23" s="27">
        <f>股权价值增加表!N17</f>
        <v>13907333.551844761</v>
      </c>
      <c r="O23" s="27">
        <f>股权价值增加表!O17</f>
        <v>-38408270.541988209</v>
      </c>
      <c r="P23" s="27">
        <f>股权价值增加表!P17</f>
        <v>-11818194.357946878</v>
      </c>
      <c r="Q23" s="27">
        <f>股权价值增加表!Q17</f>
        <v>99971293.21749869</v>
      </c>
      <c r="R23" s="27">
        <f>股权价值增加表!R17</f>
        <v>24756964.370159343</v>
      </c>
      <c r="S23" s="27">
        <f>股权价值增加表!S17</f>
        <v>37522737.548531257</v>
      </c>
      <c r="T23" s="27">
        <f>股权价值增加表!T17</f>
        <v>18440724.594044343</v>
      </c>
      <c r="U23" s="27">
        <f>股权价值增加表!U17</f>
        <v>444534314.23077905</v>
      </c>
      <c r="V23" s="27">
        <f>股权价值增加表!V17</f>
        <v>-1285157.3395497545</v>
      </c>
      <c r="W23" s="27">
        <f>股权价值增加表!W17</f>
        <v>11081090.219755411</v>
      </c>
      <c r="X23" s="27">
        <f>股权价值增加表!X17</f>
        <v>1912302.0590070486</v>
      </c>
      <c r="Y23" s="27">
        <f>股权价值增加表!Y17</f>
        <v>322330047.05456209</v>
      </c>
      <c r="Z23" s="27">
        <f>股权价值增加表!Z17</f>
        <v>29281061.077018183</v>
      </c>
      <c r="AA23" s="27">
        <f>股权价值增加表!AA17</f>
        <v>-21442754.657571297</v>
      </c>
      <c r="AB23" s="27">
        <f>股权价值增加表!AB17</f>
        <v>-18957665.247812983</v>
      </c>
      <c r="AC23" s="27">
        <f>股权价值增加表!AC17</f>
        <v>173656682.6639722</v>
      </c>
      <c r="AD23" s="27">
        <f>股权价值增加表!AD17</f>
        <v>4330372.560470365</v>
      </c>
      <c r="AE23" s="27">
        <f>股权价值增加表!AE17</f>
        <v>5036486.9159820834</v>
      </c>
      <c r="AF23" s="27">
        <f>股权价值增加表!AF17</f>
        <v>4909926.8</v>
      </c>
      <c r="AG23" s="27">
        <f>股权价值增加表!AG17</f>
        <v>31954454.649999999</v>
      </c>
      <c r="AH23" s="27">
        <f>股权价值增加表!AH17</f>
        <v>26399867.77</v>
      </c>
      <c r="AI23" s="27">
        <f>股权价值增加表!AI17</f>
        <v>27436019.57</v>
      </c>
      <c r="AJ23" s="27">
        <f>股权价值增加表!AJ17</f>
        <v>16511611.620000001</v>
      </c>
      <c r="AK23" s="27">
        <f>股权价值增加表!AK17</f>
        <v>41081429.969999999</v>
      </c>
      <c r="AL23" s="27">
        <f>股权价值增加表!AL17</f>
        <v>1464432.9800000004</v>
      </c>
      <c r="AM23" s="27">
        <f>股权价值增加表!AM17</f>
        <v>4427822.2100000018</v>
      </c>
      <c r="AN23" s="27">
        <f>股权价值增加表!AN17</f>
        <v>14848272.629999999</v>
      </c>
      <c r="AO23" s="27">
        <f>股权价值增加表!AO17</f>
        <v>26006511.017316494</v>
      </c>
      <c r="AP23" s="27">
        <f>股权价值增加表!AP17</f>
        <v>12860555.538971387</v>
      </c>
      <c r="AQ23" s="27">
        <f>股权价值增加表!AQ17</f>
        <v>79873507.951272517</v>
      </c>
      <c r="AR23" s="27">
        <f>股权价值增加表!AR17</f>
        <v>34580065.350000001</v>
      </c>
      <c r="AS23" s="27">
        <f>股权价值增加表!AS17</f>
        <v>54806873.126232527</v>
      </c>
      <c r="AT23" s="27">
        <f>股权价值增加表!AT17</f>
        <v>-9279370.2965147588</v>
      </c>
      <c r="AU23" s="27">
        <f>股权价值增加表!AU17</f>
        <v>-3522800.6725100745</v>
      </c>
      <c r="AV23" s="27">
        <f>股权价值增加表!AV17</f>
        <v>-3240520.7311186637</v>
      </c>
      <c r="AW23" s="27">
        <f>股权价值增加表!AW17</f>
        <v>-691737181.8409971</v>
      </c>
      <c r="AX23" s="27">
        <f>股权价值增加表!AX17</f>
        <v>-24021901.225269247</v>
      </c>
      <c r="AY23" s="27">
        <f>股权价值增加表!AY17</f>
        <v>-23093295.949521761</v>
      </c>
      <c r="AZ23" s="27">
        <f>股权价值增加表!AZ17</f>
        <v>-5353153.311235955</v>
      </c>
      <c r="BA23" s="27">
        <f>股权价值增加表!BA17</f>
        <v>-383191879.69444925</v>
      </c>
      <c r="BB23" s="27">
        <f>股权价值增加表!BB17</f>
        <v>-36314408.160100929</v>
      </c>
      <c r="BC23" s="27">
        <f>股权价值增加表!BC17</f>
        <v>-32950916.100450259</v>
      </c>
      <c r="BD23" s="27">
        <f>股权价值增加表!BD17</f>
        <v>-6634382.222466832</v>
      </c>
      <c r="BE23" s="27">
        <f>股权价值增加表!BE17</f>
        <v>-153392246.96511763</v>
      </c>
      <c r="BF23" s="27">
        <f>股权价值增加表!BF17</f>
        <v>22951921.138160013</v>
      </c>
      <c r="BG23" s="27">
        <f>股权价值增加表!BG17</f>
        <v>11943469.449487809</v>
      </c>
      <c r="BH23" s="27">
        <f>股权价值增加表!BH17</f>
        <v>5479432.2878722055</v>
      </c>
      <c r="BI23" s="27">
        <f>股权价值增加表!BI17</f>
        <v>39435385.878439933</v>
      </c>
      <c r="BJ23" s="27">
        <f>股权价值增加表!BJ17</f>
        <v>24649979.993008777</v>
      </c>
      <c r="BK23" s="27">
        <f>股权价值增加表!BK17</f>
        <v>14643759.903954485</v>
      </c>
      <c r="BL23" s="27">
        <f>股权价值增加表!BL17</f>
        <v>4064799.5894403835</v>
      </c>
      <c r="BM23" s="27">
        <f>股权价值增加表!BM17</f>
        <v>31881120.731452759</v>
      </c>
      <c r="BN23" s="27">
        <f>股权价值增加表!BN17</f>
        <v>20375318.973815031</v>
      </c>
      <c r="BO23" s="27">
        <f>股权价值增加表!BO17</f>
        <v>17037102.238971442</v>
      </c>
      <c r="BP23" s="27">
        <f>股权价值增加表!BP17</f>
        <v>3369653.6012328481</v>
      </c>
      <c r="BQ23" s="27">
        <f>股权价值增加表!BQ17</f>
        <v>26525265.134702481</v>
      </c>
      <c r="BR23" s="27">
        <f>股权价值增加表!BR17</f>
        <v>15068106.271845488</v>
      </c>
      <c r="BS23" s="27">
        <f>股权价值增加表!BS17</f>
        <v>38991151.09139628</v>
      </c>
      <c r="BT23" s="27">
        <f>股权价值增加表!BT17</f>
        <v>20896556.282405883</v>
      </c>
      <c r="BU23" s="27">
        <f>股权价值增加表!BU17</f>
        <v>16741550.270213006</v>
      </c>
      <c r="BV23" s="27">
        <f>股权价值增加表!BV17</f>
        <v>5100601.4110923512</v>
      </c>
      <c r="BW23" s="27">
        <f>股权价值增加表!BW17</f>
        <v>18238083.384639956</v>
      </c>
      <c r="BX23" s="27">
        <f>股权价值增加表!BX17</f>
        <v>8081049.1599399867</v>
      </c>
      <c r="BY23" s="27">
        <f>股权价值增加表!BY17</f>
        <v>13930132.923733572</v>
      </c>
      <c r="BZ23" s="27">
        <f>股权价值增加表!BZ17</f>
        <v>5863881.3979733437</v>
      </c>
      <c r="CA23" s="27">
        <f>股权价值增加表!CA17</f>
        <v>16557277.133322256</v>
      </c>
      <c r="CB23" s="27">
        <f>股权价值增加表!CB17</f>
        <v>23742451.016109787</v>
      </c>
      <c r="CC23" s="27">
        <f>股权价值增加表!CC17</f>
        <v>19970966.600089986</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0.12489514725225875</v>
      </c>
      <c r="F24" s="57">
        <f t="shared" ref="F24:BQ24" si="25">F23/F2</f>
        <v>6.1613525645982777E-2</v>
      </c>
      <c r="G24" s="57">
        <f t="shared" si="25"/>
        <v>0.12314288207673062</v>
      </c>
      <c r="H24" s="57">
        <f t="shared" si="25"/>
        <v>0.14992975741803333</v>
      </c>
      <c r="I24" s="57">
        <f t="shared" si="25"/>
        <v>0.15912204281936432</v>
      </c>
      <c r="J24" s="57">
        <f t="shared" si="25"/>
        <v>0.11075152845276358</v>
      </c>
      <c r="K24" s="57">
        <f t="shared" si="25"/>
        <v>0.12693182567216701</v>
      </c>
      <c r="L24" s="57">
        <f t="shared" si="25"/>
        <v>0.14912266499730586</v>
      </c>
      <c r="M24" s="57">
        <f t="shared" si="25"/>
        <v>-0.15755180470698665</v>
      </c>
      <c r="N24" s="57">
        <f t="shared" si="25"/>
        <v>3.785132619211231E-2</v>
      </c>
      <c r="O24" s="57">
        <f t="shared" si="25"/>
        <v>-0.17653521285070231</v>
      </c>
      <c r="P24" s="57">
        <f t="shared" si="25"/>
        <v>-8.1729458662334498E-2</v>
      </c>
      <c r="Q24" s="57">
        <f t="shared" si="25"/>
        <v>7.866736560466879E-2</v>
      </c>
      <c r="R24" s="57">
        <f t="shared" si="25"/>
        <v>2.7707774904074375E-2</v>
      </c>
      <c r="S24" s="57">
        <f t="shared" si="25"/>
        <v>5.5206024712888033E-2</v>
      </c>
      <c r="T24" s="57">
        <f t="shared" si="25"/>
        <v>6.1182769823996105E-2</v>
      </c>
      <c r="U24" s="57">
        <f t="shared" si="25"/>
        <v>0.16007962692592229</v>
      </c>
      <c r="V24" s="57">
        <f t="shared" si="25"/>
        <v>-3.9360004553622074E-3</v>
      </c>
      <c r="W24" s="57">
        <f t="shared" si="25"/>
        <v>4.3984231426145028E-2</v>
      </c>
      <c r="X24" s="57">
        <f t="shared" si="25"/>
        <v>1.1985380864303917E-2</v>
      </c>
      <c r="Y24" s="57">
        <f t="shared" si="25"/>
        <v>0.1708605516828115</v>
      </c>
      <c r="Z24" s="57">
        <f t="shared" si="25"/>
        <v>8.0825351904107376E-2</v>
      </c>
      <c r="AA24" s="57">
        <f t="shared" si="25"/>
        <v>-0.23224327777759507</v>
      </c>
      <c r="AB24" s="57">
        <f t="shared" si="25"/>
        <v>-0.49330263129035323</v>
      </c>
      <c r="AC24" s="57">
        <f t="shared" si="25"/>
        <v>0.19059737168970531</v>
      </c>
      <c r="AD24" s="57">
        <f t="shared" si="25"/>
        <v>1.8625026172664587</v>
      </c>
      <c r="AE24" s="57">
        <f t="shared" si="25"/>
        <v>6.9995000705192369</v>
      </c>
      <c r="AF24" s="57">
        <f t="shared" si="25"/>
        <v>10.794870957156123</v>
      </c>
      <c r="AG24" s="57">
        <f t="shared" si="25"/>
        <v>16.204042436766084</v>
      </c>
      <c r="AH24" s="57">
        <f t="shared" si="25"/>
        <v>11.748699928636972</v>
      </c>
      <c r="AI24" s="57">
        <f t="shared" si="25"/>
        <v>16.685210819489139</v>
      </c>
      <c r="AJ24" s="57">
        <f t="shared" si="25"/>
        <v>139.60198311851721</v>
      </c>
      <c r="AK24" s="57">
        <f t="shared" si="25"/>
        <v>17.710691910962279</v>
      </c>
      <c r="AL24" s="57">
        <f t="shared" si="25"/>
        <v>1.3821045631800899</v>
      </c>
      <c r="AM24" s="57">
        <f t="shared" si="25"/>
        <v>6.2004856149819414</v>
      </c>
      <c r="AN24" s="57">
        <f t="shared" si="25"/>
        <v>46.75618141392782</v>
      </c>
      <c r="AO24" s="57">
        <f t="shared" si="25"/>
        <v>0.87785462585087293</v>
      </c>
      <c r="AP24" s="57">
        <f t="shared" si="25"/>
        <v>0.32402447253468936</v>
      </c>
      <c r="AQ24" s="57">
        <f t="shared" si="25"/>
        <v>2.0823062959504113</v>
      </c>
      <c r="AR24" s="57">
        <f t="shared" si="25"/>
        <v>1.7305830267548072</v>
      </c>
      <c r="AS24" s="57">
        <f t="shared" si="25"/>
        <v>0.19841247308054263</v>
      </c>
      <c r="AT24" s="57">
        <f t="shared" si="25"/>
        <v>-4.3747479211994386E-2</v>
      </c>
      <c r="AU24" s="57">
        <f t="shared" si="25"/>
        <v>-2.3230703454200276E-2</v>
      </c>
      <c r="AV24" s="57">
        <f t="shared" si="25"/>
        <v>-5.1384904301876484E-2</v>
      </c>
      <c r="AW24" s="57">
        <f t="shared" si="25"/>
        <v>-3.0183645970380004</v>
      </c>
      <c r="AX24" s="57">
        <f t="shared" si="25"/>
        <v>-0.19046019635199615</v>
      </c>
      <c r="AY24" s="57">
        <f t="shared" si="25"/>
        <v>-0.32599160300353042</v>
      </c>
      <c r="AZ24" s="57">
        <f t="shared" si="25"/>
        <v>-0.13379715252526894</v>
      </c>
      <c r="BA24" s="57">
        <f t="shared" si="25"/>
        <v>-1.730777463872222</v>
      </c>
      <c r="BB24" s="57">
        <f t="shared" si="25"/>
        <v>-0.18129467616278436</v>
      </c>
      <c r="BC24" s="57">
        <f t="shared" si="25"/>
        <v>-0.18995805989564693</v>
      </c>
      <c r="BD24" s="57">
        <f t="shared" si="25"/>
        <v>-6.6045163531693402E-2</v>
      </c>
      <c r="BE24" s="57">
        <f t="shared" si="25"/>
        <v>-0.1913215150742002</v>
      </c>
      <c r="BF24" s="57">
        <f t="shared" si="25"/>
        <v>3.7776312751390144E-2</v>
      </c>
      <c r="BG24" s="57">
        <f t="shared" si="25"/>
        <v>3.0861216674826913E-2</v>
      </c>
      <c r="BH24" s="57">
        <f t="shared" si="25"/>
        <v>3.2232935382275153E-2</v>
      </c>
      <c r="BI24" s="57">
        <f t="shared" si="25"/>
        <v>4.5502043192902505E-2</v>
      </c>
      <c r="BJ24" s="57">
        <f t="shared" si="25"/>
        <v>4.375888501927358E-2</v>
      </c>
      <c r="BK24" s="57">
        <f t="shared" si="25"/>
        <v>4.6810795105224852E-2</v>
      </c>
      <c r="BL24" s="57">
        <f t="shared" si="25"/>
        <v>3.1310029934234006E-2</v>
      </c>
      <c r="BM24" s="57">
        <f t="shared" si="25"/>
        <v>3.2004522705951992E-2</v>
      </c>
      <c r="BN24" s="57">
        <f t="shared" si="25"/>
        <v>3.0307441495363279E-2</v>
      </c>
      <c r="BO24" s="57">
        <f t="shared" si="25"/>
        <v>4.0104008172574881E-2</v>
      </c>
      <c r="BP24" s="57">
        <f t="shared" si="25"/>
        <v>1.6237981519278615E-2</v>
      </c>
      <c r="BQ24" s="57">
        <f t="shared" si="25"/>
        <v>3.481800811780543E-2</v>
      </c>
      <c r="BR24" s="57">
        <f t="shared" ref="BR24:CJ24" si="26">BR23/BR2</f>
        <v>6.5584739553433385E-2</v>
      </c>
      <c r="BS24" s="57">
        <f t="shared" si="26"/>
        <v>0.19637947131498609</v>
      </c>
      <c r="BT24" s="57">
        <f t="shared" si="26"/>
        <v>0.20137178234728806</v>
      </c>
      <c r="BU24" s="57">
        <f t="shared" si="26"/>
        <v>0.16499333361043411</v>
      </c>
      <c r="BV24" s="57">
        <f t="shared" si="26"/>
        <v>0.12847805208835189</v>
      </c>
      <c r="BW24" s="57">
        <f t="shared" si="26"/>
        <v>0.25335384685108636</v>
      </c>
      <c r="BX24" s="57">
        <f t="shared" si="26"/>
        <v>0.26653768409963019</v>
      </c>
      <c r="BY24" s="57">
        <f t="shared" si="26"/>
        <v>0.22495309227737326</v>
      </c>
      <c r="BZ24" s="57">
        <f t="shared" si="26"/>
        <v>0.18855548785688575</v>
      </c>
      <c r="CA24" s="57">
        <f t="shared" si="26"/>
        <v>0.23290993541740745</v>
      </c>
      <c r="CB24" s="57">
        <f t="shared" si="26"/>
        <v>0.26614967166790438</v>
      </c>
      <c r="CC24" s="57">
        <f t="shared" si="26"/>
        <v>0.27744702716334368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671</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601</v>
      </c>
      <c r="B26" s="152"/>
      <c r="C26" s="152"/>
      <c r="D26" s="152"/>
      <c r="E26" s="153">
        <f>POWER(E2/Y2,1/6)-1</f>
        <v>4.6215278998303688E-2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36707</v>
      </c>
      <c r="BU27" s="1">
        <v>36525</v>
      </c>
      <c r="BV27" s="1">
        <v>36341</v>
      </c>
      <c r="BW27" s="1">
        <v>36160</v>
      </c>
      <c r="BX27" s="1">
        <v>35976</v>
      </c>
      <c r="BY27" s="1">
        <v>35795</v>
      </c>
      <c r="BZ27" s="1">
        <v>35611</v>
      </c>
      <c r="CA27" s="1">
        <v>35430</v>
      </c>
      <c r="CB27" s="1">
        <v>35064</v>
      </c>
      <c r="CC27" s="1">
        <v>34699</v>
      </c>
      <c r="CD27" s="1">
        <v>25569</v>
      </c>
      <c r="CE27" s="1"/>
      <c r="CF27" s="1"/>
      <c r="CG27" s="1"/>
      <c r="CH27" s="1"/>
      <c r="CI27" s="1"/>
      <c r="CJ27" s="1"/>
      <c r="CK27" s="1"/>
    </row>
    <row r="28" spans="1:89" s="26" customFormat="1" x14ac:dyDescent="0.25">
      <c r="A28" s="17" t="s">
        <v>374</v>
      </c>
      <c r="E28" s="26">
        <f>股权价值增加表!E15</f>
        <v>542642550.0999999</v>
      </c>
      <c r="F28" s="26">
        <f>股权价值增加表!F15</f>
        <v>186892646.99999991</v>
      </c>
      <c r="G28" s="26">
        <f>股权价值增加表!G15</f>
        <v>197735261.19999999</v>
      </c>
      <c r="H28" s="26">
        <f>股权价值增加表!H15</f>
        <v>149945282.99999997</v>
      </c>
      <c r="I28" s="26">
        <f>股权价值增加表!I15</f>
        <v>1465222384.4599998</v>
      </c>
      <c r="J28" s="26">
        <f>股权价值增加表!J15</f>
        <v>726132108.49000025</v>
      </c>
      <c r="K28" s="26">
        <f>股权价值增加表!K15</f>
        <v>722989007.21999967</v>
      </c>
      <c r="L28" s="26">
        <f>股权价值增加表!L15</f>
        <v>597310227.02000034</v>
      </c>
      <c r="M28" s="26">
        <f>股权价值增加表!M15</f>
        <v>-105970271.87000002</v>
      </c>
      <c r="N28" s="26">
        <f>股权价值增加表!N15</f>
        <v>-46480521.749999955</v>
      </c>
      <c r="O28" s="26">
        <f>股权价值增加表!O15</f>
        <v>-40863048.079999961</v>
      </c>
      <c r="P28" s="26">
        <f>股权价值增加表!P15</f>
        <v>-10647293.779999992</v>
      </c>
      <c r="Q28" s="26">
        <f>股权价值增加表!Q15</f>
        <v>152489293.94000003</v>
      </c>
      <c r="R28" s="26">
        <f>股权价值增加表!R15</f>
        <v>114379953.57999997</v>
      </c>
      <c r="S28" s="26">
        <f>股权价值增加表!S15</f>
        <v>85925073.609999955</v>
      </c>
      <c r="T28" s="26">
        <f>股权价值增加表!T15</f>
        <v>57317723.639999986</v>
      </c>
      <c r="U28" s="26">
        <f>股权价值增加表!U15</f>
        <v>630642373.23000026</v>
      </c>
      <c r="V28" s="26">
        <f>股权价值增加表!V15</f>
        <v>-2102721.0100000268</v>
      </c>
      <c r="W28" s="26">
        <f>股权价值增加表!W15</f>
        <v>15033347.379999992</v>
      </c>
      <c r="X28" s="26">
        <f>股权价值增加表!X15</f>
        <v>32563344.780000012</v>
      </c>
      <c r="Y28" s="26">
        <f>股权价值增加表!Y15</f>
        <v>370498475.89999998</v>
      </c>
      <c r="Z28" s="26">
        <f>股权价值增加表!Z15</f>
        <v>34849562.35999997</v>
      </c>
      <c r="AA28" s="26">
        <f>股权价值增加表!AA15</f>
        <v>-20638874.000000011</v>
      </c>
      <c r="AB28" s="26">
        <f>股权价值增加表!AB15</f>
        <v>-19085189.32</v>
      </c>
      <c r="AC28" s="26">
        <f>股权价值增加表!AC15</f>
        <v>221388081.43000004</v>
      </c>
      <c r="AD28" s="26">
        <f>股权价值增加表!AD15</f>
        <v>4326957.1499999985</v>
      </c>
      <c r="AE28" s="26">
        <f>股权价值增加表!AE15</f>
        <v>5029986.6599999983</v>
      </c>
      <c r="AF28" s="26">
        <f>股权价值增加表!AF15</f>
        <v>4909926.8</v>
      </c>
      <c r="AG28" s="26">
        <f>股权价值增加表!AG15</f>
        <v>31954454.649999999</v>
      </c>
      <c r="AH28" s="26">
        <f>股权价值增加表!AH15</f>
        <v>26399867.77</v>
      </c>
      <c r="AI28" s="26">
        <f>股权价值增加表!AI15</f>
        <v>27436019.57</v>
      </c>
      <c r="AJ28" s="26">
        <f>股权价值增加表!AJ15</f>
        <v>16511611.620000001</v>
      </c>
      <c r="AK28" s="26">
        <f>股权价值增加表!AK15</f>
        <v>41081429.969999999</v>
      </c>
      <c r="AL28" s="26">
        <f>股权价值增加表!AL15</f>
        <v>1464432.9800000004</v>
      </c>
      <c r="AM28" s="26">
        <f>股权价值增加表!AM15</f>
        <v>4427822.2100000018</v>
      </c>
      <c r="AN28" s="26">
        <f>股权价值增加表!AN15</f>
        <v>14848272.629999999</v>
      </c>
      <c r="AO28" s="26">
        <f>股权价值增加表!AO15</f>
        <v>38448417.369999997</v>
      </c>
      <c r="AP28" s="26">
        <f>股权价值增加表!AP15</f>
        <v>12807035.539999992</v>
      </c>
      <c r="AQ28" s="26">
        <f>股权价值增加表!AQ15</f>
        <v>80021825.879999995</v>
      </c>
      <c r="AR28" s="26">
        <f>股权价值增加表!AR15</f>
        <v>34580065.350000001</v>
      </c>
      <c r="AS28" s="26">
        <f>股权价值增加表!AS15</f>
        <v>57918293.609999977</v>
      </c>
      <c r="AT28" s="26">
        <f>股权价值增加表!AT15</f>
        <v>-9232751.9500000067</v>
      </c>
      <c r="AU28" s="26">
        <f>股权价值增加表!AU15</f>
        <v>-3498333.6499999845</v>
      </c>
      <c r="AV28" s="26">
        <f>股权价值增加表!AV15</f>
        <v>-3236389.0800000033</v>
      </c>
      <c r="AW28" s="26">
        <f>股权价值增加表!AW15</f>
        <v>-694387542.68000007</v>
      </c>
      <c r="AX28" s="26">
        <f>股权价值增加表!AX15</f>
        <v>-24002827.379999992</v>
      </c>
      <c r="AY28" s="26">
        <f>股权价值增加表!AY15</f>
        <v>-23082672.839999992</v>
      </c>
      <c r="AZ28" s="26">
        <f>股权价值增加表!AZ15</f>
        <v>-5359883.0399999935</v>
      </c>
      <c r="BA28" s="26">
        <f>股权价值增加表!BA15</f>
        <v>-383246547.33000004</v>
      </c>
      <c r="BB28" s="26">
        <f>股权价值增加表!BB15</f>
        <v>-36346052.399999991</v>
      </c>
      <c r="BC28" s="26">
        <f>股权价值增加表!BC15</f>
        <v>-32988180.539999992</v>
      </c>
      <c r="BD28" s="26">
        <f>股权价值增加表!BD15</f>
        <v>-6656538.4899999984</v>
      </c>
      <c r="BE28" s="26">
        <f>股权价值增加表!BE15</f>
        <v>-153339230.11000007</v>
      </c>
      <c r="BF28" s="26">
        <f>股权价值增加表!BF15</f>
        <v>12170339.389999993</v>
      </c>
      <c r="BG28" s="26">
        <f>股权价值增加表!BG15</f>
        <v>14691131.740000008</v>
      </c>
      <c r="BH28" s="26">
        <f>股权价值增加表!BH15</f>
        <v>6843004.6700000167</v>
      </c>
      <c r="BI28" s="26">
        <f>股权价值增加表!BI15</f>
        <v>51672063.229999945</v>
      </c>
      <c r="BJ28" s="26">
        <f>股权价值增加表!BJ15</f>
        <v>32583212.189999968</v>
      </c>
      <c r="BK28" s="26">
        <f>股权价值增加表!BK15</f>
        <v>17964863.679999977</v>
      </c>
      <c r="BL28" s="26">
        <f>股权价值增加表!BL15</f>
        <v>6375368.9600000009</v>
      </c>
      <c r="BM28" s="26">
        <f>股权价值增加表!BM15</f>
        <v>40357752.690000057</v>
      </c>
      <c r="BN28" s="26">
        <f>股权价值增加表!BN15</f>
        <v>24038342.300000012</v>
      </c>
      <c r="BO28" s="26">
        <f>股权价值增加表!BO15</f>
        <v>19550602.749999974</v>
      </c>
      <c r="BP28" s="26">
        <f>股权价值增加表!BP15</f>
        <v>4133836.6900000004</v>
      </c>
      <c r="BQ28" s="26">
        <f>股权价值增加表!BQ15</f>
        <v>32304701.880000081</v>
      </c>
      <c r="BR28" s="26">
        <f>股权价值增加表!BR15</f>
        <v>17987846.669999987</v>
      </c>
      <c r="BS28" s="26">
        <f>股权价值增加表!BS15</f>
        <v>44457740.18</v>
      </c>
      <c r="BT28" s="26">
        <f>股权价值增加表!BT15</f>
        <v>21891963.91</v>
      </c>
      <c r="BU28" s="26">
        <f>股权价值增加表!BU15</f>
        <v>17734666.389999993</v>
      </c>
      <c r="BV28" s="26">
        <f>股权价值增加表!BV15</f>
        <v>5689418.3600000031</v>
      </c>
      <c r="BW28" s="26">
        <f>股权价值增加表!BW15</f>
        <v>18945945.469999999</v>
      </c>
      <c r="BX28" s="26">
        <f>股权价值增加表!BX15</f>
        <v>8492595.1500000004</v>
      </c>
      <c r="BY28" s="26">
        <f>股权价值增加表!BY15</f>
        <v>16147150.01</v>
      </c>
      <c r="BZ28" s="26">
        <f>股权价值增加表!BZ15</f>
        <v>6929997.9500000011</v>
      </c>
      <c r="CA28" s="26">
        <f>股权价值增加表!CA15</f>
        <v>17241663.68</v>
      </c>
      <c r="CB28" s="26">
        <f>股权价值增加表!CB15</f>
        <v>24348886.740000002</v>
      </c>
      <c r="CC28" s="26">
        <f>股权价值增加表!CC15</f>
        <v>20552580.400000002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1.0234566408003736</v>
      </c>
      <c r="F29" s="59">
        <f t="shared" si="27"/>
        <v>0.95945584179344645</v>
      </c>
      <c r="G29" s="59">
        <f t="shared" si="27"/>
        <v>1.0103040347547196</v>
      </c>
      <c r="H29" s="59">
        <f t="shared" si="27"/>
        <v>0.99584600933703904</v>
      </c>
      <c r="I29" s="59">
        <f t="shared" si="27"/>
        <v>0.992912591346229</v>
      </c>
      <c r="J29" s="59">
        <f t="shared" si="27"/>
        <v>0.9937763607428135</v>
      </c>
      <c r="K29" s="59">
        <f t="shared" si="27"/>
        <v>1.0011526299529601</v>
      </c>
      <c r="L29" s="59">
        <f t="shared" si="27"/>
        <v>0.99957932036428465</v>
      </c>
      <c r="M29" s="59">
        <f t="shared" si="27"/>
        <v>-0.32548599751996371</v>
      </c>
      <c r="N29" s="59">
        <f t="shared" si="27"/>
        <v>-0.24459577983334926</v>
      </c>
      <c r="O29" s="59">
        <f t="shared" si="27"/>
        <v>-0.20890414026861545</v>
      </c>
      <c r="P29" s="59">
        <f t="shared" si="27"/>
        <v>0.99021160013892817</v>
      </c>
      <c r="Q29" s="59">
        <f t="shared" si="27"/>
        <v>0.51634448833437541</v>
      </c>
      <c r="R29" s="59">
        <f t="shared" si="27"/>
        <v>0.84003335925849087</v>
      </c>
      <c r="S29" s="59">
        <f t="shared" si="27"/>
        <v>0.79454122197236243</v>
      </c>
      <c r="T29" s="59">
        <f t="shared" si="27"/>
        <v>1.0005494376201638</v>
      </c>
      <c r="U29" s="59">
        <f t="shared" si="27"/>
        <v>0.84828394250555361</v>
      </c>
      <c r="V29" s="59">
        <f t="shared" si="27"/>
        <v>-1.8600462031638974E-2</v>
      </c>
      <c r="W29" s="59">
        <f t="shared" si="27"/>
        <v>0.12187214925661444</v>
      </c>
      <c r="X29" s="59">
        <f t="shared" si="27"/>
        <v>1.0104944501678796</v>
      </c>
      <c r="Y29" s="59">
        <f t="shared" si="27"/>
        <v>0.74740416143513766</v>
      </c>
      <c r="Z29" s="59">
        <f t="shared" si="27"/>
        <v>0.21568515454934584</v>
      </c>
      <c r="AA29" s="59">
        <f t="shared" si="27"/>
        <v>-0.20669394411252154</v>
      </c>
      <c r="AB29" s="59">
        <f t="shared" si="27"/>
        <v>0.98027885371025114</v>
      </c>
      <c r="AC29" s="59">
        <f t="shared" si="27"/>
        <v>0.73395026108047412</v>
      </c>
      <c r="AD29" s="59">
        <f t="shared" si="27"/>
        <v>1</v>
      </c>
      <c r="AE29" s="59">
        <f t="shared" si="27"/>
        <v>1</v>
      </c>
      <c r="AF29" s="59">
        <f t="shared" si="27"/>
        <v>1</v>
      </c>
      <c r="AG29" s="59">
        <f t="shared" si="27"/>
        <v>1.0001391861951556</v>
      </c>
      <c r="AH29" s="59">
        <f t="shared" si="27"/>
        <v>1</v>
      </c>
      <c r="AI29" s="59">
        <f t="shared" si="27"/>
        <v>1</v>
      </c>
      <c r="AJ29" s="59">
        <f t="shared" si="27"/>
        <v>1</v>
      </c>
      <c r="AK29" s="59">
        <f t="shared" ref="AK29:BP29" si="28">AK28/AK34</f>
        <v>1.0304379457000992</v>
      </c>
      <c r="AL29" s="59">
        <f t="shared" si="28"/>
        <v>1.0121599739349103</v>
      </c>
      <c r="AM29" s="59">
        <f t="shared" si="28"/>
        <v>1.0000439129054339</v>
      </c>
      <c r="AN29" s="59">
        <f t="shared" si="28"/>
        <v>1</v>
      </c>
      <c r="AO29" s="59">
        <f t="shared" si="28"/>
        <v>0.99838642790565313</v>
      </c>
      <c r="AP29" s="59">
        <f t="shared" si="28"/>
        <v>1.0143058690346691</v>
      </c>
      <c r="AQ29" s="59">
        <f t="shared" si="28"/>
        <v>1.0021723407040273</v>
      </c>
      <c r="AR29" s="59">
        <f t="shared" si="28"/>
        <v>1</v>
      </c>
      <c r="AS29" s="59">
        <f t="shared" si="28"/>
        <v>1.0281745781877392</v>
      </c>
      <c r="AT29" s="59">
        <f t="shared" si="28"/>
        <v>0.99691710139281353</v>
      </c>
      <c r="AU29" s="59">
        <f t="shared" si="28"/>
        <v>0.99190456805639637</v>
      </c>
      <c r="AV29" s="59">
        <f t="shared" si="28"/>
        <v>0.99908779370988876</v>
      </c>
      <c r="AW29" s="59">
        <f t="shared" si="28"/>
        <v>0.98351389509397247</v>
      </c>
      <c r="AX29" s="59">
        <f t="shared" si="28"/>
        <v>1.0010744780682503</v>
      </c>
      <c r="AY29" s="59">
        <f t="shared" si="28"/>
        <v>1.000181097610281</v>
      </c>
      <c r="AZ29" s="59">
        <f t="shared" si="28"/>
        <v>0.98819310793608262</v>
      </c>
      <c r="BA29" s="59">
        <f t="shared" si="28"/>
        <v>0.99762622695266345</v>
      </c>
      <c r="BB29" s="59">
        <f t="shared" si="28"/>
        <v>0.9761577747232415</v>
      </c>
      <c r="BC29" s="59">
        <f t="shared" si="28"/>
        <v>0.97405651261945347</v>
      </c>
      <c r="BD29" s="59">
        <f t="shared" si="28"/>
        <v>0.949399093751782</v>
      </c>
      <c r="BE29" s="59">
        <f t="shared" si="28"/>
        <v>1.0037178032866194</v>
      </c>
      <c r="BF29" s="59">
        <f t="shared" si="28"/>
        <v>0.90344851513498847</v>
      </c>
      <c r="BG29" s="59">
        <f t="shared" si="28"/>
        <v>0.91385927728419014</v>
      </c>
      <c r="BH29" s="59">
        <f t="shared" si="28"/>
        <v>0.99963522177226061</v>
      </c>
      <c r="BI29" s="59">
        <f t="shared" si="28"/>
        <v>0.96449390201053897</v>
      </c>
      <c r="BJ29" s="59">
        <f t="shared" si="28"/>
        <v>1.0065081916273189</v>
      </c>
      <c r="BK29" s="59">
        <f t="shared" si="28"/>
        <v>1.0149434939579822</v>
      </c>
      <c r="BL29" s="59">
        <f t="shared" si="28"/>
        <v>1</v>
      </c>
      <c r="BM29" s="59">
        <f t="shared" si="28"/>
        <v>1.0025903403532281</v>
      </c>
      <c r="BN29" s="59">
        <f t="shared" si="28"/>
        <v>1.0020691031662052</v>
      </c>
      <c r="BO29" s="59">
        <f t="shared" si="28"/>
        <v>1.0025452639538865</v>
      </c>
      <c r="BP29" s="59">
        <f t="shared" si="28"/>
        <v>1</v>
      </c>
      <c r="BQ29" s="59">
        <f t="shared" ref="BQ29:CK29" si="29">BQ28/BQ34</f>
        <v>0.72759533331168447</v>
      </c>
      <c r="BR29" s="59">
        <f t="shared" si="29"/>
        <v>0.78594336532180531</v>
      </c>
      <c r="BS29" s="59">
        <f t="shared" si="29"/>
        <v>0.95174884018333583</v>
      </c>
      <c r="BT29" s="59">
        <f t="shared" si="29"/>
        <v>0.98463155285842885</v>
      </c>
      <c r="BU29" s="59">
        <f t="shared" si="29"/>
        <v>0.73771647740518531</v>
      </c>
      <c r="BV29" s="59">
        <f t="shared" si="29"/>
        <v>0.55501348509456672</v>
      </c>
      <c r="BW29" s="59">
        <f t="shared" si="29"/>
        <v>0.83243151579587393</v>
      </c>
      <c r="BX29" s="59">
        <f t="shared" si="29"/>
        <v>0.9375122100144947</v>
      </c>
      <c r="BY29" s="59">
        <f t="shared" si="29"/>
        <v>0.84805934509016212</v>
      </c>
      <c r="BZ29" s="59">
        <f t="shared" si="29"/>
        <v>0.99801994512487235</v>
      </c>
      <c r="CA29" s="59">
        <f t="shared" si="29"/>
        <v>0.99932187136276718</v>
      </c>
      <c r="CB29" s="59">
        <f t="shared" si="29"/>
        <v>0.99976185281864149</v>
      </c>
      <c r="CC29" s="59">
        <f t="shared" si="29"/>
        <v>0.99902231569671907</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-23633714.579999998</v>
      </c>
      <c r="F30" s="26">
        <f>股权价值增加表!F20</f>
        <v>-3101039.81</v>
      </c>
      <c r="G30" s="26">
        <f>股权价值增加表!G20</f>
        <v>-6098553.3399999999</v>
      </c>
      <c r="H30" s="26">
        <f>股权价值增加表!H20</f>
        <v>-273117.88</v>
      </c>
      <c r="I30" s="26">
        <f>股权价值增加表!I20</f>
        <v>-3195150.28</v>
      </c>
      <c r="J30" s="26">
        <f>股权价值增加表!J20</f>
        <v>277466.98</v>
      </c>
      <c r="K30" s="26">
        <f>股权价值增加表!K20</f>
        <v>-290180.08</v>
      </c>
      <c r="L30" s="26">
        <f>股权价值增加表!L20</f>
        <v>-91253.62</v>
      </c>
      <c r="M30" s="26">
        <f>股权价值增加表!M20</f>
        <v>-2683014.21</v>
      </c>
      <c r="N30" s="26">
        <f>股权价值增加表!N20</f>
        <v>-572371.41</v>
      </c>
      <c r="O30" s="26">
        <f>股权价值增加表!O20</f>
        <v>-570026.65</v>
      </c>
      <c r="P30" s="26">
        <f>股权价值增加表!P20</f>
        <v>-105154.14</v>
      </c>
      <c r="Q30" s="26">
        <f>股权价值增加表!Q20</f>
        <v>3103152.35</v>
      </c>
      <c r="R30" s="26">
        <f>股权价值增加表!R20</f>
        <v>1780929.72</v>
      </c>
      <c r="S30" s="26">
        <f>股权价值增加表!S20</f>
        <v>2223522.83</v>
      </c>
      <c r="T30" s="26">
        <f>股权价值增加表!T20</f>
        <v>-25419.65</v>
      </c>
      <c r="U30" s="26">
        <f>股权价值增加表!U20</f>
        <v>1097839.6499999999</v>
      </c>
      <c r="V30" s="26">
        <f>股权价值增加表!V20</f>
        <v>6194869.6900000004</v>
      </c>
      <c r="W30" s="26">
        <f>股权价值增加表!W20</f>
        <v>-626489.31000000006</v>
      </c>
      <c r="X30" s="26">
        <f>股权价值增加表!X20</f>
        <v>-326795.33</v>
      </c>
      <c r="Y30" s="26">
        <f>股权价值增加表!Y20</f>
        <v>23437628.18</v>
      </c>
      <c r="Z30" s="26">
        <f>股权价值增加表!Z20</f>
        <v>20512804.079999998</v>
      </c>
      <c r="AA30" s="26">
        <f>股权价值增加表!AA20</f>
        <v>20512804.079999998</v>
      </c>
      <c r="AB30" s="26">
        <f>股权价值增加表!AB20</f>
        <v>-381233.82</v>
      </c>
      <c r="AC30" s="26">
        <f>股权价值增加表!AC20</f>
        <v>271412.40000000002</v>
      </c>
      <c r="AD30" s="26">
        <f>股权价值增加表!AD20</f>
        <v>0</v>
      </c>
      <c r="AE30" s="26">
        <f>股权价值增加表!AE20</f>
        <v>0</v>
      </c>
      <c r="AF30" s="26">
        <f>股权价值增加表!AF20</f>
        <v>0</v>
      </c>
      <c r="AG30" s="26">
        <f>股权价值增加表!AG20</f>
        <v>-4447</v>
      </c>
      <c r="AH30" s="26">
        <f>股权价值增加表!AH20</f>
        <v>0</v>
      </c>
      <c r="AI30" s="26">
        <f>股权价值增加表!AI20</f>
        <v>0</v>
      </c>
      <c r="AJ30" s="26">
        <f>股权价值增加表!AJ20</f>
        <v>0</v>
      </c>
      <c r="AK30" s="26">
        <f>股权价值增加表!AK20</f>
        <v>-1213497.95</v>
      </c>
      <c r="AL30" s="26">
        <f>股权价值增加表!AL20</f>
        <v>-17593.53</v>
      </c>
      <c r="AM30" s="26">
        <f>股权价值增加表!AM20</f>
        <v>-194.43</v>
      </c>
      <c r="AN30" s="26">
        <f>股权价值增加表!AN20</f>
        <v>0</v>
      </c>
      <c r="AO30" s="26">
        <f>股权价值增加表!AO20</f>
        <v>62139.56</v>
      </c>
      <c r="AP30" s="26">
        <f>股权价值增加表!AP20</f>
        <v>-173457.86</v>
      </c>
      <c r="AQ30" s="26">
        <f>股权价值增加表!AQ20</f>
        <v>-173457.86</v>
      </c>
      <c r="AR30" s="26">
        <f>股权价值增加表!AR20</f>
        <v>0</v>
      </c>
      <c r="AS30" s="26">
        <f>股权价值增加表!AS20</f>
        <v>-1587107.41</v>
      </c>
      <c r="AT30" s="26">
        <f>股权价值增加表!AT20</f>
        <v>-28551.66</v>
      </c>
      <c r="AU30" s="26">
        <f>股权价值增加表!AU20</f>
        <v>-28551.66</v>
      </c>
      <c r="AV30" s="26">
        <f>股权价值增加表!AV20</f>
        <v>-2954.95</v>
      </c>
      <c r="AW30" s="26">
        <f>股权价值增加表!AW20</f>
        <v>-11639638.17</v>
      </c>
      <c r="AX30" s="26">
        <f>股权价值增加表!AX20</f>
        <v>25762.83</v>
      </c>
      <c r="AY30" s="26">
        <f>股权价值增加表!AY20</f>
        <v>4179.46</v>
      </c>
      <c r="AZ30" s="26">
        <f>股权价值增加表!AZ20</f>
        <v>-3414.68</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-4.4574613858098952E-2</v>
      </c>
      <c r="F31" s="59">
        <f t="shared" ref="F31:BQ31" si="30">F30/F34</f>
        <v>-1.5919892029452293E-2</v>
      </c>
      <c r="G31" s="59">
        <f t="shared" si="30"/>
        <v>-3.1159809374297229E-2</v>
      </c>
      <c r="H31" s="59">
        <f t="shared" si="30"/>
        <v>-1.8138840077856426E-3</v>
      </c>
      <c r="I31" s="59">
        <f t="shared" si="30"/>
        <v>-2.1652037109879665E-3</v>
      </c>
      <c r="J31" s="59">
        <f t="shared" si="30"/>
        <v>3.7973823549010063E-4</v>
      </c>
      <c r="K31" s="59">
        <f t="shared" si="30"/>
        <v>-4.0182429795029942E-4</v>
      </c>
      <c r="L31" s="59">
        <f t="shared" si="30"/>
        <v>-1.527099777203822E-4</v>
      </c>
      <c r="M31" s="59">
        <f t="shared" si="30"/>
        <v>-8.2408352936321223E-3</v>
      </c>
      <c r="N31" s="59">
        <f t="shared" si="30"/>
        <v>-3.0120064515683671E-3</v>
      </c>
      <c r="O31" s="59">
        <f t="shared" si="30"/>
        <v>-2.9141469577922165E-3</v>
      </c>
      <c r="P31" s="59">
        <f t="shared" si="30"/>
        <v>9.7794661612721039E-3</v>
      </c>
      <c r="Q31" s="59">
        <f t="shared" si="30"/>
        <v>1.0507594146345908E-2</v>
      </c>
      <c r="R31" s="59">
        <f t="shared" si="30"/>
        <v>1.3079567952862636E-2</v>
      </c>
      <c r="S31" s="59">
        <f t="shared" si="30"/>
        <v>2.0560710305007401E-2</v>
      </c>
      <c r="T31" s="59">
        <f t="shared" si="30"/>
        <v>-4.4373040129340008E-4</v>
      </c>
      <c r="U31" s="59">
        <f t="shared" si="30"/>
        <v>1.4767161010306421E-3</v>
      </c>
      <c r="V31" s="59">
        <f t="shared" si="30"/>
        <v>5.4799204417420373E-2</v>
      </c>
      <c r="W31" s="59">
        <f t="shared" si="30"/>
        <v>-5.0788155668889659E-3</v>
      </c>
      <c r="X31" s="59">
        <f t="shared" si="30"/>
        <v>-1.0140999628164752E-2</v>
      </c>
      <c r="Y31" s="59">
        <f t="shared" si="30"/>
        <v>4.7280574618691576E-2</v>
      </c>
      <c r="Z31" s="59">
        <f t="shared" si="30"/>
        <v>0.12695445849596762</v>
      </c>
      <c r="AA31" s="59">
        <f t="shared" si="30"/>
        <v>0.20543138061226698</v>
      </c>
      <c r="AB31" s="59">
        <f t="shared" si="30"/>
        <v>1.9581438035490246E-2</v>
      </c>
      <c r="AC31" s="59">
        <f t="shared" si="30"/>
        <v>8.9979189734955766E-4</v>
      </c>
      <c r="AD31" s="59">
        <f t="shared" si="30"/>
        <v>0</v>
      </c>
      <c r="AE31" s="59">
        <f t="shared" si="30"/>
        <v>0</v>
      </c>
      <c r="AF31" s="59">
        <f t="shared" si="30"/>
        <v>0</v>
      </c>
      <c r="AG31" s="59">
        <f t="shared" si="30"/>
        <v>-1.3918619515573106E-4</v>
      </c>
      <c r="AH31" s="59">
        <f t="shared" si="30"/>
        <v>0</v>
      </c>
      <c r="AI31" s="59">
        <f t="shared" si="30"/>
        <v>0</v>
      </c>
      <c r="AJ31" s="59">
        <f t="shared" si="30"/>
        <v>0</v>
      </c>
      <c r="AK31" s="59">
        <f t="shared" si="30"/>
        <v>-3.0437945700099046E-2</v>
      </c>
      <c r="AL31" s="59">
        <f t="shared" si="30"/>
        <v>-1.2159973934910327E-2</v>
      </c>
      <c r="AM31" s="59">
        <f t="shared" si="30"/>
        <v>-4.3912905433979348E-5</v>
      </c>
      <c r="AN31" s="59">
        <f t="shared" si="30"/>
        <v>0</v>
      </c>
      <c r="AO31" s="59">
        <f t="shared" si="30"/>
        <v>1.6135720943467539E-3</v>
      </c>
      <c r="AP31" s="59">
        <f t="shared" si="30"/>
        <v>-1.3737708845945317E-2</v>
      </c>
      <c r="AQ31" s="59">
        <f t="shared" si="30"/>
        <v>-2.1723407040273282E-3</v>
      </c>
      <c r="AR31" s="59">
        <f t="shared" si="30"/>
        <v>0</v>
      </c>
      <c r="AS31" s="59">
        <f t="shared" si="30"/>
        <v>-2.8174578187739288E-2</v>
      </c>
      <c r="AT31" s="59">
        <f t="shared" si="30"/>
        <v>3.0828986071864649E-3</v>
      </c>
      <c r="AU31" s="59">
        <f t="shared" si="30"/>
        <v>8.0954319436035548E-3</v>
      </c>
      <c r="AV31" s="59">
        <f t="shared" si="30"/>
        <v>9.1220629011114836E-4</v>
      </c>
      <c r="AW31" s="59">
        <f t="shared" si="30"/>
        <v>1.648610490602757E-2</v>
      </c>
      <c r="AX31" s="59">
        <f t="shared" si="30"/>
        <v>-1.0744780682504359E-3</v>
      </c>
      <c r="AY31" s="59">
        <f t="shared" si="30"/>
        <v>-1.8109761028083202E-4</v>
      </c>
      <c r="AZ31" s="59">
        <f t="shared" si="30"/>
        <v>6.2955911847792606E-4</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11196869.799999997</v>
      </c>
      <c r="F32" s="26">
        <f>股权价值增加表!F27</f>
        <v>10998646.68</v>
      </c>
      <c r="G32" s="26">
        <f>股权价值增加表!G27</f>
        <v>4081862.3899999997</v>
      </c>
      <c r="H32" s="26">
        <f>股权价值增加表!H27</f>
        <v>898587.38</v>
      </c>
      <c r="I32" s="26">
        <f>股权价值增加表!I27</f>
        <v>13653905.560000001</v>
      </c>
      <c r="J32" s="26">
        <f>股权价值增加表!J27</f>
        <v>4270019.2300000004</v>
      </c>
      <c r="K32" s="26">
        <f>股权价值增加表!K27</f>
        <v>-542199.27999999991</v>
      </c>
      <c r="L32" s="26">
        <f>股权价值增加表!L27</f>
        <v>342635.62</v>
      </c>
      <c r="M32" s="26">
        <f>股权价值增加表!M27</f>
        <v>434228802.93000001</v>
      </c>
      <c r="N32" s="26">
        <f>股权价值增加表!N27</f>
        <v>237082834.72999999</v>
      </c>
      <c r="O32" s="26">
        <f>股权价值增加表!O27</f>
        <v>237039767.96000001</v>
      </c>
      <c r="P32" s="26">
        <f>股权价值增加表!P27</f>
        <v>-96.06</v>
      </c>
      <c r="Q32" s="26">
        <f>股权价值增加表!Q27</f>
        <v>139732278.55000001</v>
      </c>
      <c r="R32" s="26">
        <f>股权价值增加表!R27</f>
        <v>20000320.68</v>
      </c>
      <c r="S32" s="26">
        <f>股权价值增加表!S27</f>
        <v>19995664.969999999</v>
      </c>
      <c r="T32" s="26">
        <f>股权价值增加表!T27</f>
        <v>-6055.57</v>
      </c>
      <c r="U32" s="26">
        <f>股权价值增加表!U27</f>
        <v>111692901.47</v>
      </c>
      <c r="V32" s="26">
        <f>股权价值增加表!V27</f>
        <v>108954559.86</v>
      </c>
      <c r="W32" s="26">
        <f>股权价值增加表!W27</f>
        <v>108946569.86</v>
      </c>
      <c r="X32" s="26">
        <f>股权价值增加表!X27</f>
        <v>-11390</v>
      </c>
      <c r="Y32" s="26">
        <f>股权价值增加表!Y27</f>
        <v>101777587.41</v>
      </c>
      <c r="Z32" s="26">
        <f>股权价值增加表!Z27</f>
        <v>106213716.22</v>
      </c>
      <c r="AA32" s="26">
        <f>股权价值增加表!AA27</f>
        <v>99978410</v>
      </c>
      <c r="AB32" s="26">
        <f>股权价值增加表!AB27</f>
        <v>-2720</v>
      </c>
      <c r="AC32" s="26">
        <f>股权价值增加表!AC27</f>
        <v>79979586.049999997</v>
      </c>
      <c r="AD32" s="26">
        <f>股权价值增加表!AD27</f>
        <v>0</v>
      </c>
      <c r="AE32" s="26">
        <f>股权价值增加表!AE27</f>
        <v>0</v>
      </c>
      <c r="AF32" s="26">
        <f>股权价值增加表!AF27</f>
        <v>0</v>
      </c>
      <c r="AG32" s="26">
        <f>股权价值增加表!AG27</f>
        <v>0</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-7173.820000000007</v>
      </c>
      <c r="AQ32" s="26">
        <f>股权价值增加表!AQ27</f>
        <v>0</v>
      </c>
      <c r="AR32" s="26">
        <f>股权价值增加表!AR27</f>
        <v>0</v>
      </c>
      <c r="AS32" s="26">
        <f>股权价值增加表!AS27</f>
        <v>0</v>
      </c>
      <c r="AT32" s="26">
        <f>股权价值增加表!AT27</f>
        <v>0</v>
      </c>
      <c r="AU32" s="26">
        <f>股权价值增加表!AU27</f>
        <v>0</v>
      </c>
      <c r="AV32" s="26">
        <f>股权价值增加表!AV27</f>
        <v>0</v>
      </c>
      <c r="AW32" s="26">
        <f>股权价值增加表!AW27</f>
        <v>0</v>
      </c>
      <c r="AX32" s="26">
        <f>股权价值增加表!AX27</f>
        <v>0</v>
      </c>
      <c r="AY32" s="26">
        <f>股权价值增加表!AY27</f>
        <v>0</v>
      </c>
      <c r="AZ32" s="26">
        <f>股权价值增加表!AZ27</f>
        <v>-60624.99</v>
      </c>
      <c r="BA32" s="26">
        <f>股权价值增加表!BA27</f>
        <v>-911904.98</v>
      </c>
      <c r="BB32" s="26">
        <f>股权价值增加表!BB27</f>
        <v>-887736.38</v>
      </c>
      <c r="BC32" s="26">
        <f>股权价值增加表!BC27</f>
        <v>-878622.99</v>
      </c>
      <c r="BD32" s="26">
        <f>股权价值增加表!BD27</f>
        <v>-354779.02</v>
      </c>
      <c r="BE32" s="26">
        <f>股权价值增加表!BE27</f>
        <v>567973.48</v>
      </c>
      <c r="BF32" s="26">
        <f>股权价值增加表!BF27</f>
        <v>1300643.3899999999</v>
      </c>
      <c r="BG32" s="26">
        <f>股权价值增加表!BG27</f>
        <v>1384791.66</v>
      </c>
      <c r="BH32" s="26">
        <f>股权价值增加表!BH27</f>
        <v>2497.09</v>
      </c>
      <c r="BI32" s="26">
        <f>股权价值增加表!BI27</f>
        <v>1902213.52</v>
      </c>
      <c r="BJ32" s="26">
        <f>股权价值增加表!BJ27</f>
        <v>-210686.6</v>
      </c>
      <c r="BK32" s="26">
        <f>股权价值增加表!BK27</f>
        <v>-264505.2</v>
      </c>
      <c r="BL32" s="26">
        <f>股权价值增加表!BL27</f>
        <v>0</v>
      </c>
      <c r="BM32" s="26">
        <f>股权价值增加表!BM27</f>
        <v>-104270.22</v>
      </c>
      <c r="BN32" s="26">
        <f>股权价值增加表!BN27</f>
        <v>-49635.11</v>
      </c>
      <c r="BO32" s="26">
        <f>股权价值增加表!BO27</f>
        <v>-49635.11</v>
      </c>
      <c r="BP32" s="26">
        <f>股权价值增加表!BP27</f>
        <v>0</v>
      </c>
      <c r="BQ32" s="26">
        <f>股权价值增加表!BQ27</f>
        <v>12094568.43</v>
      </c>
      <c r="BR32" s="26">
        <f>股权价值增加表!BR27</f>
        <v>4899103.54</v>
      </c>
      <c r="BS32" s="26">
        <f>股权价值增加表!BS27</f>
        <v>2253890.35</v>
      </c>
      <c r="BT32" s="26">
        <f>股权价值增加表!BT27</f>
        <v>341696.84</v>
      </c>
      <c r="BU32" s="26">
        <f>股权价值增加表!BU27</f>
        <v>6305282.4699999997</v>
      </c>
      <c r="BV32" s="26">
        <f>股权价值增加表!BV27</f>
        <v>4561536.82</v>
      </c>
      <c r="BW32" s="26">
        <f>股权价值增加表!BW27</f>
        <v>3813819.28</v>
      </c>
      <c r="BX32" s="26">
        <f>股权价值增加表!BX27</f>
        <v>566055.03</v>
      </c>
      <c r="BY32" s="26">
        <f>股权价值增加表!BY27</f>
        <v>2892968</v>
      </c>
      <c r="BZ32" s="26">
        <f>股权价值增加表!BZ27</f>
        <v>13749</v>
      </c>
      <c r="CA32" s="26">
        <f>股权价值增加表!CA27</f>
        <v>11700</v>
      </c>
      <c r="CB32" s="26">
        <f>股权价值增加表!CB27</f>
        <v>5800</v>
      </c>
      <c r="CC32" s="26">
        <f>股权价值增加表!CC27</f>
        <v>20113.599999999999</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2.1117973057725298E-2</v>
      </c>
      <c r="F33" s="59">
        <f t="shared" ref="F33:BQ33" si="32">F32/F34</f>
        <v>5.6464050236005807E-2</v>
      </c>
      <c r="G33" s="59">
        <f t="shared" si="32"/>
        <v>2.0855774619577779E-2</v>
      </c>
      <c r="H33" s="59">
        <f t="shared" si="32"/>
        <v>5.9678746707465657E-3</v>
      </c>
      <c r="I33" s="59">
        <f t="shared" si="32"/>
        <v>9.2526123647590167E-3</v>
      </c>
      <c r="J33" s="59">
        <f t="shared" si="32"/>
        <v>5.8439010216963412E-3</v>
      </c>
      <c r="K33" s="59">
        <f t="shared" si="32"/>
        <v>-7.5080565500966771E-4</v>
      </c>
      <c r="L33" s="59">
        <f t="shared" si="32"/>
        <v>5.7338961343571184E-4</v>
      </c>
      <c r="M33" s="59">
        <f t="shared" si="32"/>
        <v>1.3337268328135958</v>
      </c>
      <c r="N33" s="59">
        <f t="shared" si="32"/>
        <v>1.2476077862849175</v>
      </c>
      <c r="O33" s="59">
        <f t="shared" si="32"/>
        <v>1.2118182872264076</v>
      </c>
      <c r="P33" s="59">
        <f t="shared" si="32"/>
        <v>8.9336997996636015E-6</v>
      </c>
      <c r="Q33" s="59">
        <f t="shared" si="32"/>
        <v>0.4731479175192787</v>
      </c>
      <c r="R33" s="59">
        <f t="shared" si="32"/>
        <v>0.14688707278864652</v>
      </c>
      <c r="S33" s="59">
        <f t="shared" si="32"/>
        <v>0.18489806772263023</v>
      </c>
      <c r="T33" s="59">
        <f t="shared" si="32"/>
        <v>-1.0570721887045158E-4</v>
      </c>
      <c r="U33" s="59">
        <f t="shared" si="32"/>
        <v>0.15023934139341577</v>
      </c>
      <c r="V33" s="59">
        <f t="shared" si="32"/>
        <v>0.96380125761421853</v>
      </c>
      <c r="W33" s="59">
        <f t="shared" si="32"/>
        <v>0.88320666631027456</v>
      </c>
      <c r="X33" s="59">
        <f t="shared" si="32"/>
        <v>-3.5345053971486232E-4</v>
      </c>
      <c r="Y33" s="59">
        <f t="shared" si="32"/>
        <v>0.20531526394617072</v>
      </c>
      <c r="Z33" s="59">
        <f t="shared" si="32"/>
        <v>0.65736038695468657</v>
      </c>
      <c r="AA33" s="59">
        <f t="shared" si="32"/>
        <v>1.0012625635002546</v>
      </c>
      <c r="AB33" s="59">
        <f t="shared" si="32"/>
        <v>1.3970825425858982E-4</v>
      </c>
      <c r="AC33" s="59">
        <f t="shared" si="32"/>
        <v>0.2651499470221762</v>
      </c>
      <c r="AD33" s="59">
        <f t="shared" si="32"/>
        <v>0</v>
      </c>
      <c r="AE33" s="59">
        <f t="shared" si="32"/>
        <v>0</v>
      </c>
      <c r="AF33" s="59">
        <f t="shared" si="32"/>
        <v>0</v>
      </c>
      <c r="AG33" s="59">
        <f t="shared" si="32"/>
        <v>0</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-5.6816018872375999E-4</v>
      </c>
      <c r="AQ33" s="59">
        <f t="shared" si="32"/>
        <v>0</v>
      </c>
      <c r="AR33" s="59">
        <f t="shared" si="32"/>
        <v>0</v>
      </c>
      <c r="AS33" s="59">
        <f t="shared" si="32"/>
        <v>0</v>
      </c>
      <c r="AT33" s="59">
        <f t="shared" si="32"/>
        <v>0</v>
      </c>
      <c r="AU33" s="59">
        <f t="shared" si="32"/>
        <v>0</v>
      </c>
      <c r="AV33" s="59">
        <f t="shared" si="32"/>
        <v>0</v>
      </c>
      <c r="AW33" s="59">
        <f t="shared" si="32"/>
        <v>0</v>
      </c>
      <c r="AX33" s="59">
        <f t="shared" si="32"/>
        <v>0</v>
      </c>
      <c r="AY33" s="59">
        <f t="shared" si="32"/>
        <v>0</v>
      </c>
      <c r="AZ33" s="59">
        <f t="shared" si="32"/>
        <v>1.1177332945439421E-2</v>
      </c>
      <c r="BA33" s="59">
        <f t="shared" si="32"/>
        <v>2.3737730473365457E-3</v>
      </c>
      <c r="BB33" s="59">
        <f t="shared" si="32"/>
        <v>2.3842225276758423E-2</v>
      </c>
      <c r="BC33" s="59">
        <f t="shared" si="32"/>
        <v>2.5943487380546425E-2</v>
      </c>
      <c r="BD33" s="59">
        <f t="shared" si="32"/>
        <v>5.0600906248218121E-2</v>
      </c>
      <c r="BE33" s="59">
        <f t="shared" si="32"/>
        <v>-3.7178032866194647E-3</v>
      </c>
      <c r="BF33" s="59">
        <f t="shared" si="32"/>
        <v>9.65514848650115E-2</v>
      </c>
      <c r="BG33" s="59">
        <f t="shared" si="32"/>
        <v>8.6140722715809859E-2</v>
      </c>
      <c r="BH33" s="59">
        <f t="shared" si="32"/>
        <v>3.6477822773943659E-4</v>
      </c>
      <c r="BI33" s="59">
        <f t="shared" si="32"/>
        <v>3.5506097989460993E-2</v>
      </c>
      <c r="BJ33" s="59">
        <f t="shared" si="32"/>
        <v>-6.5081916273187577E-3</v>
      </c>
      <c r="BK33" s="59">
        <f t="shared" si="32"/>
        <v>-1.4943493957982276E-2</v>
      </c>
      <c r="BL33" s="59">
        <f t="shared" si="32"/>
        <v>0</v>
      </c>
      <c r="BM33" s="59">
        <f t="shared" si="32"/>
        <v>-2.5903403532280731E-3</v>
      </c>
      <c r="BN33" s="59">
        <f t="shared" si="32"/>
        <v>-2.0691031662052636E-3</v>
      </c>
      <c r="BO33" s="59">
        <f t="shared" si="32"/>
        <v>-2.5452639538865499E-3</v>
      </c>
      <c r="BP33" s="59">
        <f t="shared" si="32"/>
        <v>0</v>
      </c>
      <c r="BQ33" s="59">
        <f t="shared" si="32"/>
        <v>0.27240466668831564</v>
      </c>
      <c r="BR33" s="59">
        <f t="shared" ref="BR33:CJ33" si="33">BR32/BR34</f>
        <v>0.21405663467819477</v>
      </c>
      <c r="BS33" s="59">
        <f t="shared" si="33"/>
        <v>4.8251159816664189E-2</v>
      </c>
      <c r="BT33" s="59">
        <f t="shared" si="33"/>
        <v>1.5368447141571144E-2</v>
      </c>
      <c r="BU33" s="59">
        <f t="shared" si="33"/>
        <v>0.2622835225948148</v>
      </c>
      <c r="BV33" s="59">
        <f t="shared" si="33"/>
        <v>0.44498651490543328</v>
      </c>
      <c r="BW33" s="59">
        <f t="shared" si="33"/>
        <v>0.16756848420412604</v>
      </c>
      <c r="BX33" s="59">
        <f t="shared" si="33"/>
        <v>6.2487789985505332E-2</v>
      </c>
      <c r="BY33" s="59">
        <f t="shared" si="33"/>
        <v>0.15194065490983794</v>
      </c>
      <c r="BZ33" s="59">
        <f t="shared" si="33"/>
        <v>1.9800548751276138E-3</v>
      </c>
      <c r="CA33" s="59">
        <f t="shared" si="33"/>
        <v>6.7812863723278331E-4</v>
      </c>
      <c r="CB33" s="59">
        <f t="shared" si="33"/>
        <v>2.3814718135849031E-4</v>
      </c>
      <c r="CC33" s="59">
        <f t="shared" si="33"/>
        <v>9.7768430328084373E-4</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530205705.31999993</v>
      </c>
      <c r="F34" s="58">
        <f>股权价值增加表!F31</f>
        <v>194790253.86999992</v>
      </c>
      <c r="G34" s="58">
        <f>股权价值增加表!G31</f>
        <v>195718570.24999997</v>
      </c>
      <c r="H34" s="58">
        <f>股权价值增加表!H31</f>
        <v>150570752.49999997</v>
      </c>
      <c r="I34" s="58">
        <f>股权价值增加表!I31</f>
        <v>1475681139.7399998</v>
      </c>
      <c r="J34" s="58">
        <f>股权价值增加表!J31</f>
        <v>730679594.70000029</v>
      </c>
      <c r="K34" s="58">
        <f>股权价值增加表!K31</f>
        <v>722156627.85999966</v>
      </c>
      <c r="L34" s="58">
        <f>股权价值增加表!L31</f>
        <v>597561609.02000034</v>
      </c>
      <c r="M34" s="58">
        <f>股权价值增加表!M31</f>
        <v>325575516.85000002</v>
      </c>
      <c r="N34" s="58">
        <f>股权价值增加表!N31</f>
        <v>190029941.57000005</v>
      </c>
      <c r="O34" s="58">
        <f>股权价值增加表!O31</f>
        <v>195606693.23000005</v>
      </c>
      <c r="P34" s="58">
        <f>股权价值增加表!P31</f>
        <v>-10752543.979999993</v>
      </c>
      <c r="Q34" s="58">
        <f>股权价值增加表!Q31</f>
        <v>295324724.84000003</v>
      </c>
      <c r="R34" s="58">
        <f>股权价值增加表!R31</f>
        <v>136161203.97999996</v>
      </c>
      <c r="S34" s="58">
        <f>股权价值增加表!S31</f>
        <v>108144261.40999995</v>
      </c>
      <c r="T34" s="58">
        <f>股权价值增加表!T31</f>
        <v>57286248.419999987</v>
      </c>
      <c r="U34" s="58">
        <f>股权价值增加表!U31</f>
        <v>743433114.35000026</v>
      </c>
      <c r="V34" s="58">
        <f>股权价值增加表!V31</f>
        <v>113046708.53999998</v>
      </c>
      <c r="W34" s="58">
        <f>股权价值增加表!W31</f>
        <v>123353427.92999999</v>
      </c>
      <c r="X34" s="58">
        <f>股权价值增加表!X31</f>
        <v>32225159.450000014</v>
      </c>
      <c r="Y34" s="58">
        <f>股权价值增加表!Y31</f>
        <v>495713691.49000001</v>
      </c>
      <c r="Z34" s="58">
        <f>股权价值增加表!Z31</f>
        <v>161576082.65999997</v>
      </c>
      <c r="AA34" s="58">
        <f>股权价值增加表!AA31</f>
        <v>99852340.079999983</v>
      </c>
      <c r="AB34" s="58">
        <f>股权价值增加表!AB31</f>
        <v>-19469143.140000001</v>
      </c>
      <c r="AC34" s="58">
        <f>股权价值增加表!AC31</f>
        <v>301639079.88000005</v>
      </c>
      <c r="AD34" s="58">
        <f>股权价值增加表!AD31</f>
        <v>4326957.1499999985</v>
      </c>
      <c r="AE34" s="58">
        <f>股权价值增加表!AE31</f>
        <v>5029986.6599999983</v>
      </c>
      <c r="AF34" s="58">
        <f>股权价值增加表!AF31</f>
        <v>4909926.8</v>
      </c>
      <c r="AG34" s="58">
        <f>股权价值增加表!AG31</f>
        <v>31950007.649999999</v>
      </c>
      <c r="AH34" s="58">
        <f>股权价值增加表!AH31</f>
        <v>26399867.77</v>
      </c>
      <c r="AI34" s="58">
        <f>股权价值增加表!AI31</f>
        <v>27436019.57</v>
      </c>
      <c r="AJ34" s="58">
        <f>股权价值增加表!AJ31</f>
        <v>16511611.620000001</v>
      </c>
      <c r="AK34" s="58">
        <f>股权价值增加表!AK31</f>
        <v>39867932.019999996</v>
      </c>
      <c r="AL34" s="58">
        <f>股权价值增加表!AL31</f>
        <v>1446839.4500000004</v>
      </c>
      <c r="AM34" s="58">
        <f>股权价值增加表!AM31</f>
        <v>4427627.7800000021</v>
      </c>
      <c r="AN34" s="58">
        <f>股权价值增加表!AN31</f>
        <v>14848272.629999999</v>
      </c>
      <c r="AO34" s="58">
        <f>股权价值增加表!AO31</f>
        <v>38510556.93</v>
      </c>
      <c r="AP34" s="58">
        <f>股权价值增加表!AP31</f>
        <v>12626403.859999992</v>
      </c>
      <c r="AQ34" s="58">
        <f>股权价值增加表!AQ31</f>
        <v>79848368.019999996</v>
      </c>
      <c r="AR34" s="58">
        <f>股权价值增加表!AR31</f>
        <v>34580065.350000001</v>
      </c>
      <c r="AS34" s="58">
        <f>股权价值增加表!AS31</f>
        <v>56331186.199999981</v>
      </c>
      <c r="AT34" s="58">
        <f>股权价值增加表!AT31</f>
        <v>-9261303.6100000069</v>
      </c>
      <c r="AU34" s="58">
        <f>股权价值增加表!AU31</f>
        <v>-3526885.3099999847</v>
      </c>
      <c r="AV34" s="58">
        <f>股权价值增加表!AV31</f>
        <v>-3239344.0300000035</v>
      </c>
      <c r="AW34" s="58">
        <f>股权价值增加表!AW31</f>
        <v>-706027180.85000002</v>
      </c>
      <c r="AX34" s="58">
        <f>股权价值增加表!AX31</f>
        <v>-23977064.549999993</v>
      </c>
      <c r="AY34" s="58">
        <f>股权价值增加表!AY31</f>
        <v>-23078493.379999992</v>
      </c>
      <c r="AZ34" s="58">
        <f>股权价值增加表!AZ31</f>
        <v>-5423922.7099999934</v>
      </c>
      <c r="BA34" s="58">
        <f>股权价值增加表!BA31</f>
        <v>-384158452.31000006</v>
      </c>
      <c r="BB34" s="58">
        <f>股权价值增加表!BB31</f>
        <v>-37233788.779999994</v>
      </c>
      <c r="BC34" s="58">
        <f>股权价值增加表!BC31</f>
        <v>-33866803.529999994</v>
      </c>
      <c r="BD34" s="58">
        <f>股权价值增加表!BD31</f>
        <v>-7011317.5099999979</v>
      </c>
      <c r="BE34" s="58">
        <f>股权价值增加表!BE31</f>
        <v>-152771256.63000008</v>
      </c>
      <c r="BF34" s="58">
        <f>股权价值增加表!BF31</f>
        <v>13470982.779999994</v>
      </c>
      <c r="BG34" s="58">
        <f>股权价值增加表!BG31</f>
        <v>16075923.400000008</v>
      </c>
      <c r="BH34" s="58">
        <f>股权价值增加表!BH31</f>
        <v>6845501.7600000165</v>
      </c>
      <c r="BI34" s="58">
        <f>股权价值增加表!BI31</f>
        <v>53574276.749999948</v>
      </c>
      <c r="BJ34" s="58">
        <f>股权价值增加表!BJ31</f>
        <v>32372525.589999966</v>
      </c>
      <c r="BK34" s="58">
        <f>股权价值增加表!BK31</f>
        <v>17700358.479999978</v>
      </c>
      <c r="BL34" s="58">
        <f>股权价值增加表!BL31</f>
        <v>6375368.9600000009</v>
      </c>
      <c r="BM34" s="58">
        <f>股权价值增加表!BM31</f>
        <v>40253482.470000058</v>
      </c>
      <c r="BN34" s="58">
        <f>股权价值增加表!BN31</f>
        <v>23988707.190000013</v>
      </c>
      <c r="BO34" s="58">
        <f>股权价值增加表!BO31</f>
        <v>19500967.639999975</v>
      </c>
      <c r="BP34" s="58">
        <f>股权价值增加表!BP31</f>
        <v>4133836.6900000004</v>
      </c>
      <c r="BQ34" s="58">
        <f>股权价值增加表!BQ31</f>
        <v>44399270.310000077</v>
      </c>
      <c r="BR34" s="58">
        <f>股权价值增加表!BR31</f>
        <v>22886950.209999986</v>
      </c>
      <c r="BS34" s="58">
        <f>股权价值增加表!BS31</f>
        <v>46711630.530000001</v>
      </c>
      <c r="BT34" s="58">
        <f>股权价值增加表!BT31</f>
        <v>22233660.75</v>
      </c>
      <c r="BU34" s="58">
        <f>股权价值增加表!BU31</f>
        <v>24039948.859999992</v>
      </c>
      <c r="BV34" s="58">
        <f>股权价值增加表!BV31</f>
        <v>10250955.180000003</v>
      </c>
      <c r="BW34" s="58">
        <f>股权价值增加表!BW31</f>
        <v>22759764.75</v>
      </c>
      <c r="BX34" s="58">
        <f>股权价值增加表!BX31</f>
        <v>9058650.1799999997</v>
      </c>
      <c r="BY34" s="58">
        <f>股权价值增加表!BY31</f>
        <v>19040118.009999998</v>
      </c>
      <c r="BZ34" s="58">
        <f>股权价值增加表!BZ31</f>
        <v>6943746.9500000011</v>
      </c>
      <c r="CA34" s="58">
        <f>股权价值增加表!CA31</f>
        <v>17253363.68</v>
      </c>
      <c r="CB34" s="58">
        <f>股权价值增加表!CB31</f>
        <v>24354686.740000002</v>
      </c>
      <c r="CC34" s="58">
        <f>股权价值增加表!CC31</f>
        <v>20572694.000000004</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678</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36707</v>
      </c>
      <c r="BU38" s="1">
        <v>36525</v>
      </c>
      <c r="BV38" s="1">
        <v>36341</v>
      </c>
      <c r="BW38" s="1">
        <v>36160</v>
      </c>
      <c r="BX38" s="1">
        <v>35976</v>
      </c>
      <c r="BY38" s="1">
        <v>35795</v>
      </c>
      <c r="BZ38" s="1">
        <v>35611</v>
      </c>
      <c r="CA38" s="1">
        <v>35430</v>
      </c>
      <c r="CB38" s="1">
        <v>35064</v>
      </c>
      <c r="CC38" s="1">
        <v>34699</v>
      </c>
      <c r="CD38" s="1">
        <v>25569</v>
      </c>
      <c r="CE38" s="1"/>
      <c r="CF38" s="1"/>
      <c r="CG38" s="1"/>
      <c r="CH38" s="1"/>
      <c r="CI38" s="1"/>
      <c r="CJ38" s="1"/>
      <c r="CK38" s="1"/>
    </row>
    <row r="39" spans="1:89" x14ac:dyDescent="0.25">
      <c r="A39" s="17" t="s">
        <v>377</v>
      </c>
      <c r="E39" s="26">
        <f>股权价值增加表!E31</f>
        <v>530205705.31999993</v>
      </c>
      <c r="F39" s="26">
        <f>股权价值增加表!F31</f>
        <v>194790253.86999992</v>
      </c>
      <c r="G39" s="26">
        <f>股权价值增加表!G31</f>
        <v>195718570.24999997</v>
      </c>
      <c r="H39" s="26">
        <f>股权价值增加表!H31</f>
        <v>150570752.49999997</v>
      </c>
      <c r="I39" s="26">
        <f>股权价值增加表!I31</f>
        <v>1475681139.7399998</v>
      </c>
      <c r="J39" s="26">
        <f>股权价值增加表!J31</f>
        <v>730679594.70000029</v>
      </c>
      <c r="K39" s="26">
        <f>股权价值增加表!K31</f>
        <v>722156627.85999966</v>
      </c>
      <c r="L39" s="26">
        <f>股权价值增加表!L31</f>
        <v>597561609.02000034</v>
      </c>
      <c r="M39" s="26">
        <f>股权价值增加表!M31</f>
        <v>325575516.85000002</v>
      </c>
      <c r="N39" s="26">
        <f>股权价值增加表!N31</f>
        <v>190029941.57000005</v>
      </c>
      <c r="O39" s="26">
        <f>股权价值增加表!O31</f>
        <v>195606693.23000005</v>
      </c>
      <c r="P39" s="26">
        <f>股权价值增加表!P31</f>
        <v>-10752543.979999993</v>
      </c>
      <c r="Q39" s="26">
        <f>股权价值增加表!Q31</f>
        <v>295324724.84000003</v>
      </c>
      <c r="R39" s="26">
        <f>股权价值增加表!R31</f>
        <v>136161203.97999996</v>
      </c>
      <c r="S39" s="26">
        <f>股权价值增加表!S31</f>
        <v>108144261.40999995</v>
      </c>
      <c r="T39" s="26">
        <f>股权价值增加表!T31</f>
        <v>57286248.419999987</v>
      </c>
      <c r="U39" s="26">
        <f>股权价值增加表!U31</f>
        <v>743433114.35000026</v>
      </c>
      <c r="V39" s="26">
        <f>股权价值增加表!V31</f>
        <v>113046708.53999998</v>
      </c>
      <c r="W39" s="26">
        <f>股权价值增加表!W31</f>
        <v>123353427.92999999</v>
      </c>
      <c r="X39" s="26">
        <f>股权价值增加表!X31</f>
        <v>32225159.450000014</v>
      </c>
      <c r="Y39" s="26">
        <f>股权价值增加表!Y31</f>
        <v>495713691.49000001</v>
      </c>
      <c r="Z39" s="26">
        <f>股权价值增加表!Z31</f>
        <v>161576082.65999997</v>
      </c>
      <c r="AA39" s="26">
        <f>股权价值增加表!AA31</f>
        <v>99852340.079999983</v>
      </c>
      <c r="AB39" s="26">
        <f>股权价值增加表!AB31</f>
        <v>-19469143.140000001</v>
      </c>
      <c r="AC39" s="26">
        <f>股权价值增加表!AC31</f>
        <v>301639079.88000005</v>
      </c>
      <c r="AD39" s="26">
        <f>股权价值增加表!AD31</f>
        <v>4326957.1499999985</v>
      </c>
      <c r="AE39" s="26">
        <f>股权价值增加表!AE31</f>
        <v>5029986.6599999983</v>
      </c>
      <c r="AF39" s="26">
        <f>股权价值增加表!AF31</f>
        <v>4909926.8</v>
      </c>
      <c r="AG39" s="26">
        <f>股权价值增加表!AG31</f>
        <v>31950007.649999999</v>
      </c>
      <c r="AH39" s="26">
        <f>股权价值增加表!AH31</f>
        <v>26399867.77</v>
      </c>
      <c r="AI39" s="26">
        <f>股权价值增加表!AI31</f>
        <v>27436019.57</v>
      </c>
      <c r="AJ39" s="26">
        <f>股权价值增加表!AJ31</f>
        <v>16511611.620000001</v>
      </c>
      <c r="AK39" s="26">
        <f>股权价值增加表!AK31</f>
        <v>39867932.019999996</v>
      </c>
      <c r="AL39" s="26">
        <f>股权价值增加表!AL31</f>
        <v>1446839.4500000004</v>
      </c>
      <c r="AM39" s="26">
        <f>股权价值增加表!AM31</f>
        <v>4427627.7800000021</v>
      </c>
      <c r="AN39" s="26">
        <f>股权价值增加表!AN31</f>
        <v>14848272.629999999</v>
      </c>
      <c r="AO39" s="26">
        <f>股权价值增加表!AO31</f>
        <v>38510556.93</v>
      </c>
      <c r="AP39" s="26">
        <f>股权价值增加表!AP31</f>
        <v>12626403.859999992</v>
      </c>
      <c r="AQ39" s="26">
        <f>股权价值增加表!AQ31</f>
        <v>79848368.019999996</v>
      </c>
      <c r="AR39" s="26">
        <f>股权价值增加表!AR31</f>
        <v>34580065.350000001</v>
      </c>
      <c r="AS39" s="26">
        <f>股权价值增加表!AS31</f>
        <v>56331186.199999981</v>
      </c>
      <c r="AT39" s="26">
        <f>股权价值增加表!AT31</f>
        <v>-9261303.6100000069</v>
      </c>
      <c r="AU39" s="26">
        <f>股权价值增加表!AU31</f>
        <v>-3526885.3099999847</v>
      </c>
      <c r="AV39" s="26">
        <f>股权价值增加表!AV31</f>
        <v>-3239344.0300000035</v>
      </c>
      <c r="AW39" s="26">
        <f>股权价值增加表!AW31</f>
        <v>-706027180.85000002</v>
      </c>
      <c r="AX39" s="26">
        <f>股权价值增加表!AX31</f>
        <v>-23977064.549999993</v>
      </c>
      <c r="AY39" s="26">
        <f>股权价值增加表!AY31</f>
        <v>-23078493.379999992</v>
      </c>
      <c r="AZ39" s="26">
        <f>股权价值增加表!AZ31</f>
        <v>-5423922.7099999934</v>
      </c>
      <c r="BA39" s="26">
        <f>股权价值增加表!BA31</f>
        <v>-384158452.31000006</v>
      </c>
      <c r="BB39" s="26">
        <f>股权价值增加表!BB31</f>
        <v>-37233788.779999994</v>
      </c>
      <c r="BC39" s="26">
        <f>股权价值增加表!BC31</f>
        <v>-33866803.529999994</v>
      </c>
      <c r="BD39" s="26">
        <f>股权价值增加表!BD31</f>
        <v>-7011317.5099999979</v>
      </c>
      <c r="BE39" s="26">
        <f>股权价值增加表!BE31</f>
        <v>-152771256.63000008</v>
      </c>
      <c r="BF39" s="26">
        <f>股权价值增加表!BF31</f>
        <v>13470982.779999994</v>
      </c>
      <c r="BG39" s="26">
        <f>股权价值增加表!BG31</f>
        <v>16075923.400000008</v>
      </c>
      <c r="BH39" s="26">
        <f>股权价值增加表!BH31</f>
        <v>6845501.7600000165</v>
      </c>
      <c r="BI39" s="26">
        <f>股权价值增加表!BI31</f>
        <v>53574276.749999948</v>
      </c>
      <c r="BJ39" s="26">
        <f>股权价值增加表!BJ31</f>
        <v>32372525.589999966</v>
      </c>
      <c r="BK39" s="26">
        <f>股权价值增加表!BK31</f>
        <v>17700358.479999978</v>
      </c>
      <c r="BL39" s="26">
        <f>股权价值增加表!BL31</f>
        <v>6375368.9600000009</v>
      </c>
      <c r="BM39" s="26">
        <f>股权价值增加表!BM31</f>
        <v>40253482.470000058</v>
      </c>
      <c r="BN39" s="26">
        <f>股权价值增加表!BN31</f>
        <v>23988707.190000013</v>
      </c>
      <c r="BO39" s="26">
        <f>股权价值增加表!BO31</f>
        <v>19500967.639999975</v>
      </c>
      <c r="BP39" s="26">
        <f>股权价值增加表!BP31</f>
        <v>4133836.6900000004</v>
      </c>
      <c r="BQ39" s="26">
        <f>股权价值增加表!BQ31</f>
        <v>44399270.310000077</v>
      </c>
      <c r="BR39" s="26">
        <f>股权价值增加表!BR31</f>
        <v>22886950.209999986</v>
      </c>
      <c r="BS39" s="26">
        <f>股权价值增加表!BS31</f>
        <v>46711630.530000001</v>
      </c>
      <c r="BT39" s="26">
        <f>股权价值增加表!BT31</f>
        <v>22233660.75</v>
      </c>
      <c r="BU39" s="26">
        <f>股权价值增加表!BU31</f>
        <v>24039948.859999992</v>
      </c>
      <c r="BV39" s="26">
        <f>股权价值增加表!BV31</f>
        <v>10250955.180000003</v>
      </c>
      <c r="BW39" s="26">
        <f>股权价值增加表!BW31</f>
        <v>22759764.75</v>
      </c>
      <c r="BX39" s="26">
        <f>股权价值增加表!BX31</f>
        <v>9058650.1799999997</v>
      </c>
      <c r="BY39" s="26">
        <f>股权价值增加表!BY31</f>
        <v>19040118.009999998</v>
      </c>
      <c r="BZ39" s="26">
        <f>股权价值增加表!BZ31</f>
        <v>6943746.9500000011</v>
      </c>
      <c r="CA39" s="26">
        <f>股权价值增加表!CA31</f>
        <v>17253363.68</v>
      </c>
      <c r="CB39" s="26">
        <f>股权价值增加表!CB31</f>
        <v>24354686.740000002</v>
      </c>
      <c r="CC39" s="26">
        <f>股权价值增加表!CC31</f>
        <v>20572694.000000004</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393726715.42999995</v>
      </c>
      <c r="F40" s="26">
        <f>股权价值增加表!F38</f>
        <v>103537455.91999991</v>
      </c>
      <c r="G40" s="26">
        <f>股权价值增加表!G38</f>
        <v>136021054.47999996</v>
      </c>
      <c r="H40" s="26">
        <f>股权价值增加表!H38</f>
        <v>120865623.65999997</v>
      </c>
      <c r="I40" s="26">
        <f>股权价值增加表!I38</f>
        <v>1288192913.6899998</v>
      </c>
      <c r="J40" s="26">
        <f>股权价值增加表!J38</f>
        <v>610765158.11000025</v>
      </c>
      <c r="K40" s="26">
        <f>股权价值增加表!K38</f>
        <v>637456624.67999959</v>
      </c>
      <c r="L40" s="26">
        <f>股权价值增加表!L38</f>
        <v>560382784.70000029</v>
      </c>
      <c r="M40" s="26">
        <f>股权价值增加表!M38</f>
        <v>102848407.44000003</v>
      </c>
      <c r="N40" s="26">
        <f>股权价值增加表!N38</f>
        <v>19754839.51000005</v>
      </c>
      <c r="O40" s="26">
        <f>股权价值增加表!O38</f>
        <v>80323295.300000042</v>
      </c>
      <c r="P40" s="26">
        <f>股权价值增加表!P38</f>
        <v>-66571497.689999998</v>
      </c>
      <c r="Q40" s="26">
        <f>股权价值增加表!Q38</f>
        <v>180361749.93000001</v>
      </c>
      <c r="R40" s="26">
        <f>股权价值增加表!R38</f>
        <v>57656731.549999952</v>
      </c>
      <c r="S40" s="26">
        <f>股权价值增加表!S38</f>
        <v>58816076.089999951</v>
      </c>
      <c r="T40" s="26">
        <f>股权价值增加表!T38</f>
        <v>34826991.549999982</v>
      </c>
      <c r="U40" s="26">
        <f>股权价值增加表!U38</f>
        <v>643582335.37000024</v>
      </c>
      <c r="V40" s="26">
        <f>股权价值增加表!V38</f>
        <v>37788423.24999997</v>
      </c>
      <c r="W40" s="26">
        <f>股权价值增加表!W38</f>
        <v>77649061.539999992</v>
      </c>
      <c r="X40" s="26">
        <f>股权价值增加表!X38</f>
        <v>14553940.800000016</v>
      </c>
      <c r="Y40" s="26">
        <f>股权价值增加表!Y38</f>
        <v>472192358.25999999</v>
      </c>
      <c r="Z40" s="26">
        <f>股权价值增加表!Z38</f>
        <v>154469939.74999997</v>
      </c>
      <c r="AA40" s="26">
        <f>股权价值增加表!AA38</f>
        <v>95740860.979999989</v>
      </c>
      <c r="AB40" s="26">
        <f>股权价值增加表!AB38</f>
        <v>-21703106.359999999</v>
      </c>
      <c r="AC40" s="26">
        <f>股权价值增加表!AC38</f>
        <v>295312511.19000006</v>
      </c>
      <c r="AD40" s="26">
        <f>股权价值增加表!AD38</f>
        <v>-31070533.109999999</v>
      </c>
      <c r="AE40" s="26">
        <f>股权价值增加表!AE38</f>
        <v>-18977779.210000001</v>
      </c>
      <c r="AF40" s="26">
        <f>股权价值增加表!AF38</f>
        <v>-6479405.6600000011</v>
      </c>
      <c r="AG40" s="26">
        <f>股权价值增加表!AG38</f>
        <v>4964195.3999999985</v>
      </c>
      <c r="AH40" s="26">
        <f>股权价值增加表!AH38</f>
        <v>-8468186.2799999975</v>
      </c>
      <c r="AI40" s="26">
        <f>股权价值增加表!AI38</f>
        <v>3956450.6099999994</v>
      </c>
      <c r="AJ40" s="26">
        <f>股权价值增加表!AJ38</f>
        <v>5121351.5300000012</v>
      </c>
      <c r="AK40" s="26">
        <f>股权价值增加表!AK38</f>
        <v>7426948.7699999958</v>
      </c>
      <c r="AL40" s="26">
        <f>股权价值增加表!AL38</f>
        <v>-39352711.189999998</v>
      </c>
      <c r="AM40" s="26">
        <f>股权价值增加表!AM38</f>
        <v>-23045205.369999997</v>
      </c>
      <c r="AN40" s="26">
        <f>股权价值增加表!AN38</f>
        <v>1235008.459999999</v>
      </c>
      <c r="AO40" s="26">
        <f>股权价值增加表!AO38</f>
        <v>4760904.1000000015</v>
      </c>
      <c r="AP40" s="26">
        <f>股权价值增加表!AP38</f>
        <v>-24836013.040000007</v>
      </c>
      <c r="AQ40" s="26">
        <f>股权价值增加表!AQ38</f>
        <v>55996923.280000001</v>
      </c>
      <c r="AR40" s="26">
        <f>股权价值增加表!AR38</f>
        <v>22113116.32</v>
      </c>
      <c r="AS40" s="26">
        <f>股权价值增加表!AS38</f>
        <v>33348608.599999979</v>
      </c>
      <c r="AT40" s="26">
        <f>股权价值增加表!AT38</f>
        <v>-48243430.170000009</v>
      </c>
      <c r="AU40" s="26">
        <f>股权价值增加表!AU38</f>
        <v>-29411243.329999983</v>
      </c>
      <c r="AV40" s="26">
        <f>股权价值增加表!AV38</f>
        <v>-16026969.750000004</v>
      </c>
      <c r="AW40" s="26">
        <f>股权价值增加表!AW38</f>
        <v>-773393645.92000008</v>
      </c>
      <c r="AX40" s="26">
        <f>股权价值增加表!AX38</f>
        <v>-63406926.299999997</v>
      </c>
      <c r="AY40" s="26">
        <f>股权价值增加表!AY38</f>
        <v>-49370770.699999988</v>
      </c>
      <c r="AZ40" s="26">
        <f>股权价值增加表!AZ38</f>
        <v>-18570449.489999995</v>
      </c>
      <c r="BA40" s="26">
        <f>股权价值增加表!BA38</f>
        <v>-443453941.29000008</v>
      </c>
      <c r="BB40" s="26">
        <f>股权价值增加表!BB38</f>
        <v>-72654603.780000001</v>
      </c>
      <c r="BC40" s="26">
        <f>股权价值增加表!BC38</f>
        <v>-55996944.149999991</v>
      </c>
      <c r="BD40" s="26">
        <f>股权价值增加表!BD38</f>
        <v>-19004323.109999999</v>
      </c>
      <c r="BE40" s="26">
        <f>股权价值增加表!BE38</f>
        <v>-182953114.01000008</v>
      </c>
      <c r="BF40" s="26">
        <f>股权价值增加表!BF38</f>
        <v>-2059695.5900000054</v>
      </c>
      <c r="BG40" s="26">
        <f>股权价值增加表!BG38</f>
        <v>6000959.1600000076</v>
      </c>
      <c r="BH40" s="26">
        <f>股权价值增加表!BH38</f>
        <v>2192188.4000000162</v>
      </c>
      <c r="BI40" s="26">
        <f>股权价值增加表!BI38</f>
        <v>19880325.719999947</v>
      </c>
      <c r="BJ40" s="26">
        <f>股权价值增加表!BJ38</f>
        <v>10788766.979999967</v>
      </c>
      <c r="BK40" s="26">
        <f>股权价值增加表!BK38</f>
        <v>6316714.3299999777</v>
      </c>
      <c r="BL40" s="26">
        <f>股权价值增加表!BL38</f>
        <v>963785.96000000089</v>
      </c>
      <c r="BM40" s="26">
        <f>股权价值增加表!BM38</f>
        <v>16010330.810000058</v>
      </c>
      <c r="BN40" s="26">
        <f>股权价值增加表!BN38</f>
        <v>11317801.080000013</v>
      </c>
      <c r="BO40" s="26">
        <f>股权价值增加表!BO38</f>
        <v>11323697.709999975</v>
      </c>
      <c r="BP40" s="26">
        <f>股权价值增加表!BP38</f>
        <v>2192178.1300000004</v>
      </c>
      <c r="BQ40" s="26">
        <f>股权价值增加表!BQ38</f>
        <v>36743568.450000077</v>
      </c>
      <c r="BR40" s="26">
        <f>股权价值增加表!BR38</f>
        <v>21360515.659999985</v>
      </c>
      <c r="BS40" s="26">
        <f>股权价值增加表!BS38</f>
        <v>42023336.310000002</v>
      </c>
      <c r="BT40" s="26">
        <f>股权价值增加表!BT38</f>
        <v>20086172.07</v>
      </c>
      <c r="BU40" s="26">
        <f>股权价值增加表!BU38</f>
        <v>21012811.709999993</v>
      </c>
      <c r="BV40" s="26">
        <f>股权价值增加表!BV38</f>
        <v>8583729.1500000041</v>
      </c>
      <c r="BW40" s="26">
        <f>股权价值增加表!BW38</f>
        <v>19601788.240000002</v>
      </c>
      <c r="BX40" s="26">
        <f>股权价值增加表!BX38</f>
        <v>7363072.29</v>
      </c>
      <c r="BY40" s="26">
        <f>股权价值增加表!BY38</f>
        <v>15313291.489999998</v>
      </c>
      <c r="BZ40" s="26">
        <f>股权价值增加表!BZ38</f>
        <v>5297071.8800000008</v>
      </c>
      <c r="CA40" s="26">
        <f>股权价值增加表!CA38</f>
        <v>11084864.33</v>
      </c>
      <c r="CB40" s="26">
        <f>股权价值增加表!CB38</f>
        <v>16060324.800000001</v>
      </c>
      <c r="CC40" s="26">
        <f>股权价值增加表!CC38</f>
        <v>14134864.340000004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0.2574076222126459</v>
      </c>
      <c r="F41" s="59">
        <f t="shared" ref="F41:BQ41" si="34">1-F40/F39</f>
        <v>0.46846695939367045</v>
      </c>
      <c r="G41" s="59">
        <f t="shared" si="34"/>
        <v>0.30501712583402663</v>
      </c>
      <c r="H41" s="59">
        <f t="shared" si="34"/>
        <v>0.19728352516535386</v>
      </c>
      <c r="I41" s="59">
        <f t="shared" si="34"/>
        <v>0.12705199043408089</v>
      </c>
      <c r="J41" s="59">
        <f t="shared" si="34"/>
        <v>0.16411356969566671</v>
      </c>
      <c r="K41" s="59">
        <f t="shared" si="34"/>
        <v>0.11728757988553751</v>
      </c>
      <c r="L41" s="59">
        <f t="shared" si="34"/>
        <v>6.2217558422090091E-2</v>
      </c>
      <c r="M41" s="59">
        <f t="shared" si="34"/>
        <v>0.68410275921520047</v>
      </c>
      <c r="N41" s="59">
        <f t="shared" si="34"/>
        <v>0.89604354268180897</v>
      </c>
      <c r="O41" s="59">
        <f t="shared" si="34"/>
        <v>0.58936325759797203</v>
      </c>
      <c r="P41" s="59">
        <f t="shared" si="34"/>
        <v>-5.1912323087284911</v>
      </c>
      <c r="Q41" s="59">
        <f t="shared" si="34"/>
        <v>0.3892764988515075</v>
      </c>
      <c r="R41" s="59">
        <f t="shared" si="34"/>
        <v>0.57655536331428991</v>
      </c>
      <c r="S41" s="59">
        <f t="shared" si="34"/>
        <v>0.45613317504648188</v>
      </c>
      <c r="T41" s="59">
        <f t="shared" si="34"/>
        <v>0.39205319757261237</v>
      </c>
      <c r="U41" s="59">
        <f t="shared" si="34"/>
        <v>0.13431037312253935</v>
      </c>
      <c r="V41" s="59">
        <f t="shared" si="34"/>
        <v>0.66572734635056552</v>
      </c>
      <c r="W41" s="59">
        <f t="shared" si="34"/>
        <v>0.37051557591035167</v>
      </c>
      <c r="X41" s="59">
        <f t="shared" si="34"/>
        <v>0.54836714392114483</v>
      </c>
      <c r="Y41" s="59">
        <f t="shared" si="34"/>
        <v>4.7449432270672998E-2</v>
      </c>
      <c r="Z41" s="59">
        <f t="shared" si="34"/>
        <v>4.3980165832793849E-2</v>
      </c>
      <c r="AA41" s="59">
        <f t="shared" si="34"/>
        <v>4.1175590844500509E-2</v>
      </c>
      <c r="AB41" s="59">
        <f t="shared" si="34"/>
        <v>-0.11474378733238888</v>
      </c>
      <c r="AC41" s="59">
        <f t="shared" si="34"/>
        <v>2.0973968931734199E-2</v>
      </c>
      <c r="AD41" s="59">
        <f t="shared" si="34"/>
        <v>8.1806888843352681</v>
      </c>
      <c r="AE41" s="59">
        <f t="shared" si="34"/>
        <v>4.7729283381439433</v>
      </c>
      <c r="AF41" s="59">
        <f t="shared" si="34"/>
        <v>2.3196542278389978</v>
      </c>
      <c r="AG41" s="59">
        <f t="shared" si="34"/>
        <v>0.84462615926791496</v>
      </c>
      <c r="AH41" s="59">
        <f t="shared" si="34"/>
        <v>1.3207662384439283</v>
      </c>
      <c r="AI41" s="59">
        <f t="shared" si="34"/>
        <v>0.85579356364338677</v>
      </c>
      <c r="AJ41" s="59">
        <f t="shared" si="34"/>
        <v>0.68983333378574219</v>
      </c>
      <c r="AK41" s="59">
        <f t="shared" si="34"/>
        <v>0.81371121114899514</v>
      </c>
      <c r="AL41" s="59">
        <f t="shared" si="34"/>
        <v>28.199086387919536</v>
      </c>
      <c r="AM41" s="59">
        <f t="shared" si="34"/>
        <v>6.2048651140227475</v>
      </c>
      <c r="AN41" s="59">
        <f t="shared" si="34"/>
        <v>0.9168247720947188</v>
      </c>
      <c r="AO41" s="59">
        <f t="shared" si="34"/>
        <v>0.87637405222017906</v>
      </c>
      <c r="AP41" s="59">
        <f t="shared" si="34"/>
        <v>2.9669902305817759</v>
      </c>
      <c r="AQ41" s="59">
        <f t="shared" si="34"/>
        <v>0.29870923265489668</v>
      </c>
      <c r="AR41" s="59">
        <f t="shared" si="34"/>
        <v>0.36052416049005531</v>
      </c>
      <c r="AS41" s="59">
        <f t="shared" si="34"/>
        <v>0.40799030076167664</v>
      </c>
      <c r="AT41" s="59">
        <f t="shared" si="34"/>
        <v>-4.2091403328909953</v>
      </c>
      <c r="AU41" s="59">
        <f t="shared" si="34"/>
        <v>-7.3391550177740577</v>
      </c>
      <c r="AV41" s="59">
        <f t="shared" si="34"/>
        <v>-3.9475972917887283</v>
      </c>
      <c r="AW41" s="59">
        <f t="shared" si="34"/>
        <v>-9.5416248690165517E-2</v>
      </c>
      <c r="AX41" s="59">
        <f t="shared" si="34"/>
        <v>-1.6444824456211431</v>
      </c>
      <c r="AY41" s="59">
        <f t="shared" si="34"/>
        <v>-1.1392544949569845</v>
      </c>
      <c r="AZ41" s="59">
        <f t="shared" si="34"/>
        <v>-2.4238042248946461</v>
      </c>
      <c r="BA41" s="59">
        <f t="shared" si="34"/>
        <v>-0.15435164480554242</v>
      </c>
      <c r="BB41" s="59">
        <f t="shared" si="34"/>
        <v>-0.95130837233051557</v>
      </c>
      <c r="BC41" s="59">
        <f t="shared" si="34"/>
        <v>-0.6534463933213126</v>
      </c>
      <c r="BD41" s="59">
        <f t="shared" si="34"/>
        <v>-1.7105209659803302</v>
      </c>
      <c r="BE41" s="59">
        <f t="shared" si="34"/>
        <v>-0.19756240830759197</v>
      </c>
      <c r="BF41" s="59">
        <f t="shared" si="34"/>
        <v>1.1528986877674567</v>
      </c>
      <c r="BG41" s="59">
        <f t="shared" si="34"/>
        <v>0.62671138629585621</v>
      </c>
      <c r="BH41" s="59">
        <f t="shared" si="34"/>
        <v>0.67976220343561633</v>
      </c>
      <c r="BI41" s="59">
        <f t="shared" si="34"/>
        <v>0.62892031538251303</v>
      </c>
      <c r="BJ41" s="59">
        <f t="shared" si="34"/>
        <v>0.66673076062583547</v>
      </c>
      <c r="BK41" s="59">
        <f t="shared" si="34"/>
        <v>0.64313071189279181</v>
      </c>
      <c r="BL41" s="59">
        <f t="shared" si="34"/>
        <v>0.84882663794880964</v>
      </c>
      <c r="BM41" s="59">
        <f t="shared" si="34"/>
        <v>0.6022622186308435</v>
      </c>
      <c r="BN41" s="59">
        <f t="shared" si="34"/>
        <v>0.52820295856885613</v>
      </c>
      <c r="BO41" s="59">
        <f t="shared" si="34"/>
        <v>0.41932636784786803</v>
      </c>
      <c r="BP41" s="59">
        <f t="shared" si="34"/>
        <v>0.46969890336911202</v>
      </c>
      <c r="BQ41" s="59">
        <f t="shared" si="34"/>
        <v>0.17242855133760382</v>
      </c>
      <c r="BR41" s="59">
        <f t="shared" ref="BR41:CK41" si="35">1-BR40/BR39</f>
        <v>6.6694537104950546E-2</v>
      </c>
      <c r="BS41" s="59">
        <f t="shared" si="35"/>
        <v>0.1003667430745967</v>
      </c>
      <c r="BT41" s="59">
        <f t="shared" si="35"/>
        <v>9.6587273870318402E-2</v>
      </c>
      <c r="BU41" s="59">
        <f t="shared" si="35"/>
        <v>0.12592111437628073</v>
      </c>
      <c r="BV41" s="59">
        <f t="shared" si="35"/>
        <v>0.16264104180777417</v>
      </c>
      <c r="BW41" s="59">
        <f t="shared" si="35"/>
        <v>0.13875259892569836</v>
      </c>
      <c r="BX41" s="59">
        <f t="shared" si="35"/>
        <v>0.18717776449117718</v>
      </c>
      <c r="BY41" s="59">
        <f t="shared" si="35"/>
        <v>0.19573547380550083</v>
      </c>
      <c r="BZ41" s="59">
        <f t="shared" si="35"/>
        <v>0.2371450287369703</v>
      </c>
      <c r="CA41" s="59">
        <f t="shared" si="35"/>
        <v>0.35752444940058203</v>
      </c>
      <c r="CB41" s="59">
        <f t="shared" si="35"/>
        <v>0.34056533054795513</v>
      </c>
      <c r="CC41" s="59">
        <f t="shared" si="35"/>
        <v>0.31293080332600087</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3.8848888444099545</v>
      </c>
      <c r="F42" s="29">
        <f t="shared" ref="F42:BQ42" si="36">F39/(F39-F40)</f>
        <v>2.1346222608618644</v>
      </c>
      <c r="G42" s="29">
        <f t="shared" si="36"/>
        <v>3.2785044356628834</v>
      </c>
      <c r="H42" s="29">
        <f t="shared" si="36"/>
        <v>5.0688469762583921</v>
      </c>
      <c r="I42" s="29">
        <f t="shared" si="36"/>
        <v>7.8707936537116758</v>
      </c>
      <c r="J42" s="29">
        <f t="shared" si="36"/>
        <v>6.0933413480335989</v>
      </c>
      <c r="K42" s="29">
        <f t="shared" si="36"/>
        <v>8.5260519568731272</v>
      </c>
      <c r="L42" s="29">
        <f t="shared" si="36"/>
        <v>16.0726332784694</v>
      </c>
      <c r="M42" s="29">
        <f t="shared" si="36"/>
        <v>1.4617686985317753</v>
      </c>
      <c r="N42" s="29">
        <f t="shared" si="36"/>
        <v>1.1160171937705785</v>
      </c>
      <c r="O42" s="29">
        <f t="shared" si="36"/>
        <v>1.696746424396445</v>
      </c>
      <c r="P42" s="29">
        <f t="shared" si="36"/>
        <v>-0.19263248888295925</v>
      </c>
      <c r="Q42" s="29">
        <f t="shared" si="36"/>
        <v>2.5688681514304768</v>
      </c>
      <c r="R42" s="29">
        <f t="shared" si="36"/>
        <v>1.7344388130422845</v>
      </c>
      <c r="S42" s="29">
        <f t="shared" si="36"/>
        <v>2.1923421814212394</v>
      </c>
      <c r="T42" s="29">
        <f t="shared" si="36"/>
        <v>2.5506742610224205</v>
      </c>
      <c r="U42" s="29">
        <f t="shared" si="36"/>
        <v>7.4454413069617509</v>
      </c>
      <c r="V42" s="29">
        <f t="shared" si="36"/>
        <v>1.5021164527518291</v>
      </c>
      <c r="W42" s="29">
        <f t="shared" si="36"/>
        <v>2.6989418664600371</v>
      </c>
      <c r="X42" s="29">
        <f t="shared" si="36"/>
        <v>1.8235957625933181</v>
      </c>
      <c r="Y42" s="29">
        <f t="shared" si="36"/>
        <v>21.075067754141912</v>
      </c>
      <c r="Z42" s="29">
        <f t="shared" si="36"/>
        <v>22.737522268602962</v>
      </c>
      <c r="AA42" s="29">
        <f t="shared" si="36"/>
        <v>24.286233166064282</v>
      </c>
      <c r="AB42" s="29">
        <f t="shared" si="36"/>
        <v>-8.7150687915085783</v>
      </c>
      <c r="AC42" s="29">
        <f t="shared" si="36"/>
        <v>47.678148244368494</v>
      </c>
      <c r="AD42" s="29">
        <f t="shared" si="36"/>
        <v>0.12223909430351797</v>
      </c>
      <c r="AE42" s="29">
        <f t="shared" si="36"/>
        <v>0.20951498307826502</v>
      </c>
      <c r="AF42" s="29">
        <f t="shared" si="36"/>
        <v>0.43109873359513817</v>
      </c>
      <c r="AG42" s="29">
        <f t="shared" si="36"/>
        <v>1.1839557525269597</v>
      </c>
      <c r="AH42" s="29">
        <f t="shared" si="36"/>
        <v>0.75713625234557658</v>
      </c>
      <c r="AI42" s="29">
        <f t="shared" si="36"/>
        <v>1.1685061006332886</v>
      </c>
      <c r="AJ42" s="29">
        <f t="shared" si="36"/>
        <v>1.4496255124583377</v>
      </c>
      <c r="AK42" s="29">
        <f t="shared" si="36"/>
        <v>1.2289372277272144</v>
      </c>
      <c r="AL42" s="29">
        <f t="shared" si="36"/>
        <v>3.5462141795785239E-2</v>
      </c>
      <c r="AM42" s="29">
        <f t="shared" si="36"/>
        <v>0.16116385797654809</v>
      </c>
      <c r="AN42" s="29">
        <f t="shared" si="36"/>
        <v>1.0907209648308764</v>
      </c>
      <c r="AO42" s="29">
        <f t="shared" si="36"/>
        <v>1.1410652762557618</v>
      </c>
      <c r="AP42" s="29">
        <f t="shared" si="36"/>
        <v>0.33704189170987503</v>
      </c>
      <c r="AQ42" s="29">
        <f t="shared" si="36"/>
        <v>3.3477371660464041</v>
      </c>
      <c r="AR42" s="29">
        <f t="shared" si="36"/>
        <v>2.7737392097126428</v>
      </c>
      <c r="AS42" s="29">
        <f t="shared" si="36"/>
        <v>2.4510386598237779</v>
      </c>
      <c r="AT42" s="29">
        <f t="shared" si="36"/>
        <v>-0.23757820384029882</v>
      </c>
      <c r="AU42" s="29">
        <f t="shared" si="36"/>
        <v>-0.13625546777226907</v>
      </c>
      <c r="AV42" s="29">
        <f t="shared" si="36"/>
        <v>-0.25331864576968582</v>
      </c>
      <c r="AW42" s="29">
        <f t="shared" si="36"/>
        <v>-10.480395254766178</v>
      </c>
      <c r="AX42" s="29">
        <f t="shared" si="36"/>
        <v>-0.60809405576979969</v>
      </c>
      <c r="AY42" s="29">
        <f t="shared" si="36"/>
        <v>-0.87776699975869543</v>
      </c>
      <c r="AZ42" s="29">
        <f t="shared" si="36"/>
        <v>-0.41257457583789237</v>
      </c>
      <c r="BA42" s="29">
        <f t="shared" si="36"/>
        <v>-6.4787129496406415</v>
      </c>
      <c r="BB42" s="29">
        <f t="shared" si="36"/>
        <v>-1.0511838527713151</v>
      </c>
      <c r="BC42" s="29">
        <f t="shared" si="36"/>
        <v>-1.5303474167440694</v>
      </c>
      <c r="BD42" s="29">
        <f t="shared" si="36"/>
        <v>-0.58461721305291448</v>
      </c>
      <c r="BE42" s="29">
        <f t="shared" si="36"/>
        <v>-5.0616916880415035</v>
      </c>
      <c r="BF42" s="29">
        <f t="shared" si="36"/>
        <v>0.8673789038102393</v>
      </c>
      <c r="BG42" s="29">
        <f t="shared" si="36"/>
        <v>1.5956308148643124</v>
      </c>
      <c r="BH42" s="29">
        <f t="shared" si="36"/>
        <v>1.4711026811226864</v>
      </c>
      <c r="BI42" s="29">
        <f t="shared" si="36"/>
        <v>1.5900265511248339</v>
      </c>
      <c r="BJ42" s="29">
        <f t="shared" si="36"/>
        <v>1.4998558024551576</v>
      </c>
      <c r="BK42" s="29">
        <f t="shared" si="36"/>
        <v>1.5548938676197093</v>
      </c>
      <c r="BL42" s="29">
        <f t="shared" si="36"/>
        <v>1.1780968637088263</v>
      </c>
      <c r="BM42" s="29">
        <f t="shared" si="36"/>
        <v>1.6604063297766813</v>
      </c>
      <c r="BN42" s="29">
        <f t="shared" si="36"/>
        <v>1.8932116599828561</v>
      </c>
      <c r="BO42" s="29">
        <f t="shared" si="36"/>
        <v>2.3847772920466594</v>
      </c>
      <c r="BP42" s="29">
        <f t="shared" si="36"/>
        <v>2.1290234931933658</v>
      </c>
      <c r="BQ42" s="29">
        <f t="shared" si="36"/>
        <v>5.7995035754958302</v>
      </c>
      <c r="BR42" s="29">
        <f t="shared" ref="BR42:CK42" si="37">BR39/(BR39-BR40)</f>
        <v>14.9937317718601</v>
      </c>
      <c r="BS42" s="29">
        <f t="shared" si="37"/>
        <v>9.9634597015543136</v>
      </c>
      <c r="BT42" s="29">
        <f t="shared" si="37"/>
        <v>10.353330826405102</v>
      </c>
      <c r="BU42" s="29">
        <f t="shared" si="37"/>
        <v>7.9414799094913828</v>
      </c>
      <c r="BV42" s="29">
        <f t="shared" si="37"/>
        <v>6.1485095575193291</v>
      </c>
      <c r="BW42" s="29">
        <f t="shared" si="37"/>
        <v>7.2070722115662651</v>
      </c>
      <c r="BX42" s="29">
        <f t="shared" si="37"/>
        <v>5.3425149227441278</v>
      </c>
      <c r="BY42" s="29">
        <f t="shared" si="37"/>
        <v>5.1089359560530339</v>
      </c>
      <c r="BZ42" s="29">
        <f t="shared" si="37"/>
        <v>4.2168288550090214</v>
      </c>
      <c r="CA42" s="29">
        <f t="shared" si="37"/>
        <v>2.7970115097766852</v>
      </c>
      <c r="CB42" s="29">
        <f t="shared" si="37"/>
        <v>2.9362941858792335</v>
      </c>
      <c r="CC42" s="29">
        <f t="shared" si="37"/>
        <v>3.1955946470320251</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700</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36707</v>
      </c>
      <c r="BU46" s="1">
        <v>36525</v>
      </c>
      <c r="BV46" s="1">
        <v>36341</v>
      </c>
      <c r="BW46" s="1">
        <v>36160</v>
      </c>
      <c r="BX46" s="1">
        <v>35976</v>
      </c>
      <c r="BY46" s="1">
        <v>35795</v>
      </c>
      <c r="BZ46" s="1">
        <v>35611</v>
      </c>
      <c r="CA46" s="1">
        <v>35430</v>
      </c>
      <c r="CB46" s="1">
        <v>35064</v>
      </c>
      <c r="CC46" s="1">
        <v>34699</v>
      </c>
      <c r="CD46" s="1">
        <v>25569</v>
      </c>
      <c r="CE46" s="1"/>
      <c r="CF46" s="1"/>
      <c r="CG46" s="1"/>
      <c r="CH46" s="1"/>
      <c r="CI46" s="1"/>
      <c r="CJ46" s="1"/>
      <c r="CK46" s="1"/>
    </row>
    <row r="47" spans="1:89" s="26" customFormat="1" x14ac:dyDescent="0.25">
      <c r="A47" s="17" t="s">
        <v>425</v>
      </c>
      <c r="E47" s="26">
        <f>股权价值增加表!E42</f>
        <v>224187781.70999995</v>
      </c>
      <c r="F47" s="26">
        <f>股权价值增加表!F42</f>
        <v>34413729.899999917</v>
      </c>
      <c r="G47" s="26">
        <f>股权价值增加表!G42</f>
        <v>74399274.719999969</v>
      </c>
      <c r="H47" s="26">
        <f>股权价值增加表!H42</f>
        <v>76170339.939999968</v>
      </c>
      <c r="I47" s="26">
        <f>股权价值增加表!I42</f>
        <v>937986689.3599999</v>
      </c>
      <c r="J47" s="26">
        <f>股权价值增加表!J42</f>
        <v>426336111.29000026</v>
      </c>
      <c r="K47" s="26">
        <f>股权价值增加表!K42</f>
        <v>447193655.90999961</v>
      </c>
      <c r="L47" s="26">
        <f>股权价值增加表!L42</f>
        <v>409278268.83000028</v>
      </c>
      <c r="M47" s="26">
        <f>股权价值增加表!M42</f>
        <v>79437371.470000029</v>
      </c>
      <c r="N47" s="26">
        <f>股权价值增加表!N42</f>
        <v>-5910801.5999999493</v>
      </c>
      <c r="O47" s="26">
        <f>股权价值增加表!O42</f>
        <v>75498011.080000043</v>
      </c>
      <c r="P47" s="26">
        <f>股权价值增加表!P42</f>
        <v>-73892475.840000004</v>
      </c>
      <c r="Q47" s="26">
        <f>股权价值增加表!Q42</f>
        <v>118244349.63000001</v>
      </c>
      <c r="R47" s="26">
        <f>股权价值增加表!R42</f>
        <v>12479508.899999954</v>
      </c>
      <c r="S47" s="26">
        <f>股权价值增加表!S42</f>
        <v>25684472.459999952</v>
      </c>
      <c r="T47" s="26">
        <f>股权价值增加表!T42</f>
        <v>11204823.199999981</v>
      </c>
      <c r="U47" s="26">
        <f>股权价值增加表!U42</f>
        <v>453655580.80000025</v>
      </c>
      <c r="V47" s="26">
        <f>股权价值增加表!V42</f>
        <v>23095821.67999997</v>
      </c>
      <c r="W47" s="26">
        <f>股权价值增加表!W42</f>
        <v>57235174.219999991</v>
      </c>
      <c r="X47" s="26">
        <f>股权价值增加表!X42</f>
        <v>854688.95000001602</v>
      </c>
      <c r="Y47" s="26">
        <f>股权价值增加表!Y42</f>
        <v>410802729.18000001</v>
      </c>
      <c r="Z47" s="26">
        <f>股权价值增加表!Z42</f>
        <v>129787676.91999997</v>
      </c>
      <c r="AA47" s="26">
        <f>股权价值增加表!AA42</f>
        <v>99469951.349999994</v>
      </c>
      <c r="AB47" s="26">
        <f>股权价值增加表!AB42</f>
        <v>-21558089.800000001</v>
      </c>
      <c r="AC47" s="26">
        <f>股权价值增加表!AC42</f>
        <v>231642962.49000007</v>
      </c>
      <c r="AD47" s="26">
        <f>股权价值增加表!AD42</f>
        <v>-31095058.109999999</v>
      </c>
      <c r="AE47" s="26">
        <f>股权价值增加表!AE42</f>
        <v>-19002304.210000001</v>
      </c>
      <c r="AF47" s="26">
        <f>股权价值增加表!AF42</f>
        <v>-6479405.6600000011</v>
      </c>
      <c r="AG47" s="26">
        <f>股权价值增加表!AG42</f>
        <v>4964195.3999999985</v>
      </c>
      <c r="AH47" s="26">
        <f>股权价值增加表!AH42</f>
        <v>-8468186.2799999975</v>
      </c>
      <c r="AI47" s="26">
        <f>股权价值增加表!AI42</f>
        <v>3956450.6099999994</v>
      </c>
      <c r="AJ47" s="26">
        <f>股权价值增加表!AJ42</f>
        <v>5121351.5300000012</v>
      </c>
      <c r="AK47" s="26">
        <f>股权价值增加表!AK42</f>
        <v>7426948.7699999958</v>
      </c>
      <c r="AL47" s="26">
        <f>股权价值增加表!AL42</f>
        <v>-39352711.189999998</v>
      </c>
      <c r="AM47" s="26">
        <f>股权价值增加表!AM42</f>
        <v>-23045205.369999997</v>
      </c>
      <c r="AN47" s="26">
        <f>股权价值增加表!AN42</f>
        <v>1235008.459999999</v>
      </c>
      <c r="AO47" s="26">
        <f>股权价值增加表!AO42</f>
        <v>3220275.7200000016</v>
      </c>
      <c r="AP47" s="26">
        <f>股权价值增加表!AP42</f>
        <v>-24939801.570000008</v>
      </c>
      <c r="AQ47" s="26">
        <f>股权价值增加表!AQ42</f>
        <v>55893134.75</v>
      </c>
      <c r="AR47" s="26">
        <f>股权价值增加表!AR42</f>
        <v>22113116.32</v>
      </c>
      <c r="AS47" s="26">
        <f>股权价值增加表!AS42</f>
        <v>31557092.699999981</v>
      </c>
      <c r="AT47" s="26">
        <f>股权价值增加表!AT42</f>
        <v>-48487022.650000006</v>
      </c>
      <c r="AU47" s="26">
        <f>股权价值增加表!AU42</f>
        <v>-29616942.849999983</v>
      </c>
      <c r="AV47" s="26">
        <f>股权价值增加表!AV42</f>
        <v>-16047430.160000004</v>
      </c>
      <c r="AW47" s="26">
        <f>股权价值增加表!AW42</f>
        <v>-770441732.03000009</v>
      </c>
      <c r="AX47" s="26">
        <f>股权价值增加表!AX42</f>
        <v>-63457312.609999999</v>
      </c>
      <c r="AY47" s="26">
        <f>股权价值增加表!AY42</f>
        <v>-49393492.11999999</v>
      </c>
      <c r="AZ47" s="26">
        <f>股权价值增加表!AZ42</f>
        <v>-18547132.919999994</v>
      </c>
      <c r="BA47" s="26">
        <f>股权价值增加表!BA42</f>
        <v>-443390685.4600001</v>
      </c>
      <c r="BB47" s="26">
        <f>股权价值增加表!BB42</f>
        <v>-72591347.950000003</v>
      </c>
      <c r="BC47" s="26">
        <f>股权价值增加表!BC42</f>
        <v>-55933688.319999993</v>
      </c>
      <c r="BD47" s="26">
        <f>股权价值增加表!BD42</f>
        <v>-18941067.280000001</v>
      </c>
      <c r="BE47" s="26">
        <f>股权价值增加表!BE42</f>
        <v>-183016369.83000007</v>
      </c>
      <c r="BF47" s="26">
        <f>股权价值增加表!BF42</f>
        <v>-3884359.2800000054</v>
      </c>
      <c r="BG47" s="26">
        <f>股权价值增加表!BG42</f>
        <v>4878607.9700000081</v>
      </c>
      <c r="BH47" s="26">
        <f>股权价值增加表!BH42</f>
        <v>1755361.6400000162</v>
      </c>
      <c r="BI47" s="26">
        <f>股权价值增加表!BI42</f>
        <v>15172382.659999948</v>
      </c>
      <c r="BJ47" s="26">
        <f>股权价值增加表!BJ42</f>
        <v>8161960.4799999669</v>
      </c>
      <c r="BK47" s="26">
        <f>股权价值增加表!BK42</f>
        <v>5148964.649999978</v>
      </c>
      <c r="BL47" s="26">
        <f>股权价值增加表!BL42</f>
        <v>614489.42000000086</v>
      </c>
      <c r="BM47" s="26">
        <f>股权价值增加表!BM42</f>
        <v>12647564.730000058</v>
      </c>
      <c r="BN47" s="26">
        <f>股权价值增加表!BN42</f>
        <v>9593165.9600000121</v>
      </c>
      <c r="BO47" s="26">
        <f>股权价值增加表!BO42</f>
        <v>9867879.6799999755</v>
      </c>
      <c r="BP47" s="26">
        <f>股权价值增加表!BP42</f>
        <v>1786931.0000000005</v>
      </c>
      <c r="BQ47" s="26">
        <f>股权价值增加表!BQ42</f>
        <v>30170001.220000077</v>
      </c>
      <c r="BR47" s="26">
        <f>股权价值增加表!BR42</f>
        <v>17893332.419999987</v>
      </c>
      <c r="BS47" s="26">
        <f>股权价值增加表!BS42</f>
        <v>36856085.100000001</v>
      </c>
      <c r="BT47" s="26">
        <f>股权价值增加表!BT42</f>
        <v>19172872.149999999</v>
      </c>
      <c r="BU47" s="26">
        <f>股权价值增加表!BU42</f>
        <v>19836124.109999992</v>
      </c>
      <c r="BV47" s="26">
        <f>股权价值增加表!BV42</f>
        <v>7695370.2900000038</v>
      </c>
      <c r="BW47" s="26">
        <f>股权价值增加表!BW42</f>
        <v>18869422.430000003</v>
      </c>
      <c r="BX47" s="26">
        <f>股权价值增加表!BX42</f>
        <v>7006262.29</v>
      </c>
      <c r="BY47" s="26">
        <f>股权价值增加表!BY42</f>
        <v>13210763.869999997</v>
      </c>
      <c r="BZ47" s="26">
        <f>股权价值增加表!BZ42</f>
        <v>4482166.0100000007</v>
      </c>
      <c r="CA47" s="26">
        <f>股权价值增加表!CA42</f>
        <v>10644864.33</v>
      </c>
      <c r="CB47" s="26">
        <f>股权价值增加表!CB42</f>
        <v>15660324.800000001</v>
      </c>
      <c r="CC47" s="26">
        <f>股权价值增加表!CC42</f>
        <v>13734864.340000004</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9.0620531124431691E-2</v>
      </c>
      <c r="F48" s="63">
        <f>股权价值增加表!F43</f>
        <v>3.4133540286615596E-2</v>
      </c>
      <c r="G48" s="63">
        <f>股权价值增加表!G43</f>
        <v>8.4709346072784256E-2</v>
      </c>
      <c r="H48" s="63">
        <f>股权价值增加表!H43</f>
        <v>0.12085310903393411</v>
      </c>
      <c r="I48" s="63">
        <f>股权价值增加表!I43</f>
        <v>0.13989677617935528</v>
      </c>
      <c r="J48" s="63">
        <f>股权价值增加表!J43</f>
        <v>9.3155465782997909E-2</v>
      </c>
      <c r="K48" s="63">
        <f>股权价值增加表!K43</f>
        <v>0.11191530209923146</v>
      </c>
      <c r="L48" s="63">
        <f>股权价值增加表!L43</f>
        <v>0.1399034714171693</v>
      </c>
      <c r="M48" s="63">
        <f>股权价值增加表!M43</f>
        <v>0.15291035794727242</v>
      </c>
      <c r="N48" s="63">
        <f>股权价值增加表!N43</f>
        <v>-1.6087316708441223E-2</v>
      </c>
      <c r="O48" s="63">
        <f>股权价值增加表!O43</f>
        <v>0.34701009099699393</v>
      </c>
      <c r="P48" s="63">
        <f>股权价值增加表!P43</f>
        <v>-0.51100801583635425</v>
      </c>
      <c r="Q48" s="63">
        <f>股权价值增加表!Q43</f>
        <v>9.3046425465278498E-2</v>
      </c>
      <c r="R48" s="63">
        <f>股权价值增加表!R43</f>
        <v>1.3966955655168074E-2</v>
      </c>
      <c r="S48" s="63">
        <f>股权价值增加表!S43</f>
        <v>3.7788757270983055E-2</v>
      </c>
      <c r="T48" s="63">
        <f>股权价值增加表!T43</f>
        <v>3.717544369083927E-2</v>
      </c>
      <c r="U48" s="63">
        <f>股权价值增加表!U43</f>
        <v>0.163364252887856</v>
      </c>
      <c r="V48" s="63">
        <f>股权价值增加表!V43</f>
        <v>7.0734657813409985E-2</v>
      </c>
      <c r="W48" s="63">
        <f>股权价值增加表!W43</f>
        <v>0.22718388702585404</v>
      </c>
      <c r="X48" s="63">
        <f>股权价值增加表!X43</f>
        <v>5.3567753786664942E-3</v>
      </c>
      <c r="Y48" s="63">
        <f>股权价值增加表!Y43</f>
        <v>0.21775810720065469</v>
      </c>
      <c r="Z48" s="63">
        <f>股权价值增加表!Z43</f>
        <v>0.35825664351040137</v>
      </c>
      <c r="AA48" s="63">
        <f>股权价值增加表!AA43</f>
        <v>1.077344208373201</v>
      </c>
      <c r="AB48" s="63">
        <f>股权价值增加表!AB43</f>
        <v>-0.56096899512246501</v>
      </c>
      <c r="AC48" s="63">
        <f>股权价值增加表!AC43</f>
        <v>0.2542403732682309</v>
      </c>
      <c r="AD48" s="63">
        <f>股权价值增加表!AD43</f>
        <v>-13.374051840850603</v>
      </c>
      <c r="AE48" s="63">
        <f>股权价值增加表!AE43</f>
        <v>-26.408612168902565</v>
      </c>
      <c r="AF48" s="63">
        <f>股权价值增加表!AF43</f>
        <v>-14.245497097587487</v>
      </c>
      <c r="AG48" s="63">
        <f>股权价值增加表!AG43</f>
        <v>2.517333930654297</v>
      </c>
      <c r="AH48" s="63">
        <f>股权价值增加表!AH43</f>
        <v>-3.7685862827153302</v>
      </c>
      <c r="AI48" s="63">
        <f>股权价值增加表!AI43</f>
        <v>2.4061147921373349</v>
      </c>
      <c r="AJ48" s="63">
        <f>股权价值增加表!AJ43</f>
        <v>43.299881700769582</v>
      </c>
      <c r="AK48" s="63">
        <f>股权价值增加表!AK43</f>
        <v>3.2018457390608246</v>
      </c>
      <c r="AL48" s="63">
        <f>股权价值增加表!AL43</f>
        <v>-37.140355654382468</v>
      </c>
      <c r="AM48" s="63">
        <f>股权价值增加表!AM43</f>
        <v>-32.271274142009759</v>
      </c>
      <c r="AN48" s="63">
        <f>股权价值增加表!AN43</f>
        <v>3.8889560450841194</v>
      </c>
      <c r="AO48" s="63">
        <f>股权价值增加表!AO43</f>
        <v>0.10870100704530998</v>
      </c>
      <c r="AP48" s="63">
        <f>股权价值增加表!AP43</f>
        <v>-0.62836368338450588</v>
      </c>
      <c r="AQ48" s="63">
        <f>股权价值增加表!AQ43</f>
        <v>1.4571367825904469</v>
      </c>
      <c r="AR48" s="63">
        <f>股权价值增加表!AR43</f>
        <v>1.1066660338756915</v>
      </c>
      <c r="AS48" s="63">
        <f>股权价值增加表!AS43</f>
        <v>0.11424335030786573</v>
      </c>
      <c r="AT48" s="63">
        <f>股权价值增加表!AT43</f>
        <v>-0.22859148278941649</v>
      </c>
      <c r="AU48" s="63">
        <f>股权价值增加表!AU43</f>
        <v>-0.19530551982043179</v>
      </c>
      <c r="AV48" s="63">
        <f>股权价值增加表!AV43</f>
        <v>-0.25446393696669456</v>
      </c>
      <c r="AW48" s="63">
        <f>股权价值增加表!AW43</f>
        <v>-3.3617884206411279</v>
      </c>
      <c r="AX48" s="63">
        <f>股权价值增加表!AX43</f>
        <v>-0.50312804579168513</v>
      </c>
      <c r="AY48" s="63">
        <f>股权价值增加表!AY43</f>
        <v>-0.69725273124014586</v>
      </c>
      <c r="AZ48" s="63">
        <f>股权价值增加表!AZ43</f>
        <v>-0.46356856004759672</v>
      </c>
      <c r="BA48" s="63">
        <f>股权价值增加表!BA43</f>
        <v>-2.0026797193535137</v>
      </c>
      <c r="BB48" s="63">
        <f>股权价值增加表!BB43</f>
        <v>-0.36240229665300633</v>
      </c>
      <c r="BC48" s="63">
        <f>股权价值增加表!BC43</f>
        <v>-0.32245097173276527</v>
      </c>
      <c r="BD48" s="63">
        <f>股权价值增加表!BD43</f>
        <v>-0.18855800646156715</v>
      </c>
      <c r="BE48" s="63">
        <f>股权价值增加表!BE43</f>
        <v>-0.22827078846571941</v>
      </c>
      <c r="BF48" s="63">
        <f>股权价值增加表!BF43</f>
        <v>-6.3932239099619131E-3</v>
      </c>
      <c r="BG48" s="63">
        <f>股权价值增加表!BG43</f>
        <v>1.2606033637919543E-2</v>
      </c>
      <c r="BH48" s="63">
        <f>股权价值增加表!BH43</f>
        <v>1.0325970892983989E-2</v>
      </c>
      <c r="BI48" s="63">
        <f>股权价值增加表!BI43</f>
        <v>1.7506470286930888E-2</v>
      </c>
      <c r="BJ48" s="63">
        <f>股权价值增加表!BJ43</f>
        <v>1.4489191888896897E-2</v>
      </c>
      <c r="BK48" s="63">
        <f>股权价值增加表!BK43</f>
        <v>1.6459374560634964E-2</v>
      </c>
      <c r="BL48" s="63">
        <f>股权价值增加表!BL43</f>
        <v>4.7332424910815638E-3</v>
      </c>
      <c r="BM48" s="63">
        <f>股权价值增加表!BM43</f>
        <v>1.2696519547913629E-2</v>
      </c>
      <c r="BN48" s="63">
        <f>股权价值增加表!BN43</f>
        <v>1.426943629504184E-2</v>
      </c>
      <c r="BO48" s="63">
        <f>股权价值增加表!BO43</f>
        <v>2.3228218143075262E-2</v>
      </c>
      <c r="BP48" s="63">
        <f>股权价值增加表!BP43</f>
        <v>8.6110194067455428E-3</v>
      </c>
      <c r="BQ48" s="63">
        <f>股权价值增加表!BQ43</f>
        <v>3.960221856624789E-2</v>
      </c>
      <c r="BR48" s="63">
        <f>股权价值增加表!BR43</f>
        <v>7.7881687674411074E-2</v>
      </c>
      <c r="BS48" s="63">
        <f>股权价值增加表!BS43</f>
        <v>0.18562618194350289</v>
      </c>
      <c r="BT48" s="63">
        <f>股权价值增加表!BT43</f>
        <v>0.184761325521033</v>
      </c>
      <c r="BU48" s="63">
        <f>股权价值增加表!BU43</f>
        <v>0.19549134876967181</v>
      </c>
      <c r="BV48" s="63">
        <f>股权价值增加表!BV43</f>
        <v>0.1938371782605216</v>
      </c>
      <c r="BW48" s="63">
        <f>股权价值增加表!BW43</f>
        <v>0.26212407628999612</v>
      </c>
      <c r="BX48" s="63">
        <f>股权价值增加表!BX43</f>
        <v>0.23108793029357588</v>
      </c>
      <c r="BY48" s="63">
        <f>股权价值增加表!BY43</f>
        <v>0.21333624023353481</v>
      </c>
      <c r="BZ48" s="63">
        <f>股权价值增加表!BZ43</f>
        <v>0.14412586839890637</v>
      </c>
      <c r="CA48" s="63">
        <f>股权价值增加表!CA43</f>
        <v>0.14974048230657888</v>
      </c>
      <c r="CB48" s="63">
        <f>股权价值增加表!CB43</f>
        <v>0.17555012752915297</v>
      </c>
      <c r="CC48" s="63">
        <f>股权价值增加表!CC43</f>
        <v>0.19081185983294624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-0.76099044447745201</v>
      </c>
      <c r="F49" s="59">
        <f t="shared" ref="F49:BQ49" si="38">(F47-J47)/J47</f>
        <v>-0.91928028382143967</v>
      </c>
      <c r="G49" s="59">
        <f t="shared" si="38"/>
        <v>-0.83363074646351143</v>
      </c>
      <c r="H49" s="59">
        <f t="shared" si="38"/>
        <v>-0.81389107181833198</v>
      </c>
      <c r="I49" s="59">
        <f t="shared" si="38"/>
        <v>10.807876721024636</v>
      </c>
      <c r="J49" s="59">
        <f t="shared" si="38"/>
        <v>-73.128306808674466</v>
      </c>
      <c r="K49" s="59">
        <f t="shared" si="38"/>
        <v>4.9232508183048598</v>
      </c>
      <c r="L49" s="59">
        <f t="shared" si="38"/>
        <v>-6.538835506286377</v>
      </c>
      <c r="M49" s="59">
        <f t="shared" si="38"/>
        <v>-0.32819308729280866</v>
      </c>
      <c r="N49" s="59">
        <f t="shared" si="38"/>
        <v>-1.4736405612884311</v>
      </c>
      <c r="O49" s="59">
        <f t="shared" si="38"/>
        <v>1.939441765743013</v>
      </c>
      <c r="P49" s="59">
        <f t="shared" si="38"/>
        <v>-7.5947025241772792</v>
      </c>
      <c r="Q49" s="59">
        <f t="shared" si="38"/>
        <v>-0.73935215473050797</v>
      </c>
      <c r="R49" s="59">
        <f t="shared" si="38"/>
        <v>-0.45966378365283733</v>
      </c>
      <c r="S49" s="59">
        <f t="shared" si="38"/>
        <v>-0.55124671480383314</v>
      </c>
      <c r="T49" s="59">
        <f t="shared" si="38"/>
        <v>12.10982574420761</v>
      </c>
      <c r="U49" s="59">
        <f t="shared" si="38"/>
        <v>0.10431491461981879</v>
      </c>
      <c r="V49" s="59">
        <f t="shared" si="38"/>
        <v>-0.82204919428339851</v>
      </c>
      <c r="W49" s="59">
        <f t="shared" si="38"/>
        <v>-0.42459834911741923</v>
      </c>
      <c r="X49" s="59">
        <f t="shared" si="38"/>
        <v>-1.0396458572131939</v>
      </c>
      <c r="Y49" s="59">
        <f t="shared" si="38"/>
        <v>0.77343064846070686</v>
      </c>
      <c r="Z49" s="59">
        <f t="shared" si="38"/>
        <v>-5.1739004462018023</v>
      </c>
      <c r="AA49" s="59">
        <f t="shared" si="38"/>
        <v>-6.2346257722604896</v>
      </c>
      <c r="AB49" s="59">
        <f t="shared" si="38"/>
        <v>2.3271708751138753</v>
      </c>
      <c r="AC49" s="59">
        <f t="shared" si="38"/>
        <v>45.662740650781018</v>
      </c>
      <c r="AD49" s="59">
        <f t="shared" si="38"/>
        <v>2.6719856037460725</v>
      </c>
      <c r="AE49" s="59">
        <f t="shared" si="38"/>
        <v>-5.8028665294017161</v>
      </c>
      <c r="AF49" s="59">
        <f t="shared" si="38"/>
        <v>-2.265174948847926</v>
      </c>
      <c r="AG49" s="59">
        <f t="shared" si="38"/>
        <v>-0.33159692442580274</v>
      </c>
      <c r="AH49" s="59">
        <f t="shared" si="38"/>
        <v>-0.78481314186678286</v>
      </c>
      <c r="AI49" s="59">
        <f t="shared" si="38"/>
        <v>-1.1716821588906499</v>
      </c>
      <c r="AJ49" s="59">
        <f t="shared" si="38"/>
        <v>3.1468149376077998</v>
      </c>
      <c r="AK49" s="59">
        <f t="shared" si="38"/>
        <v>1.3063083461685672</v>
      </c>
      <c r="AL49" s="59">
        <f t="shared" si="38"/>
        <v>0.57790795085303426</v>
      </c>
      <c r="AM49" s="59">
        <f t="shared" si="38"/>
        <v>-1.4123083357746364</v>
      </c>
      <c r="AN49" s="59">
        <f t="shared" si="38"/>
        <v>-0.94415041090870544</v>
      </c>
      <c r="AO49" s="59">
        <f t="shared" si="38"/>
        <v>-0.89795397977203384</v>
      </c>
      <c r="AP49" s="59">
        <f t="shared" si="38"/>
        <v>-0.48563965764559058</v>
      </c>
      <c r="AQ49" s="59">
        <f t="shared" si="38"/>
        <v>-2.8872013574486819</v>
      </c>
      <c r="AR49" s="59">
        <f t="shared" si="38"/>
        <v>-2.3779848922551716</v>
      </c>
      <c r="AS49" s="59">
        <f t="shared" si="38"/>
        <v>-1.0409597395728443</v>
      </c>
      <c r="AT49" s="59">
        <f t="shared" si="38"/>
        <v>-0.23591118728908922</v>
      </c>
      <c r="AU49" s="59">
        <f t="shared" si="38"/>
        <v>-0.40038775193204562</v>
      </c>
      <c r="AV49" s="59">
        <f t="shared" si="38"/>
        <v>-0.13477569664174224</v>
      </c>
      <c r="AW49" s="59">
        <f t="shared" si="38"/>
        <v>0.73761370568869211</v>
      </c>
      <c r="AX49" s="59">
        <f t="shared" si="38"/>
        <v>-0.12582815442814771</v>
      </c>
      <c r="AY49" s="59">
        <f t="shared" si="38"/>
        <v>-0.11692767626163229</v>
      </c>
      <c r="AZ49" s="59">
        <f t="shared" si="38"/>
        <v>-2.0797896664247889E-2</v>
      </c>
      <c r="BA49" s="59">
        <f t="shared" si="38"/>
        <v>1.4226832051791656</v>
      </c>
      <c r="BB49" s="59">
        <f t="shared" si="38"/>
        <v>17.688113718976044</v>
      </c>
      <c r="BC49" s="59">
        <f t="shared" si="38"/>
        <v>-12.46509181798428</v>
      </c>
      <c r="BD49" s="59">
        <f t="shared" si="38"/>
        <v>-11.790407428522721</v>
      </c>
      <c r="BE49" s="59">
        <f t="shared" si="38"/>
        <v>-13.062467308611941</v>
      </c>
      <c r="BF49" s="59">
        <f t="shared" si="38"/>
        <v>-1.4759100818385757</v>
      </c>
      <c r="BG49" s="59">
        <f t="shared" si="38"/>
        <v>-5.2506998664279249E-2</v>
      </c>
      <c r="BH49" s="59">
        <f t="shared" si="38"/>
        <v>1.8566181660214975</v>
      </c>
      <c r="BI49" s="59">
        <f t="shared" si="38"/>
        <v>0.19962878102620141</v>
      </c>
      <c r="BJ49" s="59">
        <f t="shared" si="38"/>
        <v>-0.14919010949749517</v>
      </c>
      <c r="BK49" s="59">
        <f t="shared" si="38"/>
        <v>-0.47820962385305543</v>
      </c>
      <c r="BL49" s="59">
        <f t="shared" si="38"/>
        <v>-0.65612023071959646</v>
      </c>
      <c r="BM49" s="59">
        <f t="shared" si="38"/>
        <v>-0.58079004910295362</v>
      </c>
      <c r="BN49" s="59">
        <f t="shared" si="38"/>
        <v>-0.46386923716471035</v>
      </c>
      <c r="BO49" s="59">
        <f t="shared" si="38"/>
        <v>-0.73225914653642965</v>
      </c>
      <c r="BP49" s="59">
        <f t="shared" si="38"/>
        <v>-0.90679899255469665</v>
      </c>
      <c r="BQ49" s="59">
        <f t="shared" si="38"/>
        <v>0.52096251529251447</v>
      </c>
      <c r="BR49" s="59">
        <f t="shared" ref="BR49:CJ49" si="39">(BR47-BV47)/BV47</f>
        <v>1.3252074618491139</v>
      </c>
      <c r="BS49" s="59">
        <f t="shared" si="39"/>
        <v>0.95321744673029696</v>
      </c>
      <c r="BT49" s="59">
        <f t="shared" si="39"/>
        <v>1.7365335975738927</v>
      </c>
      <c r="BU49" s="59">
        <f t="shared" si="39"/>
        <v>0.50151227477809701</v>
      </c>
      <c r="BV49" s="59">
        <f t="shared" si="39"/>
        <v>0.71688649479540423</v>
      </c>
      <c r="BW49" s="59">
        <f t="shared" si="39"/>
        <v>0.7726315568739619</v>
      </c>
      <c r="BX49" s="59">
        <f t="shared" si="39"/>
        <v>-0.55261066552080718</v>
      </c>
      <c r="BY49" s="59">
        <f t="shared" si="39"/>
        <v>-3.8158401643157848E-2</v>
      </c>
      <c r="BZ49" s="59" t="e">
        <f t="shared" si="39"/>
        <v>#DIV/0!</v>
      </c>
      <c r="CA49" s="59">
        <f t="shared" si="39"/>
        <v>-1.5300963263781684</v>
      </c>
      <c r="CB49" s="59">
        <f t="shared" si="39"/>
        <v>-2.0909648648718537</v>
      </c>
      <c r="CC49" s="59">
        <f t="shared" si="39"/>
        <v>-4.1720240969976912</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-284002932.72040009</v>
      </c>
      <c r="F50" s="26">
        <f>股权价值增加表!F47</f>
        <v>-481349059.18000007</v>
      </c>
      <c r="G50" s="26">
        <f>股权价值增加表!G47</f>
        <v>-444518996.69680005</v>
      </c>
      <c r="H50" s="26">
        <f>股权价值增加表!H47</f>
        <v>-438837567.47920001</v>
      </c>
      <c r="I50" s="26">
        <f>股权价值增加表!I47</f>
        <v>408213249.29919988</v>
      </c>
      <c r="J50" s="26">
        <f>股权价值增加表!J47</f>
        <v>-63197448.51399976</v>
      </c>
      <c r="K50" s="26">
        <f>股权价值增加表!K47</f>
        <v>-54871132.958000422</v>
      </c>
      <c r="L50" s="26">
        <f>股权价值增加表!L47</f>
        <v>135434542.97640026</v>
      </c>
      <c r="M50" s="26">
        <f>股权价值增加表!M47</f>
        <v>-161664092.87719998</v>
      </c>
      <c r="N50" s="26">
        <f>股权价值增加表!N47</f>
        <v>-254161201.88079995</v>
      </c>
      <c r="O50" s="26">
        <f>股权价值增加表!O47</f>
        <v>-177689075.92479995</v>
      </c>
      <c r="P50" s="26">
        <f>股权价值增加表!P47</f>
        <v>-314469778.7608</v>
      </c>
      <c r="Q50" s="26">
        <f>股权价值增加表!Q47</f>
        <v>-127444351.358</v>
      </c>
      <c r="R50" s="26">
        <f>股权价值增加表!R47</f>
        <v>-144759224.97520006</v>
      </c>
      <c r="S50" s="26">
        <f>股权价值增加表!S47</f>
        <v>-132610585.03680006</v>
      </c>
      <c r="T50" s="26">
        <f>股权价值增加表!T47</f>
        <v>-145931862.35600001</v>
      </c>
      <c r="U50" s="26">
        <f>股权价值增加表!U47</f>
        <v>298215281.10000026</v>
      </c>
      <c r="V50" s="26">
        <f>股权价值增加表!V47</f>
        <v>-97444039.944800019</v>
      </c>
      <c r="W50" s="26">
        <f>股权价值增加表!W47</f>
        <v>-59635035.608000003</v>
      </c>
      <c r="X50" s="26">
        <f>股权价值增加表!X47</f>
        <v>-111505082.05639997</v>
      </c>
      <c r="Y50" s="26">
        <f>股权价值增加表!Y47</f>
        <v>299475687.84960002</v>
      </c>
      <c r="Z50" s="26">
        <f>股权价值增加表!Z47</f>
        <v>41163578.929599956</v>
      </c>
      <c r="AA50" s="26">
        <f>股权价值增加表!AA47</f>
        <v>13271271.40519999</v>
      </c>
      <c r="AB50" s="26">
        <f>股权价值增加表!AB47</f>
        <v>-98033726.452799991</v>
      </c>
      <c r="AC50" s="26">
        <f>股权价值增加表!AC47</f>
        <v>153442678.65320006</v>
      </c>
      <c r="AD50" s="26">
        <f>股权价值增加表!AD47</f>
        <v>53378655.241999999</v>
      </c>
      <c r="AE50" s="26">
        <f>股权价值增加表!AE47</f>
        <v>64503988.830000006</v>
      </c>
      <c r="AF50" s="26">
        <f>股权价值增加表!AF47</f>
        <v>76025055.496000007</v>
      </c>
      <c r="AG50" s="26">
        <f>股权价值增加表!AG47</f>
        <v>86950304.103199989</v>
      </c>
      <c r="AH50" s="26">
        <f>股权价值增加表!AH47</f>
        <v>74592512.957599998</v>
      </c>
      <c r="AI50" s="26">
        <f>股权价值增加表!AI47</f>
        <v>86023178.896400005</v>
      </c>
      <c r="AJ50" s="26">
        <f>股权价值增加表!AJ47</f>
        <v>87094887.742799997</v>
      </c>
      <c r="AK50" s="26">
        <f>股权价值增加表!AK47</f>
        <v>89810193.105200008</v>
      </c>
      <c r="AL50" s="26">
        <f>股权价值增加表!AL47</f>
        <v>46772905.942000017</v>
      </c>
      <c r="AM50" s="26">
        <f>股权价值增加表!AM47</f>
        <v>61775811.296400003</v>
      </c>
      <c r="AN50" s="26">
        <f>股权价值增加表!AN47</f>
        <v>84113608.019999996</v>
      </c>
      <c r="AO50" s="26">
        <f>股权价值增加表!AO47</f>
        <v>86197675.956799999</v>
      </c>
      <c r="AP50" s="26">
        <f>股权价值增加表!AP47</f>
        <v>60277748.724399984</v>
      </c>
      <c r="AQ50" s="26">
        <f>股权价值增加表!AQ47</f>
        <v>134656706.26440001</v>
      </c>
      <c r="AR50" s="26">
        <f>股权价值增加表!AR47</f>
        <v>103579089.3096</v>
      </c>
      <c r="AS50" s="26">
        <f>股权价值增加表!AS47</f>
        <v>114792114.99439996</v>
      </c>
      <c r="AT50" s="26">
        <f>股权价值增加表!AT47</f>
        <v>40697535.064400002</v>
      </c>
      <c r="AU50" s="26">
        <f>股权价值增加表!AU47</f>
        <v>58054008.480400026</v>
      </c>
      <c r="AV50" s="26">
        <f>股权价值增加表!AV47</f>
        <v>70537960.154399991</v>
      </c>
      <c r="AW50" s="26">
        <f>股权价值增加表!AW47</f>
        <v>-684729108.26200008</v>
      </c>
      <c r="AX50" s="26">
        <f>股权价值增加表!AX47</f>
        <v>-34304514.574000001</v>
      </c>
      <c r="AY50" s="26">
        <f>股权价值增加表!AY47</f>
        <v>-21363586.531199988</v>
      </c>
      <c r="AZ50" s="26">
        <f>股权价值增加表!AZ47</f>
        <v>7277123.218400009</v>
      </c>
      <c r="BA50" s="26">
        <f>股权价值增加表!BA47</f>
        <v>-419310441.52800012</v>
      </c>
      <c r="BB50" s="26">
        <f>股权价值增加表!BB47</f>
        <v>-78152914.870000005</v>
      </c>
      <c r="BC50" s="26">
        <f>股权价值增加表!BC47</f>
        <v>-62837282.108799994</v>
      </c>
      <c r="BD50" s="26">
        <f>股权价值增加表!BD47</f>
        <v>-28809791.741599999</v>
      </c>
      <c r="BE50" s="26">
        <f>股权价值增加表!BE47</f>
        <v>-194424872.26840007</v>
      </c>
      <c r="BF50" s="26">
        <f>股权价值增加表!BF47</f>
        <v>-29499133.629600007</v>
      </c>
      <c r="BG50" s="26">
        <f>股权价值增加表!BG47</f>
        <v>-21157203.759599991</v>
      </c>
      <c r="BH50" s="26">
        <f>股权价值增加表!BH47</f>
        <v>-24126916.209599987</v>
      </c>
      <c r="BI50" s="26">
        <f>股权价值增加表!BI47</f>
        <v>-10571935.875200052</v>
      </c>
      <c r="BJ50" s="26">
        <f>股权价值增加表!BJ47</f>
        <v>-18632834.813600034</v>
      </c>
      <c r="BK50" s="26">
        <f>股权价值增加表!BK47</f>
        <v>-21401000.087600023</v>
      </c>
      <c r="BL50" s="26">
        <f>股权价值增加表!BL47</f>
        <v>-25407757.5088</v>
      </c>
      <c r="BM50" s="26">
        <f>股权价值增加表!BM47</f>
        <v>-13288956.99239994</v>
      </c>
      <c r="BN50" s="26">
        <f>股权价值增加表!BN47</f>
        <v>-15850921.615999989</v>
      </c>
      <c r="BO50" s="26">
        <f>股权价值增加表!BO47</f>
        <v>-15639524.389600025</v>
      </c>
      <c r="BP50" s="26">
        <f>股权价值增加表!BP47</f>
        <v>-22979697.578400001</v>
      </c>
      <c r="BQ50" s="26">
        <f>股权价值增加表!BQ47</f>
        <v>5573180.0624000728</v>
      </c>
      <c r="BR50" s="26">
        <f>股权价值增加表!BR47</f>
        <v>-5539906.0688000135</v>
      </c>
      <c r="BS50" s="26">
        <f>股权价值增加表!BS47</f>
        <v>13477723.229600001</v>
      </c>
      <c r="BT50" s="26">
        <f>股权价值增加表!BT47</f>
        <v>-3210410.4323999994</v>
      </c>
      <c r="BU50" s="26">
        <f>股权价值增加表!BU47</f>
        <v>-950828.95640001073</v>
      </c>
      <c r="BV50" s="26">
        <f>股权价值增加表!BV47</f>
        <v>-6663805.3379999967</v>
      </c>
      <c r="BW50" s="26">
        <f>股权价值增加表!BW47</f>
        <v>6630906.3348000031</v>
      </c>
      <c r="BX50" s="26">
        <f>股权价值增加表!BX47</f>
        <v>-4150264.6124</v>
      </c>
      <c r="BY50" s="26">
        <f>股权价值增加表!BY47</f>
        <v>2615448.2539999969</v>
      </c>
      <c r="BZ50" s="26">
        <f>股权价值增加表!BZ47</f>
        <v>1191579.1020000004</v>
      </c>
      <c r="CA50" s="26">
        <f>股权价值增加表!CA47</f>
        <v>7797469.9651999995</v>
      </c>
      <c r="CB50" s="26">
        <f>股权价值增加表!CB47</f>
        <v>13199385.809600001</v>
      </c>
      <c r="CC50" s="26">
        <f>股权价值增加表!CC47</f>
        <v>11615795.049600003</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685</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530205705.31999993</v>
      </c>
      <c r="F54" s="193">
        <f t="shared" ref="F54:AC54" si="41">F39</f>
        <v>194790253.86999992</v>
      </c>
      <c r="G54" s="193">
        <f t="shared" si="41"/>
        <v>195718570.24999997</v>
      </c>
      <c r="H54" s="193">
        <f t="shared" si="41"/>
        <v>150570752.49999997</v>
      </c>
      <c r="I54" s="193">
        <f t="shared" si="41"/>
        <v>1475681139.7399998</v>
      </c>
      <c r="J54" s="193">
        <f t="shared" si="41"/>
        <v>730679594.70000029</v>
      </c>
      <c r="K54" s="193">
        <f t="shared" si="41"/>
        <v>722156627.85999966</v>
      </c>
      <c r="L54" s="193">
        <f t="shared" si="41"/>
        <v>597561609.02000034</v>
      </c>
      <c r="M54" s="193">
        <f t="shared" si="41"/>
        <v>325575516.85000002</v>
      </c>
      <c r="N54" s="193">
        <f t="shared" si="41"/>
        <v>190029941.57000005</v>
      </c>
      <c r="O54" s="193">
        <f t="shared" si="41"/>
        <v>195606693.23000005</v>
      </c>
      <c r="P54" s="193">
        <f t="shared" si="41"/>
        <v>-10752543.979999993</v>
      </c>
      <c r="Q54" s="193">
        <f t="shared" si="41"/>
        <v>295324724.84000003</v>
      </c>
      <c r="R54" s="193">
        <f t="shared" si="41"/>
        <v>136161203.97999996</v>
      </c>
      <c r="S54" s="193">
        <f t="shared" si="41"/>
        <v>108144261.40999995</v>
      </c>
      <c r="T54" s="193">
        <f t="shared" si="41"/>
        <v>57286248.419999987</v>
      </c>
      <c r="U54" s="193">
        <f t="shared" si="41"/>
        <v>743433114.35000026</v>
      </c>
      <c r="V54" s="193">
        <f t="shared" si="41"/>
        <v>113046708.53999998</v>
      </c>
      <c r="W54" s="193">
        <f t="shared" si="41"/>
        <v>123353427.92999999</v>
      </c>
      <c r="X54" s="193">
        <f t="shared" si="41"/>
        <v>32225159.450000014</v>
      </c>
      <c r="Y54" s="193">
        <f t="shared" si="41"/>
        <v>495713691.49000001</v>
      </c>
      <c r="Z54" s="193">
        <f t="shared" si="41"/>
        <v>161576082.65999997</v>
      </c>
      <c r="AA54" s="193">
        <f t="shared" si="41"/>
        <v>99852340.079999983</v>
      </c>
      <c r="AB54" s="193">
        <f t="shared" si="41"/>
        <v>-19469143.140000001</v>
      </c>
      <c r="AC54" s="193">
        <f t="shared" si="41"/>
        <v>301639079.88000005</v>
      </c>
    </row>
    <row r="55" spans="1:88" s="63" customFormat="1" x14ac:dyDescent="0.25">
      <c r="A55" s="63" t="s">
        <v>674</v>
      </c>
      <c r="E55" s="63">
        <f>E54/E2</f>
        <v>0.21431820349359895</v>
      </c>
      <c r="F55" s="63">
        <f t="shared" ref="F55:AC55" si="42">F54/F2</f>
        <v>0.19320431110583391</v>
      </c>
      <c r="G55" s="63">
        <f t="shared" si="42"/>
        <v>0.2228407758351571</v>
      </c>
      <c r="H55" s="63">
        <f t="shared" si="42"/>
        <v>0.23889802229500212</v>
      </c>
      <c r="I55" s="63">
        <f t="shared" si="42"/>
        <v>0.22009164571318313</v>
      </c>
      <c r="J55" s="63">
        <f t="shared" si="42"/>
        <v>0.159655248945381</v>
      </c>
      <c r="K55" s="63">
        <f t="shared" si="42"/>
        <v>0.18072791530428087</v>
      </c>
      <c r="L55" s="63">
        <f t="shared" si="42"/>
        <v>0.20426431075003446</v>
      </c>
      <c r="M55" s="63">
        <f t="shared" si="42"/>
        <v>0.62670589294615431</v>
      </c>
      <c r="N55" s="63">
        <f t="shared" si="42"/>
        <v>0.51720089101336053</v>
      </c>
      <c r="O55" s="63">
        <f t="shared" si="42"/>
        <v>0.89906337195344499</v>
      </c>
      <c r="P55" s="63">
        <f t="shared" si="42"/>
        <v>-7.4359887146162401E-2</v>
      </c>
      <c r="Q55" s="63">
        <f t="shared" si="42"/>
        <v>0.23239089295905954</v>
      </c>
      <c r="R55" s="63">
        <f t="shared" si="42"/>
        <v>0.15239041160850175</v>
      </c>
      <c r="S55" s="63">
        <f t="shared" si="42"/>
        <v>0.15910925369546156</v>
      </c>
      <c r="T55" s="63">
        <f t="shared" si="42"/>
        <v>0.19006473055256626</v>
      </c>
      <c r="U55" s="63">
        <f t="shared" si="42"/>
        <v>0.26771498122806681</v>
      </c>
      <c r="V55" s="63">
        <f t="shared" si="42"/>
        <v>0.34622367440746543</v>
      </c>
      <c r="W55" s="63">
        <f t="shared" si="42"/>
        <v>0.4896274295834746</v>
      </c>
      <c r="X55" s="63">
        <f t="shared" si="42"/>
        <v>0.20197165379914966</v>
      </c>
      <c r="Y55" s="63">
        <f t="shared" si="42"/>
        <v>0.2627676680429587</v>
      </c>
      <c r="Z55" s="63">
        <f t="shared" si="42"/>
        <v>0.4460030907326511</v>
      </c>
      <c r="AA55" s="63">
        <f t="shared" si="42"/>
        <v>1.0814858036793362</v>
      </c>
      <c r="AB55" s="63">
        <f t="shared" si="42"/>
        <v>-0.50661193846317643</v>
      </c>
      <c r="AC55" s="63">
        <f t="shared" si="42"/>
        <v>0.33106480523571941</v>
      </c>
    </row>
    <row r="56" spans="1:88" x14ac:dyDescent="0.25">
      <c r="A56" s="17" t="s">
        <v>675</v>
      </c>
      <c r="E56" s="193">
        <f>E23</f>
        <v>308980378.52350187</v>
      </c>
      <c r="F56" s="193">
        <f t="shared" ref="F56:AC56" si="43">F23</f>
        <v>62119288.300106347</v>
      </c>
      <c r="G56" s="193">
        <f t="shared" si="43"/>
        <v>108155021.11853465</v>
      </c>
      <c r="H56" s="193">
        <f t="shared" si="43"/>
        <v>94496539.484529719</v>
      </c>
      <c r="I56" s="193">
        <f t="shared" si="43"/>
        <v>1066889189.4762712</v>
      </c>
      <c r="J56" s="193">
        <f t="shared" si="43"/>
        <v>506866404.06013447</v>
      </c>
      <c r="K56" s="193">
        <f t="shared" si="43"/>
        <v>507197015.14398098</v>
      </c>
      <c r="L56" s="193">
        <f t="shared" si="43"/>
        <v>436248404.38321924</v>
      </c>
      <c r="M56" s="193">
        <f t="shared" si="43"/>
        <v>-81848616.433122709</v>
      </c>
      <c r="N56" s="193">
        <f t="shared" si="43"/>
        <v>13907333.551844761</v>
      </c>
      <c r="O56" s="193">
        <f t="shared" si="43"/>
        <v>-38408270.541988209</v>
      </c>
      <c r="P56" s="193">
        <f t="shared" si="43"/>
        <v>-11818194.357946878</v>
      </c>
      <c r="Q56" s="193">
        <f t="shared" si="43"/>
        <v>99971293.21749869</v>
      </c>
      <c r="R56" s="193">
        <f t="shared" si="43"/>
        <v>24756964.370159343</v>
      </c>
      <c r="S56" s="193">
        <f t="shared" si="43"/>
        <v>37522737.548531257</v>
      </c>
      <c r="T56" s="193">
        <f t="shared" si="43"/>
        <v>18440724.594044343</v>
      </c>
      <c r="U56" s="193">
        <f t="shared" si="43"/>
        <v>444534314.23077905</v>
      </c>
      <c r="V56" s="193">
        <f t="shared" si="43"/>
        <v>-1285157.3395497545</v>
      </c>
      <c r="W56" s="193">
        <f t="shared" si="43"/>
        <v>11081090.219755411</v>
      </c>
      <c r="X56" s="193">
        <f t="shared" si="43"/>
        <v>1912302.0590070486</v>
      </c>
      <c r="Y56" s="193">
        <f t="shared" si="43"/>
        <v>322330047.05456209</v>
      </c>
      <c r="Z56" s="193">
        <f t="shared" si="43"/>
        <v>29281061.077018183</v>
      </c>
      <c r="AA56" s="193">
        <f t="shared" si="43"/>
        <v>-21442754.657571297</v>
      </c>
      <c r="AB56" s="193">
        <f t="shared" si="43"/>
        <v>-18957665.247812983</v>
      </c>
      <c r="AC56" s="193">
        <f t="shared" si="43"/>
        <v>173656682.6639722</v>
      </c>
    </row>
    <row r="57" spans="1:88" s="63" customFormat="1" x14ac:dyDescent="0.25">
      <c r="A57" s="63" t="s">
        <v>676</v>
      </c>
      <c r="E57" s="63">
        <f>E56/E2</f>
        <v>0.12489514725225875</v>
      </c>
      <c r="F57" s="63">
        <f t="shared" ref="F57:AC57" si="44">F56/F2</f>
        <v>6.1613525645982777E-2</v>
      </c>
      <c r="G57" s="63">
        <f t="shared" si="44"/>
        <v>0.12314288207673062</v>
      </c>
      <c r="H57" s="63">
        <f t="shared" si="44"/>
        <v>0.14992975741803333</v>
      </c>
      <c r="I57" s="63">
        <f t="shared" si="44"/>
        <v>0.15912204281936432</v>
      </c>
      <c r="J57" s="63">
        <f t="shared" si="44"/>
        <v>0.11075152845276358</v>
      </c>
      <c r="K57" s="63">
        <f t="shared" si="44"/>
        <v>0.12693182567216701</v>
      </c>
      <c r="L57" s="63">
        <f t="shared" si="44"/>
        <v>0.14912266499730586</v>
      </c>
      <c r="M57" s="63">
        <f t="shared" si="44"/>
        <v>-0.15755180470698665</v>
      </c>
      <c r="N57" s="63">
        <f t="shared" si="44"/>
        <v>3.785132619211231E-2</v>
      </c>
      <c r="O57" s="63">
        <f t="shared" si="44"/>
        <v>-0.17653521285070231</v>
      </c>
      <c r="P57" s="63">
        <f t="shared" si="44"/>
        <v>-8.1729458662334498E-2</v>
      </c>
      <c r="Q57" s="63">
        <f t="shared" si="44"/>
        <v>7.866736560466879E-2</v>
      </c>
      <c r="R57" s="63">
        <f t="shared" si="44"/>
        <v>2.7707774904074375E-2</v>
      </c>
      <c r="S57" s="63">
        <f t="shared" si="44"/>
        <v>5.5206024712888033E-2</v>
      </c>
      <c r="T57" s="63">
        <f t="shared" si="44"/>
        <v>6.1182769823996105E-2</v>
      </c>
      <c r="U57" s="63">
        <f t="shared" si="44"/>
        <v>0.16007962692592229</v>
      </c>
      <c r="V57" s="63">
        <f t="shared" si="44"/>
        <v>-3.9360004553622074E-3</v>
      </c>
      <c r="W57" s="63">
        <f t="shared" si="44"/>
        <v>4.3984231426145028E-2</v>
      </c>
      <c r="X57" s="63">
        <f t="shared" si="44"/>
        <v>1.1985380864303917E-2</v>
      </c>
      <c r="Y57" s="63">
        <f t="shared" si="44"/>
        <v>0.1708605516828115</v>
      </c>
      <c r="Z57" s="63">
        <f t="shared" si="44"/>
        <v>8.0825351904107376E-2</v>
      </c>
      <c r="AA57" s="63">
        <f t="shared" si="44"/>
        <v>-0.23224327777759507</v>
      </c>
      <c r="AB57" s="63">
        <f t="shared" si="44"/>
        <v>-0.49330263129035323</v>
      </c>
      <c r="AC57" s="63">
        <f t="shared" si="44"/>
        <v>0.19059737168970531</v>
      </c>
    </row>
    <row r="58" spans="1:88" ht="93" customHeight="1" x14ac:dyDescent="0.25">
      <c r="A58" s="279" t="s">
        <v>677</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393726715.42999995</v>
      </c>
      <c r="F61" s="89">
        <f>股权价值增加表!F38</f>
        <v>103537455.91999991</v>
      </c>
      <c r="G61" s="89">
        <f>股权价值增加表!G38</f>
        <v>136021054.47999996</v>
      </c>
      <c r="H61" s="89">
        <f>股权价值增加表!H38</f>
        <v>120865623.65999997</v>
      </c>
      <c r="I61" s="89">
        <f>股权价值增加表!I38</f>
        <v>1288192913.6899998</v>
      </c>
      <c r="J61" s="89">
        <f>股权价值增加表!J38</f>
        <v>610765158.11000025</v>
      </c>
      <c r="K61" s="89">
        <f>股权价值增加表!K38</f>
        <v>637456624.67999959</v>
      </c>
      <c r="L61" s="89">
        <f>股权价值增加表!L38</f>
        <v>560382784.70000029</v>
      </c>
      <c r="M61" s="89">
        <f>股权价值增加表!M38</f>
        <v>102848407.44000003</v>
      </c>
      <c r="N61" s="89">
        <f>股权价值增加表!N38</f>
        <v>19754839.51000005</v>
      </c>
      <c r="O61" s="89">
        <f>股权价值增加表!O38</f>
        <v>80323295.300000042</v>
      </c>
      <c r="P61" s="89">
        <f>股权价值增加表!P38</f>
        <v>-66571497.689999998</v>
      </c>
      <c r="Q61" s="89">
        <f>股权价值增加表!Q38</f>
        <v>180361749.93000001</v>
      </c>
      <c r="R61" s="89">
        <f>股权价值增加表!R38</f>
        <v>57656731.549999952</v>
      </c>
      <c r="S61" s="89">
        <f>股权价值增加表!S38</f>
        <v>58816076.089999951</v>
      </c>
      <c r="T61" s="89">
        <f>股权价值增加表!T38</f>
        <v>34826991.549999982</v>
      </c>
      <c r="U61" s="89">
        <f>股权价值增加表!U38</f>
        <v>643582335.37000024</v>
      </c>
      <c r="V61" s="89">
        <f>股权价值增加表!V38</f>
        <v>37788423.24999997</v>
      </c>
      <c r="W61" s="89">
        <f>股权价值增加表!W38</f>
        <v>77649061.539999992</v>
      </c>
      <c r="X61" s="89">
        <f>股权价值增加表!X38</f>
        <v>14553940.800000016</v>
      </c>
      <c r="Y61" s="89">
        <f>股权价值增加表!Y38</f>
        <v>472192358.25999999</v>
      </c>
      <c r="Z61" s="89">
        <f>股权价值增加表!Z38</f>
        <v>154469939.74999997</v>
      </c>
      <c r="AA61" s="89">
        <f>股权价值增加表!AA38</f>
        <v>95740860.979999989</v>
      </c>
      <c r="AB61" s="89">
        <f>股权价值增加表!AB38</f>
        <v>-21703106.359999999</v>
      </c>
      <c r="AC61" s="89">
        <f>股权价值增加表!AC38</f>
        <v>295312511.19000006</v>
      </c>
    </row>
    <row r="62" spans="1:88" s="193" customFormat="1" x14ac:dyDescent="0.25">
      <c r="A62" s="89" t="s">
        <v>681</v>
      </c>
      <c r="B62" s="89"/>
      <c r="C62" s="89"/>
      <c r="D62" s="89"/>
      <c r="E62" s="89">
        <f>股权价值增加表!E40</f>
        <v>169538933.72</v>
      </c>
      <c r="F62" s="89">
        <f>股权价值增加表!F40</f>
        <v>69123726.019999996</v>
      </c>
      <c r="G62" s="89">
        <f>股权价值增加表!G40</f>
        <v>61621779.759999998</v>
      </c>
      <c r="H62" s="89">
        <f>股权价值增加表!H40</f>
        <v>44695283.719999999</v>
      </c>
      <c r="I62" s="89">
        <f>股权价值增加表!I40</f>
        <v>350206224.32999998</v>
      </c>
      <c r="J62" s="89">
        <f>股权价值增加表!J40</f>
        <v>184429046.81999999</v>
      </c>
      <c r="K62" s="89">
        <f>股权价值增加表!K40</f>
        <v>190262968.77000001</v>
      </c>
      <c r="L62" s="89">
        <f>股权价值增加表!L40</f>
        <v>151104515.87</v>
      </c>
      <c r="M62" s="89">
        <f>股权价值增加表!M40</f>
        <v>23411035.969999999</v>
      </c>
      <c r="N62" s="89">
        <f>股权价值增加表!N40</f>
        <v>25665641.109999999</v>
      </c>
      <c r="O62" s="89">
        <f>股权价值增加表!O40</f>
        <v>4825284.22</v>
      </c>
      <c r="P62" s="89">
        <f>股权价值增加表!P40</f>
        <v>7320978.1500000004</v>
      </c>
      <c r="Q62" s="89">
        <f>股权价值增加表!Q40</f>
        <v>62117400.299999997</v>
      </c>
      <c r="R62" s="89">
        <f>股权价值增加表!R40</f>
        <v>45177222.649999999</v>
      </c>
      <c r="S62" s="89">
        <f>股权价值增加表!S40</f>
        <v>33131603.629999999</v>
      </c>
      <c r="T62" s="89">
        <f>股权价值增加表!T40</f>
        <v>23622168.350000001</v>
      </c>
      <c r="U62" s="89">
        <f>股权价值增加表!U40</f>
        <v>189926754.56999999</v>
      </c>
      <c r="V62" s="89">
        <f>股权价值增加表!V40</f>
        <v>14692601.57</v>
      </c>
      <c r="W62" s="89">
        <f>股权价值增加表!W40</f>
        <v>20413887.32</v>
      </c>
      <c r="X62" s="89">
        <f>股权价值增加表!X40</f>
        <v>13699251.85</v>
      </c>
      <c r="Y62" s="89">
        <f>股权价值增加表!Y40</f>
        <v>61389629.079999998</v>
      </c>
      <c r="Z62" s="89">
        <f>股权价值增加表!Z40</f>
        <v>24682262.829999998</v>
      </c>
      <c r="AA62" s="89">
        <f>股权价值增加表!AA40</f>
        <v>-3729090.37</v>
      </c>
      <c r="AB62" s="89">
        <f>股权价值增加表!AB40</f>
        <v>-145016.56</v>
      </c>
      <c r="AC62" s="89">
        <f>股权价值增加表!AC40</f>
        <v>63669548.700000003</v>
      </c>
    </row>
    <row r="63" spans="1:88" x14ac:dyDescent="0.25">
      <c r="A63" s="184" t="s">
        <v>682</v>
      </c>
      <c r="B63" s="64"/>
      <c r="C63" s="64"/>
      <c r="D63" s="64"/>
      <c r="E63" s="64">
        <f>股权价值增加表!E42</f>
        <v>224187781.70999995</v>
      </c>
      <c r="F63" s="64">
        <f>股权价值增加表!F42</f>
        <v>34413729.899999917</v>
      </c>
      <c r="G63" s="64">
        <f>股权价值增加表!G42</f>
        <v>74399274.719999969</v>
      </c>
      <c r="H63" s="64">
        <f>股权价值增加表!H42</f>
        <v>76170339.939999968</v>
      </c>
      <c r="I63" s="64">
        <f>股权价值增加表!I42</f>
        <v>937986689.3599999</v>
      </c>
      <c r="J63" s="64">
        <f>股权价值增加表!J42</f>
        <v>426336111.29000026</v>
      </c>
      <c r="K63" s="64">
        <f>股权价值增加表!K42</f>
        <v>447193655.90999961</v>
      </c>
      <c r="L63" s="64">
        <f>股权价值增加表!L42</f>
        <v>409278268.83000028</v>
      </c>
      <c r="M63" s="64">
        <f>股权价值增加表!M42</f>
        <v>79437371.470000029</v>
      </c>
      <c r="N63" s="64">
        <f>股权价值增加表!N42</f>
        <v>-5910801.5999999493</v>
      </c>
      <c r="O63" s="64">
        <f>股权价值增加表!O42</f>
        <v>75498011.080000043</v>
      </c>
      <c r="P63" s="64">
        <f>股权价值增加表!P42</f>
        <v>-73892475.840000004</v>
      </c>
      <c r="Q63" s="64">
        <f>股权价值增加表!Q42</f>
        <v>118244349.63000001</v>
      </c>
      <c r="R63" s="64">
        <f>股权价值增加表!R42</f>
        <v>12479508.899999954</v>
      </c>
      <c r="S63" s="64">
        <f>股权价值增加表!S42</f>
        <v>25684472.459999952</v>
      </c>
      <c r="T63" s="64">
        <f>股权价值增加表!T42</f>
        <v>11204823.199999981</v>
      </c>
      <c r="U63" s="64">
        <f>股权价值增加表!U42</f>
        <v>453655580.80000025</v>
      </c>
      <c r="V63" s="64">
        <f>股权价值增加表!V42</f>
        <v>23095821.67999997</v>
      </c>
      <c r="W63" s="64">
        <f>股权价值增加表!W42</f>
        <v>57235174.219999991</v>
      </c>
      <c r="X63" s="64">
        <f>股权价值增加表!X42</f>
        <v>854688.95000001602</v>
      </c>
      <c r="Y63" s="64">
        <f>股权价值增加表!Y42</f>
        <v>410802729.18000001</v>
      </c>
      <c r="Z63" s="64">
        <f>股权价值增加表!Z42</f>
        <v>129787676.91999997</v>
      </c>
      <c r="AA63" s="64">
        <f>股权价值增加表!AA42</f>
        <v>99469951.349999994</v>
      </c>
      <c r="AB63" s="64">
        <f>股权价值增加表!AB42</f>
        <v>-21558089.800000001</v>
      </c>
      <c r="AC63" s="64">
        <f>股权价值增加表!AC42</f>
        <v>231642962.49000007</v>
      </c>
    </row>
    <row r="64" spans="1:88" s="63" customFormat="1" x14ac:dyDescent="0.25">
      <c r="A64" s="214" t="s">
        <v>683</v>
      </c>
      <c r="B64" s="214"/>
      <c r="C64" s="214"/>
      <c r="D64" s="214"/>
      <c r="E64" s="214">
        <f>1-E63/E61</f>
        <v>0.43060053350670346</v>
      </c>
      <c r="F64" s="214">
        <f t="shared" ref="F64:AC64" si="46">1-F63/F61</f>
        <v>0.66762048000686525</v>
      </c>
      <c r="G64" s="214">
        <f t="shared" si="46"/>
        <v>0.45303118694069988</v>
      </c>
      <c r="H64" s="214">
        <f t="shared" si="46"/>
        <v>0.3697931832605249</v>
      </c>
      <c r="I64" s="214">
        <f t="shared" si="46"/>
        <v>0.27185852414514688</v>
      </c>
      <c r="J64" s="214">
        <f t="shared" si="46"/>
        <v>0.30196392896856095</v>
      </c>
      <c r="K64" s="214">
        <f t="shared" si="46"/>
        <v>0.29847202366986325</v>
      </c>
      <c r="L64" s="214">
        <f t="shared" si="46"/>
        <v>0.26964517825238599</v>
      </c>
      <c r="M64" s="214">
        <f t="shared" si="46"/>
        <v>0.22762662595099092</v>
      </c>
      <c r="N64" s="214">
        <f t="shared" si="46"/>
        <v>1.2992077762518828</v>
      </c>
      <c r="O64" s="214">
        <f t="shared" si="46"/>
        <v>6.0073285115831099E-2</v>
      </c>
      <c r="P64" s="214">
        <f t="shared" si="46"/>
        <v>-0.10997166060603325</v>
      </c>
      <c r="Q64" s="214">
        <f t="shared" si="46"/>
        <v>0.34440451106794157</v>
      </c>
      <c r="R64" s="214">
        <f t="shared" si="46"/>
        <v>0.78355504093780071</v>
      </c>
      <c r="S64" s="214">
        <f t="shared" si="46"/>
        <v>0.56330863655885932</v>
      </c>
      <c r="T64" s="214">
        <f t="shared" si="46"/>
        <v>0.67827186037836262</v>
      </c>
      <c r="U64" s="214">
        <f t="shared" si="46"/>
        <v>0.29510871279711193</v>
      </c>
      <c r="V64" s="214">
        <f t="shared" si="46"/>
        <v>0.38881224211968179</v>
      </c>
      <c r="W64" s="214">
        <f t="shared" si="46"/>
        <v>0.26289934372850121</v>
      </c>
      <c r="X64" s="214">
        <f t="shared" si="46"/>
        <v>0.94127439696607706</v>
      </c>
      <c r="Y64" s="214">
        <f t="shared" si="46"/>
        <v>0.13000978945575703</v>
      </c>
      <c r="Z64" s="214">
        <f t="shared" si="46"/>
        <v>0.15978683535415827</v>
      </c>
      <c r="AA64" s="214">
        <f t="shared" si="46"/>
        <v>-3.8949831157033321E-2</v>
      </c>
      <c r="AB64" s="214">
        <f t="shared" si="46"/>
        <v>6.6818342772937411E-3</v>
      </c>
      <c r="AC64" s="214">
        <f t="shared" si="46"/>
        <v>0.21560058002092519</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704</v>
      </c>
      <c r="B69" s="286"/>
      <c r="C69" s="286"/>
      <c r="D69" s="286"/>
      <c r="E69" s="286"/>
      <c r="F69" s="257"/>
      <c r="G69" s="257"/>
      <c r="H69" s="257"/>
      <c r="I69" s="257" t="s">
        <v>708</v>
      </c>
      <c r="J69" s="257"/>
      <c r="K69" s="257"/>
      <c r="L69" s="257"/>
      <c r="M69" s="257" t="s">
        <v>709</v>
      </c>
    </row>
    <row r="70" spans="1:29" ht="57.6" x14ac:dyDescent="0.25">
      <c r="A70" s="287" t="s">
        <v>705</v>
      </c>
      <c r="B70" s="65"/>
      <c r="C70" s="65"/>
      <c r="D70" s="65"/>
      <c r="E70" s="65" t="s">
        <v>706</v>
      </c>
      <c r="F70" s="65"/>
      <c r="G70" s="65"/>
      <c r="H70" s="65"/>
      <c r="I70" s="258" t="s">
        <v>710</v>
      </c>
      <c r="J70" s="259"/>
      <c r="K70" s="259"/>
      <c r="L70" s="259"/>
      <c r="M70" s="258" t="s">
        <v>711</v>
      </c>
    </row>
    <row r="71" spans="1:29" ht="54.6" customHeight="1" x14ac:dyDescent="0.25">
      <c r="A71" s="287"/>
      <c r="B71" s="65"/>
      <c r="C71" s="65"/>
      <c r="D71" s="65"/>
      <c r="E71" s="65" t="s">
        <v>707</v>
      </c>
      <c r="F71" s="65"/>
      <c r="G71" s="65"/>
      <c r="H71" s="65"/>
      <c r="I71" s="258" t="s">
        <v>712</v>
      </c>
      <c r="J71" s="259"/>
      <c r="K71" s="259"/>
      <c r="L71" s="259"/>
      <c r="M71" s="258" t="s">
        <v>713</v>
      </c>
    </row>
    <row r="72" spans="1:29" ht="57.6" x14ac:dyDescent="0.25">
      <c r="A72" s="287" t="s">
        <v>721</v>
      </c>
      <c r="B72" s="65"/>
      <c r="C72" s="65"/>
      <c r="D72" s="65"/>
      <c r="E72" s="65" t="s">
        <v>714</v>
      </c>
      <c r="F72" s="65"/>
      <c r="G72" s="65"/>
      <c r="H72" s="65"/>
      <c r="I72" s="258" t="s">
        <v>722</v>
      </c>
      <c r="J72" s="259"/>
      <c r="K72" s="259"/>
      <c r="L72" s="259"/>
      <c r="M72" s="258" t="s">
        <v>723</v>
      </c>
    </row>
    <row r="73" spans="1:29" ht="43.2" x14ac:dyDescent="0.25">
      <c r="A73" s="287"/>
      <c r="B73" s="65"/>
      <c r="C73" s="65"/>
      <c r="D73" s="65"/>
      <c r="E73" s="65" t="s">
        <v>715</v>
      </c>
      <c r="F73" s="65"/>
      <c r="G73" s="65"/>
      <c r="H73" s="65"/>
      <c r="I73" s="258" t="s">
        <v>724</v>
      </c>
      <c r="J73" s="259"/>
      <c r="K73" s="259"/>
      <c r="L73" s="259"/>
      <c r="M73" s="258" t="s">
        <v>725</v>
      </c>
    </row>
    <row r="74" spans="1:29" ht="72" x14ac:dyDescent="0.25">
      <c r="A74" s="287"/>
      <c r="B74" s="65"/>
      <c r="C74" s="65"/>
      <c r="D74" s="65"/>
      <c r="E74" s="65" t="s">
        <v>716</v>
      </c>
      <c r="F74" s="65"/>
      <c r="G74" s="65"/>
      <c r="H74" s="65"/>
      <c r="I74" s="258" t="s">
        <v>726</v>
      </c>
      <c r="J74" s="259"/>
      <c r="K74" s="259"/>
      <c r="L74" s="259"/>
      <c r="M74" s="258" t="s">
        <v>727</v>
      </c>
    </row>
    <row r="75" spans="1:29" ht="72" x14ac:dyDescent="0.25">
      <c r="A75" s="287"/>
      <c r="B75" s="65"/>
      <c r="C75" s="65"/>
      <c r="D75" s="65"/>
      <c r="E75" s="65" t="s">
        <v>717</v>
      </c>
      <c r="F75" s="65"/>
      <c r="G75" s="65"/>
      <c r="H75" s="65"/>
      <c r="I75" s="258" t="s">
        <v>728</v>
      </c>
      <c r="J75" s="259"/>
      <c r="K75" s="259"/>
      <c r="L75" s="259"/>
      <c r="M75" s="258" t="s">
        <v>729</v>
      </c>
    </row>
    <row r="76" spans="1:29" x14ac:dyDescent="0.25">
      <c r="A76" s="287"/>
      <c r="B76" s="65"/>
      <c r="C76" s="65"/>
      <c r="D76" s="65"/>
      <c r="E76" s="65" t="s">
        <v>718</v>
      </c>
      <c r="F76" s="65"/>
      <c r="G76" s="65"/>
      <c r="H76" s="65"/>
      <c r="I76" s="258" t="s">
        <v>730</v>
      </c>
      <c r="J76" s="259"/>
      <c r="K76" s="259"/>
      <c r="L76" s="259"/>
      <c r="M76" s="258" t="s">
        <v>731</v>
      </c>
    </row>
    <row r="77" spans="1:29" ht="57.6" x14ac:dyDescent="0.25">
      <c r="A77" s="287"/>
      <c r="B77" s="65"/>
      <c r="C77" s="65"/>
      <c r="D77" s="65"/>
      <c r="E77" s="65" t="s">
        <v>719</v>
      </c>
      <c r="F77" s="65"/>
      <c r="G77" s="65"/>
      <c r="H77" s="65"/>
      <c r="I77" s="258" t="s">
        <v>732</v>
      </c>
      <c r="J77" s="259"/>
      <c r="K77" s="259"/>
      <c r="L77" s="259"/>
      <c r="M77" s="258" t="s">
        <v>733</v>
      </c>
    </row>
    <row r="78" spans="1:29" ht="57.6" x14ac:dyDescent="0.25">
      <c r="A78" s="287"/>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3" width="18.33203125" hidden="1" customWidth="1"/>
    <col min="44" max="44" width="20.44140625" hidden="1" customWidth="1"/>
    <col min="45" max="45" width="20.44140625" bestFit="1" customWidth="1"/>
    <col min="46" max="48" width="20.44140625" hidden="1" customWidth="1"/>
    <col min="49" max="49" width="20.44140625" bestFit="1" customWidth="1"/>
    <col min="50" max="52" width="18.33203125" hidden="1" customWidth="1"/>
    <col min="53" max="53" width="18.33203125" bestFit="1" customWidth="1"/>
    <col min="54" max="56" width="17.21875" hidden="1" customWidth="1"/>
    <col min="57" max="57" width="18.33203125" bestFit="1" customWidth="1"/>
    <col min="58" max="59" width="17.21875" hidden="1" customWidth="1"/>
    <col min="60" max="60" width="18.33203125" hidden="1" customWidth="1"/>
    <col min="61" max="61" width="17.21875" bestFit="1" customWidth="1"/>
    <col min="62" max="63" width="18.33203125" hidden="1" customWidth="1"/>
    <col min="64" max="64" width="17.21875" hidden="1" customWidth="1"/>
    <col min="65" max="65" width="17.21875" bestFit="1" customWidth="1"/>
    <col min="66" max="68" width="18.33203125" hidden="1" customWidth="1"/>
    <col min="69" max="69" width="18.33203125" bestFit="1" customWidth="1"/>
    <col min="70" max="70" width="18.33203125" hidden="1" customWidth="1"/>
    <col min="71" max="71" width="18.33203125" bestFit="1" customWidth="1"/>
    <col min="72" max="72" width="17.21875" hidden="1" customWidth="1"/>
    <col min="73" max="73" width="17.21875" bestFit="1" customWidth="1"/>
    <col min="74" max="74" width="17.21875" hidden="1" customWidth="1"/>
    <col min="75" max="75" width="17.21875" bestFit="1" customWidth="1"/>
    <col min="76" max="76" width="17.21875" hidden="1" customWidth="1"/>
    <col min="77" max="77" width="17.21875" bestFit="1" customWidth="1"/>
    <col min="78" max="78" width="17.21875" hidden="1" customWidth="1"/>
    <col min="79" max="81" width="17.2187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36707</v>
      </c>
      <c r="BU1" s="1">
        <v>36525</v>
      </c>
      <c r="BV1" s="1">
        <v>36341</v>
      </c>
      <c r="BW1" s="1">
        <v>36160</v>
      </c>
      <c r="BX1" s="1">
        <v>35976</v>
      </c>
      <c r="BY1" s="1">
        <v>35795</v>
      </c>
      <c r="BZ1" s="1">
        <v>35611</v>
      </c>
      <c r="CA1" s="1">
        <v>35430</v>
      </c>
      <c r="CB1" s="1">
        <v>35064</v>
      </c>
      <c r="CC1" s="1">
        <v>34699</v>
      </c>
      <c r="CD1" s="1">
        <v>25569</v>
      </c>
      <c r="CE1" s="1"/>
      <c r="CF1" s="1"/>
      <c r="CG1" s="1"/>
      <c r="CH1" s="1"/>
      <c r="CI1" s="1"/>
      <c r="CJ1" s="1"/>
      <c r="CK1" s="1"/>
    </row>
    <row r="2" spans="1:89" s="26" customFormat="1" x14ac:dyDescent="0.25">
      <c r="A2" s="17" t="s">
        <v>425</v>
      </c>
      <c r="E2" s="26">
        <f>股权价值增加表!E42</f>
        <v>224187781.70999995</v>
      </c>
      <c r="F2" s="26">
        <f>股权价值增加表!F42</f>
        <v>34413729.899999917</v>
      </c>
      <c r="G2" s="26">
        <f>股权价值增加表!G42</f>
        <v>74399274.719999969</v>
      </c>
      <c r="H2" s="26">
        <f>股权价值增加表!H42</f>
        <v>76170339.939999968</v>
      </c>
      <c r="I2" s="26">
        <f>股权价值增加表!I42</f>
        <v>937986689.3599999</v>
      </c>
      <c r="J2" s="26">
        <f>股权价值增加表!J42</f>
        <v>426336111.29000026</v>
      </c>
      <c r="K2" s="26">
        <f>股权价值增加表!K42</f>
        <v>447193655.90999961</v>
      </c>
      <c r="L2" s="26">
        <f>股权价值增加表!L42</f>
        <v>409278268.83000028</v>
      </c>
      <c r="M2" s="26">
        <f>股权价值增加表!M42</f>
        <v>79437371.470000029</v>
      </c>
      <c r="N2" s="26">
        <f>股权价值增加表!N42</f>
        <v>-5910801.5999999493</v>
      </c>
      <c r="O2" s="26">
        <f>股权价值增加表!O42</f>
        <v>75498011.080000043</v>
      </c>
      <c r="P2" s="26">
        <f>股权价值增加表!P42</f>
        <v>-73892475.840000004</v>
      </c>
      <c r="Q2" s="26">
        <f>股权价值增加表!Q42</f>
        <v>118244349.63000001</v>
      </c>
      <c r="R2" s="26">
        <f>股权价值增加表!R42</f>
        <v>12479508.899999954</v>
      </c>
      <c r="S2" s="26">
        <f>股权价值增加表!S42</f>
        <v>25684472.459999952</v>
      </c>
      <c r="T2" s="26">
        <f>股权价值增加表!T42</f>
        <v>11204823.199999981</v>
      </c>
      <c r="U2" s="26">
        <f>股权价值增加表!U42</f>
        <v>453655580.80000025</v>
      </c>
      <c r="V2" s="26">
        <f>股权价值增加表!V42</f>
        <v>23095821.67999997</v>
      </c>
      <c r="W2" s="26">
        <f>股权价值增加表!W42</f>
        <v>57235174.219999991</v>
      </c>
      <c r="X2" s="26">
        <f>股权价值增加表!X42</f>
        <v>854688.95000001602</v>
      </c>
      <c r="Y2" s="26">
        <f>股权价值增加表!Y42</f>
        <v>410802729.18000001</v>
      </c>
      <c r="Z2" s="26">
        <f>股权价值增加表!Z42</f>
        <v>129787676.91999997</v>
      </c>
      <c r="AA2" s="26">
        <f>股权价值增加表!AA42</f>
        <v>99469951.349999994</v>
      </c>
      <c r="AB2" s="26">
        <f>股权价值增加表!AB42</f>
        <v>-21558089.800000001</v>
      </c>
      <c r="AC2" s="26">
        <f>股权价值增加表!AC42</f>
        <v>231642962.49000007</v>
      </c>
      <c r="AD2" s="26">
        <f>股权价值增加表!AD42</f>
        <v>-31095058.109999999</v>
      </c>
      <c r="AE2" s="26">
        <f>股权价值增加表!AE42</f>
        <v>-19002304.210000001</v>
      </c>
      <c r="AF2" s="26">
        <f>股权价值增加表!AF42</f>
        <v>-6479405.6600000011</v>
      </c>
      <c r="AG2" s="26">
        <f>股权价值增加表!AG42</f>
        <v>4964195.3999999985</v>
      </c>
      <c r="AH2" s="26">
        <f>股权价值增加表!AH42</f>
        <v>-8468186.2799999975</v>
      </c>
      <c r="AI2" s="26">
        <f>股权价值增加表!AI42</f>
        <v>3956450.6099999994</v>
      </c>
      <c r="AJ2" s="26">
        <f>股权价值增加表!AJ42</f>
        <v>5121351.5300000012</v>
      </c>
      <c r="AK2" s="26">
        <f>股权价值增加表!AK42</f>
        <v>7426948.7699999958</v>
      </c>
      <c r="AL2" s="26">
        <f>股权价值增加表!AL42</f>
        <v>-39352711.189999998</v>
      </c>
      <c r="AM2" s="26">
        <f>股权价值增加表!AM42</f>
        <v>-23045205.369999997</v>
      </c>
      <c r="AN2" s="26">
        <f>股权价值增加表!AN42</f>
        <v>1235008.459999999</v>
      </c>
      <c r="AO2" s="26">
        <f>股权价值增加表!AO42</f>
        <v>3220275.7200000016</v>
      </c>
      <c r="AP2" s="26">
        <f>股权价值增加表!AP42</f>
        <v>-24939801.570000008</v>
      </c>
      <c r="AQ2" s="26">
        <f>股权价值增加表!AQ42</f>
        <v>55893134.75</v>
      </c>
      <c r="AR2" s="26">
        <f>股权价值增加表!AR42</f>
        <v>22113116.32</v>
      </c>
      <c r="AS2" s="26">
        <f>股权价值增加表!AS42</f>
        <v>31557092.699999981</v>
      </c>
      <c r="AT2" s="26">
        <f>股权价值增加表!AT42</f>
        <v>-48487022.650000006</v>
      </c>
      <c r="AU2" s="26">
        <f>股权价值增加表!AU42</f>
        <v>-29616942.849999983</v>
      </c>
      <c r="AV2" s="26">
        <f>股权价值增加表!AV42</f>
        <v>-16047430.160000004</v>
      </c>
      <c r="AW2" s="26">
        <f>股权价值增加表!AW42</f>
        <v>-770441732.03000009</v>
      </c>
      <c r="AX2" s="26">
        <f>股权价值增加表!AX42</f>
        <v>-63457312.609999999</v>
      </c>
      <c r="AY2" s="26">
        <f>股权价值增加表!AY42</f>
        <v>-49393492.11999999</v>
      </c>
      <c r="AZ2" s="26">
        <f>股权价值增加表!AZ42</f>
        <v>-18547132.919999994</v>
      </c>
      <c r="BA2" s="26">
        <f>股权价值增加表!BA42</f>
        <v>-443390685.4600001</v>
      </c>
      <c r="BB2" s="26">
        <f>股权价值增加表!BB42</f>
        <v>-72591347.950000003</v>
      </c>
      <c r="BC2" s="26">
        <f>股权价值增加表!BC42</f>
        <v>-55933688.319999993</v>
      </c>
      <c r="BD2" s="26">
        <f>股权价值增加表!BD42</f>
        <v>-18941067.280000001</v>
      </c>
      <c r="BE2" s="26">
        <f>股权价值增加表!BE42</f>
        <v>-183016369.83000007</v>
      </c>
      <c r="BF2" s="26">
        <f>股权价值增加表!BF42</f>
        <v>-3884359.2800000054</v>
      </c>
      <c r="BG2" s="26">
        <f>股权价值增加表!BG42</f>
        <v>4878607.9700000081</v>
      </c>
      <c r="BH2" s="26">
        <f>股权价值增加表!BH42</f>
        <v>1755361.6400000162</v>
      </c>
      <c r="BI2" s="26">
        <f>股权价值增加表!BI42</f>
        <v>15172382.659999948</v>
      </c>
      <c r="BJ2" s="26">
        <f>股权价值增加表!BJ42</f>
        <v>8161960.4799999669</v>
      </c>
      <c r="BK2" s="26">
        <f>股权价值增加表!BK42</f>
        <v>5148964.649999978</v>
      </c>
      <c r="BL2" s="26">
        <f>股权价值增加表!BL42</f>
        <v>614489.42000000086</v>
      </c>
      <c r="BM2" s="26">
        <f>股权价值增加表!BM42</f>
        <v>12647564.730000058</v>
      </c>
      <c r="BN2" s="26">
        <f>股权价值增加表!BN42</f>
        <v>9593165.9600000121</v>
      </c>
      <c r="BO2" s="26">
        <f>股权价值增加表!BO42</f>
        <v>9867879.6799999755</v>
      </c>
      <c r="BP2" s="26">
        <f>股权价值增加表!BP42</f>
        <v>1786931.0000000005</v>
      </c>
      <c r="BQ2" s="26">
        <f>股权价值增加表!BQ42</f>
        <v>30170001.220000077</v>
      </c>
      <c r="BR2" s="26">
        <f>股权价值增加表!BR42</f>
        <v>17893332.419999987</v>
      </c>
      <c r="BS2" s="26">
        <f>股权价值增加表!BS42</f>
        <v>36856085.100000001</v>
      </c>
      <c r="BT2" s="26">
        <f>股权价值增加表!BT42</f>
        <v>19172872.149999999</v>
      </c>
      <c r="BU2" s="26">
        <f>股权价值增加表!BU42</f>
        <v>19836124.109999992</v>
      </c>
      <c r="BV2" s="26">
        <f>股权价值增加表!BV42</f>
        <v>7695370.2900000038</v>
      </c>
      <c r="BW2" s="26">
        <f>股权价值增加表!BW42</f>
        <v>18869422.430000003</v>
      </c>
      <c r="BX2" s="26">
        <f>股权价值增加表!BX42</f>
        <v>7006262.29</v>
      </c>
      <c r="BY2" s="26">
        <f>股权价值增加表!BY42</f>
        <v>13210763.869999997</v>
      </c>
      <c r="BZ2" s="26">
        <f>股权价值增加表!BZ42</f>
        <v>4482166.0100000007</v>
      </c>
      <c r="CA2" s="26">
        <f>股权价值增加表!CA42</f>
        <v>10644864.33</v>
      </c>
      <c r="CB2" s="26">
        <f>股权价值增加表!CB42</f>
        <v>15660324.800000001</v>
      </c>
      <c r="CC2" s="26">
        <f>股权价值增加表!CC42</f>
        <v>13734864.340000004</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6352383930.3800001</v>
      </c>
      <c r="F3" s="26">
        <f>资产资本表!F107</f>
        <v>6447034863.5</v>
      </c>
      <c r="G3" s="26">
        <f>资产资本表!G107</f>
        <v>6486478392.71</v>
      </c>
      <c r="H3" s="26">
        <f>资产资本表!H107</f>
        <v>6437598842.7399998</v>
      </c>
      <c r="I3" s="26">
        <f>资产资本表!I107</f>
        <v>6622168000.7600002</v>
      </c>
      <c r="J3" s="26">
        <f>资产资本表!J107</f>
        <v>6119169497.5500002</v>
      </c>
      <c r="K3" s="26">
        <f>资产资本表!K107</f>
        <v>6275809860.8500004</v>
      </c>
      <c r="L3" s="26">
        <f>资产资本表!L107</f>
        <v>3423046573.1700001</v>
      </c>
      <c r="M3" s="26">
        <f>资产资本表!M107</f>
        <v>3013768304.3400002</v>
      </c>
      <c r="N3" s="26">
        <f>资产资本表!N107</f>
        <v>3103130003.5100002</v>
      </c>
      <c r="O3" s="26">
        <f>资产资本表!O107</f>
        <v>3164838587.5599999</v>
      </c>
      <c r="P3" s="26">
        <f>资产资本表!P107</f>
        <v>3007216286.5100002</v>
      </c>
      <c r="Q3" s="26">
        <f>资产资本表!Q107</f>
        <v>3071108762.3499999</v>
      </c>
      <c r="R3" s="26">
        <f>资产资本表!R107</f>
        <v>1965484173.4400001</v>
      </c>
      <c r="S3" s="26">
        <f>资产资本表!S107</f>
        <v>1978688218.71</v>
      </c>
      <c r="T3" s="26">
        <f>资产资本表!T107</f>
        <v>1964208569.45</v>
      </c>
      <c r="U3" s="26">
        <f>资产资本表!U107</f>
        <v>1943003746.25</v>
      </c>
      <c r="V3" s="26">
        <f>资产资本表!V107</f>
        <v>1506748270.3099999</v>
      </c>
      <c r="W3" s="26">
        <f>资产资本表!W107</f>
        <v>1460877622.8499999</v>
      </c>
      <c r="X3" s="26">
        <f>资产资本表!X107</f>
        <v>1404497137.5799999</v>
      </c>
      <c r="Y3" s="26">
        <f>资产资本表!Y107</f>
        <v>1391588016.6300001</v>
      </c>
      <c r="Z3" s="26">
        <f>资产资本表!Z107</f>
        <v>1107801224.8800001</v>
      </c>
      <c r="AA3" s="26">
        <f>资产资本表!AA107</f>
        <v>1077483499.3099999</v>
      </c>
      <c r="AB3" s="26">
        <f>资产资本表!AB107</f>
        <v>955945458.15999997</v>
      </c>
      <c r="AC3" s="26">
        <f>资产资本表!AC107</f>
        <v>977503547.96000004</v>
      </c>
      <c r="AD3" s="26">
        <f>资产资本表!AD107</f>
        <v>-1055921416.9000001</v>
      </c>
      <c r="AE3" s="26">
        <f>资产资本表!AE107</f>
        <v>-1043828663</v>
      </c>
      <c r="AF3" s="26">
        <f>资产资本表!AF107</f>
        <v>-1031305764.4499999</v>
      </c>
      <c r="AG3" s="26">
        <f>资产资本表!AG107</f>
        <v>-1024826358.7900001</v>
      </c>
      <c r="AH3" s="26">
        <f>资产资本表!AH107</f>
        <v>-1038258740.4699999</v>
      </c>
      <c r="AI3" s="26">
        <f>资产资本表!AI107</f>
        <v>-1025834103.58</v>
      </c>
      <c r="AJ3" s="26">
        <f>资产资本表!AJ107</f>
        <v>-1024669202.66</v>
      </c>
      <c r="AK3" s="26">
        <f>资产资本表!AK107</f>
        <v>-1029790554.1900001</v>
      </c>
      <c r="AL3" s="26">
        <f>资产资本表!AL107</f>
        <v>-1076570214.1500001</v>
      </c>
      <c r="AM3" s="26">
        <f>资产资本表!AM107</f>
        <v>-1060262708.3299999</v>
      </c>
      <c r="AN3" s="26">
        <f>资产资本表!AN107</f>
        <v>-1035982494.5</v>
      </c>
      <c r="AO3" s="26">
        <f>资产资本表!AO107</f>
        <v>-1037217502.96</v>
      </c>
      <c r="AP3" s="26">
        <f>资产资本表!AP107</f>
        <v>-1065219378.6799999</v>
      </c>
      <c r="AQ3" s="26">
        <f>资产资本表!AQ107</f>
        <v>-984544643.92999995</v>
      </c>
      <c r="AR3" s="26">
        <f>资产资本表!AR107</f>
        <v>-1018324662.37</v>
      </c>
      <c r="AS3" s="26">
        <f>资产资本表!AS107</f>
        <v>-1040437778.6799999</v>
      </c>
      <c r="AT3" s="26">
        <f>资产资本表!AT107</f>
        <v>-1114806971.4300001</v>
      </c>
      <c r="AU3" s="26">
        <f>资产资本表!AU107</f>
        <v>-1095886891.6299999</v>
      </c>
      <c r="AV3" s="26">
        <f>资产资本表!AV107</f>
        <v>-1082317378.9300001</v>
      </c>
      <c r="AW3" s="26">
        <f>资产资本表!AW107</f>
        <v>-1071407797.1</v>
      </c>
      <c r="AX3" s="26">
        <f>资产资本表!AX107</f>
        <v>-364409975.45000005</v>
      </c>
      <c r="AY3" s="26">
        <f>资产资本表!AY107</f>
        <v>-350373819.86000001</v>
      </c>
      <c r="AZ3" s="26">
        <f>资产资本表!AZ107</f>
        <v>-322803201.73000002</v>
      </c>
      <c r="BA3" s="26">
        <f>资产资本表!BA107</f>
        <v>-301003049.14999998</v>
      </c>
      <c r="BB3" s="26">
        <f>资产资本表!BB107</f>
        <v>69519586.5</v>
      </c>
      <c r="BC3" s="26">
        <f>资产资本表!BC107</f>
        <v>86294922.359999999</v>
      </c>
      <c r="BD3" s="26">
        <f>资产资本表!BD107</f>
        <v>123359055.77</v>
      </c>
      <c r="BE3" s="26">
        <f>资产资本表!BE107</f>
        <v>142606280.47999999</v>
      </c>
      <c r="BF3" s="26">
        <f>资产资本表!BF107</f>
        <v>320184679.37</v>
      </c>
      <c r="BG3" s="26">
        <f>资产资本表!BG107</f>
        <v>325447646.62</v>
      </c>
      <c r="BH3" s="26">
        <f>资产资本表!BH107</f>
        <v>323528473.12</v>
      </c>
      <c r="BI3" s="26">
        <f>资产资本表!BI107</f>
        <v>321803981.69</v>
      </c>
      <c r="BJ3" s="26">
        <f>资产资本表!BJ107</f>
        <v>334934941.16999996</v>
      </c>
      <c r="BK3" s="26">
        <f>资产资本表!BK107</f>
        <v>331874559.22000003</v>
      </c>
      <c r="BL3" s="26">
        <f>资产资本表!BL107</f>
        <v>325278086.61000001</v>
      </c>
      <c r="BM3" s="26">
        <f>资产资本表!BM107</f>
        <v>324206521.53000003</v>
      </c>
      <c r="BN3" s="26">
        <f>资产资本表!BN107</f>
        <v>318051094.69999999</v>
      </c>
      <c r="BO3" s="26">
        <f>资产资本表!BO107</f>
        <v>318842550.87</v>
      </c>
      <c r="BP3" s="26">
        <f>资产资本表!BP107</f>
        <v>309582857.23000002</v>
      </c>
      <c r="BQ3" s="26">
        <f>资产资本表!BQ107</f>
        <v>307460264.46999997</v>
      </c>
      <c r="BR3" s="26">
        <f>资产资本表!BR107</f>
        <v>292915481.10999995</v>
      </c>
      <c r="BS3" s="26">
        <f>资产资本表!BS107</f>
        <v>292229523.38</v>
      </c>
      <c r="BT3" s="26">
        <f>资产资本表!BT107</f>
        <v>279791032.28000003</v>
      </c>
      <c r="BU3" s="26">
        <f>资产资本表!BU107</f>
        <v>259836913.32999998</v>
      </c>
      <c r="BV3" s="26">
        <f>资产资本表!BV107</f>
        <v>179489695.34999999</v>
      </c>
      <c r="BW3" s="26">
        <f>资产资本表!BW107</f>
        <v>152981451.19</v>
      </c>
      <c r="BX3" s="26">
        <f>资产资本表!BX107</f>
        <v>139456586.28</v>
      </c>
      <c r="BY3" s="26">
        <f>资产资本表!BY107</f>
        <v>132441445.2</v>
      </c>
      <c r="BZ3" s="26">
        <f>资产资本表!BZ107</f>
        <v>41132336.350000001</v>
      </c>
      <c r="CA3" s="26">
        <f>资产资本表!CA107</f>
        <v>35592429.560000002</v>
      </c>
      <c r="CB3" s="26">
        <f>资产资本表!CB107</f>
        <v>30761737.379999999</v>
      </c>
      <c r="CC3" s="26">
        <f>资产资本表!CC107</f>
        <v>26488366.129999999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3.5291913109633005E-2</v>
      </c>
      <c r="F4" s="59">
        <f t="shared" ref="F4:BQ4" si="0">F2/F3</f>
        <v>5.3379158991110542E-3</v>
      </c>
      <c r="G4" s="59">
        <f t="shared" si="0"/>
        <v>1.1469902498035846E-2</v>
      </c>
      <c r="H4" s="59">
        <f t="shared" si="0"/>
        <v>1.1832104143286445E-2</v>
      </c>
      <c r="I4" s="59">
        <f t="shared" si="0"/>
        <v>0.14164344505490511</v>
      </c>
      <c r="J4" s="59">
        <f t="shared" si="0"/>
        <v>6.9672218012705345E-2</v>
      </c>
      <c r="K4" s="59">
        <f t="shared" si="0"/>
        <v>7.1256724761484633E-2</v>
      </c>
      <c r="L4" s="59">
        <f t="shared" si="0"/>
        <v>0.11956549818455366</v>
      </c>
      <c r="M4" s="59">
        <f t="shared" si="0"/>
        <v>2.6358154790998907E-2</v>
      </c>
      <c r="N4" s="59">
        <f t="shared" si="0"/>
        <v>-1.9047869709983619E-3</v>
      </c>
      <c r="O4" s="59">
        <f t="shared" si="0"/>
        <v>2.3855248535188917E-2</v>
      </c>
      <c r="P4" s="59">
        <f t="shared" si="0"/>
        <v>-2.4571719756730667E-2</v>
      </c>
      <c r="Q4" s="59">
        <f t="shared" si="0"/>
        <v>3.8502169340144082E-2</v>
      </c>
      <c r="R4" s="59">
        <f t="shared" si="0"/>
        <v>6.3493306477041007E-3</v>
      </c>
      <c r="S4" s="59">
        <f t="shared" si="0"/>
        <v>1.2980555611103234E-2</v>
      </c>
      <c r="T4" s="59">
        <f t="shared" si="0"/>
        <v>5.7044976660179493E-3</v>
      </c>
      <c r="U4" s="59">
        <f t="shared" si="0"/>
        <v>0.23348157803378206</v>
      </c>
      <c r="V4" s="59">
        <f t="shared" si="0"/>
        <v>1.5328254981336871E-2</v>
      </c>
      <c r="W4" s="59">
        <f t="shared" si="0"/>
        <v>3.9178623400597322E-2</v>
      </c>
      <c r="X4" s="59">
        <f t="shared" si="0"/>
        <v>6.0853733847594479E-4</v>
      </c>
      <c r="Y4" s="59">
        <f t="shared" si="0"/>
        <v>0.29520427329838494</v>
      </c>
      <c r="Z4" s="59">
        <f t="shared" si="0"/>
        <v>0.11715791064778694</v>
      </c>
      <c r="AA4" s="59">
        <f t="shared" si="0"/>
        <v>9.2316913821602536E-2</v>
      </c>
      <c r="AB4" s="59">
        <f t="shared" si="0"/>
        <v>-2.2551589754393444E-2</v>
      </c>
      <c r="AC4" s="59">
        <f t="shared" si="0"/>
        <v>0.23697403756070973</v>
      </c>
      <c r="AD4" s="59">
        <f t="shared" si="0"/>
        <v>2.9448269172614786E-2</v>
      </c>
      <c r="AE4" s="59">
        <f t="shared" si="0"/>
        <v>1.8204428450342335E-2</v>
      </c>
      <c r="AF4" s="59">
        <f t="shared" si="0"/>
        <v>6.2827202982381246E-3</v>
      </c>
      <c r="AG4" s="59">
        <f t="shared" si="0"/>
        <v>-4.8439380558684721E-3</v>
      </c>
      <c r="AH4" s="59">
        <f t="shared" si="0"/>
        <v>8.1561425393506543E-3</v>
      </c>
      <c r="AI4" s="59">
        <f t="shared" si="0"/>
        <v>-3.8568132958268862E-3</v>
      </c>
      <c r="AJ4" s="59">
        <f t="shared" si="0"/>
        <v>-4.9980535344530501E-3</v>
      </c>
      <c r="AK4" s="59">
        <f t="shared" si="0"/>
        <v>-7.2120964207540179E-3</v>
      </c>
      <c r="AL4" s="59">
        <f t="shared" si="0"/>
        <v>3.6553780397008948E-2</v>
      </c>
      <c r="AM4" s="59">
        <f t="shared" si="0"/>
        <v>2.173537293063723E-2</v>
      </c>
      <c r="AN4" s="59">
        <f t="shared" si="0"/>
        <v>-1.1921132514850607E-3</v>
      </c>
      <c r="AO4" s="59">
        <f t="shared" si="0"/>
        <v>-3.1047255863018257E-3</v>
      </c>
      <c r="AP4" s="59">
        <f t="shared" si="0"/>
        <v>2.3412831261955584E-2</v>
      </c>
      <c r="AQ4" s="59">
        <f t="shared" si="0"/>
        <v>-5.6770543717440551E-2</v>
      </c>
      <c r="AR4" s="59">
        <f t="shared" si="0"/>
        <v>-2.1715192744654728E-2</v>
      </c>
      <c r="AS4" s="59">
        <f t="shared" si="0"/>
        <v>-3.0330590974922463E-2</v>
      </c>
      <c r="AT4" s="59">
        <f t="shared" si="0"/>
        <v>4.3493648580080264E-2</v>
      </c>
      <c r="AU4" s="59">
        <f t="shared" si="0"/>
        <v>2.7025547140132632E-2</v>
      </c>
      <c r="AV4" s="59">
        <f t="shared" si="0"/>
        <v>1.4826917198599181E-2</v>
      </c>
      <c r="AW4" s="59">
        <f t="shared" si="0"/>
        <v>0.7190928926552238</v>
      </c>
      <c r="AX4" s="59">
        <f t="shared" si="0"/>
        <v>0.17413714465867264</v>
      </c>
      <c r="AY4" s="59">
        <f t="shared" si="0"/>
        <v>0.14097369529417553</v>
      </c>
      <c r="AZ4" s="59">
        <f t="shared" si="0"/>
        <v>5.745647137512979E-2</v>
      </c>
      <c r="BA4" s="59">
        <f t="shared" si="0"/>
        <v>1.473043833649152</v>
      </c>
      <c r="BB4" s="59">
        <f t="shared" si="0"/>
        <v>-1.0441855540956073</v>
      </c>
      <c r="BC4" s="59">
        <f t="shared" si="0"/>
        <v>-0.64816893961221933</v>
      </c>
      <c r="BD4" s="59">
        <f t="shared" si="0"/>
        <v>-0.15354419796561322</v>
      </c>
      <c r="BE4" s="59">
        <f t="shared" si="0"/>
        <v>-1.2833682304452745</v>
      </c>
      <c r="BF4" s="59">
        <f t="shared" si="0"/>
        <v>-1.2131621311934496E-2</v>
      </c>
      <c r="BG4" s="59">
        <f t="shared" si="0"/>
        <v>1.4990453981363032E-2</v>
      </c>
      <c r="BH4" s="59">
        <f t="shared" si="0"/>
        <v>5.4256789922441685E-3</v>
      </c>
      <c r="BI4" s="59">
        <f t="shared" si="0"/>
        <v>4.7147902211526385E-2</v>
      </c>
      <c r="BJ4" s="59">
        <f t="shared" si="0"/>
        <v>2.4368793687181395E-2</v>
      </c>
      <c r="BK4" s="59">
        <f t="shared" si="0"/>
        <v>1.5514791679427056E-2</v>
      </c>
      <c r="BL4" s="59">
        <f t="shared" si="0"/>
        <v>1.8891202490893821E-3</v>
      </c>
      <c r="BM4" s="59">
        <f t="shared" si="0"/>
        <v>3.901082763638896E-2</v>
      </c>
      <c r="BN4" s="59">
        <f t="shared" si="0"/>
        <v>3.0162342214381355E-2</v>
      </c>
      <c r="BO4" s="59">
        <f t="shared" si="0"/>
        <v>3.0949067660744421E-2</v>
      </c>
      <c r="BP4" s="59">
        <f t="shared" si="0"/>
        <v>5.7720605591298178E-3</v>
      </c>
      <c r="BQ4" s="59">
        <f t="shared" si="0"/>
        <v>9.8126505133946745E-2</v>
      </c>
      <c r="BR4" s="59">
        <f t="shared" ref="BR4:CJ4" si="1">BR2/BR3</f>
        <v>6.108701510822645E-2</v>
      </c>
      <c r="BS4" s="59">
        <f t="shared" si="1"/>
        <v>0.12612033402276837</v>
      </c>
      <c r="BT4" s="59">
        <f t="shared" si="1"/>
        <v>6.8525685022001723E-2</v>
      </c>
      <c r="BU4" s="59">
        <f t="shared" si="1"/>
        <v>7.6340670214195369E-2</v>
      </c>
      <c r="BV4" s="59">
        <f t="shared" si="1"/>
        <v>4.287360494425177E-2</v>
      </c>
      <c r="BW4" s="59">
        <f t="shared" si="1"/>
        <v>0.12334451192102072</v>
      </c>
      <c r="BX4" s="59">
        <f t="shared" si="1"/>
        <v>5.0239737518978658E-2</v>
      </c>
      <c r="BY4" s="59">
        <f t="shared" si="1"/>
        <v>9.9747959183399168E-2</v>
      </c>
      <c r="BZ4" s="59">
        <f t="shared" si="1"/>
        <v>0.10896939993538686</v>
      </c>
      <c r="CA4" s="59">
        <f t="shared" si="1"/>
        <v>0.2990766424656513</v>
      </c>
      <c r="CB4" s="59">
        <f t="shared" si="1"/>
        <v>0.5090845359788323</v>
      </c>
      <c r="CC4" s="59">
        <f t="shared" si="1"/>
        <v>0.51852440700161839</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-284002932.72040009</v>
      </c>
      <c r="F5" s="26">
        <f>股权价值增加表!F47</f>
        <v>-481349059.18000007</v>
      </c>
      <c r="G5" s="26">
        <f>股权价值增加表!G47</f>
        <v>-444518996.69680005</v>
      </c>
      <c r="H5" s="26">
        <f>股权价值增加表!H47</f>
        <v>-438837567.47920001</v>
      </c>
      <c r="I5" s="26">
        <f>股权价值增加表!I47</f>
        <v>408213249.29919988</v>
      </c>
      <c r="J5" s="26">
        <f>股权价值增加表!J47</f>
        <v>-63197448.51399976</v>
      </c>
      <c r="K5" s="26">
        <f>股权价值增加表!K47</f>
        <v>-54871132.958000422</v>
      </c>
      <c r="L5" s="26">
        <f>股权价值增加表!L47</f>
        <v>135434542.97640026</v>
      </c>
      <c r="M5" s="26">
        <f>股权价值增加表!M47</f>
        <v>-161664092.87719998</v>
      </c>
      <c r="N5" s="26">
        <f>股权价值增加表!N47</f>
        <v>-254161201.88079995</v>
      </c>
      <c r="O5" s="26">
        <f>股权价值增加表!O47</f>
        <v>-177689075.92479995</v>
      </c>
      <c r="P5" s="26">
        <f>股权价值增加表!P47</f>
        <v>-314469778.7608</v>
      </c>
      <c r="Q5" s="26">
        <f>股权价值增加表!Q47</f>
        <v>-127444351.358</v>
      </c>
      <c r="R5" s="26">
        <f>股权价值增加表!R47</f>
        <v>-144759224.97520006</v>
      </c>
      <c r="S5" s="26">
        <f>股权价值增加表!S47</f>
        <v>-132610585.03680006</v>
      </c>
      <c r="T5" s="26">
        <f>股权价值增加表!T47</f>
        <v>-145931862.35600001</v>
      </c>
      <c r="U5" s="26">
        <f>股权价值增加表!U47</f>
        <v>298215281.10000026</v>
      </c>
      <c r="V5" s="26">
        <f>股权价值增加表!V47</f>
        <v>-97444039.944800019</v>
      </c>
      <c r="W5" s="26">
        <f>股权价值增加表!W47</f>
        <v>-59635035.608000003</v>
      </c>
      <c r="X5" s="26">
        <f>股权价值增加表!X47</f>
        <v>-111505082.05639997</v>
      </c>
      <c r="Y5" s="26">
        <f>股权价值增加表!Y47</f>
        <v>299475687.84960002</v>
      </c>
      <c r="Z5" s="26">
        <f>股权价值增加表!Z47</f>
        <v>41163578.929599956</v>
      </c>
      <c r="AA5" s="26">
        <f>股权价值增加表!AA47</f>
        <v>13271271.40519999</v>
      </c>
      <c r="AB5" s="26">
        <f>股权价值增加表!AB47</f>
        <v>-98033726.452799991</v>
      </c>
      <c r="AC5" s="26">
        <f>股权价值增加表!AC47</f>
        <v>153442678.65320006</v>
      </c>
      <c r="AD5" s="26">
        <f>股权价值增加表!AD47</f>
        <v>53378655.241999999</v>
      </c>
      <c r="AE5" s="26">
        <f>股权价值增加表!AE47</f>
        <v>64503988.830000006</v>
      </c>
      <c r="AF5" s="26">
        <f>股权价值增加表!AF47</f>
        <v>76025055.496000007</v>
      </c>
      <c r="AG5" s="26">
        <f>股权价值增加表!AG47</f>
        <v>86950304.103199989</v>
      </c>
      <c r="AH5" s="26">
        <f>股权价值增加表!AH47</f>
        <v>74592512.957599998</v>
      </c>
      <c r="AI5" s="26">
        <f>股权价值增加表!AI47</f>
        <v>86023178.896400005</v>
      </c>
      <c r="AJ5" s="26">
        <f>股权价值增加表!AJ47</f>
        <v>87094887.742799997</v>
      </c>
      <c r="AK5" s="26">
        <f>股权价值增加表!AK47</f>
        <v>89810193.105200008</v>
      </c>
      <c r="AL5" s="26">
        <f>股权价值增加表!AL47</f>
        <v>46772905.942000017</v>
      </c>
      <c r="AM5" s="26">
        <f>股权价值增加表!AM47</f>
        <v>61775811.296400003</v>
      </c>
      <c r="AN5" s="26">
        <f>股权价值增加表!AN47</f>
        <v>84113608.019999996</v>
      </c>
      <c r="AO5" s="26">
        <f>股权价值增加表!AO47</f>
        <v>86197675.956799999</v>
      </c>
      <c r="AP5" s="26">
        <f>股权价值增加表!AP47</f>
        <v>60277748.724399984</v>
      </c>
      <c r="AQ5" s="26">
        <f>股权价值增加表!AQ47</f>
        <v>134656706.26440001</v>
      </c>
      <c r="AR5" s="26">
        <f>股权价值增加表!AR47</f>
        <v>103579089.3096</v>
      </c>
      <c r="AS5" s="26">
        <f>股权价值增加表!AS47</f>
        <v>114792114.99439996</v>
      </c>
      <c r="AT5" s="26">
        <f>股权价值增加表!AT47</f>
        <v>40697535.064400002</v>
      </c>
      <c r="AU5" s="26">
        <f>股权价值增加表!AU47</f>
        <v>58054008.480400026</v>
      </c>
      <c r="AV5" s="26">
        <f>股权价值增加表!AV47</f>
        <v>70537960.154399991</v>
      </c>
      <c r="AW5" s="26">
        <f>股权价值增加表!AW47</f>
        <v>-684729108.26200008</v>
      </c>
      <c r="AX5" s="26">
        <f>股权价值增加表!AX47</f>
        <v>-34304514.574000001</v>
      </c>
      <c r="AY5" s="26">
        <f>股权价值增加表!AY47</f>
        <v>-21363586.531199988</v>
      </c>
      <c r="AZ5" s="26">
        <f>股权价值增加表!AZ47</f>
        <v>7277123.218400009</v>
      </c>
      <c r="BA5" s="26">
        <f>股权价值增加表!BA47</f>
        <v>-419310441.52800012</v>
      </c>
      <c r="BB5" s="26">
        <f>股权价值增加表!BB47</f>
        <v>-78152914.870000005</v>
      </c>
      <c r="BC5" s="26">
        <f>股权价值增加表!BC47</f>
        <v>-62837282.108799994</v>
      </c>
      <c r="BD5" s="26">
        <f>股权价值增加表!BD47</f>
        <v>-28809791.741599999</v>
      </c>
      <c r="BE5" s="26">
        <f>股权价值增加表!BE47</f>
        <v>-194424872.26840007</v>
      </c>
      <c r="BF5" s="26">
        <f>股权价值增加表!BF47</f>
        <v>-29499133.629600007</v>
      </c>
      <c r="BG5" s="26">
        <f>股权价值增加表!BG47</f>
        <v>-21157203.759599991</v>
      </c>
      <c r="BH5" s="26">
        <f>股权价值增加表!BH47</f>
        <v>-24126916.209599987</v>
      </c>
      <c r="BI5" s="26">
        <f>股权价值增加表!BI47</f>
        <v>-10571935.875200052</v>
      </c>
      <c r="BJ5" s="26">
        <f>股权价值增加表!BJ47</f>
        <v>-18632834.813600034</v>
      </c>
      <c r="BK5" s="26">
        <f>股权价值增加表!BK47</f>
        <v>-21401000.087600023</v>
      </c>
      <c r="BL5" s="26">
        <f>股权价值增加表!BL47</f>
        <v>-25407757.5088</v>
      </c>
      <c r="BM5" s="26">
        <f>股权价值增加表!BM47</f>
        <v>-13288956.99239994</v>
      </c>
      <c r="BN5" s="26">
        <f>股权价值增加表!BN47</f>
        <v>-15850921.615999989</v>
      </c>
      <c r="BO5" s="26">
        <f>股权价值增加表!BO47</f>
        <v>-15639524.389600025</v>
      </c>
      <c r="BP5" s="26">
        <f>股权价值增加表!BP47</f>
        <v>-22979697.578400001</v>
      </c>
      <c r="BQ5" s="26">
        <f>股权价值增加表!BQ47</f>
        <v>5573180.0624000728</v>
      </c>
      <c r="BR5" s="26">
        <f>股权价值增加表!BR47</f>
        <v>-5539906.0688000135</v>
      </c>
      <c r="BS5" s="26">
        <f>股权价值增加表!BS47</f>
        <v>13477723.229600001</v>
      </c>
      <c r="BT5" s="26">
        <f>股权价值增加表!BT47</f>
        <v>-3210410.4323999994</v>
      </c>
      <c r="BU5" s="26">
        <f>股权价值增加表!BU47</f>
        <v>-950828.95640001073</v>
      </c>
      <c r="BV5" s="26">
        <f>股权价值增加表!BV47</f>
        <v>-6663805.3379999967</v>
      </c>
      <c r="BW5" s="26">
        <f>股权价值增加表!BW47</f>
        <v>6630906.3348000031</v>
      </c>
      <c r="BX5" s="26">
        <f>股权价值增加表!BX47</f>
        <v>-4150264.6124</v>
      </c>
      <c r="BY5" s="26">
        <f>股权价值增加表!BY47</f>
        <v>2615448.2539999969</v>
      </c>
      <c r="BZ5" s="26">
        <f>股权价值增加表!BZ47</f>
        <v>1191579.1020000004</v>
      </c>
      <c r="CA5" s="26">
        <f>股权价值增加表!CA47</f>
        <v>7797469.9651999995</v>
      </c>
      <c r="CB5" s="26">
        <f>股权价值增加表!CB47</f>
        <v>13199385.809600001</v>
      </c>
      <c r="CC5" s="26">
        <f>股权价值增加表!CC47</f>
        <v>11615795.049600003</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0.21431820349359895</v>
      </c>
      <c r="F6" s="158">
        <f>股权价值增加表!F31/股权价值增加表!F4</f>
        <v>0.19320431110583391</v>
      </c>
      <c r="G6" s="158">
        <f>股权价值增加表!G31/股权价值增加表!G4</f>
        <v>0.2228407758351571</v>
      </c>
      <c r="H6" s="158">
        <f>股权价值增加表!H31/股权价值增加表!H4</f>
        <v>0.23889802229500212</v>
      </c>
      <c r="I6" s="158">
        <f>股权价值增加表!I31/股权价值增加表!I4</f>
        <v>0.22009164571318313</v>
      </c>
      <c r="J6" s="158">
        <f>股权价值增加表!J31/股权价值增加表!J4</f>
        <v>0.159655248945381</v>
      </c>
      <c r="K6" s="158">
        <f>股权价值增加表!K31/股权价值增加表!K4</f>
        <v>0.18072791530428087</v>
      </c>
      <c r="L6" s="158">
        <f>股权价值增加表!L31/股权价值增加表!L4</f>
        <v>0.20426431075003446</v>
      </c>
      <c r="M6" s="158">
        <f>股权价值增加表!M31/股权价值增加表!M4</f>
        <v>0.62670589294615431</v>
      </c>
      <c r="N6" s="158">
        <f>股权价值增加表!N31/股权价值增加表!N4</f>
        <v>0.51720089101336053</v>
      </c>
      <c r="O6" s="158">
        <f>股权价值增加表!O31/股权价值增加表!O4</f>
        <v>0.89906337195344499</v>
      </c>
      <c r="P6" s="158">
        <f>股权价值增加表!P31/股权价值增加表!P4</f>
        <v>-7.4359887146162401E-2</v>
      </c>
      <c r="Q6" s="158">
        <f>股权价值增加表!Q31/股权价值增加表!Q4</f>
        <v>0.23239089295905954</v>
      </c>
      <c r="R6" s="158">
        <f>股权价值增加表!R31/股权价值增加表!R4</f>
        <v>0.15239041160850175</v>
      </c>
      <c r="S6" s="158">
        <f>股权价值增加表!S31/股权价值增加表!S4</f>
        <v>0.15910925369546156</v>
      </c>
      <c r="T6" s="158">
        <f>股权价值增加表!T31/股权价值增加表!T4</f>
        <v>0.19006473055256626</v>
      </c>
      <c r="U6" s="158">
        <f>股权价值增加表!U31/股权价值增加表!U4</f>
        <v>0.26771498122806681</v>
      </c>
      <c r="V6" s="158">
        <f>股权价值增加表!V31/股权价值增加表!V4</f>
        <v>0.34622367440746543</v>
      </c>
      <c r="W6" s="158">
        <f>股权价值增加表!W31/股权价值增加表!W4</f>
        <v>0.4896274295834746</v>
      </c>
      <c r="X6" s="158">
        <f>股权价值增加表!X31/股权价值增加表!X4</f>
        <v>0.20197165379914966</v>
      </c>
      <c r="Y6" s="158">
        <f>股权价值增加表!Y31/股权价值增加表!Y4</f>
        <v>0.2627676680429587</v>
      </c>
      <c r="Z6" s="158">
        <f>股权价值增加表!Z31/股权价值增加表!Z4</f>
        <v>0.4460030907326511</v>
      </c>
      <c r="AA6" s="158">
        <f>股权价值增加表!AA31/股权价值增加表!AA4</f>
        <v>1.0814858036793362</v>
      </c>
      <c r="AB6" s="158">
        <f>股权价值增加表!AB31/股权价值增加表!AB4</f>
        <v>-0.50661193846317643</v>
      </c>
      <c r="AC6" s="158">
        <f>股权价值增加表!AC31/股权价值增加表!AC4</f>
        <v>0.33106480523571941</v>
      </c>
      <c r="AD6" s="158">
        <f>股权价值增加表!AD31/股权价值增加表!AD4</f>
        <v>1.8610336418258315</v>
      </c>
      <c r="AE6" s="158">
        <f>股权价值增加表!AE31/股权价值增加表!AE4</f>
        <v>6.9904662850723573</v>
      </c>
      <c r="AF6" s="158">
        <f>股权价值增加表!AF31/股权价值增加表!AF4</f>
        <v>10.794870957156123</v>
      </c>
      <c r="AG6" s="158">
        <f>股权价值增加表!AG31/股权价值增加表!AG4</f>
        <v>16.201787371627105</v>
      </c>
      <c r="AH6" s="158">
        <f>股权价值增加表!AH31/股权价值增加表!AH4</f>
        <v>11.748699928636972</v>
      </c>
      <c r="AI6" s="158">
        <f>股权价值增加表!AI31/股权价值增加表!AI4</f>
        <v>16.685210819489139</v>
      </c>
      <c r="AJ6" s="158">
        <f>股权价值增加表!AJ31/股权价值增加表!AJ4</f>
        <v>139.60198311851721</v>
      </c>
      <c r="AK6" s="158">
        <f>股权价值增加表!AK31/股权价值增加表!AK4</f>
        <v>17.187538545981337</v>
      </c>
      <c r="AL6" s="158">
        <f>股权价值增加表!AL31/股权价值增加表!AL4</f>
        <v>1.3655001173450569</v>
      </c>
      <c r="AM6" s="158">
        <f>股权价值增加表!AM31/股权价值增加表!AM4</f>
        <v>6.200213345599626</v>
      </c>
      <c r="AN6" s="158">
        <f>股权价值增加表!AN31/股权价值增加表!AN4</f>
        <v>46.75618141392782</v>
      </c>
      <c r="AO6" s="158">
        <f>股权价值增加表!AO31/股权价值增加表!AO4</f>
        <v>1.2999310258336323</v>
      </c>
      <c r="AP6" s="158">
        <f>股权价值增加表!AP31/股权价值增加表!AP4</f>
        <v>0.31812497044538174</v>
      </c>
      <c r="AQ6" s="158">
        <f>股权价值增加表!AQ31/股权价值增加表!AQ4</f>
        <v>2.0816508967008818</v>
      </c>
      <c r="AR6" s="158">
        <f>股权价值增加表!AR31/股权价值增加表!AR4</f>
        <v>1.7305830267548072</v>
      </c>
      <c r="AS6" s="158">
        <f>股权价值增加表!AS31/股权价值增加表!AS4</f>
        <v>0.20393080881954037</v>
      </c>
      <c r="AT6" s="158">
        <f>股权价值增加表!AT31/股权价值增加表!AT4</f>
        <v>-4.3662304036580751E-2</v>
      </c>
      <c r="AU6" s="158">
        <f>股权价值增加表!AU31/股权价值增加表!AU4</f>
        <v>-2.3257639125862449E-2</v>
      </c>
      <c r="AV6" s="158">
        <f>股权价值增加表!AV31/股权价值增加表!AV4</f>
        <v>-5.1366245364195998E-2</v>
      </c>
      <c r="AW6" s="158">
        <f>股权价值增加表!AW31/股权价值增加表!AW4</f>
        <v>-3.0807183756590795</v>
      </c>
      <c r="AX6" s="158">
        <f>股权价值增加表!AX31/股权价值增加表!AX4</f>
        <v>-0.19010470400792767</v>
      </c>
      <c r="AY6" s="158">
        <f>股权价值增加表!AY31/股权价值增加表!AY4</f>
        <v>-0.32578264567766752</v>
      </c>
      <c r="AZ6" s="158">
        <f>股权价值增加表!AZ31/股权价值增加表!AZ4</f>
        <v>-0.13556596867717688</v>
      </c>
      <c r="BA6" s="158">
        <f>股权价值增加表!BA31/股权价值增加表!BA4</f>
        <v>-1.7351432194866816</v>
      </c>
      <c r="BB6" s="158">
        <f>股权价值增加表!BB31/股权价值增加表!BB4</f>
        <v>-0.18588455715492655</v>
      </c>
      <c r="BC6" s="158">
        <f>股权价值增加表!BC31/股权价值增加表!BC4</f>
        <v>-0.19523804053927163</v>
      </c>
      <c r="BD6" s="158">
        <f>股权价值增加表!BD31/股权价值增加表!BD4</f>
        <v>-6.9797547984565236E-2</v>
      </c>
      <c r="BE6" s="158">
        <f>股权价值增加表!BE31/股权价值增加表!BE4</f>
        <v>-0.19054697259169689</v>
      </c>
      <c r="BF6" s="158">
        <f>股权价值增加表!BF31/股权价值增加表!BF4</f>
        <v>2.2171741332789648E-2</v>
      </c>
      <c r="BG6" s="158">
        <f>股权价值增加表!BG31/股权价值增加表!BG4</f>
        <v>4.1539232581751732E-2</v>
      </c>
      <c r="BH6" s="158">
        <f>股权价值增加表!BH31/股权价值增加表!BH4</f>
        <v>4.0268882668320231E-2</v>
      </c>
      <c r="BI6" s="158">
        <f>股权价值增加表!BI31/股权价值增加表!BI4</f>
        <v>6.1816031475420856E-2</v>
      </c>
      <c r="BJ6" s="158">
        <f>股权价值增加表!BJ31/股权价值增加表!BJ4</f>
        <v>5.7468023320021842E-2</v>
      </c>
      <c r="BK6" s="158">
        <f>股权价值增加表!BK31/股权价值增加表!BK4</f>
        <v>5.6581633373581665E-2</v>
      </c>
      <c r="BL6" s="158">
        <f>股权价值增加表!BL31/股权价值增加表!BL4</f>
        <v>4.9107708409030768E-2</v>
      </c>
      <c r="BM6" s="158">
        <f>股权价值增加表!BM31/股权价值增加表!BM4</f>
        <v>4.0409291271676452E-2</v>
      </c>
      <c r="BN6" s="158">
        <f>股权价值增加表!BN31/股权价值增加表!BN4</f>
        <v>3.5682206528627268E-2</v>
      </c>
      <c r="BO6" s="158">
        <f>股权价值增加表!BO31/股权价值增加表!BO4</f>
        <v>4.5903754913129632E-2</v>
      </c>
      <c r="BP6" s="158">
        <f>股权价值增加表!BP31/股权价值增加表!BP4</f>
        <v>1.9920493830991096E-2</v>
      </c>
      <c r="BQ6" s="158">
        <f>股权价值增加表!BQ31/股权价值增加表!BQ4</f>
        <v>5.8280064166286408E-2</v>
      </c>
      <c r="BR6" s="158">
        <f>股权价值增加表!BR31/股权价值增加表!BR4</f>
        <v>9.9616676549455024E-2</v>
      </c>
      <c r="BS6" s="158">
        <f>股权价值增加表!BS31/股权价值增加表!BS4</f>
        <v>0.23526377270166071</v>
      </c>
      <c r="BT6" s="158">
        <f>股权价值增加表!BT31/股权价值增加表!BT4</f>
        <v>0.21425692505621621</v>
      </c>
      <c r="BU6" s="158">
        <f>股权价值增加表!BU31/股权价值增加表!BU4</f>
        <v>0.23692138650343092</v>
      </c>
      <c r="BV6" s="158">
        <f>股权价值增加表!BV31/股权价值增加表!BV4</f>
        <v>0.25820930659417002</v>
      </c>
      <c r="BW6" s="158">
        <f>股权价值增加表!BW31/股权价值增加表!BW4</f>
        <v>0.31616666242981362</v>
      </c>
      <c r="BX6" s="158">
        <f>股权价值增加表!BX31/股权价值增加表!BX4</f>
        <v>0.29878195173160277</v>
      </c>
      <c r="BY6" s="158">
        <f>股权价值增加表!BY31/股权价值增加表!BY4</f>
        <v>0.30747254510243649</v>
      </c>
      <c r="BZ6" s="158">
        <f>股权价值增加表!BZ31/股权价值增加表!BZ4</f>
        <v>0.22327900324937036</v>
      </c>
      <c r="CA6" s="158">
        <f>股权价值增加表!CA31/股权价值增加表!CA4</f>
        <v>0.24270173097208561</v>
      </c>
      <c r="CB6" s="158">
        <f>股权价值增加表!CB31/股权价值增加表!CB4</f>
        <v>0.27301275150688897</v>
      </c>
      <c r="CC6" s="158">
        <f>股权价值增加表!CC31/股权价值增加表!CC4</f>
        <v>0.28580653632535941</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0.20591883087684074</v>
      </c>
      <c r="F7" s="61">
        <f>股权价值增加表!F4/资产资本表!F70</f>
        <v>8.1076781979798201E-2</v>
      </c>
      <c r="G7" s="61">
        <f>股权价值增加表!G4/资产资本表!G70</f>
        <v>8.0770834923527102E-2</v>
      </c>
      <c r="H7" s="61">
        <f>股权价值增加表!H4/资产资本表!H70</f>
        <v>5.8227290051498772E-2</v>
      </c>
      <c r="I7" s="61">
        <f>股权价值增加表!I4/资产资本表!I70</f>
        <v>0.61619087235368308</v>
      </c>
      <c r="J7" s="61">
        <f>股权价值增加表!J4/资产资本表!J70</f>
        <v>0.42886154913338842</v>
      </c>
      <c r="K7" s="61">
        <f>股权价值增加表!K4/资产资本表!K70</f>
        <v>0.35268532933726998</v>
      </c>
      <c r="L7" s="61">
        <f>股权价值增加表!L4/资产资本表!L70</f>
        <v>0.31807731689821672</v>
      </c>
      <c r="M7" s="61">
        <f>股权价值增加表!M4/资产资本表!M70</f>
        <v>6.8177973045188453E-2</v>
      </c>
      <c r="N7" s="61">
        <f>股权价值增加表!N4/资产资本表!N70</f>
        <v>4.5079068165660825E-2</v>
      </c>
      <c r="O7" s="61">
        <f>股权价值增加表!O4/资产资本表!O70</f>
        <v>2.5724659508715761E-2</v>
      </c>
      <c r="P7" s="61">
        <f>股权价值增加表!P4/资产资本表!P70</f>
        <v>1.7388716644200952E-2</v>
      </c>
      <c r="Q7" s="61">
        <f>股权价值增加表!Q4/资产资本表!Q70</f>
        <v>0.15175622223480617</v>
      </c>
      <c r="R7" s="61">
        <f>股权价值增加表!R4/资产资本表!R70</f>
        <v>0.16422432795958816</v>
      </c>
      <c r="S7" s="61">
        <f>股权价值增加表!S4/资产资本表!S70</f>
        <v>0.12586670217062354</v>
      </c>
      <c r="T7" s="61">
        <f>股权价值增加表!T4/资产资本表!T70</f>
        <v>5.5763685233766971E-2</v>
      </c>
      <c r="U7" s="61">
        <f>股权价值增加表!U4/资产资本表!U70</f>
        <v>0.58712007783911302</v>
      </c>
      <c r="V7" s="61">
        <f>股权价值增加表!V4/资产资本表!V70</f>
        <v>0.10249728613424819</v>
      </c>
      <c r="W7" s="61">
        <f>股权价值增加表!W4/资产资本表!W70</f>
        <v>9.273919317160946E-2</v>
      </c>
      <c r="X7" s="61">
        <f>股权价值增加表!X4/资产资本表!X70</f>
        <v>5.993486216454378E-2</v>
      </c>
      <c r="Y7" s="61">
        <f>股权价值增加表!Y4/资产资本表!Y70</f>
        <v>0.68044527570193791</v>
      </c>
      <c r="Z7" s="61">
        <f>股权价值增加表!Z4/资产资本表!Z70</f>
        <v>0.15186991318649987</v>
      </c>
      <c r="AA7" s="61">
        <f>股权价值增加表!AA4/资产资本表!AA70</f>
        <v>3.6901841932651891E-2</v>
      </c>
      <c r="AB7" s="61">
        <f>股权价值增加表!AB4/资产资本表!AB70</f>
        <v>1.5780516771179674E-2</v>
      </c>
      <c r="AC7" s="61">
        <f>股权价值增加表!AC4/资产资本表!AC70</f>
        <v>0.36770480110336468</v>
      </c>
      <c r="AD7" s="61">
        <f>股权价值增加表!AD4/资产资本表!AD70</f>
        <v>-5.8488791126656316E-2</v>
      </c>
      <c r="AE7" s="61">
        <f>股权价值增加表!AE4/资产资本表!AE70</f>
        <v>-1.8427632281081418E-2</v>
      </c>
      <c r="AF7" s="61">
        <f>股权价值增加表!AF4/资产资本表!AF70</f>
        <v>-1.2491705987927959E-2</v>
      </c>
      <c r="AG7" s="61">
        <f>股权价值增加表!AG4/资产资本表!AG70</f>
        <v>-5.542098259258442E-2</v>
      </c>
      <c r="AH7" s="61">
        <f>股权价值增加表!AH4/资产资本表!AH70</f>
        <v>-5.4630367862228982E-2</v>
      </c>
      <c r="AI7" s="61">
        <f>股权价值增加表!AI4/资产资本表!AI70</f>
        <v>-8.0179269246768811E-2</v>
      </c>
      <c r="AJ7" s="61">
        <f>股权价值增加表!AJ4/资产资本表!AJ70</f>
        <v>-6.8451914702156499E-3</v>
      </c>
      <c r="AK7" s="61">
        <f>股权价值增加表!AK4/资产资本表!AK70</f>
        <v>-0.13973605925688956</v>
      </c>
      <c r="AL7" s="61">
        <f>股权价值增加表!AL4/资产资本表!AL70</f>
        <v>-0.11054730749729237</v>
      </c>
      <c r="AM7" s="61">
        <f>股权价值增加表!AM4/资产资本表!AM70</f>
        <v>-0.105267316273693</v>
      </c>
      <c r="AN7" s="61">
        <f>股权价值增加表!AN4/资产资本表!AN70</f>
        <v>4.3766375811465863E-2</v>
      </c>
      <c r="AO7" s="61">
        <f>股权价值增加表!AO4/资产资本表!AO70</f>
        <v>4.6173825247740501</v>
      </c>
      <c r="AP7" s="61">
        <f>股权价值增加表!AP4/资产资本表!AP70</f>
        <v>1.1175617593558</v>
      </c>
      <c r="AQ7" s="61">
        <f>股权价值增加表!AQ4/资产资本表!AQ70</f>
        <v>1.0602359729575197</v>
      </c>
      <c r="AR7" s="61">
        <f>股权价值增加表!AR4/资产资本表!AR70</f>
        <v>0.37414167692989336</v>
      </c>
      <c r="AS7" s="61">
        <f>股权价值增加表!AS4/资产资本表!AS70</f>
        <v>4.3127593262396058</v>
      </c>
      <c r="AT7" s="61">
        <f>股权价值增加表!AT4/资产资本表!AT70</f>
        <v>-1.6871371628598233</v>
      </c>
      <c r="AU7" s="61">
        <f>股权价值增加表!AU4/资产资本表!AU70</f>
        <v>-1.4198490536429218</v>
      </c>
      <c r="AV7" s="61">
        <f>股权价值增加表!AV4/资产资本表!AV70</f>
        <v>-0.6764056552117268</v>
      </c>
      <c r="AW7" s="61">
        <f>股权价值增加表!AW4/资产资本表!AW70</f>
        <v>4.8439872558519852</v>
      </c>
      <c r="AX7" s="61">
        <f>股权价值增加表!AX4/资产资本表!AX70</f>
        <v>0.29232810483702121</v>
      </c>
      <c r="AY7" s="61">
        <f>股权价值增加表!AY4/资产资本表!AY70</f>
        <v>0.16388226515648185</v>
      </c>
      <c r="AZ7" s="61" t="e">
        <f>股权价值增加表!AZ4/资产资本表!AZ70</f>
        <v>#DIV/0!</v>
      </c>
      <c r="BA7" s="61">
        <f>股权价值增加表!BA4/资产资本表!BA70</f>
        <v>0.48530950491672475</v>
      </c>
      <c r="BB7" s="61">
        <f>股权价值增加表!BB4/资产资本表!BB70</f>
        <v>0.36987095717016788</v>
      </c>
      <c r="BC7" s="61">
        <f>股权价值增加表!BC4/资产资本表!BC70</f>
        <v>0.31800671761866151</v>
      </c>
      <c r="BD7" s="61">
        <f>股权价值增加表!BD4/资产资本表!BD70</f>
        <v>0.17513420523561224</v>
      </c>
      <c r="BE7" s="61">
        <f>股权价值增加表!BE4/资产资本表!BE70</f>
        <v>1.3740173353241381</v>
      </c>
      <c r="BF7" s="61">
        <f>股权价值增加表!BF4/资产资本表!BF70</f>
        <v>1.000154967681707</v>
      </c>
      <c r="BG7" s="61">
        <f>股权价值增加表!BG4/资产资本表!BG70</f>
        <v>0.63009038732105582</v>
      </c>
      <c r="BH7" s="61">
        <f>股权价值增加表!BH4/资产资本表!BH70</f>
        <v>0.2872247021038058</v>
      </c>
      <c r="BI7" s="61">
        <f>股权价值增加表!BI4/资产资本表!BI70</f>
        <v>1.590250490465243</v>
      </c>
      <c r="BJ7" s="61">
        <f>股权价值增加表!BJ4/资产资本表!BJ70</f>
        <v>0.69631373635079818</v>
      </c>
      <c r="BK7" s="61">
        <f>股权价值增加表!BK4/资产资本表!BK70</f>
        <v>0.41690299417229598</v>
      </c>
      <c r="BL7" s="61">
        <f>股权价值增加表!BL4/资产资本表!BL70</f>
        <v>0.17652658261876769</v>
      </c>
      <c r="BM7" s="61">
        <f>股权价值增加表!BM4/资产资本表!BM70</f>
        <v>1.7991675059357259</v>
      </c>
      <c r="BN7" s="61">
        <f>股权价值增加表!BN4/资产资本表!BN70</f>
        <v>1.0507963764816417</v>
      </c>
      <c r="BO7" s="61">
        <f>股权价值增加表!BO4/资产资本表!BO70</f>
        <v>0.5771989644068356</v>
      </c>
      <c r="BP7" s="61">
        <f>股权价值增加表!BP4/资产资本表!BP70</f>
        <v>0.31843367628563302</v>
      </c>
      <c r="BQ7" s="61">
        <f>股权价值增加表!BQ4/资产资本表!BQ70</f>
        <v>1.582737407802262</v>
      </c>
      <c r="BR7" s="61">
        <f>股权价值增加表!BR4/资产资本表!BR70</f>
        <v>0.63751893879634702</v>
      </c>
      <c r="BS7" s="61">
        <f>股权价值增加表!BS4/资产资本表!BS70</f>
        <v>0.52051092585702352</v>
      </c>
      <c r="BT7" s="61">
        <f>股权价值增加表!BT4/资产资本表!BT70</f>
        <v>0.26445074527933227</v>
      </c>
      <c r="BU7" s="61">
        <f>股权价值增加表!BU4/资产资本表!BU70</f>
        <v>0.32092852296357449</v>
      </c>
      <c r="BV7" s="61">
        <f>股权价值增加表!BV4/资产资本表!BV70</f>
        <v>0.17435332034890511</v>
      </c>
      <c r="BW7" s="61">
        <f>股权价值增加表!BW4/资产资本表!BW70</f>
        <v>0.3651159210809507</v>
      </c>
      <c r="BX7" s="61">
        <f>股权价值增加表!BX4/资产资本表!BX70</f>
        <v>0.16445870998670375</v>
      </c>
      <c r="BY7" s="61">
        <f>股权价值增加表!BY4/资产资本表!BY70</f>
        <v>0.34921218078175525</v>
      </c>
      <c r="BZ7" s="61">
        <f>股权价值增加表!BZ4/资产资本表!BZ70</f>
        <v>0.36957267363139168</v>
      </c>
      <c r="CA7" s="61">
        <f>股权价值增加表!CA4/资产资本表!CA70</f>
        <v>0.86497289930601973</v>
      </c>
      <c r="CB7" s="61">
        <f>股权价值增加表!CB4/资产资本表!CB70</f>
        <v>0.84958427246897028</v>
      </c>
      <c r="CC7" s="61">
        <f>股权价值增加表!CC4/资产资本表!CC70</f>
        <v>0.78863405437900114</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4.4132153899026742E-2</v>
      </c>
      <c r="F8" s="63">
        <f>股权价值增加表!F31/资产资本表!F70</f>
        <v>1.56643838090848E-2</v>
      </c>
      <c r="G8" s="63">
        <f>股权价值增加表!G31/资产资本表!G70</f>
        <v>1.799903551921218E-2</v>
      </c>
      <c r="H8" s="63">
        <f>股权价值增加表!H31/资产资本表!H70</f>
        <v>1.3910384436900508E-2</v>
      </c>
      <c r="I8" s="63">
        <f>股权价值增加表!I31/资产资本表!I70</f>
        <v>0.13561846316976406</v>
      </c>
      <c r="J8" s="63">
        <f>股权价值增加表!J31/资产资本表!J70</f>
        <v>6.8469997389992876E-2</v>
      </c>
      <c r="K8" s="63">
        <f>股权价值增加表!K31/资产资本表!K70</f>
        <v>6.3740084329528532E-2</v>
      </c>
      <c r="L8" s="63">
        <f>股权价值增加表!L31/资产资本表!L70</f>
        <v>6.4971843901434526E-2</v>
      </c>
      <c r="M8" s="63">
        <f>股权价值增加表!M31/资产资本表!M70</f>
        <v>4.2727537476543669E-2</v>
      </c>
      <c r="N8" s="63">
        <f>股权价值增加表!N31/资产资本表!N70</f>
        <v>2.3314934221331796E-2</v>
      </c>
      <c r="O8" s="63">
        <f>股权价值增加表!O31/资产资本表!O70</f>
        <v>2.3128099120260245E-2</v>
      </c>
      <c r="P8" s="63">
        <f>股权价值增加表!P31/资产资本表!P70</f>
        <v>-1.2930230072793786E-3</v>
      </c>
      <c r="Q8" s="63">
        <f>股权价值增加表!Q31/资产资本表!Q70</f>
        <v>3.5266763997240089E-2</v>
      </c>
      <c r="R8" s="63">
        <f>股权价值增加表!R31/资产资本表!R70</f>
        <v>2.5026212933891224E-2</v>
      </c>
      <c r="S8" s="63">
        <f>股权价值增加表!S31/资产资本表!S70</f>
        <v>2.0026557047476842E-2</v>
      </c>
      <c r="T8" s="63">
        <f>股权价值增加表!T31/资产资本表!T70</f>
        <v>1.0598709808574037E-2</v>
      </c>
      <c r="U8" s="63">
        <f>股权价值增加表!U31/资产资本表!U70</f>
        <v>0.15718084061731924</v>
      </c>
      <c r="V8" s="63">
        <f>股权价值增加表!V31/资产资本表!V70</f>
        <v>3.5486987022192766E-2</v>
      </c>
      <c r="W8" s="63">
        <f>股权价值增加表!W31/资产资本表!W70</f>
        <v>4.5407652774260461E-2</v>
      </c>
      <c r="X8" s="63">
        <f>股权价值增加表!X31/资产资本表!X70</f>
        <v>1.210514323159699E-2</v>
      </c>
      <c r="Y8" s="63">
        <f>股权价值增加表!Y31/资产资本表!Y70</f>
        <v>0.17879901832704631</v>
      </c>
      <c r="Z8" s="63">
        <f>股权价值增加表!Z31/资产资本表!Z70</f>
        <v>6.7734450670478355E-2</v>
      </c>
      <c r="AA8" s="63">
        <f>股权价值增加表!AA31/资产资本表!AA70</f>
        <v>3.9908818179781862E-2</v>
      </c>
      <c r="AB8" s="63">
        <f>股权价值增加表!AB31/资产资本表!AB70</f>
        <v>-7.9945981913980002E-3</v>
      </c>
      <c r="AC8" s="63">
        <f>股权价值增加表!AC31/资产资本表!AC70</f>
        <v>0.12173411836152435</v>
      </c>
      <c r="AD8" s="63">
        <f>股权价值增加表!AD31/资产资本表!AD70</f>
        <v>-0.10884960795643157</v>
      </c>
      <c r="AE8" s="63">
        <f>股权价值增加表!AE31/资产资本表!AE70</f>
        <v>-0.12881774217461067</v>
      </c>
      <c r="AF8" s="63">
        <f>股权价值增加表!AF31/资产资本表!AF70</f>
        <v>-0.13484635417441676</v>
      </c>
      <c r="AG8" s="63">
        <f>股权价值增加表!AG31/资产资本表!AG70</f>
        <v>-0.8979189758917</v>
      </c>
      <c r="AH8" s="63">
        <f>股权价值增加表!AH31/资产资本表!AH70</f>
        <v>-0.64183579900438115</v>
      </c>
      <c r="AI8" s="63">
        <f>股权价值增加表!AI31/资产资本表!AI70</f>
        <v>-1.33780801073492</v>
      </c>
      <c r="AJ8" s="63">
        <f>股权价值增加表!AJ31/资产资本表!AJ70</f>
        <v>-0.95560230406806324</v>
      </c>
      <c r="AK8" s="63">
        <f>股权价值增加表!AK31/资产资本表!AK70</f>
        <v>-2.4017189047413217</v>
      </c>
      <c r="AL8" s="63">
        <f>股权价值增加表!AL31/资产资本表!AL70</f>
        <v>-0.15095236135973283</v>
      </c>
      <c r="AM8" s="63">
        <f>股权价值增加表!AM31/资产资本表!AM70</f>
        <v>-0.65267981921560803</v>
      </c>
      <c r="AN8" s="63">
        <f>股权价值增加表!AN31/资产资本表!AN70</f>
        <v>2.0463486072710402</v>
      </c>
      <c r="AO8" s="63">
        <f>股权价值增加表!AO31/资产资本表!AO70</f>
        <v>6.0022788020958187</v>
      </c>
      <c r="AP8" s="63">
        <f>股权价值增加表!AP31/资产资本表!AP70</f>
        <v>0.35552430166595272</v>
      </c>
      <c r="AQ8" s="63">
        <f>股权价值增加表!AQ31/资产资本表!AQ70</f>
        <v>2.2070411638215526</v>
      </c>
      <c r="AR8" s="63">
        <f>股权价值增加表!AR31/资产资本表!AR70</f>
        <v>0.64748323569645416</v>
      </c>
      <c r="AS8" s="63">
        <f>股权价值增加表!AS31/资产资本表!AS70</f>
        <v>0.8795044976440588</v>
      </c>
      <c r="AT8" s="63">
        <f>股权价值增加表!AT31/资产资本表!AT70</f>
        <v>7.3664295756199857E-2</v>
      </c>
      <c r="AU8" s="63">
        <f>股权价值增加表!AU31/资产资本表!AU70</f>
        <v>3.3022336902824391E-2</v>
      </c>
      <c r="AV8" s="63">
        <f>股权价值增加表!AV31/资产资本表!AV70</f>
        <v>3.4744418851335314E-2</v>
      </c>
      <c r="AW8" s="63">
        <f>股权价值增加表!AW31/资产资本表!AW70</f>
        <v>-14.922960550561609</v>
      </c>
      <c r="AX8" s="63">
        <f>股权价值增加表!AX31/资产资本表!AX70</f>
        <v>-5.5572947843240364E-2</v>
      </c>
      <c r="AY8" s="63">
        <f>股权价值增加表!AY31/资产资本表!AY70</f>
        <v>-5.3389997922327688E-2</v>
      </c>
      <c r="AZ8" s="63" t="e">
        <f>股权价值增加表!AZ31/资产资本表!AZ70</f>
        <v>#DIV/0!</v>
      </c>
      <c r="BA8" s="63">
        <f>股权价值增加表!BA31/资产资本表!BA70</f>
        <v>-0.84208149680869326</v>
      </c>
      <c r="BB8" s="63">
        <f>股权价值增加表!BB31/资产资本表!BB70</f>
        <v>-6.8753299078045463E-2</v>
      </c>
      <c r="BC8" s="63">
        <f>股权价值增加表!BC31/资产资本表!BC70</f>
        <v>-6.2087008426192941E-2</v>
      </c>
      <c r="BD8" s="63">
        <f>股权价值增加表!BD31/资产资本表!BD70</f>
        <v>-1.2223938093671342E-2</v>
      </c>
      <c r="BE8" s="63">
        <f>股权价值增加表!BE31/资产资本表!BE70</f>
        <v>-0.26181484353452494</v>
      </c>
      <c r="BF8" s="63">
        <f>股权价值增加表!BF31/资产资本表!BF70</f>
        <v>2.2175177236143397E-2</v>
      </c>
      <c r="BG8" s="63">
        <f>股权价值增加表!BG31/资产资本表!BG70</f>
        <v>2.6173471146455369E-2</v>
      </c>
      <c r="BH8" s="63">
        <f>股权价值增加表!BH31/资产资本表!BH70</f>
        <v>1.1566217828461388E-2</v>
      </c>
      <c r="BI8" s="63">
        <f>股权价值增加表!BI31/资产资本表!BI70</f>
        <v>9.8302974372402915E-2</v>
      </c>
      <c r="BJ8" s="63">
        <f>股权价值增加表!BJ31/资产资本表!BJ70</f>
        <v>4.0015774038659205E-2</v>
      </c>
      <c r="BK8" s="63">
        <f>股权价值增加表!BK31/资产资本表!BK70</f>
        <v>2.3589052368605305E-2</v>
      </c>
      <c r="BL8" s="63">
        <f>股权价值增加表!BL31/资产资本表!BL70</f>
        <v>8.6688159456851221E-3</v>
      </c>
      <c r="BM8" s="63">
        <f>股权价值增加表!BM31/资产资本表!BM70</f>
        <v>7.2703083793892426E-2</v>
      </c>
      <c r="BN8" s="63">
        <f>股权价值增加表!BN31/资产资本表!BN70</f>
        <v>3.7494733325151117E-2</v>
      </c>
      <c r="BO8" s="63">
        <f>股权价值增加表!BO31/资产资本表!BO70</f>
        <v>2.6495599798243615E-2</v>
      </c>
      <c r="BP8" s="63">
        <f>股权价值增加表!BP31/资产资本表!BP70</f>
        <v>6.3433560840277688E-3</v>
      </c>
      <c r="BQ8" s="63">
        <f>股权价值增加表!BQ31/资产资本表!BQ70</f>
        <v>9.2242037685097658E-2</v>
      </c>
      <c r="BR8" s="63">
        <f>股权价值增加表!BR31/资产资本表!BR70</f>
        <v>6.3507517920227505E-2</v>
      </c>
      <c r="BS8" s="63">
        <f>股权价值增加表!BS31/资产资本表!BS70</f>
        <v>0.12245736414955774</v>
      </c>
      <c r="BT8" s="63">
        <f>股权价值增加表!BT31/资产资本表!BT70</f>
        <v>5.6660403512374412E-2</v>
      </c>
      <c r="BU8" s="63">
        <f>股权价值增加表!BU31/资产资本表!BU70</f>
        <v>7.603483062902823E-2</v>
      </c>
      <c r="BV8" s="63">
        <f>股权价值增加表!BV31/资产资本表!BV70</f>
        <v>4.5019649949681974E-2</v>
      </c>
      <c r="BW8" s="63">
        <f>股权价值增加表!BW31/资产资本表!BW70</f>
        <v>0.1154374821681514</v>
      </c>
      <c r="BX8" s="63">
        <f>股权价值增加表!BX31/资产资本表!BX70</f>
        <v>4.9137294349088978E-2</v>
      </c>
      <c r="BY8" s="63">
        <f>股权价值增加表!BY31/资产资本表!BY70</f>
        <v>0.10737315800573843</v>
      </c>
      <c r="BZ8" s="63">
        <f>股权价值增加表!BZ31/资产资本表!BZ70</f>
        <v>8.2517818196622003E-2</v>
      </c>
      <c r="CA8" s="63">
        <f>股权价值增加表!CA31/资产资本表!CA70</f>
        <v>0.2099304199055145</v>
      </c>
      <c r="CB8" s="63">
        <f>股权价值增加表!CB31/资产资本表!CB70</f>
        <v>0.23194733986373203</v>
      </c>
      <c r="CC8" s="63">
        <f>股权价值增加表!CC31/资产资本表!CC70</f>
        <v>0.22539676751028748</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0.7425923777873541</v>
      </c>
      <c r="F9" s="158">
        <f>股权价值增加表!F38/股权价值增加表!F31</f>
        <v>0.53153304060632955</v>
      </c>
      <c r="G9" s="158">
        <f>股权价值增加表!G38/股权价值增加表!G31</f>
        <v>0.69498287416597337</v>
      </c>
      <c r="H9" s="158">
        <f>股权价值增加表!H38/股权价值增加表!H31</f>
        <v>0.80271647483464614</v>
      </c>
      <c r="I9" s="158">
        <f>股权价值增加表!I38/股权价值增加表!I31</f>
        <v>0.87294800956591911</v>
      </c>
      <c r="J9" s="158">
        <f>股权价值增加表!J38/股权价值增加表!J31</f>
        <v>0.83588643030433329</v>
      </c>
      <c r="K9" s="158">
        <f>股权价值增加表!K38/股权价值增加表!K31</f>
        <v>0.88271242011446249</v>
      </c>
      <c r="L9" s="158">
        <f>股权价值增加表!L38/股权价值增加表!L31</f>
        <v>0.93778244157790991</v>
      </c>
      <c r="M9" s="158">
        <f>股权价值增加表!M38/股权价值增加表!M31</f>
        <v>0.31589724078479958</v>
      </c>
      <c r="N9" s="158">
        <f>股权价值增加表!N38/股权价值增加表!N31</f>
        <v>0.10395645731819106</v>
      </c>
      <c r="O9" s="158">
        <f>股权价值增加表!O38/股权价值增加表!O31</f>
        <v>0.41063674240202797</v>
      </c>
      <c r="P9" s="158">
        <f>股权价值增加表!P38/股权价值增加表!P31</f>
        <v>6.1912323087284911</v>
      </c>
      <c r="Q9" s="158">
        <f>股权价值增加表!Q38/股权价值增加表!Q31</f>
        <v>0.6107235011484925</v>
      </c>
      <c r="R9" s="158">
        <f>股权价值增加表!R38/股权价值增加表!R31</f>
        <v>0.42344463668571014</v>
      </c>
      <c r="S9" s="158">
        <f>股权价值增加表!S38/股权价值增加表!S31</f>
        <v>0.54386682495351812</v>
      </c>
      <c r="T9" s="158">
        <f>股权价值增加表!T38/股权价值增加表!T31</f>
        <v>0.60794680242738763</v>
      </c>
      <c r="U9" s="158">
        <f>股权价值增加表!U38/股权价值增加表!U31</f>
        <v>0.86568962687746065</v>
      </c>
      <c r="V9" s="158">
        <f>股权价值增加表!V38/股权价值增加表!V31</f>
        <v>0.33427265364943443</v>
      </c>
      <c r="W9" s="158">
        <f>股权价值增加表!W38/股权价值增加表!W31</f>
        <v>0.62948442408964833</v>
      </c>
      <c r="X9" s="158">
        <f>股权价值增加表!X38/股权价值增加表!X31</f>
        <v>0.45163285607885517</v>
      </c>
      <c r="Y9" s="158">
        <f>股权价值增加表!Y38/股权价值增加表!Y31</f>
        <v>0.952550567729327</v>
      </c>
      <c r="Z9" s="158">
        <f>股权价值增加表!Z38/股权价值增加表!Z31</f>
        <v>0.95601983416720615</v>
      </c>
      <c r="AA9" s="158">
        <f>股权价值增加表!AA38/股权价值增加表!AA31</f>
        <v>0.95882440915549949</v>
      </c>
      <c r="AB9" s="158">
        <f>股权价值增加表!AB38/股权价值增加表!AB31</f>
        <v>1.1147437873323889</v>
      </c>
      <c r="AC9" s="158">
        <f>股权价值增加表!AC38/股权价值增加表!AC31</f>
        <v>0.9790260310682658</v>
      </c>
      <c r="AD9" s="158">
        <f>股权价值增加表!AD38/股权价值增加表!AD31</f>
        <v>-7.1806888843352681</v>
      </c>
      <c r="AE9" s="158">
        <f>股权价值增加表!AE38/股权价值增加表!AE31</f>
        <v>-3.7729283381439438</v>
      </c>
      <c r="AF9" s="158">
        <f>股权价值增加表!AF38/股权价值增加表!AF31</f>
        <v>-1.3196542278389978</v>
      </c>
      <c r="AG9" s="158">
        <f>股权价值增加表!AG38/股权价值增加表!AG31</f>
        <v>0.15537384073208504</v>
      </c>
      <c r="AH9" s="158">
        <f>股权价值增加表!AH38/股权价值增加表!AH31</f>
        <v>-0.32076623844392832</v>
      </c>
      <c r="AI9" s="158">
        <f>股权价值增加表!AI38/股权价值增加表!AI31</f>
        <v>0.1442064363566132</v>
      </c>
      <c r="AJ9" s="158">
        <f>股权价值增加表!AJ38/股权价值增加表!AJ31</f>
        <v>0.31016666621425781</v>
      </c>
      <c r="AK9" s="158">
        <f>股权价值增加表!AK38/股权价值增加表!AK31</f>
        <v>0.18628878885100489</v>
      </c>
      <c r="AL9" s="158">
        <f>股权价值增加表!AL38/股权价值增加表!AL31</f>
        <v>-27.199086387919536</v>
      </c>
      <c r="AM9" s="158">
        <f>股权价值增加表!AM38/股权价值增加表!AM31</f>
        <v>-5.2048651140227475</v>
      </c>
      <c r="AN9" s="158">
        <f>股权价值增加表!AN38/股权价值增加表!AN31</f>
        <v>8.3175227905281202E-2</v>
      </c>
      <c r="AO9" s="158">
        <f>股权价值增加表!AO38/股权价值增加表!AO31</f>
        <v>0.12362594777982094</v>
      </c>
      <c r="AP9" s="158">
        <f>股权价值增加表!AP38/股权价值增加表!AP31</f>
        <v>-1.9669902305817757</v>
      </c>
      <c r="AQ9" s="158">
        <f>股权价值增加表!AQ38/股权价值增加表!AQ31</f>
        <v>0.70129076734510332</v>
      </c>
      <c r="AR9" s="158">
        <f>股权价值增加表!AR38/股权价值增加表!AR31</f>
        <v>0.63947583950994469</v>
      </c>
      <c r="AS9" s="158">
        <f>股权价值增加表!AS38/股权价值增加表!AS31</f>
        <v>0.59200969923832336</v>
      </c>
      <c r="AT9" s="158">
        <f>股权价值增加表!AT38/股权价值增加表!AT31</f>
        <v>5.2091403328909953</v>
      </c>
      <c r="AU9" s="158">
        <f>股权价值增加表!AU38/股权价值增加表!AU31</f>
        <v>8.3391550177740577</v>
      </c>
      <c r="AV9" s="158">
        <f>股权价值增加表!AV38/股权价值增加表!AV31</f>
        <v>4.9475972917887283</v>
      </c>
      <c r="AW9" s="158">
        <f>股权价值增加表!AW38/股权价值增加表!AW31</f>
        <v>1.0954162486901655</v>
      </c>
      <c r="AX9" s="158">
        <f>股权价值增加表!AX38/股权价值增加表!AX31</f>
        <v>2.6444824456211431</v>
      </c>
      <c r="AY9" s="158">
        <f>股权价值增加表!AY38/股权价值增加表!AY31</f>
        <v>2.1392544949569845</v>
      </c>
      <c r="AZ9" s="158">
        <f>股权价值增加表!AZ38/股权价值增加表!AZ31</f>
        <v>3.4238042248946461</v>
      </c>
      <c r="BA9" s="158">
        <f>股权价值增加表!BA38/股权价值增加表!BA31</f>
        <v>1.1543516448055424</v>
      </c>
      <c r="BB9" s="158">
        <f>股权价值增加表!BB38/股权价值增加表!BB31</f>
        <v>1.9513083723305156</v>
      </c>
      <c r="BC9" s="158">
        <f>股权价值增加表!BC38/股权价值增加表!BC31</f>
        <v>1.6534463933213126</v>
      </c>
      <c r="BD9" s="158">
        <f>股权价值增加表!BD38/股权价值增加表!BD31</f>
        <v>2.7105209659803302</v>
      </c>
      <c r="BE9" s="158">
        <f>股权价值增加表!BE38/股权价值增加表!BE31</f>
        <v>1.197562408307592</v>
      </c>
      <c r="BF9" s="158">
        <f>股权价值增加表!BF38/股权价值增加表!BF31</f>
        <v>-0.15289868776745674</v>
      </c>
      <c r="BG9" s="158">
        <f>股权价值增加表!BG38/股权价值增加表!BG31</f>
        <v>0.37328861370414373</v>
      </c>
      <c r="BH9" s="158">
        <f>股权价值增加表!BH38/股权价值增加表!BH31</f>
        <v>0.32023779656438373</v>
      </c>
      <c r="BI9" s="158">
        <f>股权价值增加表!BI38/股权价值增加表!BI31</f>
        <v>0.37107968461748697</v>
      </c>
      <c r="BJ9" s="158">
        <f>股权价值增加表!BJ38/股权价值增加表!BJ31</f>
        <v>0.33326923937416458</v>
      </c>
      <c r="BK9" s="158">
        <f>股权价值增加表!BK38/股权价值增加表!BK31</f>
        <v>0.35686928810720819</v>
      </c>
      <c r="BL9" s="158">
        <f>股权价值增加表!BL38/股权价值增加表!BL31</f>
        <v>0.15117336205119034</v>
      </c>
      <c r="BM9" s="158">
        <f>股权价值增加表!BM38/股权价值增加表!BM31</f>
        <v>0.39773778136915655</v>
      </c>
      <c r="BN9" s="158">
        <f>股权价值增加表!BN38/股权价值增加表!BN31</f>
        <v>0.47179704143114382</v>
      </c>
      <c r="BO9" s="158">
        <f>股权价值增加表!BO38/股权价值增加表!BO31</f>
        <v>0.58067363215213197</v>
      </c>
      <c r="BP9" s="158">
        <f>股权价值增加表!BP38/股权价值增加表!BP31</f>
        <v>0.53030109663088798</v>
      </c>
      <c r="BQ9" s="158">
        <f>股权价值增加表!BQ38/股权价值增加表!BQ31</f>
        <v>0.82757144866239618</v>
      </c>
      <c r="BR9" s="158">
        <f>股权价值增加表!BR38/股权价值增加表!BR31</f>
        <v>0.93330546289504945</v>
      </c>
      <c r="BS9" s="158">
        <f>股权价值增加表!BS38/股权价值增加表!BS31</f>
        <v>0.8996332569254033</v>
      </c>
      <c r="BT9" s="158">
        <f>股权价值增加表!BT38/股权价值增加表!BT31</f>
        <v>0.9034127261296816</v>
      </c>
      <c r="BU9" s="158">
        <f>股权价值增加表!BU38/股权价值增加表!BU31</f>
        <v>0.87407888562371927</v>
      </c>
      <c r="BV9" s="158">
        <f>股权价值增加表!BV38/股权价值增加表!BV31</f>
        <v>0.83735895819222583</v>
      </c>
      <c r="BW9" s="158">
        <f>股权价值增加表!BW38/股权价值增加表!BW31</f>
        <v>0.86124740107430164</v>
      </c>
      <c r="BX9" s="158">
        <f>股权价值增加表!BX38/股权价值增加表!BX31</f>
        <v>0.81282223550882282</v>
      </c>
      <c r="BY9" s="158">
        <f>股权价值增加表!BY38/股权价值增加表!BY31</f>
        <v>0.80426452619449917</v>
      </c>
      <c r="BZ9" s="158">
        <f>股权价值增加表!BZ38/股权价值增加表!BZ31</f>
        <v>0.7628549712630297</v>
      </c>
      <c r="CA9" s="158">
        <f>股权价值增加表!CA38/股权价值增加表!CA31</f>
        <v>0.64247555059941797</v>
      </c>
      <c r="CB9" s="158">
        <f>股权价值增加表!CB38/股权价值增加表!CB31</f>
        <v>0.65943466945204487</v>
      </c>
      <c r="CC9" s="158">
        <f>股权价值增加表!CC38/股权价值增加表!CC31</f>
        <v>0.68706919667399913</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1.8912656476560477</v>
      </c>
      <c r="F10" s="61">
        <f>资产资本表!F70/资产资本表!F107</f>
        <v>1.9288297200860944</v>
      </c>
      <c r="G10" s="61">
        <f>资产资本表!G70/资产资本表!G107</f>
        <v>1.6763852261962127</v>
      </c>
      <c r="H10" s="61">
        <f>资产资本表!H70/资产资本表!H107</f>
        <v>1.6814253005415438</v>
      </c>
      <c r="I10" s="61">
        <f>资产资本表!I70/资产资本表!I107</f>
        <v>1.6431360108322854</v>
      </c>
      <c r="J10" s="61">
        <f>资产资本表!J70/资产资本表!J107</f>
        <v>1.7439506244274947</v>
      </c>
      <c r="K10" s="61">
        <f>资产资本表!K70/资产资本表!K107</f>
        <v>1.8052983721746303</v>
      </c>
      <c r="L10" s="61">
        <f>资产资本表!L70/资产资本表!L107</f>
        <v>2.6868578331882471</v>
      </c>
      <c r="M10" s="61">
        <f>资产资本表!M70/资产资本表!M107</f>
        <v>2.52833149010063</v>
      </c>
      <c r="N10" s="61">
        <f>资产资本表!N70/资产资本表!N107</f>
        <v>2.6265632887216337</v>
      </c>
      <c r="O10" s="61">
        <f>资产资本表!O70/资产资本表!O107</f>
        <v>2.6723430394124832</v>
      </c>
      <c r="P10" s="61">
        <f>资产资本表!P70/资产资本表!P107</f>
        <v>2.765287626006061</v>
      </c>
      <c r="Q10" s="61">
        <f>资产资本表!Q70/资产资本表!Q107</f>
        <v>2.7267103040408864</v>
      </c>
      <c r="R10" s="61">
        <f>资产资本表!R70/资产资本表!R107</f>
        <v>2.7681441136957026</v>
      </c>
      <c r="S10" s="61">
        <f>资产资本表!S70/资产资本表!S107</f>
        <v>2.7291023214463475</v>
      </c>
      <c r="T10" s="61">
        <f>资产资本表!T70/资产资本表!T107</f>
        <v>2.7517550941463735</v>
      </c>
      <c r="U10" s="61">
        <f>资产资本表!U70/资产资本表!U107</f>
        <v>2.4342694946257875</v>
      </c>
      <c r="V10" s="61">
        <f>资产资本表!V70/资产资本表!V107</f>
        <v>2.1142098541414596</v>
      </c>
      <c r="W10" s="61">
        <f>资产资本表!W70/资产资本表!W107</f>
        <v>1.8595520251862554</v>
      </c>
      <c r="X10" s="61">
        <f>资产资本表!X70/资产资本表!X107</f>
        <v>1.8954148723199991</v>
      </c>
      <c r="Y10" s="61">
        <f>资产资本表!Y70/资产资本表!Y107</f>
        <v>1.9923016924679018</v>
      </c>
      <c r="Z10" s="61">
        <f>资产资本表!Z70/资产资本表!Z107</f>
        <v>2.1533053559932624</v>
      </c>
      <c r="AA10" s="61">
        <f>资产资本表!AA70/资产资本表!AA107</f>
        <v>2.3220884159267783</v>
      </c>
      <c r="AB10" s="61">
        <f>资产资本表!AB70/资产资本表!AB107</f>
        <v>2.5475169542072313</v>
      </c>
      <c r="AC10" s="61">
        <f>资产资本表!AC70/资产资本表!AC107</f>
        <v>2.5348773460118381</v>
      </c>
      <c r="AD10" s="61">
        <f>资产资本表!AD70/资产资本表!AD107</f>
        <v>3.7646458442621621E-2</v>
      </c>
      <c r="AE10" s="61">
        <f>资产资本表!AE70/资产资本表!AE107</f>
        <v>3.7407779728692872E-2</v>
      </c>
      <c r="AF10" s="61">
        <f>资产资本表!AF70/资产资本表!AF107</f>
        <v>3.5305987511296683E-2</v>
      </c>
      <c r="AG10" s="61">
        <f>资产资本表!AG70/资产资本表!AG107</f>
        <v>3.4720304854386777E-2</v>
      </c>
      <c r="AH10" s="61">
        <f>资产资本表!AH70/资产资本表!AH107</f>
        <v>3.9616145597175932E-2</v>
      </c>
      <c r="AI10" s="61">
        <f>资产资本表!AI70/资产资本表!AI107</f>
        <v>1.9991720842999498E-2</v>
      </c>
      <c r="AJ10" s="61">
        <f>资产资本表!AJ70/资产资本表!AJ107</f>
        <v>1.6862757449082201E-2</v>
      </c>
      <c r="AK10" s="61">
        <f>资产资本表!AK70/资产资本表!AK107</f>
        <v>1.611953941746614E-2</v>
      </c>
      <c r="AL10" s="61">
        <f>资产资本表!AL70/资产资本表!AL107</f>
        <v>8.9030347988659515E-3</v>
      </c>
      <c r="AM10" s="61">
        <f>资产资本表!AM70/资产资本表!AM107</f>
        <v>6.398194416065958E-3</v>
      </c>
      <c r="AN10" s="61">
        <f>资产资本表!AN70/资产资本表!AN107</f>
        <v>-7.0039638493138486E-3</v>
      </c>
      <c r="AO10" s="61">
        <f>资产资本表!AO70/资产资本表!AO107</f>
        <v>-6.1857704306860096E-3</v>
      </c>
      <c r="AP10" s="61">
        <f>资产资本表!AP70/资产资本表!AP107</f>
        <v>-3.3340439895122233E-2</v>
      </c>
      <c r="AQ10" s="61">
        <f>资产资本表!AQ70/资产资本表!AQ107</f>
        <v>-3.6746856806396125E-2</v>
      </c>
      <c r="AR10" s="61">
        <f>资产资本表!AR70/资产资本表!AR107</f>
        <v>-5.2445836827425291E-2</v>
      </c>
      <c r="AS10" s="61">
        <f>资产资本表!AS70/资产资本表!AS107</f>
        <v>-6.1559448246158888E-2</v>
      </c>
      <c r="AT10" s="61">
        <f>资产资本表!AT70/资产资本表!AT107</f>
        <v>0.11277566705447747</v>
      </c>
      <c r="AU10" s="61">
        <f>资产资本表!AU70/资产资本表!AU107</f>
        <v>9.7458068762135988E-2</v>
      </c>
      <c r="AV10" s="61">
        <f>资产资本表!AV70/资产资本表!AV107</f>
        <v>8.6142483854571752E-2</v>
      </c>
      <c r="AW10" s="61">
        <f>资产资本表!AW70/资产资本表!AW107</f>
        <v>-4.4158226977681896E-2</v>
      </c>
      <c r="AX10" s="61">
        <f>资产资本表!AX70/资产资本表!AX107</f>
        <v>-1.1839744245947477</v>
      </c>
      <c r="AY10" s="61">
        <f>资产资本表!AY70/资产资本表!AY107</f>
        <v>-1.2337180015125573</v>
      </c>
      <c r="AZ10" s="61">
        <f>资产资本表!AZ70/资产资本表!AZ107</f>
        <v>0</v>
      </c>
      <c r="BA10" s="61">
        <f>资产资本表!BA70/资产资本表!BA107</f>
        <v>-1.515602710863768</v>
      </c>
      <c r="BB10" s="61">
        <f>资产资本表!BB70/资产资本表!BB107</f>
        <v>7.7899829684688928</v>
      </c>
      <c r="BC10" s="61">
        <f>资产资本表!BC70/资产资本表!BC107</f>
        <v>6.3210355301604801</v>
      </c>
      <c r="BD10" s="61">
        <f>资产资本表!BD70/资产资本表!BD107</f>
        <v>4.6496199542043559</v>
      </c>
      <c r="BE10" s="61">
        <f>资产资本表!BE70/资产资本表!BE107</f>
        <v>4.0917466285914044</v>
      </c>
      <c r="BF10" s="61">
        <f>资产资本表!BF70/资产资本表!BF107</f>
        <v>1.8972808969038957</v>
      </c>
      <c r="BG10" s="61">
        <f>资产资本表!BG70/资产资本表!BG107</f>
        <v>1.8872675377098715</v>
      </c>
      <c r="BH10" s="61">
        <f>资产资本表!BH70/资产资本表!BH107</f>
        <v>1.8293694034789811</v>
      </c>
      <c r="BI10" s="61">
        <f>资产资本表!BI70/资产资本表!BI107</f>
        <v>1.6935508645912303</v>
      </c>
      <c r="BJ10" s="61">
        <f>资产资本表!BJ70/资产资本表!BJ107</f>
        <v>2.4153768768167607</v>
      </c>
      <c r="BK10" s="61">
        <f>资产资本表!BK70/资产资本表!BK107</f>
        <v>2.2609846085327172</v>
      </c>
      <c r="BL10" s="61">
        <f>资产资本表!BL70/资产资本表!BL107</f>
        <v>2.260948836900194</v>
      </c>
      <c r="BM10" s="61">
        <f>资产资本表!BM70/资产资本表!BM107</f>
        <v>1.7077680320467179</v>
      </c>
      <c r="BN10" s="61">
        <f>资产资本表!BN70/资产资本表!BN107</f>
        <v>2.0115909801017269</v>
      </c>
      <c r="BO10" s="61">
        <f>资产资本表!BO70/资产资本表!BO107</f>
        <v>2.3083737725147251</v>
      </c>
      <c r="BP10" s="61">
        <f>资产资本表!BP70/资产资本表!BP107</f>
        <v>2.1050253013067972</v>
      </c>
      <c r="BQ10" s="61">
        <f>资产资本表!BQ70/资产资本表!BQ107</f>
        <v>1.5655175768150864</v>
      </c>
      <c r="BR10" s="61">
        <f>资产资本表!BR70/资产资本表!BR107</f>
        <v>1.2303267308178367</v>
      </c>
      <c r="BS10" s="61">
        <f>资产资本表!BS70/资产资本表!BS107</f>
        <v>1.3053171085112418</v>
      </c>
      <c r="BT10" s="61">
        <f>资产资本表!BT70/资产资本表!BT107</f>
        <v>1.4024827266704702</v>
      </c>
      <c r="BU10" s="61">
        <f>资产资本表!BU70/资产资本表!BU107</f>
        <v>1.2168025413635328</v>
      </c>
      <c r="BV10" s="61">
        <f>资产资本表!BV70/资产资本表!BV107</f>
        <v>1.268594138487962</v>
      </c>
      <c r="BW10" s="61">
        <f>资产资本表!BW70/资产资本表!BW107</f>
        <v>1.2887899676486265</v>
      </c>
      <c r="BX10" s="61">
        <f>资产资本表!BX70/资产资本表!BX107</f>
        <v>1.3219444915269585</v>
      </c>
      <c r="BY10" s="61">
        <f>资产资本表!BY70/资产资本表!BY107</f>
        <v>1.3389057236744804</v>
      </c>
      <c r="BZ10" s="61">
        <f>资产资本表!BZ70/资产资本表!BZ107</f>
        <v>2.045798097972618</v>
      </c>
      <c r="CA10" s="61">
        <f>资产资本表!CA70/资产资本表!CA107</f>
        <v>2.3090895090894152</v>
      </c>
      <c r="CB10" s="61">
        <f>资产资本表!CB70/资产资本表!CB107</f>
        <v>3.4133615466162595</v>
      </c>
      <c r="CC10" s="61">
        <f>资产资本表!CC70/资产资本表!CC107</f>
        <v>3.4457860802756883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1.4044394543204446</v>
      </c>
      <c r="F11" s="28">
        <f t="shared" ref="F11:BQ11" si="2">F9*F10</f>
        <v>1.0252367259292172</v>
      </c>
      <c r="G11" s="28">
        <f t="shared" si="2"/>
        <v>1.1650590227112192</v>
      </c>
      <c r="H11" s="28">
        <f t="shared" si="2"/>
        <v>1.3497077899484935</v>
      </c>
      <c r="I11" s="28">
        <f t="shared" si="2"/>
        <v>1.4343723101021282</v>
      </c>
      <c r="J11" s="28">
        <f t="shared" si="2"/>
        <v>1.4577446620797117</v>
      </c>
      <c r="K11" s="28">
        <f t="shared" si="2"/>
        <v>1.5935592951309676</v>
      </c>
      <c r="L11" s="28">
        <f t="shared" si="2"/>
        <v>2.5196880989800068</v>
      </c>
      <c r="M11" s="28">
        <f t="shared" si="2"/>
        <v>0.79869294151210979</v>
      </c>
      <c r="N11" s="28">
        <f t="shared" si="2"/>
        <v>0.27304821441751803</v>
      </c>
      <c r="O11" s="28">
        <f t="shared" si="2"/>
        <v>1.0973622402850762</v>
      </c>
      <c r="P11" s="28">
        <f t="shared" si="2"/>
        <v>17.120538093055835</v>
      </c>
      <c r="Q11" s="28">
        <f t="shared" si="2"/>
        <v>1.6652660635015206</v>
      </c>
      <c r="R11" s="28">
        <f t="shared" si="2"/>
        <v>1.1721557785175638</v>
      </c>
      <c r="S11" s="28">
        <f t="shared" si="2"/>
        <v>1.4842682145383006</v>
      </c>
      <c r="T11" s="28">
        <f t="shared" si="2"/>
        <v>1.6729207105495627</v>
      </c>
      <c r="U11" s="28">
        <f t="shared" si="2"/>
        <v>2.1073218505217826</v>
      </c>
      <c r="V11" s="28">
        <f t="shared" si="2"/>
        <v>0.70672253831564935</v>
      </c>
      <c r="W11" s="28">
        <f t="shared" si="2"/>
        <v>1.1705590356391091</v>
      </c>
      <c r="X11" s="28">
        <f t="shared" si="2"/>
        <v>0.85603163224021983</v>
      </c>
      <c r="Y11" s="28">
        <f t="shared" si="2"/>
        <v>1.8977681082483988</v>
      </c>
      <c r="Z11" s="28">
        <f t="shared" si="2"/>
        <v>2.0586026293480355</v>
      </c>
      <c r="AA11" s="28">
        <f t="shared" si="2"/>
        <v>2.2264750534078228</v>
      </c>
      <c r="AB11" s="28">
        <f t="shared" si="2"/>
        <v>2.8398286978264409</v>
      </c>
      <c r="AC11" s="28">
        <f t="shared" si="2"/>
        <v>2.4817109073108288</v>
      </c>
      <c r="AD11" s="28">
        <f t="shared" si="2"/>
        <v>-0.27032750567352271</v>
      </c>
      <c r="AE11" s="28">
        <f t="shared" si="2"/>
        <v>-0.14113687220543192</v>
      </c>
      <c r="AF11" s="28">
        <f t="shared" si="2"/>
        <v>-4.6591695687313521E-2</v>
      </c>
      <c r="AG11" s="28">
        <f t="shared" si="2"/>
        <v>5.3946271166149303E-3</v>
      </c>
      <c r="AH11" s="28">
        <f t="shared" si="2"/>
        <v>-1.2707522004853117E-2</v>
      </c>
      <c r="AI11" s="28">
        <f t="shared" si="2"/>
        <v>2.8829348194051845E-3</v>
      </c>
      <c r="AJ11" s="28">
        <f t="shared" si="2"/>
        <v>5.2302652611614688E-3</v>
      </c>
      <c r="AK11" s="28">
        <f t="shared" si="2"/>
        <v>3.0028894749158002E-3</v>
      </c>
      <c r="AL11" s="28">
        <f t="shared" si="2"/>
        <v>-0.24215441260900886</v>
      </c>
      <c r="AM11" s="28">
        <f t="shared" si="2"/>
        <v>-3.3301738908916849E-2</v>
      </c>
      <c r="AN11" s="28">
        <f t="shared" si="2"/>
        <v>-5.8255628940702994E-4</v>
      </c>
      <c r="AO11" s="28">
        <f t="shared" si="2"/>
        <v>-7.6472173224194915E-4</v>
      </c>
      <c r="AP11" s="28">
        <f t="shared" si="2"/>
        <v>6.5580319557004316E-2</v>
      </c>
      <c r="AQ11" s="28">
        <f t="shared" si="2"/>
        <v>-2.5770231407278171E-2</v>
      </c>
      <c r="AR11" s="28">
        <f t="shared" si="2"/>
        <v>-3.353784553401936E-2</v>
      </c>
      <c r="AS11" s="28">
        <f t="shared" si="2"/>
        <v>-3.6443790441485657E-2</v>
      </c>
      <c r="AT11" s="28">
        <f t="shared" si="2"/>
        <v>0.58746427582216487</v>
      </c>
      <c r="AU11" s="28">
        <f t="shared" si="2"/>
        <v>0.81271794314033552</v>
      </c>
      <c r="AV11" s="28">
        <f t="shared" si="2"/>
        <v>0.42619831982683348</v>
      </c>
      <c r="AW11" s="28">
        <f t="shared" si="2"/>
        <v>-4.8371639344701164E-2</v>
      </c>
      <c r="AX11" s="28">
        <f t="shared" si="2"/>
        <v>-3.1309995819052041</v>
      </c>
      <c r="AY11" s="28">
        <f t="shared" si="2"/>
        <v>-2.6392367802450858</v>
      </c>
      <c r="AZ11" s="28">
        <f t="shared" si="2"/>
        <v>0</v>
      </c>
      <c r="BA11" s="28">
        <f t="shared" si="2"/>
        <v>-1.7495384821573294</v>
      </c>
      <c r="BB11" s="28">
        <f t="shared" si="2"/>
        <v>15.200658986685474</v>
      </c>
      <c r="BC11" s="28">
        <f t="shared" si="2"/>
        <v>10.451493399399716</v>
      </c>
      <c r="BD11" s="28">
        <f t="shared" si="2"/>
        <v>12.602892369711409</v>
      </c>
      <c r="BE11" s="28">
        <f t="shared" si="2"/>
        <v>4.9001219467203923</v>
      </c>
      <c r="BF11" s="28">
        <f t="shared" si="2"/>
        <v>-0.29009175946286903</v>
      </c>
      <c r="BG11" s="28">
        <f t="shared" si="2"/>
        <v>0.70449548284055075</v>
      </c>
      <c r="BH11" s="28">
        <f t="shared" si="2"/>
        <v>0.58583322687241002</v>
      </c>
      <c r="BI11" s="28">
        <f t="shared" si="2"/>
        <v>0.62844232071618611</v>
      </c>
      <c r="BJ11" s="28">
        <f t="shared" si="2"/>
        <v>0.80497081453866703</v>
      </c>
      <c r="BK11" s="28">
        <f t="shared" si="2"/>
        <v>0.80687596766842562</v>
      </c>
      <c r="BL11" s="28">
        <f t="shared" si="2"/>
        <v>0.3417952370999307</v>
      </c>
      <c r="BM11" s="28">
        <f t="shared" si="2"/>
        <v>0.67924386815943227</v>
      </c>
      <c r="BN11" s="28">
        <f t="shared" si="2"/>
        <v>0.94906267298156965</v>
      </c>
      <c r="BO11" s="28">
        <f t="shared" si="2"/>
        <v>1.3404117828508446</v>
      </c>
      <c r="BP11" s="28">
        <f t="shared" si="2"/>
        <v>1.11629722571876</v>
      </c>
      <c r="BQ11" s="28">
        <f t="shared" si="2"/>
        <v>1.2955776489513051</v>
      </c>
      <c r="BR11" s="28">
        <f t="shared" ref="BR11:CJ11" si="3">BR9*BR10</f>
        <v>1.148270659018094</v>
      </c>
      <c r="BS11" s="28">
        <f t="shared" si="3"/>
        <v>1.1743066816504186</v>
      </c>
      <c r="BT11" s="28">
        <f t="shared" si="3"/>
        <v>1.2670207434511587</v>
      </c>
      <c r="BU11" s="28">
        <f t="shared" si="3"/>
        <v>1.0635814093791462</v>
      </c>
      <c r="BV11" s="28">
        <f t="shared" si="3"/>
        <v>1.0622686661730441</v>
      </c>
      <c r="BW11" s="28">
        <f t="shared" si="3"/>
        <v>1.1099670101680128</v>
      </c>
      <c r="BX11" s="28">
        <f t="shared" si="3"/>
        <v>1.0745058768215165</v>
      </c>
      <c r="BY11" s="28">
        <f t="shared" si="3"/>
        <v>1.076834377470159</v>
      </c>
      <c r="BZ11" s="28">
        <f t="shared" si="3"/>
        <v>1.5606472492388623</v>
      </c>
      <c r="CA11" s="28">
        <f t="shared" si="3"/>
        <v>1.4835335537355618</v>
      </c>
      <c r="CB11" s="28">
        <f t="shared" si="3"/>
        <v>2.2508889432132135</v>
      </c>
      <c r="CC11" s="28">
        <f t="shared" si="3"/>
        <v>2.3674934740854656</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0.56939946649329654</v>
      </c>
      <c r="F12" s="158">
        <f>F2/股权价值增加表!F38</f>
        <v>0.33237951999313475</v>
      </c>
      <c r="G12" s="158">
        <f>G2/股权价值增加表!G38</f>
        <v>0.54696881305930012</v>
      </c>
      <c r="H12" s="158">
        <f>H2/股权价值增加表!H38</f>
        <v>0.6302068167394751</v>
      </c>
      <c r="I12" s="158">
        <f>I2/股权价值增加表!I38</f>
        <v>0.72814147585485312</v>
      </c>
      <c r="J12" s="158">
        <f>J2/股权价值增加表!J38</f>
        <v>0.69803607103143905</v>
      </c>
      <c r="K12" s="158">
        <f>K2/股权价值增加表!K38</f>
        <v>0.70152797633013675</v>
      </c>
      <c r="L12" s="158">
        <f>L2/股权价值增加表!L38</f>
        <v>0.73035482174761401</v>
      </c>
      <c r="M12" s="158">
        <f>M2/股权价值增加表!M38</f>
        <v>0.77237337404900908</v>
      </c>
      <c r="N12" s="158">
        <f>N2/股权价值增加表!N38</f>
        <v>-0.29920777625188283</v>
      </c>
      <c r="O12" s="158">
        <f>O2/股权价值增加表!O38</f>
        <v>0.9399267148841689</v>
      </c>
      <c r="P12" s="158">
        <f>P2/股权价值增加表!P38</f>
        <v>1.1099716606060333</v>
      </c>
      <c r="Q12" s="158">
        <f>Q2/股权价值增加表!Q38</f>
        <v>0.65559548893205843</v>
      </c>
      <c r="R12" s="158">
        <f>R2/股权价值增加表!R38</f>
        <v>0.21644495906219929</v>
      </c>
      <c r="S12" s="158">
        <f>S2/股权价值增加表!S38</f>
        <v>0.43669136344114068</v>
      </c>
      <c r="T12" s="158">
        <f>T2/股权价值增加表!T38</f>
        <v>0.32172813962163743</v>
      </c>
      <c r="U12" s="158">
        <f>U2/股权价值增加表!U38</f>
        <v>0.70489128720288807</v>
      </c>
      <c r="V12" s="158">
        <f>V2/股权价值增加表!V38</f>
        <v>0.61118775788031821</v>
      </c>
      <c r="W12" s="158">
        <f>W2/股权价值增加表!W38</f>
        <v>0.73710065627149879</v>
      </c>
      <c r="X12" s="158">
        <f>X2/股权价值增加表!X38</f>
        <v>5.8725603033922956E-2</v>
      </c>
      <c r="Y12" s="158">
        <f>Y2/股权价值增加表!Y38</f>
        <v>0.86999021054424297</v>
      </c>
      <c r="Z12" s="158">
        <f>Z2/股权价值增加表!Z38</f>
        <v>0.84021316464584173</v>
      </c>
      <c r="AA12" s="158">
        <f>AA2/股权价值增加表!AA38</f>
        <v>1.0389498311570333</v>
      </c>
      <c r="AB12" s="158">
        <f>AB2/股权价值增加表!AB38</f>
        <v>0.99331816572270626</v>
      </c>
      <c r="AC12" s="158">
        <f>AC2/股权价值增加表!AC38</f>
        <v>0.78439941997907481</v>
      </c>
      <c r="AD12" s="158">
        <f>AD2/股权价值增加表!AD38</f>
        <v>1.0007893330929718</v>
      </c>
      <c r="AE12" s="158">
        <f>AE2/股权价值增加表!AE38</f>
        <v>1.0012923008392403</v>
      </c>
      <c r="AF12" s="158">
        <f>AF2/股权价值增加表!AF38</f>
        <v>1</v>
      </c>
      <c r="AG12" s="158">
        <f>AG2/股权价值增加表!AG38</f>
        <v>1</v>
      </c>
      <c r="AH12" s="158">
        <f>AH2/股权价值增加表!AH38</f>
        <v>1</v>
      </c>
      <c r="AI12" s="158">
        <f>AI2/股权价值增加表!AI38</f>
        <v>1</v>
      </c>
      <c r="AJ12" s="158">
        <f>AJ2/股权价值增加表!AJ38</f>
        <v>1</v>
      </c>
      <c r="AK12" s="158">
        <f>AK2/股权价值增加表!AK38</f>
        <v>1</v>
      </c>
      <c r="AL12" s="158">
        <f>AL2/股权价值增加表!AL38</f>
        <v>1</v>
      </c>
      <c r="AM12" s="158">
        <f>AM2/股权价值增加表!AM38</f>
        <v>1</v>
      </c>
      <c r="AN12" s="158">
        <f>AN2/股权价值增加表!AN38</f>
        <v>1</v>
      </c>
      <c r="AO12" s="158">
        <f>AO2/股权价值增加表!AO38</f>
        <v>0.67640003922784342</v>
      </c>
      <c r="AP12" s="158">
        <f>AP2/股权价值增加表!AP38</f>
        <v>1.0041789529516207</v>
      </c>
      <c r="AQ12" s="158">
        <f>AQ2/股权价值增加表!AQ38</f>
        <v>0.99814653156065325</v>
      </c>
      <c r="AR12" s="158">
        <f>AR2/股权价值增加表!AR38</f>
        <v>1</v>
      </c>
      <c r="AS12" s="158">
        <f>AS2/股权价值增加表!AS38</f>
        <v>0.9462791410133975</v>
      </c>
      <c r="AT12" s="158">
        <f>AT2/股权价值增加表!AT38</f>
        <v>1.005049236323819</v>
      </c>
      <c r="AU12" s="158">
        <f>AU2/股权价值增加表!AU38</f>
        <v>1.0069939076594625</v>
      </c>
      <c r="AV12" s="158">
        <f>AV2/股权价值增加表!AV38</f>
        <v>1.0012766237360622</v>
      </c>
      <c r="AW12" s="158">
        <f>AW2/股权价值增加表!AW38</f>
        <v>0.99618316764616222</v>
      </c>
      <c r="AX12" s="158">
        <f>AX2/股权价值增加表!AX38</f>
        <v>1.0007946499371632</v>
      </c>
      <c r="AY12" s="158">
        <f>AY2/股权价值增加表!AY38</f>
        <v>1.0004602200791652</v>
      </c>
      <c r="AZ12" s="158">
        <f>AZ2/股权价值增加表!AZ38</f>
        <v>0.99874442619105386</v>
      </c>
      <c r="BA12" s="158">
        <f>BA2/股权价值增加表!BA38</f>
        <v>0.99985735648257856</v>
      </c>
      <c r="BB12" s="158">
        <f>BB2/股权价值增加表!BB38</f>
        <v>0.99912936239812777</v>
      </c>
      <c r="BC12" s="158">
        <f>BC2/股权价值增加表!BC38</f>
        <v>0.99887036996464384</v>
      </c>
      <c r="BD12" s="158">
        <f>BD2/股权价值增加表!BD38</f>
        <v>0.99667150312937414</v>
      </c>
      <c r="BE12" s="158">
        <f>BE2/股权价值增加表!BE38</f>
        <v>1.0003457488020484</v>
      </c>
      <c r="BF12" s="158">
        <f>BF2/股权价值增加表!BF38</f>
        <v>1.8858899824123987</v>
      </c>
      <c r="BG12" s="158">
        <f>BG2/股权价值增加表!BG38</f>
        <v>0.81297136673064807</v>
      </c>
      <c r="BH12" s="158">
        <f>BH2/股权价值增加表!BH38</f>
        <v>0.80073484559995078</v>
      </c>
      <c r="BI12" s="158">
        <f>BI2/股权价值增加表!BI38</f>
        <v>0.76318581866776314</v>
      </c>
      <c r="BJ12" s="158">
        <f>BJ2/股权价值增加表!BJ38</f>
        <v>0.75652393782630312</v>
      </c>
      <c r="BK12" s="158">
        <f>BK2/股权价值增加表!BK38</f>
        <v>0.81513337171921718</v>
      </c>
      <c r="BL12" s="158">
        <f>BL2/股权价值增加表!BL38</f>
        <v>0.63757872131692006</v>
      </c>
      <c r="BM12" s="158">
        <f>BM2/股权价值增加表!BM38</f>
        <v>0.78996273594174482</v>
      </c>
      <c r="BN12" s="158">
        <f>BN2/股权价值增加表!BN38</f>
        <v>0.84761747376461227</v>
      </c>
      <c r="BO12" s="158">
        <f>BO2/股权价值增加表!BO38</f>
        <v>0.87143616270201529</v>
      </c>
      <c r="BP12" s="158">
        <f>BP2/股权价值增加表!BP38</f>
        <v>0.81513950693413773</v>
      </c>
      <c r="BQ12" s="158">
        <f>BQ2/股权价值增加表!BQ38</f>
        <v>0.82109611267220328</v>
      </c>
      <c r="BR12" s="158">
        <f>BR2/股权价值增加表!BR38</f>
        <v>0.83768260583274701</v>
      </c>
      <c r="BS12" s="158">
        <f>BS2/股权价值增加表!BS38</f>
        <v>0.87703852992818221</v>
      </c>
      <c r="BT12" s="158">
        <f>BT2/股权价值增加表!BT38</f>
        <v>0.95453091227053288</v>
      </c>
      <c r="BU12" s="158">
        <f>BU2/股权价值增加表!BU38</f>
        <v>0.94400142083603134</v>
      </c>
      <c r="BV12" s="158">
        <f>BV2/股权价值增加表!BV38</f>
        <v>0.89650665293883369</v>
      </c>
      <c r="BW12" s="158">
        <f>BW2/股权价值增加表!BW38</f>
        <v>0.96263780625353812</v>
      </c>
      <c r="BX12" s="158">
        <f>BX2/股权价值增加表!BX38</f>
        <v>0.95154060887265846</v>
      </c>
      <c r="BY12" s="158">
        <f>BY2/股权价值增加表!BY38</f>
        <v>0.86269917075809532</v>
      </c>
      <c r="BZ12" s="158">
        <f>BZ2/股权价值增加表!BZ38</f>
        <v>0.84615918219331399</v>
      </c>
      <c r="CA12" s="158">
        <f>CA2/股权价值增加表!CA38</f>
        <v>0.96030623497942258</v>
      </c>
      <c r="CB12" s="158">
        <f>CB2/股权价值增加表!CB38</f>
        <v>0.9750939034558006</v>
      </c>
      <c r="CC12" s="158">
        <f>CC2/股权价值增加表!CC38</f>
        <v>0.97170117870406103</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0.43060053350670346</v>
      </c>
      <c r="F13" s="63">
        <f>1-F2/股权价值增加表!F38</f>
        <v>0.66762048000686525</v>
      </c>
      <c r="G13" s="63">
        <f>1-G2/股权价值增加表!G38</f>
        <v>0.45303118694069988</v>
      </c>
      <c r="H13" s="63">
        <f>1-H2/股权价值增加表!H38</f>
        <v>0.3697931832605249</v>
      </c>
      <c r="I13" s="63">
        <f>1-I2/股权价值增加表!I38</f>
        <v>0.27185852414514688</v>
      </c>
      <c r="J13" s="63">
        <f>1-J2/股权价值增加表!J38</f>
        <v>0.30196392896856095</v>
      </c>
      <c r="K13" s="63">
        <f>1-K2/股权价值增加表!K38</f>
        <v>0.29847202366986325</v>
      </c>
      <c r="L13" s="63">
        <f>1-L2/股权价值增加表!L38</f>
        <v>0.26964517825238599</v>
      </c>
      <c r="M13" s="63">
        <f>1-M2/股权价值增加表!M38</f>
        <v>0.22762662595099092</v>
      </c>
      <c r="N13" s="63">
        <f>1-N2/股权价值增加表!N38</f>
        <v>1.2992077762518828</v>
      </c>
      <c r="O13" s="63">
        <f>1-O2/股权价值增加表!O38</f>
        <v>6.0073285115831099E-2</v>
      </c>
      <c r="P13" s="63">
        <f>1-P2/股权价值增加表!P38</f>
        <v>-0.10997166060603325</v>
      </c>
      <c r="Q13" s="63">
        <f>1-Q2/股权价值增加表!Q38</f>
        <v>0.34440451106794157</v>
      </c>
      <c r="R13" s="63">
        <f>1-R2/股权价值增加表!R38</f>
        <v>0.78355504093780071</v>
      </c>
      <c r="S13" s="63">
        <f>1-S2/股权价值增加表!S38</f>
        <v>0.56330863655885932</v>
      </c>
      <c r="T13" s="63">
        <f>1-T2/股权价值增加表!T38</f>
        <v>0.67827186037836262</v>
      </c>
      <c r="U13" s="63">
        <f>1-U2/股权价值增加表!U38</f>
        <v>0.29510871279711193</v>
      </c>
      <c r="V13" s="63">
        <f>1-V2/股权价值增加表!V38</f>
        <v>0.38881224211968179</v>
      </c>
      <c r="W13" s="63">
        <f>1-W2/股权价值增加表!W38</f>
        <v>0.26289934372850121</v>
      </c>
      <c r="X13" s="63">
        <f>1-X2/股权价值增加表!X38</f>
        <v>0.94127439696607706</v>
      </c>
      <c r="Y13" s="63">
        <f>1-Y2/股权价值增加表!Y38</f>
        <v>0.13000978945575703</v>
      </c>
      <c r="Z13" s="63">
        <f>1-Z2/股权价值增加表!Z38</f>
        <v>0.15978683535415827</v>
      </c>
      <c r="AA13" s="63">
        <f>1-AA2/股权价值增加表!AA38</f>
        <v>-3.8949831157033321E-2</v>
      </c>
      <c r="AB13" s="63">
        <f>1-AB2/股权价值增加表!AB38</f>
        <v>6.6818342772937411E-3</v>
      </c>
      <c r="AC13" s="63">
        <f>1-AC2/股权价值增加表!AC38</f>
        <v>0.21560058002092519</v>
      </c>
      <c r="AD13" s="63">
        <f>1-AD2/股权价值增加表!AD38</f>
        <v>-7.893330929718001E-4</v>
      </c>
      <c r="AE13" s="63">
        <f>1-AE2/股权价值增加表!AE38</f>
        <v>-1.2923008392402568E-3</v>
      </c>
      <c r="AF13" s="63">
        <f>1-AF2/股权价值增加表!AF38</f>
        <v>0</v>
      </c>
      <c r="AG13" s="63">
        <f>1-AG2/股权价值增加表!AG38</f>
        <v>0</v>
      </c>
      <c r="AH13" s="63">
        <f>1-AH2/股权价值增加表!AH38</f>
        <v>0</v>
      </c>
      <c r="AI13" s="63">
        <f>1-AI2/股权价值增加表!AI38</f>
        <v>0</v>
      </c>
      <c r="AJ13" s="63">
        <f>1-AJ2/股权价值增加表!AJ38</f>
        <v>0</v>
      </c>
      <c r="AK13" s="63">
        <f>1-AK2/股权价值增加表!AK38</f>
        <v>0</v>
      </c>
      <c r="AL13" s="63">
        <f>1-AL2/股权价值增加表!AL38</f>
        <v>0</v>
      </c>
      <c r="AM13" s="63">
        <f>1-AM2/股权价值增加表!AM38</f>
        <v>0</v>
      </c>
      <c r="AN13" s="63">
        <f>1-AN2/股权价值增加表!AN38</f>
        <v>0</v>
      </c>
      <c r="AO13" s="63">
        <f>1-AO2/股权价值增加表!AO38</f>
        <v>0.32359996077215658</v>
      </c>
      <c r="AP13" s="63">
        <f>1-AP2/股权价值增加表!AP38</f>
        <v>-4.1789529516207402E-3</v>
      </c>
      <c r="AQ13" s="63">
        <f>1-AQ2/股权价值增加表!AQ38</f>
        <v>1.8534684393467504E-3</v>
      </c>
      <c r="AR13" s="63">
        <f>1-AR2/股权价值增加表!AR38</f>
        <v>0</v>
      </c>
      <c r="AS13" s="63">
        <f>1-AS2/股权价值增加表!AS38</f>
        <v>5.3720858986602504E-2</v>
      </c>
      <c r="AT13" s="63">
        <f>1-AT2/股权价值增加表!AT38</f>
        <v>-5.0492363238190396E-3</v>
      </c>
      <c r="AU13" s="63">
        <f>1-AU2/股权价值增加表!AU38</f>
        <v>-6.993907659462506E-3</v>
      </c>
      <c r="AV13" s="63">
        <f>1-AV2/股权价值增加表!AV38</f>
        <v>-1.2766237360621879E-3</v>
      </c>
      <c r="AW13" s="63">
        <f>1-AW2/股权价值增加表!AW38</f>
        <v>3.8168323538377846E-3</v>
      </c>
      <c r="AX13" s="63">
        <f>1-AX2/股权价值增加表!AX38</f>
        <v>-7.9464993716316101E-4</v>
      </c>
      <c r="AY13" s="63">
        <f>1-AY2/股权价值增加表!AY38</f>
        <v>-4.602200791652411E-4</v>
      </c>
      <c r="AZ13" s="63">
        <f>1-AZ2/股权价值增加表!AZ38</f>
        <v>1.2555738089461421E-3</v>
      </c>
      <c r="BA13" s="63">
        <f>1-BA2/股权价值增加表!BA38</f>
        <v>1.4264351742143688E-4</v>
      </c>
      <c r="BB13" s="63">
        <f>1-BB2/股权价值增加表!BB38</f>
        <v>8.7063760187222616E-4</v>
      </c>
      <c r="BC13" s="63">
        <f>1-BC2/股权价值增加表!BC38</f>
        <v>1.129630035356155E-3</v>
      </c>
      <c r="BD13" s="63">
        <f>1-BD2/股权价值增加表!BD38</f>
        <v>3.3284968706258633E-3</v>
      </c>
      <c r="BE13" s="63">
        <f>1-BE2/股权价值增加表!BE38</f>
        <v>-3.4574880204840674E-4</v>
      </c>
      <c r="BF13" s="63">
        <f>1-BF2/股权价值增加表!BF38</f>
        <v>-0.88588998241239869</v>
      </c>
      <c r="BG13" s="63">
        <f>1-BG2/股权价值增加表!BG38</f>
        <v>0.18702863326935193</v>
      </c>
      <c r="BH13" s="63">
        <f>1-BH2/股权价值增加表!BH38</f>
        <v>0.19926515440004922</v>
      </c>
      <c r="BI13" s="63">
        <f>1-BI2/股权价值增加表!BI38</f>
        <v>0.23681418133223686</v>
      </c>
      <c r="BJ13" s="63">
        <f>1-BJ2/股权价值增加表!BJ38</f>
        <v>0.24347606217369688</v>
      </c>
      <c r="BK13" s="63">
        <f>1-BK2/股权价值增加表!BK38</f>
        <v>0.18486662828078282</v>
      </c>
      <c r="BL13" s="63">
        <f>1-BL2/股权价值增加表!BL38</f>
        <v>0.36242127868307994</v>
      </c>
      <c r="BM13" s="63">
        <f>1-BM2/股权价值增加表!BM38</f>
        <v>0.21003726405825518</v>
      </c>
      <c r="BN13" s="63">
        <f>1-BN2/股权价值增加表!BN38</f>
        <v>0.15238252623538773</v>
      </c>
      <c r="BO13" s="63">
        <f>1-BO2/股权价值增加表!BO38</f>
        <v>0.12856383729798471</v>
      </c>
      <c r="BP13" s="63">
        <f>1-BP2/股权价值增加表!BP38</f>
        <v>0.18486049306586227</v>
      </c>
      <c r="BQ13" s="63">
        <f>1-BQ2/股权价值增加表!BQ38</f>
        <v>0.17890388732779672</v>
      </c>
      <c r="BR13" s="63">
        <f>1-BR2/股权价值增加表!BR38</f>
        <v>0.16231739416725299</v>
      </c>
      <c r="BS13" s="63">
        <f>1-BS2/股权价值增加表!BS38</f>
        <v>0.12296147007181779</v>
      </c>
      <c r="BT13" s="63">
        <f>1-BT2/股权价值增加表!BT38</f>
        <v>4.5469087729467117E-2</v>
      </c>
      <c r="BU13" s="63">
        <f>1-BU2/股权价值增加表!BU38</f>
        <v>5.5998579163968665E-2</v>
      </c>
      <c r="BV13" s="63">
        <f>1-BV2/股权价值增加表!BV38</f>
        <v>0.10349334706116631</v>
      </c>
      <c r="BW13" s="63">
        <f>1-BW2/股权价值增加表!BW38</f>
        <v>3.736219374646188E-2</v>
      </c>
      <c r="BX13" s="63">
        <f>1-BX2/股权价值增加表!BX38</f>
        <v>4.8459391127341545E-2</v>
      </c>
      <c r="BY13" s="63">
        <f>1-BY2/股权价值增加表!BY38</f>
        <v>0.13730082924190468</v>
      </c>
      <c r="BZ13" s="63">
        <f>1-BZ2/股权价值增加表!BZ38</f>
        <v>0.15384081780668601</v>
      </c>
      <c r="CA13" s="63">
        <f>1-CA2/股权价值增加表!CA38</f>
        <v>3.9693765020577421E-2</v>
      </c>
      <c r="CB13" s="63">
        <f>1-CB2/股权价值增加表!CB38</f>
        <v>2.4906096544199396E-2</v>
      </c>
      <c r="CC13" s="63">
        <f>1-CC2/股权价值增加表!CC38</f>
        <v>2.829882129593897E-2</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3.5291913109633005E-2</v>
      </c>
      <c r="F14" s="59">
        <f t="shared" ref="F14:BQ14" si="4">F6*F7*F9*F10*F12</f>
        <v>5.3379158991110542E-3</v>
      </c>
      <c r="G14" s="59">
        <f t="shared" si="4"/>
        <v>1.1469902498035846E-2</v>
      </c>
      <c r="H14" s="59">
        <f t="shared" si="4"/>
        <v>1.1832104143286445E-2</v>
      </c>
      <c r="I14" s="59">
        <f t="shared" si="4"/>
        <v>0.14164344505490511</v>
      </c>
      <c r="J14" s="59">
        <f t="shared" si="4"/>
        <v>6.9672218012705359E-2</v>
      </c>
      <c r="K14" s="59">
        <f t="shared" si="4"/>
        <v>7.1256724761484619E-2</v>
      </c>
      <c r="L14" s="59">
        <f t="shared" si="4"/>
        <v>0.11956549818455366</v>
      </c>
      <c r="M14" s="59">
        <f t="shared" si="4"/>
        <v>2.635815479099891E-2</v>
      </c>
      <c r="N14" s="59">
        <f t="shared" si="4"/>
        <v>-1.9047869709983621E-3</v>
      </c>
      <c r="O14" s="59">
        <f t="shared" si="4"/>
        <v>2.385524853518891E-2</v>
      </c>
      <c r="P14" s="59">
        <f t="shared" si="4"/>
        <v>-2.4571719756730667E-2</v>
      </c>
      <c r="Q14" s="59">
        <f t="shared" si="4"/>
        <v>3.8502169340144089E-2</v>
      </c>
      <c r="R14" s="59">
        <f t="shared" si="4"/>
        <v>6.3493306477041007E-3</v>
      </c>
      <c r="S14" s="59">
        <f t="shared" si="4"/>
        <v>1.2980555611103232E-2</v>
      </c>
      <c r="T14" s="59">
        <f t="shared" si="4"/>
        <v>5.7044976660179493E-3</v>
      </c>
      <c r="U14" s="59">
        <f t="shared" si="4"/>
        <v>0.23348157803378208</v>
      </c>
      <c r="V14" s="59">
        <f t="shared" si="4"/>
        <v>1.5328254981336872E-2</v>
      </c>
      <c r="W14" s="59">
        <f t="shared" si="4"/>
        <v>3.9178623400597315E-2</v>
      </c>
      <c r="X14" s="59">
        <f t="shared" si="4"/>
        <v>6.0853733847594479E-4</v>
      </c>
      <c r="Y14" s="59">
        <f t="shared" si="4"/>
        <v>0.29520427329838494</v>
      </c>
      <c r="Z14" s="59">
        <f t="shared" si="4"/>
        <v>0.11715791064778693</v>
      </c>
      <c r="AA14" s="59">
        <f t="shared" si="4"/>
        <v>9.2316913821602509E-2</v>
      </c>
      <c r="AB14" s="59">
        <f t="shared" si="4"/>
        <v>-2.255158975439344E-2</v>
      </c>
      <c r="AC14" s="59">
        <f t="shared" si="4"/>
        <v>0.23697403756070978</v>
      </c>
      <c r="AD14" s="59">
        <f t="shared" si="4"/>
        <v>2.9448269172614786E-2</v>
      </c>
      <c r="AE14" s="59">
        <f t="shared" si="4"/>
        <v>1.8204428450342335E-2</v>
      </c>
      <c r="AF14" s="59">
        <f t="shared" si="4"/>
        <v>6.2827202982381255E-3</v>
      </c>
      <c r="AG14" s="59">
        <f t="shared" si="4"/>
        <v>-4.8439380558684721E-3</v>
      </c>
      <c r="AH14" s="59">
        <f t="shared" si="4"/>
        <v>8.1561425393506561E-3</v>
      </c>
      <c r="AI14" s="59">
        <f t="shared" si="4"/>
        <v>-3.8568132958268849E-3</v>
      </c>
      <c r="AJ14" s="59">
        <f t="shared" si="4"/>
        <v>-4.9980535344530492E-3</v>
      </c>
      <c r="AK14" s="59">
        <f t="shared" si="4"/>
        <v>-7.2120964207540187E-3</v>
      </c>
      <c r="AL14" s="59">
        <f t="shared" si="4"/>
        <v>3.6553780397008948E-2</v>
      </c>
      <c r="AM14" s="59">
        <f t="shared" si="4"/>
        <v>2.173537293063723E-2</v>
      </c>
      <c r="AN14" s="59">
        <f t="shared" si="4"/>
        <v>-1.1921132514850609E-3</v>
      </c>
      <c r="AO14" s="59">
        <f t="shared" si="4"/>
        <v>-3.1047255863018253E-3</v>
      </c>
      <c r="AP14" s="59">
        <f t="shared" si="4"/>
        <v>2.3412831261955584E-2</v>
      </c>
      <c r="AQ14" s="59">
        <f t="shared" si="4"/>
        <v>-5.6770543717440551E-2</v>
      </c>
      <c r="AR14" s="59">
        <f t="shared" si="4"/>
        <v>-2.1715192744654728E-2</v>
      </c>
      <c r="AS14" s="59">
        <f t="shared" si="4"/>
        <v>-3.0330590974922463E-2</v>
      </c>
      <c r="AT14" s="59">
        <f t="shared" si="4"/>
        <v>4.3493648580080271E-2</v>
      </c>
      <c r="AU14" s="59">
        <f t="shared" si="4"/>
        <v>2.7025547140132639E-2</v>
      </c>
      <c r="AV14" s="59">
        <f t="shared" si="4"/>
        <v>1.4826917198599182E-2</v>
      </c>
      <c r="AW14" s="59">
        <f t="shared" si="4"/>
        <v>0.71909289265522391</v>
      </c>
      <c r="AX14" s="59">
        <f t="shared" si="4"/>
        <v>0.17413714465867258</v>
      </c>
      <c r="AY14" s="59">
        <f t="shared" si="4"/>
        <v>0.14097369529417558</v>
      </c>
      <c r="AZ14" s="59" t="e">
        <f t="shared" si="4"/>
        <v>#DIV/0!</v>
      </c>
      <c r="BA14" s="59">
        <f t="shared" si="4"/>
        <v>1.473043833649152</v>
      </c>
      <c r="BB14" s="59">
        <f t="shared" si="4"/>
        <v>-1.0441855540956075</v>
      </c>
      <c r="BC14" s="59">
        <f t="shared" si="4"/>
        <v>-0.64816893961221922</v>
      </c>
      <c r="BD14" s="59">
        <f t="shared" si="4"/>
        <v>-0.15354419796561322</v>
      </c>
      <c r="BE14" s="59">
        <f t="shared" si="4"/>
        <v>-1.2833682304452745</v>
      </c>
      <c r="BF14" s="59">
        <f t="shared" si="4"/>
        <v>-1.2131621311934496E-2</v>
      </c>
      <c r="BG14" s="59">
        <f t="shared" si="4"/>
        <v>1.4990453981363033E-2</v>
      </c>
      <c r="BH14" s="59">
        <f t="shared" si="4"/>
        <v>5.4256789922441668E-3</v>
      </c>
      <c r="BI14" s="59">
        <f t="shared" si="4"/>
        <v>4.7147902211526378E-2</v>
      </c>
      <c r="BJ14" s="59">
        <f t="shared" si="4"/>
        <v>2.4368793687181402E-2</v>
      </c>
      <c r="BK14" s="59">
        <f t="shared" si="4"/>
        <v>1.5514791679427055E-2</v>
      </c>
      <c r="BL14" s="59">
        <f t="shared" si="4"/>
        <v>1.8891202490893824E-3</v>
      </c>
      <c r="BM14" s="59">
        <f t="shared" si="4"/>
        <v>3.9010827636388967E-2</v>
      </c>
      <c r="BN14" s="59">
        <f t="shared" si="4"/>
        <v>3.0162342214381355E-2</v>
      </c>
      <c r="BO14" s="59">
        <f t="shared" si="4"/>
        <v>3.0949067660744425E-2</v>
      </c>
      <c r="BP14" s="59">
        <f t="shared" si="4"/>
        <v>5.772060559129817E-3</v>
      </c>
      <c r="BQ14" s="59">
        <f t="shared" si="4"/>
        <v>9.8126505133946745E-2</v>
      </c>
      <c r="BR14" s="59">
        <f t="shared" ref="BR14:CJ14" si="5">BR6*BR7*BR9*BR10*BR12</f>
        <v>6.1087015108226464E-2</v>
      </c>
      <c r="BS14" s="59">
        <f t="shared" si="5"/>
        <v>0.1261203340227684</v>
      </c>
      <c r="BT14" s="59">
        <f t="shared" si="5"/>
        <v>6.8525685022001737E-2</v>
      </c>
      <c r="BU14" s="59">
        <f t="shared" si="5"/>
        <v>7.6340670214195383E-2</v>
      </c>
      <c r="BV14" s="59">
        <f t="shared" si="5"/>
        <v>4.2873604944251777E-2</v>
      </c>
      <c r="BW14" s="59">
        <f t="shared" si="5"/>
        <v>0.12334451192102072</v>
      </c>
      <c r="BX14" s="59">
        <f t="shared" si="5"/>
        <v>5.0239737518978651E-2</v>
      </c>
      <c r="BY14" s="59">
        <f t="shared" si="5"/>
        <v>9.9747959183399168E-2</v>
      </c>
      <c r="BZ14" s="59">
        <f t="shared" si="5"/>
        <v>0.10896939993538683</v>
      </c>
      <c r="CA14" s="59">
        <f t="shared" si="5"/>
        <v>0.29907664246565124</v>
      </c>
      <c r="CB14" s="59">
        <f t="shared" si="5"/>
        <v>0.5090845359788323</v>
      </c>
      <c r="CC14" s="59">
        <f t="shared" si="5"/>
        <v>0.5185244070016185</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36707</v>
      </c>
      <c r="BU18" s="1">
        <v>36525</v>
      </c>
      <c r="BV18" s="1">
        <v>36341</v>
      </c>
      <c r="BW18" s="1">
        <v>36160</v>
      </c>
      <c r="BX18" s="1">
        <v>35976</v>
      </c>
      <c r="BY18" s="1">
        <v>35795</v>
      </c>
      <c r="BZ18" s="1">
        <v>35611</v>
      </c>
      <c r="CA18" s="1">
        <v>35430</v>
      </c>
      <c r="CB18" s="1">
        <v>35064</v>
      </c>
      <c r="CC18" s="1">
        <v>34699</v>
      </c>
      <c r="CD18" s="1">
        <v>25569</v>
      </c>
      <c r="CE18" s="1"/>
      <c r="CF18" s="1"/>
      <c r="CG18" s="1"/>
      <c r="CH18" s="1"/>
      <c r="CI18" s="1"/>
      <c r="CJ18" s="1"/>
      <c r="CK18" s="1"/>
    </row>
    <row r="19" spans="1:89" s="116" customFormat="1" x14ac:dyDescent="0.25">
      <c r="A19" s="159" t="s">
        <v>447</v>
      </c>
      <c r="B19" s="76">
        <v>43373</v>
      </c>
      <c r="C19" s="76">
        <v>43281</v>
      </c>
      <c r="D19" s="76">
        <v>43190</v>
      </c>
      <c r="E19" s="76">
        <f>股权价值增加表!E4</f>
        <v>2473918205.1599998</v>
      </c>
      <c r="F19" s="76">
        <f>股权价值增加表!F4</f>
        <v>1008208630.3099999</v>
      </c>
      <c r="G19" s="76">
        <f>股权价值增加表!G4</f>
        <v>878288856.76999998</v>
      </c>
      <c r="H19" s="76">
        <f>股权价值增加表!H4</f>
        <v>630272076.14999998</v>
      </c>
      <c r="I19" s="76">
        <f>股权价值增加表!I4</f>
        <v>6704848495.9899998</v>
      </c>
      <c r="J19" s="76">
        <f>股权价值增加表!J4</f>
        <v>4576608658.5100002</v>
      </c>
      <c r="K19" s="76">
        <f>股权价值增加表!K4</f>
        <v>3995822264.8899999</v>
      </c>
      <c r="L19" s="76">
        <f>股权价值增加表!L4</f>
        <v>2925433262.5500002</v>
      </c>
      <c r="M19" s="76">
        <f>股权价值增加表!M4</f>
        <v>519502880.88</v>
      </c>
      <c r="N19" s="76">
        <f>股权价值增加表!N4</f>
        <v>367419981.04000002</v>
      </c>
      <c r="O19" s="76">
        <f>股权价值增加表!O4</f>
        <v>217567191.96000001</v>
      </c>
      <c r="P19" s="76">
        <f>股权价值增加表!P4</f>
        <v>144601402.62</v>
      </c>
      <c r="Q19" s="76">
        <f>股权价值增加表!Q4</f>
        <v>1270810233.05</v>
      </c>
      <c r="R19" s="76">
        <f>股权价值增加表!R4</f>
        <v>893502435.89999998</v>
      </c>
      <c r="S19" s="76">
        <f>股权价值增加表!S4</f>
        <v>679685555.03999996</v>
      </c>
      <c r="T19" s="76">
        <f>股权价值增加表!T4</f>
        <v>301403886.20999998</v>
      </c>
      <c r="U19" s="76">
        <f>股权价值增加表!U4</f>
        <v>2776957460.2800002</v>
      </c>
      <c r="V19" s="76">
        <f>股权价值增加表!V4</f>
        <v>326513513.94</v>
      </c>
      <c r="W19" s="76">
        <f>股权价值增加表!W4</f>
        <v>251933246.53999999</v>
      </c>
      <c r="X19" s="76">
        <f>股权价值增加表!X4</f>
        <v>159552882.02000001</v>
      </c>
      <c r="Y19" s="76">
        <f>股权价值增加表!Y4</f>
        <v>1886509459.79</v>
      </c>
      <c r="Z19" s="76">
        <f>股权价值增加表!Z4</f>
        <v>362275701.70999998</v>
      </c>
      <c r="AA19" s="76">
        <f>股权价值增加表!AA4</f>
        <v>92328849.569999993</v>
      </c>
      <c r="AB19" s="76">
        <f>股权价值增加表!AB4</f>
        <v>38430091.479999997</v>
      </c>
      <c r="AC19" s="76">
        <f>股权价值增加表!AC4</f>
        <v>911117929.50999999</v>
      </c>
      <c r="AD19" s="76">
        <f>股权价值增加表!AD4</f>
        <v>2325028.98</v>
      </c>
      <c r="AE19" s="76">
        <f>股权价值增加表!AE4</f>
        <v>719549.52</v>
      </c>
      <c r="AF19" s="76">
        <f>股权价值增加表!AF4</f>
        <v>454838.86</v>
      </c>
      <c r="AG19" s="76">
        <f>股权价值增加表!AG4</f>
        <v>1972005.12</v>
      </c>
      <c r="AH19" s="76">
        <f>股权价值增加表!AH4</f>
        <v>2247045.88</v>
      </c>
      <c r="AI19" s="76">
        <f>股权价值增加表!AI4</f>
        <v>1644331.61</v>
      </c>
      <c r="AJ19" s="76">
        <f>股权价值增加表!AJ4</f>
        <v>118276.34</v>
      </c>
      <c r="AK19" s="76">
        <f>股权价值增加表!AK4</f>
        <v>2319583.5699999998</v>
      </c>
      <c r="AL19" s="76">
        <f>股权价值增加表!AL4</f>
        <v>1059567.43</v>
      </c>
      <c r="AM19" s="76">
        <f>股权价值增加表!AM4</f>
        <v>714108.94</v>
      </c>
      <c r="AN19" s="76">
        <f>股权价值增加表!AN4</f>
        <v>317568.12</v>
      </c>
      <c r="AO19" s="76">
        <f>股权价值增加表!AO4</f>
        <v>29625077.149999999</v>
      </c>
      <c r="AP19" s="76">
        <f>股权价值增加表!AP4</f>
        <v>39690074.759999998</v>
      </c>
      <c r="AQ19" s="76">
        <f>股权价值增加表!AQ4</f>
        <v>38358193.560000002</v>
      </c>
      <c r="AR19" s="76">
        <f>股权价值增加表!AR4</f>
        <v>19981743.039999999</v>
      </c>
      <c r="AS19" s="76">
        <f>股权价值增加表!AS4</f>
        <v>276226954.25999999</v>
      </c>
      <c r="AT19" s="76">
        <f>股权价值增加表!AT4</f>
        <v>212112113.97</v>
      </c>
      <c r="AU19" s="76">
        <f>股权价值增加表!AU4</f>
        <v>151644166.93000001</v>
      </c>
      <c r="AV19" s="76">
        <f>股权价值增加表!AV4</f>
        <v>63063671.619999997</v>
      </c>
      <c r="AW19" s="76">
        <f>股权价值增加表!AW4</f>
        <v>229176151.38999999</v>
      </c>
      <c r="AX19" s="76">
        <f>股权价值增加表!AX4</f>
        <v>126125572.09</v>
      </c>
      <c r="AY19" s="76">
        <f>股权价值增加表!AY4</f>
        <v>70840155.810000002</v>
      </c>
      <c r="AZ19" s="76">
        <f>股权价值增加表!AZ4</f>
        <v>40009471.130000003</v>
      </c>
      <c r="BA19" s="76">
        <f>股权价值增加表!BA4</f>
        <v>221398699.53999999</v>
      </c>
      <c r="BB19" s="76">
        <f>股权价值增加表!BB4</f>
        <v>200305982.11000001</v>
      </c>
      <c r="BC19" s="76">
        <f>股权价值增加表!BC4</f>
        <v>173464164.24000001</v>
      </c>
      <c r="BD19" s="76">
        <f>股权价值增加表!BD4</f>
        <v>100452203.73</v>
      </c>
      <c r="BE19" s="76">
        <f>股权价值增加表!BE4</f>
        <v>801751161.67999995</v>
      </c>
      <c r="BF19" s="76">
        <f>股权价值增加表!BF4</f>
        <v>607574415.46000004</v>
      </c>
      <c r="BG19" s="76">
        <f>股权价值增加表!BG4</f>
        <v>387005787.07999998</v>
      </c>
      <c r="BH19" s="76">
        <f>股权价值增加表!BH4</f>
        <v>169994827.43000001</v>
      </c>
      <c r="BI19" s="76">
        <f>股权价值增加表!BI4</f>
        <v>866672859.30999994</v>
      </c>
      <c r="BJ19" s="76">
        <f>股权价值增加表!BJ4</f>
        <v>563313712.90999997</v>
      </c>
      <c r="BK19" s="76">
        <f>股权价值增加表!BK4</f>
        <v>312828694.13</v>
      </c>
      <c r="BL19" s="76">
        <f>股权价值增加表!BL4</f>
        <v>129824200.04000001</v>
      </c>
      <c r="BM19" s="76">
        <f>股权价值增加表!BM4</f>
        <v>996144233.25</v>
      </c>
      <c r="BN19" s="76">
        <f>股权价值增加表!BN4</f>
        <v>672287661.65999997</v>
      </c>
      <c r="BO19" s="76">
        <f>股权价值增加表!BO4</f>
        <v>424822929.56</v>
      </c>
      <c r="BP19" s="76">
        <f>股权价值增加表!BP4</f>
        <v>207516777.69999999</v>
      </c>
      <c r="BQ19" s="76">
        <f>股权价值增加表!BQ4</f>
        <v>761826036.83000004</v>
      </c>
      <c r="BR19" s="76">
        <f>股权价值增加表!BR4</f>
        <v>229750188.44999999</v>
      </c>
      <c r="BS19" s="76">
        <f>股权价值增加表!BS4</f>
        <v>198550035.96000001</v>
      </c>
      <c r="BT19" s="76">
        <f>股权价值增加表!BT4</f>
        <v>103771025.11</v>
      </c>
      <c r="BU19" s="76">
        <f>股权价值增加表!BU4</f>
        <v>101468040.58</v>
      </c>
      <c r="BV19" s="76">
        <f>股权价值增加表!BV4</f>
        <v>39700177.020000003</v>
      </c>
      <c r="BW19" s="76">
        <f>股权价值增加表!BW4</f>
        <v>71986605.340000004</v>
      </c>
      <c r="BX19" s="76">
        <f>股权价值增加表!BX4</f>
        <v>30318598.989999998</v>
      </c>
      <c r="BY19" s="76">
        <f>股权价值增加表!BY4</f>
        <v>61924611.850000001</v>
      </c>
      <c r="BZ19" s="76">
        <f>股权价值增加表!BZ4</f>
        <v>31098969.670000002</v>
      </c>
      <c r="CA19" s="76">
        <f>股权价值增加表!CA4</f>
        <v>71088754.129999995</v>
      </c>
      <c r="CB19" s="76">
        <f>股权价值增加表!CB4</f>
        <v>89207139.980000004</v>
      </c>
      <c r="CC19" s="76">
        <f>股权价值增加表!CC4</f>
        <v>71981187.920000002</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542642550.0999999</v>
      </c>
      <c r="F20" s="76">
        <f>股权价值增加表!F15</f>
        <v>186892646.99999991</v>
      </c>
      <c r="G20" s="76">
        <f>股权价值增加表!G15</f>
        <v>197735261.19999999</v>
      </c>
      <c r="H20" s="76">
        <f>股权价值增加表!H15</f>
        <v>149945282.99999997</v>
      </c>
      <c r="I20" s="76">
        <f>股权价值增加表!I15</f>
        <v>1465222384.4599998</v>
      </c>
      <c r="J20" s="76">
        <f>股权价值增加表!J15</f>
        <v>726132108.49000025</v>
      </c>
      <c r="K20" s="76">
        <f>股权价值增加表!K15</f>
        <v>722989007.21999967</v>
      </c>
      <c r="L20" s="76">
        <f>股权价值增加表!L15</f>
        <v>597310227.02000034</v>
      </c>
      <c r="M20" s="76">
        <f>股权价值增加表!M15</f>
        <v>-105970271.87000002</v>
      </c>
      <c r="N20" s="76">
        <f>股权价值增加表!N15</f>
        <v>-46480521.749999955</v>
      </c>
      <c r="O20" s="76">
        <f>股权价值增加表!O15</f>
        <v>-40863048.079999961</v>
      </c>
      <c r="P20" s="76">
        <f>股权价值增加表!P15</f>
        <v>-10647293.779999992</v>
      </c>
      <c r="Q20" s="76">
        <f>股权价值增加表!Q15</f>
        <v>152489293.94000003</v>
      </c>
      <c r="R20" s="76">
        <f>股权价值增加表!R15</f>
        <v>114379953.57999997</v>
      </c>
      <c r="S20" s="76">
        <f>股权价值增加表!S15</f>
        <v>85925073.609999955</v>
      </c>
      <c r="T20" s="76">
        <f>股权价值增加表!T15</f>
        <v>57317723.639999986</v>
      </c>
      <c r="U20" s="76">
        <f>股权价值增加表!U15</f>
        <v>630642373.23000026</v>
      </c>
      <c r="V20" s="76">
        <f>股权价值增加表!V15</f>
        <v>-2102721.0100000268</v>
      </c>
      <c r="W20" s="76">
        <f>股权价值增加表!W15</f>
        <v>15033347.379999992</v>
      </c>
      <c r="X20" s="76">
        <f>股权价值增加表!X15</f>
        <v>32563344.780000012</v>
      </c>
      <c r="Y20" s="76">
        <f>股权价值增加表!Y15</f>
        <v>370498475.89999998</v>
      </c>
      <c r="Z20" s="76">
        <f>股权价值增加表!Z15</f>
        <v>34849562.35999997</v>
      </c>
      <c r="AA20" s="76">
        <f>股权价值增加表!AA15</f>
        <v>-20638874.000000011</v>
      </c>
      <c r="AB20" s="76">
        <f>股权价值增加表!AB15</f>
        <v>-19085189.32</v>
      </c>
      <c r="AC20" s="76">
        <f>股权价值增加表!AC15</f>
        <v>221388081.43000004</v>
      </c>
      <c r="AD20" s="76">
        <f>股权价值增加表!AD15</f>
        <v>4326957.1499999985</v>
      </c>
      <c r="AE20" s="76">
        <f>股权价值增加表!AE15</f>
        <v>5029986.6599999983</v>
      </c>
      <c r="AF20" s="76">
        <f>股权价值增加表!AF15</f>
        <v>4909926.8</v>
      </c>
      <c r="AG20" s="76">
        <f>股权价值增加表!AG15</f>
        <v>31954454.649999999</v>
      </c>
      <c r="AH20" s="76">
        <f>股权价值增加表!AH15</f>
        <v>26399867.77</v>
      </c>
      <c r="AI20" s="76">
        <f>股权价值增加表!AI15</f>
        <v>27436019.57</v>
      </c>
      <c r="AJ20" s="76">
        <f>股权价值增加表!AJ15</f>
        <v>16511611.620000001</v>
      </c>
      <c r="AK20" s="76">
        <f>股权价值增加表!AK15</f>
        <v>41081429.969999999</v>
      </c>
      <c r="AL20" s="76">
        <f>股权价值增加表!AL15</f>
        <v>1464432.9800000004</v>
      </c>
      <c r="AM20" s="76">
        <f>股权价值增加表!AM15</f>
        <v>4427822.2100000018</v>
      </c>
      <c r="AN20" s="76">
        <f>股权价值增加表!AN15</f>
        <v>14848272.629999999</v>
      </c>
      <c r="AO20" s="76">
        <f>股权价值增加表!AO15</f>
        <v>38448417.369999997</v>
      </c>
      <c r="AP20" s="76">
        <f>股权价值增加表!AP15</f>
        <v>12807035.539999992</v>
      </c>
      <c r="AQ20" s="76">
        <f>股权价值增加表!AQ15</f>
        <v>80021825.879999995</v>
      </c>
      <c r="AR20" s="76">
        <f>股权价值增加表!AR15</f>
        <v>34580065.350000001</v>
      </c>
      <c r="AS20" s="76">
        <f>股权价值增加表!AS15</f>
        <v>57918293.609999977</v>
      </c>
      <c r="AT20" s="76">
        <f>股权价值增加表!AT15</f>
        <v>-9232751.9500000067</v>
      </c>
      <c r="AU20" s="76">
        <f>股权价值增加表!AU15</f>
        <v>-3498333.6499999845</v>
      </c>
      <c r="AV20" s="76">
        <f>股权价值增加表!AV15</f>
        <v>-3236389.0800000033</v>
      </c>
      <c r="AW20" s="76">
        <f>股权价值增加表!AW15</f>
        <v>-694387542.68000007</v>
      </c>
      <c r="AX20" s="76">
        <f>股权价值增加表!AX15</f>
        <v>-24002827.379999992</v>
      </c>
      <c r="AY20" s="76">
        <f>股权价值增加表!AY15</f>
        <v>-23082672.839999992</v>
      </c>
      <c r="AZ20" s="76">
        <f>股权价值增加表!AZ15</f>
        <v>-5359883.0399999935</v>
      </c>
      <c r="BA20" s="76">
        <f>股权价值增加表!BA15</f>
        <v>-383246547.33000004</v>
      </c>
      <c r="BB20" s="76">
        <f>股权价值增加表!BB15</f>
        <v>-36346052.399999991</v>
      </c>
      <c r="BC20" s="76">
        <f>股权价值增加表!BC15</f>
        <v>-32988180.539999992</v>
      </c>
      <c r="BD20" s="76">
        <f>股权价值增加表!BD15</f>
        <v>-6656538.4899999984</v>
      </c>
      <c r="BE20" s="76">
        <f>股权价值增加表!BE15</f>
        <v>-153339230.11000007</v>
      </c>
      <c r="BF20" s="76">
        <f>股权价值增加表!BF15</f>
        <v>12170339.389999993</v>
      </c>
      <c r="BG20" s="76">
        <f>股权价值增加表!BG15</f>
        <v>14691131.740000008</v>
      </c>
      <c r="BH20" s="76">
        <f>股权价值增加表!BH15</f>
        <v>6843004.6700000167</v>
      </c>
      <c r="BI20" s="76">
        <f>股权价值增加表!BI15</f>
        <v>51672063.229999945</v>
      </c>
      <c r="BJ20" s="76">
        <f>股权价值增加表!BJ15</f>
        <v>32583212.189999968</v>
      </c>
      <c r="BK20" s="76">
        <f>股权价值增加表!BK15</f>
        <v>17964863.679999977</v>
      </c>
      <c r="BL20" s="76">
        <f>股权价值增加表!BL15</f>
        <v>6375368.9600000009</v>
      </c>
      <c r="BM20" s="76">
        <f>股权价值增加表!BM15</f>
        <v>40357752.690000057</v>
      </c>
      <c r="BN20" s="76">
        <f>股权价值增加表!BN15</f>
        <v>24038342.300000012</v>
      </c>
      <c r="BO20" s="76">
        <f>股权价值增加表!BO15</f>
        <v>19550602.749999974</v>
      </c>
      <c r="BP20" s="76">
        <f>股权价值增加表!BP15</f>
        <v>4133836.6900000004</v>
      </c>
      <c r="BQ20" s="76">
        <f>股权价值增加表!BQ15</f>
        <v>32304701.880000081</v>
      </c>
      <c r="BR20" s="76">
        <f>股权价值增加表!BR15</f>
        <v>17987846.669999987</v>
      </c>
      <c r="BS20" s="76">
        <f>股权价值增加表!BS15</f>
        <v>44457740.18</v>
      </c>
      <c r="BT20" s="76">
        <f>股权价值增加表!BT15</f>
        <v>21891963.91</v>
      </c>
      <c r="BU20" s="76">
        <f>股权价值增加表!BU15</f>
        <v>17734666.389999993</v>
      </c>
      <c r="BV20" s="76">
        <f>股权价值增加表!BV15</f>
        <v>5689418.3600000031</v>
      </c>
      <c r="BW20" s="76">
        <f>股权价值增加表!BW15</f>
        <v>18945945.469999999</v>
      </c>
      <c r="BX20" s="76">
        <f>股权价值增加表!BX15</f>
        <v>8492595.1500000004</v>
      </c>
      <c r="BY20" s="76">
        <f>股权价值增加表!BY15</f>
        <v>16147150.01</v>
      </c>
      <c r="BZ20" s="76">
        <f>股权价值增加表!BZ15</f>
        <v>6929997.9500000011</v>
      </c>
      <c r="CA20" s="76">
        <f>股权价值增加表!CA15</f>
        <v>17241663.68</v>
      </c>
      <c r="CB20" s="76">
        <f>股权价值增加表!CB15</f>
        <v>24348886.740000002</v>
      </c>
      <c r="CC20" s="76">
        <f>股权价值增加表!CC15</f>
        <v>20552580.400000002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0.21934538860992969</v>
      </c>
      <c r="F21" s="244">
        <f t="shared" ref="F21:BQ21" si="6">F20/F19</f>
        <v>0.18537100495017078</v>
      </c>
      <c r="G21" s="244">
        <f t="shared" si="6"/>
        <v>0.22513693493413123</v>
      </c>
      <c r="H21" s="244">
        <f t="shared" si="6"/>
        <v>0.23790564214098886</v>
      </c>
      <c r="I21" s="244">
        <f t="shared" si="6"/>
        <v>0.2185317662787328</v>
      </c>
      <c r="J21" s="244">
        <f t="shared" si="6"/>
        <v>0.15866161227042866</v>
      </c>
      <c r="K21" s="244">
        <f t="shared" si="6"/>
        <v>0.1809362277127966</v>
      </c>
      <c r="L21" s="244">
        <f t="shared" si="6"/>
        <v>0.20417838091419849</v>
      </c>
      <c r="M21" s="244">
        <f t="shared" si="6"/>
        <v>-0.20398399271721865</v>
      </c>
      <c r="N21" s="244">
        <f t="shared" si="6"/>
        <v>-0.126505155267916</v>
      </c>
      <c r="O21" s="244">
        <f t="shared" si="6"/>
        <v>-0.18781806076493684</v>
      </c>
      <c r="P21" s="244">
        <f t="shared" si="6"/>
        <v>-7.3632022837151589E-2</v>
      </c>
      <c r="Q21" s="244">
        <f t="shared" si="6"/>
        <v>0.1199937567185142</v>
      </c>
      <c r="R21" s="244">
        <f t="shared" si="6"/>
        <v>0.12801302938227388</v>
      </c>
      <c r="S21" s="244">
        <f t="shared" si="6"/>
        <v>0.12641886085830265</v>
      </c>
      <c r="T21" s="244">
        <f t="shared" si="6"/>
        <v>0.19016915926579814</v>
      </c>
      <c r="U21" s="244">
        <f t="shared" si="6"/>
        <v>0.22709831974394476</v>
      </c>
      <c r="V21" s="244">
        <f t="shared" si="6"/>
        <v>-6.439920310270594E-3</v>
      </c>
      <c r="W21" s="244">
        <f t="shared" si="6"/>
        <v>5.9671947178329694E-2</v>
      </c>
      <c r="X21" s="244">
        <f t="shared" si="6"/>
        <v>0.20409123525526907</v>
      </c>
      <c r="Y21" s="244">
        <f t="shared" si="6"/>
        <v>0.19639364858591415</v>
      </c>
      <c r="Z21" s="244">
        <f t="shared" si="6"/>
        <v>9.6196245554157761E-2</v>
      </c>
      <c r="AA21" s="244">
        <f t="shared" si="6"/>
        <v>-0.22353656626418217</v>
      </c>
      <c r="AB21" s="244">
        <f t="shared" si="6"/>
        <v>-0.49662097031261093</v>
      </c>
      <c r="AC21" s="244">
        <f t="shared" si="6"/>
        <v>0.24298510023731257</v>
      </c>
      <c r="AD21" s="244">
        <f t="shared" si="6"/>
        <v>1.8610336418258315</v>
      </c>
      <c r="AE21" s="244">
        <f t="shared" si="6"/>
        <v>6.9904662850723573</v>
      </c>
      <c r="AF21" s="244">
        <f t="shared" si="6"/>
        <v>10.794870957156123</v>
      </c>
      <c r="AG21" s="244">
        <f t="shared" si="6"/>
        <v>16.204042436766084</v>
      </c>
      <c r="AH21" s="244">
        <f t="shared" si="6"/>
        <v>11.748699928636972</v>
      </c>
      <c r="AI21" s="244">
        <f t="shared" si="6"/>
        <v>16.685210819489139</v>
      </c>
      <c r="AJ21" s="244">
        <f t="shared" si="6"/>
        <v>139.60198311851721</v>
      </c>
      <c r="AK21" s="244">
        <f t="shared" si="6"/>
        <v>17.710691910962279</v>
      </c>
      <c r="AL21" s="244">
        <f t="shared" si="6"/>
        <v>1.3821045631800899</v>
      </c>
      <c r="AM21" s="244">
        <f t="shared" si="6"/>
        <v>6.2004856149819414</v>
      </c>
      <c r="AN21" s="244">
        <f t="shared" si="6"/>
        <v>46.75618141392782</v>
      </c>
      <c r="AO21" s="244">
        <f t="shared" si="6"/>
        <v>1.2978334934057716</v>
      </c>
      <c r="AP21" s="244">
        <f t="shared" si="6"/>
        <v>0.32267602460923134</v>
      </c>
      <c r="AQ21" s="244">
        <f t="shared" si="6"/>
        <v>2.0861729516753602</v>
      </c>
      <c r="AR21" s="244">
        <f t="shared" si="6"/>
        <v>1.7305830267548072</v>
      </c>
      <c r="AS21" s="244">
        <f t="shared" si="6"/>
        <v>0.20967647333751541</v>
      </c>
      <c r="AT21" s="244">
        <f t="shared" si="6"/>
        <v>-4.3527697580279821E-2</v>
      </c>
      <c r="AU21" s="244">
        <f t="shared" si="6"/>
        <v>-2.3069358491150136E-2</v>
      </c>
      <c r="AV21" s="244">
        <f t="shared" si="6"/>
        <v>-5.1319388752075382E-2</v>
      </c>
      <c r="AW21" s="244">
        <f t="shared" si="6"/>
        <v>-3.0299293293320373</v>
      </c>
      <c r="AX21" s="244">
        <f t="shared" si="6"/>
        <v>-0.19030896734305541</v>
      </c>
      <c r="AY21" s="244">
        <f t="shared" si="6"/>
        <v>-0.32584164413627076</v>
      </c>
      <c r="AZ21" s="244">
        <f t="shared" si="6"/>
        <v>-0.13396535591746506</v>
      </c>
      <c r="BA21" s="244">
        <f t="shared" si="6"/>
        <v>-1.7310243832789951</v>
      </c>
      <c r="BB21" s="244">
        <f t="shared" si="6"/>
        <v>-0.1814526556677683</v>
      </c>
      <c r="BC21" s="244">
        <f t="shared" si="6"/>
        <v>-0.19017288489833842</v>
      </c>
      <c r="BD21" s="244">
        <f t="shared" si="6"/>
        <v>-6.626572880264274E-2</v>
      </c>
      <c r="BE21" s="244">
        <f t="shared" si="6"/>
        <v>-0.19125538875265366</v>
      </c>
      <c r="BF21" s="244">
        <f t="shared" si="6"/>
        <v>2.003102678506586E-2</v>
      </c>
      <c r="BG21" s="244">
        <f t="shared" si="6"/>
        <v>3.7961013066099517E-2</v>
      </c>
      <c r="BH21" s="244">
        <f t="shared" si="6"/>
        <v>4.0254193456667441E-2</v>
      </c>
      <c r="BI21" s="244">
        <f t="shared" si="6"/>
        <v>5.9621185404534954E-2</v>
      </c>
      <c r="BJ21" s="244">
        <f t="shared" si="6"/>
        <v>5.7842036228231766E-2</v>
      </c>
      <c r="BK21" s="244">
        <f t="shared" si="6"/>
        <v>5.7427160670032548E-2</v>
      </c>
      <c r="BL21" s="244">
        <f t="shared" si="6"/>
        <v>4.9107708409030768E-2</v>
      </c>
      <c r="BM21" s="244">
        <f t="shared" si="6"/>
        <v>4.0513965089502821E-2</v>
      </c>
      <c r="BN21" s="244">
        <f t="shared" si="6"/>
        <v>3.5756036695132845E-2</v>
      </c>
      <c r="BO21" s="244">
        <f t="shared" si="6"/>
        <v>4.6020592085858063E-2</v>
      </c>
      <c r="BP21" s="244">
        <f t="shared" si="6"/>
        <v>1.9920493830991096E-2</v>
      </c>
      <c r="BQ21" s="244">
        <f t="shared" si="6"/>
        <v>4.2404302712495519E-2</v>
      </c>
      <c r="BR21" s="244">
        <f t="shared" ref="BR21:CK21" si="7">BR20/BR19</f>
        <v>7.8293066009452447E-2</v>
      </c>
      <c r="BS21" s="244">
        <f t="shared" si="7"/>
        <v>0.22391202280596151</v>
      </c>
      <c r="BT21" s="244">
        <f t="shared" si="7"/>
        <v>0.21096412882877419</v>
      </c>
      <c r="BU21" s="244">
        <f t="shared" si="7"/>
        <v>0.17478081067326345</v>
      </c>
      <c r="BV21" s="244">
        <f t="shared" si="7"/>
        <v>0.14330964713668179</v>
      </c>
      <c r="BW21" s="244">
        <f t="shared" si="7"/>
        <v>0.26318709405057211</v>
      </c>
      <c r="BX21" s="244">
        <f t="shared" si="7"/>
        <v>0.280111727880339</v>
      </c>
      <c r="BY21" s="244">
        <f t="shared" si="7"/>
        <v>0.26075496523277764</v>
      </c>
      <c r="BZ21" s="244">
        <f t="shared" si="7"/>
        <v>0.22283689857047281</v>
      </c>
      <c r="CA21" s="244">
        <f t="shared" si="7"/>
        <v>0.24253714797800749</v>
      </c>
      <c r="CB21" s="244">
        <f t="shared" si="7"/>
        <v>0.2729477342896427</v>
      </c>
      <c r="CC21" s="244">
        <f t="shared" si="7"/>
        <v>0.28552710776101903</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10684037739.870001</v>
      </c>
      <c r="F22" s="193">
        <f>资产资本表!F69</f>
        <v>10631134142.019999</v>
      </c>
      <c r="G22" s="193">
        <f>资产资本表!G69</f>
        <v>9605695516.6900005</v>
      </c>
      <c r="H22" s="193">
        <f>资产资本表!H69</f>
        <v>9594902177.7699986</v>
      </c>
      <c r="I22" s="193">
        <f>资产资本表!I69</f>
        <v>8988963558.7799988</v>
      </c>
      <c r="J22" s="193">
        <f>资产资本表!J69</f>
        <v>9159811946.7000008</v>
      </c>
      <c r="K22" s="193">
        <f>资产资本表!K69</f>
        <v>9136631010.3299999</v>
      </c>
      <c r="L22" s="193">
        <f>资产资本表!L69</f>
        <v>6894506570.5200014</v>
      </c>
      <c r="M22" s="193">
        <f>资产资本表!M69</f>
        <v>6486206049.1800013</v>
      </c>
      <c r="N22" s="193">
        <f>资产资本表!N69</f>
        <v>6993731182.8500013</v>
      </c>
      <c r="O22" s="193">
        <f>资产资本表!O69</f>
        <v>7261390978.96</v>
      </c>
      <c r="P22" s="193">
        <f>资产资本表!P69</f>
        <v>6910533750.000001</v>
      </c>
      <c r="Q22" s="193">
        <f>资产资本表!Q69</f>
        <v>5461499066.5099993</v>
      </c>
      <c r="R22" s="193">
        <f>资产资本表!R69</f>
        <v>4016346368.6399994</v>
      </c>
      <c r="S22" s="193">
        <f>资产资本表!S69</f>
        <v>4084424734.8199997</v>
      </c>
      <c r="T22" s="193">
        <f>资产资本表!T69</f>
        <v>3940356230.2099991</v>
      </c>
      <c r="U22" s="193">
        <f>资产资本表!U69</f>
        <v>3289505236.6099997</v>
      </c>
      <c r="V22" s="193">
        <f>资产资本表!V69</f>
        <v>1834661524.440001</v>
      </c>
      <c r="W22" s="193">
        <f>资产资本表!W69</f>
        <v>1906098843.8599997</v>
      </c>
      <c r="X22" s="193">
        <f>资产资本表!X69</f>
        <v>1676138871.3899996</v>
      </c>
      <c r="Y22" s="193">
        <f>资产资本表!Y69</f>
        <v>1418426856.4500003</v>
      </c>
      <c r="Z22" s="193">
        <f>资产资本表!Z69</f>
        <v>1392210853.3100007</v>
      </c>
      <c r="AA22" s="193">
        <f>资产资本表!AA69</f>
        <v>1844366816.96</v>
      </c>
      <c r="AB22" s="193">
        <f>资产资本表!AB69</f>
        <v>1900884797.0999997</v>
      </c>
      <c r="AC22" s="193">
        <f>资产资本表!AC69</f>
        <v>1687087266.6400003</v>
      </c>
      <c r="AD22" s="193">
        <f>资产资本表!AD69</f>
        <v>-85249888.399999991</v>
      </c>
      <c r="AE22" s="193">
        <f>资产资本表!AE69</f>
        <v>-84437174.849999979</v>
      </c>
      <c r="AF22" s="193">
        <f>资产资本表!AF69</f>
        <v>-81876079.339999974</v>
      </c>
      <c r="AG22" s="193">
        <f>资产资本表!AG69</f>
        <v>-82255313.489999965</v>
      </c>
      <c r="AH22" s="193">
        <f>资产资本表!AH69</f>
        <v>-86422390.470000014</v>
      </c>
      <c r="AI22" s="193">
        <f>资产资本表!AI69</f>
        <v>-65953344.449999996</v>
      </c>
      <c r="AJ22" s="193">
        <f>资产资本表!AJ69</f>
        <v>-62610155.050000034</v>
      </c>
      <c r="AK22" s="193">
        <f>资产资本表!AK69</f>
        <v>-62203541.180000007</v>
      </c>
      <c r="AL22" s="193">
        <f>资产资本表!AL69</f>
        <v>-55966236.94000002</v>
      </c>
      <c r="AM22" s="193">
        <f>资产资本表!AM69</f>
        <v>-53281450.969999976</v>
      </c>
      <c r="AN22" s="193">
        <f>资产资本表!AN69</f>
        <v>-39522403.360000022</v>
      </c>
      <c r="AO22" s="193">
        <f>资产资本表!AO69</f>
        <v>-40369034.540000051</v>
      </c>
      <c r="AP22" s="193">
        <f>资产资本表!AP69</f>
        <v>-12930841.040000014</v>
      </c>
      <c r="AQ22" s="193">
        <f>资产资本表!AQ69</f>
        <v>-11866418.710000034</v>
      </c>
      <c r="AR22" s="193">
        <f>资产资本表!AR69</f>
        <v>3113720.3899999745</v>
      </c>
      <c r="AS22" s="193">
        <f>资产资本表!AS69</f>
        <v>1440913.1699999757</v>
      </c>
      <c r="AT22" s="193">
        <f>资产资本表!AT69</f>
        <v>-184205808.05000007</v>
      </c>
      <c r="AU22" s="193">
        <f>资产资本表!AU69</f>
        <v>-166336773.94</v>
      </c>
      <c r="AV22" s="193">
        <f>资产资本表!AV69</f>
        <v>-158092893.01999995</v>
      </c>
      <c r="AW22" s="193">
        <f>资产资本表!AW69</f>
        <v>-11782864.85000005</v>
      </c>
      <c r="AX22" s="193">
        <f>资产资本表!AX69</f>
        <v>391844180.17999995</v>
      </c>
      <c r="AY22" s="193">
        <f>资产资本表!AY69</f>
        <v>396968292.17999995</v>
      </c>
      <c r="AZ22" s="193">
        <f>资产资本表!AZ69</f>
        <v>0</v>
      </c>
      <c r="BA22" s="193">
        <f>资产资本表!BA69</f>
        <v>416880383.19</v>
      </c>
      <c r="BB22" s="193">
        <f>资产资本表!BB69</f>
        <v>510037836.3499999</v>
      </c>
      <c r="BC22" s="193">
        <f>资产资本表!BC69</f>
        <v>519270474.59000009</v>
      </c>
      <c r="BD22" s="193">
        <f>资产资本表!BD69</f>
        <v>545887867.21000004</v>
      </c>
      <c r="BE22" s="193">
        <f>资产资本表!BE69</f>
        <v>446795620.69000006</v>
      </c>
      <c r="BF22" s="193">
        <f>资产资本表!BF69</f>
        <v>429525971.88999987</v>
      </c>
      <c r="BG22" s="193">
        <f>资产资本表!BG69</f>
        <v>426546001.33999979</v>
      </c>
      <c r="BH22" s="193">
        <f>资产资本表!BH69</f>
        <v>335133772.29999995</v>
      </c>
      <c r="BI22" s="193">
        <f>资产资本表!BI69</f>
        <v>168063840.90999997</v>
      </c>
      <c r="BJ22" s="193">
        <f>资产资本表!BJ69</f>
        <v>497257604.75999999</v>
      </c>
      <c r="BK22" s="193">
        <f>资产资本表!BK69</f>
        <v>386098563.64999998</v>
      </c>
      <c r="BL22" s="193">
        <f>资产资本表!BL69</f>
        <v>379016365.09000003</v>
      </c>
      <c r="BM22" s="193">
        <f>资产资本表!BM69</f>
        <v>279906092.27000004</v>
      </c>
      <c r="BN22" s="193">
        <f>资产资本表!BN69</f>
        <v>493775913.8300001</v>
      </c>
      <c r="BO22" s="193">
        <f>资产资本表!BO69</f>
        <v>431620072.65000004</v>
      </c>
      <c r="BP22" s="193">
        <f>资产资本表!BP69</f>
        <v>423440355.12999994</v>
      </c>
      <c r="BQ22" s="193">
        <f>资产资本表!BQ69</f>
        <v>259210625.90999997</v>
      </c>
      <c r="BR22" s="193">
        <f>资产资本表!BR69</f>
        <v>218659864.11000004</v>
      </c>
      <c r="BS22" s="193">
        <f>资产资本表!BS69</f>
        <v>290556367.42999995</v>
      </c>
      <c r="BT22" s="193">
        <f>资产资本表!BT69</f>
        <v>244977168.86000001</v>
      </c>
      <c r="BU22" s="193">
        <f>资产资本表!BU69</f>
        <v>222251633.78000003</v>
      </c>
      <c r="BV22" s="193">
        <f>资产资本表!BV69</f>
        <v>188549798.41999999</v>
      </c>
      <c r="BW22" s="193">
        <f>资产资本表!BW69</f>
        <v>151057172.78000003</v>
      </c>
      <c r="BX22" s="193">
        <f>资产资本表!BX69</f>
        <v>93530784.239999995</v>
      </c>
      <c r="BY22" s="193">
        <f>资产资本表!BY69</f>
        <v>82077244.430000007</v>
      </c>
      <c r="BZ22" s="193">
        <f>资产资本表!BZ69</f>
        <v>69371925.639999986</v>
      </c>
      <c r="CA22" s="193">
        <f>资产资本表!CA69</f>
        <v>65890395.320000008</v>
      </c>
      <c r="CB22" s="193">
        <f>资产资本表!CB69</f>
        <v>95606114.74000001</v>
      </c>
      <c r="CC22" s="193">
        <f>资产资本表!CC69</f>
        <v>87913986.170000002</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0.23155273927271822</v>
      </c>
      <c r="F23" s="246">
        <f t="shared" ref="F23:BQ23" si="8">F19/F22</f>
        <v>9.4835472569668136E-2</v>
      </c>
      <c r="G23" s="246">
        <f t="shared" si="8"/>
        <v>9.1434176238874482E-2</v>
      </c>
      <c r="H23" s="246">
        <f t="shared" si="8"/>
        <v>6.5688223232775553E-2</v>
      </c>
      <c r="I23" s="246">
        <f t="shared" si="8"/>
        <v>0.74589783929438869</v>
      </c>
      <c r="J23" s="246">
        <f t="shared" si="8"/>
        <v>0.49964002374075067</v>
      </c>
      <c r="K23" s="246">
        <f t="shared" si="8"/>
        <v>0.4373408820354317</v>
      </c>
      <c r="L23" s="246">
        <f t="shared" si="8"/>
        <v>0.42431365212686373</v>
      </c>
      <c r="M23" s="246">
        <f t="shared" si="8"/>
        <v>8.0093490237744841E-2</v>
      </c>
      <c r="N23" s="246">
        <f t="shared" si="8"/>
        <v>5.2535616745033861E-2</v>
      </c>
      <c r="O23" s="246">
        <f t="shared" si="8"/>
        <v>2.996219217370398E-2</v>
      </c>
      <c r="P23" s="246">
        <f t="shared" si="8"/>
        <v>2.092478061047021E-2</v>
      </c>
      <c r="Q23" s="246">
        <f t="shared" si="8"/>
        <v>0.23268524219707898</v>
      </c>
      <c r="R23" s="246">
        <f t="shared" si="8"/>
        <v>0.22246647920521717</v>
      </c>
      <c r="S23" s="246">
        <f t="shared" si="8"/>
        <v>0.16640912715213826</v>
      </c>
      <c r="T23" s="246">
        <f t="shared" si="8"/>
        <v>7.6491532389683661E-2</v>
      </c>
      <c r="U23" s="246">
        <f t="shared" si="8"/>
        <v>0.84418697054326453</v>
      </c>
      <c r="V23" s="246">
        <f t="shared" si="8"/>
        <v>0.17796934725584473</v>
      </c>
      <c r="W23" s="246">
        <f t="shared" si="8"/>
        <v>0.1321721836994641</v>
      </c>
      <c r="X23" s="246">
        <f t="shared" si="8"/>
        <v>9.5190729565077709E-2</v>
      </c>
      <c r="Y23" s="246">
        <f t="shared" si="8"/>
        <v>1.3300012272127333</v>
      </c>
      <c r="Z23" s="246">
        <f t="shared" si="8"/>
        <v>0.26021611658082139</v>
      </c>
      <c r="AA23" s="246">
        <f t="shared" si="8"/>
        <v>5.0059916889082907E-2</v>
      </c>
      <c r="AB23" s="246">
        <f t="shared" si="8"/>
        <v>2.0216949253647122E-2</v>
      </c>
      <c r="AC23" s="246">
        <f t="shared" si="8"/>
        <v>0.54005382384550893</v>
      </c>
      <c r="AD23" s="246">
        <f t="shared" si="8"/>
        <v>-2.7273102917047341E-2</v>
      </c>
      <c r="AE23" s="246">
        <f t="shared" si="8"/>
        <v>-8.5217147693330275E-3</v>
      </c>
      <c r="AF23" s="246">
        <f t="shared" si="8"/>
        <v>-5.5552105531486012E-3</v>
      </c>
      <c r="AG23" s="246">
        <f t="shared" si="8"/>
        <v>-2.397419736586066E-2</v>
      </c>
      <c r="AH23" s="246">
        <f t="shared" si="8"/>
        <v>-2.6000737398950122E-2</v>
      </c>
      <c r="AI23" s="246">
        <f t="shared" si="8"/>
        <v>-2.493173960642113E-2</v>
      </c>
      <c r="AJ23" s="246">
        <f t="shared" si="8"/>
        <v>-1.8890919517056831E-3</v>
      </c>
      <c r="AK23" s="246">
        <f t="shared" si="8"/>
        <v>-3.7290217341288664E-2</v>
      </c>
      <c r="AL23" s="246">
        <f t="shared" si="8"/>
        <v>-1.8932261447842835E-2</v>
      </c>
      <c r="AM23" s="246">
        <f t="shared" si="8"/>
        <v>-1.3402580579160234E-2</v>
      </c>
      <c r="AN23" s="246">
        <f t="shared" si="8"/>
        <v>-8.0351419195677128E-3</v>
      </c>
      <c r="AO23" s="246">
        <f t="shared" si="8"/>
        <v>-0.73385646913714775</v>
      </c>
      <c r="AP23" s="246">
        <f t="shared" si="8"/>
        <v>-3.0694116985293909</v>
      </c>
      <c r="AQ23" s="246">
        <f t="shared" si="8"/>
        <v>-3.2324995853782652</v>
      </c>
      <c r="AR23" s="246">
        <f t="shared" si="8"/>
        <v>6.4173209335601786</v>
      </c>
      <c r="AS23" s="246">
        <f t="shared" si="8"/>
        <v>191.70270631921883</v>
      </c>
      <c r="AT23" s="246">
        <f t="shared" si="8"/>
        <v>-1.1514952553093503</v>
      </c>
      <c r="AU23" s="246">
        <f t="shared" si="8"/>
        <v>-0.91166952044350802</v>
      </c>
      <c r="AV23" s="246">
        <f t="shared" si="8"/>
        <v>-0.39890263512365459</v>
      </c>
      <c r="AW23" s="246">
        <f t="shared" si="8"/>
        <v>-19.449951629547801</v>
      </c>
      <c r="AX23" s="246">
        <f t="shared" si="8"/>
        <v>0.32187685429463869</v>
      </c>
      <c r="AY23" s="246">
        <f t="shared" si="8"/>
        <v>0.17845293240166013</v>
      </c>
      <c r="AZ23" s="246" t="e">
        <f t="shared" si="8"/>
        <v>#DIV/0!</v>
      </c>
      <c r="BA23" s="246">
        <f t="shared" si="8"/>
        <v>0.53108447522965829</v>
      </c>
      <c r="BB23" s="246">
        <f t="shared" si="8"/>
        <v>0.39272769162275512</v>
      </c>
      <c r="BC23" s="246">
        <f t="shared" si="8"/>
        <v>0.33405358619120784</v>
      </c>
      <c r="BD23" s="246">
        <f t="shared" si="8"/>
        <v>0.18401618677367781</v>
      </c>
      <c r="BE23" s="246">
        <f t="shared" si="8"/>
        <v>1.794447224979133</v>
      </c>
      <c r="BF23" s="246">
        <f t="shared" si="8"/>
        <v>1.4145231143685015</v>
      </c>
      <c r="BG23" s="246">
        <f t="shared" si="8"/>
        <v>0.90730140679836713</v>
      </c>
      <c r="BH23" s="246">
        <f t="shared" si="8"/>
        <v>0.50724469295749353</v>
      </c>
      <c r="BI23" s="246">
        <f t="shared" si="8"/>
        <v>5.1568074049557913</v>
      </c>
      <c r="BJ23" s="246">
        <f t="shared" si="8"/>
        <v>1.1328408203669038</v>
      </c>
      <c r="BK23" s="246">
        <f t="shared" si="8"/>
        <v>0.81023014220167</v>
      </c>
      <c r="BL23" s="246">
        <f t="shared" si="8"/>
        <v>0.34252927313355547</v>
      </c>
      <c r="BM23" s="246">
        <f t="shared" si="8"/>
        <v>3.5588515604337396</v>
      </c>
      <c r="BN23" s="246">
        <f t="shared" si="8"/>
        <v>1.3615238063059083</v>
      </c>
      <c r="BO23" s="246">
        <f t="shared" si="8"/>
        <v>0.98425202273780299</v>
      </c>
      <c r="BP23" s="246">
        <f t="shared" si="8"/>
        <v>0.49007321854406272</v>
      </c>
      <c r="BQ23" s="246">
        <f t="shared" si="8"/>
        <v>2.9390231752864646</v>
      </c>
      <c r="BR23" s="246">
        <f t="shared" ref="BR23:CK23" si="9">BR19/BR22</f>
        <v>1.0507195245233518</v>
      </c>
      <c r="BS23" s="246">
        <f t="shared" si="9"/>
        <v>0.68334429465853697</v>
      </c>
      <c r="BT23" s="246">
        <f t="shared" si="9"/>
        <v>0.42359467860983913</v>
      </c>
      <c r="BU23" s="246">
        <f t="shared" si="9"/>
        <v>0.45654575786129004</v>
      </c>
      <c r="BV23" s="246">
        <f t="shared" si="9"/>
        <v>0.21055539360252584</v>
      </c>
      <c r="BW23" s="246">
        <f t="shared" si="9"/>
        <v>0.47655204989730238</v>
      </c>
      <c r="BX23" s="246">
        <f t="shared" si="9"/>
        <v>0.32415636452061036</v>
      </c>
      <c r="BY23" s="246">
        <f t="shared" si="9"/>
        <v>0.75446748096925598</v>
      </c>
      <c r="BZ23" s="246">
        <f t="shared" si="9"/>
        <v>0.44829330284682595</v>
      </c>
      <c r="CA23" s="246">
        <f t="shared" si="9"/>
        <v>1.0788940297710143</v>
      </c>
      <c r="CB23" s="246">
        <f t="shared" si="9"/>
        <v>0.93306939856930737</v>
      </c>
      <c r="CC23" s="246">
        <f t="shared" si="9"/>
        <v>0.81876833318431708</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5.0790025579468108E-2</v>
      </c>
      <c r="F24" s="161">
        <f t="shared" ref="F24:BQ24" si="10">F21*F23</f>
        <v>1.7579746855163739E-2</v>
      </c>
      <c r="G24" s="161">
        <f t="shared" si="10"/>
        <v>2.0585210186647371E-2</v>
      </c>
      <c r="H24" s="161">
        <f t="shared" si="10"/>
        <v>1.5627598929294093E-2</v>
      </c>
      <c r="I24" s="161">
        <f t="shared" si="10"/>
        <v>0.16300237228449316</v>
      </c>
      <c r="J24" s="161">
        <f t="shared" si="10"/>
        <v>7.9273691721542749E-2</v>
      </c>
      <c r="K24" s="161">
        <f t="shared" si="10"/>
        <v>7.9130809420078191E-2</v>
      </c>
      <c r="L24" s="161">
        <f t="shared" si="10"/>
        <v>8.6635674491053485E-2</v>
      </c>
      <c r="M24" s="161">
        <f t="shared" si="10"/>
        <v>-1.6337789929352767E-2</v>
      </c>
      <c r="N24" s="161">
        <f t="shared" si="10"/>
        <v>-6.6460263534262364E-3</v>
      </c>
      <c r="O24" s="161">
        <f t="shared" si="10"/>
        <v>-5.6274408303314495E-3</v>
      </c>
      <c r="P24" s="161">
        <f t="shared" si="10"/>
        <v>-1.5407339237725293E-3</v>
      </c>
      <c r="Q24" s="161">
        <f t="shared" si="10"/>
        <v>2.7920776344184849E-2</v>
      </c>
      <c r="R24" s="161">
        <f t="shared" si="10"/>
        <v>2.8478607939068486E-2</v>
      </c>
      <c r="S24" s="161">
        <f t="shared" si="10"/>
        <v>2.103725229099776E-2</v>
      </c>
      <c r="T24" s="161">
        <f t="shared" si="10"/>
        <v>1.4546330405498709E-2</v>
      </c>
      <c r="U24" s="161">
        <f t="shared" si="10"/>
        <v>0.19171344256010636</v>
      </c>
      <c r="V24" s="161">
        <f t="shared" si="10"/>
        <v>-1.1461084139985148E-3</v>
      </c>
      <c r="W24" s="161">
        <f t="shared" si="10"/>
        <v>7.8869715641589101E-3</v>
      </c>
      <c r="X24" s="161">
        <f t="shared" si="10"/>
        <v>1.9427593581786973E-2</v>
      </c>
      <c r="Y24" s="161">
        <f t="shared" si="10"/>
        <v>0.26120379363605212</v>
      </c>
      <c r="Z24" s="161">
        <f t="shared" si="10"/>
        <v>2.5031813447758035E-2</v>
      </c>
      <c r="AA24" s="161">
        <f t="shared" si="10"/>
        <v>-1.1190221928855933E-2</v>
      </c>
      <c r="AB24" s="161">
        <f t="shared" si="10"/>
        <v>-1.0040160955107048E-2</v>
      </c>
      <c r="AC24" s="161">
        <f t="shared" si="10"/>
        <v>0.13122503252064494</v>
      </c>
      <c r="AD24" s="161">
        <f t="shared" si="10"/>
        <v>-5.075616204560332E-2</v>
      </c>
      <c r="AE24" s="161">
        <f t="shared" si="10"/>
        <v>-5.957075978602569E-2</v>
      </c>
      <c r="AF24" s="161">
        <f t="shared" si="10"/>
        <v>-5.9967781061071035E-2</v>
      </c>
      <c r="AG24" s="161">
        <f t="shared" si="10"/>
        <v>-0.38847891150381181</v>
      </c>
      <c r="AH24" s="161">
        <f t="shared" si="10"/>
        <v>-0.30547486162355397</v>
      </c>
      <c r="AI24" s="161">
        <f t="shared" si="10"/>
        <v>-0.41599133142974376</v>
      </c>
      <c r="AJ24" s="161">
        <f t="shared" si="10"/>
        <v>-0.26372098275134348</v>
      </c>
      <c r="AK24" s="161">
        <f t="shared" si="10"/>
        <v>-0.66043555062438641</v>
      </c>
      <c r="AL24" s="161">
        <f t="shared" si="10"/>
        <v>-2.6166364938382078E-2</v>
      </c>
      <c r="AM24" s="161">
        <f t="shared" si="10"/>
        <v>-8.3102508084719376E-2</v>
      </c>
      <c r="AN24" s="161">
        <f t="shared" si="10"/>
        <v>-0.37569255327796419</v>
      </c>
      <c r="AO24" s="161">
        <f t="shared" si="10"/>
        <v>-0.95242350499868922</v>
      </c>
      <c r="AP24" s="161">
        <f t="shared" si="10"/>
        <v>-0.99042556477053234</v>
      </c>
      <c r="AQ24" s="161">
        <f t="shared" si="10"/>
        <v>-6.7435532013179538</v>
      </c>
      <c r="AR24" s="161">
        <f t="shared" si="10"/>
        <v>11.105706684857559</v>
      </c>
      <c r="AS24" s="161">
        <f t="shared" si="10"/>
        <v>40.195547390271237</v>
      </c>
      <c r="AT24" s="161">
        <f t="shared" si="10"/>
        <v>5.0121937238232502E-2</v>
      </c>
      <c r="AU24" s="161">
        <f t="shared" si="10"/>
        <v>2.1031630992566216E-2</v>
      </c>
      <c r="AV24" s="161">
        <f t="shared" si="10"/>
        <v>2.047143940613811E-2</v>
      </c>
      <c r="AW24" s="161">
        <f t="shared" si="10"/>
        <v>58.931978896456336</v>
      </c>
      <c r="AX24" s="161">
        <f t="shared" si="10"/>
        <v>-6.1256051752443801E-2</v>
      </c>
      <c r="AY24" s="161">
        <f t="shared" si="10"/>
        <v>-5.8147396894695724E-2</v>
      </c>
      <c r="AZ24" s="161" t="e">
        <f t="shared" si="10"/>
        <v>#DIV/0!</v>
      </c>
      <c r="BA24" s="161">
        <f t="shared" si="10"/>
        <v>-0.91932017620346795</v>
      </c>
      <c r="BB24" s="161">
        <f t="shared" si="10"/>
        <v>-7.1261482599221285E-2</v>
      </c>
      <c r="BC24" s="161">
        <f t="shared" si="10"/>
        <v>-6.3527934196617744E-2</v>
      </c>
      <c r="BD24" s="161">
        <f t="shared" si="10"/>
        <v>-1.2193966728040987E-2</v>
      </c>
      <c r="BE24" s="161">
        <f t="shared" si="10"/>
        <v>-0.34319770160950464</v>
      </c>
      <c r="BF24" s="161">
        <f t="shared" si="10"/>
        <v>2.8334350392010235E-2</v>
      </c>
      <c r="BG24" s="161">
        <f t="shared" si="10"/>
        <v>3.4442080558363286E-2</v>
      </c>
      <c r="BH24" s="161">
        <f t="shared" si="10"/>
        <v>2.041872600017882E-2</v>
      </c>
      <c r="BI24" s="161">
        <f t="shared" si="10"/>
        <v>0.307454970386348</v>
      </c>
      <c r="BJ24" s="161">
        <f t="shared" si="10"/>
        <v>6.5525819772482244E-2</v>
      </c>
      <c r="BK24" s="161">
        <f t="shared" si="10"/>
        <v>4.6529216555918622E-2</v>
      </c>
      <c r="BL24" s="161">
        <f t="shared" si="10"/>
        <v>1.6820827666599897E-2</v>
      </c>
      <c r="BM24" s="161">
        <f t="shared" si="10"/>
        <v>0.14418318787813517</v>
      </c>
      <c r="BN24" s="161">
        <f t="shared" si="10"/>
        <v>4.8682695179571002E-2</v>
      </c>
      <c r="BO24" s="161">
        <f t="shared" si="10"/>
        <v>4.5295860848097128E-2</v>
      </c>
      <c r="BP24" s="161">
        <f t="shared" si="10"/>
        <v>9.7625005267409533E-3</v>
      </c>
      <c r="BQ24" s="161">
        <f t="shared" si="10"/>
        <v>0.12462722840388703</v>
      </c>
      <c r="BR24" s="161">
        <f t="shared" ref="BR24:CK24" si="11">BR21*BR23</f>
        <v>8.2264053090927269E-2</v>
      </c>
      <c r="BS24" s="161">
        <f t="shared" si="11"/>
        <v>0.15300900328990602</v>
      </c>
      <c r="BT24" s="161">
        <f t="shared" si="11"/>
        <v>8.9363282349429293E-2</v>
      </c>
      <c r="BU24" s="161">
        <f t="shared" si="11"/>
        <v>7.979543766843572E-2</v>
      </c>
      <c r="BV24" s="161">
        <f t="shared" si="11"/>
        <v>3.0174619159903125E-2</v>
      </c>
      <c r="BW24" s="161">
        <f t="shared" si="11"/>
        <v>0.12542234917631426</v>
      </c>
      <c r="BX24" s="161">
        <f t="shared" si="11"/>
        <v>9.0799999369277185E-2</v>
      </c>
      <c r="BY24" s="161">
        <f t="shared" si="11"/>
        <v>0.19673114176939965</v>
      </c>
      <c r="BZ24" s="161">
        <f t="shared" si="11"/>
        <v>9.9896289256300411E-2</v>
      </c>
      <c r="CA24" s="161">
        <f t="shared" si="11"/>
        <v>0.26167188095116134</v>
      </c>
      <c r="CB24" s="161">
        <f t="shared" si="11"/>
        <v>0.25467917827449205</v>
      </c>
      <c r="CC24" s="161">
        <f t="shared" si="11"/>
        <v>0.23378055410042844</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36707</v>
      </c>
      <c r="BU25" s="1">
        <v>36525</v>
      </c>
      <c r="BV25" s="1">
        <v>36341</v>
      </c>
      <c r="BW25" s="1">
        <v>36160</v>
      </c>
      <c r="BX25" s="1">
        <v>35976</v>
      </c>
      <c r="BY25" s="1">
        <v>35795</v>
      </c>
      <c r="BZ25" s="1">
        <v>35611</v>
      </c>
      <c r="CA25" s="1">
        <v>35430</v>
      </c>
      <c r="CB25" s="1">
        <v>35064</v>
      </c>
      <c r="CC25" s="1">
        <v>34699</v>
      </c>
      <c r="CD25" s="1">
        <v>25569</v>
      </c>
      <c r="CE25" s="1"/>
      <c r="CF25" s="1"/>
      <c r="CG25" s="1"/>
      <c r="CH25" s="1"/>
      <c r="CI25" s="1"/>
      <c r="CJ25" s="1"/>
      <c r="CK25" s="1"/>
    </row>
    <row r="26" spans="1:89" s="76" customFormat="1" x14ac:dyDescent="0.25">
      <c r="A26" s="147" t="s">
        <v>443</v>
      </c>
      <c r="E26" s="76">
        <f>利润表!E14</f>
        <v>-23633714.579999998</v>
      </c>
      <c r="F26" s="76">
        <f>利润表!F14</f>
        <v>-3101039.81</v>
      </c>
      <c r="G26" s="76">
        <f>利润表!G14</f>
        <v>-6098553.3399999999</v>
      </c>
      <c r="H26" s="76">
        <f>利润表!H14</f>
        <v>-273117.88</v>
      </c>
      <c r="I26" s="76">
        <f>利润表!I14</f>
        <v>-3195150.28</v>
      </c>
      <c r="J26" s="76">
        <f>利润表!J14</f>
        <v>277466.98</v>
      </c>
      <c r="K26" s="76">
        <f>利润表!K14</f>
        <v>-290180.08</v>
      </c>
      <c r="L26" s="76">
        <f>利润表!L14</f>
        <v>-91253.62</v>
      </c>
      <c r="M26" s="76">
        <f>利润表!M14</f>
        <v>-2683014.21</v>
      </c>
      <c r="N26" s="76">
        <f>利润表!N14</f>
        <v>-572371.41</v>
      </c>
      <c r="O26" s="76">
        <f>利润表!O14</f>
        <v>-570026.65</v>
      </c>
      <c r="P26" s="76">
        <f>利润表!P14</f>
        <v>-105154.14</v>
      </c>
      <c r="Q26" s="76">
        <f>利润表!Q14</f>
        <v>3103152.35</v>
      </c>
      <c r="R26" s="76">
        <f>利润表!R14</f>
        <v>1780929.72</v>
      </c>
      <c r="S26" s="76">
        <f>利润表!S14</f>
        <v>2223522.83</v>
      </c>
      <c r="T26" s="76">
        <f>利润表!T14</f>
        <v>-25419.65</v>
      </c>
      <c r="U26" s="76">
        <f>利润表!U14</f>
        <v>1097839.6499999999</v>
      </c>
      <c r="V26" s="76">
        <f>利润表!V14</f>
        <v>6194869.6900000004</v>
      </c>
      <c r="W26" s="76">
        <f>利润表!W14</f>
        <v>-626489.31000000006</v>
      </c>
      <c r="X26" s="76">
        <f>利润表!X14</f>
        <v>-326795.33</v>
      </c>
      <c r="Y26" s="76">
        <f>利润表!Y14</f>
        <v>23437628.18</v>
      </c>
      <c r="Z26" s="76">
        <f>利润表!Z14</f>
        <v>20512804.079999998</v>
      </c>
      <c r="AA26" s="76">
        <f>利润表!AA14</f>
        <v>20512804.079999998</v>
      </c>
      <c r="AB26" s="76">
        <f>利润表!AB14</f>
        <v>-381233.82</v>
      </c>
      <c r="AC26" s="76">
        <f>利润表!AC14</f>
        <v>271412.40000000002</v>
      </c>
      <c r="AD26" s="76">
        <f>利润表!AD14</f>
        <v>0</v>
      </c>
      <c r="AE26" s="76">
        <f>利润表!AE14</f>
        <v>0</v>
      </c>
      <c r="AF26" s="76">
        <f>利润表!AF14</f>
        <v>0</v>
      </c>
      <c r="AG26" s="76">
        <f>利润表!AG14</f>
        <v>-4447</v>
      </c>
      <c r="AH26" s="76">
        <f>利润表!AH14</f>
        <v>0</v>
      </c>
      <c r="AI26" s="76">
        <f>利润表!AI14</f>
        <v>0</v>
      </c>
      <c r="AJ26" s="76">
        <f>利润表!AJ14</f>
        <v>0</v>
      </c>
      <c r="AK26" s="76">
        <f>利润表!AK14</f>
        <v>-1213497.95</v>
      </c>
      <c r="AL26" s="76">
        <f>利润表!AL14</f>
        <v>-17593.53</v>
      </c>
      <c r="AM26" s="76">
        <f>利润表!AM14</f>
        <v>-194.43</v>
      </c>
      <c r="AN26" s="76">
        <f>利润表!AN14</f>
        <v>0</v>
      </c>
      <c r="AO26" s="76">
        <f>利润表!AO14</f>
        <v>62139.56</v>
      </c>
      <c r="AP26" s="76">
        <f>利润表!AP14</f>
        <v>-173457.86</v>
      </c>
      <c r="AQ26" s="76">
        <f>利润表!AQ14</f>
        <v>-173457.86</v>
      </c>
      <c r="AR26" s="76">
        <f>利润表!AR14</f>
        <v>0</v>
      </c>
      <c r="AS26" s="76">
        <f>利润表!AS14</f>
        <v>-1587107.41</v>
      </c>
      <c r="AT26" s="76">
        <f>利润表!AT14</f>
        <v>-28551.66</v>
      </c>
      <c r="AU26" s="76">
        <f>利润表!AU14</f>
        <v>-28551.66</v>
      </c>
      <c r="AV26" s="76">
        <f>利润表!AV14</f>
        <v>-2954.95</v>
      </c>
      <c r="AW26" s="76">
        <f>利润表!AW14</f>
        <v>-11639638.17</v>
      </c>
      <c r="AX26" s="76">
        <f>利润表!AX14</f>
        <v>25762.83</v>
      </c>
      <c r="AY26" s="76">
        <f>利润表!AY14</f>
        <v>4179.46</v>
      </c>
      <c r="AZ26" s="76">
        <f>利润表!AZ14</f>
        <v>-3414.68</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403915866.87</v>
      </c>
      <c r="F27" s="76">
        <f>资产资本表!F19</f>
        <v>447363408.45999998</v>
      </c>
      <c r="G27" s="76">
        <f>资产资本表!G19</f>
        <v>444375867.52999997</v>
      </c>
      <c r="H27" s="76">
        <f>资产资本表!H19</f>
        <v>453022802.99000001</v>
      </c>
      <c r="I27" s="76">
        <f>资产资本表!I19</f>
        <v>453295920.87</v>
      </c>
      <c r="J27" s="76">
        <f>资产资本表!J19</f>
        <v>455520618.37</v>
      </c>
      <c r="K27" s="76">
        <f>资产资本表!K19</f>
        <v>455552971.31</v>
      </c>
      <c r="L27" s="76">
        <f>资产资本表!L19</f>
        <v>369416304.49000001</v>
      </c>
      <c r="M27" s="76">
        <f>资产资本表!M19</f>
        <v>369507558.10000002</v>
      </c>
      <c r="N27" s="76">
        <f>资产资本表!N19</f>
        <v>371618200.89999998</v>
      </c>
      <c r="O27" s="76">
        <f>资产资本表!O19</f>
        <v>401620545.66000003</v>
      </c>
      <c r="P27" s="76">
        <f>资产资本表!P19</f>
        <v>402085418.17000002</v>
      </c>
      <c r="Q27" s="76">
        <f>资产资本表!Q19</f>
        <v>402190572.31</v>
      </c>
      <c r="R27" s="76">
        <f>资产资本表!R19</f>
        <v>401226841.66000003</v>
      </c>
      <c r="S27" s="76">
        <f>资产资本表!S19</f>
        <v>551819434.76999998</v>
      </c>
      <c r="T27" s="76">
        <f>资产资本表!T19</f>
        <v>549570492.28999996</v>
      </c>
      <c r="U27" s="76">
        <f>资产资本表!U19</f>
        <v>549237419.96000004</v>
      </c>
      <c r="V27" s="76">
        <f>资产资本表!V19</f>
        <v>554732945.21000004</v>
      </c>
      <c r="W27" s="76">
        <f>资产资本表!W19</f>
        <v>247513091</v>
      </c>
      <c r="X27" s="76">
        <f>资产资本表!X19</f>
        <v>247812784.97999999</v>
      </c>
      <c r="Y27" s="76">
        <f>资产资本表!Y19</f>
        <v>218139580.31</v>
      </c>
      <c r="Z27" s="76">
        <f>资产资本表!Z19</f>
        <v>221938920.36000001</v>
      </c>
      <c r="AA27" s="76">
        <f>资产资本表!AA19</f>
        <v>215834322.86000001</v>
      </c>
      <c r="AB27" s="76">
        <f>资产资本表!AB19</f>
        <v>193607895.25999999</v>
      </c>
      <c r="AC27" s="76">
        <f>资产资本表!AC19</f>
        <v>194315631.08000001</v>
      </c>
      <c r="AD27" s="76">
        <f>资产资本表!AD19</f>
        <v>45031970.539999999</v>
      </c>
      <c r="AE27" s="76">
        <f>资产资本表!AE19</f>
        <v>45031970.539999999</v>
      </c>
      <c r="AF27" s="76">
        <f>资产资本表!AF19</f>
        <v>45031970.539999999</v>
      </c>
      <c r="AG27" s="76">
        <f>资产资本表!AG19</f>
        <v>45031970.539999999</v>
      </c>
      <c r="AH27" s="76">
        <f>资产资本表!AH19</f>
        <v>45036417.539999999</v>
      </c>
      <c r="AI27" s="76">
        <f>资产资本表!AI19</f>
        <v>45036417.539999999</v>
      </c>
      <c r="AJ27" s="76">
        <f>资产资本表!AJ19</f>
        <v>45036417.539999999</v>
      </c>
      <c r="AK27" s="76">
        <f>资产资本表!AK19</f>
        <v>45036417.539999999</v>
      </c>
      <c r="AL27" s="76">
        <f>资产资本表!AL19</f>
        <v>46232321.960000001</v>
      </c>
      <c r="AM27" s="76">
        <f>资产资本表!AM19</f>
        <v>46249721.060000002</v>
      </c>
      <c r="AN27" s="76">
        <f>资产资本表!AN19</f>
        <v>46249915.490000002</v>
      </c>
      <c r="AO27" s="76">
        <f>资产资本表!AO19</f>
        <v>46249915.490000002</v>
      </c>
      <c r="AP27" s="76">
        <f>资产资本表!AP19</f>
        <v>46448435.030000001</v>
      </c>
      <c r="AQ27" s="76">
        <f>资产资本表!AQ19</f>
        <v>46448435.030000001</v>
      </c>
      <c r="AR27" s="76">
        <f>资产资本表!AR19</f>
        <v>46621892.890000001</v>
      </c>
      <c r="AS27" s="76">
        <f>资产资本表!AS19</f>
        <v>46621892.890000001</v>
      </c>
      <c r="AT27" s="76">
        <f>资产资本表!AT19</f>
        <v>51021782.5</v>
      </c>
      <c r="AU27" s="76">
        <f>资产资本表!AU19</f>
        <v>51021782.5</v>
      </c>
      <c r="AV27" s="76">
        <f>资产资本表!AV19</f>
        <v>51047379.210000001</v>
      </c>
      <c r="AW27" s="76">
        <f>资产资本表!AW19</f>
        <v>48209000.299999997</v>
      </c>
      <c r="AX27" s="76">
        <f>资产资本表!AX19</f>
        <v>31080094.460000001</v>
      </c>
      <c r="AY27" s="76">
        <f>资产资本表!AY19</f>
        <v>24038511.09</v>
      </c>
      <c r="AZ27" s="76">
        <f>资产资本表!AZ19</f>
        <v>0</v>
      </c>
      <c r="BA27" s="76">
        <f>资产资本表!BA19</f>
        <v>23940760.68</v>
      </c>
      <c r="BB27" s="76">
        <f>资产资本表!BB19</f>
        <v>21123595.420000002</v>
      </c>
      <c r="BC27" s="76">
        <f>资产资本表!BC19</f>
        <v>21132708.809999999</v>
      </c>
      <c r="BD27" s="76">
        <f>资产资本表!BD19</f>
        <v>21656552.77</v>
      </c>
      <c r="BE27" s="76">
        <f>资产资本表!BE19</f>
        <v>22011331.800000001</v>
      </c>
      <c r="BF27" s="76">
        <f>资产资本表!BF19</f>
        <v>21828507.649999999</v>
      </c>
      <c r="BG27" s="76">
        <f>资产资本表!BG19</f>
        <v>21912655.920000002</v>
      </c>
      <c r="BH27" s="76">
        <f>资产资本表!BH19</f>
        <v>21923525.120000001</v>
      </c>
      <c r="BI27" s="76">
        <f>资产资本表!BI19</f>
        <v>21958922.329999998</v>
      </c>
      <c r="BJ27" s="76">
        <f>资产资本表!BJ19</f>
        <v>418858.82</v>
      </c>
      <c r="BK27" s="76">
        <f>资产资本表!BK19</f>
        <v>418858.82</v>
      </c>
      <c r="BL27" s="76">
        <f>资产资本表!BL19</f>
        <v>468493.93</v>
      </c>
      <c r="BM27" s="76">
        <f>资产资本表!BM19</f>
        <v>468493.93</v>
      </c>
      <c r="BN27" s="76">
        <f>资产资本表!BN19</f>
        <v>518129.04</v>
      </c>
      <c r="BO27" s="76">
        <f>资产资本表!BO19</f>
        <v>518129.04</v>
      </c>
      <c r="BP27" s="76">
        <f>资产资本表!BP19</f>
        <v>567764.15</v>
      </c>
      <c r="BQ27" s="76">
        <f>资产资本表!BQ19</f>
        <v>567764.15</v>
      </c>
      <c r="BR27" s="76">
        <f>资产资本表!BR19</f>
        <v>1538688.4</v>
      </c>
      <c r="BS27" s="76">
        <f>资产资本表!BS19</f>
        <v>37201034.369999997</v>
      </c>
      <c r="BT27" s="76">
        <f>资产资本表!BT19</f>
        <v>28320562.699999999</v>
      </c>
      <c r="BU27" s="76">
        <f>资产资本表!BU19</f>
        <v>22912443.02</v>
      </c>
      <c r="BV27" s="76">
        <f>资产资本表!BV19</f>
        <v>22460635.140000001</v>
      </c>
      <c r="BW27" s="76">
        <f>资产资本表!BW19</f>
        <v>21867618.27</v>
      </c>
      <c r="BX27" s="76">
        <f>资产资本表!BX19</f>
        <v>10386134.18</v>
      </c>
      <c r="BY27" s="76">
        <f>资产资本表!BY19</f>
        <v>10451921.84</v>
      </c>
      <c r="BZ27" s="76">
        <f>资产资本表!BZ19</f>
        <v>8624172.8399999999</v>
      </c>
      <c r="CA27" s="76">
        <f>资产资本表!CA19</f>
        <v>8826522.8399999999</v>
      </c>
      <c r="CB27" s="76">
        <f>资产资本表!CB19</f>
        <v>371522.84</v>
      </c>
      <c r="CC27" s="76">
        <f>资产资本表!CC19</f>
        <v>381522.84</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-5.8511478549087281E-2</v>
      </c>
      <c r="F28" s="110">
        <f t="shared" ref="F28:BQ28" si="12">F26/F27</f>
        <v>-6.9318137142127768E-3</v>
      </c>
      <c r="G28" s="110">
        <f t="shared" si="12"/>
        <v>-1.3723862580337544E-2</v>
      </c>
      <c r="H28" s="110">
        <f t="shared" si="12"/>
        <v>-6.0287887982104246E-4</v>
      </c>
      <c r="I28" s="110">
        <f t="shared" si="12"/>
        <v>-7.0487073297893889E-3</v>
      </c>
      <c r="J28" s="110">
        <f t="shared" si="12"/>
        <v>6.0912057283568524E-4</v>
      </c>
      <c r="K28" s="110">
        <f t="shared" si="12"/>
        <v>-6.3698427685709221E-4</v>
      </c>
      <c r="L28" s="110">
        <f t="shared" si="12"/>
        <v>-2.4702109487555174E-4</v>
      </c>
      <c r="M28" s="110">
        <f t="shared" si="12"/>
        <v>-7.2610536677409302E-3</v>
      </c>
      <c r="N28" s="110">
        <f t="shared" si="12"/>
        <v>-1.5402136079820843E-3</v>
      </c>
      <c r="O28" s="110">
        <f t="shared" si="12"/>
        <v>-1.4193164571878441E-3</v>
      </c>
      <c r="P28" s="110">
        <f t="shared" si="12"/>
        <v>-2.6152189372742005E-4</v>
      </c>
      <c r="Q28" s="110">
        <f t="shared" si="12"/>
        <v>7.7156267790587487E-3</v>
      </c>
      <c r="R28" s="110">
        <f t="shared" si="12"/>
        <v>4.4387103131778042E-3</v>
      </c>
      <c r="S28" s="110">
        <f t="shared" si="12"/>
        <v>4.0294391424013027E-3</v>
      </c>
      <c r="T28" s="110">
        <f t="shared" si="12"/>
        <v>-4.6253666011213789E-5</v>
      </c>
      <c r="U28" s="110">
        <f t="shared" si="12"/>
        <v>1.998843505746483E-3</v>
      </c>
      <c r="V28" s="110">
        <f t="shared" si="12"/>
        <v>1.1167300848978542E-2</v>
      </c>
      <c r="W28" s="110">
        <f t="shared" si="12"/>
        <v>-2.5311360601932772E-3</v>
      </c>
      <c r="X28" s="110">
        <f t="shared" si="12"/>
        <v>-1.3187186045561547E-3</v>
      </c>
      <c r="Y28" s="110">
        <f t="shared" si="12"/>
        <v>0.10744326245925928</v>
      </c>
      <c r="Z28" s="110">
        <f t="shared" si="12"/>
        <v>9.2425447716546677E-2</v>
      </c>
      <c r="AA28" s="110">
        <f t="shared" si="12"/>
        <v>9.5039583177442724E-2</v>
      </c>
      <c r="AB28" s="110">
        <f t="shared" si="12"/>
        <v>-1.969102651976219E-3</v>
      </c>
      <c r="AC28" s="110">
        <f t="shared" si="12"/>
        <v>1.3967605101632774E-3</v>
      </c>
      <c r="AD28" s="110">
        <f t="shared" si="12"/>
        <v>0</v>
      </c>
      <c r="AE28" s="110">
        <f t="shared" si="12"/>
        <v>0</v>
      </c>
      <c r="AF28" s="110">
        <f t="shared" si="12"/>
        <v>0</v>
      </c>
      <c r="AG28" s="110">
        <f t="shared" si="12"/>
        <v>-9.8752063182532007E-5</v>
      </c>
      <c r="AH28" s="110">
        <f t="shared" si="12"/>
        <v>0</v>
      </c>
      <c r="AI28" s="110">
        <f t="shared" si="12"/>
        <v>0</v>
      </c>
      <c r="AJ28" s="110">
        <f t="shared" si="12"/>
        <v>0</v>
      </c>
      <c r="AK28" s="110">
        <f t="shared" si="12"/>
        <v>-2.6944815246954475E-2</v>
      </c>
      <c r="AL28" s="110">
        <f t="shared" si="12"/>
        <v>-3.8054610398374197E-4</v>
      </c>
      <c r="AM28" s="110">
        <f t="shared" si="12"/>
        <v>-4.203917246284901E-6</v>
      </c>
      <c r="AN28" s="110">
        <f t="shared" si="12"/>
        <v>0</v>
      </c>
      <c r="AO28" s="110">
        <f t="shared" si="12"/>
        <v>1.3435605090659161E-3</v>
      </c>
      <c r="AP28" s="110">
        <f t="shared" si="12"/>
        <v>-3.7344177449243972E-3</v>
      </c>
      <c r="AQ28" s="110">
        <f t="shared" si="12"/>
        <v>-3.7344177449243972E-3</v>
      </c>
      <c r="AR28" s="110">
        <f t="shared" si="12"/>
        <v>0</v>
      </c>
      <c r="AS28" s="110">
        <f t="shared" si="12"/>
        <v>-3.4042105792328754E-2</v>
      </c>
      <c r="AT28" s="110">
        <f t="shared" si="12"/>
        <v>-5.5959746212316276E-4</v>
      </c>
      <c r="AU28" s="110">
        <f t="shared" si="12"/>
        <v>-5.5959746212316276E-4</v>
      </c>
      <c r="AV28" s="110">
        <f t="shared" si="12"/>
        <v>-5.7886419356493339E-5</v>
      </c>
      <c r="AW28" s="110">
        <f t="shared" si="12"/>
        <v>-0.24144118520541072</v>
      </c>
      <c r="AX28" s="110">
        <f t="shared" si="12"/>
        <v>8.289173648798493E-4</v>
      </c>
      <c r="AY28" s="110">
        <f t="shared" si="12"/>
        <v>1.7386517760405935E-4</v>
      </c>
      <c r="AZ28" s="110" t="e">
        <f t="shared" si="12"/>
        <v>#DIV/0!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36707</v>
      </c>
      <c r="BU31" s="1">
        <v>36525</v>
      </c>
      <c r="BV31" s="1">
        <v>36341</v>
      </c>
      <c r="BW31" s="1">
        <v>36160</v>
      </c>
      <c r="BX31" s="1">
        <v>35976</v>
      </c>
      <c r="BY31" s="1">
        <v>35795</v>
      </c>
      <c r="BZ31" s="1">
        <v>35611</v>
      </c>
      <c r="CA31" s="1">
        <v>35430</v>
      </c>
      <c r="CB31" s="1">
        <v>35064</v>
      </c>
      <c r="CC31" s="1">
        <v>34699</v>
      </c>
      <c r="CD31" s="1">
        <v>25569</v>
      </c>
      <c r="CE31" s="1"/>
      <c r="CF31" s="1"/>
      <c r="CG31" s="1"/>
      <c r="CH31" s="1"/>
      <c r="CI31" s="1"/>
      <c r="CJ31" s="1"/>
      <c r="CK31" s="1"/>
    </row>
    <row r="32" spans="1:89" s="76" customFormat="1" x14ac:dyDescent="0.25">
      <c r="A32" s="147" t="s">
        <v>450</v>
      </c>
      <c r="E32" s="76">
        <f>股权价值增加表!E29</f>
        <v>8053715.9881841317</v>
      </c>
      <c r="F32" s="76">
        <f>股权价值增加表!F29</f>
        <v>5677603.2797989082</v>
      </c>
      <c r="G32" s="76">
        <f>股权价值增加表!G29</f>
        <v>3055860.8384231217</v>
      </c>
      <c r="H32" s="76">
        <f>股权价值增加表!H29</f>
        <v>841110.45510927134</v>
      </c>
      <c r="I32" s="76">
        <f>股权价值增加表!I29</f>
        <v>8906833.8773980625</v>
      </c>
      <c r="J32" s="76">
        <f>股权价值增加表!J29</f>
        <v>2586149.098397919</v>
      </c>
      <c r="K32" s="76">
        <f>股权价值增加表!K29</f>
        <v>-720137.66893848928</v>
      </c>
      <c r="L32" s="76">
        <f>股权价值增加表!L29</f>
        <v>342635.62</v>
      </c>
      <c r="M32" s="76">
        <f>股权价值增加表!M29</f>
        <v>335397850.35755777</v>
      </c>
      <c r="N32" s="76">
        <f>股权价值增加表!N29</f>
        <v>-70881376.552746326</v>
      </c>
      <c r="O32" s="76">
        <f>股权价值增加表!O29</f>
        <v>222799996.45614341</v>
      </c>
      <c r="P32" s="76">
        <f>股权价值增加表!P29</f>
        <v>-96.06</v>
      </c>
      <c r="Q32" s="76">
        <f>股权价值增加表!Q29</f>
        <v>91607858.735624939</v>
      </c>
      <c r="R32" s="76">
        <f>股权价值增加表!R29</f>
        <v>4329014.6873565149</v>
      </c>
      <c r="S32" s="76">
        <f>股权价值增加表!S29</f>
        <v>8731982.0629964024</v>
      </c>
      <c r="T32" s="76">
        <f>股权价值增加表!T29</f>
        <v>-1904.5462144844205</v>
      </c>
      <c r="U32" s="76">
        <f>股权价值增加表!U29</f>
        <v>78731342.508966297</v>
      </c>
      <c r="V32" s="76">
        <f>股权价值增加表!V29</f>
        <v>66591693.151670314</v>
      </c>
      <c r="W32" s="76">
        <f>股权价值增加表!W29</f>
        <v>80304588.142334685</v>
      </c>
      <c r="X32" s="76">
        <f>股权价值增加表!X29</f>
        <v>-668.88461855638161</v>
      </c>
      <c r="Y32" s="76">
        <f>股权价值增加表!Y29</f>
        <v>88545504.699510992</v>
      </c>
      <c r="Z32" s="76">
        <f>股权价值增加表!Z29</f>
        <v>89242162.634001568</v>
      </c>
      <c r="AA32" s="76">
        <f>股权价值增加表!AA29</f>
        <v>103872552.18884866</v>
      </c>
      <c r="AB32" s="76">
        <f>股权价值增加表!AB29</f>
        <v>-2701.8254107657608</v>
      </c>
      <c r="AC32" s="76">
        <f>股权价值增加表!AC29</f>
        <v>62735940.907786489</v>
      </c>
      <c r="AD32" s="76">
        <f>股权价值增加表!AD29</f>
        <v>0</v>
      </c>
      <c r="AE32" s="76">
        <f>股权价值增加表!AE29</f>
        <v>0</v>
      </c>
      <c r="AF32" s="76">
        <f>股权价值增加表!AF29</f>
        <v>0</v>
      </c>
      <c r="AG32" s="76">
        <f>股权价值增加表!AG29</f>
        <v>0</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-7203.7990562634031</v>
      </c>
      <c r="AQ32" s="76">
        <f>股权价值增加表!AQ29</f>
        <v>0</v>
      </c>
      <c r="AR32" s="76">
        <f>股权价值增加表!AR29</f>
        <v>0</v>
      </c>
      <c r="AS32" s="76">
        <f>股权价值增加表!AS29</f>
        <v>0</v>
      </c>
      <c r="AT32" s="76">
        <f>股权价值增加表!AT29</f>
        <v>0</v>
      </c>
      <c r="AU32" s="76">
        <f>股权价值增加表!AU29</f>
        <v>0</v>
      </c>
      <c r="AV32" s="76">
        <f>股权价值增加表!AV29</f>
        <v>0</v>
      </c>
      <c r="AW32" s="76">
        <f>股权价值增加表!AW29</f>
        <v>0</v>
      </c>
      <c r="AX32" s="76">
        <f>股权价值增加表!AX29</f>
        <v>0</v>
      </c>
      <c r="AY32" s="76">
        <f>股权价值增加表!AY29</f>
        <v>0</v>
      </c>
      <c r="AZ32" s="76">
        <f>股权价值增加表!AZ29</f>
        <v>-60548.870850388383</v>
      </c>
      <c r="BA32" s="76">
        <f>股权价值增加表!BA29</f>
        <v>-911774.90266609867</v>
      </c>
      <c r="BB32" s="76">
        <f>股权价值增加表!BB29</f>
        <v>-886963.48332702206</v>
      </c>
      <c r="BC32" s="76">
        <f>股权价值增加表!BC29</f>
        <v>-877630.47108074161</v>
      </c>
      <c r="BD32" s="76">
        <f>股权价值增加表!BD29</f>
        <v>-353598.13914216624</v>
      </c>
      <c r="BE32" s="76">
        <f>股权价值增加表!BE29</f>
        <v>568169.85615030525</v>
      </c>
      <c r="BF32" s="76">
        <f>股权价值增加表!BF29</f>
        <v>2452870.3398919022</v>
      </c>
      <c r="BG32" s="76">
        <f>股权价值增加表!BG29</f>
        <v>1125795.9684674027</v>
      </c>
      <c r="BH32" s="76">
        <f>股权价值增加表!BH29</f>
        <v>1999.5069755991813</v>
      </c>
      <c r="BI32" s="76">
        <f>股权价值增加表!BI29</f>
        <v>1451742.3825420875</v>
      </c>
      <c r="BJ32" s="76">
        <f>股权价值增加表!BJ29</f>
        <v>-159389.45627923519</v>
      </c>
      <c r="BK32" s="76">
        <f>股权价值增加表!BK29</f>
        <v>-215607.01551326588</v>
      </c>
      <c r="BL32" s="76">
        <f>股权价值增加表!BL29</f>
        <v>0</v>
      </c>
      <c r="BM32" s="76">
        <f>股权价值增加表!BM29</f>
        <v>-82369.588268447638</v>
      </c>
      <c r="BN32" s="76">
        <f>股权价值增加表!BN29</f>
        <v>-42071.586548228654</v>
      </c>
      <c r="BO32" s="76">
        <f>股权价值增加表!BO29</f>
        <v>-43253.829793692421</v>
      </c>
      <c r="BP32" s="76">
        <f>股权价值增加表!BP29</f>
        <v>0</v>
      </c>
      <c r="BQ32" s="76">
        <f>股权价值增加表!BQ29</f>
        <v>9930803.1223209519</v>
      </c>
      <c r="BR32" s="76">
        <f>股权价值增加表!BR29</f>
        <v>4103893.8196316352</v>
      </c>
      <c r="BS32" s="76">
        <f>股权价值增加表!BS29</f>
        <v>1976748.6791833162</v>
      </c>
      <c r="BT32" s="76">
        <f>股权价值增加表!BT29</f>
        <v>326160.19640515838</v>
      </c>
      <c r="BU32" s="76">
        <f>股权价值增加表!BU29</f>
        <v>5952195.6104525216</v>
      </c>
      <c r="BV32" s="76">
        <f>股权价值增加表!BV29</f>
        <v>4089448.1067554518</v>
      </c>
      <c r="BW32" s="76">
        <f>股权价值增加表!BW29</f>
        <v>3671326.6251466479</v>
      </c>
      <c r="BX32" s="76">
        <f>股权价值增加表!BX29</f>
        <v>538624.34790163103</v>
      </c>
      <c r="BY32" s="76">
        <f>股权价值增加表!BY29</f>
        <v>2495761.0946297059</v>
      </c>
      <c r="BZ32" s="76">
        <f>股权价值增加表!BZ29</f>
        <v>11633.842595975873</v>
      </c>
      <c r="CA32" s="76">
        <f>股权价值增加表!CA29</f>
        <v>11235.582949259244</v>
      </c>
      <c r="CB32" s="76">
        <f>股权价值增加表!CB29</f>
        <v>5655.5446400436431</v>
      </c>
      <c r="CC32" s="76">
        <f>股权价值增加表!CC29</f>
        <v>19544.408827982003</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436926101.08999997</v>
      </c>
      <c r="F34" s="76">
        <f>资产资本表!F4</f>
        <v>929987175.30999994</v>
      </c>
      <c r="G34" s="76">
        <f>资产资本表!G4</f>
        <v>397234182.29000002</v>
      </c>
      <c r="H34" s="76">
        <f>资产资本表!H4</f>
        <v>346026809.07999998</v>
      </c>
      <c r="I34" s="76">
        <f>资产资本表!I4</f>
        <v>998723002.13</v>
      </c>
      <c r="J34" s="76">
        <f>资产资本表!J4</f>
        <v>634024893.62</v>
      </c>
      <c r="K34" s="76">
        <f>资产资本表!K4</f>
        <v>1310583929.4100001</v>
      </c>
      <c r="L34" s="76">
        <f>资产资本表!L4</f>
        <v>1237618464.4100001</v>
      </c>
      <c r="M34" s="76">
        <f>资产资本表!M4</f>
        <v>356153357.17000002</v>
      </c>
      <c r="N34" s="76">
        <f>资产资本表!N4</f>
        <v>323832045.43000001</v>
      </c>
      <c r="O34" s="76">
        <f>资产资本表!O4</f>
        <v>329925239.58999997</v>
      </c>
      <c r="P34" s="76">
        <f>资产资本表!P4</f>
        <v>465798612.18000001</v>
      </c>
      <c r="Q34" s="76">
        <f>资产资本表!Q4</f>
        <v>1969562845.9400001</v>
      </c>
      <c r="R34" s="76">
        <f>资产资本表!R4</f>
        <v>443669999.00999999</v>
      </c>
      <c r="S34" s="76">
        <f>资产资本表!S4</f>
        <v>331840848.13</v>
      </c>
      <c r="T34" s="76">
        <f>资产资本表!T4</f>
        <v>483086631.05000001</v>
      </c>
      <c r="U34" s="76">
        <f>资产资本表!U4</f>
        <v>450606371.35000002</v>
      </c>
      <c r="V34" s="76">
        <f>资产资本表!V4</f>
        <v>490078767.02999997</v>
      </c>
      <c r="W34" s="76">
        <f>资产资本表!W4</f>
        <v>256054900.88</v>
      </c>
      <c r="X34" s="76">
        <f>资产资本表!X4</f>
        <v>426862825.61000001</v>
      </c>
      <c r="Y34" s="76">
        <f>资产资本表!Y4</f>
        <v>823152216.92999995</v>
      </c>
      <c r="Z34" s="76">
        <f>资产资本表!Z4</f>
        <v>461688678.12</v>
      </c>
      <c r="AA34" s="76">
        <f>资产资本表!AA4</f>
        <v>238801970.36000001</v>
      </c>
      <c r="AB34" s="76">
        <f>资产资本表!AB4</f>
        <v>135544730.97999999</v>
      </c>
      <c r="AC34" s="76">
        <f>资产资本表!AC4</f>
        <v>389505765.57999998</v>
      </c>
      <c r="AD34" s="76">
        <f>资产资本表!AD4</f>
        <v>466216.12</v>
      </c>
      <c r="AE34" s="76">
        <f>资产资本表!AE4</f>
        <v>357891.61</v>
      </c>
      <c r="AF34" s="76">
        <f>资产资本表!AF4</f>
        <v>432840.36</v>
      </c>
      <c r="AG34" s="76">
        <f>资产资本表!AG4</f>
        <v>1641059.35</v>
      </c>
      <c r="AH34" s="76">
        <f>资产资本表!AH4</f>
        <v>254163.5</v>
      </c>
      <c r="AI34" s="76">
        <f>资产资本表!AI4</f>
        <v>408737.88</v>
      </c>
      <c r="AJ34" s="76">
        <f>资产资本表!AJ4</f>
        <v>294989.28000000003</v>
      </c>
      <c r="AK34" s="76">
        <f>资产资本表!AK4</f>
        <v>567374.21</v>
      </c>
      <c r="AL34" s="76">
        <f>资产资本表!AL4</f>
        <v>149172.9</v>
      </c>
      <c r="AM34" s="76">
        <f>资产资本表!AM4</f>
        <v>247962.97</v>
      </c>
      <c r="AN34" s="76">
        <f>资产资本表!AN4</f>
        <v>528471.81000000006</v>
      </c>
      <c r="AO34" s="76">
        <f>资产资本表!AO4</f>
        <v>535108.41</v>
      </c>
      <c r="AP34" s="76">
        <f>资产资本表!AP4</f>
        <v>1997288.68</v>
      </c>
      <c r="AQ34" s="76">
        <f>资产资本表!AQ4</f>
        <v>1596904.73</v>
      </c>
      <c r="AR34" s="76">
        <f>资产资本表!AR4</f>
        <v>3671275.8</v>
      </c>
      <c r="AS34" s="76">
        <f>资产资本表!AS4</f>
        <v>15985969.529999999</v>
      </c>
      <c r="AT34" s="76">
        <f>资产资本表!AT4</f>
        <v>7460925.71</v>
      </c>
      <c r="AU34" s="76">
        <f>资产资本表!AU4</f>
        <v>8511971.4000000004</v>
      </c>
      <c r="AV34" s="76">
        <f>资产资本表!AV4</f>
        <v>13812006.470000001</v>
      </c>
      <c r="AW34" s="76">
        <f>资产资本表!AW4</f>
        <v>10885333.24</v>
      </c>
      <c r="AX34" s="76">
        <f>资产资本表!AX4</f>
        <v>8527816.3599999994</v>
      </c>
      <c r="AY34" s="76">
        <f>资产资本表!AY4</f>
        <v>11255685.550000001</v>
      </c>
      <c r="AZ34" s="76">
        <f>资产资本表!AZ4</f>
        <v>0</v>
      </c>
      <c r="BA34" s="76">
        <f>资产资本表!BA4</f>
        <v>15379893.4</v>
      </c>
      <c r="BB34" s="76">
        <f>资产资本表!BB4</f>
        <v>10394963.039999999</v>
      </c>
      <c r="BC34" s="76">
        <f>资产资本表!BC4</f>
        <v>5070086.91</v>
      </c>
      <c r="BD34" s="76">
        <f>资产资本表!BD4</f>
        <v>6028307.2599999998</v>
      </c>
      <c r="BE34" s="76">
        <f>资产资本表!BE4</f>
        <v>114701814.88</v>
      </c>
      <c r="BF34" s="76">
        <f>资产资本表!BF4</f>
        <v>156125796.11000001</v>
      </c>
      <c r="BG34" s="76">
        <f>资产资本表!BG4</f>
        <v>165748121.43000001</v>
      </c>
      <c r="BH34" s="76">
        <f>资产资本表!BH4</f>
        <v>218795792.46000001</v>
      </c>
      <c r="BI34" s="76">
        <f>资产资本表!BI4</f>
        <v>338368175.68000001</v>
      </c>
      <c r="BJ34" s="76">
        <f>资产资本表!BJ4</f>
        <v>289970750.25</v>
      </c>
      <c r="BK34" s="76">
        <f>资产资本表!BK4</f>
        <v>347845847.88999999</v>
      </c>
      <c r="BL34" s="76">
        <f>资产资本表!BL4</f>
        <v>355757252.56999999</v>
      </c>
      <c r="BM34" s="76">
        <f>资产资本表!BM4</f>
        <v>273099947.05000001</v>
      </c>
      <c r="BN34" s="76">
        <f>资产资本表!BN4</f>
        <v>145294670.44</v>
      </c>
      <c r="BO34" s="76">
        <f>资产资本表!BO4</f>
        <v>303869580.30000001</v>
      </c>
      <c r="BP34" s="76">
        <f>资产资本表!BP4</f>
        <v>227671628.03999999</v>
      </c>
      <c r="BQ34" s="76">
        <f>资产资本表!BQ4</f>
        <v>221556058.13999999</v>
      </c>
      <c r="BR34" s="76">
        <f>资产资本表!BR4</f>
        <v>128024793.77</v>
      </c>
      <c r="BS34" s="76">
        <f>资产资本表!BS4</f>
        <v>53634572.840000004</v>
      </c>
      <c r="BT34" s="76">
        <f>资产资本表!BT4</f>
        <v>119104358.29000001</v>
      </c>
      <c r="BU34" s="76">
        <f>资产资本表!BU4</f>
        <v>69939067.840000004</v>
      </c>
      <c r="BV34" s="76">
        <f>资产资本表!BV4</f>
        <v>16689141.880000001</v>
      </c>
      <c r="BW34" s="76">
        <f>资产资本表!BW4</f>
        <v>18229681.219999999</v>
      </c>
      <c r="BX34" s="76">
        <f>资产资本表!BX4</f>
        <v>54899105</v>
      </c>
      <c r="BY34" s="76">
        <f>资产资本表!BY4</f>
        <v>84797442.760000005</v>
      </c>
      <c r="BZ34" s="76">
        <f>资产资本表!BZ4</f>
        <v>6152356.9900000002</v>
      </c>
      <c r="CA34" s="76">
        <f>资产资本表!CA4</f>
        <v>7469187.54</v>
      </c>
      <c r="CB34" s="76">
        <f>资产资本表!CB4</f>
        <v>9023293.9000000004</v>
      </c>
      <c r="CC34" s="76">
        <f>资产资本表!CC4</f>
        <v>2977734.29</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205020</v>
      </c>
      <c r="R35" s="76">
        <f>利润表!R12</f>
        <v>205020</v>
      </c>
      <c r="S35" s="76">
        <f>利润表!S12</f>
        <v>-4420</v>
      </c>
      <c r="T35" s="76">
        <f>利润表!T12</f>
        <v>-6120</v>
      </c>
      <c r="U35" s="76">
        <f>利润表!U12</f>
        <v>-51850</v>
      </c>
      <c r="V35" s="76">
        <f>利润表!V12</f>
        <v>-41820</v>
      </c>
      <c r="W35" s="76">
        <f>利润表!W12</f>
        <v>-49810</v>
      </c>
      <c r="X35" s="76">
        <f>利润表!X12</f>
        <v>-11390</v>
      </c>
      <c r="Y35" s="76">
        <f>利润表!Y12</f>
        <v>-20230</v>
      </c>
      <c r="Z35" s="76">
        <f>利润表!Z12</f>
        <v>1020</v>
      </c>
      <c r="AA35" s="76">
        <f>利润表!AA12</f>
        <v>-21590</v>
      </c>
      <c r="AB35" s="76">
        <f>利润表!AB12</f>
        <v>-2720</v>
      </c>
      <c r="AC35" s="76">
        <f>利润表!AC12</f>
        <v>-21315.919999999998</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25000000</v>
      </c>
      <c r="F38" s="76">
        <f>资产资本表!F8</f>
        <v>45200000</v>
      </c>
      <c r="G38" s="76">
        <f>资产资本表!G8</f>
        <v>45200000</v>
      </c>
      <c r="H38" s="76">
        <f>资产资本表!H8</f>
        <v>45200000</v>
      </c>
      <c r="I38" s="76">
        <f>资产资本表!I8</f>
        <v>45200000</v>
      </c>
      <c r="J38" s="76">
        <f>资产资本表!J8</f>
        <v>20200000</v>
      </c>
      <c r="K38" s="76">
        <f>资产资本表!K8</f>
        <v>20200000</v>
      </c>
      <c r="L38" s="76">
        <f>资产资本表!L8</f>
        <v>0</v>
      </c>
      <c r="M38" s="76">
        <f>资产资本表!M8</f>
        <v>0</v>
      </c>
      <c r="N38" s="76">
        <f>资产资本表!N8</f>
        <v>50050000</v>
      </c>
      <c r="O38" s="76">
        <f>资产资本表!O8</f>
        <v>50050000</v>
      </c>
      <c r="P38" s="76">
        <f>资产资本表!P8</f>
        <v>119350000</v>
      </c>
      <c r="Q38" s="76">
        <f>资产资本表!Q8</f>
        <v>119350000</v>
      </c>
      <c r="R38" s="76">
        <f>资产资本表!R8</f>
        <v>150150000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60221.84</v>
      </c>
      <c r="BT39" s="76">
        <f>资产资本表!BT9</f>
        <v>0</v>
      </c>
      <c r="BU39" s="76">
        <f>资产资本表!BU9</f>
        <v>66921.84</v>
      </c>
      <c r="BV39" s="76">
        <f>资产资本表!BV9</f>
        <v>0</v>
      </c>
      <c r="BW39" s="76">
        <f>资产资本表!BW9</f>
        <v>66921.84</v>
      </c>
      <c r="BX39" s="76">
        <f>资产资本表!BX9</f>
        <v>66921.84</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464165800.42000002</v>
      </c>
      <c r="F40" s="76">
        <f>资产资本表!F10</f>
        <v>381547725.36000001</v>
      </c>
      <c r="G40" s="76">
        <f>资产资本表!G10</f>
        <v>381330981.06999999</v>
      </c>
      <c r="H40" s="76">
        <f>资产资本表!H10</f>
        <v>385189779.07999998</v>
      </c>
      <c r="I40" s="76">
        <f>资产资本表!I10</f>
        <v>394940230.05000001</v>
      </c>
      <c r="J40" s="76">
        <f>资产资本表!J10</f>
        <v>401972007.54000002</v>
      </c>
      <c r="K40" s="76">
        <f>资产资本表!K10</f>
        <v>406741414.81999999</v>
      </c>
      <c r="L40" s="76">
        <f>资产资本表!L10</f>
        <v>405698159.06999999</v>
      </c>
      <c r="M40" s="76">
        <f>资产资本表!M10</f>
        <v>407938343.27999997</v>
      </c>
      <c r="N40" s="76">
        <f>资产资本表!N10</f>
        <v>411335918.17000002</v>
      </c>
      <c r="O40" s="76">
        <f>资产资本表!O10</f>
        <v>414547606.12</v>
      </c>
      <c r="P40" s="76">
        <f>资产资本表!P10</f>
        <v>418050205.45999998</v>
      </c>
      <c r="Q40" s="76">
        <f>资产资本表!Q10</f>
        <v>421421422.37</v>
      </c>
      <c r="R40" s="76">
        <f>资产资本表!R10</f>
        <v>429350235.95999998</v>
      </c>
      <c r="S40" s="76">
        <f>资产资本表!S10</f>
        <v>431880923.38</v>
      </c>
      <c r="T40" s="76">
        <f>资产资本表!T10</f>
        <v>431932613.39999998</v>
      </c>
      <c r="U40" s="76">
        <f>资产资本表!U10</f>
        <v>440364629.51999998</v>
      </c>
      <c r="V40" s="76">
        <f>资产资本表!V10</f>
        <v>306017684.12</v>
      </c>
      <c r="W40" s="76">
        <f>资产资本表!W10</f>
        <v>306827976.38</v>
      </c>
      <c r="X40" s="76">
        <f>资产资本表!X10</f>
        <v>311168730.72000003</v>
      </c>
      <c r="Y40" s="76">
        <f>资产资本表!Y10</f>
        <v>312611567.06</v>
      </c>
      <c r="Z40" s="76">
        <f>资产资本表!Z10</f>
        <v>309441669.12</v>
      </c>
      <c r="AA40" s="76">
        <f>资产资本表!AA10</f>
        <v>202877261.91999999</v>
      </c>
      <c r="AB40" s="76">
        <f>资产资本表!AB10</f>
        <v>205099388.62</v>
      </c>
      <c r="AC40" s="76">
        <f>资产资本表!AC10</f>
        <v>206789766.06999999</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926091901.50999999</v>
      </c>
      <c r="F43" s="76">
        <f t="shared" ref="F43:BQ43" si="14">SUM(F34:F42)</f>
        <v>1356734900.6700001</v>
      </c>
      <c r="G43" s="76">
        <f t="shared" si="14"/>
        <v>823765163.36000001</v>
      </c>
      <c r="H43" s="76">
        <f t="shared" si="14"/>
        <v>776416588.15999997</v>
      </c>
      <c r="I43" s="76">
        <f t="shared" si="14"/>
        <v>1438863232.1800001</v>
      </c>
      <c r="J43" s="76">
        <f t="shared" si="14"/>
        <v>1056196901.1600001</v>
      </c>
      <c r="K43" s="76">
        <f t="shared" si="14"/>
        <v>1737525344.23</v>
      </c>
      <c r="L43" s="76">
        <f t="shared" si="14"/>
        <v>1643316623.48</v>
      </c>
      <c r="M43" s="76">
        <f t="shared" si="14"/>
        <v>764091700.45000005</v>
      </c>
      <c r="N43" s="76">
        <f t="shared" si="14"/>
        <v>785217963.60000002</v>
      </c>
      <c r="O43" s="76">
        <f t="shared" si="14"/>
        <v>794522845.71000004</v>
      </c>
      <c r="P43" s="76">
        <f t="shared" si="14"/>
        <v>1003198817.6400001</v>
      </c>
      <c r="Q43" s="76">
        <f t="shared" si="14"/>
        <v>2510539288.3099999</v>
      </c>
      <c r="R43" s="76">
        <f t="shared" si="14"/>
        <v>1023375254.97</v>
      </c>
      <c r="S43" s="76">
        <f t="shared" si="14"/>
        <v>763717351.50999999</v>
      </c>
      <c r="T43" s="76">
        <f t="shared" si="14"/>
        <v>915013124.45000005</v>
      </c>
      <c r="U43" s="76">
        <f t="shared" si="14"/>
        <v>890919150.87</v>
      </c>
      <c r="V43" s="76">
        <f t="shared" si="14"/>
        <v>796054631.14999998</v>
      </c>
      <c r="W43" s="76">
        <f t="shared" si="14"/>
        <v>562833067.25999999</v>
      </c>
      <c r="X43" s="76">
        <f t="shared" si="14"/>
        <v>738020166.33000004</v>
      </c>
      <c r="Y43" s="76">
        <f t="shared" si="14"/>
        <v>1135743553.99</v>
      </c>
      <c r="Z43" s="76">
        <f t="shared" si="14"/>
        <v>771131367.24000001</v>
      </c>
      <c r="AA43" s="76">
        <f t="shared" si="14"/>
        <v>441657642.27999997</v>
      </c>
      <c r="AB43" s="76">
        <f t="shared" si="14"/>
        <v>340641399.60000002</v>
      </c>
      <c r="AC43" s="76">
        <f t="shared" si="14"/>
        <v>596274215.73000002</v>
      </c>
      <c r="AD43" s="76">
        <f t="shared" si="14"/>
        <v>466216.12</v>
      </c>
      <c r="AE43" s="76">
        <f t="shared" si="14"/>
        <v>357891.61</v>
      </c>
      <c r="AF43" s="76">
        <f t="shared" si="14"/>
        <v>432840.36</v>
      </c>
      <c r="AG43" s="76">
        <f t="shared" si="14"/>
        <v>1641059.35</v>
      </c>
      <c r="AH43" s="76">
        <f t="shared" si="14"/>
        <v>254163.5</v>
      </c>
      <c r="AI43" s="76">
        <f t="shared" si="14"/>
        <v>408737.88</v>
      </c>
      <c r="AJ43" s="76">
        <f t="shared" si="14"/>
        <v>294989.28000000003</v>
      </c>
      <c r="AK43" s="76">
        <f t="shared" si="14"/>
        <v>567374.21</v>
      </c>
      <c r="AL43" s="76">
        <f t="shared" si="14"/>
        <v>149172.9</v>
      </c>
      <c r="AM43" s="76">
        <f t="shared" si="14"/>
        <v>247962.97</v>
      </c>
      <c r="AN43" s="76">
        <f t="shared" si="14"/>
        <v>528471.81000000006</v>
      </c>
      <c r="AO43" s="76">
        <f t="shared" si="14"/>
        <v>535108.41</v>
      </c>
      <c r="AP43" s="76">
        <f t="shared" si="14"/>
        <v>1997288.68</v>
      </c>
      <c r="AQ43" s="76">
        <f t="shared" si="14"/>
        <v>1596904.73</v>
      </c>
      <c r="AR43" s="76">
        <f t="shared" si="14"/>
        <v>3671275.8</v>
      </c>
      <c r="AS43" s="76">
        <f t="shared" si="14"/>
        <v>15985969.529999999</v>
      </c>
      <c r="AT43" s="76">
        <f t="shared" si="14"/>
        <v>7460925.71</v>
      </c>
      <c r="AU43" s="76">
        <f t="shared" si="14"/>
        <v>8511971.4000000004</v>
      </c>
      <c r="AV43" s="76">
        <f t="shared" si="14"/>
        <v>13812006.470000001</v>
      </c>
      <c r="AW43" s="76">
        <f t="shared" si="14"/>
        <v>10885333.24</v>
      </c>
      <c r="AX43" s="76">
        <f t="shared" si="14"/>
        <v>8527816.3599999994</v>
      </c>
      <c r="AY43" s="76">
        <f t="shared" si="14"/>
        <v>11255685.550000001</v>
      </c>
      <c r="AZ43" s="76">
        <f t="shared" si="14"/>
        <v>0</v>
      </c>
      <c r="BA43" s="76">
        <f t="shared" si="14"/>
        <v>15379893.4</v>
      </c>
      <c r="BB43" s="76">
        <f t="shared" si="14"/>
        <v>10394963.039999999</v>
      </c>
      <c r="BC43" s="76">
        <f t="shared" si="14"/>
        <v>5070086.91</v>
      </c>
      <c r="BD43" s="76">
        <f t="shared" si="14"/>
        <v>6028307.2599999998</v>
      </c>
      <c r="BE43" s="76">
        <f t="shared" si="14"/>
        <v>114701814.88</v>
      </c>
      <c r="BF43" s="76">
        <f t="shared" si="14"/>
        <v>156125796.11000001</v>
      </c>
      <c r="BG43" s="76">
        <f t="shared" si="14"/>
        <v>165748121.43000001</v>
      </c>
      <c r="BH43" s="76">
        <f t="shared" si="14"/>
        <v>218795792.46000001</v>
      </c>
      <c r="BI43" s="76">
        <f t="shared" si="14"/>
        <v>338368175.68000001</v>
      </c>
      <c r="BJ43" s="76">
        <f t="shared" si="14"/>
        <v>289970750.25</v>
      </c>
      <c r="BK43" s="76">
        <f t="shared" si="14"/>
        <v>347845847.88999999</v>
      </c>
      <c r="BL43" s="76">
        <f t="shared" si="14"/>
        <v>355757252.56999999</v>
      </c>
      <c r="BM43" s="76">
        <f t="shared" si="14"/>
        <v>273099947.05000001</v>
      </c>
      <c r="BN43" s="76">
        <f t="shared" si="14"/>
        <v>145294670.44</v>
      </c>
      <c r="BO43" s="76">
        <f t="shared" si="14"/>
        <v>303869580.30000001</v>
      </c>
      <c r="BP43" s="76">
        <f t="shared" si="14"/>
        <v>227671628.03999999</v>
      </c>
      <c r="BQ43" s="76">
        <f t="shared" si="14"/>
        <v>221556058.13999999</v>
      </c>
      <c r="BR43" s="76">
        <f t="shared" ref="BR43:CJ43" si="15">SUM(BR34:BR42)</f>
        <v>128024793.77</v>
      </c>
      <c r="BS43" s="76">
        <f t="shared" si="15"/>
        <v>53694794.680000007</v>
      </c>
      <c r="BT43" s="76">
        <f t="shared" si="15"/>
        <v>119104358.29000001</v>
      </c>
      <c r="BU43" s="76">
        <f t="shared" si="15"/>
        <v>70005989.680000007</v>
      </c>
      <c r="BV43" s="76">
        <f t="shared" si="15"/>
        <v>16689141.880000001</v>
      </c>
      <c r="BW43" s="76">
        <f t="shared" si="15"/>
        <v>18296603.059999999</v>
      </c>
      <c r="BX43" s="76">
        <f t="shared" si="15"/>
        <v>54966026.840000004</v>
      </c>
      <c r="BY43" s="76">
        <f t="shared" si="15"/>
        <v>84797442.760000005</v>
      </c>
      <c r="BZ43" s="76">
        <f t="shared" si="15"/>
        <v>6152356.9900000002</v>
      </c>
      <c r="CA43" s="76">
        <f t="shared" si="15"/>
        <v>7469187.54</v>
      </c>
      <c r="CB43" s="76">
        <f t="shared" si="15"/>
        <v>9023293.9000000004</v>
      </c>
      <c r="CC43" s="76">
        <f t="shared" si="15"/>
        <v>2977734.29</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8.6964543962132542E-3</v>
      </c>
      <c r="F44" s="110">
        <f t="shared" ref="F44:BQ44" si="16">F32/F43</f>
        <v>4.1847550888497983E-3</v>
      </c>
      <c r="G44" s="110">
        <f t="shared" si="16"/>
        <v>3.7096262070112039E-3</v>
      </c>
      <c r="H44" s="110">
        <f t="shared" si="16"/>
        <v>1.0833236537392728E-3</v>
      </c>
      <c r="I44" s="110">
        <f t="shared" si="16"/>
        <v>6.190187974922017E-3</v>
      </c>
      <c r="J44" s="110">
        <f t="shared" si="16"/>
        <v>2.4485482731085488E-3</v>
      </c>
      <c r="K44" s="110">
        <f t="shared" si="16"/>
        <v>-4.1446167754037843E-4</v>
      </c>
      <c r="L44" s="110">
        <f t="shared" si="16"/>
        <v>2.0850249739116697E-4</v>
      </c>
      <c r="M44" s="110">
        <f t="shared" si="16"/>
        <v>0.43894973621625566</v>
      </c>
      <c r="N44" s="110">
        <f t="shared" si="16"/>
        <v>-9.0269682863310288E-2</v>
      </c>
      <c r="O44" s="110">
        <f t="shared" si="16"/>
        <v>0.28041987421651204</v>
      </c>
      <c r="P44" s="110">
        <f t="shared" si="16"/>
        <v>-9.5753701370959269E-8</v>
      </c>
      <c r="Q44" s="110">
        <f t="shared" si="16"/>
        <v>3.648931493013674E-2</v>
      </c>
      <c r="R44" s="110">
        <f t="shared" si="16"/>
        <v>4.2301342213745619E-3</v>
      </c>
      <c r="S44" s="110">
        <f t="shared" si="16"/>
        <v>1.1433525826972215E-2</v>
      </c>
      <c r="T44" s="110">
        <f t="shared" si="16"/>
        <v>-2.0814414171700689E-6</v>
      </c>
      <c r="U44" s="110">
        <f t="shared" si="16"/>
        <v>8.8370917194993057E-2</v>
      </c>
      <c r="V44" s="110">
        <f t="shared" si="16"/>
        <v>8.3652164745867161E-2</v>
      </c>
      <c r="W44" s="110">
        <f t="shared" si="16"/>
        <v>0.14267922908878786</v>
      </c>
      <c r="X44" s="110">
        <f t="shared" si="16"/>
        <v>-9.0632295575686889E-7</v>
      </c>
      <c r="Y44" s="110">
        <f t="shared" si="16"/>
        <v>7.7962586174000523E-2</v>
      </c>
      <c r="Z44" s="110">
        <f t="shared" si="16"/>
        <v>0.1157288711434645</v>
      </c>
      <c r="AA44" s="110">
        <f t="shared" si="16"/>
        <v>0.23518794252629743</v>
      </c>
      <c r="AB44" s="110">
        <f t="shared" si="16"/>
        <v>-7.9315826377486526E-6</v>
      </c>
      <c r="AC44" s="110">
        <f t="shared" si="16"/>
        <v>0.10521323789086004</v>
      </c>
      <c r="AD44" s="110">
        <f t="shared" si="16"/>
        <v>0</v>
      </c>
      <c r="AE44" s="110">
        <f t="shared" si="16"/>
        <v>0</v>
      </c>
      <c r="AF44" s="110">
        <f t="shared" si="16"/>
        <v>0</v>
      </c>
      <c r="AG44" s="110">
        <f t="shared" si="16"/>
        <v>0</v>
      </c>
      <c r="AH44" s="110">
        <f t="shared" si="16"/>
        <v>0</v>
      </c>
      <c r="AI44" s="110">
        <f t="shared" si="16"/>
        <v>0</v>
      </c>
      <c r="AJ44" s="110">
        <f t="shared" si="16"/>
        <v>0</v>
      </c>
      <c r="AK44" s="110">
        <f t="shared" si="16"/>
        <v>0</v>
      </c>
      <c r="AL44" s="110">
        <f t="shared" si="16"/>
        <v>0</v>
      </c>
      <c r="AM44" s="110">
        <f t="shared" si="16"/>
        <v>0</v>
      </c>
      <c r="AN44" s="110">
        <f t="shared" si="16"/>
        <v>0</v>
      </c>
      <c r="AO44" s="110">
        <f t="shared" si="16"/>
        <v>0</v>
      </c>
      <c r="AP44" s="110">
        <f t="shared" si="16"/>
        <v>-3.6067891078536544E-3</v>
      </c>
      <c r="AQ44" s="110">
        <f t="shared" si="16"/>
        <v>0</v>
      </c>
      <c r="AR44" s="110">
        <f t="shared" si="16"/>
        <v>0</v>
      </c>
      <c r="AS44" s="110">
        <f t="shared" si="16"/>
        <v>0</v>
      </c>
      <c r="AT44" s="110">
        <f t="shared" si="16"/>
        <v>0</v>
      </c>
      <c r="AU44" s="110">
        <f t="shared" si="16"/>
        <v>0</v>
      </c>
      <c r="AV44" s="110">
        <f t="shared" si="16"/>
        <v>0</v>
      </c>
      <c r="AW44" s="110">
        <f t="shared" si="16"/>
        <v>0</v>
      </c>
      <c r="AX44" s="110">
        <f t="shared" si="16"/>
        <v>0</v>
      </c>
      <c r="AY44" s="110">
        <f t="shared" si="16"/>
        <v>0</v>
      </c>
      <c r="AZ44" s="110" t="e">
        <f t="shared" si="16"/>
        <v>#DIV/0!</v>
      </c>
      <c r="BA44" s="110">
        <f t="shared" si="16"/>
        <v>-5.92835645184705E-2</v>
      </c>
      <c r="BB44" s="110">
        <f t="shared" si="16"/>
        <v>-8.5326275804345916E-2</v>
      </c>
      <c r="BC44" s="110">
        <f t="shared" si="16"/>
        <v>-0.1730996897409677</v>
      </c>
      <c r="BD44" s="110">
        <f t="shared" si="16"/>
        <v>-5.8656290048189459E-2</v>
      </c>
      <c r="BE44" s="110">
        <f t="shared" si="16"/>
        <v>4.9534513184880244E-3</v>
      </c>
      <c r="BF44" s="110">
        <f t="shared" si="16"/>
        <v>1.5710858813899706E-2</v>
      </c>
      <c r="BG44" s="110">
        <f t="shared" si="16"/>
        <v>6.7922095210162445E-3</v>
      </c>
      <c r="BH44" s="110">
        <f t="shared" si="16"/>
        <v>9.1386902513892215E-6</v>
      </c>
      <c r="BI44" s="110">
        <f t="shared" si="16"/>
        <v>4.2904223472689188E-3</v>
      </c>
      <c r="BJ44" s="110">
        <f t="shared" si="16"/>
        <v>-5.4967425556479968E-4</v>
      </c>
      <c r="BK44" s="110">
        <f t="shared" si="16"/>
        <v>-6.1983495511335742E-4</v>
      </c>
      <c r="BL44" s="110">
        <f t="shared" si="16"/>
        <v>0</v>
      </c>
      <c r="BM44" s="110">
        <f t="shared" si="16"/>
        <v>-3.0160968230933836E-4</v>
      </c>
      <c r="BN44" s="110">
        <f t="shared" si="16"/>
        <v>-2.8956042517472985E-4</v>
      </c>
      <c r="BO44" s="110">
        <f t="shared" si="16"/>
        <v>-1.4234340189955638E-4</v>
      </c>
      <c r="BP44" s="110">
        <f t="shared" si="16"/>
        <v>0</v>
      </c>
      <c r="BQ44" s="110">
        <f t="shared" si="16"/>
        <v>4.4822981622311291E-2</v>
      </c>
      <c r="BR44" s="110">
        <f t="shared" ref="BR44:CK44" si="17">BR32/BR43</f>
        <v>3.205546128044847E-2</v>
      </c>
      <c r="BS44" s="110">
        <f t="shared" si="17"/>
        <v>3.6814530923601922E-2</v>
      </c>
      <c r="BT44" s="110">
        <f t="shared" si="17"/>
        <v>2.7384404826816715E-3</v>
      </c>
      <c r="BU44" s="110">
        <f t="shared" si="17"/>
        <v>8.5024090619391715E-2</v>
      </c>
      <c r="BV44" s="110">
        <f t="shared" si="17"/>
        <v>0.24503645161385923</v>
      </c>
      <c r="BW44" s="110">
        <f t="shared" si="17"/>
        <v>0.20065618809717176</v>
      </c>
      <c r="BX44" s="110">
        <f t="shared" si="17"/>
        <v>9.7992228812445667E-3</v>
      </c>
      <c r="BY44" s="110">
        <f t="shared" si="17"/>
        <v>2.9432032540101398E-2</v>
      </c>
      <c r="BZ44" s="110">
        <f t="shared" si="17"/>
        <v>1.8909570128790385E-3</v>
      </c>
      <c r="CA44" s="110">
        <f t="shared" si="17"/>
        <v>1.5042577106397362E-3</v>
      </c>
      <c r="CB44" s="110">
        <f t="shared" si="17"/>
        <v>6.2677163159272054E-4</v>
      </c>
      <c r="CC44" s="110">
        <f t="shared" si="17"/>
        <v>6.5635167293526392E-3</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7.7084101344052358E-2</v>
      </c>
      <c r="F46" s="57">
        <f>F43/资产资本表!F70</f>
        <v>0.10910410448696764</v>
      </c>
      <c r="G46" s="57">
        <f>G43/资产资本表!G70</f>
        <v>7.5756625525452745E-2</v>
      </c>
      <c r="H46" s="57">
        <f>H43/资产资本表!H70</f>
        <v>7.1728759039656503E-2</v>
      </c>
      <c r="I46" s="57">
        <f>I43/资产资本表!I70</f>
        <v>0.13223481347339852</v>
      </c>
      <c r="J46" s="57">
        <f>J43/资产资本表!J70</f>
        <v>9.8973338779818731E-2</v>
      </c>
      <c r="K46" s="57">
        <f>K43/资产资本表!K70</f>
        <v>0.1533600990329535</v>
      </c>
      <c r="L46" s="57">
        <f>L43/资产资本表!L70</f>
        <v>0.17867498435262003</v>
      </c>
      <c r="M46" s="57">
        <f>M43/资产资本表!M70</f>
        <v>0.10027706346707549</v>
      </c>
      <c r="N46" s="57">
        <f>N43/资产资本表!N70</f>
        <v>9.633905593765793E-2</v>
      </c>
      <c r="O46" s="57">
        <f>O43/资产资本表!O70</f>
        <v>9.3942609148273432E-2</v>
      </c>
      <c r="P46" s="57">
        <f>P43/资产资本表!P70</f>
        <v>0.12063741887470901</v>
      </c>
      <c r="Q46" s="57">
        <f>Q43/资产资本表!Q70</f>
        <v>0.29980082647870404</v>
      </c>
      <c r="R46" s="57">
        <f>R43/资产资本表!R70</f>
        <v>0.18809474573914861</v>
      </c>
      <c r="S46" s="57">
        <f>S43/资产资本表!S70</f>
        <v>0.14142802316784484</v>
      </c>
      <c r="T46" s="57">
        <f>T43/资产资本表!T70</f>
        <v>0.16928946901847397</v>
      </c>
      <c r="U46" s="57">
        <f>U43/资产资本表!U70</f>
        <v>0.1883631739732913</v>
      </c>
      <c r="V46" s="57">
        <f>V43/资产资本表!V70</f>
        <v>0.24989299316557087</v>
      </c>
      <c r="W46" s="57">
        <f>W43/资产资本表!W70</f>
        <v>0.20718458268153672</v>
      </c>
      <c r="X46" s="57">
        <f>X43/资产资本表!X70</f>
        <v>0.27723182673753011</v>
      </c>
      <c r="Y46" s="57">
        <f>Y43/资产资本表!Y70</f>
        <v>0.40965145004226544</v>
      </c>
      <c r="Z46" s="57">
        <f>Z43/资产资本表!Z70</f>
        <v>0.32326665367105711</v>
      </c>
      <c r="AA46" s="57">
        <f>AA43/资产资本表!AA70</f>
        <v>0.17652099619640341</v>
      </c>
      <c r="AB46" s="57">
        <f>AB43/资产资本表!AB70</f>
        <v>0.13987729699117327</v>
      </c>
      <c r="AC46" s="57">
        <f>AC43/资产资本表!AC70</f>
        <v>0.2406416170692402</v>
      </c>
      <c r="AD46" s="57">
        <f>AD43/资产资本表!AD70</f>
        <v>-1.1728205324374122E-2</v>
      </c>
      <c r="AE46" s="57">
        <f>AE43/资产资本表!AE70</f>
        <v>-9.1655887499781808E-3</v>
      </c>
      <c r="AF46" s="57">
        <f>AF43/资产资本表!AF70</f>
        <v>-1.188753862594083E-2</v>
      </c>
      <c r="AG46" s="57">
        <f>AG43/资产资本表!AG70</f>
        <v>-4.6120124510502236E-2</v>
      </c>
      <c r="AH46" s="57">
        <f>AH43/资产资本表!AH70</f>
        <v>-6.179244325065422E-3</v>
      </c>
      <c r="AI46" s="57">
        <f>AI43/资产资本表!AI70</f>
        <v>-1.9930471647305669E-2</v>
      </c>
      <c r="AJ46" s="57">
        <f>AJ43/资产资本表!AJ70</f>
        <v>-1.7072375618496956E-2</v>
      </c>
      <c r="AK46" s="57">
        <f>AK43/资产资本表!AK70</f>
        <v>-3.417968520504347E-2</v>
      </c>
      <c r="AL46" s="57">
        <f>AL43/资产资本表!AL70</f>
        <v>-1.5563579985242512E-2</v>
      </c>
      <c r="AM46" s="57">
        <f>AM43/资产资本表!AM70</f>
        <v>-3.6552401076443954E-2</v>
      </c>
      <c r="AN46" s="57">
        <f>AN43/资产资本表!AN70</f>
        <v>7.2832549571492197E-2</v>
      </c>
      <c r="AO46" s="57">
        <f>AO43/资产资本表!AO70</f>
        <v>8.3402321914075692E-2</v>
      </c>
      <c r="AP46" s="57">
        <f>AP43/资产资本表!AP70</f>
        <v>5.6238076261114697E-2</v>
      </c>
      <c r="AQ46" s="57">
        <f>AQ43/资产资本表!AQ70</f>
        <v>4.4139092146862166E-2</v>
      </c>
      <c r="AR46" s="57">
        <f>AR43/资产资本表!AR70</f>
        <v>6.8741614859848379E-2</v>
      </c>
      <c r="AS46" s="57">
        <f>AS43/资产资本表!AS70</f>
        <v>0.24959055630246757</v>
      </c>
      <c r="AT46" s="57">
        <f>AT43/资产资本表!AT70</f>
        <v>-5.9344111937225968E-2</v>
      </c>
      <c r="AU46" s="57">
        <f>AU43/资产资本表!AU70</f>
        <v>-7.9697853083293774E-2</v>
      </c>
      <c r="AV46" s="57">
        <f>AV43/资产资本表!AV70</f>
        <v>-0.14814423337771654</v>
      </c>
      <c r="AW46" s="57">
        <f>AW43/资产资本表!AW70</f>
        <v>0.23007810878424056</v>
      </c>
      <c r="AX46" s="57">
        <f>AX43/资产资本表!AX70</f>
        <v>1.9765384240541323E-2</v>
      </c>
      <c r="AY46" s="57">
        <f>AY43/资产资本表!AY70</f>
        <v>2.6039006023229148E-2</v>
      </c>
      <c r="AZ46" s="57" t="e">
        <f>AZ43/资产资本表!AZ70</f>
        <v>#DIV/0!</v>
      </c>
      <c r="BA46" s="57">
        <f>BA43/资产资本表!BA70</f>
        <v>3.3712973324296715E-2</v>
      </c>
      <c r="BB46" s="57">
        <f>BB43/资产资本表!BB70</f>
        <v>1.9194608612547129E-2</v>
      </c>
      <c r="BC46" s="57">
        <f>BC43/资产资本表!BC70</f>
        <v>9.2948402533429356E-3</v>
      </c>
      <c r="BD46" s="57">
        <f>BD43/资产资本表!BD70</f>
        <v>1.0510100940482088E-2</v>
      </c>
      <c r="BE46" s="57">
        <f>BE43/资产资本表!BE70</f>
        <v>0.19657256461969855</v>
      </c>
      <c r="BF46" s="57">
        <f>BF43/资产资本表!BF70</f>
        <v>0.2570055397155841</v>
      </c>
      <c r="BG46" s="57">
        <f>BG43/资产资本表!BG70</f>
        <v>0.26985719985623241</v>
      </c>
      <c r="BH46" s="57">
        <f>BH43/资产资本表!BH70</f>
        <v>0.3696792264856833</v>
      </c>
      <c r="BI46" s="57">
        <f>BI43/资产资本表!BI70</f>
        <v>0.62086882213128147</v>
      </c>
      <c r="BJ46" s="57">
        <f>BJ43/资产资本表!BJ70</f>
        <v>0.35843369673352987</v>
      </c>
      <c r="BK46" s="57">
        <f>BK43/资产资本表!BK70</f>
        <v>0.46356992890005777</v>
      </c>
      <c r="BL46" s="57">
        <f>BL43/资产资本表!BL70</f>
        <v>0.48373579054347704</v>
      </c>
      <c r="BM46" s="57">
        <f>BM43/资产资本表!BM70</f>
        <v>0.49325442461484764</v>
      </c>
      <c r="BN46" s="57">
        <f>BN43/资产资本表!BN70</f>
        <v>0.22709789562917726</v>
      </c>
      <c r="BO46" s="57">
        <f>BO43/资产资本表!BO70</f>
        <v>0.41286191224555369</v>
      </c>
      <c r="BP46" s="57">
        <f>BP43/资产资本表!BP70</f>
        <v>0.34936121457861485</v>
      </c>
      <c r="BQ46" s="57">
        <f>BQ43/资产资本表!BQ70</f>
        <v>0.46029545354281587</v>
      </c>
      <c r="BR46" s="57">
        <f>BR43/资产资本表!BR70</f>
        <v>0.35524772020647966</v>
      </c>
      <c r="BS46" s="57">
        <f>BS43/资产资本表!BS70</f>
        <v>0.14076415125011685</v>
      </c>
      <c r="BT46" s="57">
        <f>BT43/资产资本表!BT70</f>
        <v>0.30352630980005468</v>
      </c>
      <c r="BU46" s="57">
        <f>BU43/资产资本表!BU70</f>
        <v>0.2214186726991357</v>
      </c>
      <c r="BV46" s="57">
        <f>BV43/资产资本表!BV70</f>
        <v>7.3294567404222827E-2</v>
      </c>
      <c r="BW46" s="57">
        <f>BW43/资产资本表!BW70</f>
        <v>9.2800334831074846E-2</v>
      </c>
      <c r="BX46" s="57">
        <f>BX43/资产资本表!BX70</f>
        <v>0.29815499951638552</v>
      </c>
      <c r="BY46" s="57">
        <f>BY43/资产资本表!BY70</f>
        <v>0.4781992010327904</v>
      </c>
      <c r="BZ46" s="57">
        <f>BZ43/资产资本表!BZ70</f>
        <v>7.3113130308058896E-2</v>
      </c>
      <c r="CA46" s="57">
        <f>CA43/资产资本表!CA70</f>
        <v>9.0881390186127287E-2</v>
      </c>
      <c r="CB46" s="57">
        <f>CB43/资产资本表!CB70</f>
        <v>8.593537002782406E-2</v>
      </c>
      <c r="CC46" s="57">
        <f>CC43/资产资本表!CC70</f>
        <v>3.2624394426444145E-2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36707</v>
      </c>
      <c r="BU48" s="1">
        <v>36525</v>
      </c>
      <c r="BV48" s="1">
        <v>36341</v>
      </c>
      <c r="BW48" s="1">
        <v>36160</v>
      </c>
      <c r="BX48" s="1">
        <v>35976</v>
      </c>
      <c r="BY48" s="1">
        <v>35795</v>
      </c>
      <c r="BZ48" s="1">
        <v>35611</v>
      </c>
      <c r="CA48" s="1">
        <v>35430</v>
      </c>
      <c r="CB48" s="1">
        <v>35064</v>
      </c>
      <c r="CC48" s="1">
        <v>34699</v>
      </c>
      <c r="CD48" s="1">
        <v>25569</v>
      </c>
      <c r="CE48" s="1"/>
      <c r="CF48" s="1"/>
      <c r="CG48" s="1"/>
      <c r="CH48" s="1"/>
      <c r="CI48" s="1"/>
      <c r="CJ48" s="1"/>
      <c r="CK48" s="1"/>
    </row>
    <row r="49" spans="1:89" s="76" customFormat="1" x14ac:dyDescent="0.25">
      <c r="A49" s="147" t="s">
        <v>464</v>
      </c>
      <c r="E49" s="76">
        <f>利润表!E4</f>
        <v>2473918205.1599998</v>
      </c>
      <c r="F49" s="76">
        <f>利润表!F4</f>
        <v>1008208630.3099999</v>
      </c>
      <c r="G49" s="76">
        <f>利润表!G4</f>
        <v>878288856.76999998</v>
      </c>
      <c r="H49" s="76">
        <f>利润表!H4</f>
        <v>630272076.14999998</v>
      </c>
      <c r="I49" s="76">
        <f>利润表!I4</f>
        <v>6704848495.9899998</v>
      </c>
      <c r="J49" s="76">
        <f>利润表!J4</f>
        <v>4576608658.5100002</v>
      </c>
      <c r="K49" s="76">
        <f>利润表!K4</f>
        <v>3995822264.8899999</v>
      </c>
      <c r="L49" s="76">
        <f>利润表!L4</f>
        <v>2925433262.5500002</v>
      </c>
      <c r="M49" s="76">
        <f>利润表!M4</f>
        <v>519502880.88</v>
      </c>
      <c r="N49" s="76">
        <f>利润表!N4</f>
        <v>367419981.04000002</v>
      </c>
      <c r="O49" s="76">
        <f>利润表!O4</f>
        <v>217567191.96000001</v>
      </c>
      <c r="P49" s="76">
        <f>利润表!P4</f>
        <v>144601402.62</v>
      </c>
      <c r="Q49" s="76">
        <f>利润表!Q4</f>
        <v>1270810233.05</v>
      </c>
      <c r="R49" s="76">
        <f>利润表!R4</f>
        <v>893502435.89999998</v>
      </c>
      <c r="S49" s="76">
        <f>利润表!S4</f>
        <v>679685555.03999996</v>
      </c>
      <c r="T49" s="76">
        <f>利润表!T4</f>
        <v>301403886.20999998</v>
      </c>
      <c r="U49" s="76">
        <f>利润表!U4</f>
        <v>2776957460.2800002</v>
      </c>
      <c r="V49" s="76">
        <f>利润表!V4</f>
        <v>326513513.94</v>
      </c>
      <c r="W49" s="76">
        <f>利润表!W4</f>
        <v>251933246.53999999</v>
      </c>
      <c r="X49" s="76">
        <f>利润表!X4</f>
        <v>159552882.02000001</v>
      </c>
      <c r="Y49" s="76">
        <f>利润表!Y4</f>
        <v>1886509459.79</v>
      </c>
      <c r="Z49" s="76">
        <f>利润表!Z4</f>
        <v>362275701.70999998</v>
      </c>
      <c r="AA49" s="76">
        <f>利润表!AA4</f>
        <v>92328849.569999993</v>
      </c>
      <c r="AB49" s="76">
        <f>利润表!AB4</f>
        <v>38430091.479999997</v>
      </c>
      <c r="AC49" s="76">
        <f>利润表!AC4</f>
        <v>911117929.50999999</v>
      </c>
      <c r="AD49" s="76">
        <f>利润表!AD4</f>
        <v>2325028.98</v>
      </c>
      <c r="AE49" s="76">
        <f>利润表!AE4</f>
        <v>719549.52</v>
      </c>
      <c r="AF49" s="76">
        <f>利润表!AF4</f>
        <v>454838.86</v>
      </c>
      <c r="AG49" s="76">
        <f>利润表!AG4</f>
        <v>1972005.12</v>
      </c>
      <c r="AH49" s="76">
        <f>利润表!AH4</f>
        <v>2247045.88</v>
      </c>
      <c r="AI49" s="76">
        <f>利润表!AI4</f>
        <v>1644331.61</v>
      </c>
      <c r="AJ49" s="76">
        <f>利润表!AJ4</f>
        <v>118276.34</v>
      </c>
      <c r="AK49" s="76">
        <f>利润表!AK4</f>
        <v>2319583.5699999998</v>
      </c>
      <c r="AL49" s="76">
        <f>利润表!AL4</f>
        <v>1059567.43</v>
      </c>
      <c r="AM49" s="76">
        <f>利润表!AM4</f>
        <v>714108.94</v>
      </c>
      <c r="AN49" s="76">
        <f>利润表!AN4</f>
        <v>317568.12</v>
      </c>
      <c r="AO49" s="76">
        <f>利润表!AO4</f>
        <v>29625077.149999999</v>
      </c>
      <c r="AP49" s="76">
        <f>利润表!AP4</f>
        <v>39690074.759999998</v>
      </c>
      <c r="AQ49" s="76">
        <f>利润表!AQ4</f>
        <v>38358193.560000002</v>
      </c>
      <c r="AR49" s="76">
        <f>利润表!AR4</f>
        <v>19981743.039999999</v>
      </c>
      <c r="AS49" s="76">
        <f>利润表!AS4</f>
        <v>276226954.25999999</v>
      </c>
      <c r="AT49" s="76">
        <f>利润表!AT4</f>
        <v>212112113.97</v>
      </c>
      <c r="AU49" s="76">
        <f>利润表!AU4</f>
        <v>151644166.93000001</v>
      </c>
      <c r="AV49" s="76">
        <f>利润表!AV4</f>
        <v>63063671.619999997</v>
      </c>
      <c r="AW49" s="76">
        <f>利润表!AW4</f>
        <v>229176151.38999999</v>
      </c>
      <c r="AX49" s="76">
        <f>利润表!AX4</f>
        <v>126125572.09</v>
      </c>
      <c r="AY49" s="76">
        <f>利润表!AY4</f>
        <v>70840155.810000002</v>
      </c>
      <c r="AZ49" s="76">
        <f>利润表!AZ4</f>
        <v>40009471.130000003</v>
      </c>
      <c r="BA49" s="76">
        <f>利润表!BA4</f>
        <v>221398699.53999999</v>
      </c>
      <c r="BB49" s="76">
        <f>利润表!BB4</f>
        <v>200305982.11000001</v>
      </c>
      <c r="BC49" s="76">
        <f>利润表!BC4</f>
        <v>173464164.24000001</v>
      </c>
      <c r="BD49" s="76">
        <f>利润表!BD4</f>
        <v>100452203.73</v>
      </c>
      <c r="BE49" s="76">
        <f>利润表!BE4</f>
        <v>801751161.67999995</v>
      </c>
      <c r="BF49" s="76">
        <f>利润表!BF4</f>
        <v>607574415.46000004</v>
      </c>
      <c r="BG49" s="76">
        <f>利润表!BG4</f>
        <v>387005787.07999998</v>
      </c>
      <c r="BH49" s="76">
        <f>利润表!BH4</f>
        <v>169994827.43000001</v>
      </c>
      <c r="BI49" s="76">
        <f>利润表!BI4</f>
        <v>866672859.30999994</v>
      </c>
      <c r="BJ49" s="76">
        <f>利润表!BJ4</f>
        <v>563313712.90999997</v>
      </c>
      <c r="BK49" s="76">
        <f>利润表!BK4</f>
        <v>312828694.13</v>
      </c>
      <c r="BL49" s="76">
        <f>利润表!BL4</f>
        <v>129824200.04000001</v>
      </c>
      <c r="BM49" s="76">
        <f>利润表!BM4</f>
        <v>996144233.25</v>
      </c>
      <c r="BN49" s="76">
        <f>利润表!BN4</f>
        <v>672287661.65999997</v>
      </c>
      <c r="BO49" s="76">
        <f>利润表!BO4</f>
        <v>424822929.56</v>
      </c>
      <c r="BP49" s="76">
        <f>利润表!BP4</f>
        <v>207516777.69999999</v>
      </c>
      <c r="BQ49" s="76">
        <f>利润表!BQ4</f>
        <v>761826036.83000004</v>
      </c>
      <c r="BR49" s="76">
        <f>利润表!BR4</f>
        <v>229750188.44999999</v>
      </c>
      <c r="BS49" s="76">
        <f>利润表!BS4</f>
        <v>198550035.96000001</v>
      </c>
      <c r="BT49" s="76">
        <f>利润表!BT4</f>
        <v>103771025.11</v>
      </c>
      <c r="BU49" s="76">
        <f>利润表!BU4</f>
        <v>101468040.58</v>
      </c>
      <c r="BV49" s="76">
        <f>利润表!BV4</f>
        <v>39700177.020000003</v>
      </c>
      <c r="BW49" s="76">
        <f>利润表!BW4</f>
        <v>71986605.340000004</v>
      </c>
      <c r="BX49" s="76">
        <f>利润表!BX4</f>
        <v>30318598.989999998</v>
      </c>
      <c r="BY49" s="76">
        <f>利润表!BY4</f>
        <v>61924611.850000001</v>
      </c>
      <c r="BZ49" s="76">
        <f>利润表!BZ4</f>
        <v>31098969.670000002</v>
      </c>
      <c r="CA49" s="76">
        <f>利润表!CA4</f>
        <v>71088754.129999995</v>
      </c>
      <c r="CB49" s="76">
        <f>利润表!CB4</f>
        <v>89207139.980000004</v>
      </c>
      <c r="CC49" s="76">
        <f>利润表!CC4</f>
        <v>71981187.920000002</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8917709566.8800011</v>
      </c>
      <c r="F50" s="76">
        <f>资产资本表!F50</f>
        <v>8824617882.2199993</v>
      </c>
      <c r="G50" s="76">
        <f>资产资本表!G50</f>
        <v>7798732946.3300009</v>
      </c>
      <c r="H50" s="76">
        <f>资产资本表!H50</f>
        <v>7780319144.3199997</v>
      </c>
      <c r="I50" s="76">
        <f>资产资本表!I50</f>
        <v>7076963978.3899994</v>
      </c>
      <c r="J50" s="76">
        <f>资产资本表!J50</f>
        <v>7288699572.2900009</v>
      </c>
      <c r="K50" s="76">
        <f>资产资本表!K50</f>
        <v>7266747968.2300005</v>
      </c>
      <c r="L50" s="76">
        <f>资产资本表!L50</f>
        <v>6708235583.6300011</v>
      </c>
      <c r="M50" s="76">
        <f>资产资本表!M50</f>
        <v>6203098773.3500013</v>
      </c>
      <c r="N50" s="76">
        <f>资产资本表!N50</f>
        <v>6752790677.8300018</v>
      </c>
      <c r="O50" s="76">
        <f>资产资本表!O50</f>
        <v>7058989594.5</v>
      </c>
      <c r="P50" s="76">
        <f>资产资本表!P50</f>
        <v>6721589422.2000008</v>
      </c>
      <c r="Q50" s="76">
        <f>资产资本表!Q50</f>
        <v>5271947531.5499992</v>
      </c>
      <c r="R50" s="76">
        <f>资产资本表!R50</f>
        <v>3836438024.7199993</v>
      </c>
      <c r="S50" s="76">
        <f>资产资本表!S50</f>
        <v>3916657326.6399999</v>
      </c>
      <c r="T50" s="76">
        <f>资产资本表!T50</f>
        <v>3793101021.0099993</v>
      </c>
      <c r="U50" s="76">
        <f>资产资本表!U50</f>
        <v>3148588274.6499996</v>
      </c>
      <c r="V50" s="76">
        <f>资产资本表!V50</f>
        <v>1670365395.3800011</v>
      </c>
      <c r="W50" s="76">
        <f>资产资本表!W50</f>
        <v>1757289554.0299997</v>
      </c>
      <c r="X50" s="76">
        <f>资产资本表!X50</f>
        <v>1530654280.5899997</v>
      </c>
      <c r="Y50" s="76">
        <f>资产资本表!Y50</f>
        <v>1277706676.0100002</v>
      </c>
      <c r="Z50" s="76">
        <f>资产资本表!Z50</f>
        <v>1279987718.1700006</v>
      </c>
      <c r="AA50" s="76">
        <f>资产资本表!AA50</f>
        <v>1632763892.29</v>
      </c>
      <c r="AB50" s="76">
        <f>资产资本表!AB50</f>
        <v>1660168005.5899997</v>
      </c>
      <c r="AC50" s="76">
        <f>资产资本表!AC50</f>
        <v>1463722004.8300004</v>
      </c>
      <c r="AD50" s="76">
        <f>资产资本表!AD50</f>
        <v>-98185479.459999993</v>
      </c>
      <c r="AE50" s="76">
        <f>资产资本表!AE50</f>
        <v>-97613912.039999977</v>
      </c>
      <c r="AF50" s="76">
        <f>资产资本表!AF50</f>
        <v>-95312340.549999967</v>
      </c>
      <c r="AG50" s="76">
        <f>资产资本表!AG50</f>
        <v>-95904103.909999967</v>
      </c>
      <c r="AH50" s="76">
        <f>资产资本表!AH50</f>
        <v>-100404271.06000002</v>
      </c>
      <c r="AI50" s="76">
        <f>资产资本表!AI50</f>
        <v>-80162208.129999995</v>
      </c>
      <c r="AJ50" s="76">
        <f>资产资本表!AJ50</f>
        <v>-77054160.200000033</v>
      </c>
      <c r="AK50" s="76">
        <f>资产资本表!AK50</f>
        <v>-76871480.400000006</v>
      </c>
      <c r="AL50" s="76">
        <f>资产资本表!AL50</f>
        <v>-70880324.62000002</v>
      </c>
      <c r="AM50" s="76">
        <f>资产资本表!AM50</f>
        <v>-68434730.589999974</v>
      </c>
      <c r="AN50" s="76">
        <f>资产资本表!AN50</f>
        <v>-55291014.76000002</v>
      </c>
      <c r="AO50" s="76">
        <f>资产资本表!AO50</f>
        <v>-56397960.480000049</v>
      </c>
      <c r="AP50" s="76">
        <f>资产资本表!AP50</f>
        <v>-30850608.860000014</v>
      </c>
      <c r="AQ50" s="76">
        <f>资产资本表!AQ50</f>
        <v>-30377006.400000036</v>
      </c>
      <c r="AR50" s="76">
        <f>资产资本表!AR50</f>
        <v>-16603636.190000027</v>
      </c>
      <c r="AS50" s="76">
        <f>资产资本表!AS50</f>
        <v>-18632255.380000025</v>
      </c>
      <c r="AT50" s="76">
        <f>资产资本表!AT50</f>
        <v>-211395086.79000008</v>
      </c>
      <c r="AU50" s="76">
        <f>资产资本表!AU50</f>
        <v>-193330447.08000001</v>
      </c>
      <c r="AV50" s="76">
        <f>资产资本表!AV50</f>
        <v>-185643760.81999996</v>
      </c>
      <c r="AW50" s="76">
        <f>资产资本表!AW50</f>
        <v>-33855400.700000048</v>
      </c>
      <c r="AX50" s="76">
        <f>资产资本表!AX50</f>
        <v>368593957.27999997</v>
      </c>
      <c r="AY50" s="76">
        <f>资产资本表!AY50</f>
        <v>373050573.81999993</v>
      </c>
      <c r="AZ50" s="76">
        <f>资产资本表!AZ50</f>
        <v>0</v>
      </c>
      <c r="BA50" s="76">
        <f>资产资本表!BA50</f>
        <v>391964946.5</v>
      </c>
      <c r="BB50" s="76">
        <f>资产资本表!BB50</f>
        <v>476288647.48999989</v>
      </c>
      <c r="BC50" s="76">
        <f>资产资本表!BC50</f>
        <v>484308056.66000009</v>
      </c>
      <c r="BD50" s="76">
        <f>资产资本表!BD50</f>
        <v>509795364.57999998</v>
      </c>
      <c r="BE50" s="76">
        <f>资产资本表!BE50</f>
        <v>409465587.97000003</v>
      </c>
      <c r="BF50" s="76">
        <f>资产资本表!BF50</f>
        <v>391075404.28999984</v>
      </c>
      <c r="BG50" s="76">
        <f>资产资本表!BG50</f>
        <v>387010092.8299998</v>
      </c>
      <c r="BH50" s="76">
        <f>资产资本表!BH50</f>
        <v>293394180.17999995</v>
      </c>
      <c r="BI50" s="76">
        <f>资产资本表!BI50</f>
        <v>124343649.84999996</v>
      </c>
      <c r="BJ50" s="76">
        <f>资产资本表!BJ50</f>
        <v>452762331.04000002</v>
      </c>
      <c r="BK50" s="76">
        <f>资产资本表!BK50</f>
        <v>339352939.87</v>
      </c>
      <c r="BL50" s="76">
        <f>资产资本表!BL50</f>
        <v>329588945.56</v>
      </c>
      <c r="BM50" s="76">
        <f>资产资本表!BM50</f>
        <v>229406688.10000002</v>
      </c>
      <c r="BN50" s="76">
        <f>资产资本表!BN50</f>
        <v>439532146.28000009</v>
      </c>
      <c r="BO50" s="76">
        <f>资产资本表!BO50</f>
        <v>375741318.56000006</v>
      </c>
      <c r="BP50" s="76">
        <f>资产资本表!BP50</f>
        <v>366962165.16999996</v>
      </c>
      <c r="BQ50" s="76">
        <f>资产资本表!BQ50</f>
        <v>201254466.07999998</v>
      </c>
      <c r="BR50" s="76">
        <f>资产资本表!BR50</f>
        <v>156568255.24000004</v>
      </c>
      <c r="BS50" s="76">
        <f>资产资本表!BS50</f>
        <v>203901914.58999997</v>
      </c>
      <c r="BT50" s="76">
        <f>资产资本表!BT50</f>
        <v>162517305.94</v>
      </c>
      <c r="BU50" s="76">
        <f>资产资本表!BU50</f>
        <v>123415931.37</v>
      </c>
      <c r="BV50" s="76">
        <f>资产资本表!BV50</f>
        <v>103763099.44999999</v>
      </c>
      <c r="BW50" s="76">
        <f>资产资本表!BW50</f>
        <v>67301843.900000006</v>
      </c>
      <c r="BX50" s="76">
        <f>资产资本表!BX50</f>
        <v>58617618.859999999</v>
      </c>
      <c r="BY50" s="76">
        <f>资产资本表!BY50</f>
        <v>46260953.439999998</v>
      </c>
      <c r="BZ50" s="76">
        <f>资产资本表!BZ50</f>
        <v>43274226.899999991</v>
      </c>
      <c r="CA50" s="76">
        <f>资产资本表!CA50</f>
        <v>38288197.360000007</v>
      </c>
      <c r="CB50" s="76">
        <f>资产资本表!CB50</f>
        <v>46860986.359999999</v>
      </c>
      <c r="CC50" s="76">
        <f>资产资本表!CC50</f>
        <v>34630354.600000001</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0.27741632384486126</v>
      </c>
      <c r="F51" s="44">
        <f t="shared" ref="F51:BQ51" si="18">F49/F50</f>
        <v>0.11424955094558338</v>
      </c>
      <c r="G51" s="44">
        <f t="shared" si="18"/>
        <v>0.11261942969637308</v>
      </c>
      <c r="H51" s="44">
        <f t="shared" si="18"/>
        <v>8.1008511920764636E-2</v>
      </c>
      <c r="I51" s="44">
        <f t="shared" si="18"/>
        <v>0.94741876833960437</v>
      </c>
      <c r="J51" s="44">
        <f t="shared" si="18"/>
        <v>0.62790469179292818</v>
      </c>
      <c r="K51" s="44">
        <f t="shared" si="18"/>
        <v>0.54987764573088438</v>
      </c>
      <c r="L51" s="44">
        <f t="shared" si="18"/>
        <v>0.43609578496153112</v>
      </c>
      <c r="M51" s="44">
        <f t="shared" si="18"/>
        <v>8.3748929343493428E-2</v>
      </c>
      <c r="N51" s="44">
        <f t="shared" si="18"/>
        <v>5.4410094814025811E-2</v>
      </c>
      <c r="O51" s="44">
        <f t="shared" si="18"/>
        <v>3.0821293762710335E-2</v>
      </c>
      <c r="P51" s="44">
        <f t="shared" si="18"/>
        <v>2.151297759164103E-2</v>
      </c>
      <c r="Q51" s="44">
        <f t="shared" si="18"/>
        <v>0.24105138100195972</v>
      </c>
      <c r="R51" s="44">
        <f t="shared" si="18"/>
        <v>0.23289896256442508</v>
      </c>
      <c r="S51" s="44">
        <f t="shared" si="18"/>
        <v>0.17353715128892444</v>
      </c>
      <c r="T51" s="44">
        <f t="shared" si="18"/>
        <v>7.9461075394650138E-2</v>
      </c>
      <c r="U51" s="44">
        <f t="shared" si="18"/>
        <v>0.88196906614876147</v>
      </c>
      <c r="V51" s="44">
        <f t="shared" si="18"/>
        <v>0.19547430451031317</v>
      </c>
      <c r="W51" s="44">
        <f t="shared" si="18"/>
        <v>0.14336467542428644</v>
      </c>
      <c r="X51" s="44">
        <f t="shared" si="18"/>
        <v>0.10423835352193274</v>
      </c>
      <c r="Y51" s="44">
        <f t="shared" si="18"/>
        <v>1.476480866235401</v>
      </c>
      <c r="Z51" s="44">
        <f t="shared" si="18"/>
        <v>0.28303060769047522</v>
      </c>
      <c r="AA51" s="44">
        <f t="shared" si="18"/>
        <v>5.6547581684027834E-2</v>
      </c>
      <c r="AB51" s="44">
        <f t="shared" si="18"/>
        <v>2.3148314719113321E-2</v>
      </c>
      <c r="AC51" s="44">
        <f t="shared" si="18"/>
        <v>0.6224665110611759</v>
      </c>
      <c r="AD51" s="44">
        <f t="shared" si="18"/>
        <v>-2.3679967677371263E-2</v>
      </c>
      <c r="AE51" s="44">
        <f t="shared" si="18"/>
        <v>-7.3713828793701541E-3</v>
      </c>
      <c r="AF51" s="44">
        <f t="shared" si="18"/>
        <v>-4.7720878259347307E-3</v>
      </c>
      <c r="AG51" s="44">
        <f t="shared" si="18"/>
        <v>-2.0562260003498957E-2</v>
      </c>
      <c r="AH51" s="44">
        <f t="shared" si="18"/>
        <v>-2.2379983005475938E-2</v>
      </c>
      <c r="AI51" s="44">
        <f t="shared" si="18"/>
        <v>-2.0512553837506175E-2</v>
      </c>
      <c r="AJ51" s="44">
        <f t="shared" si="18"/>
        <v>-1.5349766929261782E-3</v>
      </c>
      <c r="AK51" s="44">
        <f t="shared" si="18"/>
        <v>-3.0174826319593027E-2</v>
      </c>
      <c r="AL51" s="44">
        <f t="shared" si="18"/>
        <v>-1.4948681960480553E-2</v>
      </c>
      <c r="AM51" s="44">
        <f t="shared" si="18"/>
        <v>-1.0434890790734685E-2</v>
      </c>
      <c r="AN51" s="44">
        <f t="shared" si="18"/>
        <v>-5.7435755407720043E-3</v>
      </c>
      <c r="AO51" s="44">
        <f t="shared" si="18"/>
        <v>-0.52528632060206681</v>
      </c>
      <c r="AP51" s="44">
        <f t="shared" si="18"/>
        <v>-1.2865248442944337</v>
      </c>
      <c r="AQ51" s="44">
        <f t="shared" si="18"/>
        <v>-1.2627377778739894</v>
      </c>
      <c r="AR51" s="44">
        <f t="shared" si="18"/>
        <v>-1.2034558461377589</v>
      </c>
      <c r="AS51" s="44">
        <f t="shared" si="18"/>
        <v>-14.825202243444112</v>
      </c>
      <c r="AT51" s="44">
        <f t="shared" si="18"/>
        <v>-1.0033918819537759</v>
      </c>
      <c r="AU51" s="44">
        <f t="shared" si="18"/>
        <v>-0.78437809057178531</v>
      </c>
      <c r="AV51" s="44">
        <f t="shared" si="18"/>
        <v>-0.3397026182913116</v>
      </c>
      <c r="AW51" s="44">
        <f t="shared" si="18"/>
        <v>-6.7692641838972438</v>
      </c>
      <c r="AX51" s="44">
        <f t="shared" si="18"/>
        <v>0.342180249021797</v>
      </c>
      <c r="AY51" s="44">
        <f t="shared" si="18"/>
        <v>0.18989424164290652</v>
      </c>
      <c r="AZ51" s="44" t="e">
        <f t="shared" si="18"/>
        <v>#DIV/0!</v>
      </c>
      <c r="BA51" s="44">
        <f t="shared" si="18"/>
        <v>0.56484311037747348</v>
      </c>
      <c r="BB51" s="44">
        <f t="shared" si="18"/>
        <v>0.42055586074871881</v>
      </c>
      <c r="BC51" s="44">
        <f t="shared" si="18"/>
        <v>0.35816906585507713</v>
      </c>
      <c r="BD51" s="44">
        <f t="shared" si="18"/>
        <v>0.19704416852192949</v>
      </c>
      <c r="BE51" s="44">
        <f t="shared" si="18"/>
        <v>1.9580428373842766</v>
      </c>
      <c r="BF51" s="44">
        <f t="shared" si="18"/>
        <v>1.5535991494097046</v>
      </c>
      <c r="BG51" s="44">
        <f t="shared" si="18"/>
        <v>0.99998887432116224</v>
      </c>
      <c r="BH51" s="44">
        <f t="shared" si="18"/>
        <v>0.57940763284979502</v>
      </c>
      <c r="BI51" s="44">
        <f t="shared" si="18"/>
        <v>6.9699808583349236</v>
      </c>
      <c r="BJ51" s="44">
        <f t="shared" si="18"/>
        <v>1.2441708911959664</v>
      </c>
      <c r="BK51" s="44">
        <f t="shared" si="18"/>
        <v>0.92183876246906549</v>
      </c>
      <c r="BL51" s="44">
        <f t="shared" si="18"/>
        <v>0.39389731296787733</v>
      </c>
      <c r="BM51" s="44">
        <f t="shared" si="18"/>
        <v>4.342263259629874</v>
      </c>
      <c r="BN51" s="44">
        <f t="shared" si="18"/>
        <v>1.5295528833327359</v>
      </c>
      <c r="BO51" s="44">
        <f t="shared" si="18"/>
        <v>1.1306260679238085</v>
      </c>
      <c r="BP51" s="44">
        <f t="shared" si="18"/>
        <v>0.56549910970757755</v>
      </c>
      <c r="BQ51" s="44">
        <f t="shared" si="18"/>
        <v>3.7853869862801908</v>
      </c>
      <c r="BR51" s="44">
        <f t="shared" ref="BR51:CJ51" si="19">BR49/BR50</f>
        <v>1.4674123314321985</v>
      </c>
      <c r="BS51" s="44">
        <f t="shared" si="19"/>
        <v>0.97375268083793443</v>
      </c>
      <c r="BT51" s="44">
        <f t="shared" si="19"/>
        <v>0.63852292228072849</v>
      </c>
      <c r="BU51" s="44">
        <f t="shared" si="19"/>
        <v>0.82216322847169221</v>
      </c>
      <c r="BV51" s="44">
        <f t="shared" si="19"/>
        <v>0.38260400113751619</v>
      </c>
      <c r="BW51" s="44">
        <f t="shared" si="19"/>
        <v>1.0696082182675533</v>
      </c>
      <c r="BX51" s="44">
        <f t="shared" si="19"/>
        <v>0.51722672431324346</v>
      </c>
      <c r="BY51" s="44">
        <f t="shared" si="19"/>
        <v>1.3385935058670075</v>
      </c>
      <c r="BZ51" s="44">
        <f t="shared" si="19"/>
        <v>0.7186487638904534</v>
      </c>
      <c r="CA51" s="44">
        <f t="shared" si="19"/>
        <v>1.856675399512723</v>
      </c>
      <c r="CB51" s="44">
        <f t="shared" si="19"/>
        <v>1.9036547650679883</v>
      </c>
      <c r="CC51" s="44">
        <f t="shared" si="19"/>
        <v>2.0785576339434884</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1766328172.9899998</v>
      </c>
      <c r="F52" s="76">
        <f>资产资本表!F68</f>
        <v>1806516259.7999997</v>
      </c>
      <c r="G52" s="76">
        <f>资产资本表!G68</f>
        <v>1806962570.3600001</v>
      </c>
      <c r="H52" s="76">
        <f>资产资本表!H68</f>
        <v>1814583033.4499996</v>
      </c>
      <c r="I52" s="76">
        <f>资产资本表!I68</f>
        <v>1911999580.3899999</v>
      </c>
      <c r="J52" s="76">
        <f>资产资本表!J68</f>
        <v>1871112374.4100001</v>
      </c>
      <c r="K52" s="76">
        <f>资产资本表!K68</f>
        <v>1869883042.1000001</v>
      </c>
      <c r="L52" s="76">
        <f>资产资本表!L68</f>
        <v>186270986.89000002</v>
      </c>
      <c r="M52" s="76">
        <f>资产资本表!M68</f>
        <v>283107275.83000004</v>
      </c>
      <c r="N52" s="76">
        <f>资产资本表!N68</f>
        <v>240940505.01999995</v>
      </c>
      <c r="O52" s="76">
        <f>资产资本表!O68</f>
        <v>202401384.45999998</v>
      </c>
      <c r="P52" s="76">
        <f>资产资本表!P68</f>
        <v>188944327.79999998</v>
      </c>
      <c r="Q52" s="76">
        <f>资产资本表!Q68</f>
        <v>189551534.95999998</v>
      </c>
      <c r="R52" s="76">
        <f>资产资本表!R68</f>
        <v>179908343.92000002</v>
      </c>
      <c r="S52" s="76">
        <f>资产资本表!S68</f>
        <v>167767408.17999998</v>
      </c>
      <c r="T52" s="76">
        <f>资产资本表!T68</f>
        <v>147255209.20000005</v>
      </c>
      <c r="U52" s="76">
        <f>资产资本表!U68</f>
        <v>140916961.95999998</v>
      </c>
      <c r="V52" s="76">
        <f>资产资本表!V68</f>
        <v>164296129.06</v>
      </c>
      <c r="W52" s="76">
        <f>资产资本表!W68</f>
        <v>148809289.83000001</v>
      </c>
      <c r="X52" s="76">
        <f>资产资本表!X68</f>
        <v>145484590.80000001</v>
      </c>
      <c r="Y52" s="76">
        <f>资产资本表!Y68</f>
        <v>140720180.44</v>
      </c>
      <c r="Z52" s="76">
        <f>资产资本表!Z68</f>
        <v>112223135.14</v>
      </c>
      <c r="AA52" s="76">
        <f>资产资本表!AA68</f>
        <v>211602924.66999999</v>
      </c>
      <c r="AB52" s="76">
        <f>资产资本表!AB68</f>
        <v>240716791.50999999</v>
      </c>
      <c r="AC52" s="76">
        <f>资产资本表!AC68</f>
        <v>223365261.81</v>
      </c>
      <c r="AD52" s="76">
        <f>资产资本表!AD68</f>
        <v>12935591.060000001</v>
      </c>
      <c r="AE52" s="76">
        <f>资产资本表!AE68</f>
        <v>13176737.189999999</v>
      </c>
      <c r="AF52" s="76">
        <f>资产资本表!AF68</f>
        <v>13436261.210000001</v>
      </c>
      <c r="AG52" s="76">
        <f>资产资本表!AG68</f>
        <v>13648790.42</v>
      </c>
      <c r="AH52" s="76">
        <f>资产资本表!AH68</f>
        <v>13981880.59</v>
      </c>
      <c r="AI52" s="76">
        <f>资产资本表!AI68</f>
        <v>14208863.68</v>
      </c>
      <c r="AJ52" s="76">
        <f>资产资本表!AJ68</f>
        <v>14444005.15</v>
      </c>
      <c r="AK52" s="76">
        <f>资产资本表!AK68</f>
        <v>14667939.220000001</v>
      </c>
      <c r="AL52" s="76">
        <f>资产资本表!AL68</f>
        <v>14914087.68</v>
      </c>
      <c r="AM52" s="76">
        <f>资产资本表!AM68</f>
        <v>15153279.619999999</v>
      </c>
      <c r="AN52" s="76">
        <f>资产资本表!AN68</f>
        <v>15768611.4</v>
      </c>
      <c r="AO52" s="76">
        <f>资产资本表!AO68</f>
        <v>16028925.939999999</v>
      </c>
      <c r="AP52" s="76">
        <f>资产资本表!AP68</f>
        <v>17919767.82</v>
      </c>
      <c r="AQ52" s="76">
        <f>资产资本表!AQ68</f>
        <v>18510587.690000001</v>
      </c>
      <c r="AR52" s="76">
        <f>资产资本表!AR68</f>
        <v>19717356.580000002</v>
      </c>
      <c r="AS52" s="76">
        <f>资产资本表!AS68</f>
        <v>20073168.550000001</v>
      </c>
      <c r="AT52" s="76">
        <f>资产资本表!AT68</f>
        <v>27189278.740000002</v>
      </c>
      <c r="AU52" s="76">
        <f>资产资本表!AU68</f>
        <v>26993673.140000001</v>
      </c>
      <c r="AV52" s="76">
        <f>资产资本表!AV68</f>
        <v>27550867.800000001</v>
      </c>
      <c r="AW52" s="76">
        <f>资产资本表!AW68</f>
        <v>22072535.849999998</v>
      </c>
      <c r="AX52" s="76">
        <f>资产资本表!AX68</f>
        <v>23250222.899999999</v>
      </c>
      <c r="AY52" s="76">
        <f>资产资本表!AY68</f>
        <v>23917718.359999999</v>
      </c>
      <c r="AZ52" s="76">
        <f>资产资本表!AZ68</f>
        <v>0</v>
      </c>
      <c r="BA52" s="76">
        <f>资产资本表!BA68</f>
        <v>24915436.690000001</v>
      </c>
      <c r="BB52" s="76">
        <f>资产资本表!BB68</f>
        <v>33749188.859999999</v>
      </c>
      <c r="BC52" s="76">
        <f>资产资本表!BC68</f>
        <v>34962417.93</v>
      </c>
      <c r="BD52" s="76">
        <f>资产资本表!BD68</f>
        <v>36092502.630000003</v>
      </c>
      <c r="BE52" s="76">
        <f>资产资本表!BE68</f>
        <v>37330032.719999999</v>
      </c>
      <c r="BF52" s="76">
        <f>资产资本表!BF68</f>
        <v>38450567.600000001</v>
      </c>
      <c r="BG52" s="76">
        <f>资产资本表!BG68</f>
        <v>39535908.510000005</v>
      </c>
      <c r="BH52" s="76">
        <f>资产资本表!BH68</f>
        <v>41739592.120000005</v>
      </c>
      <c r="BI52" s="76">
        <f>资产资本表!BI68</f>
        <v>43720191.060000002</v>
      </c>
      <c r="BJ52" s="76">
        <f>资产资本表!BJ68</f>
        <v>44495273.719999999</v>
      </c>
      <c r="BK52" s="76">
        <f>资产资本表!BK68</f>
        <v>46745623.780000001</v>
      </c>
      <c r="BL52" s="76">
        <f>资产资本表!BL68</f>
        <v>49427419.530000001</v>
      </c>
      <c r="BM52" s="76">
        <f>资产资本表!BM68</f>
        <v>50499404.169999994</v>
      </c>
      <c r="BN52" s="76">
        <f>资产资本表!BN68</f>
        <v>54243767.549999997</v>
      </c>
      <c r="BO52" s="76">
        <f>资产资本表!BO68</f>
        <v>55878754.089999996</v>
      </c>
      <c r="BP52" s="76">
        <f>资产资本表!BP68</f>
        <v>56478189.960000001</v>
      </c>
      <c r="BQ52" s="76">
        <f>资产资本表!BQ68</f>
        <v>57956159.829999998</v>
      </c>
      <c r="BR52" s="76">
        <f>资产资本表!BR68</f>
        <v>62091608.870000005</v>
      </c>
      <c r="BS52" s="76">
        <f>资产资本表!BS68</f>
        <v>86654452.840000004</v>
      </c>
      <c r="BT52" s="76">
        <f>资产资本表!BT68</f>
        <v>82459862.920000002</v>
      </c>
      <c r="BU52" s="76">
        <f>资产资本表!BU68</f>
        <v>98835702.410000011</v>
      </c>
      <c r="BV52" s="76">
        <f>资产资本表!BV68</f>
        <v>84786698.969999999</v>
      </c>
      <c r="BW52" s="76">
        <f>资产资本表!BW68</f>
        <v>83755328.88000001</v>
      </c>
      <c r="BX52" s="76">
        <f>资产资本表!BX68</f>
        <v>34913165.379999995</v>
      </c>
      <c r="BY52" s="76">
        <f>资产资本表!BY68</f>
        <v>35816290.990000002</v>
      </c>
      <c r="BZ52" s="76">
        <f>资产资本表!BZ68</f>
        <v>26097698.739999998</v>
      </c>
      <c r="CA52" s="76">
        <f>资产资本表!CA68</f>
        <v>27602197.959999997</v>
      </c>
      <c r="CB52" s="76">
        <f>资产资本表!CB68</f>
        <v>48745128.380000003</v>
      </c>
      <c r="CC52" s="76">
        <f>资产资本表!CC68</f>
        <v>53283631.57</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1.4005994146445662</v>
      </c>
      <c r="F53" s="44">
        <f t="shared" ref="F53:BQ53" si="20">F49/F52</f>
        <v>0.55809551939577851</v>
      </c>
      <c r="G53" s="44">
        <f t="shared" si="20"/>
        <v>0.48605813489264416</v>
      </c>
      <c r="H53" s="44">
        <f t="shared" si="20"/>
        <v>0.34733713725499077</v>
      </c>
      <c r="I53" s="44">
        <f t="shared" si="20"/>
        <v>3.5067206942704345</v>
      </c>
      <c r="J53" s="44">
        <f t="shared" si="20"/>
        <v>2.4459293418724242</v>
      </c>
      <c r="K53" s="44">
        <f t="shared" si="20"/>
        <v>2.1369370035050061</v>
      </c>
      <c r="L53" s="44">
        <f t="shared" si="20"/>
        <v>15.705254540137149</v>
      </c>
      <c r="M53" s="44">
        <f t="shared" si="20"/>
        <v>1.8350036372500385</v>
      </c>
      <c r="N53" s="44">
        <f t="shared" si="20"/>
        <v>1.5249406944237178</v>
      </c>
      <c r="O53" s="44">
        <f t="shared" si="20"/>
        <v>1.0749293664194139</v>
      </c>
      <c r="P53" s="44">
        <f t="shared" si="20"/>
        <v>0.76531221817392936</v>
      </c>
      <c r="Q53" s="44">
        <f t="shared" si="20"/>
        <v>6.7042993522483059</v>
      </c>
      <c r="R53" s="44">
        <f t="shared" si="20"/>
        <v>4.9664313307075654</v>
      </c>
      <c r="S53" s="44">
        <f t="shared" si="20"/>
        <v>4.0513563534983854</v>
      </c>
      <c r="T53" s="44">
        <f t="shared" si="20"/>
        <v>2.0468130658837151</v>
      </c>
      <c r="U53" s="44">
        <f t="shared" si="20"/>
        <v>19.70633926289338</v>
      </c>
      <c r="V53" s="44">
        <f t="shared" si="20"/>
        <v>1.9873475766477684</v>
      </c>
      <c r="W53" s="44">
        <f t="shared" si="20"/>
        <v>1.6929940787151727</v>
      </c>
      <c r="X53" s="44">
        <f t="shared" si="20"/>
        <v>1.0966995277138312</v>
      </c>
      <c r="Y53" s="44">
        <f t="shared" si="20"/>
        <v>13.40610461052078</v>
      </c>
      <c r="Z53" s="44">
        <f t="shared" si="20"/>
        <v>3.2281730612681221</v>
      </c>
      <c r="AA53" s="44">
        <f t="shared" si="20"/>
        <v>0.43633068736639213</v>
      </c>
      <c r="AB53" s="44">
        <f t="shared" si="20"/>
        <v>0.1596485697525738</v>
      </c>
      <c r="AC53" s="44">
        <f t="shared" si="20"/>
        <v>4.0790493657201692</v>
      </c>
      <c r="AD53" s="44">
        <f t="shared" si="20"/>
        <v>0.17973890556803052</v>
      </c>
      <c r="AE53" s="44">
        <f t="shared" si="20"/>
        <v>5.4607564044464339E-2</v>
      </c>
      <c r="AF53" s="44">
        <f t="shared" si="20"/>
        <v>3.3851594047716489E-2</v>
      </c>
      <c r="AG53" s="44">
        <f t="shared" si="20"/>
        <v>0.14448204268052642</v>
      </c>
      <c r="AH53" s="44">
        <f t="shared" si="20"/>
        <v>0.16071127667955573</v>
      </c>
      <c r="AI53" s="44">
        <f t="shared" si="20"/>
        <v>0.11572576435612619</v>
      </c>
      <c r="AJ53" s="44">
        <f t="shared" si="20"/>
        <v>8.1886110377079168E-3</v>
      </c>
      <c r="AK53" s="44">
        <f t="shared" si="20"/>
        <v>0.15813970423583468</v>
      </c>
      <c r="AL53" s="44">
        <f t="shared" si="20"/>
        <v>7.1044736542678011E-2</v>
      </c>
      <c r="AM53" s="44">
        <f t="shared" si="20"/>
        <v>4.7125702020141297E-2</v>
      </c>
      <c r="AN53" s="44">
        <f t="shared" si="20"/>
        <v>2.013925715741844E-2</v>
      </c>
      <c r="AO53" s="44">
        <f t="shared" si="20"/>
        <v>1.8482259672852415</v>
      </c>
      <c r="AP53" s="44">
        <f t="shared" si="20"/>
        <v>2.2148766188645852</v>
      </c>
      <c r="AQ53" s="44">
        <f t="shared" si="20"/>
        <v>2.072229915245873</v>
      </c>
      <c r="AR53" s="44">
        <f t="shared" si="20"/>
        <v>1.0134088187190453</v>
      </c>
      <c r="AS53" s="44">
        <f t="shared" si="20"/>
        <v>13.761004077256153</v>
      </c>
      <c r="AT53" s="44">
        <f t="shared" si="20"/>
        <v>7.801314481282926</v>
      </c>
      <c r="AU53" s="44">
        <f t="shared" si="20"/>
        <v>5.617767027981432</v>
      </c>
      <c r="AV53" s="44">
        <f t="shared" si="20"/>
        <v>2.2889903896239523</v>
      </c>
      <c r="AW53" s="44">
        <f t="shared" si="20"/>
        <v>10.382864612721878</v>
      </c>
      <c r="AX53" s="44">
        <f t="shared" si="20"/>
        <v>5.4247037816570787</v>
      </c>
      <c r="AY53" s="44">
        <f t="shared" si="20"/>
        <v>2.9618274930635984</v>
      </c>
      <c r="AZ53" s="44" t="e">
        <f t="shared" si="20"/>
        <v>#DIV/0!</v>
      </c>
      <c r="BA53" s="44">
        <f t="shared" si="20"/>
        <v>8.8860051820348005</v>
      </c>
      <c r="BB53" s="44">
        <f t="shared" si="20"/>
        <v>5.9351347062271298</v>
      </c>
      <c r="BC53" s="44">
        <f t="shared" si="20"/>
        <v>4.9614464476484796</v>
      </c>
      <c r="BD53" s="44">
        <f t="shared" si="20"/>
        <v>2.7831875434014477</v>
      </c>
      <c r="BE53" s="44">
        <f t="shared" si="20"/>
        <v>21.477376344501632</v>
      </c>
      <c r="BF53" s="44">
        <f t="shared" si="20"/>
        <v>15.801442043211868</v>
      </c>
      <c r="BG53" s="44">
        <f t="shared" si="20"/>
        <v>9.7887161738578179</v>
      </c>
      <c r="BH53" s="44">
        <f t="shared" si="20"/>
        <v>4.0727476909997176</v>
      </c>
      <c r="BI53" s="44">
        <f t="shared" si="20"/>
        <v>19.823171818270637</v>
      </c>
      <c r="BJ53" s="44">
        <f t="shared" si="20"/>
        <v>12.660079730148921</v>
      </c>
      <c r="BK53" s="44">
        <f t="shared" si="20"/>
        <v>6.6921493143887192</v>
      </c>
      <c r="BL53" s="44">
        <f t="shared" si="20"/>
        <v>2.626562367092685</v>
      </c>
      <c r="BM53" s="44">
        <f t="shared" si="20"/>
        <v>19.725861119006549</v>
      </c>
      <c r="BN53" s="44">
        <f t="shared" si="20"/>
        <v>12.393823143650721</v>
      </c>
      <c r="BO53" s="44">
        <f t="shared" si="20"/>
        <v>7.6025841391482611</v>
      </c>
      <c r="BP53" s="44">
        <f t="shared" si="20"/>
        <v>3.6742816624784056</v>
      </c>
      <c r="BQ53" s="44">
        <f t="shared" si="20"/>
        <v>13.144867414691165</v>
      </c>
      <c r="BR53" s="44">
        <f t="shared" ref="BR53:CK53" si="21">BR49/BR52</f>
        <v>3.700180952486245</v>
      </c>
      <c r="BS53" s="44">
        <f t="shared" si="21"/>
        <v>2.2912848613400811</v>
      </c>
      <c r="BT53" s="44">
        <f t="shared" si="21"/>
        <v>1.2584428525023796</v>
      </c>
      <c r="BU53" s="44">
        <f t="shared" si="21"/>
        <v>1.0266334746029351</v>
      </c>
      <c r="BV53" s="44">
        <f t="shared" si="21"/>
        <v>0.46823590848898461</v>
      </c>
      <c r="BW53" s="44">
        <f t="shared" si="21"/>
        <v>0.85948686850884937</v>
      </c>
      <c r="BX53" s="44">
        <f t="shared" si="21"/>
        <v>0.8684001768389642</v>
      </c>
      <c r="BY53" s="44">
        <f t="shared" si="21"/>
        <v>1.7289509923651645</v>
      </c>
      <c r="BZ53" s="44">
        <f t="shared" si="21"/>
        <v>1.191636472618735</v>
      </c>
      <c r="CA53" s="44">
        <f t="shared" si="21"/>
        <v>2.5754743963875262</v>
      </c>
      <c r="CB53" s="44">
        <f t="shared" si="21"/>
        <v>1.8300729312798663</v>
      </c>
      <c r="CC53" s="44">
        <f t="shared" si="21"/>
        <v>1.3509061938737521</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926091901.50999999</v>
      </c>
      <c r="F54" s="76">
        <f>资产资本表!F17</f>
        <v>1356734900.6700001</v>
      </c>
      <c r="G54" s="76">
        <f>资产资本表!G17</f>
        <v>823765163.36000001</v>
      </c>
      <c r="H54" s="76">
        <f>资产资本表!H17</f>
        <v>776416588.15999997</v>
      </c>
      <c r="I54" s="76">
        <f>资产资本表!I17</f>
        <v>1438863232.1800001</v>
      </c>
      <c r="J54" s="76">
        <f>资产资本表!J17</f>
        <v>1056196901.1600001</v>
      </c>
      <c r="K54" s="76">
        <f>资产资本表!K17</f>
        <v>1737525344.23</v>
      </c>
      <c r="L54" s="76">
        <f>资产资本表!L17</f>
        <v>1933316623.48</v>
      </c>
      <c r="M54" s="76">
        <f>资产资本表!M17</f>
        <v>764091700.45000005</v>
      </c>
      <c r="N54" s="76">
        <f>资产资本表!N17</f>
        <v>785217963.60000002</v>
      </c>
      <c r="O54" s="76">
        <f>资产资本表!O17</f>
        <v>794522845.71000004</v>
      </c>
      <c r="P54" s="76">
        <f>资产资本表!P17</f>
        <v>1003198817.6400001</v>
      </c>
      <c r="Q54" s="76">
        <f>资产资本表!Q17</f>
        <v>2510334268.3099999</v>
      </c>
      <c r="R54" s="76">
        <f>资产资本表!R17</f>
        <v>1023170234.97</v>
      </c>
      <c r="S54" s="76">
        <f>资产资本表!S17</f>
        <v>763798441.50999999</v>
      </c>
      <c r="T54" s="76">
        <f>资产资本表!T17</f>
        <v>915094214.45000005</v>
      </c>
      <c r="U54" s="76">
        <f>资产资本表!U17</f>
        <v>891052090.87</v>
      </c>
      <c r="V54" s="76">
        <f>资产资本表!V17</f>
        <v>796187571.14999998</v>
      </c>
      <c r="W54" s="76">
        <f>资产资本表!W17</f>
        <v>562966007.25999999</v>
      </c>
      <c r="X54" s="76">
        <f>资产资本表!X17</f>
        <v>738153106.33000004</v>
      </c>
      <c r="Y54" s="76">
        <f>资产资本表!Y17</f>
        <v>1135896723.99</v>
      </c>
      <c r="Z54" s="76">
        <f>资产资本表!Z17</f>
        <v>771284537.24000001</v>
      </c>
      <c r="AA54" s="76">
        <f>资产资本表!AA17</f>
        <v>441810812.27999997</v>
      </c>
      <c r="AB54" s="76">
        <f>资产资本表!AB17</f>
        <v>340794569.60000002</v>
      </c>
      <c r="AC54" s="76">
        <f>资产资本表!AC17</f>
        <v>596448701.64999998</v>
      </c>
      <c r="AD54" s="76">
        <f>资产资本表!AD17</f>
        <v>466216.12</v>
      </c>
      <c r="AE54" s="76">
        <f>资产资本表!AE17</f>
        <v>357891.61</v>
      </c>
      <c r="AF54" s="76">
        <f>资产资本表!AF17</f>
        <v>432840.36</v>
      </c>
      <c r="AG54" s="76">
        <f>资产资本表!AG17</f>
        <v>1641059.35</v>
      </c>
      <c r="AH54" s="76">
        <f>资产资本表!AH17</f>
        <v>254163.5</v>
      </c>
      <c r="AI54" s="76">
        <f>资产资本表!AI17</f>
        <v>408737.88</v>
      </c>
      <c r="AJ54" s="76">
        <f>资产资本表!AJ17</f>
        <v>294989.28000000003</v>
      </c>
      <c r="AK54" s="76">
        <f>资产资本表!AK17</f>
        <v>567374.21</v>
      </c>
      <c r="AL54" s="76">
        <f>资产资本表!AL17</f>
        <v>149172.9</v>
      </c>
      <c r="AM54" s="76">
        <f>资产资本表!AM17</f>
        <v>247962.97</v>
      </c>
      <c r="AN54" s="76">
        <f>资产资本表!AN17</f>
        <v>528471.81000000006</v>
      </c>
      <c r="AO54" s="76">
        <f>资产资本表!AO17</f>
        <v>535108.41</v>
      </c>
      <c r="AP54" s="76">
        <f>资产资本表!AP17</f>
        <v>1997288.68</v>
      </c>
      <c r="AQ54" s="76">
        <f>资产资本表!AQ17</f>
        <v>1596904.73</v>
      </c>
      <c r="AR54" s="76">
        <f>资产资本表!AR17</f>
        <v>3671275.8</v>
      </c>
      <c r="AS54" s="76">
        <f>资产资本表!AS17</f>
        <v>15985969.529999999</v>
      </c>
      <c r="AT54" s="76">
        <f>资产资本表!AT17</f>
        <v>7460925.71</v>
      </c>
      <c r="AU54" s="76">
        <f>资产资本表!AU17</f>
        <v>8511971.4000000004</v>
      </c>
      <c r="AV54" s="76">
        <f>资产资本表!AV17</f>
        <v>13812006.470000001</v>
      </c>
      <c r="AW54" s="76">
        <f>资产资本表!AW17</f>
        <v>10885333.24</v>
      </c>
      <c r="AX54" s="76">
        <f>资产资本表!AX17</f>
        <v>8527816.3599999994</v>
      </c>
      <c r="AY54" s="76">
        <f>资产资本表!AY17</f>
        <v>11255685.550000001</v>
      </c>
      <c r="AZ54" s="76">
        <f>资产资本表!AZ17</f>
        <v>0</v>
      </c>
      <c r="BA54" s="76">
        <f>资产资本表!BA17</f>
        <v>15379893.4</v>
      </c>
      <c r="BB54" s="76">
        <f>资产资本表!BB17</f>
        <v>10394963.039999999</v>
      </c>
      <c r="BC54" s="76">
        <f>资产资本表!BC17</f>
        <v>5070086.91</v>
      </c>
      <c r="BD54" s="76">
        <f>资产资本表!BD17</f>
        <v>6028307.2599999998</v>
      </c>
      <c r="BE54" s="76">
        <f>资产资本表!BE17</f>
        <v>114701814.88</v>
      </c>
      <c r="BF54" s="76">
        <f>资产资本表!BF17</f>
        <v>156125796.11000001</v>
      </c>
      <c r="BG54" s="76">
        <f>资产资本表!BG17</f>
        <v>165748121.43000001</v>
      </c>
      <c r="BH54" s="76">
        <f>资产资本表!BH17</f>
        <v>234795792.46000001</v>
      </c>
      <c r="BI54" s="76">
        <f>资产资本表!BI17</f>
        <v>354968648.18000001</v>
      </c>
      <c r="BJ54" s="76">
        <f>资产资本表!BJ17</f>
        <v>311317648.56</v>
      </c>
      <c r="BK54" s="76">
        <f>资产资本表!BK17</f>
        <v>363845847.88999999</v>
      </c>
      <c r="BL54" s="76">
        <f>资产资本表!BL17</f>
        <v>355952252.56999999</v>
      </c>
      <c r="BM54" s="76">
        <f>资产资本表!BM17</f>
        <v>273294947.05000001</v>
      </c>
      <c r="BN54" s="76">
        <f>资产资本表!BN17</f>
        <v>145494670.44</v>
      </c>
      <c r="BO54" s="76">
        <f>资产资本表!BO17</f>
        <v>303869580.30000001</v>
      </c>
      <c r="BP54" s="76">
        <f>资产资本表!BP17</f>
        <v>227671628.03999999</v>
      </c>
      <c r="BQ54" s="76">
        <f>资产资本表!BQ17</f>
        <v>221556058.13999999</v>
      </c>
      <c r="BR54" s="76">
        <f>资产资本表!BR17</f>
        <v>140183193.76999998</v>
      </c>
      <c r="BS54" s="76">
        <f>资产资本表!BS17</f>
        <v>53694794.680000007</v>
      </c>
      <c r="BT54" s="76">
        <f>资产资本表!BT17</f>
        <v>119104358.29000001</v>
      </c>
      <c r="BU54" s="76">
        <f>资产资本表!BU17</f>
        <v>71006139.680000007</v>
      </c>
      <c r="BV54" s="76">
        <f>资产资本表!BV17</f>
        <v>16689141.880000001</v>
      </c>
      <c r="BW54" s="76">
        <f>资产资本表!BW17</f>
        <v>24236168.48</v>
      </c>
      <c r="BX54" s="76">
        <f>资产资本表!BX17</f>
        <v>80436947.620000005</v>
      </c>
      <c r="BY54" s="76">
        <f>资产资本表!BY17</f>
        <v>84797442.760000005</v>
      </c>
      <c r="BZ54" s="76">
        <f>资产资本表!BZ17</f>
        <v>6152356.9900000002</v>
      </c>
      <c r="CA54" s="76">
        <f>资产资本表!CA17</f>
        <v>7469187.54</v>
      </c>
      <c r="CB54" s="76">
        <f>资产资本表!CB17</f>
        <v>9023293.9000000004</v>
      </c>
      <c r="CC54" s="76">
        <f>资产资本表!CC17</f>
        <v>2977734.29</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2.6713528118821221</v>
      </c>
      <c r="F55" s="44">
        <f t="shared" ref="F55:BQ55" si="22">F49/F54</f>
        <v>0.74311394938842767</v>
      </c>
      <c r="G55" s="44">
        <f t="shared" si="22"/>
        <v>1.0661883942598482</v>
      </c>
      <c r="H55" s="44">
        <f t="shared" si="22"/>
        <v>0.81177049249251321</v>
      </c>
      <c r="I55" s="44">
        <f t="shared" si="22"/>
        <v>4.6598233564086451</v>
      </c>
      <c r="J55" s="44">
        <f t="shared" si="22"/>
        <v>4.3331017668046572</v>
      </c>
      <c r="K55" s="44">
        <f t="shared" si="22"/>
        <v>2.2997202764030957</v>
      </c>
      <c r="L55" s="44">
        <f t="shared" si="22"/>
        <v>1.5131682141563418</v>
      </c>
      <c r="M55" s="44">
        <f t="shared" si="22"/>
        <v>0.67989598705763554</v>
      </c>
      <c r="N55" s="44">
        <f t="shared" si="22"/>
        <v>0.46792100801602193</v>
      </c>
      <c r="O55" s="44">
        <f t="shared" si="22"/>
        <v>0.27383377725983199</v>
      </c>
      <c r="P55" s="44">
        <f t="shared" si="22"/>
        <v>0.14414032400892493</v>
      </c>
      <c r="Q55" s="44">
        <f t="shared" si="22"/>
        <v>0.506231480441659</v>
      </c>
      <c r="R55" s="44">
        <f t="shared" si="22"/>
        <v>0.87326859730844109</v>
      </c>
      <c r="S55" s="44">
        <f t="shared" si="22"/>
        <v>0.88987554582631501</v>
      </c>
      <c r="T55" s="44">
        <f t="shared" si="22"/>
        <v>0.32936924029309161</v>
      </c>
      <c r="U55" s="44">
        <f t="shared" si="22"/>
        <v>3.1164928388963786</v>
      </c>
      <c r="V55" s="44">
        <f t="shared" si="22"/>
        <v>0.41009622075409863</v>
      </c>
      <c r="W55" s="44">
        <f t="shared" si="22"/>
        <v>0.44751058374941499</v>
      </c>
      <c r="X55" s="44">
        <f t="shared" si="22"/>
        <v>0.21615147406650623</v>
      </c>
      <c r="Y55" s="44">
        <f t="shared" si="22"/>
        <v>1.660810723322949</v>
      </c>
      <c r="Z55" s="44">
        <f t="shared" si="22"/>
        <v>0.4697043493266233</v>
      </c>
      <c r="AA55" s="44">
        <f t="shared" si="22"/>
        <v>0.20897824816357388</v>
      </c>
      <c r="AB55" s="44">
        <f t="shared" si="22"/>
        <v>0.11276614978080916</v>
      </c>
      <c r="AC55" s="44">
        <f t="shared" si="22"/>
        <v>1.527571318353963</v>
      </c>
      <c r="AD55" s="44">
        <f t="shared" si="22"/>
        <v>4.9870197109443577</v>
      </c>
      <c r="AE55" s="44">
        <f t="shared" si="22"/>
        <v>2.0105235772361358</v>
      </c>
      <c r="AF55" s="44">
        <f t="shared" si="22"/>
        <v>1.0508235877079486</v>
      </c>
      <c r="AG55" s="44">
        <f t="shared" si="22"/>
        <v>1.20166593609183</v>
      </c>
      <c r="AH55" s="44">
        <f t="shared" si="22"/>
        <v>8.8409463986764418</v>
      </c>
      <c r="AI55" s="44">
        <f t="shared" si="22"/>
        <v>4.0229489128827502</v>
      </c>
      <c r="AJ55" s="44">
        <f t="shared" si="22"/>
        <v>0.40095131592578548</v>
      </c>
      <c r="AK55" s="44">
        <f t="shared" si="22"/>
        <v>4.0882781224758169</v>
      </c>
      <c r="AL55" s="44">
        <f t="shared" si="22"/>
        <v>7.1029485248325939</v>
      </c>
      <c r="AM55" s="44">
        <f t="shared" si="22"/>
        <v>2.8799015433635109</v>
      </c>
      <c r="AN55" s="44">
        <f t="shared" si="22"/>
        <v>0.6009178048683429</v>
      </c>
      <c r="AO55" s="44">
        <f t="shared" si="22"/>
        <v>55.362757520480748</v>
      </c>
      <c r="AP55" s="44">
        <f t="shared" si="22"/>
        <v>19.87197702437286</v>
      </c>
      <c r="AQ55" s="44">
        <f t="shared" si="22"/>
        <v>24.020339372405768</v>
      </c>
      <c r="AR55" s="44">
        <f t="shared" si="22"/>
        <v>5.4427245809208884</v>
      </c>
      <c r="AS55" s="44">
        <f t="shared" si="22"/>
        <v>17.279336967433842</v>
      </c>
      <c r="AT55" s="44">
        <f t="shared" si="22"/>
        <v>28.429731405273568</v>
      </c>
      <c r="AU55" s="44">
        <f t="shared" si="22"/>
        <v>17.815399019080349</v>
      </c>
      <c r="AV55" s="44">
        <f t="shared" si="22"/>
        <v>4.5658588241307125</v>
      </c>
      <c r="AW55" s="44">
        <f t="shared" si="22"/>
        <v>21.053664259708047</v>
      </c>
      <c r="AX55" s="44">
        <f t="shared" si="22"/>
        <v>14.789902451651763</v>
      </c>
      <c r="AY55" s="44">
        <f t="shared" si="22"/>
        <v>6.293722003454512</v>
      </c>
      <c r="AZ55" s="44" t="e">
        <f t="shared" si="22"/>
        <v>#DIV/0!</v>
      </c>
      <c r="BA55" s="44">
        <f t="shared" si="22"/>
        <v>14.395333815512661</v>
      </c>
      <c r="BB55" s="44">
        <f t="shared" si="22"/>
        <v>19.269523262297241</v>
      </c>
      <c r="BC55" s="44">
        <f t="shared" si="22"/>
        <v>34.213252616610475</v>
      </c>
      <c r="BD55" s="44">
        <f t="shared" si="22"/>
        <v>16.663418004011959</v>
      </c>
      <c r="BE55" s="44">
        <f t="shared" si="22"/>
        <v>6.9898733731352447</v>
      </c>
      <c r="BF55" s="44">
        <f t="shared" si="22"/>
        <v>3.8915696867411156</v>
      </c>
      <c r="BG55" s="44">
        <f t="shared" si="22"/>
        <v>2.3349030066892382</v>
      </c>
      <c r="BH55" s="44">
        <f t="shared" si="22"/>
        <v>0.72401138729502768</v>
      </c>
      <c r="BI55" s="44">
        <f t="shared" si="22"/>
        <v>2.4415476233003015</v>
      </c>
      <c r="BJ55" s="44">
        <f t="shared" si="22"/>
        <v>1.8094499798376609</v>
      </c>
      <c r="BK55" s="44">
        <f t="shared" si="22"/>
        <v>0.85978360325985137</v>
      </c>
      <c r="BL55" s="44">
        <f t="shared" si="22"/>
        <v>0.36472363667503227</v>
      </c>
      <c r="BM55" s="44">
        <f t="shared" si="22"/>
        <v>3.6449420086341839</v>
      </c>
      <c r="BN55" s="44">
        <f t="shared" si="22"/>
        <v>4.6207030101301347</v>
      </c>
      <c r="BO55" s="44">
        <f t="shared" si="22"/>
        <v>1.3980436249676158</v>
      </c>
      <c r="BP55" s="44">
        <f t="shared" si="22"/>
        <v>0.91147403603377863</v>
      </c>
      <c r="BQ55" s="44">
        <f t="shared" si="22"/>
        <v>3.4385249639556532</v>
      </c>
      <c r="BR55" s="44">
        <f t="shared" ref="BR55:CK55" si="23">BR49/BR54</f>
        <v>1.6389281929683632</v>
      </c>
      <c r="BS55" s="44">
        <f t="shared" si="23"/>
        <v>3.6977520287260734</v>
      </c>
      <c r="BT55" s="44">
        <f t="shared" si="23"/>
        <v>0.87126135936465232</v>
      </c>
      <c r="BU55" s="44">
        <f t="shared" si="23"/>
        <v>1.4290037599182435</v>
      </c>
      <c r="BV55" s="44">
        <f t="shared" si="23"/>
        <v>2.3788027752089551</v>
      </c>
      <c r="BW55" s="44">
        <f t="shared" si="23"/>
        <v>2.9702139345748599</v>
      </c>
      <c r="BX55" s="44">
        <f t="shared" si="23"/>
        <v>0.37692378797404191</v>
      </c>
      <c r="BY55" s="44">
        <f t="shared" si="23"/>
        <v>0.73026508623925868</v>
      </c>
      <c r="BZ55" s="44">
        <f t="shared" si="23"/>
        <v>5.0548057794026029</v>
      </c>
      <c r="CA55" s="44">
        <f t="shared" si="23"/>
        <v>9.5176019813796238</v>
      </c>
      <c r="CB55" s="44">
        <f t="shared" si="23"/>
        <v>9.8863165678333935</v>
      </c>
      <c r="CC55" s="44">
        <f t="shared" si="23"/>
        <v>24.173140015122033</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403915866.87</v>
      </c>
      <c r="F56" s="76">
        <f>资产资本表!F19</f>
        <v>447363408.45999998</v>
      </c>
      <c r="G56" s="76">
        <f>资产资本表!G19</f>
        <v>444375867.52999997</v>
      </c>
      <c r="H56" s="76">
        <f>资产资本表!H19</f>
        <v>453022802.99000001</v>
      </c>
      <c r="I56" s="76">
        <f>资产资本表!I19</f>
        <v>453295920.87</v>
      </c>
      <c r="J56" s="76">
        <f>资产资本表!J19</f>
        <v>455520618.37</v>
      </c>
      <c r="K56" s="76">
        <f>资产资本表!K19</f>
        <v>455552971.31</v>
      </c>
      <c r="L56" s="76">
        <f>资产资本表!L19</f>
        <v>369416304.49000001</v>
      </c>
      <c r="M56" s="76">
        <f>资产资本表!M19</f>
        <v>369507558.10000002</v>
      </c>
      <c r="N56" s="76">
        <f>资产资本表!N19</f>
        <v>371618200.89999998</v>
      </c>
      <c r="O56" s="76">
        <f>资产资本表!O19</f>
        <v>401620545.66000003</v>
      </c>
      <c r="P56" s="76">
        <f>资产资本表!P19</f>
        <v>402085418.17000002</v>
      </c>
      <c r="Q56" s="76">
        <f>资产资本表!Q19</f>
        <v>402190572.31</v>
      </c>
      <c r="R56" s="76">
        <f>资产资本表!R19</f>
        <v>401226841.66000003</v>
      </c>
      <c r="S56" s="76">
        <f>资产资本表!S19</f>
        <v>551819434.76999998</v>
      </c>
      <c r="T56" s="76">
        <f>资产资本表!T19</f>
        <v>549570492.28999996</v>
      </c>
      <c r="U56" s="76">
        <f>资产资本表!U19</f>
        <v>549237419.96000004</v>
      </c>
      <c r="V56" s="76">
        <f>资产资本表!V19</f>
        <v>554732945.21000004</v>
      </c>
      <c r="W56" s="76">
        <f>资产资本表!W19</f>
        <v>247513091</v>
      </c>
      <c r="X56" s="76">
        <f>资产资本表!X19</f>
        <v>247812784.97999999</v>
      </c>
      <c r="Y56" s="76">
        <f>资产资本表!Y19</f>
        <v>218139580.31</v>
      </c>
      <c r="Z56" s="76">
        <f>资产资本表!Z19</f>
        <v>221938920.36000001</v>
      </c>
      <c r="AA56" s="76">
        <f>资产资本表!AA19</f>
        <v>215834322.86000001</v>
      </c>
      <c r="AB56" s="76">
        <f>资产资本表!AB19</f>
        <v>193607895.25999999</v>
      </c>
      <c r="AC56" s="76">
        <f>资产资本表!AC19</f>
        <v>194315631.08000001</v>
      </c>
      <c r="AD56" s="76">
        <f>资产资本表!AD19</f>
        <v>45031970.539999999</v>
      </c>
      <c r="AE56" s="76">
        <f>资产资本表!AE19</f>
        <v>45031970.539999999</v>
      </c>
      <c r="AF56" s="76">
        <f>资产资本表!AF19</f>
        <v>45031970.539999999</v>
      </c>
      <c r="AG56" s="76">
        <f>资产资本表!AG19</f>
        <v>45031970.539999999</v>
      </c>
      <c r="AH56" s="76">
        <f>资产资本表!AH19</f>
        <v>45036417.539999999</v>
      </c>
      <c r="AI56" s="76">
        <f>资产资本表!AI19</f>
        <v>45036417.539999999</v>
      </c>
      <c r="AJ56" s="76">
        <f>资产资本表!AJ19</f>
        <v>45036417.539999999</v>
      </c>
      <c r="AK56" s="76">
        <f>资产资本表!AK19</f>
        <v>45036417.539999999</v>
      </c>
      <c r="AL56" s="76">
        <f>资产资本表!AL19</f>
        <v>46232321.960000001</v>
      </c>
      <c r="AM56" s="76">
        <f>资产资本表!AM19</f>
        <v>46249721.060000002</v>
      </c>
      <c r="AN56" s="76">
        <f>资产资本表!AN19</f>
        <v>46249915.490000002</v>
      </c>
      <c r="AO56" s="76">
        <f>资产资本表!AO19</f>
        <v>46249915.490000002</v>
      </c>
      <c r="AP56" s="76">
        <f>资产资本表!AP19</f>
        <v>46448435.030000001</v>
      </c>
      <c r="AQ56" s="76">
        <f>资产资本表!AQ19</f>
        <v>46448435.030000001</v>
      </c>
      <c r="AR56" s="76">
        <f>资产资本表!AR19</f>
        <v>46621892.890000001</v>
      </c>
      <c r="AS56" s="76">
        <f>资产资本表!AS19</f>
        <v>46621892.890000001</v>
      </c>
      <c r="AT56" s="76">
        <f>资产资本表!AT19</f>
        <v>51021782.5</v>
      </c>
      <c r="AU56" s="76">
        <f>资产资本表!AU19</f>
        <v>51021782.5</v>
      </c>
      <c r="AV56" s="76">
        <f>资产资本表!AV19</f>
        <v>51047379.210000001</v>
      </c>
      <c r="AW56" s="76">
        <f>资产资本表!AW19</f>
        <v>48209000.299999997</v>
      </c>
      <c r="AX56" s="76">
        <f>资产资本表!AX19</f>
        <v>31080094.460000001</v>
      </c>
      <c r="AY56" s="76">
        <f>资产资本表!AY19</f>
        <v>24038511.09</v>
      </c>
      <c r="AZ56" s="76">
        <f>资产资本表!AZ19</f>
        <v>0</v>
      </c>
      <c r="BA56" s="76">
        <f>资产资本表!BA19</f>
        <v>23940760.68</v>
      </c>
      <c r="BB56" s="76">
        <f>资产资本表!BB19</f>
        <v>21123595.420000002</v>
      </c>
      <c r="BC56" s="76">
        <f>资产资本表!BC19</f>
        <v>21132708.809999999</v>
      </c>
      <c r="BD56" s="76">
        <f>资产资本表!BD19</f>
        <v>21656552.77</v>
      </c>
      <c r="BE56" s="76">
        <f>资产资本表!BE19</f>
        <v>22011331.800000001</v>
      </c>
      <c r="BF56" s="76">
        <f>资产资本表!BF19</f>
        <v>21828507.649999999</v>
      </c>
      <c r="BG56" s="76">
        <f>资产资本表!BG19</f>
        <v>21912655.920000002</v>
      </c>
      <c r="BH56" s="76">
        <f>资产资本表!BH19</f>
        <v>21923525.120000001</v>
      </c>
      <c r="BI56" s="76">
        <f>资产资本表!BI19</f>
        <v>21958922.329999998</v>
      </c>
      <c r="BJ56" s="76">
        <f>资产资本表!BJ19</f>
        <v>418858.82</v>
      </c>
      <c r="BK56" s="76">
        <f>资产资本表!BK19</f>
        <v>418858.82</v>
      </c>
      <c r="BL56" s="76">
        <f>资产资本表!BL19</f>
        <v>468493.93</v>
      </c>
      <c r="BM56" s="76">
        <f>资产资本表!BM19</f>
        <v>468493.93</v>
      </c>
      <c r="BN56" s="76">
        <f>资产资本表!BN19</f>
        <v>518129.04</v>
      </c>
      <c r="BO56" s="76">
        <f>资产资本表!BO19</f>
        <v>518129.04</v>
      </c>
      <c r="BP56" s="76">
        <f>资产资本表!BP19</f>
        <v>567764.15</v>
      </c>
      <c r="BQ56" s="76">
        <f>资产资本表!BQ19</f>
        <v>567764.15</v>
      </c>
      <c r="BR56" s="76">
        <f>资产资本表!BR19</f>
        <v>1538688.4</v>
      </c>
      <c r="BS56" s="76">
        <f>资产资本表!BS19</f>
        <v>37201034.369999997</v>
      </c>
      <c r="BT56" s="76">
        <f>资产资本表!BT19</f>
        <v>28320562.699999999</v>
      </c>
      <c r="BU56" s="76">
        <f>资产资本表!BU19</f>
        <v>22912443.02</v>
      </c>
      <c r="BV56" s="76">
        <f>资产资本表!BV19</f>
        <v>22460635.140000001</v>
      </c>
      <c r="BW56" s="76">
        <f>资产资本表!BW19</f>
        <v>21867618.27</v>
      </c>
      <c r="BX56" s="76">
        <f>资产资本表!BX19</f>
        <v>10386134.18</v>
      </c>
      <c r="BY56" s="76">
        <f>资产资本表!BY19</f>
        <v>10451921.84</v>
      </c>
      <c r="BZ56" s="76">
        <f>资产资本表!BZ19</f>
        <v>8624172.8399999999</v>
      </c>
      <c r="CA56" s="76">
        <f>资产资本表!CA19</f>
        <v>8826522.8399999999</v>
      </c>
      <c r="CB56" s="76">
        <f>资产资本表!CB19</f>
        <v>371522.84</v>
      </c>
      <c r="CC56" s="76">
        <f>资产资本表!CC19</f>
        <v>381522.84</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6.1248354127079354</v>
      </c>
      <c r="F57" s="117">
        <f t="shared" ref="F57:BQ57" si="24">F49/F56</f>
        <v>2.2536680721846447</v>
      </c>
      <c r="G57" s="117">
        <f t="shared" si="24"/>
        <v>1.9764548908828996</v>
      </c>
      <c r="H57" s="117">
        <f t="shared" si="24"/>
        <v>1.3912590536064309</v>
      </c>
      <c r="I57" s="117">
        <f t="shared" si="24"/>
        <v>14.79132766763386</v>
      </c>
      <c r="J57" s="117">
        <f t="shared" si="24"/>
        <v>10.046984645583301</v>
      </c>
      <c r="K57" s="117">
        <f t="shared" si="24"/>
        <v>8.7713669244643686</v>
      </c>
      <c r="L57" s="117">
        <f t="shared" si="24"/>
        <v>7.9190691558368691</v>
      </c>
      <c r="M57" s="117">
        <f t="shared" si="24"/>
        <v>1.4059330303046376</v>
      </c>
      <c r="N57" s="117">
        <f t="shared" si="24"/>
        <v>0.98870286802467555</v>
      </c>
      <c r="O57" s="117">
        <f t="shared" si="24"/>
        <v>0.54172326169833429</v>
      </c>
      <c r="P57" s="117">
        <f t="shared" si="24"/>
        <v>0.35962856668147847</v>
      </c>
      <c r="Q57" s="117">
        <f t="shared" si="24"/>
        <v>3.1597215860905021</v>
      </c>
      <c r="R57" s="117">
        <f t="shared" si="24"/>
        <v>2.2269258761535071</v>
      </c>
      <c r="S57" s="117">
        <f t="shared" si="24"/>
        <v>1.2317173194947275</v>
      </c>
      <c r="T57" s="117">
        <f t="shared" si="24"/>
        <v>0.54843535167633006</v>
      </c>
      <c r="U57" s="117">
        <f t="shared" si="24"/>
        <v>5.0560237874583294</v>
      </c>
      <c r="V57" s="117">
        <f t="shared" si="24"/>
        <v>0.58859585816810434</v>
      </c>
      <c r="W57" s="117">
        <f t="shared" si="24"/>
        <v>1.0178582697268324</v>
      </c>
      <c r="X57" s="117">
        <f t="shared" si="24"/>
        <v>0.64384443293705329</v>
      </c>
      <c r="Y57" s="117">
        <f t="shared" si="24"/>
        <v>8.6481758932013406</v>
      </c>
      <c r="Z57" s="117">
        <f t="shared" si="24"/>
        <v>1.6323216366122903</v>
      </c>
      <c r="AA57" s="117">
        <f t="shared" si="24"/>
        <v>0.4277764923880466</v>
      </c>
      <c r="AB57" s="117">
        <f t="shared" si="24"/>
        <v>0.19849444377457565</v>
      </c>
      <c r="AC57" s="117">
        <f t="shared" si="24"/>
        <v>4.6888555719683271</v>
      </c>
      <c r="AD57" s="117">
        <f t="shared" si="24"/>
        <v>5.1630629353311884E-2</v>
      </c>
      <c r="AE57" s="117">
        <f t="shared" si="24"/>
        <v>1.5978637207555785E-2</v>
      </c>
      <c r="AF57" s="117">
        <f t="shared" si="24"/>
        <v>1.0100354360375721E-2</v>
      </c>
      <c r="AG57" s="117">
        <f t="shared" si="24"/>
        <v>4.3791224242526787E-2</v>
      </c>
      <c r="AH57" s="117">
        <f t="shared" si="24"/>
        <v>4.9893974759520801E-2</v>
      </c>
      <c r="AI57" s="117">
        <f t="shared" si="24"/>
        <v>3.6511154745813297E-2</v>
      </c>
      <c r="AJ57" s="117">
        <f t="shared" si="24"/>
        <v>2.6262377529240751E-3</v>
      </c>
      <c r="AK57" s="117">
        <f t="shared" si="24"/>
        <v>5.1504619965382796E-2</v>
      </c>
      <c r="AL57" s="117">
        <f t="shared" si="24"/>
        <v>2.2918326077516354E-2</v>
      </c>
      <c r="AM57" s="117">
        <f t="shared" si="24"/>
        <v>1.5440286419751217E-2</v>
      </c>
      <c r="AN57" s="117">
        <f t="shared" si="24"/>
        <v>6.8663502762218772E-3</v>
      </c>
      <c r="AO57" s="117">
        <f t="shared" si="24"/>
        <v>0.64054337907721004</v>
      </c>
      <c r="AP57" s="117">
        <f t="shared" si="24"/>
        <v>0.85449756777305996</v>
      </c>
      <c r="AQ57" s="117">
        <f t="shared" si="24"/>
        <v>0.82582316358398955</v>
      </c>
      <c r="AR57" s="117">
        <f t="shared" si="24"/>
        <v>0.42859141492056219</v>
      </c>
      <c r="AS57" s="117">
        <f t="shared" si="24"/>
        <v>5.9248335307133857</v>
      </c>
      <c r="AT57" s="117">
        <f t="shared" si="24"/>
        <v>4.1572854490138598</v>
      </c>
      <c r="AU57" s="117">
        <f t="shared" si="24"/>
        <v>2.9721456111416726</v>
      </c>
      <c r="AV57" s="117">
        <f t="shared" si="24"/>
        <v>1.2353948938410153</v>
      </c>
      <c r="AW57" s="117">
        <f t="shared" si="24"/>
        <v>4.7538042681627646</v>
      </c>
      <c r="AX57" s="117">
        <f t="shared" si="24"/>
        <v>4.0580820065499887</v>
      </c>
      <c r="AY57" s="117">
        <f t="shared" si="24"/>
        <v>2.9469444070298283</v>
      </c>
      <c r="AZ57" s="117" t="e">
        <f t="shared" si="24"/>
        <v>#DIV/0!</v>
      </c>
      <c r="BA57" s="117">
        <f t="shared" si="24"/>
        <v>9.2477721363697292</v>
      </c>
      <c r="BB57" s="117">
        <f t="shared" si="24"/>
        <v>9.4825704681102057</v>
      </c>
      <c r="BC57" s="117">
        <f t="shared" si="24"/>
        <v>8.2083260503696884</v>
      </c>
      <c r="BD57" s="117">
        <f t="shared" si="24"/>
        <v>4.6384207494533767</v>
      </c>
      <c r="BE57" s="117">
        <f t="shared" si="24"/>
        <v>36.424473038019443</v>
      </c>
      <c r="BF57" s="117">
        <f t="shared" si="24"/>
        <v>27.833987792564468</v>
      </c>
      <c r="BG57" s="117">
        <f t="shared" si="24"/>
        <v>17.661290739602869</v>
      </c>
      <c r="BH57" s="117">
        <f t="shared" si="24"/>
        <v>7.7539914999764417</v>
      </c>
      <c r="BI57" s="117">
        <f t="shared" si="24"/>
        <v>39.467914057237799</v>
      </c>
      <c r="BJ57" s="117">
        <f t="shared" si="24"/>
        <v>1344.8772856448384</v>
      </c>
      <c r="BK57" s="117">
        <f t="shared" si="24"/>
        <v>746.85951254410736</v>
      </c>
      <c r="BL57" s="117">
        <f t="shared" si="24"/>
        <v>277.10967363013651</v>
      </c>
      <c r="BM57" s="117">
        <f t="shared" si="24"/>
        <v>2126.2692416313698</v>
      </c>
      <c r="BN57" s="117">
        <f t="shared" si="24"/>
        <v>1297.5293985837968</v>
      </c>
      <c r="BO57" s="117">
        <f t="shared" si="24"/>
        <v>819.91723444028537</v>
      </c>
      <c r="BP57" s="117">
        <f t="shared" si="24"/>
        <v>365.49820502051773</v>
      </c>
      <c r="BQ57" s="117">
        <f t="shared" si="24"/>
        <v>1341.8001767635383</v>
      </c>
      <c r="BR57" s="117">
        <f t="shared" ref="BR57:CK57" si="25">BR49/BR56</f>
        <v>149.31560441347318</v>
      </c>
      <c r="BS57" s="117">
        <f t="shared" si="25"/>
        <v>5.3372181532703982</v>
      </c>
      <c r="BT57" s="117">
        <f t="shared" si="25"/>
        <v>3.6641583081963272</v>
      </c>
      <c r="BU57" s="117">
        <f t="shared" si="25"/>
        <v>4.4285125113646657</v>
      </c>
      <c r="BV57" s="117">
        <f t="shared" si="25"/>
        <v>1.7675447186842108</v>
      </c>
      <c r="BW57" s="117">
        <f t="shared" si="25"/>
        <v>3.2919271066094025</v>
      </c>
      <c r="BX57" s="117">
        <f t="shared" si="25"/>
        <v>2.9191418543756962</v>
      </c>
      <c r="BY57" s="117">
        <f t="shared" si="25"/>
        <v>5.9247105745674045</v>
      </c>
      <c r="BZ57" s="117">
        <f t="shared" si="25"/>
        <v>3.6060234699563374</v>
      </c>
      <c r="CA57" s="117">
        <f t="shared" si="25"/>
        <v>8.0539931090236649</v>
      </c>
      <c r="CB57" s="117">
        <f t="shared" si="25"/>
        <v>240.11212871865428</v>
      </c>
      <c r="CC57" s="117">
        <f t="shared" si="25"/>
        <v>188.66809630584632</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36707</v>
      </c>
      <c r="BU61" s="1">
        <v>36525</v>
      </c>
      <c r="BV61" s="1">
        <v>36341</v>
      </c>
      <c r="BW61" s="1">
        <v>36160</v>
      </c>
      <c r="BX61" s="1">
        <v>35976</v>
      </c>
      <c r="BY61" s="1">
        <v>35795</v>
      </c>
      <c r="BZ61" s="1">
        <v>35611</v>
      </c>
      <c r="CA61" s="1">
        <v>35430</v>
      </c>
      <c r="CB61" s="1">
        <v>35064</v>
      </c>
      <c r="CC61" s="1">
        <v>34699</v>
      </c>
      <c r="CD61" s="1">
        <v>25569</v>
      </c>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2473918205.1599998</v>
      </c>
      <c r="F63" s="76">
        <f t="shared" ref="F63:BQ63" si="26">F49</f>
        <v>1008208630.3099999</v>
      </c>
      <c r="G63" s="76">
        <f t="shared" si="26"/>
        <v>878288856.76999998</v>
      </c>
      <c r="H63" s="76">
        <f t="shared" si="26"/>
        <v>630272076.14999998</v>
      </c>
      <c r="I63" s="76">
        <f t="shared" si="26"/>
        <v>6704848495.9899998</v>
      </c>
      <c r="J63" s="76">
        <f t="shared" si="26"/>
        <v>4576608658.5100002</v>
      </c>
      <c r="K63" s="76">
        <f t="shared" si="26"/>
        <v>3995822264.8899999</v>
      </c>
      <c r="L63" s="76">
        <f t="shared" si="26"/>
        <v>2925433262.5500002</v>
      </c>
      <c r="M63" s="76">
        <f t="shared" si="26"/>
        <v>519502880.88</v>
      </c>
      <c r="N63" s="76">
        <f t="shared" si="26"/>
        <v>367419981.04000002</v>
      </c>
      <c r="O63" s="76">
        <f t="shared" si="26"/>
        <v>217567191.96000001</v>
      </c>
      <c r="P63" s="76">
        <f t="shared" si="26"/>
        <v>144601402.62</v>
      </c>
      <c r="Q63" s="76">
        <f t="shared" si="26"/>
        <v>1270810233.05</v>
      </c>
      <c r="R63" s="76">
        <f t="shared" si="26"/>
        <v>893502435.89999998</v>
      </c>
      <c r="S63" s="76">
        <f t="shared" si="26"/>
        <v>679685555.03999996</v>
      </c>
      <c r="T63" s="76">
        <f t="shared" si="26"/>
        <v>301403886.20999998</v>
      </c>
      <c r="U63" s="76">
        <f t="shared" si="26"/>
        <v>2776957460.2800002</v>
      </c>
      <c r="V63" s="76">
        <f t="shared" si="26"/>
        <v>326513513.94</v>
      </c>
      <c r="W63" s="76">
        <f t="shared" si="26"/>
        <v>251933246.53999999</v>
      </c>
      <c r="X63" s="76">
        <f t="shared" si="26"/>
        <v>159552882.02000001</v>
      </c>
      <c r="Y63" s="76">
        <f t="shared" si="26"/>
        <v>1886509459.79</v>
      </c>
      <c r="Z63" s="76">
        <f t="shared" si="26"/>
        <v>362275701.70999998</v>
      </c>
      <c r="AA63" s="76">
        <f t="shared" si="26"/>
        <v>92328849.569999993</v>
      </c>
      <c r="AB63" s="76">
        <f t="shared" si="26"/>
        <v>38430091.479999997</v>
      </c>
      <c r="AC63" s="76">
        <f t="shared" si="26"/>
        <v>911117929.50999999</v>
      </c>
      <c r="AD63" s="76">
        <f t="shared" si="26"/>
        <v>2325028.98</v>
      </c>
      <c r="AE63" s="76">
        <f t="shared" si="26"/>
        <v>719549.52</v>
      </c>
      <c r="AF63" s="76">
        <f t="shared" si="26"/>
        <v>454838.86</v>
      </c>
      <c r="AG63" s="76">
        <f t="shared" si="26"/>
        <v>1972005.12</v>
      </c>
      <c r="AH63" s="76">
        <f t="shared" si="26"/>
        <v>2247045.88</v>
      </c>
      <c r="AI63" s="76">
        <f t="shared" si="26"/>
        <v>1644331.61</v>
      </c>
      <c r="AJ63" s="76">
        <f t="shared" si="26"/>
        <v>118276.34</v>
      </c>
      <c r="AK63" s="76">
        <f t="shared" si="26"/>
        <v>2319583.5699999998</v>
      </c>
      <c r="AL63" s="76">
        <f t="shared" si="26"/>
        <v>1059567.43</v>
      </c>
      <c r="AM63" s="76">
        <f t="shared" si="26"/>
        <v>714108.94</v>
      </c>
      <c r="AN63" s="76">
        <f t="shared" si="26"/>
        <v>317568.12</v>
      </c>
      <c r="AO63" s="76">
        <f t="shared" si="26"/>
        <v>29625077.149999999</v>
      </c>
      <c r="AP63" s="76">
        <f t="shared" si="26"/>
        <v>39690074.759999998</v>
      </c>
      <c r="AQ63" s="76">
        <f t="shared" si="26"/>
        <v>38358193.560000002</v>
      </c>
      <c r="AR63" s="76">
        <f t="shared" si="26"/>
        <v>19981743.039999999</v>
      </c>
      <c r="AS63" s="76">
        <f t="shared" si="26"/>
        <v>276226954.25999999</v>
      </c>
      <c r="AT63" s="76">
        <f t="shared" si="26"/>
        <v>212112113.97</v>
      </c>
      <c r="AU63" s="76">
        <f t="shared" si="26"/>
        <v>151644166.93000001</v>
      </c>
      <c r="AV63" s="76">
        <f t="shared" si="26"/>
        <v>63063671.619999997</v>
      </c>
      <c r="AW63" s="76">
        <f t="shared" si="26"/>
        <v>229176151.38999999</v>
      </c>
      <c r="AX63" s="76">
        <f t="shared" si="26"/>
        <v>126125572.09</v>
      </c>
      <c r="AY63" s="76">
        <f t="shared" si="26"/>
        <v>70840155.810000002</v>
      </c>
      <c r="AZ63" s="76">
        <f t="shared" si="26"/>
        <v>40009471.130000003</v>
      </c>
      <c r="BA63" s="76">
        <f t="shared" si="26"/>
        <v>221398699.53999999</v>
      </c>
      <c r="BB63" s="76">
        <f t="shared" si="26"/>
        <v>200305982.11000001</v>
      </c>
      <c r="BC63" s="76">
        <f t="shared" si="26"/>
        <v>173464164.24000001</v>
      </c>
      <c r="BD63" s="76">
        <f t="shared" si="26"/>
        <v>100452203.73</v>
      </c>
      <c r="BE63" s="76">
        <f t="shared" si="26"/>
        <v>801751161.67999995</v>
      </c>
      <c r="BF63" s="76">
        <f t="shared" si="26"/>
        <v>607574415.46000004</v>
      </c>
      <c r="BG63" s="76">
        <f t="shared" si="26"/>
        <v>387005787.07999998</v>
      </c>
      <c r="BH63" s="76">
        <f t="shared" si="26"/>
        <v>169994827.43000001</v>
      </c>
      <c r="BI63" s="76">
        <f t="shared" si="26"/>
        <v>866672859.30999994</v>
      </c>
      <c r="BJ63" s="76">
        <f t="shared" si="26"/>
        <v>563313712.90999997</v>
      </c>
      <c r="BK63" s="76">
        <f t="shared" si="26"/>
        <v>312828694.13</v>
      </c>
      <c r="BL63" s="76">
        <f t="shared" si="26"/>
        <v>129824200.04000001</v>
      </c>
      <c r="BM63" s="76">
        <f t="shared" si="26"/>
        <v>996144233.25</v>
      </c>
      <c r="BN63" s="76">
        <f t="shared" si="26"/>
        <v>672287661.65999997</v>
      </c>
      <c r="BO63" s="76">
        <f t="shared" si="26"/>
        <v>424822929.56</v>
      </c>
      <c r="BP63" s="76">
        <f t="shared" si="26"/>
        <v>207516777.69999999</v>
      </c>
      <c r="BQ63" s="76">
        <f t="shared" si="26"/>
        <v>761826036.83000004</v>
      </c>
      <c r="BR63" s="76">
        <f t="shared" ref="BR63:CJ63" si="27">BR49</f>
        <v>229750188.44999999</v>
      </c>
      <c r="BS63" s="76">
        <f t="shared" si="27"/>
        <v>198550035.96000001</v>
      </c>
      <c r="BT63" s="76">
        <f t="shared" si="27"/>
        <v>103771025.11</v>
      </c>
      <c r="BU63" s="76">
        <f t="shared" si="27"/>
        <v>101468040.58</v>
      </c>
      <c r="BV63" s="76">
        <f t="shared" si="27"/>
        <v>39700177.020000003</v>
      </c>
      <c r="BW63" s="76">
        <f t="shared" si="27"/>
        <v>71986605.340000004</v>
      </c>
      <c r="BX63" s="76">
        <f t="shared" si="27"/>
        <v>30318598.989999998</v>
      </c>
      <c r="BY63" s="76">
        <f t="shared" si="27"/>
        <v>61924611.850000001</v>
      </c>
      <c r="BZ63" s="76">
        <f t="shared" si="27"/>
        <v>31098969.670000002</v>
      </c>
      <c r="CA63" s="76">
        <f t="shared" si="27"/>
        <v>71088754.129999995</v>
      </c>
      <c r="CB63" s="76">
        <f t="shared" si="27"/>
        <v>89207139.980000004</v>
      </c>
      <c r="CC63" s="76">
        <f t="shared" si="27"/>
        <v>71981187.920000002</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18234279.810000002</v>
      </c>
      <c r="F64" s="76">
        <f>资产资本表!F22+资产资本表!F23-资产资本表!F37</f>
        <v>-914339842.71000004</v>
      </c>
      <c r="G64" s="76">
        <f>资产资本表!G22+资产资本表!G23-资产资本表!G37</f>
        <v>-674701022.84000003</v>
      </c>
      <c r="H64" s="76">
        <f>资产资本表!H22+资产资本表!H23-资产资本表!H37</f>
        <v>-517271373.19999999</v>
      </c>
      <c r="I64" s="76">
        <f>资产资本表!I22+资产资本表!I23-资产资本表!I37</f>
        <v>-1100271663.9300001</v>
      </c>
      <c r="J64" s="76">
        <f>资产资本表!J22+资产资本表!J23-资产资本表!J37</f>
        <v>-2376517141.5100002</v>
      </c>
      <c r="K64" s="76">
        <f>资产资本表!K22+资产资本表!K23-资产资本表!K37</f>
        <v>-2233186465.5499997</v>
      </c>
      <c r="L64" s="76">
        <f>资产资本表!L22+资产资本表!L23-资产资本表!L37</f>
        <v>-2731112003.0099998</v>
      </c>
      <c r="M64" s="76">
        <f>资产资本表!M22+资产资本表!M23-资产资本表!M37</f>
        <v>-4425596482.1599998</v>
      </c>
      <c r="N64" s="76">
        <f>资产资本表!N22+资产资本表!N23-资产资本表!N37</f>
        <v>-3401420668.96</v>
      </c>
      <c r="O64" s="76">
        <f>资产资本表!O22+资产资本表!O23-资产资本表!O37</f>
        <v>-2547670925.3400002</v>
      </c>
      <c r="P64" s="76">
        <f>资产资本表!P22+资产资本表!P23-资产资本表!P37</f>
        <v>-1902343204.9199998</v>
      </c>
      <c r="Q64" s="76">
        <f>资产资本表!Q22+资产资本表!Q23-资产资本表!Q37</f>
        <v>-1643415068.0899999</v>
      </c>
      <c r="R64" s="76">
        <f>资产资本表!R22+资产资本表!R23-资产资本表!R37</f>
        <v>-1697949878.49</v>
      </c>
      <c r="S64" s="76">
        <f>资产资本表!S22+资产资本表!S23-资产资本表!S37</f>
        <v>-1572992148.0500002</v>
      </c>
      <c r="T64" s="76">
        <f>资产资本表!T22+资产资本表!T23-资产资本表!T37</f>
        <v>-1353820594.5200002</v>
      </c>
      <c r="U64" s="76">
        <f>资产资本表!U22+资产资本表!U23-资产资本表!U37</f>
        <v>-1112125822.75</v>
      </c>
      <c r="V64" s="76">
        <f>资产资本表!V22+资产资本表!V23-资产资本表!V37</f>
        <v>-2689710870.3999996</v>
      </c>
      <c r="W64" s="76">
        <f>资产资本表!W22+资产资本表!W23-资产资本表!W37</f>
        <v>-2284759700.25</v>
      </c>
      <c r="X64" s="76">
        <f>资产资本表!X22+资产资本表!X23-资产资本表!X37</f>
        <v>-1706068838.6400001</v>
      </c>
      <c r="Y64" s="76">
        <f>资产资本表!Y22+资产资本表!Y23-资产资本表!Y37</f>
        <v>-1286808979.8</v>
      </c>
      <c r="Z64" s="76">
        <f>资产资本表!Z22+资产资本表!Z23-资产资本表!Z37</f>
        <v>-2209148997.52</v>
      </c>
      <c r="AA64" s="76">
        <f>资产资本表!AA22+资产资本表!AA23-资产资本表!AA37</f>
        <v>-2043383269.3199999</v>
      </c>
      <c r="AB64" s="76">
        <f>资产资本表!AB22+资产资本表!AB23-资产资本表!AB37</f>
        <v>-1707391500.1100001</v>
      </c>
      <c r="AC64" s="76">
        <f>资产资本表!AC22+资产资本表!AC23-资产资本表!AC37</f>
        <v>-1630387326.72</v>
      </c>
      <c r="AD64" s="76">
        <f>资产资本表!AD22+资产资本表!AD23-资产资本表!AD37</f>
        <v>42062559.75</v>
      </c>
      <c r="AE64" s="76">
        <f>资产资本表!AE22+资产资本表!AE23-资产资本表!AE37</f>
        <v>40311303.75</v>
      </c>
      <c r="AF64" s="76">
        <f>资产资本表!AF22+资产资本表!AF23-资产资本表!AF37</f>
        <v>40456273.379999995</v>
      </c>
      <c r="AG64" s="76">
        <f>资产资本表!AG22+资产资本表!AG23-资产资本表!AG37</f>
        <v>40068223.379999995</v>
      </c>
      <c r="AH64" s="76">
        <f>资产资本表!AH22+资产资本表!AH23-资产资本表!AH37</f>
        <v>40444278.359999999</v>
      </c>
      <c r="AI64" s="76">
        <f>资产资本表!AI22+资产资本表!AI23-资产资本表!AI37</f>
        <v>39839061.359999999</v>
      </c>
      <c r="AJ64" s="76">
        <f>资产资本表!AJ22+资产资本表!AJ23-资产资本表!AJ37</f>
        <v>39121215.009999998</v>
      </c>
      <c r="AK64" s="76">
        <f>资产资本表!AK22+资产资本表!AK23-资产资本表!AK37</f>
        <v>39017215.009999998</v>
      </c>
      <c r="AL64" s="76">
        <f>资产资本表!AL22+资产资本表!AL23-资产资本表!AL37</f>
        <v>42096396.590000004</v>
      </c>
      <c r="AM64" s="76">
        <f>资产资本表!AM22+资产资本表!AM23-资产资本表!AM37</f>
        <v>42515956.789999999</v>
      </c>
      <c r="AN64" s="76">
        <f>资产资本表!AN22+资产资本表!AN23-资产资本表!AN37</f>
        <v>42311872.370000005</v>
      </c>
      <c r="AO64" s="76">
        <f>资产资本表!AO22+资产资本表!AO23-资产资本表!AO37</f>
        <v>42578354.079999998</v>
      </c>
      <c r="AP64" s="76">
        <f>资产资本表!AP22+资产资本表!AP23-资产资本表!AP37</f>
        <v>44434456.329999998</v>
      </c>
      <c r="AQ64" s="76">
        <f>资产资本表!AQ22+资产资本表!AQ23-资产资本表!AQ37</f>
        <v>41954292.819999993</v>
      </c>
      <c r="AR64" s="76">
        <f>资产资本表!AR22+资产资本表!AR23-资产资本表!AR37</f>
        <v>59834161.939999998</v>
      </c>
      <c r="AS64" s="76">
        <f>资产资本表!AS22+资产资本表!AS23-资产资本表!AS37</f>
        <v>63155954.670000002</v>
      </c>
      <c r="AT64" s="76">
        <f>资产资本表!AT22+资产资本表!AT23-资产资本表!AT37</f>
        <v>58016358.639999993</v>
      </c>
      <c r="AU64" s="76">
        <f>资产资本表!AU22+资产资本表!AU23-资产资本表!AU37</f>
        <v>57632473.420000002</v>
      </c>
      <c r="AV64" s="76">
        <f>资产资本表!AV22+资产资本表!AV23-资产资本表!AV37</f>
        <v>52353008.670000002</v>
      </c>
      <c r="AW64" s="76">
        <f>资产资本表!AW22+资产资本表!AW23-资产资本表!AW37</f>
        <v>60973634.519999996</v>
      </c>
      <c r="AX64" s="76">
        <f>资产资本表!AX22+资产资本表!AX23-资产资本表!AX37</f>
        <v>298010846.22000003</v>
      </c>
      <c r="AY64" s="76">
        <f>资产资本表!AY22+资产资本表!AY23-资产资本表!AY37</f>
        <v>318636376.09999996</v>
      </c>
      <c r="AZ64" s="76">
        <f>资产资本表!AZ22+资产资本表!AZ23-资产资本表!AZ37</f>
        <v>0</v>
      </c>
      <c r="BA64" s="76">
        <f>资产资本表!BA22+资产资本表!BA23-资产资本表!BA37</f>
        <v>330152818.38999999</v>
      </c>
      <c r="BB64" s="76">
        <f>资产资本表!BB22+资产资本表!BB23-资产资本表!BB37</f>
        <v>383181304.33999997</v>
      </c>
      <c r="BC64" s="76">
        <f>资产资本表!BC22+资产资本表!BC23-资产资本表!BC37</f>
        <v>375365184.85000002</v>
      </c>
      <c r="BD64" s="76">
        <f>资产资本表!BD22+资产资本表!BD23-资产资本表!BD37</f>
        <v>336285763.26999998</v>
      </c>
      <c r="BE64" s="76">
        <f>资产资本表!BE22+资产资本表!BE23-资产资本表!BE37</f>
        <v>298830060.08999997</v>
      </c>
      <c r="BF64" s="76">
        <f>资产资本表!BF22+资产资本表!BF23-资产资本表!BF37</f>
        <v>222851616.31999999</v>
      </c>
      <c r="BG64" s="76">
        <f>资产资本表!BG22+资产资本表!BG23-资产资本表!BG37</f>
        <v>66218621.670000002</v>
      </c>
      <c r="BH64" s="76">
        <f>资产资本表!BH22+资产资本表!BH23-资产资本表!BH37</f>
        <v>213020686.78</v>
      </c>
      <c r="BI64" s="76">
        <f>资产资本表!BI22+资产资本表!BI23-资产资本表!BI37</f>
        <v>223554335.00999999</v>
      </c>
      <c r="BJ64" s="76">
        <f>资产资本表!BJ22+资产资本表!BJ23-资产资本表!BJ37</f>
        <v>256707801.29999998</v>
      </c>
      <c r="BK64" s="76">
        <f>资产资本表!BK22+资产资本表!BK23-资产资本表!BK37</f>
        <v>193560246.92999998</v>
      </c>
      <c r="BL64" s="76">
        <f>资产资本表!BL22+资产资本表!BL23-资产资本表!BL37</f>
        <v>163598454.49000001</v>
      </c>
      <c r="BM64" s="76">
        <f>资产资本表!BM22+资产资本表!BM23-资产资本表!BM37</f>
        <v>209685875.55999997</v>
      </c>
      <c r="BN64" s="76">
        <f>资产资本表!BN22+资产资本表!BN23-资产资本表!BN37</f>
        <v>187624486.03</v>
      </c>
      <c r="BO64" s="76">
        <f>资产资本表!BO22+资产资本表!BO23-资产资本表!BO37</f>
        <v>148385157.32999998</v>
      </c>
      <c r="BP64" s="76">
        <f>资产资本表!BP22+资产资本表!BP23-资产资本表!BP37</f>
        <v>130594603.34</v>
      </c>
      <c r="BQ64" s="76">
        <f>资产资本表!BQ22+资产资本表!BQ23-资产资本表!BQ37</f>
        <v>151404925.37</v>
      </c>
      <c r="BR64" s="76">
        <f>资产资本表!BR22+资产资本表!BR23-资产资本表!BR37</f>
        <v>119469257.96000001</v>
      </c>
      <c r="BS64" s="76">
        <f>资产资本表!BS22+资产资本表!BS23-资产资本表!BS37</f>
        <v>93846480.980000004</v>
      </c>
      <c r="BT64" s="76">
        <f>资产资本表!BT22+资产资本表!BT23-资产资本表!BT37</f>
        <v>28451655.989999998</v>
      </c>
      <c r="BU64" s="76">
        <f>资产资本表!BU22+资产资本表!BU23-资产资本表!BU37</f>
        <v>20867247.5</v>
      </c>
      <c r="BV64" s="76">
        <f>资产资本表!BV22+资产资本表!BV23-资产资本表!BV37</f>
        <v>25975344.09</v>
      </c>
      <c r="BW64" s="76">
        <f>资产资本表!BW22+资产资本表!BW23-资产资本表!BW37</f>
        <v>15527141.09</v>
      </c>
      <c r="BX64" s="76">
        <f>资产资本表!BX22+资产资本表!BX23-资产资本表!BX37</f>
        <v>14800286.48</v>
      </c>
      <c r="BY64" s="76">
        <f>资产资本表!BY22+资产资本表!BY23-资产资本表!BY37</f>
        <v>8653451.5500000007</v>
      </c>
      <c r="BZ64" s="76">
        <f>资产资本表!BZ22+资产资本表!BZ23-资产资本表!BZ37</f>
        <v>11434392.899999999</v>
      </c>
      <c r="CA64" s="76">
        <f>资产资本表!CA22+资产资本表!CA23-资产资本表!CA37</f>
        <v>2601375.34</v>
      </c>
      <c r="CB64" s="76">
        <f>资产资本表!CB22+资产资本表!CB23-资产资本表!CB37</f>
        <v>2242519.4300000006</v>
      </c>
      <c r="CC64" s="76">
        <f>资产资本表!CC22+资产资本表!CC23-资产资本表!CC37</f>
        <v>1608575.9799999995</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-4.5727037558355512</v>
      </c>
      <c r="F65" s="155">
        <f t="shared" ref="F65:BQ65" si="28">F63/(F64+J64)*2</f>
        <v>-0.61273317870965804</v>
      </c>
      <c r="G65" s="155">
        <f t="shared" si="28"/>
        <v>-0.60407347964915881</v>
      </c>
      <c r="H65" s="155">
        <f t="shared" si="28"/>
        <v>-0.38805276542534217</v>
      </c>
      <c r="I65" s="155">
        <f t="shared" si="28"/>
        <v>-2.4267131674990194</v>
      </c>
      <c r="J65" s="155">
        <f t="shared" si="28"/>
        <v>-1.5841668112858145</v>
      </c>
      <c r="K65" s="155">
        <f t="shared" si="28"/>
        <v>-1.6715923267253707</v>
      </c>
      <c r="L65" s="155">
        <f t="shared" si="28"/>
        <v>-1.2627437328165909</v>
      </c>
      <c r="M65" s="155">
        <f t="shared" si="28"/>
        <v>-0.17119851447921539</v>
      </c>
      <c r="N65" s="155">
        <f t="shared" si="28"/>
        <v>-0.14410405269479101</v>
      </c>
      <c r="O65" s="155">
        <f t="shared" si="28"/>
        <v>-0.10559814674729576</v>
      </c>
      <c r="P65" s="155">
        <f t="shared" si="28"/>
        <v>-8.8817032266539406E-2</v>
      </c>
      <c r="Q65" s="155">
        <f t="shared" si="28"/>
        <v>-0.92236717464396301</v>
      </c>
      <c r="R65" s="155">
        <f t="shared" si="28"/>
        <v>-0.40727963579501458</v>
      </c>
      <c r="S65" s="155">
        <f t="shared" si="28"/>
        <v>-0.3523739119401979</v>
      </c>
      <c r="T65" s="155">
        <f t="shared" si="28"/>
        <v>-0.19700312236363066</v>
      </c>
      <c r="U65" s="155">
        <f t="shared" si="28"/>
        <v>-2.3151587590693774</v>
      </c>
      <c r="V65" s="155">
        <f t="shared" si="28"/>
        <v>-0.13330183869032936</v>
      </c>
      <c r="W65" s="155">
        <f t="shared" si="28"/>
        <v>-0.11641632372649165</v>
      </c>
      <c r="X65" s="155">
        <f t="shared" si="28"/>
        <v>-9.3484538378101001E-2</v>
      </c>
      <c r="Y65" s="155">
        <f t="shared" si="28"/>
        <v>-1.2933716223166802</v>
      </c>
      <c r="Z65" s="155">
        <f t="shared" si="28"/>
        <v>-0.33434356414762401</v>
      </c>
      <c r="AA65" s="155">
        <f t="shared" si="28"/>
        <v>-9.2187251538640186E-2</v>
      </c>
      <c r="AB65" s="155">
        <f t="shared" si="28"/>
        <v>-4.6108680005986419E-2</v>
      </c>
      <c r="AC65" s="155">
        <f t="shared" si="28"/>
        <v>-1.1458303275065529</v>
      </c>
      <c r="AD65" s="155">
        <f t="shared" si="28"/>
        <v>5.6359667471445656E-2</v>
      </c>
      <c r="AE65" s="155">
        <f t="shared" si="28"/>
        <v>1.7954990448576885E-2</v>
      </c>
      <c r="AF65" s="155">
        <f t="shared" si="28"/>
        <v>1.1431344949488423E-2</v>
      </c>
      <c r="AG65" s="155">
        <f t="shared" si="28"/>
        <v>4.9870245651931586E-2</v>
      </c>
      <c r="AH65" s="155">
        <f t="shared" si="28"/>
        <v>5.4446995529444715E-2</v>
      </c>
      <c r="AI65" s="155">
        <f t="shared" si="28"/>
        <v>3.9932760551519592E-2</v>
      </c>
      <c r="AJ65" s="155">
        <f t="shared" si="28"/>
        <v>2.9048718108420565E-3</v>
      </c>
      <c r="AK65" s="155">
        <f t="shared" si="28"/>
        <v>5.6855625761773818E-2</v>
      </c>
      <c r="AL65" s="155">
        <f t="shared" si="28"/>
        <v>2.4489933803832888E-2</v>
      </c>
      <c r="AM65" s="155">
        <f t="shared" si="28"/>
        <v>1.6907939618908394E-2</v>
      </c>
      <c r="AN65" s="155">
        <f t="shared" si="28"/>
        <v>6.2179236256245021E-3</v>
      </c>
      <c r="AO65" s="155">
        <f t="shared" si="28"/>
        <v>0.56036829483693951</v>
      </c>
      <c r="AP65" s="155">
        <f t="shared" si="28"/>
        <v>0.7748122798558934</v>
      </c>
      <c r="AQ65" s="155">
        <f t="shared" si="28"/>
        <v>0.77034720592409522</v>
      </c>
      <c r="AR65" s="155">
        <f t="shared" si="28"/>
        <v>0.35622153462561595</v>
      </c>
      <c r="AS65" s="155">
        <f t="shared" si="28"/>
        <v>4.4506222257320269</v>
      </c>
      <c r="AT65" s="155">
        <f t="shared" si="28"/>
        <v>1.191550033674581</v>
      </c>
      <c r="AU65" s="155">
        <f t="shared" si="28"/>
        <v>0.80604156907195479</v>
      </c>
      <c r="AV65" s="155">
        <f t="shared" si="28"/>
        <v>2.4091708660915052</v>
      </c>
      <c r="AW65" s="155">
        <f t="shared" si="28"/>
        <v>1.1718775331349653</v>
      </c>
      <c r="AX65" s="155">
        <f t="shared" si="28"/>
        <v>0.37030835421786251</v>
      </c>
      <c r="AY65" s="155">
        <f t="shared" si="28"/>
        <v>0.20414984575259115</v>
      </c>
      <c r="AZ65" s="155">
        <f t="shared" si="28"/>
        <v>0.23794924138894846</v>
      </c>
      <c r="BA65" s="155">
        <f t="shared" si="28"/>
        <v>0.70398959054348853</v>
      </c>
      <c r="BB65" s="155">
        <f t="shared" si="28"/>
        <v>0.66103993786956938</v>
      </c>
      <c r="BC65" s="155">
        <f t="shared" si="28"/>
        <v>0.785645495504118</v>
      </c>
      <c r="BD65" s="155">
        <f t="shared" si="28"/>
        <v>0.36574194139120875</v>
      </c>
      <c r="BE65" s="155">
        <f t="shared" si="28"/>
        <v>3.0695831238470315</v>
      </c>
      <c r="BF65" s="155">
        <f t="shared" si="28"/>
        <v>2.5338858674711227</v>
      </c>
      <c r="BG65" s="155">
        <f t="shared" si="28"/>
        <v>2.9795016751412553</v>
      </c>
      <c r="BH65" s="155">
        <f t="shared" si="28"/>
        <v>0.90274130442100886</v>
      </c>
      <c r="BI65" s="155">
        <f t="shared" si="28"/>
        <v>4.0008883670781481</v>
      </c>
      <c r="BJ65" s="155">
        <f t="shared" si="28"/>
        <v>2.5355515634254773</v>
      </c>
      <c r="BK65" s="155">
        <f t="shared" si="28"/>
        <v>1.8296996551656477</v>
      </c>
      <c r="BL65" s="155">
        <f t="shared" si="28"/>
        <v>0.88257827018487389</v>
      </c>
      <c r="BM65" s="155">
        <f t="shared" si="28"/>
        <v>5.5174168418824365</v>
      </c>
      <c r="BN65" s="155">
        <f t="shared" si="28"/>
        <v>4.3783872176952707</v>
      </c>
      <c r="BO65" s="155">
        <f t="shared" si="28"/>
        <v>3.5075759097688612</v>
      </c>
      <c r="BP65" s="155">
        <f t="shared" si="28"/>
        <v>2.6095147232533153</v>
      </c>
      <c r="BQ65" s="155">
        <f t="shared" si="28"/>
        <v>8.8444468324537713</v>
      </c>
      <c r="BR65" s="155">
        <f t="shared" ref="BR65:CK65" si="29">BR63/(BR64+BV64)*2</f>
        <v>3.1592810625040308</v>
      </c>
      <c r="BS65" s="155">
        <f t="shared" si="29"/>
        <v>3.6306749690144917</v>
      </c>
      <c r="BT65" s="155">
        <f t="shared" si="29"/>
        <v>4.7984446100647</v>
      </c>
      <c r="BU65" s="155">
        <f t="shared" si="29"/>
        <v>6.8743657057809404</v>
      </c>
      <c r="BV65" s="155">
        <f t="shared" si="29"/>
        <v>2.1224515441320673</v>
      </c>
      <c r="BW65" s="155">
        <f t="shared" si="29"/>
        <v>7.9418087649878366</v>
      </c>
      <c r="BX65" s="155">
        <f t="shared" si="29"/>
        <v>3.557935136984729</v>
      </c>
      <c r="BY65" s="155">
        <f t="shared" si="29"/>
        <v>12.068689480508535</v>
      </c>
      <c r="BZ65" s="155">
        <f t="shared" si="29"/>
        <v>5.4395489016299248</v>
      </c>
      <c r="CA65" s="155">
        <f t="shared" si="29"/>
        <v>54.654745923746631</v>
      </c>
      <c r="CB65" s="155">
        <f t="shared" si="29"/>
        <v>79.559747654003587</v>
      </c>
      <c r="CC65" s="155">
        <f t="shared" si="29"/>
        <v>89.496783260433901</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-79.82148406928782</v>
      </c>
      <c r="F66" s="83">
        <f t="shared" ref="F66:BQ66" si="30">F62/F65</f>
        <v>-595.69158759877484</v>
      </c>
      <c r="G66" s="83">
        <f t="shared" si="30"/>
        <v>-604.23112799454327</v>
      </c>
      <c r="H66" s="83">
        <f t="shared" si="30"/>
        <v>-940.59373497809202</v>
      </c>
      <c r="I66" s="83">
        <f t="shared" si="30"/>
        <v>-150.40920570607466</v>
      </c>
      <c r="J66" s="83">
        <f t="shared" si="30"/>
        <v>-230.40502893993965</v>
      </c>
      <c r="K66" s="83">
        <f t="shared" si="30"/>
        <v>-218.35467545787949</v>
      </c>
      <c r="L66" s="83">
        <f t="shared" si="30"/>
        <v>-289.05310754214207</v>
      </c>
      <c r="M66" s="83">
        <f t="shared" si="30"/>
        <v>-2132.0278456289607</v>
      </c>
      <c r="N66" s="83">
        <f t="shared" si="30"/>
        <v>-2532.8919844680663</v>
      </c>
      <c r="O66" s="83">
        <f t="shared" si="30"/>
        <v>-3456.5000546219076</v>
      </c>
      <c r="P66" s="83">
        <f t="shared" si="30"/>
        <v>-4109.5721246870426</v>
      </c>
      <c r="Q66" s="83">
        <f t="shared" si="30"/>
        <v>-395.72093417232816</v>
      </c>
      <c r="R66" s="83">
        <f t="shared" si="30"/>
        <v>-896.1901551682439</v>
      </c>
      <c r="S66" s="83">
        <f t="shared" si="30"/>
        <v>-1035.8315063401881</v>
      </c>
      <c r="T66" s="83">
        <f t="shared" si="30"/>
        <v>-1852.7625126990563</v>
      </c>
      <c r="U66" s="83">
        <f t="shared" si="30"/>
        <v>-157.65657476842702</v>
      </c>
      <c r="V66" s="83">
        <f t="shared" si="30"/>
        <v>-2738.1467771642947</v>
      </c>
      <c r="W66" s="83">
        <f t="shared" si="30"/>
        <v>-3135.2991429065437</v>
      </c>
      <c r="X66" s="83">
        <f t="shared" si="30"/>
        <v>-3904.3889645552576</v>
      </c>
      <c r="Y66" s="83">
        <f t="shared" si="30"/>
        <v>-282.20814010610036</v>
      </c>
      <c r="Z66" s="83">
        <f t="shared" si="30"/>
        <v>-1091.6914190662876</v>
      </c>
      <c r="AA66" s="83">
        <f t="shared" si="30"/>
        <v>-3959.3327049891564</v>
      </c>
      <c r="AB66" s="83">
        <f t="shared" si="30"/>
        <v>-7916.0800082025989</v>
      </c>
      <c r="AC66" s="83">
        <f t="shared" si="30"/>
        <v>-318.5462901774282</v>
      </c>
      <c r="AD66" s="83">
        <f t="shared" si="30"/>
        <v>6476.2624830056957</v>
      </c>
      <c r="AE66" s="83">
        <f t="shared" si="30"/>
        <v>20328.610090067185</v>
      </c>
      <c r="AF66" s="83">
        <f t="shared" si="30"/>
        <v>31929.7511896301</v>
      </c>
      <c r="AG66" s="83">
        <f t="shared" si="30"/>
        <v>7318.9934244060159</v>
      </c>
      <c r="AH66" s="83">
        <f t="shared" si="30"/>
        <v>6703.7675164758994</v>
      </c>
      <c r="AI66" s="83">
        <f t="shared" si="30"/>
        <v>9140.3648272473456</v>
      </c>
      <c r="AJ66" s="83">
        <f t="shared" si="30"/>
        <v>125650.9835090433</v>
      </c>
      <c r="AK66" s="83">
        <f t="shared" si="30"/>
        <v>6419.7692859692925</v>
      </c>
      <c r="AL66" s="83">
        <f t="shared" si="30"/>
        <v>14904.082751864129</v>
      </c>
      <c r="AM66" s="83">
        <f t="shared" si="30"/>
        <v>21587.491334060313</v>
      </c>
      <c r="AN66" s="83">
        <f t="shared" si="30"/>
        <v>58701.267814839222</v>
      </c>
      <c r="AO66" s="83">
        <f t="shared" si="30"/>
        <v>651.3573365284891</v>
      </c>
      <c r="AP66" s="83">
        <f t="shared" si="30"/>
        <v>471.08184716417503</v>
      </c>
      <c r="AQ66" s="83">
        <f t="shared" si="30"/>
        <v>473.81232409631747</v>
      </c>
      <c r="AR66" s="83">
        <f t="shared" si="30"/>
        <v>1024.6432753808949</v>
      </c>
      <c r="AS66" s="83">
        <f t="shared" si="30"/>
        <v>82.011004638787497</v>
      </c>
      <c r="AT66" s="83">
        <f t="shared" si="30"/>
        <v>306.32368736912269</v>
      </c>
      <c r="AU66" s="83">
        <f t="shared" si="30"/>
        <v>452.83024350747434</v>
      </c>
      <c r="AV66" s="83">
        <f t="shared" si="30"/>
        <v>151.50440557674276</v>
      </c>
      <c r="AW66" s="83">
        <f t="shared" si="30"/>
        <v>311.46599339912672</v>
      </c>
      <c r="AX66" s="83">
        <f t="shared" si="30"/>
        <v>985.6650433148493</v>
      </c>
      <c r="AY66" s="83">
        <f t="shared" si="30"/>
        <v>1787.9024040132897</v>
      </c>
      <c r="AZ66" s="83">
        <f t="shared" si="30"/>
        <v>1533.9405911505983</v>
      </c>
      <c r="BA66" s="83">
        <f t="shared" si="30"/>
        <v>518.47357532405499</v>
      </c>
      <c r="BB66" s="83">
        <f t="shared" si="30"/>
        <v>552.16028425807247</v>
      </c>
      <c r="BC66" s="83">
        <f t="shared" si="30"/>
        <v>464.58612960772308</v>
      </c>
      <c r="BD66" s="83">
        <f t="shared" si="30"/>
        <v>997.97140741259659</v>
      </c>
      <c r="BE66" s="83">
        <f t="shared" si="30"/>
        <v>118.90865478259298</v>
      </c>
      <c r="BF66" s="83">
        <f t="shared" si="30"/>
        <v>144.0475297982851</v>
      </c>
      <c r="BG66" s="83">
        <f t="shared" si="30"/>
        <v>122.50370692699667</v>
      </c>
      <c r="BH66" s="83">
        <f t="shared" si="30"/>
        <v>404.32402750652915</v>
      </c>
      <c r="BI66" s="83">
        <f t="shared" si="30"/>
        <v>91.229738625914166</v>
      </c>
      <c r="BJ66" s="83">
        <f t="shared" si="30"/>
        <v>143.95289974181895</v>
      </c>
      <c r="BK66" s="83">
        <f t="shared" si="30"/>
        <v>199.4862921734308</v>
      </c>
      <c r="BL66" s="83">
        <f t="shared" si="30"/>
        <v>413.56105439072655</v>
      </c>
      <c r="BM66" s="83">
        <f t="shared" si="30"/>
        <v>66.1541461267351</v>
      </c>
      <c r="BN66" s="83">
        <f t="shared" si="30"/>
        <v>83.364029230866322</v>
      </c>
      <c r="BO66" s="83">
        <f t="shared" si="30"/>
        <v>104.06047064682127</v>
      </c>
      <c r="BP66" s="83">
        <f t="shared" si="30"/>
        <v>139.87274980573775</v>
      </c>
      <c r="BQ66" s="83">
        <f t="shared" si="30"/>
        <v>41.26883307847708</v>
      </c>
      <c r="BR66" s="83">
        <f t="shared" ref="BR66:CJ66" si="31">BR62/BR65</f>
        <v>115.53261415453261</v>
      </c>
      <c r="BS66" s="83">
        <f t="shared" si="31"/>
        <v>100.53227102812659</v>
      </c>
      <c r="BT66" s="83">
        <f t="shared" si="31"/>
        <v>76.066315162712385</v>
      </c>
      <c r="BU66" s="83">
        <f t="shared" si="31"/>
        <v>53.095807762024691</v>
      </c>
      <c r="BV66" s="83">
        <f t="shared" si="31"/>
        <v>171.9709460548647</v>
      </c>
      <c r="BW66" s="83">
        <f t="shared" si="31"/>
        <v>45.959303579448381</v>
      </c>
      <c r="BX66" s="83">
        <f t="shared" si="31"/>
        <v>102.58759250718927</v>
      </c>
      <c r="BY66" s="83">
        <f t="shared" si="31"/>
        <v>30.243548861663154</v>
      </c>
      <c r="BZ66" s="83">
        <f t="shared" si="31"/>
        <v>67.101152430237406</v>
      </c>
      <c r="CA66" s="83">
        <f t="shared" si="31"/>
        <v>6.6782855510707479</v>
      </c>
      <c r="CB66" s="83">
        <f t="shared" si="31"/>
        <v>4.5877470801861264</v>
      </c>
      <c r="CC66" s="83">
        <f t="shared" si="31"/>
        <v>4.0783588717133785</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1616027058.0599999</v>
      </c>
      <c r="F67" s="76">
        <f>股权价值增加表!F5</f>
        <v>600153230.5</v>
      </c>
      <c r="G67" s="76">
        <f>股权价值增加表!G5</f>
        <v>508306514.16000003</v>
      </c>
      <c r="H67" s="76">
        <f>股权价值增加表!H5</f>
        <v>365987243.24000001</v>
      </c>
      <c r="I67" s="76">
        <f>股权价值增加表!I5</f>
        <v>4539441199.6700001</v>
      </c>
      <c r="J67" s="76">
        <f>股权价值增加表!J5</f>
        <v>3382976744.8299999</v>
      </c>
      <c r="K67" s="76">
        <f>股权价值增加表!K5</f>
        <v>2928384287.7600002</v>
      </c>
      <c r="L67" s="76">
        <f>股权价值增加表!L5</f>
        <v>2058609440.3299999</v>
      </c>
      <c r="M67" s="76">
        <f>股权价值增加表!M5</f>
        <v>313954249.98000002</v>
      </c>
      <c r="N67" s="76">
        <f>股权价值增加表!N5</f>
        <v>211737968.27000001</v>
      </c>
      <c r="O67" s="76">
        <f>股权价值增加表!O5</f>
        <v>116658735.59</v>
      </c>
      <c r="P67" s="76">
        <f>股权价值增加表!P5</f>
        <v>78663009.230000004</v>
      </c>
      <c r="Q67" s="76">
        <f>股权价值增加表!Q5</f>
        <v>812740259.87</v>
      </c>
      <c r="R67" s="76">
        <f>股权价值增加表!R5</f>
        <v>514968866.93000001</v>
      </c>
      <c r="S67" s="76">
        <f>股权价值增加表!S5</f>
        <v>396215248.80000001</v>
      </c>
      <c r="T67" s="76">
        <f>股权价值增加表!T5</f>
        <v>157583419.81999999</v>
      </c>
      <c r="U67" s="76">
        <f>股权价值增加表!U5</f>
        <v>1671380022</v>
      </c>
      <c r="V67" s="76">
        <f>股权价值增加表!V5</f>
        <v>175894801.06</v>
      </c>
      <c r="W67" s="76">
        <f>股权价值增加表!W5</f>
        <v>126409864.45</v>
      </c>
      <c r="X67" s="76">
        <f>股权价值增加表!X5</f>
        <v>75818115.939999998</v>
      </c>
      <c r="Y67" s="76">
        <f>股权价值增加表!Y5</f>
        <v>1211372080.8099999</v>
      </c>
      <c r="Z67" s="76">
        <f>股权价值增加表!Z5</f>
        <v>172648495.69999999</v>
      </c>
      <c r="AA67" s="76">
        <f>股权价值增加表!AA5</f>
        <v>62530779.710000001</v>
      </c>
      <c r="AB67" s="76">
        <f>股权价值增加表!AB5</f>
        <v>28367218.780000001</v>
      </c>
      <c r="AC67" s="76">
        <f>股权价值增加表!AC5</f>
        <v>470449669.13</v>
      </c>
      <c r="AD67" s="76">
        <f>股权价值增加表!AD5</f>
        <v>1705033.33</v>
      </c>
      <c r="AE67" s="76">
        <f>股权价值增加表!AE5</f>
        <v>438811.08</v>
      </c>
      <c r="AF67" s="76">
        <f>股权价值增加表!AF5</f>
        <v>315678.40000000002</v>
      </c>
      <c r="AG67" s="76">
        <f>股权价值增加表!AG5</f>
        <v>4099904.38</v>
      </c>
      <c r="AH67" s="76">
        <f>股权价值增加表!AH5</f>
        <v>4345105.6399999997</v>
      </c>
      <c r="AI67" s="76">
        <f>股权价值增加表!AI5</f>
        <v>3915105.64</v>
      </c>
      <c r="AJ67" s="76">
        <f>股权价值增加表!AJ5</f>
        <v>84000</v>
      </c>
      <c r="AK67" s="76">
        <f>股权价值增加表!AK5</f>
        <v>3793869.56</v>
      </c>
      <c r="AL67" s="76">
        <f>股权价值增加表!AL5</f>
        <v>635376.02</v>
      </c>
      <c r="AM67" s="76">
        <f>股权价值增加表!AM5</f>
        <v>424581.18</v>
      </c>
      <c r="AN67" s="76">
        <f>股权价值增加表!AN5</f>
        <v>152599.22</v>
      </c>
      <c r="AO67" s="76">
        <f>股权价值增加表!AO5</f>
        <v>29569124.870000001</v>
      </c>
      <c r="AP67" s="76">
        <f>股权价值增加表!AP5</f>
        <v>38786811.189999998</v>
      </c>
      <c r="AQ67" s="76">
        <f>股权价值增加表!AQ5</f>
        <v>37424619.420000002</v>
      </c>
      <c r="AR67" s="76">
        <f>股权价值增加表!AR5</f>
        <v>19857872.609999999</v>
      </c>
      <c r="AS67" s="76">
        <f>股权价值增加表!AS5</f>
        <v>238984727.55000001</v>
      </c>
      <c r="AT67" s="76">
        <f>股权价值增加表!AT5</f>
        <v>198543038.46000001</v>
      </c>
      <c r="AU67" s="76">
        <f>股权价值增加表!AU5</f>
        <v>140102053.34999999</v>
      </c>
      <c r="AV67" s="76">
        <f>股权价值增加表!AV5</f>
        <v>56881135.210000001</v>
      </c>
      <c r="AW67" s="76">
        <f>股权价值增加表!AW5</f>
        <v>215780698.36000001</v>
      </c>
      <c r="AX67" s="76">
        <f>股权价值增加表!AX5</f>
        <v>117329240.27</v>
      </c>
      <c r="AY67" s="76">
        <f>股权价值增加表!AY5</f>
        <v>68868369.069999993</v>
      </c>
      <c r="AZ67" s="76">
        <f>股权价值增加表!AZ5</f>
        <v>39466456.479999997</v>
      </c>
      <c r="BA67" s="76">
        <f>股权价值增加表!BA5</f>
        <v>218314124.33000001</v>
      </c>
      <c r="BB67" s="76">
        <f>股权价值增加表!BB5</f>
        <v>197131177.56</v>
      </c>
      <c r="BC67" s="76">
        <f>股权价值增加表!BC5</f>
        <v>173158410.75</v>
      </c>
      <c r="BD67" s="76">
        <f>股权价值增加表!BD5</f>
        <v>100427642.67</v>
      </c>
      <c r="BE67" s="76">
        <f>股权价值增加表!BE5</f>
        <v>758309533.38</v>
      </c>
      <c r="BF67" s="76">
        <f>股权价值增加表!BF5</f>
        <v>570889335.45000005</v>
      </c>
      <c r="BG67" s="76">
        <f>股权价值增加表!BG5</f>
        <v>354856131.64999998</v>
      </c>
      <c r="BH67" s="76">
        <f>股权价值增加表!BH5</f>
        <v>154647892.50999999</v>
      </c>
      <c r="BI67" s="76">
        <f>股权价值增加表!BI5</f>
        <v>769721036.62</v>
      </c>
      <c r="BJ67" s="76">
        <f>股权价值增加表!BJ5</f>
        <v>504092879.63</v>
      </c>
      <c r="BK67" s="76">
        <f>股权价值增加表!BK5</f>
        <v>279952562.36000001</v>
      </c>
      <c r="BL67" s="76">
        <f>股权价值增加表!BL5</f>
        <v>115370952.12</v>
      </c>
      <c r="BM67" s="76">
        <f>股权价值增加表!BM5</f>
        <v>901152413.30999994</v>
      </c>
      <c r="BN67" s="76">
        <f>股权价值增加表!BN5</f>
        <v>613747270.54999995</v>
      </c>
      <c r="BO67" s="76">
        <f>股权价值增加表!BO5</f>
        <v>384726753.97000003</v>
      </c>
      <c r="BP67" s="76">
        <f>股权价值增加表!BP5</f>
        <v>192820990.41999999</v>
      </c>
      <c r="BQ67" s="76">
        <f>股权价值增加表!BQ5</f>
        <v>685163130.41999996</v>
      </c>
      <c r="BR67" s="76">
        <f>股权价值增加表!BR5</f>
        <v>196652588.31</v>
      </c>
      <c r="BS67" s="76">
        <f>股权价值增加表!BS5</f>
        <v>125981881.90000001</v>
      </c>
      <c r="BT67" s="76">
        <f>股权价值增加表!BT5</f>
        <v>69117475.049999997</v>
      </c>
      <c r="BU67" s="76">
        <f>股权价值增加表!BU5</f>
        <v>62179832.670000002</v>
      </c>
      <c r="BV67" s="76">
        <f>股权价值增加表!BV5</f>
        <v>25515819.390000001</v>
      </c>
      <c r="BW67" s="76">
        <f>股权价值增加表!BW5</f>
        <v>37705823.210000001</v>
      </c>
      <c r="BX67" s="76">
        <f>股权价值增加表!BX5</f>
        <v>14688107.789999999</v>
      </c>
      <c r="BY67" s="76">
        <f>股权价值增加表!BY5</f>
        <v>37626667.640000001</v>
      </c>
      <c r="BZ67" s="76">
        <f>股权价值增加表!BZ5</f>
        <v>20236400.73</v>
      </c>
      <c r="CA67" s="76">
        <f>股权价值增加表!CA5</f>
        <v>45078924.869999997</v>
      </c>
      <c r="CB67" s="76">
        <f>股权价值增加表!CB5</f>
        <v>49854667.170000002</v>
      </c>
      <c r="CC67" s="76">
        <f>股权价值增加表!CC5</f>
        <v>39443207.759999998</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9542309330.2000008</v>
      </c>
      <c r="F68" s="76">
        <f>资产资本表!F26</f>
        <v>10383057307.360001</v>
      </c>
      <c r="G68" s="76">
        <f>资产资本表!G26</f>
        <v>8743772680.0300007</v>
      </c>
      <c r="H68" s="76">
        <f>资产资本表!H26</f>
        <v>8627018344.2600002</v>
      </c>
      <c r="I68" s="76">
        <f>资产资本表!I26</f>
        <v>9627930972.5599995</v>
      </c>
      <c r="J68" s="76">
        <f>资产资本表!J26</f>
        <v>10158768619.440001</v>
      </c>
      <c r="K68" s="76">
        <f>资产资本表!K26</f>
        <v>10316816910.59</v>
      </c>
      <c r="L68" s="76">
        <f>资产资本表!L26</f>
        <v>10421068097.52</v>
      </c>
      <c r="M68" s="76">
        <f>资产资本表!M26</f>
        <v>11845906085.790001</v>
      </c>
      <c r="N68" s="76">
        <f>资产资本表!N26</f>
        <v>11503312820.610001</v>
      </c>
      <c r="O68" s="76">
        <f>资产资本表!O26</f>
        <v>11138768184.77</v>
      </c>
      <c r="P68" s="76">
        <f>资产资本表!P26</f>
        <v>9392843785.6900005</v>
      </c>
      <c r="Q68" s="76">
        <f>资产资本表!Q26</f>
        <v>7683094203.8999996</v>
      </c>
      <c r="R68" s="76">
        <f>资产资本表!R26</f>
        <v>7602049994.46</v>
      </c>
      <c r="S68" s="76">
        <f>资产资本表!S26</f>
        <v>7453896770.5100002</v>
      </c>
      <c r="T68" s="76">
        <f>资产资本表!T26</f>
        <v>7083805762.1199999</v>
      </c>
      <c r="U68" s="76">
        <f>资产资本表!U26</f>
        <v>6153322045.5799999</v>
      </c>
      <c r="V68" s="76">
        <f>资产资本表!V26</f>
        <v>5348121150.3900003</v>
      </c>
      <c r="W68" s="76">
        <f>资产资本表!W26</f>
        <v>4874749086.2399998</v>
      </c>
      <c r="X68" s="76">
        <f>资产资本表!X26</f>
        <v>4056980013.4699998</v>
      </c>
      <c r="Y68" s="76">
        <f>资产资本表!Y26</f>
        <v>3417554380.0700002</v>
      </c>
      <c r="Z68" s="76">
        <f>资产资本表!Z26</f>
        <v>4078382633.6399999</v>
      </c>
      <c r="AA68" s="76">
        <f>资产资本表!AA26</f>
        <v>3910230086.1500001</v>
      </c>
      <c r="AB68" s="76">
        <f>资产资本表!AB26</f>
        <v>3768850765.1799998</v>
      </c>
      <c r="AC68" s="76">
        <f>资产资本表!AC26</f>
        <v>3651058764.2800002</v>
      </c>
      <c r="AD68" s="76">
        <f>资产资本表!AD26</f>
        <v>19355884.109999999</v>
      </c>
      <c r="AE68" s="76">
        <f>资产资本表!AE26</f>
        <v>18808726.010000002</v>
      </c>
      <c r="AF68" s="76">
        <f>资产资本表!AF26</f>
        <v>19514320.219999999</v>
      </c>
      <c r="AG68" s="76">
        <f>资产资本表!AG26</f>
        <v>19264870.390000001</v>
      </c>
      <c r="AH68" s="76">
        <f>资产资本表!AH26</f>
        <v>19732875.420000002</v>
      </c>
      <c r="AI68" s="76">
        <f>资产资本表!AI26</f>
        <v>19771125.850000001</v>
      </c>
      <c r="AJ68" s="76">
        <f>资产资本表!AJ26</f>
        <v>23111757.109999999</v>
      </c>
      <c r="AK68" s="76">
        <f>资产资本表!AK26</f>
        <v>23142765.629999999</v>
      </c>
      <c r="AL68" s="76">
        <f>资产资本表!AL26</f>
        <v>25359071.190000001</v>
      </c>
      <c r="AM68" s="76">
        <f>资产资本表!AM26</f>
        <v>25263748.219999999</v>
      </c>
      <c r="AN68" s="76">
        <f>资产资本表!AN26</f>
        <v>25505086.949999999</v>
      </c>
      <c r="AO68" s="76">
        <f>资产资本表!AO26</f>
        <v>25348142.280000001</v>
      </c>
      <c r="AP68" s="76">
        <f>资产资本表!AP26</f>
        <v>26218213.969999999</v>
      </c>
      <c r="AQ68" s="76">
        <f>资产资本表!AQ26</f>
        <v>18528739.989999998</v>
      </c>
      <c r="AR68" s="76">
        <f>资产资本表!AR26</f>
        <v>26279042.390000001</v>
      </c>
      <c r="AS68" s="76">
        <f>资产资本表!AS26</f>
        <v>30860825.219999999</v>
      </c>
      <c r="AT68" s="76">
        <f>资产资本表!AT26</f>
        <v>20548577.129999999</v>
      </c>
      <c r="AU68" s="76">
        <f>资产资本表!AU26</f>
        <v>28345243.879999999</v>
      </c>
      <c r="AV68" s="76">
        <f>资产资本表!AV26</f>
        <v>24210480.18</v>
      </c>
      <c r="AW68" s="76">
        <f>资产资本表!AW26</f>
        <v>27871509.199999999</v>
      </c>
      <c r="AX68" s="76">
        <f>资产资本表!AX26</f>
        <v>60165909.909999996</v>
      </c>
      <c r="AY68" s="76">
        <f>资产资本表!AY26</f>
        <v>28564889.66</v>
      </c>
      <c r="AZ68" s="76">
        <f>资产资本表!AZ26</f>
        <v>0</v>
      </c>
      <c r="BA68" s="76">
        <f>资产资本表!BA26</f>
        <v>31829490.390000001</v>
      </c>
      <c r="BB68" s="76">
        <f>资产资本表!BB26</f>
        <v>39981721.890000001</v>
      </c>
      <c r="BC68" s="76">
        <f>资产资本表!BC26</f>
        <v>37295667.759999998</v>
      </c>
      <c r="BD68" s="76">
        <f>资产资本表!BD26</f>
        <v>59925567.890000001</v>
      </c>
      <c r="BE68" s="76">
        <f>资产资本表!BE26</f>
        <v>51829476.880000003</v>
      </c>
      <c r="BF68" s="76">
        <f>资产资本表!BF26</f>
        <v>62973409.020000003</v>
      </c>
      <c r="BG68" s="76">
        <f>资产资本表!BG26</f>
        <v>70498657.629999995</v>
      </c>
      <c r="BH68" s="76">
        <f>资产资本表!BH26</f>
        <v>85060022.730000004</v>
      </c>
      <c r="BI68" s="76">
        <f>资产资本表!BI26</f>
        <v>94910534.700000003</v>
      </c>
      <c r="BJ68" s="76">
        <f>资产资本表!BJ26</f>
        <v>76129128.390000001</v>
      </c>
      <c r="BK68" s="76">
        <f>资产资本表!BK26</f>
        <v>79277917.400000006</v>
      </c>
      <c r="BL68" s="76">
        <f>资产资本表!BL26</f>
        <v>83465031.900000006</v>
      </c>
      <c r="BM68" s="76">
        <f>资产资本表!BM26</f>
        <v>102494464.62</v>
      </c>
      <c r="BN68" s="76">
        <f>资产资本表!BN26</f>
        <v>135019073.19</v>
      </c>
      <c r="BO68" s="76">
        <f>资产资本表!BO26</f>
        <v>154151487.52000001</v>
      </c>
      <c r="BP68" s="76">
        <f>资产资本表!BP26</f>
        <v>151806770.84999999</v>
      </c>
      <c r="BQ68" s="76">
        <f>资产资本表!BQ26</f>
        <v>135923924.69</v>
      </c>
      <c r="BR68" s="76">
        <f>资产资本表!BR26</f>
        <v>130830684.44</v>
      </c>
      <c r="BS68" s="76">
        <f>资产资本表!BS26</f>
        <v>102966150.25</v>
      </c>
      <c r="BT68" s="76">
        <f>资产资本表!BT26</f>
        <v>52325547.43</v>
      </c>
      <c r="BU68" s="76">
        <f>资产资本表!BU26</f>
        <v>42414007.18</v>
      </c>
      <c r="BV68" s="76">
        <f>资产资本表!BV26</f>
        <v>44999749.789999999</v>
      </c>
      <c r="BW68" s="76">
        <f>资产资本表!BW26</f>
        <v>41391786.549999997</v>
      </c>
      <c r="BX68" s="76">
        <f>资产资本表!BX26</f>
        <v>41836311.399999999</v>
      </c>
      <c r="BY68" s="76">
        <f>资产资本表!BY26</f>
        <v>36697300.979999997</v>
      </c>
      <c r="BZ68" s="76">
        <f>资产资本表!BZ26</f>
        <v>35959171.329999998</v>
      </c>
      <c r="CA68" s="76">
        <f>资产资本表!CA26</f>
        <v>38974673.93</v>
      </c>
      <c r="CB68" s="76">
        <f>资产资本表!CB26</f>
        <v>47780169.710000001</v>
      </c>
      <c r="CC68" s="76">
        <f>资产资本表!CC26</f>
        <v>39290771.439999998</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0.16859747530940811</v>
      </c>
      <c r="F69" s="155">
        <f t="shared" ref="F69:BQ69" si="32">F67/(F68+J68)*2</f>
        <v>5.8432315865066975E-2</v>
      </c>
      <c r="G69" s="155">
        <f t="shared" si="32"/>
        <v>5.3335864742625291E-2</v>
      </c>
      <c r="H69" s="155">
        <f t="shared" si="32"/>
        <v>3.8427717593431852E-2</v>
      </c>
      <c r="I69" s="155">
        <f t="shared" si="32"/>
        <v>0.42278808275718571</v>
      </c>
      <c r="J69" s="155">
        <f t="shared" si="32"/>
        <v>0.31234087584726494</v>
      </c>
      <c r="K69" s="155">
        <f t="shared" si="32"/>
        <v>0.27297174835780119</v>
      </c>
      <c r="L69" s="155">
        <f t="shared" si="32"/>
        <v>0.20779434696834739</v>
      </c>
      <c r="M69" s="155">
        <f t="shared" si="32"/>
        <v>3.2152618702734795E-2</v>
      </c>
      <c r="N69" s="155">
        <f t="shared" si="32"/>
        <v>2.2165291527778217E-2</v>
      </c>
      <c r="O69" s="155">
        <f t="shared" si="32"/>
        <v>1.2548898812579411E-2</v>
      </c>
      <c r="P69" s="155">
        <f t="shared" si="32"/>
        <v>9.5484229365618237E-3</v>
      </c>
      <c r="Q69" s="155">
        <f t="shared" si="32"/>
        <v>0.1174784344754798</v>
      </c>
      <c r="R69" s="155">
        <f t="shared" si="32"/>
        <v>7.9530820275652003E-2</v>
      </c>
      <c r="S69" s="155">
        <f t="shared" si="32"/>
        <v>6.4275550357068625E-2</v>
      </c>
      <c r="T69" s="155">
        <f t="shared" si="32"/>
        <v>2.8289462340308685E-2</v>
      </c>
      <c r="U69" s="155">
        <f t="shared" si="32"/>
        <v>0.34926373461905591</v>
      </c>
      <c r="V69" s="155">
        <f t="shared" si="32"/>
        <v>3.7319202344774705E-2</v>
      </c>
      <c r="W69" s="155">
        <f t="shared" si="32"/>
        <v>2.8778637255575768E-2</v>
      </c>
      <c r="X69" s="155">
        <f t="shared" si="32"/>
        <v>1.9376375003365216E-2</v>
      </c>
      <c r="Y69" s="155">
        <f t="shared" si="32"/>
        <v>0.34274674708383479</v>
      </c>
      <c r="Z69" s="155">
        <f t="shared" si="32"/>
        <v>8.4265257508328473E-2</v>
      </c>
      <c r="AA69" s="155">
        <f t="shared" si="32"/>
        <v>3.1830064654221897E-2</v>
      </c>
      <c r="AB69" s="155">
        <f t="shared" si="32"/>
        <v>1.4975968862834565E-2</v>
      </c>
      <c r="AC69" s="155">
        <f t="shared" si="32"/>
        <v>0.25635323527664788</v>
      </c>
      <c r="AD69" s="155">
        <f t="shared" si="32"/>
        <v>8.723906056376203E-2</v>
      </c>
      <c r="AE69" s="155">
        <f t="shared" si="32"/>
        <v>2.274819932395666E-2</v>
      </c>
      <c r="AF69" s="155">
        <f t="shared" si="32"/>
        <v>1.4811515380882927E-2</v>
      </c>
      <c r="AG69" s="155">
        <f t="shared" si="32"/>
        <v>0.19335689346448981</v>
      </c>
      <c r="AH69" s="155">
        <f t="shared" si="32"/>
        <v>0.19272202540204328</v>
      </c>
      <c r="AI69" s="155">
        <f t="shared" si="32"/>
        <v>0.17386994949356588</v>
      </c>
      <c r="AJ69" s="155">
        <f t="shared" si="32"/>
        <v>3.4555924648803703E-3</v>
      </c>
      <c r="AK69" s="155">
        <f t="shared" si="32"/>
        <v>0.15647756346577343</v>
      </c>
      <c r="AL69" s="155">
        <f t="shared" si="32"/>
        <v>2.4637823337501159E-2</v>
      </c>
      <c r="AM69" s="155">
        <f t="shared" si="32"/>
        <v>1.9390594019868781E-2</v>
      </c>
      <c r="AN69" s="155">
        <f t="shared" si="32"/>
        <v>5.8936674979346093E-3</v>
      </c>
      <c r="AO69" s="155">
        <f t="shared" si="32"/>
        <v>1.0521141442421977</v>
      </c>
      <c r="AP69" s="155">
        <f t="shared" si="32"/>
        <v>1.6587330572697772</v>
      </c>
      <c r="AQ69" s="155">
        <f t="shared" si="32"/>
        <v>1.5968183768545554</v>
      </c>
      <c r="AR69" s="155">
        <f t="shared" si="32"/>
        <v>0.78661360215749809</v>
      </c>
      <c r="AS69" s="155">
        <f t="shared" si="32"/>
        <v>8.1380973499537603</v>
      </c>
      <c r="AT69" s="155">
        <f t="shared" si="32"/>
        <v>4.9196382394552609</v>
      </c>
      <c r="AU69" s="155">
        <f t="shared" si="32"/>
        <v>4.9236241293135432</v>
      </c>
      <c r="AV69" s="155">
        <f t="shared" si="32"/>
        <v>4.6988853411498095</v>
      </c>
      <c r="AW69" s="155">
        <f t="shared" si="32"/>
        <v>7.2287130815861103</v>
      </c>
      <c r="AX69" s="155">
        <f t="shared" si="32"/>
        <v>2.343125606890287</v>
      </c>
      <c r="AY69" s="155">
        <f t="shared" si="32"/>
        <v>2.0913387850885878</v>
      </c>
      <c r="AZ69" s="155">
        <f t="shared" si="32"/>
        <v>1.3171825606207033</v>
      </c>
      <c r="BA69" s="155">
        <f t="shared" si="32"/>
        <v>5.2191446166294515</v>
      </c>
      <c r="BB69" s="155">
        <f t="shared" si="32"/>
        <v>3.8294580526020723</v>
      </c>
      <c r="BC69" s="155">
        <f t="shared" si="32"/>
        <v>3.2127555903061258</v>
      </c>
      <c r="BD69" s="155">
        <f t="shared" si="32"/>
        <v>1.3853465332733077</v>
      </c>
      <c r="BE69" s="155">
        <f t="shared" si="32"/>
        <v>10.335416022051808</v>
      </c>
      <c r="BF69" s="155">
        <f t="shared" si="32"/>
        <v>8.2081800386907844</v>
      </c>
      <c r="BG69" s="155">
        <f t="shared" si="32"/>
        <v>4.7384730433169926</v>
      </c>
      <c r="BH69" s="155">
        <f t="shared" si="32"/>
        <v>1.8353103976086216</v>
      </c>
      <c r="BI69" s="155">
        <f t="shared" si="32"/>
        <v>7.7983945621585491</v>
      </c>
      <c r="BJ69" s="155">
        <f t="shared" si="32"/>
        <v>4.7747778655742792</v>
      </c>
      <c r="BK69" s="155">
        <f t="shared" si="32"/>
        <v>2.3986058008068367</v>
      </c>
      <c r="BL69" s="155">
        <f t="shared" si="32"/>
        <v>0.98074610532562012</v>
      </c>
      <c r="BM69" s="155">
        <f t="shared" si="32"/>
        <v>7.5594203611390878</v>
      </c>
      <c r="BN69" s="155">
        <f t="shared" si="32"/>
        <v>4.6172490509033377</v>
      </c>
      <c r="BO69" s="155">
        <f t="shared" si="32"/>
        <v>2.9926126990490669</v>
      </c>
      <c r="BP69" s="155">
        <f t="shared" si="32"/>
        <v>1.8891765110462839</v>
      </c>
      <c r="BQ69" s="155">
        <f t="shared" si="32"/>
        <v>7.6838743528712872</v>
      </c>
      <c r="BR69" s="155">
        <f t="shared" ref="BR69:CJ69" si="33">BR67/(BR68+BV68)*2</f>
        <v>2.2368435722880942</v>
      </c>
      <c r="BS69" s="155">
        <f t="shared" si="33"/>
        <v>1.7454098429591853</v>
      </c>
      <c r="BT69" s="155">
        <f t="shared" si="33"/>
        <v>1.4680567250649719</v>
      </c>
      <c r="BU69" s="155">
        <f t="shared" si="33"/>
        <v>1.5719581464698662</v>
      </c>
      <c r="BV69" s="155">
        <f t="shared" si="33"/>
        <v>0.63033990663436845</v>
      </c>
      <c r="BW69" s="155">
        <f t="shared" si="33"/>
        <v>0.93834724049800544</v>
      </c>
      <c r="BX69" s="155">
        <f t="shared" si="33"/>
        <v>0.32779925317467085</v>
      </c>
      <c r="BY69" s="155">
        <f t="shared" si="33"/>
        <v>0.9903308885644716</v>
      </c>
      <c r="BZ69" s="155">
        <f t="shared" si="33"/>
        <v>1.1255209717870882</v>
      </c>
      <c r="CA69" s="155">
        <f t="shared" si="33"/>
        <v>2.3132419247926728</v>
      </c>
      <c r="CB69" s="155">
        <f t="shared" si="33"/>
        <v>2.0868350812728833</v>
      </c>
      <c r="CC69" s="155">
        <f t="shared" si="33"/>
        <v>2.0077593956246331</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2164.9197256967004</v>
      </c>
      <c r="F70" s="83">
        <f t="shared" ref="F70:BQ70" si="34">F62/F69</f>
        <v>6246.5434511078593</v>
      </c>
      <c r="G70" s="83">
        <f t="shared" si="34"/>
        <v>6843.4251841856239</v>
      </c>
      <c r="H70" s="83">
        <f t="shared" si="34"/>
        <v>9498.3523055344449</v>
      </c>
      <c r="I70" s="83">
        <f t="shared" si="34"/>
        <v>863.3166706584434</v>
      </c>
      <c r="J70" s="83">
        <f t="shared" si="34"/>
        <v>1168.5950454287815</v>
      </c>
      <c r="K70" s="83">
        <f t="shared" si="34"/>
        <v>1337.1347115437441</v>
      </c>
      <c r="L70" s="83">
        <f t="shared" si="34"/>
        <v>1756.5444167525848</v>
      </c>
      <c r="M70" s="83">
        <f t="shared" si="34"/>
        <v>11352.108000116155</v>
      </c>
      <c r="N70" s="83">
        <f t="shared" si="34"/>
        <v>16467.186977557725</v>
      </c>
      <c r="O70" s="83">
        <f t="shared" si="34"/>
        <v>29086.217480223248</v>
      </c>
      <c r="P70" s="83">
        <f t="shared" si="34"/>
        <v>38226.207869613747</v>
      </c>
      <c r="Q70" s="83">
        <f t="shared" si="34"/>
        <v>3106.953217666372</v>
      </c>
      <c r="R70" s="83">
        <f t="shared" si="34"/>
        <v>4589.4157602665027</v>
      </c>
      <c r="S70" s="83">
        <f t="shared" si="34"/>
        <v>5678.6756079461493</v>
      </c>
      <c r="T70" s="83">
        <f t="shared" si="34"/>
        <v>12902.330755149207</v>
      </c>
      <c r="U70" s="83">
        <f t="shared" si="34"/>
        <v>1045.0555377531759</v>
      </c>
      <c r="V70" s="83">
        <f t="shared" si="34"/>
        <v>9780.487713213568</v>
      </c>
      <c r="W70" s="83">
        <f t="shared" si="34"/>
        <v>12683.018892052731</v>
      </c>
      <c r="X70" s="83">
        <f t="shared" si="34"/>
        <v>18837.372828333897</v>
      </c>
      <c r="Y70" s="83">
        <f t="shared" si="34"/>
        <v>1064.9262264499978</v>
      </c>
      <c r="Z70" s="83">
        <f t="shared" si="34"/>
        <v>4331.5597767433956</v>
      </c>
      <c r="AA70" s="83">
        <f t="shared" si="34"/>
        <v>11467.146044630697</v>
      </c>
      <c r="AB70" s="83">
        <f t="shared" si="34"/>
        <v>24372.379733361366</v>
      </c>
      <c r="AC70" s="83">
        <f t="shared" si="34"/>
        <v>1423.8166317897417</v>
      </c>
      <c r="AD70" s="83">
        <f t="shared" si="34"/>
        <v>4183.9056684158777</v>
      </c>
      <c r="AE70" s="83">
        <f t="shared" si="34"/>
        <v>16045.226033148478</v>
      </c>
      <c r="AF70" s="83">
        <f t="shared" si="34"/>
        <v>24642.988284041607</v>
      </c>
      <c r="AG70" s="83">
        <f t="shared" si="34"/>
        <v>1887.7009940534269</v>
      </c>
      <c r="AH70" s="83">
        <f t="shared" si="34"/>
        <v>1893.919489682419</v>
      </c>
      <c r="AI70" s="83">
        <f t="shared" si="34"/>
        <v>2099.2701790225515</v>
      </c>
      <c r="AJ70" s="83">
        <f t="shared" si="34"/>
        <v>105625.88143988096</v>
      </c>
      <c r="AK70" s="83">
        <f t="shared" si="34"/>
        <v>2332.6027828892989</v>
      </c>
      <c r="AL70" s="83">
        <f t="shared" si="34"/>
        <v>14814.620390772694</v>
      </c>
      <c r="AM70" s="83">
        <f t="shared" si="34"/>
        <v>18823.559485903261</v>
      </c>
      <c r="AN70" s="83">
        <f t="shared" si="34"/>
        <v>61930.877527093522</v>
      </c>
      <c r="AO70" s="83">
        <f t="shared" si="34"/>
        <v>346.92053328766639</v>
      </c>
      <c r="AP70" s="83">
        <f t="shared" si="34"/>
        <v>220.04746236912806</v>
      </c>
      <c r="AQ70" s="83">
        <f t="shared" si="34"/>
        <v>228.57953370939046</v>
      </c>
      <c r="AR70" s="83">
        <f t="shared" si="34"/>
        <v>464.01435088191954</v>
      </c>
      <c r="AS70" s="83">
        <f t="shared" si="34"/>
        <v>44.850778296732209</v>
      </c>
      <c r="AT70" s="83">
        <f t="shared" si="34"/>
        <v>74.192447134164794</v>
      </c>
      <c r="AU70" s="83">
        <f t="shared" si="34"/>
        <v>74.132385091485176</v>
      </c>
      <c r="AV70" s="83">
        <f t="shared" si="34"/>
        <v>77.677996694995983</v>
      </c>
      <c r="AW70" s="83">
        <f t="shared" si="34"/>
        <v>50.493081670342406</v>
      </c>
      <c r="AX70" s="83">
        <f t="shared" si="34"/>
        <v>155.77483295247455</v>
      </c>
      <c r="AY70" s="83">
        <f t="shared" si="34"/>
        <v>174.52935057795469</v>
      </c>
      <c r="AZ70" s="83">
        <f t="shared" si="34"/>
        <v>277.10661446048829</v>
      </c>
      <c r="BA70" s="83">
        <f t="shared" si="34"/>
        <v>69.934831626819104</v>
      </c>
      <c r="BB70" s="83">
        <f t="shared" si="34"/>
        <v>95.313748051630114</v>
      </c>
      <c r="BC70" s="83">
        <f t="shared" si="34"/>
        <v>113.60963812538917</v>
      </c>
      <c r="BD70" s="83">
        <f t="shared" si="34"/>
        <v>263.47198425333704</v>
      </c>
      <c r="BE70" s="83">
        <f t="shared" si="34"/>
        <v>35.315462795230516</v>
      </c>
      <c r="BF70" s="83">
        <f t="shared" si="34"/>
        <v>44.467835534735421</v>
      </c>
      <c r="BG70" s="83">
        <f t="shared" si="34"/>
        <v>77.029033754826486</v>
      </c>
      <c r="BH70" s="83">
        <f t="shared" si="34"/>
        <v>198.87644099635071</v>
      </c>
      <c r="BI70" s="83">
        <f t="shared" si="34"/>
        <v>46.804505349235647</v>
      </c>
      <c r="BJ70" s="83">
        <f t="shared" si="34"/>
        <v>76.443346743231203</v>
      </c>
      <c r="BK70" s="83">
        <f t="shared" si="34"/>
        <v>152.1717323777097</v>
      </c>
      <c r="BL70" s="83">
        <f t="shared" si="34"/>
        <v>372.16563799538659</v>
      </c>
      <c r="BM70" s="83">
        <f t="shared" si="34"/>
        <v>48.284125311560281</v>
      </c>
      <c r="BN70" s="83">
        <f t="shared" si="34"/>
        <v>79.05139964858293</v>
      </c>
      <c r="BO70" s="83">
        <f t="shared" si="34"/>
        <v>121.9670023174006</v>
      </c>
      <c r="BP70" s="83">
        <f t="shared" si="34"/>
        <v>193.20587455210938</v>
      </c>
      <c r="BQ70" s="83">
        <f t="shared" si="34"/>
        <v>47.502078149365872</v>
      </c>
      <c r="BR70" s="83">
        <f t="shared" ref="BR70:CJ70" si="35">BR62/BR69</f>
        <v>163.17636356959781</v>
      </c>
      <c r="BS70" s="83">
        <f t="shared" si="35"/>
        <v>209.11993906323764</v>
      </c>
      <c r="BT70" s="83">
        <f t="shared" si="35"/>
        <v>248.62799493244799</v>
      </c>
      <c r="BU70" s="83">
        <f t="shared" si="35"/>
        <v>232.19447720009441</v>
      </c>
      <c r="BV70" s="83">
        <f t="shared" si="35"/>
        <v>579.05266056987875</v>
      </c>
      <c r="BW70" s="83">
        <f t="shared" si="35"/>
        <v>388.9818014558075</v>
      </c>
      <c r="BX70" s="83">
        <f t="shared" si="35"/>
        <v>1113.4863684558377</v>
      </c>
      <c r="BY70" s="83">
        <f t="shared" si="35"/>
        <v>368.56368332515979</v>
      </c>
      <c r="BZ70" s="83">
        <f t="shared" si="35"/>
        <v>324.29426829822421</v>
      </c>
      <c r="CA70" s="83">
        <f t="shared" si="35"/>
        <v>157.78721459611864</v>
      </c>
      <c r="CB70" s="83">
        <f t="shared" si="35"/>
        <v>174.90601115319811</v>
      </c>
      <c r="CC70" s="83">
        <f t="shared" si="35"/>
        <v>181.79469153296878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367701581.19999999</v>
      </c>
      <c r="F71" s="76">
        <f>资产资本表!F35+资产资本表!F36-资产资本表!F24</f>
        <v>460552386.63</v>
      </c>
      <c r="G71" s="76">
        <f>资产资本表!G35+资产资本表!G36-资产资本表!G24</f>
        <v>317243779.10000002</v>
      </c>
      <c r="H71" s="76">
        <f>资产资本表!H35+资产资本表!H36-资产资本表!H24</f>
        <v>266279458.45000002</v>
      </c>
      <c r="I71" s="76">
        <f>资产资本表!I35+资产资本表!I36-资产资本表!I24</f>
        <v>638250465.50999999</v>
      </c>
      <c r="J71" s="76">
        <f>资产资本表!J35+资产资本表!J36-资产资本表!J24</f>
        <v>398457300.14000005</v>
      </c>
      <c r="K71" s="76">
        <f>资产资本表!K35+资产资本表!K36-资产资本表!K24</f>
        <v>475353696.78999996</v>
      </c>
      <c r="L71" s="76">
        <f>资产资本表!L35+资产资本表!L36-资产资本表!L24</f>
        <v>416545243.48999995</v>
      </c>
      <c r="M71" s="76">
        <f>资产资本表!M35+资产资本表!M36-资产资本表!M24</f>
        <v>366922556.51999998</v>
      </c>
      <c r="N71" s="76">
        <f>资产资本表!N35+资产资本表!N36-资产资本表!N24</f>
        <v>358928470.42999995</v>
      </c>
      <c r="O71" s="76">
        <f>资产资本表!O35+资产资本表!O36-资产资本表!O24</f>
        <v>374439021.75999999</v>
      </c>
      <c r="P71" s="76">
        <f>资产资本表!P35+资产资本表!P36-资产资本表!P24</f>
        <v>314233463.89999998</v>
      </c>
      <c r="Q71" s="76">
        <f>资产资本表!Q35+资产资本表!Q36-资产资本表!Q24</f>
        <v>367133095.92000002</v>
      </c>
      <c r="R71" s="76">
        <f>资产资本表!R35+资产资本表!R36-资产资本表!R24</f>
        <v>312606307.77000004</v>
      </c>
      <c r="S71" s="76">
        <f>资产资本表!S35+资产资本表!S36-资产资本表!S24</f>
        <v>341841371.00999999</v>
      </c>
      <c r="T71" s="76">
        <f>资产资本表!T35+资产资本表!T36-资产资本表!T24</f>
        <v>176528127.51000002</v>
      </c>
      <c r="U71" s="76">
        <f>资产资本表!U35+资产资本表!U36-资产资本表!U24</f>
        <v>404165631.5</v>
      </c>
      <c r="V71" s="76">
        <f>资产资本表!V35+资产资本表!V36-资产资本表!V24</f>
        <v>331513388.39999998</v>
      </c>
      <c r="W71" s="76">
        <f>资产资本表!W35+资产资本表!W36-资产资本表!W24</f>
        <v>248703664.22999999</v>
      </c>
      <c r="X71" s="76">
        <f>资产资本表!X35+资产资本表!X36-资产资本表!X24</f>
        <v>178697280.39000002</v>
      </c>
      <c r="Y71" s="76">
        <f>资产资本表!Y35+资产资本表!Y36-资产资本表!Y24</f>
        <v>342766761.33999997</v>
      </c>
      <c r="Z71" s="76">
        <f>资产资本表!Z35+资产资本表!Z36-资产资本表!Z24</f>
        <v>153756204.03999999</v>
      </c>
      <c r="AA71" s="76">
        <f>资产资本表!AA35+资产资本表!AA36-资产资本表!AA24</f>
        <v>121348816.04000001</v>
      </c>
      <c r="AB71" s="76">
        <f>资产资本表!AB35+资产资本表!AB36-资产资本表!AB24</f>
        <v>124342090.11</v>
      </c>
      <c r="AC71" s="76">
        <f>资产资本表!AC35+资产资本表!AC36-资产资本表!AC24</f>
        <v>220820651.94999999</v>
      </c>
      <c r="AD71" s="76">
        <f>资产资本表!AD35+资产资本表!AD36-资产资本表!AD24</f>
        <v>137623221.37</v>
      </c>
      <c r="AE71" s="76">
        <f>资产资本表!AE35+资产资本表!AE36-资产资本表!AE24</f>
        <v>135501566.37</v>
      </c>
      <c r="AF71" s="76">
        <f>资产资本表!AF35+资产资本表!AF36-资产资本表!AF24</f>
        <v>135295286.37</v>
      </c>
      <c r="AG71" s="76">
        <f>资产资本表!AG35+资产资本表!AG36-资产资本表!AG24</f>
        <v>134634086.37</v>
      </c>
      <c r="AH71" s="76">
        <f>资产资本表!AH35+资产资本表!AH36-资产资本表!AH24</f>
        <v>134353536.28000003</v>
      </c>
      <c r="AI71" s="76">
        <f>资产资本表!AI35+资产资本表!AI36-资产资本表!AI24</f>
        <v>133895189.28000002</v>
      </c>
      <c r="AJ71" s="76">
        <f>资产资本表!AJ35+资产资本表!AJ36-资产资本表!AJ24</f>
        <v>133321337.28000002</v>
      </c>
      <c r="AK71" s="76">
        <f>资产资本表!AK35+资产资本表!AK36-资产资本表!AK24</f>
        <v>133259334.36999999</v>
      </c>
      <c r="AL71" s="76">
        <f>资产资本表!AL35+资产资本表!AL36-资产资本表!AL24</f>
        <v>132629537.15000002</v>
      </c>
      <c r="AM71" s="76">
        <f>资产资本表!AM35+资产资本表!AM36-资产资本表!AM24</f>
        <v>132585097.01000001</v>
      </c>
      <c r="AN71" s="76">
        <f>资产资本表!AN35+资产资本表!AN36-资产资本表!AN24</f>
        <v>132294830.10000001</v>
      </c>
      <c r="AO71" s="76">
        <f>资产资本表!AO35+资产资本表!AO36-资产资本表!AO24</f>
        <v>132186830.15000002</v>
      </c>
      <c r="AP71" s="76">
        <f>资产资本表!AP35+资产资本表!AP36-资产资本表!AP24</f>
        <v>125599069.96000002</v>
      </c>
      <c r="AQ71" s="76">
        <f>资产资本表!AQ35+资产资本表!AQ36-资产资本表!AQ24</f>
        <v>118007281.46000001</v>
      </c>
      <c r="AR71" s="76">
        <f>资产资本表!AR35+资产资本表!AR36-资产资本表!AR24</f>
        <v>128331122.39</v>
      </c>
      <c r="AS71" s="76">
        <f>资产资本表!AS35+资产资本表!AS36-资产资本表!AS24</f>
        <v>144346883.28999999</v>
      </c>
      <c r="AT71" s="76">
        <f>资产资本表!AT35+资产资本表!AT36-资产资本表!AT24</f>
        <v>146266067.08000001</v>
      </c>
      <c r="AU71" s="76">
        <f>资产资本表!AU35+资产资本表!AU36-资产资本表!AU24</f>
        <v>147757640.93000001</v>
      </c>
      <c r="AV71" s="76">
        <f>资产资本表!AV35+资产资本表!AV36-资产资本表!AV24</f>
        <v>144771974.51999998</v>
      </c>
      <c r="AW71" s="76">
        <f>资产资本表!AW35+资产资本表!AW36-资产资本表!AW24</f>
        <v>145455129.10000002</v>
      </c>
      <c r="AX71" s="76">
        <f>资产资本表!AX35+资产资本表!AX36-资产资本表!AX24</f>
        <v>172912067.89000002</v>
      </c>
      <c r="AY71" s="76">
        <f>资产资本表!AY35+资产资本表!AY36-资产资本表!AY24</f>
        <v>156698728.09</v>
      </c>
      <c r="AZ71" s="76">
        <f>资产资本表!AZ35+资产资本表!AZ36-资产资本表!AZ24</f>
        <v>0</v>
      </c>
      <c r="BA71" s="76">
        <f>资产资本表!BA35+资产资本表!BA36-资产资本表!BA24</f>
        <v>167418119.18000001</v>
      </c>
      <c r="BB71" s="76">
        <f>资产资本表!BB35+资产资本表!BB36-资产资本表!BB24</f>
        <v>386318233.86000001</v>
      </c>
      <c r="BC71" s="76">
        <f>资产资本表!BC35+资产资本表!BC36-资产资本表!BC24</f>
        <v>384167492.95999998</v>
      </c>
      <c r="BD71" s="76">
        <f>资产资本表!BD35+资产资本表!BD36-资产资本表!BD24</f>
        <v>379562408.37</v>
      </c>
      <c r="BE71" s="76">
        <f>资产资本表!BE35+资产资本表!BE36-资产资本表!BE24</f>
        <v>471490028.09000003</v>
      </c>
      <c r="BF71" s="76">
        <f>资产资本表!BF35+资产资本表!BF36-资产资本表!BF24</f>
        <v>367932684.18000007</v>
      </c>
      <c r="BG71" s="76">
        <f>资产资本表!BG35+资产资本表!BG36-资产资本表!BG24</f>
        <v>112289897.19</v>
      </c>
      <c r="BH71" s="76">
        <f>资产资本表!BH35+资产资本表!BH36-资产资本表!BH24</f>
        <v>131289515.25999999</v>
      </c>
      <c r="BI71" s="76">
        <f>资产资本表!BI35+资产资本表!BI36-资产资本表!BI24</f>
        <v>338699755.61000001</v>
      </c>
      <c r="BJ71" s="76">
        <f>资产资本表!BJ35+资产资本表!BJ36-资产资本表!BJ24</f>
        <v>-8995471</v>
      </c>
      <c r="BK71" s="76">
        <f>资产资本表!BK35+资产资本表!BK36-资产资本表!BK24</f>
        <v>42436112.209999979</v>
      </c>
      <c r="BL71" s="76">
        <f>资产资本表!BL35+资产资本表!BL36-资产资本表!BL24</f>
        <v>147915825.25</v>
      </c>
      <c r="BM71" s="76">
        <f>资产资本表!BM35+资产资本表!BM36-资产资本表!BM24</f>
        <v>277350139.35000002</v>
      </c>
      <c r="BN71" s="76">
        <f>资产资本表!BN35+资产资本表!BN36-资产资本表!BN24</f>
        <v>-76706774.709999979</v>
      </c>
      <c r="BO71" s="76">
        <f>资产资本表!BO35+资产资本表!BO36-资产资本表!BO24</f>
        <v>-43467345.439999998</v>
      </c>
      <c r="BP71" s="76">
        <f>资产资本表!BP35+资产资本表!BP36-资产资本表!BP24</f>
        <v>-58550803.319999993</v>
      </c>
      <c r="BQ71" s="76">
        <f>资产资本表!BQ35+资产资本表!BQ36-资产资本表!BQ24</f>
        <v>99701811.859999985</v>
      </c>
      <c r="BR71" s="76">
        <f>资产资本表!BR35+资产资本表!BR36-资产资本表!BR24</f>
        <v>93507903.139999986</v>
      </c>
      <c r="BS71" s="76">
        <f>资产资本表!BS35+资产资本表!BS36-资产资本表!BS24</f>
        <v>-30399142.840000004</v>
      </c>
      <c r="BT71" s="76">
        <f>资产资本表!BT35+资产资本表!BT36-资产资本表!BT24</f>
        <v>-3542370.6300000008</v>
      </c>
      <c r="BU71" s="76">
        <f>资产资本表!BU35+资产资本表!BU36-资产资本表!BU24</f>
        <v>-9098594.1699999981</v>
      </c>
      <c r="BV71" s="76">
        <f>资产资本表!BV35+资产资本表!BV36-资产资本表!BV24</f>
        <v>719098.84999999963</v>
      </c>
      <c r="BW71" s="76">
        <f>资产资本表!BW35+资产资本表!BW36-资产资本表!BW24</f>
        <v>-706948.98000000045</v>
      </c>
      <c r="BX71" s="76">
        <f>资产资本表!BX35+资产资本表!BX36-资产资本表!BX24</f>
        <v>3210297.17</v>
      </c>
      <c r="BY71" s="76">
        <f>资产资本表!BY35+资产资本表!BY36-资产资本表!BY24</f>
        <v>5114793.97</v>
      </c>
      <c r="BZ71" s="76">
        <f>资产资本表!BZ35+资产资本表!BZ36-资产资本表!BZ24</f>
        <v>4584417.7299999995</v>
      </c>
      <c r="CA71" s="76">
        <f>资产资本表!CA35+资产资本表!CA36-资产资本表!CA24</f>
        <v>3175589.84</v>
      </c>
      <c r="CB71" s="76">
        <f>资产资本表!CB35+资产资本表!CB36-资产资本表!CB24</f>
        <v>6164019.2599999998</v>
      </c>
      <c r="CC71" s="76">
        <f>资产资本表!CC35+资产资本表!CC36-资产资本表!CC24</f>
        <v>5798063.1799999997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3.2129306030943936</v>
      </c>
      <c r="F72" s="155">
        <f t="shared" ref="F72:BQ72" si="36">F67/(F71+J71)*2</f>
        <v>1.3973142322915182</v>
      </c>
      <c r="G72" s="155">
        <f t="shared" si="36"/>
        <v>1.2826347032943237</v>
      </c>
      <c r="H72" s="155">
        <f t="shared" si="36"/>
        <v>1.0719800915232836</v>
      </c>
      <c r="I72" s="155">
        <f t="shared" si="36"/>
        <v>9.0321588426684176</v>
      </c>
      <c r="J72" s="155">
        <f t="shared" si="36"/>
        <v>8.9332989244939469</v>
      </c>
      <c r="K72" s="155">
        <f t="shared" si="36"/>
        <v>6.8919966571535181</v>
      </c>
      <c r="L72" s="155">
        <f t="shared" si="36"/>
        <v>5.634015932627241</v>
      </c>
      <c r="M72" s="155">
        <f t="shared" si="36"/>
        <v>0.85539631480642231</v>
      </c>
      <c r="N72" s="155">
        <f t="shared" si="36"/>
        <v>0.6306090917213496</v>
      </c>
      <c r="O72" s="155">
        <f t="shared" si="36"/>
        <v>0.32573482889530808</v>
      </c>
      <c r="P72" s="155">
        <f t="shared" si="36"/>
        <v>0.32057524715409963</v>
      </c>
      <c r="Q72" s="155">
        <f t="shared" si="36"/>
        <v>2.1074590971739888</v>
      </c>
      <c r="R72" s="155">
        <f t="shared" si="36"/>
        <v>1.5989850022971079</v>
      </c>
      <c r="S72" s="155">
        <f t="shared" si="36"/>
        <v>1.341862940695036</v>
      </c>
      <c r="T72" s="155">
        <f t="shared" si="36"/>
        <v>0.88723056580660753</v>
      </c>
      <c r="U72" s="155">
        <f t="shared" si="36"/>
        <v>4.4753180823904248</v>
      </c>
      <c r="V72" s="155">
        <f t="shared" si="36"/>
        <v>0.7249364221466158</v>
      </c>
      <c r="W72" s="155">
        <f t="shared" si="36"/>
        <v>0.68319966053338199</v>
      </c>
      <c r="X72" s="155">
        <f t="shared" si="36"/>
        <v>0.5003845923709771</v>
      </c>
      <c r="Y72" s="155">
        <f t="shared" si="36"/>
        <v>4.2987903996595307</v>
      </c>
      <c r="Z72" s="155">
        <f t="shared" si="36"/>
        <v>1.1850424610939245</v>
      </c>
      <c r="AA72" s="155">
        <f t="shared" si="36"/>
        <v>0.48690431466973338</v>
      </c>
      <c r="AB72" s="155">
        <f t="shared" si="36"/>
        <v>0.21851413817675161</v>
      </c>
      <c r="AC72" s="155">
        <f t="shared" si="36"/>
        <v>2.6470299501618979</v>
      </c>
      <c r="AD72" s="155">
        <f t="shared" si="36"/>
        <v>1.2538081156141762E-2</v>
      </c>
      <c r="AE72" s="155">
        <f t="shared" si="36"/>
        <v>3.2577309919062489E-3</v>
      </c>
      <c r="AF72" s="155">
        <f t="shared" si="36"/>
        <v>2.3504010713150812E-3</v>
      </c>
      <c r="AG72" s="155">
        <f t="shared" si="36"/>
        <v>3.0608473837654276E-2</v>
      </c>
      <c r="AH72" s="155">
        <f t="shared" si="36"/>
        <v>3.2549671289473989E-2</v>
      </c>
      <c r="AI72" s="155">
        <f t="shared" si="36"/>
        <v>2.9383829434492161E-2</v>
      </c>
      <c r="AJ72" s="155">
        <f t="shared" si="36"/>
        <v>6.3249161998355755E-4</v>
      </c>
      <c r="AK72" s="155">
        <f t="shared" si="36"/>
        <v>2.8584851221040351E-2</v>
      </c>
      <c r="AL72" s="155">
        <f t="shared" si="36"/>
        <v>4.9210351022754267E-3</v>
      </c>
      <c r="AM72" s="155">
        <f t="shared" si="36"/>
        <v>3.3886200577391405E-3</v>
      </c>
      <c r="AN72" s="155">
        <f t="shared" si="36"/>
        <v>1.1710209097910546E-3</v>
      </c>
      <c r="AO72" s="155">
        <f t="shared" si="36"/>
        <v>0.21385547897338503</v>
      </c>
      <c r="AP72" s="155">
        <f t="shared" si="36"/>
        <v>0.28533861761240259</v>
      </c>
      <c r="AQ72" s="155">
        <f t="shared" si="36"/>
        <v>0.28163701276634834</v>
      </c>
      <c r="AR72" s="155">
        <f t="shared" si="36"/>
        <v>0.14542400166589164</v>
      </c>
      <c r="AS72" s="155">
        <f t="shared" si="36"/>
        <v>1.6492965357906983</v>
      </c>
      <c r="AT72" s="155">
        <f t="shared" si="36"/>
        <v>1.2440892198249189</v>
      </c>
      <c r="AU72" s="155">
        <f t="shared" si="36"/>
        <v>0.92034240440407133</v>
      </c>
      <c r="AV72" s="155">
        <f t="shared" si="36"/>
        <v>0.78580312796855556</v>
      </c>
      <c r="AW72" s="155">
        <f t="shared" si="36"/>
        <v>1.3793489826710346</v>
      </c>
      <c r="AX72" s="155">
        <f t="shared" si="36"/>
        <v>0.41960973825217079</v>
      </c>
      <c r="AY72" s="155">
        <f t="shared" si="36"/>
        <v>0.25465953091433124</v>
      </c>
      <c r="AZ72" s="155">
        <f t="shared" si="36"/>
        <v>0.20795766709082439</v>
      </c>
      <c r="BA72" s="155">
        <f t="shared" si="36"/>
        <v>0.68339752830774703</v>
      </c>
      <c r="BB72" s="155">
        <f t="shared" si="36"/>
        <v>0.52272041795392443</v>
      </c>
      <c r="BC72" s="155">
        <f t="shared" si="36"/>
        <v>0.69757612308956385</v>
      </c>
      <c r="BD72" s="155">
        <f t="shared" si="36"/>
        <v>0.39317711463777427</v>
      </c>
      <c r="BE72" s="155">
        <f t="shared" si="36"/>
        <v>1.8719306232594746</v>
      </c>
      <c r="BF72" s="155">
        <f t="shared" si="36"/>
        <v>3.1809983166259781</v>
      </c>
      <c r="BG72" s="155">
        <f t="shared" si="36"/>
        <v>4.5868969674338418</v>
      </c>
      <c r="BH72" s="155">
        <f t="shared" si="36"/>
        <v>1.1077717369411215</v>
      </c>
      <c r="BI72" s="155">
        <f t="shared" si="36"/>
        <v>2.4988918687178017</v>
      </c>
      <c r="BJ72" s="155">
        <f t="shared" si="36"/>
        <v>-11.763819616483655</v>
      </c>
      <c r="BK72" s="155">
        <f t="shared" si="36"/>
        <v>-542.94713206632184</v>
      </c>
      <c r="BL72" s="155">
        <f t="shared" si="36"/>
        <v>2.5820158632170549</v>
      </c>
      <c r="BM72" s="155">
        <f t="shared" si="36"/>
        <v>4.7799907170250968</v>
      </c>
      <c r="BN72" s="155">
        <f t="shared" si="36"/>
        <v>73.060243912438168</v>
      </c>
      <c r="BO72" s="155">
        <f t="shared" si="36"/>
        <v>-10.41681452383782</v>
      </c>
      <c r="BP72" s="155">
        <f t="shared" si="36"/>
        <v>-6.210698476301677</v>
      </c>
      <c r="BQ72" s="155">
        <f t="shared" si="36"/>
        <v>15.124476765588922</v>
      </c>
      <c r="BR72" s="155">
        <f t="shared" ref="BR72:CJ72" si="37">BR67/(BR71+BV71)*2</f>
        <v>4.1740177264871514</v>
      </c>
      <c r="BS72" s="155">
        <f t="shared" si="37"/>
        <v>-8.1001420962178585</v>
      </c>
      <c r="BT72" s="155">
        <f t="shared" si="37"/>
        <v>-416.27822380023872</v>
      </c>
      <c r="BU72" s="155">
        <f t="shared" si="37"/>
        <v>-31.216340955050921</v>
      </c>
      <c r="BV72" s="155">
        <f t="shared" si="37"/>
        <v>9.622226688692658</v>
      </c>
      <c r="BW72" s="155">
        <f t="shared" si="37"/>
        <v>30.547840166592731</v>
      </c>
      <c r="BX72" s="155">
        <f t="shared" si="37"/>
        <v>3.1336914855988063</v>
      </c>
      <c r="BY72" s="155">
        <f t="shared" si="37"/>
        <v>6.8958416889017933</v>
      </c>
      <c r="BZ72" s="155">
        <f t="shared" si="37"/>
        <v>8.8283406625774496</v>
      </c>
      <c r="CA72" s="155">
        <f t="shared" si="37"/>
        <v>28.390898788113013</v>
      </c>
      <c r="CB72" s="155">
        <f t="shared" si="37"/>
        <v>16.176025760828011</v>
      </c>
      <c r="CC72" s="155">
        <f t="shared" si="37"/>
        <v>13.605649519672879</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113.6034496507538</v>
      </c>
      <c r="F73" s="83">
        <f t="shared" ref="F73:BQ73" si="38">F62/F72</f>
        <v>261.21540278124854</v>
      </c>
      <c r="G73" s="83">
        <f t="shared" si="38"/>
        <v>284.5705009092087</v>
      </c>
      <c r="H73" s="83">
        <f t="shared" si="38"/>
        <v>340.49139800846024</v>
      </c>
      <c r="I73" s="83">
        <f t="shared" si="38"/>
        <v>40.411158213440601</v>
      </c>
      <c r="J73" s="83">
        <f t="shared" si="38"/>
        <v>40.858366330854253</v>
      </c>
      <c r="K73" s="83">
        <f t="shared" si="38"/>
        <v>52.959979256686061</v>
      </c>
      <c r="L73" s="83">
        <f t="shared" si="38"/>
        <v>64.785049308476857</v>
      </c>
      <c r="M73" s="83">
        <f t="shared" si="38"/>
        <v>426.7027969165382</v>
      </c>
      <c r="N73" s="83">
        <f t="shared" si="38"/>
        <v>578.80548313008524</v>
      </c>
      <c r="O73" s="83">
        <f t="shared" si="38"/>
        <v>1120.5433611071164</v>
      </c>
      <c r="P73" s="83">
        <f t="shared" si="38"/>
        <v>1138.5782378405077</v>
      </c>
      <c r="Q73" s="83">
        <f t="shared" si="38"/>
        <v>173.19434597304837</v>
      </c>
      <c r="R73" s="83">
        <f t="shared" si="38"/>
        <v>228.26980833193534</v>
      </c>
      <c r="S73" s="83">
        <f t="shared" si="38"/>
        <v>272.00989678643583</v>
      </c>
      <c r="T73" s="83">
        <f t="shared" si="38"/>
        <v>411.39249938731285</v>
      </c>
      <c r="U73" s="83">
        <f t="shared" si="38"/>
        <v>81.558448646635782</v>
      </c>
      <c r="V73" s="83">
        <f t="shared" si="38"/>
        <v>503.49242892113932</v>
      </c>
      <c r="W73" s="83">
        <f t="shared" si="38"/>
        <v>534.25085093725045</v>
      </c>
      <c r="X73" s="83">
        <f t="shared" si="38"/>
        <v>729.43892670738921</v>
      </c>
      <c r="Y73" s="83">
        <f t="shared" si="38"/>
        <v>84.907605643882619</v>
      </c>
      <c r="Z73" s="83">
        <f t="shared" si="38"/>
        <v>308.005841126625</v>
      </c>
      <c r="AA73" s="83">
        <f t="shared" si="38"/>
        <v>749.63394039253706</v>
      </c>
      <c r="AB73" s="83">
        <f t="shared" si="38"/>
        <v>1670.3724667223087</v>
      </c>
      <c r="AC73" s="83">
        <f t="shared" si="38"/>
        <v>137.89039295821939</v>
      </c>
      <c r="AD73" s="83">
        <f t="shared" si="38"/>
        <v>29111.312604736591</v>
      </c>
      <c r="AE73" s="83">
        <f t="shared" si="38"/>
        <v>112041.17249301227</v>
      </c>
      <c r="AF73" s="83">
        <f t="shared" si="38"/>
        <v>155292.64535085391</v>
      </c>
      <c r="AG73" s="83">
        <f t="shared" si="38"/>
        <v>11924.802325523993</v>
      </c>
      <c r="AH73" s="83">
        <f t="shared" si="38"/>
        <v>11213.630907481232</v>
      </c>
      <c r="AI73" s="83">
        <f t="shared" si="38"/>
        <v>12421.798214345246</v>
      </c>
      <c r="AJ73" s="83">
        <f t="shared" si="38"/>
        <v>577082.74460535718</v>
      </c>
      <c r="AK73" s="83">
        <f t="shared" si="38"/>
        <v>12769.001215977494</v>
      </c>
      <c r="AL73" s="83">
        <f t="shared" si="38"/>
        <v>74171.387200881465</v>
      </c>
      <c r="AM73" s="83">
        <f t="shared" si="38"/>
        <v>107713.46264282134</v>
      </c>
      <c r="AN73" s="83">
        <f t="shared" si="38"/>
        <v>311693.8365047017</v>
      </c>
      <c r="AO73" s="83">
        <f t="shared" si="38"/>
        <v>1706.7601061809848</v>
      </c>
      <c r="AP73" s="83">
        <f t="shared" si="38"/>
        <v>1279.1819174501209</v>
      </c>
      <c r="AQ73" s="83">
        <f t="shared" si="38"/>
        <v>1295.9944306141724</v>
      </c>
      <c r="AR73" s="83">
        <f t="shared" si="38"/>
        <v>2509.9020506847228</v>
      </c>
      <c r="AS73" s="83">
        <f t="shared" si="38"/>
        <v>221.30647344445754</v>
      </c>
      <c r="AT73" s="83">
        <f t="shared" si="38"/>
        <v>293.3873183559669</v>
      </c>
      <c r="AU73" s="83">
        <f t="shared" si="38"/>
        <v>396.5915275156101</v>
      </c>
      <c r="AV73" s="83">
        <f t="shared" si="38"/>
        <v>464.49293341907611</v>
      </c>
      <c r="AW73" s="83">
        <f t="shared" si="38"/>
        <v>264.61758741663567</v>
      </c>
      <c r="AX73" s="83">
        <f t="shared" si="38"/>
        <v>869.85588447103135</v>
      </c>
      <c r="AY73" s="83">
        <f t="shared" si="38"/>
        <v>1433.2862339355672</v>
      </c>
      <c r="AZ73" s="83">
        <f t="shared" si="38"/>
        <v>1755.1649097918964</v>
      </c>
      <c r="BA73" s="83">
        <f t="shared" si="38"/>
        <v>534.09616640526315</v>
      </c>
      <c r="BB73" s="83">
        <f t="shared" si="38"/>
        <v>698.27002631485732</v>
      </c>
      <c r="BC73" s="83">
        <f t="shared" si="38"/>
        <v>523.24038612935237</v>
      </c>
      <c r="BD73" s="83">
        <f t="shared" si="38"/>
        <v>928.33480487862766</v>
      </c>
      <c r="BE73" s="83">
        <f t="shared" si="38"/>
        <v>194.98585869835739</v>
      </c>
      <c r="BF73" s="83">
        <f t="shared" si="38"/>
        <v>114.74385198265313</v>
      </c>
      <c r="BG73" s="83">
        <f t="shared" si="38"/>
        <v>79.574492863353058</v>
      </c>
      <c r="BH73" s="83">
        <f t="shared" si="38"/>
        <v>329.4902621435989</v>
      </c>
      <c r="BI73" s="83">
        <f t="shared" si="38"/>
        <v>146.06474356462809</v>
      </c>
      <c r="BJ73" s="83">
        <f t="shared" si="38"/>
        <v>-31.027337369960694</v>
      </c>
      <c r="BK73" s="83">
        <f t="shared" si="38"/>
        <v>-0.6722569812845326</v>
      </c>
      <c r="BL73" s="83">
        <f t="shared" si="38"/>
        <v>141.36241577742646</v>
      </c>
      <c r="BM73" s="83">
        <f t="shared" si="38"/>
        <v>76.35998093049929</v>
      </c>
      <c r="BN73" s="83">
        <f t="shared" si="38"/>
        <v>4.9958771070823165</v>
      </c>
      <c r="BO73" s="83">
        <f t="shared" si="38"/>
        <v>-35.039502639193074</v>
      </c>
      <c r="BP73" s="83">
        <f t="shared" si="38"/>
        <v>-58.769557303858811</v>
      </c>
      <c r="BQ73" s="83">
        <f t="shared" si="38"/>
        <v>24.133066264510045</v>
      </c>
      <c r="BR73" s="83">
        <f t="shared" ref="BR73:CJ73" si="39">BR62/BR72</f>
        <v>87.445723501319094</v>
      </c>
      <c r="BS73" s="83">
        <f t="shared" si="39"/>
        <v>-45.060937902611222</v>
      </c>
      <c r="BT73" s="83">
        <f t="shared" si="39"/>
        <v>-0.87681742433674403</v>
      </c>
      <c r="BU73" s="83">
        <f t="shared" si="39"/>
        <v>-11.692593969471673</v>
      </c>
      <c r="BV73" s="83">
        <f t="shared" si="39"/>
        <v>37.933007796305766</v>
      </c>
      <c r="BW73" s="83">
        <f t="shared" si="39"/>
        <v>11.948471578005892</v>
      </c>
      <c r="BX73" s="83">
        <f t="shared" si="39"/>
        <v>116.47604803389042</v>
      </c>
      <c r="BY73" s="83">
        <f t="shared" si="39"/>
        <v>52.930449460206297</v>
      </c>
      <c r="BZ73" s="83">
        <f t="shared" si="39"/>
        <v>41.344122746327919</v>
      </c>
      <c r="CA73" s="83">
        <f t="shared" si="39"/>
        <v>12.856232651317889</v>
      </c>
      <c r="CB73" s="83">
        <f t="shared" si="39"/>
        <v>22.564256845082852</v>
      </c>
      <c r="CC73" s="83">
        <f t="shared" si="39"/>
        <v>26.827091163287271</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2085.0982416274128</v>
      </c>
      <c r="F74" s="256">
        <f t="shared" ref="F74:BQ74" si="40">F66+F70</f>
        <v>5650.8518635090841</v>
      </c>
      <c r="G74" s="256">
        <f t="shared" si="40"/>
        <v>6239.1940561910806</v>
      </c>
      <c r="H74" s="256">
        <f t="shared" si="40"/>
        <v>8557.7585705563524</v>
      </c>
      <c r="I74" s="256">
        <f t="shared" si="40"/>
        <v>712.90746495236874</v>
      </c>
      <c r="J74" s="256">
        <f t="shared" si="40"/>
        <v>938.19001648884182</v>
      </c>
      <c r="K74" s="256">
        <f t="shared" si="40"/>
        <v>1118.7800360858646</v>
      </c>
      <c r="L74" s="256">
        <f t="shared" si="40"/>
        <v>1467.4913092104428</v>
      </c>
      <c r="M74" s="256">
        <f t="shared" si="40"/>
        <v>9220.0801544871938</v>
      </c>
      <c r="N74" s="256">
        <f t="shared" si="40"/>
        <v>13934.294993089659</v>
      </c>
      <c r="O74" s="256">
        <f t="shared" si="40"/>
        <v>25629.717425601339</v>
      </c>
      <c r="P74" s="256">
        <f t="shared" si="40"/>
        <v>34116.635744926702</v>
      </c>
      <c r="Q74" s="256">
        <f t="shared" si="40"/>
        <v>2711.2322834940437</v>
      </c>
      <c r="R74" s="256">
        <f t="shared" si="40"/>
        <v>3693.2256050982587</v>
      </c>
      <c r="S74" s="256">
        <f t="shared" si="40"/>
        <v>4642.8441016059614</v>
      </c>
      <c r="T74" s="256">
        <f t="shared" si="40"/>
        <v>11049.56824245015</v>
      </c>
      <c r="U74" s="256">
        <f t="shared" si="40"/>
        <v>887.39896298474889</v>
      </c>
      <c r="V74" s="256">
        <f t="shared" si="40"/>
        <v>7042.3409360492733</v>
      </c>
      <c r="W74" s="256">
        <f t="shared" si="40"/>
        <v>9547.7197491461866</v>
      </c>
      <c r="X74" s="256">
        <f t="shared" si="40"/>
        <v>14932.98386377864</v>
      </c>
      <c r="Y74" s="256">
        <f t="shared" si="40"/>
        <v>782.71808634389743</v>
      </c>
      <c r="Z74" s="256">
        <f t="shared" si="40"/>
        <v>3239.8683576771082</v>
      </c>
      <c r="AA74" s="256">
        <f t="shared" si="40"/>
        <v>7507.8133396415415</v>
      </c>
      <c r="AB74" s="256">
        <f t="shared" si="40"/>
        <v>16456.299725158766</v>
      </c>
      <c r="AC74" s="256">
        <f t="shared" si="40"/>
        <v>1105.2703416123136</v>
      </c>
      <c r="AD74" s="256">
        <f t="shared" si="40"/>
        <v>10660.168151421574</v>
      </c>
      <c r="AE74" s="256">
        <f t="shared" si="40"/>
        <v>36373.83612321566</v>
      </c>
      <c r="AF74" s="256">
        <f t="shared" si="40"/>
        <v>56572.739473671711</v>
      </c>
      <c r="AG74" s="256">
        <f t="shared" si="40"/>
        <v>9206.6944184594431</v>
      </c>
      <c r="AH74" s="256">
        <f t="shared" si="40"/>
        <v>8597.6870061583177</v>
      </c>
      <c r="AI74" s="256">
        <f t="shared" si="40"/>
        <v>11239.635006269897</v>
      </c>
      <c r="AJ74" s="256">
        <f t="shared" si="40"/>
        <v>231276.86494892428</v>
      </c>
      <c r="AK74" s="256">
        <f t="shared" si="40"/>
        <v>8752.3720688585909</v>
      </c>
      <c r="AL74" s="256">
        <f t="shared" si="40"/>
        <v>29718.703142636823</v>
      </c>
      <c r="AM74" s="256">
        <f t="shared" si="40"/>
        <v>40411.050819963573</v>
      </c>
      <c r="AN74" s="256">
        <f t="shared" si="40"/>
        <v>120632.14534193274</v>
      </c>
      <c r="AO74" s="256">
        <f t="shared" si="40"/>
        <v>998.27786981615554</v>
      </c>
      <c r="AP74" s="256">
        <f t="shared" si="40"/>
        <v>691.12930953330306</v>
      </c>
      <c r="AQ74" s="256">
        <f t="shared" si="40"/>
        <v>702.3918578057079</v>
      </c>
      <c r="AR74" s="256">
        <f t="shared" si="40"/>
        <v>1488.6576262628146</v>
      </c>
      <c r="AS74" s="256">
        <f t="shared" si="40"/>
        <v>126.8617829355197</v>
      </c>
      <c r="AT74" s="256">
        <f t="shared" si="40"/>
        <v>380.5161345032875</v>
      </c>
      <c r="AU74" s="256">
        <f t="shared" si="40"/>
        <v>526.96262859895955</v>
      </c>
      <c r="AV74" s="256">
        <f t="shared" si="40"/>
        <v>229.18240227173874</v>
      </c>
      <c r="AW74" s="256">
        <f t="shared" si="40"/>
        <v>361.95907506946912</v>
      </c>
      <c r="AX74" s="256">
        <f t="shared" si="40"/>
        <v>1141.4398762673238</v>
      </c>
      <c r="AY74" s="256">
        <f t="shared" si="40"/>
        <v>1962.4317545912445</v>
      </c>
      <c r="AZ74" s="256">
        <f t="shared" si="40"/>
        <v>1811.0472056110866</v>
      </c>
      <c r="BA74" s="256">
        <f t="shared" si="40"/>
        <v>588.40840695087411</v>
      </c>
      <c r="BB74" s="256">
        <f t="shared" si="40"/>
        <v>647.47403230970258</v>
      </c>
      <c r="BC74" s="256">
        <f t="shared" si="40"/>
        <v>578.19576773311223</v>
      </c>
      <c r="BD74" s="256">
        <f t="shared" si="40"/>
        <v>1261.4433916659336</v>
      </c>
      <c r="BE74" s="256">
        <f t="shared" si="40"/>
        <v>154.22411757782351</v>
      </c>
      <c r="BF74" s="256">
        <f t="shared" si="40"/>
        <v>188.51536533302053</v>
      </c>
      <c r="BG74" s="256">
        <f t="shared" si="40"/>
        <v>199.53274068182316</v>
      </c>
      <c r="BH74" s="256">
        <f t="shared" si="40"/>
        <v>603.20046850287986</v>
      </c>
      <c r="BI74" s="256">
        <f t="shared" si="40"/>
        <v>138.03424397514982</v>
      </c>
      <c r="BJ74" s="256">
        <f t="shared" si="40"/>
        <v>220.39624648505014</v>
      </c>
      <c r="BK74" s="256">
        <f t="shared" si="40"/>
        <v>351.6580245511405</v>
      </c>
      <c r="BL74" s="256">
        <f t="shared" si="40"/>
        <v>785.7266923861132</v>
      </c>
      <c r="BM74" s="256">
        <f t="shared" si="40"/>
        <v>114.43827143829537</v>
      </c>
      <c r="BN74" s="256">
        <f t="shared" si="40"/>
        <v>162.41542887944925</v>
      </c>
      <c r="BO74" s="256">
        <f t="shared" si="40"/>
        <v>226.02747296422189</v>
      </c>
      <c r="BP74" s="256">
        <f t="shared" si="40"/>
        <v>333.07862435784716</v>
      </c>
      <c r="BQ74" s="256">
        <f t="shared" si="40"/>
        <v>88.770911227842959</v>
      </c>
      <c r="BR74" s="256">
        <f t="shared" ref="BR74:CK74" si="41">BR66+BR70</f>
        <v>278.70897772413042</v>
      </c>
      <c r="BS74" s="256">
        <f t="shared" si="41"/>
        <v>309.65221009136422</v>
      </c>
      <c r="BT74" s="256">
        <f t="shared" si="41"/>
        <v>324.6943100951604</v>
      </c>
      <c r="BU74" s="256">
        <f t="shared" si="41"/>
        <v>285.29028496211913</v>
      </c>
      <c r="BV74" s="256">
        <f t="shared" si="41"/>
        <v>751.02360662474348</v>
      </c>
      <c r="BW74" s="256">
        <f t="shared" si="41"/>
        <v>434.94110503525587</v>
      </c>
      <c r="BX74" s="256">
        <f t="shared" si="41"/>
        <v>1216.073960963027</v>
      </c>
      <c r="BY74" s="256">
        <f t="shared" si="41"/>
        <v>398.80723218682294</v>
      </c>
      <c r="BZ74" s="256">
        <f t="shared" si="41"/>
        <v>391.3954207284616</v>
      </c>
      <c r="CA74" s="256">
        <f t="shared" si="41"/>
        <v>164.4655001471894</v>
      </c>
      <c r="CB74" s="256">
        <f t="shared" si="41"/>
        <v>179.49375823338423</v>
      </c>
      <c r="CC74" s="256">
        <f t="shared" si="41"/>
        <v>185.87305040468217</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1971.4947919766589</v>
      </c>
      <c r="F75" s="256">
        <f t="shared" ref="F75:BQ75" si="42">F74-F73</f>
        <v>5389.6364607278356</v>
      </c>
      <c r="G75" s="256">
        <f t="shared" si="42"/>
        <v>5954.6235552818716</v>
      </c>
      <c r="H75" s="256">
        <f t="shared" si="42"/>
        <v>8217.2671725478922</v>
      </c>
      <c r="I75" s="256">
        <f t="shared" si="42"/>
        <v>672.49630673892818</v>
      </c>
      <c r="J75" s="256">
        <f t="shared" si="42"/>
        <v>897.33165015798761</v>
      </c>
      <c r="K75" s="256">
        <f t="shared" si="42"/>
        <v>1065.8200568291786</v>
      </c>
      <c r="L75" s="256">
        <f t="shared" si="42"/>
        <v>1402.706259901966</v>
      </c>
      <c r="M75" s="256">
        <f t="shared" si="42"/>
        <v>8793.3773575706564</v>
      </c>
      <c r="N75" s="256">
        <f t="shared" si="42"/>
        <v>13355.489509959574</v>
      </c>
      <c r="O75" s="256">
        <f t="shared" si="42"/>
        <v>24509.174064494222</v>
      </c>
      <c r="P75" s="256">
        <f t="shared" si="42"/>
        <v>32978.057507086196</v>
      </c>
      <c r="Q75" s="256">
        <f t="shared" si="42"/>
        <v>2538.0379375209955</v>
      </c>
      <c r="R75" s="256">
        <f t="shared" si="42"/>
        <v>3464.9557967663231</v>
      </c>
      <c r="S75" s="256">
        <f t="shared" si="42"/>
        <v>4370.8342048195254</v>
      </c>
      <c r="T75" s="256">
        <f t="shared" si="42"/>
        <v>10638.175743062837</v>
      </c>
      <c r="U75" s="256">
        <f t="shared" si="42"/>
        <v>805.84051433811305</v>
      </c>
      <c r="V75" s="256">
        <f t="shared" si="42"/>
        <v>6538.8485071281339</v>
      </c>
      <c r="W75" s="256">
        <f t="shared" si="42"/>
        <v>9013.4688982089356</v>
      </c>
      <c r="X75" s="256">
        <f t="shared" si="42"/>
        <v>14203.54493707125</v>
      </c>
      <c r="Y75" s="256">
        <f t="shared" si="42"/>
        <v>697.81048070001475</v>
      </c>
      <c r="Z75" s="256">
        <f t="shared" si="42"/>
        <v>2931.8625165504832</v>
      </c>
      <c r="AA75" s="256">
        <f t="shared" si="42"/>
        <v>6758.1793992490047</v>
      </c>
      <c r="AB75" s="256">
        <f t="shared" si="42"/>
        <v>14785.927258436457</v>
      </c>
      <c r="AC75" s="256">
        <f t="shared" si="42"/>
        <v>967.37994865409416</v>
      </c>
      <c r="AD75" s="256">
        <f t="shared" si="42"/>
        <v>-18451.144453315017</v>
      </c>
      <c r="AE75" s="256">
        <f t="shared" si="42"/>
        <v>-75667.336369796612</v>
      </c>
      <c r="AF75" s="256">
        <f t="shared" si="42"/>
        <v>-98719.905877182202</v>
      </c>
      <c r="AG75" s="256">
        <f t="shared" si="42"/>
        <v>-2718.1079070645501</v>
      </c>
      <c r="AH75" s="256">
        <f t="shared" si="42"/>
        <v>-2615.9439013229148</v>
      </c>
      <c r="AI75" s="256">
        <f t="shared" si="42"/>
        <v>-1182.1632080753498</v>
      </c>
      <c r="AJ75" s="256">
        <f t="shared" si="42"/>
        <v>-345805.87965643289</v>
      </c>
      <c r="AK75" s="256">
        <f t="shared" si="42"/>
        <v>-4016.6291471189033</v>
      </c>
      <c r="AL75" s="256">
        <f t="shared" si="42"/>
        <v>-44452.684058244646</v>
      </c>
      <c r="AM75" s="256">
        <f t="shared" si="42"/>
        <v>-67302.411822857772</v>
      </c>
      <c r="AN75" s="256">
        <f t="shared" si="42"/>
        <v>-191061.69116276896</v>
      </c>
      <c r="AO75" s="256">
        <f t="shared" si="42"/>
        <v>-708.4822363648293</v>
      </c>
      <c r="AP75" s="256">
        <f t="shared" si="42"/>
        <v>-588.05260791681781</v>
      </c>
      <c r="AQ75" s="256">
        <f t="shared" si="42"/>
        <v>-593.60257280846452</v>
      </c>
      <c r="AR75" s="256">
        <f t="shared" si="42"/>
        <v>-1021.2444244219082</v>
      </c>
      <c r="AS75" s="256">
        <f t="shared" si="42"/>
        <v>-94.444690508937839</v>
      </c>
      <c r="AT75" s="256">
        <f t="shared" si="42"/>
        <v>87.128816147320606</v>
      </c>
      <c r="AU75" s="256">
        <f t="shared" si="42"/>
        <v>130.37110108334946</v>
      </c>
      <c r="AV75" s="256">
        <f t="shared" si="42"/>
        <v>-235.31053114733737</v>
      </c>
      <c r="AW75" s="256">
        <f t="shared" si="42"/>
        <v>97.34148765283345</v>
      </c>
      <c r="AX75" s="256">
        <f t="shared" si="42"/>
        <v>271.58399179629248</v>
      </c>
      <c r="AY75" s="256">
        <f t="shared" si="42"/>
        <v>529.14552065567727</v>
      </c>
      <c r="AZ75" s="256">
        <f t="shared" si="42"/>
        <v>55.882295819190176</v>
      </c>
      <c r="BA75" s="256">
        <f t="shared" si="42"/>
        <v>54.312240545610962</v>
      </c>
      <c r="BB75" s="256">
        <f t="shared" si="42"/>
        <v>-50.795994005154739</v>
      </c>
      <c r="BC75" s="256">
        <f t="shared" si="42"/>
        <v>54.955381603759861</v>
      </c>
      <c r="BD75" s="256">
        <f t="shared" si="42"/>
        <v>333.10858678730597</v>
      </c>
      <c r="BE75" s="256">
        <f t="shared" si="42"/>
        <v>-40.761741120533884</v>
      </c>
      <c r="BF75" s="256">
        <f t="shared" si="42"/>
        <v>73.7715133503674</v>
      </c>
      <c r="BG75" s="256">
        <f t="shared" si="42"/>
        <v>119.9582478184701</v>
      </c>
      <c r="BH75" s="256">
        <f t="shared" si="42"/>
        <v>273.71020635928096</v>
      </c>
      <c r="BI75" s="256">
        <f t="shared" si="42"/>
        <v>-8.0304995894782678</v>
      </c>
      <c r="BJ75" s="256">
        <f t="shared" si="42"/>
        <v>251.42358385501083</v>
      </c>
      <c r="BK75" s="256">
        <f t="shared" si="42"/>
        <v>352.33028153242503</v>
      </c>
      <c r="BL75" s="256">
        <f t="shared" si="42"/>
        <v>644.36427660868674</v>
      </c>
      <c r="BM75" s="256">
        <f t="shared" si="42"/>
        <v>38.078290507796083</v>
      </c>
      <c r="BN75" s="256">
        <f t="shared" si="42"/>
        <v>157.41955177236693</v>
      </c>
      <c r="BO75" s="256">
        <f t="shared" si="42"/>
        <v>261.06697560341496</v>
      </c>
      <c r="BP75" s="256">
        <f t="shared" si="42"/>
        <v>391.84818166170595</v>
      </c>
      <c r="BQ75" s="256">
        <f t="shared" si="42"/>
        <v>64.63784496333291</v>
      </c>
      <c r="BR75" s="256">
        <f t="shared" ref="BR75:CJ75" si="43">BR74-BR73</f>
        <v>191.26325422281133</v>
      </c>
      <c r="BS75" s="256">
        <f t="shared" si="43"/>
        <v>354.71314799397544</v>
      </c>
      <c r="BT75" s="256">
        <f t="shared" si="43"/>
        <v>325.57112751949717</v>
      </c>
      <c r="BU75" s="256">
        <f t="shared" si="43"/>
        <v>296.98287893159079</v>
      </c>
      <c r="BV75" s="256">
        <f t="shared" si="43"/>
        <v>713.09059882843769</v>
      </c>
      <c r="BW75" s="256">
        <f t="shared" si="43"/>
        <v>422.99263345725001</v>
      </c>
      <c r="BX75" s="256">
        <f t="shared" si="43"/>
        <v>1099.5979129291366</v>
      </c>
      <c r="BY75" s="256">
        <f t="shared" si="43"/>
        <v>345.87678272661663</v>
      </c>
      <c r="BZ75" s="256">
        <f t="shared" si="43"/>
        <v>350.05129798213369</v>
      </c>
      <c r="CA75" s="256">
        <f t="shared" si="43"/>
        <v>151.60926749587151</v>
      </c>
      <c r="CB75" s="256">
        <f t="shared" si="43"/>
        <v>156.92950138830139</v>
      </c>
      <c r="CC75" s="256">
        <f t="shared" si="43"/>
        <v>159.04595924139491</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-9192842028.8100014</v>
      </c>
      <c r="F76" s="120">
        <f t="shared" ref="F76:BQ76" si="44">F71-F64-F68</f>
        <v>-9008165078.0200005</v>
      </c>
      <c r="G76" s="120">
        <f t="shared" si="44"/>
        <v>-7751827878.0900002</v>
      </c>
      <c r="H76" s="120">
        <f t="shared" si="44"/>
        <v>-7843467512.6100006</v>
      </c>
      <c r="I76" s="120">
        <f t="shared" si="44"/>
        <v>-7889408843.1199989</v>
      </c>
      <c r="J76" s="120">
        <f t="shared" si="44"/>
        <v>-7383794177.7900009</v>
      </c>
      <c r="K76" s="120">
        <f t="shared" si="44"/>
        <v>-7608276748.25</v>
      </c>
      <c r="L76" s="120">
        <f t="shared" si="44"/>
        <v>-7273410851.0200005</v>
      </c>
      <c r="M76" s="120">
        <f t="shared" si="44"/>
        <v>-7053387047.1100006</v>
      </c>
      <c r="N76" s="120">
        <f t="shared" si="44"/>
        <v>-7742963681.2200012</v>
      </c>
      <c r="O76" s="120">
        <f t="shared" si="44"/>
        <v>-8216658237.6700001</v>
      </c>
      <c r="P76" s="120">
        <f t="shared" si="44"/>
        <v>-7176267116.8700008</v>
      </c>
      <c r="Q76" s="120">
        <f t="shared" si="44"/>
        <v>-5672546039.8899994</v>
      </c>
      <c r="R76" s="120">
        <f t="shared" si="44"/>
        <v>-5591493808.1999998</v>
      </c>
      <c r="S76" s="120">
        <f t="shared" si="44"/>
        <v>-5539063251.4499998</v>
      </c>
      <c r="T76" s="120">
        <f t="shared" si="44"/>
        <v>-5553457040.0900002</v>
      </c>
      <c r="U76" s="120">
        <f t="shared" si="44"/>
        <v>-4637030591.3299999</v>
      </c>
      <c r="V76" s="120">
        <f t="shared" si="44"/>
        <v>-2326896891.5900006</v>
      </c>
      <c r="W76" s="120">
        <f t="shared" si="44"/>
        <v>-2341285721.7599998</v>
      </c>
      <c r="X76" s="120">
        <f t="shared" si="44"/>
        <v>-2172213894.4399996</v>
      </c>
      <c r="Y76" s="120">
        <f t="shared" si="44"/>
        <v>-1787978638.9300003</v>
      </c>
      <c r="Z76" s="120">
        <f t="shared" si="44"/>
        <v>-1715477432.0799999</v>
      </c>
      <c r="AA76" s="120">
        <f t="shared" si="44"/>
        <v>-1745498000.79</v>
      </c>
      <c r="AB76" s="120">
        <f t="shared" si="44"/>
        <v>-1937117174.9599998</v>
      </c>
      <c r="AC76" s="120">
        <f t="shared" si="44"/>
        <v>-1799850785.6100001</v>
      </c>
      <c r="AD76" s="120">
        <f t="shared" si="44"/>
        <v>76204777.510000005</v>
      </c>
      <c r="AE76" s="120">
        <f t="shared" si="44"/>
        <v>76381536.609999999</v>
      </c>
      <c r="AF76" s="120">
        <f t="shared" si="44"/>
        <v>75324692.770000011</v>
      </c>
      <c r="AG76" s="120">
        <f t="shared" si="44"/>
        <v>75300992.600000009</v>
      </c>
      <c r="AH76" s="120">
        <f t="shared" si="44"/>
        <v>74176382.50000003</v>
      </c>
      <c r="AI76" s="120">
        <f t="shared" si="44"/>
        <v>74285002.070000023</v>
      </c>
      <c r="AJ76" s="120">
        <f t="shared" si="44"/>
        <v>71088365.160000011</v>
      </c>
      <c r="AK76" s="120">
        <f t="shared" si="44"/>
        <v>71099353.729999989</v>
      </c>
      <c r="AL76" s="120">
        <f t="shared" si="44"/>
        <v>65174069.37000002</v>
      </c>
      <c r="AM76" s="120">
        <f t="shared" si="44"/>
        <v>64805392</v>
      </c>
      <c r="AN76" s="120">
        <f t="shared" si="44"/>
        <v>64477870.780000001</v>
      </c>
      <c r="AO76" s="120">
        <f t="shared" si="44"/>
        <v>64260333.790000021</v>
      </c>
      <c r="AP76" s="120">
        <f t="shared" si="44"/>
        <v>54946399.660000026</v>
      </c>
      <c r="AQ76" s="120">
        <f t="shared" si="44"/>
        <v>57524248.650000021</v>
      </c>
      <c r="AR76" s="120">
        <f t="shared" si="44"/>
        <v>42217918.060000002</v>
      </c>
      <c r="AS76" s="120">
        <f t="shared" si="44"/>
        <v>50330103.399999991</v>
      </c>
      <c r="AT76" s="120">
        <f t="shared" si="44"/>
        <v>67701131.310000032</v>
      </c>
      <c r="AU76" s="120">
        <f t="shared" si="44"/>
        <v>61779923.63000001</v>
      </c>
      <c r="AV76" s="120">
        <f t="shared" si="44"/>
        <v>68208485.669999987</v>
      </c>
      <c r="AW76" s="120">
        <f t="shared" si="44"/>
        <v>56609985.380000025</v>
      </c>
      <c r="AX76" s="120">
        <f t="shared" si="44"/>
        <v>-185264688.24000001</v>
      </c>
      <c r="AY76" s="120">
        <f t="shared" si="44"/>
        <v>-190502537.66999996</v>
      </c>
      <c r="AZ76" s="120">
        <f t="shared" si="44"/>
        <v>0</v>
      </c>
      <c r="BA76" s="120">
        <f t="shared" si="44"/>
        <v>-194564189.59999996</v>
      </c>
      <c r="BB76" s="120">
        <f t="shared" si="44"/>
        <v>-36844792.36999996</v>
      </c>
      <c r="BC76" s="120">
        <f t="shared" si="44"/>
        <v>-28493359.650000043</v>
      </c>
      <c r="BD76" s="120">
        <f t="shared" si="44"/>
        <v>-16648922.789999977</v>
      </c>
      <c r="BE76" s="120">
        <f t="shared" si="44"/>
        <v>120830491.12000006</v>
      </c>
      <c r="BF76" s="120">
        <f t="shared" si="44"/>
        <v>82107658.840000063</v>
      </c>
      <c r="BG76" s="120">
        <f t="shared" si="44"/>
        <v>-24427382.109999999</v>
      </c>
      <c r="BH76" s="120">
        <f t="shared" si="44"/>
        <v>-166791194.25</v>
      </c>
      <c r="BI76" s="120">
        <f t="shared" si="44"/>
        <v>20234885.900000021</v>
      </c>
      <c r="BJ76" s="120">
        <f t="shared" si="44"/>
        <v>-341832400.69</v>
      </c>
      <c r="BK76" s="120">
        <f t="shared" si="44"/>
        <v>-230402052.12</v>
      </c>
      <c r="BL76" s="120">
        <f t="shared" si="44"/>
        <v>-99147661.140000015</v>
      </c>
      <c r="BM76" s="120">
        <f t="shared" si="44"/>
        <v>-34830200.829999954</v>
      </c>
      <c r="BN76" s="120">
        <f t="shared" si="44"/>
        <v>-399350333.92999995</v>
      </c>
      <c r="BO76" s="120">
        <f t="shared" si="44"/>
        <v>-346003990.28999996</v>
      </c>
      <c r="BP76" s="120">
        <f t="shared" si="44"/>
        <v>-340952177.50999999</v>
      </c>
      <c r="BQ76" s="120">
        <f t="shared" si="44"/>
        <v>-187627038.20000002</v>
      </c>
      <c r="BR76" s="120">
        <f t="shared" ref="BR76:CJ76" si="45">BR71-BR64-BR68</f>
        <v>-156792039.26000002</v>
      </c>
      <c r="BS76" s="120">
        <f t="shared" si="45"/>
        <v>-227211774.06999999</v>
      </c>
      <c r="BT76" s="120">
        <f t="shared" si="45"/>
        <v>-84319574.049999997</v>
      </c>
      <c r="BU76" s="120">
        <f t="shared" si="45"/>
        <v>-72379848.849999994</v>
      </c>
      <c r="BV76" s="120">
        <f t="shared" si="45"/>
        <v>-70255995.030000001</v>
      </c>
      <c r="BW76" s="120">
        <f t="shared" si="45"/>
        <v>-57625876.619999997</v>
      </c>
      <c r="BX76" s="120">
        <f t="shared" si="45"/>
        <v>-53426300.710000001</v>
      </c>
      <c r="BY76" s="120">
        <f t="shared" si="45"/>
        <v>-40235958.559999995</v>
      </c>
      <c r="BZ76" s="120">
        <f t="shared" si="45"/>
        <v>-42809146.5</v>
      </c>
      <c r="CA76" s="120">
        <f t="shared" si="45"/>
        <v>-38400459.43</v>
      </c>
      <c r="CB76" s="120">
        <f t="shared" si="45"/>
        <v>-43858669.880000003</v>
      </c>
      <c r="CC76" s="120">
        <f t="shared" si="45"/>
        <v>-35101284.239999995</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36707</v>
      </c>
      <c r="BU80" s="1">
        <v>36525</v>
      </c>
      <c r="BV80" s="1">
        <v>36341</v>
      </c>
      <c r="BW80" s="1">
        <v>36160</v>
      </c>
      <c r="BX80" s="1">
        <v>35976</v>
      </c>
      <c r="BY80" s="1">
        <v>35795</v>
      </c>
      <c r="BZ80" s="1">
        <v>35611</v>
      </c>
      <c r="CA80" s="1">
        <v>35430</v>
      </c>
      <c r="CB80" s="1">
        <v>35064</v>
      </c>
      <c r="CC80" s="1">
        <v>34699</v>
      </c>
      <c r="CD80" s="1">
        <v>25569</v>
      </c>
      <c r="CE80" s="1"/>
      <c r="CF80" s="1"/>
      <c r="CG80" s="1"/>
      <c r="CH80" s="1"/>
      <c r="CI80" s="1"/>
      <c r="CJ80" s="1"/>
      <c r="CK80" s="1"/>
    </row>
    <row r="81" spans="1:89" s="76" customFormat="1" x14ac:dyDescent="0.25">
      <c r="A81" s="70" t="s">
        <v>581</v>
      </c>
      <c r="E81" s="76">
        <f>股权价值增加表!E4</f>
        <v>2473918205.1599998</v>
      </c>
      <c r="F81" s="76">
        <f>股权价值增加表!F4</f>
        <v>1008208630.3099999</v>
      </c>
      <c r="G81" s="76">
        <f>股权价值增加表!G4</f>
        <v>878288856.76999998</v>
      </c>
      <c r="H81" s="76">
        <f>股权价值增加表!H4</f>
        <v>630272076.14999998</v>
      </c>
      <c r="I81" s="76">
        <f>股权价值增加表!I4</f>
        <v>6704848495.9899998</v>
      </c>
      <c r="J81" s="76">
        <f>股权价值增加表!J4</f>
        <v>4576608658.5100002</v>
      </c>
      <c r="K81" s="76">
        <f>股权价值增加表!K4</f>
        <v>3995822264.8899999</v>
      </c>
      <c r="L81" s="76">
        <f>股权价值增加表!L4</f>
        <v>2925433262.5500002</v>
      </c>
      <c r="M81" s="76">
        <f>股权价值增加表!M4</f>
        <v>519502880.88</v>
      </c>
      <c r="N81" s="76">
        <f>股权价值增加表!N4</f>
        <v>367419981.04000002</v>
      </c>
      <c r="O81" s="76">
        <f>股权价值增加表!O4</f>
        <v>217567191.96000001</v>
      </c>
      <c r="P81" s="76">
        <f>股权价值增加表!P4</f>
        <v>144601402.62</v>
      </c>
      <c r="Q81" s="76">
        <f>股权价值增加表!Q4</f>
        <v>1270810233.05</v>
      </c>
      <c r="R81" s="76">
        <f>股权价值增加表!R4</f>
        <v>893502435.89999998</v>
      </c>
      <c r="S81" s="76">
        <f>股权价值增加表!S4</f>
        <v>679685555.03999996</v>
      </c>
      <c r="T81" s="76">
        <f>股权价值增加表!T4</f>
        <v>301403886.20999998</v>
      </c>
      <c r="U81" s="76">
        <f>股权价值增加表!U4</f>
        <v>2776957460.2800002</v>
      </c>
      <c r="V81" s="76">
        <f>股权价值增加表!V4</f>
        <v>326513513.94</v>
      </c>
      <c r="W81" s="76">
        <f>股权价值增加表!W4</f>
        <v>251933246.53999999</v>
      </c>
      <c r="X81" s="76">
        <f>股权价值增加表!X4</f>
        <v>159552882.02000001</v>
      </c>
      <c r="Y81" s="76">
        <f>股权价值增加表!Y4</f>
        <v>1886509459.79</v>
      </c>
      <c r="Z81" s="76">
        <f>股权价值增加表!Z4</f>
        <v>362275701.70999998</v>
      </c>
      <c r="AA81" s="76">
        <f>股权价值增加表!AA4</f>
        <v>92328849.569999993</v>
      </c>
      <c r="AB81" s="76">
        <f>股权价值增加表!AB4</f>
        <v>38430091.479999997</v>
      </c>
      <c r="AC81" s="76">
        <f>股权价值增加表!AC4</f>
        <v>911117929.50999999</v>
      </c>
      <c r="AD81" s="76">
        <f>股权价值增加表!AD4</f>
        <v>2325028.98</v>
      </c>
      <c r="AE81" s="76">
        <f>股权价值增加表!AE4</f>
        <v>719549.52</v>
      </c>
      <c r="AF81" s="76">
        <f>股权价值增加表!AF4</f>
        <v>454838.86</v>
      </c>
      <c r="AG81" s="76">
        <f>股权价值增加表!AG4</f>
        <v>1972005.12</v>
      </c>
      <c r="AH81" s="76">
        <f>股权价值增加表!AH4</f>
        <v>2247045.88</v>
      </c>
      <c r="AI81" s="76">
        <f>股权价值增加表!AI4</f>
        <v>1644331.61</v>
      </c>
      <c r="AJ81" s="76">
        <f>股权价值增加表!AJ4</f>
        <v>118276.34</v>
      </c>
      <c r="AK81" s="76">
        <f>股权价值增加表!AK4</f>
        <v>2319583.5699999998</v>
      </c>
      <c r="AL81" s="76">
        <f>股权价值增加表!AL4</f>
        <v>1059567.43</v>
      </c>
      <c r="AM81" s="76">
        <f>股权价值增加表!AM4</f>
        <v>714108.94</v>
      </c>
      <c r="AN81" s="76">
        <f>股权价值增加表!AN4</f>
        <v>317568.12</v>
      </c>
      <c r="AO81" s="76">
        <f>股权价值增加表!AO4</f>
        <v>29625077.149999999</v>
      </c>
      <c r="AP81" s="76">
        <f>股权价值增加表!AP4</f>
        <v>39690074.759999998</v>
      </c>
      <c r="AQ81" s="76">
        <f>股权价值增加表!AQ4</f>
        <v>38358193.560000002</v>
      </c>
      <c r="AR81" s="76">
        <f>股权价值增加表!AR4</f>
        <v>19981743.039999999</v>
      </c>
      <c r="AS81" s="76">
        <f>股权价值增加表!AS4</f>
        <v>276226954.25999999</v>
      </c>
      <c r="AT81" s="76">
        <f>股权价值增加表!AT4</f>
        <v>212112113.97</v>
      </c>
      <c r="AU81" s="76">
        <f>股权价值增加表!AU4</f>
        <v>151644166.93000001</v>
      </c>
      <c r="AV81" s="76">
        <f>股权价值增加表!AV4</f>
        <v>63063671.619999997</v>
      </c>
      <c r="AW81" s="76">
        <f>股权价值增加表!AW4</f>
        <v>229176151.38999999</v>
      </c>
      <c r="AX81" s="76">
        <f>股权价值增加表!AX4</f>
        <v>126125572.09</v>
      </c>
      <c r="AY81" s="76">
        <f>股权价值增加表!AY4</f>
        <v>70840155.810000002</v>
      </c>
      <c r="AZ81" s="76">
        <f>股权价值增加表!AZ4</f>
        <v>40009471.130000003</v>
      </c>
      <c r="BA81" s="76">
        <f>股权价值增加表!BA4</f>
        <v>221398699.53999999</v>
      </c>
      <c r="BB81" s="76">
        <f>股权价值增加表!BB4</f>
        <v>200305982.11000001</v>
      </c>
      <c r="BC81" s="76">
        <f>股权价值增加表!BC4</f>
        <v>173464164.24000001</v>
      </c>
      <c r="BD81" s="76">
        <f>股权价值增加表!BD4</f>
        <v>100452203.73</v>
      </c>
      <c r="BE81" s="76">
        <f>股权价值增加表!BE4</f>
        <v>801751161.67999995</v>
      </c>
      <c r="BF81" s="76">
        <f>股权价值增加表!BF4</f>
        <v>607574415.46000004</v>
      </c>
      <c r="BG81" s="76">
        <f>股权价值增加表!BG4</f>
        <v>387005787.07999998</v>
      </c>
      <c r="BH81" s="76">
        <f>股权价值增加表!BH4</f>
        <v>169994827.43000001</v>
      </c>
      <c r="BI81" s="76">
        <f>股权价值增加表!BI4</f>
        <v>866672859.30999994</v>
      </c>
      <c r="BJ81" s="76">
        <f>股权价值增加表!BJ4</f>
        <v>563313712.90999997</v>
      </c>
      <c r="BK81" s="76">
        <f>股权价值增加表!BK4</f>
        <v>312828694.13</v>
      </c>
      <c r="BL81" s="76">
        <f>股权价值增加表!BL4</f>
        <v>129824200.04000001</v>
      </c>
      <c r="BM81" s="76">
        <f>股权价值增加表!BM4</f>
        <v>996144233.25</v>
      </c>
      <c r="BN81" s="76">
        <f>股权价值增加表!BN4</f>
        <v>672287661.65999997</v>
      </c>
      <c r="BO81" s="76">
        <f>股权价值增加表!BO4</f>
        <v>424822929.56</v>
      </c>
      <c r="BP81" s="76">
        <f>股权价值增加表!BP4</f>
        <v>207516777.69999999</v>
      </c>
      <c r="BQ81" s="76">
        <f>股权价值增加表!BQ4</f>
        <v>761826036.83000004</v>
      </c>
      <c r="BR81" s="76">
        <f>股权价值增加表!BR4</f>
        <v>229750188.44999999</v>
      </c>
      <c r="BS81" s="76">
        <f>股权价值增加表!BS4</f>
        <v>198550035.96000001</v>
      </c>
      <c r="BT81" s="76">
        <f>股权价值增加表!BT4</f>
        <v>103771025.11</v>
      </c>
      <c r="BU81" s="76">
        <f>股权价值增加表!BU4</f>
        <v>101468040.58</v>
      </c>
      <c r="BV81" s="76">
        <f>股权价值增加表!BV4</f>
        <v>39700177.020000003</v>
      </c>
      <c r="BW81" s="76">
        <f>股权价值增加表!BW4</f>
        <v>71986605.340000004</v>
      </c>
      <c r="BX81" s="76">
        <f>股权价值增加表!BX4</f>
        <v>30318598.989999998</v>
      </c>
      <c r="BY81" s="76">
        <f>股权价值增加表!BY4</f>
        <v>61924611.850000001</v>
      </c>
      <c r="BZ81" s="76">
        <f>股权价值增加表!BZ4</f>
        <v>31098969.670000002</v>
      </c>
      <c r="CA81" s="76">
        <f>股权价值增加表!CA4</f>
        <v>71088754.129999995</v>
      </c>
      <c r="CB81" s="76">
        <f>股权价值增加表!CB4</f>
        <v>89207139.980000004</v>
      </c>
      <c r="CC81" s="76">
        <f>股权价值增加表!CC4</f>
        <v>71981187.920000002</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1547966745.7700002</v>
      </c>
      <c r="F82" s="76">
        <f>投资和筹资活动现金流表!F34</f>
        <v>1542146533.6000001</v>
      </c>
      <c r="G82" s="76">
        <f>投资和筹资活动现金流表!G34</f>
        <v>1543213320.55</v>
      </c>
      <c r="H82" s="76">
        <f>投资和筹资活动现金流表!H34</f>
        <v>1567598524.78</v>
      </c>
      <c r="I82" s="76">
        <f>投资和筹资活动现金流表!I34</f>
        <v>1650434359.1199999</v>
      </c>
      <c r="J82" s="76">
        <f>投资和筹资活动现金流表!J34</f>
        <v>1640010009.53</v>
      </c>
      <c r="K82" s="76">
        <f>投资和筹资活动现金流表!K34</f>
        <v>1654274232.3900001</v>
      </c>
      <c r="L82" s="76">
        <f>投资和筹资活动现金流表!L34</f>
        <v>980386284.47000003</v>
      </c>
      <c r="M82" s="76">
        <f>投资和筹资活动现金流表!M34</f>
        <v>1055825153.77</v>
      </c>
      <c r="N82" s="76">
        <f>投资和筹资活动现金流表!N34</f>
        <v>1019265918.5899999</v>
      </c>
      <c r="O82" s="76">
        <f>投资和筹资活动现金流表!O34</f>
        <v>1031038937.4400001</v>
      </c>
      <c r="P82" s="76">
        <f>投资和筹资活动现金流表!P34</f>
        <v>1021605893.4000001</v>
      </c>
      <c r="Q82" s="76">
        <f>投资和筹资活动现金流表!Q34</f>
        <v>1025663336.4300001</v>
      </c>
      <c r="R82" s="76">
        <f>投资和筹资活动现金流表!R34</f>
        <v>1017494796.95</v>
      </c>
      <c r="S82" s="76">
        <f>投资和筹资活动现金流表!S34</f>
        <v>1165470706.26</v>
      </c>
      <c r="T82" s="76">
        <f>投资和筹资活动现金流表!T34</f>
        <v>1149990899.75</v>
      </c>
      <c r="U82" s="76">
        <f>投资和筹资活动现金流表!U34</f>
        <v>1152059415.05</v>
      </c>
      <c r="V82" s="76">
        <f>投资和筹资活动现金流表!V34</f>
        <v>1025046758.39</v>
      </c>
      <c r="W82" s="76">
        <f>投资和筹资活动现金流表!W34</f>
        <v>703150357.21000004</v>
      </c>
      <c r="X82" s="76">
        <f>投资和筹资活动现金流表!X34</f>
        <v>704466106.5</v>
      </c>
      <c r="Y82" s="76">
        <f>投资和筹资活动现金流表!AZ34</f>
        <v>629546709.39999998</v>
      </c>
      <c r="Z82" s="76">
        <f>投资和筹资活动现金流表!BA34</f>
        <v>48856197.369999997</v>
      </c>
      <c r="AA82" s="76">
        <f>投资和筹资活动现金流表!BB34</f>
        <v>54872784.280000001</v>
      </c>
      <c r="AB82" s="76">
        <f>投资和筹资活动现金流表!BC34</f>
        <v>56095126.740000002</v>
      </c>
      <c r="AC82" s="76">
        <f>投资和筹资活动现金流表!BD34</f>
        <v>57749055.399999999</v>
      </c>
      <c r="AD82" s="76">
        <f>投资和筹资活动现金流表!BE34</f>
        <v>59341364.520000003</v>
      </c>
      <c r="AE82" s="76">
        <f>投资和筹资活动现金流表!BF34</f>
        <v>60279075.25</v>
      </c>
      <c r="AF82" s="76">
        <f>投资和筹资活动现金流表!BG34</f>
        <v>61448564.43</v>
      </c>
      <c r="AG82" s="76">
        <f>投资和筹资活动现金流表!BH34</f>
        <v>63663117.240000002</v>
      </c>
      <c r="AH82" s="76">
        <f>投资和筹资活动现金流表!BI34</f>
        <v>65679113.390000001</v>
      </c>
      <c r="AI82" s="76">
        <f>投资和筹资活动现金流表!BJ34</f>
        <v>44914132.539999999</v>
      </c>
      <c r="AJ82" s="76">
        <f>投资和筹资活动现金流表!BK34</f>
        <v>47164482.600000001</v>
      </c>
      <c r="AK82" s="76">
        <f>投资和筹资活动现金流表!BL34</f>
        <v>49895913.460000001</v>
      </c>
      <c r="AL82" s="76">
        <f>投资和筹资活动现金流表!BM34</f>
        <v>50967898.100000001</v>
      </c>
      <c r="AM82" s="76">
        <f>投资和筹资活动现金流表!BN34</f>
        <v>54761896.590000004</v>
      </c>
      <c r="AN82" s="76">
        <f>投资和筹资活动现金流表!BO34</f>
        <v>56396883.130000003</v>
      </c>
      <c r="AO82" s="76">
        <f>投资和筹资活动现金流表!BP34</f>
        <v>57045954.109999999</v>
      </c>
      <c r="AP82" s="76">
        <f>投资和筹资活动现金流表!BQ34</f>
        <v>64368202.850000001</v>
      </c>
      <c r="AQ82" s="76">
        <f>投资和筹资活动现金流表!BR34</f>
        <v>64959022.719999999</v>
      </c>
      <c r="AR82" s="76">
        <f>投资和筹资活动现金流表!BS34</f>
        <v>66339249.469999999</v>
      </c>
      <c r="AS82" s="76">
        <f>投资和筹资活动现金流表!AS34</f>
        <v>66695061.439999998</v>
      </c>
      <c r="AT82" s="76">
        <f>投资和筹资活动现金流表!AT34</f>
        <v>76952751.599999994</v>
      </c>
      <c r="AU82" s="76">
        <f>投资和筹资活动现金流表!AU34</f>
        <v>76757146</v>
      </c>
      <c r="AV82" s="76">
        <f>投资和筹资活动现金流表!AV34</f>
        <v>77339937.370000005</v>
      </c>
      <c r="AW82" s="76">
        <f>投资和筹资活动现金流表!AW34</f>
        <v>70281536.150000006</v>
      </c>
      <c r="AX82" s="76">
        <f>投资和筹资活动现金流表!AX34</f>
        <v>54330317.359999999</v>
      </c>
      <c r="AY82" s="76">
        <f>投资和筹资活动现金流表!AY34</f>
        <v>47956229.450000003</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1.5981727074695047</v>
      </c>
      <c r="F83" s="155">
        <f t="shared" ref="F83:BQ83" si="46">F81/F82</f>
        <v>0.6537696699654274</v>
      </c>
      <c r="G83" s="155">
        <f t="shared" si="46"/>
        <v>0.56912990905040828</v>
      </c>
      <c r="H83" s="155">
        <f t="shared" si="46"/>
        <v>0.40206217739229733</v>
      </c>
      <c r="I83" s="155">
        <f t="shared" si="46"/>
        <v>4.0624751047748289</v>
      </c>
      <c r="J83" s="155">
        <f t="shared" si="46"/>
        <v>2.7905980036192473</v>
      </c>
      <c r="K83" s="155">
        <f t="shared" si="46"/>
        <v>2.4154533671947886</v>
      </c>
      <c r="L83" s="155">
        <f t="shared" si="46"/>
        <v>2.9839598012445663</v>
      </c>
      <c r="M83" s="155">
        <f t="shared" si="46"/>
        <v>0.49203495391734914</v>
      </c>
      <c r="N83" s="155">
        <f t="shared" si="46"/>
        <v>0.36047509716431009</v>
      </c>
      <c r="O83" s="155">
        <f t="shared" si="46"/>
        <v>0.21101743499639755</v>
      </c>
      <c r="P83" s="155">
        <f t="shared" si="46"/>
        <v>0.14154323458212736</v>
      </c>
      <c r="Q83" s="155">
        <f t="shared" si="46"/>
        <v>1.2390130249495672</v>
      </c>
      <c r="R83" s="155">
        <f t="shared" si="46"/>
        <v>0.87813956255926384</v>
      </c>
      <c r="S83" s="155">
        <f t="shared" si="46"/>
        <v>0.58318544720966303</v>
      </c>
      <c r="T83" s="155">
        <f t="shared" si="46"/>
        <v>0.26209240984039361</v>
      </c>
      <c r="U83" s="155">
        <f t="shared" si="46"/>
        <v>2.4104290317001391</v>
      </c>
      <c r="V83" s="155">
        <f t="shared" si="46"/>
        <v>0.31853523877568446</v>
      </c>
      <c r="W83" s="155">
        <f t="shared" si="46"/>
        <v>0.35829214044580032</v>
      </c>
      <c r="X83" s="155">
        <f t="shared" si="46"/>
        <v>0.22648766285252081</v>
      </c>
      <c r="Y83" s="155">
        <f t="shared" si="46"/>
        <v>2.996615551510021</v>
      </c>
      <c r="Z83" s="155">
        <f t="shared" si="46"/>
        <v>7.4151432410180638</v>
      </c>
      <c r="AA83" s="155">
        <f t="shared" si="46"/>
        <v>1.6825982275452342</v>
      </c>
      <c r="AB83" s="155">
        <f t="shared" si="46"/>
        <v>0.68508788041647262</v>
      </c>
      <c r="AC83" s="155">
        <f t="shared" si="46"/>
        <v>15.777191907280963</v>
      </c>
      <c r="AD83" s="155">
        <f t="shared" si="46"/>
        <v>3.9180578316772414E-2</v>
      </c>
      <c r="AE83" s="155">
        <f t="shared" si="46"/>
        <v>1.1936970118001272E-2</v>
      </c>
      <c r="AF83" s="155">
        <f t="shared" si="46"/>
        <v>7.4019444427889944E-3</v>
      </c>
      <c r="AG83" s="155">
        <f t="shared" si="46"/>
        <v>3.0975629304575977E-2</v>
      </c>
      <c r="AH83" s="155">
        <f t="shared" si="46"/>
        <v>3.4212488019701628E-2</v>
      </c>
      <c r="AI83" s="155">
        <f t="shared" si="46"/>
        <v>3.6610561464937068E-2</v>
      </c>
      <c r="AJ83" s="155">
        <f t="shared" si="46"/>
        <v>2.5077417047717171E-3</v>
      </c>
      <c r="AK83" s="155">
        <f t="shared" si="46"/>
        <v>4.6488447833699605E-2</v>
      </c>
      <c r="AL83" s="155">
        <f t="shared" si="46"/>
        <v>2.078891752453884E-2</v>
      </c>
      <c r="AM83" s="155">
        <f t="shared" si="46"/>
        <v>1.3040252154641453E-2</v>
      </c>
      <c r="AN83" s="155">
        <f t="shared" si="46"/>
        <v>5.6309516124849711E-3</v>
      </c>
      <c r="AO83" s="155">
        <f t="shared" si="46"/>
        <v>0.51931951375333041</v>
      </c>
      <c r="AP83" s="155">
        <f t="shared" si="46"/>
        <v>0.61660995651053818</v>
      </c>
      <c r="AQ83" s="155">
        <f t="shared" si="46"/>
        <v>0.59049831653624985</v>
      </c>
      <c r="AR83" s="155">
        <f t="shared" si="46"/>
        <v>0.30120544322763498</v>
      </c>
      <c r="AS83" s="155">
        <f t="shared" si="46"/>
        <v>4.1416402998368689</v>
      </c>
      <c r="AT83" s="155">
        <f t="shared" si="46"/>
        <v>2.7563941452354772</v>
      </c>
      <c r="AU83" s="155">
        <f t="shared" si="46"/>
        <v>1.9756358180644185</v>
      </c>
      <c r="AV83" s="155">
        <f t="shared" si="46"/>
        <v>0.81540887883447211</v>
      </c>
      <c r="AW83" s="155">
        <f t="shared" si="46"/>
        <v>3.2608301403781992</v>
      </c>
      <c r="AX83" s="155">
        <f t="shared" si="46"/>
        <v>2.3214584088341503</v>
      </c>
      <c r="AY83" s="155">
        <f t="shared" si="46"/>
        <v>1.4771836030991381</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46663986.770000003</v>
      </c>
      <c r="F84" s="76">
        <f>资产资本表!F52</f>
        <v>36750341.479999997</v>
      </c>
      <c r="G84" s="76">
        <f>资产资本表!G52</f>
        <v>35660218.950000003</v>
      </c>
      <c r="H84" s="76">
        <f>资产资本表!H52</f>
        <v>44510133.579999998</v>
      </c>
      <c r="I84" s="76">
        <f>资产资本表!I52</f>
        <v>54790425.609999999</v>
      </c>
      <c r="J84" s="76">
        <f>资产资本表!J52</f>
        <v>55991510.399999999</v>
      </c>
      <c r="K84" s="76">
        <f>资产资本表!K52</f>
        <v>56910992.909999996</v>
      </c>
      <c r="L84" s="76">
        <f>资产资本表!L52</f>
        <v>51481299.600000001</v>
      </c>
      <c r="M84" s="76">
        <f>资产资本表!M52</f>
        <v>53449052.780000001</v>
      </c>
      <c r="N84" s="76">
        <f>资产资本表!N52</f>
        <v>53451297.420000002</v>
      </c>
      <c r="O84" s="76">
        <f>资产资本表!O52</f>
        <v>53398282.380000003</v>
      </c>
      <c r="P84" s="76">
        <f>资产资本表!P52</f>
        <v>53921713.939999998</v>
      </c>
      <c r="Q84" s="76">
        <f>资产资本表!Q52</f>
        <v>54601212.789999999</v>
      </c>
      <c r="R84" s="76">
        <f>资产资本表!R52</f>
        <v>55551232</v>
      </c>
      <c r="S84" s="76">
        <f>资产资本表!S52</f>
        <v>51315100.079999998</v>
      </c>
      <c r="T84" s="76">
        <f>资产资本表!T52</f>
        <v>51022910.189999998</v>
      </c>
      <c r="U84" s="76">
        <f>资产资本表!U52</f>
        <v>50219957.899999999</v>
      </c>
      <c r="V84" s="76">
        <f>资产资本表!V52</f>
        <v>40977281.799999997</v>
      </c>
      <c r="W84" s="76">
        <f>资产资本表!W52</f>
        <v>42031136.460000001</v>
      </c>
      <c r="X84" s="76">
        <f>资产资本表!X52</f>
        <v>42929939.670000002</v>
      </c>
      <c r="Y84" s="76">
        <f>资产资本表!Y52</f>
        <v>44313070.789999999</v>
      </c>
      <c r="Z84" s="76">
        <f>资产资本表!Z52</f>
        <v>43488231.719999999</v>
      </c>
      <c r="AA84" s="76">
        <f>资产资本表!AA52</f>
        <v>44695623.43</v>
      </c>
      <c r="AB84" s="76">
        <f>资产资本表!AB52</f>
        <v>46314688.729999997</v>
      </c>
      <c r="AC84" s="76">
        <f>资产资本表!AC52</f>
        <v>47435215.689999998</v>
      </c>
      <c r="AD84" s="76">
        <f>资产资本表!AD52</f>
        <v>12935591.060000001</v>
      </c>
      <c r="AE84" s="76">
        <f>资产资本表!AE52</f>
        <v>13176737.189999999</v>
      </c>
      <c r="AF84" s="76">
        <f>资产资本表!AF52</f>
        <v>13436261.210000001</v>
      </c>
      <c r="AG84" s="76">
        <f>资产资本表!AG52</f>
        <v>13648790.42</v>
      </c>
      <c r="AH84" s="76">
        <f>资产资本表!AH52</f>
        <v>13981880.59</v>
      </c>
      <c r="AI84" s="76">
        <f>资产资本表!AI52</f>
        <v>14208863.68</v>
      </c>
      <c r="AJ84" s="76">
        <f>资产资本表!AJ52</f>
        <v>14442055.15</v>
      </c>
      <c r="AK84" s="76">
        <f>资产资本表!AK52</f>
        <v>14664039.220000001</v>
      </c>
      <c r="AL84" s="76">
        <f>资产资本表!AL52</f>
        <v>14908237.68</v>
      </c>
      <c r="AM84" s="76">
        <f>资产资本表!AM52</f>
        <v>15145479.619999999</v>
      </c>
      <c r="AN84" s="76">
        <f>资产资本表!AN52</f>
        <v>15758861.4</v>
      </c>
      <c r="AO84" s="76">
        <f>资产资本表!AO52</f>
        <v>16017225.939999999</v>
      </c>
      <c r="AP84" s="76">
        <f>资产资本表!AP52</f>
        <v>16469277.970000001</v>
      </c>
      <c r="AQ84" s="76">
        <f>资产资本表!AQ52</f>
        <v>16951061.210000001</v>
      </c>
      <c r="AR84" s="76">
        <f>资产资本表!AR52</f>
        <v>18056786.350000001</v>
      </c>
      <c r="AS84" s="76">
        <f>资产资本表!AS52</f>
        <v>18410648.32</v>
      </c>
      <c r="AT84" s="76">
        <f>资产资本表!AT52</f>
        <v>18426514.780000001</v>
      </c>
      <c r="AU84" s="76">
        <f>资产资本表!AU52</f>
        <v>18214588.199999999</v>
      </c>
      <c r="AV84" s="76">
        <f>资产资本表!AV52</f>
        <v>18580973.600000001</v>
      </c>
      <c r="AW84" s="76">
        <f>资产资本表!AW52</f>
        <v>18631160.129999999</v>
      </c>
      <c r="AX84" s="76">
        <f>资产资本表!AX52</f>
        <v>23220972.899999999</v>
      </c>
      <c r="AY84" s="76">
        <f>资产资本表!AY52</f>
        <v>23886518.359999999</v>
      </c>
      <c r="AZ84" s="76">
        <f>资产资本表!AZ52</f>
        <v>0</v>
      </c>
      <c r="BA84" s="76">
        <f>资产资本表!BA52</f>
        <v>24880336.690000001</v>
      </c>
      <c r="BB84" s="76">
        <f>资产资本表!BB52</f>
        <v>26104003.739999998</v>
      </c>
      <c r="BC84" s="76">
        <f>资产资本表!BC52</f>
        <v>26974911.09</v>
      </c>
      <c r="BD84" s="76">
        <f>资产资本表!BD52</f>
        <v>27762674.07</v>
      </c>
      <c r="BE84" s="76">
        <f>资产资本表!BE52</f>
        <v>28657882.440000001</v>
      </c>
      <c r="BF84" s="76">
        <f>资产资本表!BF52</f>
        <v>29420892.600000001</v>
      </c>
      <c r="BG84" s="76">
        <f>资产资本表!BG52</f>
        <v>30175266.190000001</v>
      </c>
      <c r="BH84" s="76">
        <f>资产资本表!BH52</f>
        <v>31588351.030000001</v>
      </c>
      <c r="BI84" s="76">
        <f>资产资本表!BI52</f>
        <v>32774502.600000001</v>
      </c>
      <c r="BJ84" s="76">
        <f>资产资本表!BJ52</f>
        <v>31822167.640000001</v>
      </c>
      <c r="BK84" s="76">
        <f>资产资本表!BK52</f>
        <v>33149938.859999999</v>
      </c>
      <c r="BL84" s="76">
        <f>资产资本表!BL52</f>
        <v>34253200.100000001</v>
      </c>
      <c r="BM84" s="76">
        <f>资产资本表!BM52</f>
        <v>35051852.729999997</v>
      </c>
      <c r="BN84" s="76">
        <f>资产资本表!BN52</f>
        <v>35561019.520000003</v>
      </c>
      <c r="BO84" s="76">
        <f>资产资本表!BO52</f>
        <v>36549827.079999998</v>
      </c>
      <c r="BP84" s="76">
        <f>资产资本表!BP52</f>
        <v>37321058.369999997</v>
      </c>
      <c r="BQ84" s="76">
        <f>资产资本表!BQ52</f>
        <v>38195270.840000004</v>
      </c>
      <c r="BR84" s="76">
        <f>资产资本表!BR52</f>
        <v>32948492.649999999</v>
      </c>
      <c r="BS84" s="76">
        <f>资产资本表!BS52</f>
        <v>54190155.490000002</v>
      </c>
      <c r="BT84" s="76">
        <f>资产资本表!BT52</f>
        <v>50806621.990000002</v>
      </c>
      <c r="BU84" s="76">
        <f>资产资本表!BU52</f>
        <v>51301593.939999998</v>
      </c>
      <c r="BV84" s="76">
        <f>资产资本表!BV52</f>
        <v>26267358.530000001</v>
      </c>
      <c r="BW84" s="76">
        <f>资产资本表!BW52</f>
        <v>27161045.039999999</v>
      </c>
      <c r="BX84" s="76">
        <f>资产资本表!BX52</f>
        <v>24858484.649999999</v>
      </c>
      <c r="BY84" s="76">
        <f>资产资本表!BY52</f>
        <v>25452650.620000001</v>
      </c>
      <c r="BZ84" s="76">
        <f>资产资本表!BZ52</f>
        <v>26097698.739999998</v>
      </c>
      <c r="CA84" s="76">
        <f>资产资本表!CA52</f>
        <v>27096649.809999999</v>
      </c>
      <c r="CB84" s="76">
        <f>资产资本表!CB52</f>
        <v>48172200.109999999</v>
      </c>
      <c r="CC84" s="76">
        <f>资产资本表!CC52</f>
        <v>51894985.060000002</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53.015577459199584</v>
      </c>
      <c r="F85" s="155">
        <f t="shared" ref="F85:BQ85" si="48">F81/F84</f>
        <v>27.433993527888166</v>
      </c>
      <c r="G85" s="155">
        <f t="shared" si="48"/>
        <v>24.629373644661818</v>
      </c>
      <c r="H85" s="155">
        <f t="shared" si="48"/>
        <v>14.160192869724478</v>
      </c>
      <c r="I85" s="155">
        <f t="shared" si="48"/>
        <v>122.37263027878859</v>
      </c>
      <c r="J85" s="155">
        <f t="shared" si="48"/>
        <v>81.737546028227882</v>
      </c>
      <c r="K85" s="155">
        <f t="shared" si="48"/>
        <v>70.21178265522552</v>
      </c>
      <c r="L85" s="155">
        <f t="shared" si="48"/>
        <v>56.82516341428957</v>
      </c>
      <c r="M85" s="155">
        <f t="shared" si="48"/>
        <v>9.7195900368582731</v>
      </c>
      <c r="N85" s="155">
        <f t="shared" si="48"/>
        <v>6.8739207236253463</v>
      </c>
      <c r="O85" s="155">
        <f t="shared" si="48"/>
        <v>4.0744230387734053</v>
      </c>
      <c r="P85" s="155">
        <f t="shared" si="48"/>
        <v>2.681691512641855</v>
      </c>
      <c r="Q85" s="155">
        <f t="shared" si="48"/>
        <v>23.274395716036988</v>
      </c>
      <c r="R85" s="155">
        <f t="shared" si="48"/>
        <v>16.084295590420027</v>
      </c>
      <c r="S85" s="155">
        <f t="shared" si="48"/>
        <v>13.245332348185492</v>
      </c>
      <c r="T85" s="155">
        <f t="shared" si="48"/>
        <v>5.9072264809597677</v>
      </c>
      <c r="U85" s="155">
        <f t="shared" si="48"/>
        <v>55.295893831882331</v>
      </c>
      <c r="V85" s="155">
        <f t="shared" si="48"/>
        <v>7.9681594190076321</v>
      </c>
      <c r="W85" s="155">
        <f t="shared" si="48"/>
        <v>5.993967038691868</v>
      </c>
      <c r="X85" s="155">
        <f t="shared" si="48"/>
        <v>3.7165876133643305</v>
      </c>
      <c r="Y85" s="155">
        <f t="shared" si="48"/>
        <v>42.572302622180793</v>
      </c>
      <c r="Z85" s="155">
        <f t="shared" si="48"/>
        <v>8.3304307253171519</v>
      </c>
      <c r="AA85" s="155">
        <f t="shared" si="48"/>
        <v>2.0657246165186782</v>
      </c>
      <c r="AB85" s="155">
        <f t="shared" si="48"/>
        <v>0.82976033163118701</v>
      </c>
      <c r="AC85" s="155">
        <f t="shared" si="48"/>
        <v>19.207626997300157</v>
      </c>
      <c r="AD85" s="155">
        <f t="shared" si="48"/>
        <v>0.17973890556803052</v>
      </c>
      <c r="AE85" s="155">
        <f t="shared" si="48"/>
        <v>5.4607564044464339E-2</v>
      </c>
      <c r="AF85" s="155">
        <f t="shared" si="48"/>
        <v>3.3851594047716489E-2</v>
      </c>
      <c r="AG85" s="155">
        <f t="shared" si="48"/>
        <v>0.14448204268052642</v>
      </c>
      <c r="AH85" s="155">
        <f t="shared" si="48"/>
        <v>0.16071127667955573</v>
      </c>
      <c r="AI85" s="155">
        <f t="shared" si="48"/>
        <v>0.11572576435612619</v>
      </c>
      <c r="AJ85" s="155">
        <f t="shared" si="48"/>
        <v>8.1897166830857855E-3</v>
      </c>
      <c r="AK85" s="155">
        <f t="shared" si="48"/>
        <v>0.15818176255532407</v>
      </c>
      <c r="AL85" s="155">
        <f t="shared" si="48"/>
        <v>7.1072614533202155E-2</v>
      </c>
      <c r="AM85" s="155">
        <f t="shared" si="48"/>
        <v>4.7149971999368087E-2</v>
      </c>
      <c r="AN85" s="155">
        <f t="shared" si="48"/>
        <v>2.0151717306175432E-2</v>
      </c>
      <c r="AO85" s="155">
        <f t="shared" si="48"/>
        <v>1.8495760290186678</v>
      </c>
      <c r="AP85" s="155">
        <f t="shared" si="48"/>
        <v>2.4099462546140993</v>
      </c>
      <c r="AQ85" s="155">
        <f t="shared" si="48"/>
        <v>2.2628785941361129</v>
      </c>
      <c r="AR85" s="155">
        <f t="shared" si="48"/>
        <v>1.106605718907451</v>
      </c>
      <c r="AS85" s="155">
        <f t="shared" si="48"/>
        <v>15.003651661735722</v>
      </c>
      <c r="AT85" s="155">
        <f t="shared" si="48"/>
        <v>11.511244340151881</v>
      </c>
      <c r="AU85" s="155">
        <f t="shared" si="48"/>
        <v>8.3254238451572569</v>
      </c>
      <c r="AV85" s="155">
        <f t="shared" si="48"/>
        <v>3.393991777696729</v>
      </c>
      <c r="AW85" s="155">
        <f t="shared" si="48"/>
        <v>12.300691411104307</v>
      </c>
      <c r="AX85" s="155">
        <f t="shared" si="48"/>
        <v>5.4315369400392353</v>
      </c>
      <c r="AY85" s="155">
        <f t="shared" si="48"/>
        <v>2.965696161422497</v>
      </c>
      <c r="AZ85" s="155" t="e">
        <f t="shared" si="48"/>
        <v>#DIV/0!</v>
      </c>
      <c r="BA85" s="155">
        <f t="shared" si="48"/>
        <v>8.8985411370652958</v>
      </c>
      <c r="BB85" s="155">
        <f t="shared" si="48"/>
        <v>7.6733816047943924</v>
      </c>
      <c r="BC85" s="155">
        <f t="shared" si="48"/>
        <v>6.4305740864630971</v>
      </c>
      <c r="BD85" s="155">
        <f t="shared" si="48"/>
        <v>3.6182466961475948</v>
      </c>
      <c r="BE85" s="155">
        <f t="shared" si="48"/>
        <v>27.976636562683865</v>
      </c>
      <c r="BF85" s="155">
        <f t="shared" si="48"/>
        <v>20.651121083253607</v>
      </c>
      <c r="BG85" s="155">
        <f t="shared" si="48"/>
        <v>12.825265057918614</v>
      </c>
      <c r="BH85" s="155">
        <f t="shared" si="48"/>
        <v>5.3815669981808485</v>
      </c>
      <c r="BI85" s="155">
        <f t="shared" si="48"/>
        <v>26.443509147565216</v>
      </c>
      <c r="BJ85" s="155">
        <f t="shared" si="48"/>
        <v>17.701927765659899</v>
      </c>
      <c r="BK85" s="155">
        <f t="shared" si="48"/>
        <v>9.4367804251811513</v>
      </c>
      <c r="BL85" s="155">
        <f t="shared" si="48"/>
        <v>3.7901334666830153</v>
      </c>
      <c r="BM85" s="155">
        <f t="shared" si="48"/>
        <v>28.41916063390924</v>
      </c>
      <c r="BN85" s="155">
        <f t="shared" si="48"/>
        <v>18.905185248749582</v>
      </c>
      <c r="BO85" s="155">
        <f t="shared" si="48"/>
        <v>11.623117357850987</v>
      </c>
      <c r="BP85" s="155">
        <f t="shared" si="48"/>
        <v>5.5603133127330979</v>
      </c>
      <c r="BQ85" s="155">
        <f t="shared" si="48"/>
        <v>19.945559229604353</v>
      </c>
      <c r="BR85" s="155">
        <f t="shared" ref="BR85:CK85" si="49">BR81/BR84</f>
        <v>6.9730105984074511</v>
      </c>
      <c r="BS85" s="155">
        <f t="shared" si="49"/>
        <v>3.6639502906877524</v>
      </c>
      <c r="BT85" s="155">
        <f t="shared" si="49"/>
        <v>2.0424704702946932</v>
      </c>
      <c r="BU85" s="155">
        <f t="shared" si="49"/>
        <v>1.9778730598248544</v>
      </c>
      <c r="BV85" s="155">
        <f t="shared" si="49"/>
        <v>1.5113882492089319</v>
      </c>
      <c r="BW85" s="155">
        <f t="shared" si="49"/>
        <v>2.6503621356978542</v>
      </c>
      <c r="BX85" s="155">
        <f t="shared" si="49"/>
        <v>1.2196479156664926</v>
      </c>
      <c r="BY85" s="155">
        <f t="shared" si="49"/>
        <v>2.4329337158048805</v>
      </c>
      <c r="BZ85" s="155">
        <f t="shared" si="49"/>
        <v>1.191636472618735</v>
      </c>
      <c r="CA85" s="155">
        <f t="shared" si="49"/>
        <v>2.6235255881620003</v>
      </c>
      <c r="CB85" s="155">
        <f t="shared" si="49"/>
        <v>1.8518386076678615</v>
      </c>
      <c r="CC85" s="155">
        <f t="shared" si="49"/>
        <v>1.3870547960805213</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0</v>
      </c>
      <c r="F86" s="76">
        <f>资产资本表!F53</f>
        <v>9497750.8800000008</v>
      </c>
      <c r="G86" s="76">
        <f>资产资本表!G53</f>
        <v>9136502.9000000004</v>
      </c>
      <c r="H86" s="76">
        <f>资产资本表!H53</f>
        <v>2632616.59</v>
      </c>
      <c r="I86" s="76">
        <f>资产资本表!I53</f>
        <v>1991964.82</v>
      </c>
      <c r="J86" s="76">
        <f>资产资本表!J53</f>
        <v>799451.74</v>
      </c>
      <c r="K86" s="76">
        <f>资产资本表!K53</f>
        <v>234976.74</v>
      </c>
      <c r="L86" s="76">
        <f>资产资本表!L53</f>
        <v>155157.01999999999</v>
      </c>
      <c r="M86" s="76">
        <f>资产资本表!M53</f>
        <v>51005</v>
      </c>
      <c r="N86" s="76">
        <f>资产资本表!N53</f>
        <v>18233</v>
      </c>
      <c r="O86" s="76">
        <f>资产资本表!O53</f>
        <v>0</v>
      </c>
      <c r="P86" s="76">
        <f>资产资本表!P53</f>
        <v>0</v>
      </c>
      <c r="Q86" s="76">
        <f>资产资本表!Q53</f>
        <v>0</v>
      </c>
      <c r="R86" s="76">
        <f>资产资本表!R53</f>
        <v>0</v>
      </c>
      <c r="S86" s="76">
        <f>资产资本表!S53</f>
        <v>0</v>
      </c>
      <c r="T86" s="76">
        <f>资产资本表!T53</f>
        <v>0</v>
      </c>
      <c r="U86" s="76">
        <f>资产资本表!U53</f>
        <v>0</v>
      </c>
      <c r="V86" s="76">
        <f>资产资本表!V53</f>
        <v>0</v>
      </c>
      <c r="W86" s="76">
        <f>资产资本表!W53</f>
        <v>0</v>
      </c>
      <c r="X86" s="76">
        <f>资产资本表!X53</f>
        <v>1080536.6100000001</v>
      </c>
      <c r="Y86" s="76">
        <f>资产资本表!Y53</f>
        <v>1080536.6100000001</v>
      </c>
      <c r="Z86" s="76">
        <f>资产资本表!Z53</f>
        <v>582036.61</v>
      </c>
      <c r="AA86" s="76">
        <f>资产资本表!AA53</f>
        <v>96337531.209999993</v>
      </c>
      <c r="AB86" s="76">
        <f>资产资本表!AB53</f>
        <v>94801155.780000001</v>
      </c>
      <c r="AC86" s="76">
        <f>资产资本表!AC53</f>
        <v>77618578.530000001</v>
      </c>
      <c r="AD86" s="76">
        <f>资产资本表!AD53</f>
        <v>0</v>
      </c>
      <c r="AE86" s="76">
        <f>资产资本表!AE53</f>
        <v>0</v>
      </c>
      <c r="AF86" s="76">
        <f>资产资本表!AF53</f>
        <v>0</v>
      </c>
      <c r="AG86" s="76">
        <f>资产资本表!AG53</f>
        <v>0</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8009176.1399999997</v>
      </c>
      <c r="BS86" s="76">
        <f>资产资本表!BS53</f>
        <v>11585396.5</v>
      </c>
      <c r="BT86" s="76">
        <f>资产资本表!BT53</f>
        <v>11585396.5</v>
      </c>
      <c r="BU86" s="76">
        <f>资产资本表!BU53</f>
        <v>26334135.809999999</v>
      </c>
      <c r="BV86" s="76">
        <f>资产资本表!BV53</f>
        <v>48339406.060000002</v>
      </c>
      <c r="BW86" s="76">
        <f>资产资本表!BW53</f>
        <v>46998388.700000003</v>
      </c>
      <c r="BX86" s="76">
        <f>资产资本表!BX53</f>
        <v>157347.39000000001</v>
      </c>
      <c r="BY86" s="76">
        <f>资产资本表!BY53</f>
        <v>154875.92000000001</v>
      </c>
      <c r="BZ86" s="76">
        <f>资产资本表!BZ53</f>
        <v>0</v>
      </c>
      <c r="CA86" s="76">
        <f>资产资本表!CA53</f>
        <v>505548.15</v>
      </c>
      <c r="CB86" s="76">
        <f>资产资本表!CB53</f>
        <v>572928.27</v>
      </c>
      <c r="CC86" s="76">
        <f>资产资本表!CC53</f>
        <v>1388646.51</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t="e">
        <f>E81/E86</f>
        <v>#DIV/0!</v>
      </c>
      <c r="F87" s="54">
        <f t="shared" ref="F87:BQ87" si="50">F81/F86</f>
        <v>106.15235575751382</v>
      </c>
      <c r="G87" s="54">
        <f t="shared" si="50"/>
        <v>96.12965336770155</v>
      </c>
      <c r="H87" s="54">
        <f t="shared" si="50"/>
        <v>239.4089889671325</v>
      </c>
      <c r="I87" s="54">
        <f t="shared" si="50"/>
        <v>3365.9472439829533</v>
      </c>
      <c r="J87" s="54">
        <f t="shared" si="50"/>
        <v>5724.6840922630308</v>
      </c>
      <c r="K87" s="54">
        <f t="shared" si="50"/>
        <v>17005.182150752455</v>
      </c>
      <c r="L87" s="54">
        <f t="shared" si="50"/>
        <v>18854.66260276203</v>
      </c>
      <c r="M87" s="54">
        <f t="shared" si="50"/>
        <v>10185.332435643564</v>
      </c>
      <c r="N87" s="54">
        <f t="shared" si="50"/>
        <v>20151.372842647947</v>
      </c>
      <c r="O87" s="54" t="e">
        <f t="shared" si="50"/>
        <v>#DIV/0!</v>
      </c>
      <c r="P87" s="54" t="e">
        <f t="shared" si="50"/>
        <v>#DIV/0!</v>
      </c>
      <c r="Q87" s="54" t="e">
        <f t="shared" si="50"/>
        <v>#DIV/0!</v>
      </c>
      <c r="R87" s="54" t="e">
        <f t="shared" si="50"/>
        <v>#DIV/0!</v>
      </c>
      <c r="S87" s="54" t="e">
        <f t="shared" si="50"/>
        <v>#DIV/0!</v>
      </c>
      <c r="T87" s="54" t="e">
        <f t="shared" si="50"/>
        <v>#DIV/0!</v>
      </c>
      <c r="U87" s="54" t="e">
        <f t="shared" si="50"/>
        <v>#DIV/0!</v>
      </c>
      <c r="V87" s="54" t="e">
        <f t="shared" si="50"/>
        <v>#DIV/0!</v>
      </c>
      <c r="W87" s="54" t="e">
        <f t="shared" si="50"/>
        <v>#DIV/0!</v>
      </c>
      <c r="X87" s="54">
        <f t="shared" si="50"/>
        <v>147.66078311775109</v>
      </c>
      <c r="Y87" s="54">
        <f t="shared" si="50"/>
        <v>1745.900548237787</v>
      </c>
      <c r="Z87" s="54">
        <f t="shared" si="50"/>
        <v>622.42768837169876</v>
      </c>
      <c r="AA87" s="54">
        <f t="shared" si="50"/>
        <v>0.95838920107614411</v>
      </c>
      <c r="AB87" s="54">
        <f t="shared" si="50"/>
        <v>0.4053757695653275</v>
      </c>
      <c r="AC87" s="54">
        <f t="shared" si="50"/>
        <v>11.738400093965234</v>
      </c>
      <c r="AD87" s="54" t="e">
        <f t="shared" si="50"/>
        <v>#DIV/0!</v>
      </c>
      <c r="AE87" s="54" t="e">
        <f t="shared" si="50"/>
        <v>#DIV/0!</v>
      </c>
      <c r="AF87" s="54" t="e">
        <f t="shared" si="50"/>
        <v>#DIV/0!</v>
      </c>
      <c r="AG87" s="54" t="e">
        <f t="shared" si="50"/>
        <v>#DIV/0!</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f t="shared" ref="BR87:CK87" si="51">BR81/BR86</f>
        <v>28.685870360943266</v>
      </c>
      <c r="BS87" s="54">
        <f t="shared" si="51"/>
        <v>17.137957769507501</v>
      </c>
      <c r="BT87" s="54">
        <f t="shared" si="51"/>
        <v>8.957054263097513</v>
      </c>
      <c r="BU87" s="54">
        <f t="shared" si="51"/>
        <v>3.8530993123180068</v>
      </c>
      <c r="BV87" s="54">
        <f t="shared" si="51"/>
        <v>0.82127978508306898</v>
      </c>
      <c r="BW87" s="54">
        <f t="shared" si="51"/>
        <v>1.5316824114865879</v>
      </c>
      <c r="BX87" s="54">
        <f t="shared" si="51"/>
        <v>192.68574451727477</v>
      </c>
      <c r="BY87" s="54">
        <f t="shared" si="51"/>
        <v>399.83369816301979</v>
      </c>
      <c r="BZ87" s="54" t="e">
        <f t="shared" si="51"/>
        <v>#DIV/0!</v>
      </c>
      <c r="CA87" s="54">
        <f t="shared" si="51"/>
        <v>140.61717786920988</v>
      </c>
      <c r="CB87" s="54">
        <f t="shared" si="51"/>
        <v>155.70385448077121</v>
      </c>
      <c r="CC87" s="54">
        <f t="shared" si="51"/>
        <v>51.83550126086444</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509765862.94</v>
      </c>
      <c r="F92" s="76">
        <f>资产资本表!F58</f>
        <v>524718475.76999998</v>
      </c>
      <c r="G92" s="76">
        <f>资产资本表!G58</f>
        <v>539801339.98000002</v>
      </c>
      <c r="H92" s="76">
        <f>资产资本表!H58</f>
        <v>554908457.21000004</v>
      </c>
      <c r="I92" s="76">
        <f>资产资本表!I58</f>
        <v>570297013.38</v>
      </c>
      <c r="J92" s="76">
        <f>资产资本表!J58</f>
        <v>585664861.53999996</v>
      </c>
      <c r="K92" s="76">
        <f>资产资本表!K58</f>
        <v>601077633.82000005</v>
      </c>
      <c r="L92" s="76">
        <f>资产资本表!L58</f>
        <v>46116.54</v>
      </c>
      <c r="M92" s="76">
        <f>资产资本表!M58</f>
        <v>52134.04</v>
      </c>
      <c r="N92" s="76">
        <f>资产资本表!N58</f>
        <v>138387.22</v>
      </c>
      <c r="O92" s="76">
        <f>资产资本表!O58</f>
        <v>143904.73000000001</v>
      </c>
      <c r="P92" s="76">
        <f>资产资本表!P58</f>
        <v>149422.24</v>
      </c>
      <c r="Q92" s="76">
        <f>资产资本表!Q58</f>
        <v>142439.75</v>
      </c>
      <c r="R92" s="76">
        <f>资产资本表!R58</f>
        <v>116457.26</v>
      </c>
      <c r="S92" s="76">
        <f>资产资本表!S58</f>
        <v>82104.77</v>
      </c>
      <c r="T92" s="76">
        <f>资产资本表!T58</f>
        <v>80122.28</v>
      </c>
      <c r="U92" s="76">
        <f>资产资本表!U58</f>
        <v>86440.79</v>
      </c>
      <c r="V92" s="76">
        <f>资产资本表!V58</f>
        <v>234458.3</v>
      </c>
      <c r="W92" s="76">
        <f>资产资本表!W58</f>
        <v>187475.81</v>
      </c>
      <c r="X92" s="76">
        <f>资产资本表!X58</f>
        <v>189315</v>
      </c>
      <c r="Y92" s="76">
        <f>资产资本表!Y58</f>
        <v>108510.83</v>
      </c>
      <c r="Z92" s="76">
        <f>资产资本表!Z58</f>
        <v>0</v>
      </c>
      <c r="AA92" s="76">
        <f>资产资本表!AA58</f>
        <v>0</v>
      </c>
      <c r="AB92" s="76">
        <f>资产资本表!AB58</f>
        <v>0</v>
      </c>
      <c r="AC92" s="76">
        <f>资产资本表!AC58</f>
        <v>0</v>
      </c>
      <c r="AD92" s="76">
        <f>资产资本表!AD58</f>
        <v>0</v>
      </c>
      <c r="AE92" s="76">
        <f>资产资本表!AE58</f>
        <v>0</v>
      </c>
      <c r="AF92" s="76">
        <f>资产资本表!AF58</f>
        <v>0</v>
      </c>
      <c r="AG92" s="76">
        <f>资产资本表!AG58</f>
        <v>0</v>
      </c>
      <c r="AH92" s="76">
        <f>资产资本表!AH58</f>
        <v>0</v>
      </c>
      <c r="AI92" s="76">
        <f>资产资本表!AI58</f>
        <v>0</v>
      </c>
      <c r="AJ92" s="76">
        <f>资产资本表!AJ58</f>
        <v>1950</v>
      </c>
      <c r="AK92" s="76">
        <f>资产资本表!AK58</f>
        <v>3900</v>
      </c>
      <c r="AL92" s="76">
        <f>资产资本表!AL58</f>
        <v>5850</v>
      </c>
      <c r="AM92" s="76">
        <f>资产资本表!AM58</f>
        <v>7800</v>
      </c>
      <c r="AN92" s="76">
        <f>资产资本表!AN58</f>
        <v>9750</v>
      </c>
      <c r="AO92" s="76">
        <f>资产资本表!AO58</f>
        <v>11700</v>
      </c>
      <c r="AP92" s="76">
        <f>资产资本表!AP58</f>
        <v>13650</v>
      </c>
      <c r="AQ92" s="76">
        <f>资产资本表!AQ58</f>
        <v>15600</v>
      </c>
      <c r="AR92" s="76">
        <f>资产资本表!AR58</f>
        <v>17550</v>
      </c>
      <c r="AS92" s="76">
        <f>资产资本表!AS58</f>
        <v>19500</v>
      </c>
      <c r="AT92" s="76">
        <f>资产资本表!AT58</f>
        <v>44971.99</v>
      </c>
      <c r="AU92" s="76">
        <f>资产资本表!AU58</f>
        <v>23400</v>
      </c>
      <c r="AV92" s="76">
        <f>资产资本表!AV58</f>
        <v>28970.15</v>
      </c>
      <c r="AW92" s="76">
        <f>资产资本表!AW58</f>
        <v>27300</v>
      </c>
      <c r="AX92" s="76">
        <f>资产资本表!AX58</f>
        <v>29250</v>
      </c>
      <c r="AY92" s="76">
        <f>资产资本表!AY58</f>
        <v>31200</v>
      </c>
      <c r="AZ92" s="76">
        <f>资产资本表!AZ58</f>
        <v>0</v>
      </c>
      <c r="BA92" s="76">
        <f>资产资本表!BA58</f>
        <v>35100</v>
      </c>
      <c r="BB92" s="76">
        <f>资产资本表!BB58</f>
        <v>7645185.1200000001</v>
      </c>
      <c r="BC92" s="76">
        <f>资产资本表!BC58</f>
        <v>7987506.8399999999</v>
      </c>
      <c r="BD92" s="76">
        <f>资产资本表!BD58</f>
        <v>8329828.5599999996</v>
      </c>
      <c r="BE92" s="76">
        <f>资产资本表!BE58</f>
        <v>8672150.2799999993</v>
      </c>
      <c r="BF92" s="76">
        <f>资产资本表!BF58</f>
        <v>9014472</v>
      </c>
      <c r="BG92" s="76">
        <f>资产资本表!BG58</f>
        <v>9360642.3200000003</v>
      </c>
      <c r="BH92" s="76">
        <f>资产资本表!BH58</f>
        <v>10151241.09</v>
      </c>
      <c r="BI92" s="76">
        <f>资产资本表!BI58</f>
        <v>10945688.460000001</v>
      </c>
      <c r="BJ92" s="76">
        <f>资产资本表!BJ58</f>
        <v>11998958.15</v>
      </c>
      <c r="BK92" s="76">
        <f>资产资本表!BK58</f>
        <v>12707131.4</v>
      </c>
      <c r="BL92" s="76">
        <f>资产资本表!BL58</f>
        <v>14111932.1</v>
      </c>
      <c r="BM92" s="76">
        <f>资产资本表!BM58</f>
        <v>14123477.9</v>
      </c>
      <c r="BN92" s="76">
        <f>资产资本表!BN58</f>
        <v>15814680.439999999</v>
      </c>
      <c r="BO92" s="76">
        <f>资产资本表!BO58</f>
        <v>16266757.609999999</v>
      </c>
      <c r="BP92" s="76">
        <f>资产资本表!BP58</f>
        <v>16718834.779999999</v>
      </c>
      <c r="BQ92" s="76">
        <f>资产资本表!BQ58</f>
        <v>17088228.629999999</v>
      </c>
      <c r="BR92" s="76">
        <f>资产资本表!BR58</f>
        <v>19547987.190000001</v>
      </c>
      <c r="BS92" s="76">
        <f>资产资本表!BS58</f>
        <v>18118333.440000001</v>
      </c>
      <c r="BT92" s="76">
        <f>资产资本表!BT58</f>
        <v>19263333.420000002</v>
      </c>
      <c r="BU92" s="76">
        <f>资产资本表!BU58</f>
        <v>20408333.399999999</v>
      </c>
      <c r="BV92" s="76">
        <f>资产资本表!BV58</f>
        <v>8638333.3800000008</v>
      </c>
      <c r="BW92" s="76">
        <f>资产资本表!BW58</f>
        <v>8583333.3599999994</v>
      </c>
      <c r="BX92" s="76">
        <f>资产资本表!BX58</f>
        <v>9083333.3399999999</v>
      </c>
      <c r="BY92" s="76">
        <f>资产资本表!BY58</f>
        <v>9583333.3399999999</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4.8530480069654702</v>
      </c>
      <c r="F93" s="155">
        <f t="shared" ref="F93:BQ93" si="52">F81/F92</f>
        <v>1.9214277309951791</v>
      </c>
      <c r="G93" s="155">
        <f t="shared" si="52"/>
        <v>1.6270594230139206</v>
      </c>
      <c r="H93" s="155">
        <f t="shared" si="52"/>
        <v>1.135812705610791</v>
      </c>
      <c r="I93" s="155">
        <f t="shared" si="52"/>
        <v>11.756765928427594</v>
      </c>
      <c r="J93" s="155">
        <f t="shared" si="52"/>
        <v>7.8143814987907128</v>
      </c>
      <c r="K93" s="155">
        <f t="shared" si="52"/>
        <v>6.6477640159317541</v>
      </c>
      <c r="L93" s="155">
        <f t="shared" si="52"/>
        <v>63435.662401168869</v>
      </c>
      <c r="M93" s="155">
        <f t="shared" si="52"/>
        <v>9964.7539473250108</v>
      </c>
      <c r="N93" s="155">
        <f t="shared" si="52"/>
        <v>2655.0138158711479</v>
      </c>
      <c r="O93" s="155">
        <f t="shared" si="52"/>
        <v>1511.8835354473754</v>
      </c>
      <c r="P93" s="155">
        <f t="shared" si="52"/>
        <v>967.73681494802929</v>
      </c>
      <c r="Q93" s="155">
        <f t="shared" si="52"/>
        <v>8921.7387214594237</v>
      </c>
      <c r="R93" s="155">
        <f t="shared" si="52"/>
        <v>7672.3635426421679</v>
      </c>
      <c r="S93" s="155">
        <f t="shared" si="52"/>
        <v>8278.2712263855065</v>
      </c>
      <c r="T93" s="155">
        <f t="shared" si="52"/>
        <v>3761.7986683604108</v>
      </c>
      <c r="U93" s="155">
        <f t="shared" si="52"/>
        <v>32125.544667974464</v>
      </c>
      <c r="V93" s="155">
        <f t="shared" si="52"/>
        <v>1392.6293670985417</v>
      </c>
      <c r="W93" s="155">
        <f t="shared" si="52"/>
        <v>1343.8173519026268</v>
      </c>
      <c r="X93" s="155">
        <f t="shared" si="52"/>
        <v>842.79049214272516</v>
      </c>
      <c r="Y93" s="155">
        <f t="shared" si="52"/>
        <v>17385.448621027044</v>
      </c>
      <c r="Z93" s="155" t="e">
        <f t="shared" si="52"/>
        <v>#DIV/0!</v>
      </c>
      <c r="AA93" s="155" t="e">
        <f t="shared" si="52"/>
        <v>#DIV/0!</v>
      </c>
      <c r="AB93" s="155" t="e">
        <f t="shared" si="52"/>
        <v>#DIV/0!</v>
      </c>
      <c r="AC93" s="155" t="e">
        <f t="shared" si="52"/>
        <v>#DIV/0!</v>
      </c>
      <c r="AD93" s="155" t="e">
        <f t="shared" si="52"/>
        <v>#DIV/0!</v>
      </c>
      <c r="AE93" s="155" t="e">
        <f t="shared" si="52"/>
        <v>#DIV/0!</v>
      </c>
      <c r="AF93" s="155" t="e">
        <f t="shared" si="52"/>
        <v>#DIV/0!</v>
      </c>
      <c r="AG93" s="155" t="e">
        <f t="shared" si="52"/>
        <v>#DIV/0!</v>
      </c>
      <c r="AH93" s="155" t="e">
        <f t="shared" si="52"/>
        <v>#DIV/0!</v>
      </c>
      <c r="AI93" s="155" t="e">
        <f t="shared" si="52"/>
        <v>#DIV/0!</v>
      </c>
      <c r="AJ93" s="155">
        <f t="shared" si="52"/>
        <v>60.654533333333333</v>
      </c>
      <c r="AK93" s="155">
        <f t="shared" si="52"/>
        <v>594.76501794871785</v>
      </c>
      <c r="AL93" s="155">
        <f t="shared" si="52"/>
        <v>181.1226376068376</v>
      </c>
      <c r="AM93" s="155">
        <f t="shared" si="52"/>
        <v>91.552428205128194</v>
      </c>
      <c r="AN93" s="155">
        <f t="shared" si="52"/>
        <v>32.571089230769232</v>
      </c>
      <c r="AO93" s="155">
        <f t="shared" si="52"/>
        <v>2532.0578760683761</v>
      </c>
      <c r="AP93" s="155">
        <f t="shared" si="52"/>
        <v>2907.6977846153845</v>
      </c>
      <c r="AQ93" s="155">
        <f t="shared" si="52"/>
        <v>2458.8585615384618</v>
      </c>
      <c r="AR93" s="155">
        <f t="shared" si="52"/>
        <v>1138.560856980057</v>
      </c>
      <c r="AS93" s="155">
        <f t="shared" si="52"/>
        <v>14165.484833846152</v>
      </c>
      <c r="AT93" s="155">
        <f t="shared" si="52"/>
        <v>4716.5383157383076</v>
      </c>
      <c r="AU93" s="155">
        <f t="shared" si="52"/>
        <v>6480.5199542735045</v>
      </c>
      <c r="AV93" s="155">
        <f t="shared" si="52"/>
        <v>2176.850020452086</v>
      </c>
      <c r="AW93" s="155">
        <f t="shared" si="52"/>
        <v>8394.7308201465203</v>
      </c>
      <c r="AX93" s="155">
        <f t="shared" si="52"/>
        <v>4311.9853705982905</v>
      </c>
      <c r="AY93" s="155">
        <f t="shared" si="52"/>
        <v>2270.5178144230772</v>
      </c>
      <c r="AZ93" s="155" t="e">
        <f t="shared" si="52"/>
        <v>#DIV/0!</v>
      </c>
      <c r="BA93" s="155">
        <f t="shared" si="52"/>
        <v>6307.6552575498572</v>
      </c>
      <c r="BB93" s="155">
        <f t="shared" si="52"/>
        <v>26.200278863881849</v>
      </c>
      <c r="BC93" s="155">
        <f t="shared" si="52"/>
        <v>21.716934672446556</v>
      </c>
      <c r="BD93" s="155">
        <f t="shared" si="52"/>
        <v>12.059336276423918</v>
      </c>
      <c r="BE93" s="155">
        <f t="shared" si="52"/>
        <v>92.451253240966665</v>
      </c>
      <c r="BF93" s="155">
        <f t="shared" si="52"/>
        <v>67.399889362349796</v>
      </c>
      <c r="BG93" s="155">
        <f t="shared" si="52"/>
        <v>41.343934940567195</v>
      </c>
      <c r="BH93" s="155">
        <f t="shared" si="52"/>
        <v>16.74621121918404</v>
      </c>
      <c r="BI93" s="155">
        <f t="shared" si="52"/>
        <v>79.179383049058558</v>
      </c>
      <c r="BJ93" s="155">
        <f t="shared" si="52"/>
        <v>46.946885376877489</v>
      </c>
      <c r="BK93" s="155">
        <f t="shared" si="52"/>
        <v>24.618356754381242</v>
      </c>
      <c r="BL93" s="155">
        <f t="shared" si="52"/>
        <v>9.1996049244029461</v>
      </c>
      <c r="BM93" s="155">
        <f t="shared" si="52"/>
        <v>70.531085919708204</v>
      </c>
      <c r="BN93" s="155">
        <f t="shared" si="52"/>
        <v>42.510353858278783</v>
      </c>
      <c r="BO93" s="155">
        <f t="shared" si="52"/>
        <v>26.116017693583867</v>
      </c>
      <c r="BP93" s="155">
        <f t="shared" si="52"/>
        <v>12.412155537791611</v>
      </c>
      <c r="BQ93" s="155">
        <f t="shared" si="52"/>
        <v>44.581919713582394</v>
      </c>
      <c r="BR93" s="155">
        <f t="shared" ref="BR93:CK93" si="53">BR81/BR92</f>
        <v>11.753137866160019</v>
      </c>
      <c r="BS93" s="155">
        <f t="shared" si="53"/>
        <v>10.958515396435931</v>
      </c>
      <c r="BT93" s="155">
        <f t="shared" si="53"/>
        <v>5.3869713433013917</v>
      </c>
      <c r="BU93" s="155">
        <f t="shared" si="53"/>
        <v>4.9718925397406535</v>
      </c>
      <c r="BV93" s="155">
        <f t="shared" si="53"/>
        <v>4.5958144092836575</v>
      </c>
      <c r="BW93" s="155">
        <f t="shared" si="53"/>
        <v>8.3867889455944429</v>
      </c>
      <c r="BX93" s="155">
        <f t="shared" si="53"/>
        <v>3.3378274092933378</v>
      </c>
      <c r="BY93" s="155">
        <f t="shared" si="53"/>
        <v>6.4616986233309923</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1250851256.3399999</v>
      </c>
      <c r="F95" s="76">
        <f>资产资本表!F60</f>
        <v>1250851256.3399999</v>
      </c>
      <c r="G95" s="76">
        <f>资产资本表!G60</f>
        <v>1250851256.3399999</v>
      </c>
      <c r="H95" s="76">
        <f>资产资本表!H60</f>
        <v>1250851256.3399999</v>
      </c>
      <c r="I95" s="76">
        <f>资产资本表!I60</f>
        <v>1335586970.1700001</v>
      </c>
      <c r="J95" s="76">
        <f>资产资本表!J60</f>
        <v>1342086874.1800001</v>
      </c>
      <c r="K95" s="76">
        <f>资产资本表!K60</f>
        <v>1342086874.1800001</v>
      </c>
      <c r="L95" s="76">
        <f>资产资本表!L60</f>
        <v>89749996.019999996</v>
      </c>
      <c r="M95" s="76">
        <f>资产资本表!M60</f>
        <v>89749996.019999996</v>
      </c>
      <c r="N95" s="76">
        <f>资产资本表!N60</f>
        <v>89749996.019999996</v>
      </c>
      <c r="O95" s="76">
        <f>资产资本表!O60</f>
        <v>89749996.019999996</v>
      </c>
      <c r="P95" s="76">
        <f>资产资本表!P60</f>
        <v>89749996.019999996</v>
      </c>
      <c r="Q95" s="76">
        <f>资产资本表!Q60</f>
        <v>89749996.019999996</v>
      </c>
      <c r="R95" s="76">
        <f>资产资本表!R60</f>
        <v>89749996.019999996</v>
      </c>
      <c r="S95" s="76">
        <f>资产资本表!S60</f>
        <v>89749996.019999996</v>
      </c>
      <c r="T95" s="76">
        <f>资产资本表!T60</f>
        <v>89749996.019999996</v>
      </c>
      <c r="U95" s="76">
        <f>资产资本表!U60</f>
        <v>89749996.019999996</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1258309.6399999999</v>
      </c>
      <c r="AU95" s="76">
        <f>资产资本表!AU60</f>
        <v>1258309.6399999999</v>
      </c>
      <c r="AV95" s="76">
        <f>资产资本表!AV60</f>
        <v>1258309.6399999999</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4164534.27</v>
      </c>
      <c r="F96" s="76">
        <f>资产资本表!F61</f>
        <v>1457214.23</v>
      </c>
      <c r="G96" s="76">
        <f>资产资本表!G61</f>
        <v>2401313.58</v>
      </c>
      <c r="H96" s="76">
        <f>资产资本表!H61</f>
        <v>4635962.7300000004</v>
      </c>
      <c r="I96" s="76">
        <f>资产资本表!I61</f>
        <v>6508216.2599999998</v>
      </c>
      <c r="J96" s="76">
        <f>资产资本表!J61</f>
        <v>7277067.04</v>
      </c>
      <c r="K96" s="76">
        <f>资产资本表!K61</f>
        <v>9149320.5700000003</v>
      </c>
      <c r="L96" s="76">
        <f>资产资本表!L61</f>
        <v>10855450.68</v>
      </c>
      <c r="M96" s="76">
        <f>资产资本表!M61</f>
        <v>12523129.300000001</v>
      </c>
      <c r="N96" s="76">
        <f>资产资本表!N61</f>
        <v>12957821.029999999</v>
      </c>
      <c r="O96" s="76">
        <f>资产资本表!O61</f>
        <v>14319994.560000001</v>
      </c>
      <c r="P96" s="76">
        <f>资产资本表!P61</f>
        <v>16192248.09</v>
      </c>
      <c r="Q96" s="76">
        <f>资产资本表!Q61</f>
        <v>18682406.489999998</v>
      </c>
      <c r="R96" s="76">
        <f>资产资本表!R61</f>
        <v>13504030</v>
      </c>
      <c r="S96" s="76">
        <f>资产资本表!S61</f>
        <v>13504030</v>
      </c>
      <c r="T96" s="76">
        <f>资产资本表!T61</f>
        <v>11636765</v>
      </c>
      <c r="U96" s="76">
        <f>资产资本表!U61</f>
        <v>11474973.039999999</v>
      </c>
      <c r="V96" s="76">
        <f>资产资本表!V61</f>
        <v>0</v>
      </c>
      <c r="W96" s="76">
        <f>资产资本表!W61</f>
        <v>6226.02</v>
      </c>
      <c r="X96" s="76">
        <f>资产资本表!X61</f>
        <v>14393.67</v>
      </c>
      <c r="Y96" s="76">
        <f>资产资本表!Y61</f>
        <v>22561.32</v>
      </c>
      <c r="Z96" s="76">
        <f>资产资本表!Z61</f>
        <v>30728.97</v>
      </c>
      <c r="AA96" s="76">
        <f>资产资本表!AA61</f>
        <v>38896.620000000003</v>
      </c>
      <c r="AB96" s="76">
        <f>资产资本表!AB61</f>
        <v>47064.27</v>
      </c>
      <c r="AC96" s="76">
        <f>资产资本表!AC61</f>
        <v>55231.92</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15203</v>
      </c>
      <c r="BG96" s="76">
        <f>资产资本表!BG61</f>
        <v>0</v>
      </c>
      <c r="BH96" s="76">
        <f>资产资本表!BH61</f>
        <v>0</v>
      </c>
      <c r="BI96" s="76">
        <f>资产资本表!BI61</f>
        <v>0</v>
      </c>
      <c r="BJ96" s="76">
        <f>资产资本表!BJ61</f>
        <v>674147.93</v>
      </c>
      <c r="BK96" s="76">
        <f>资产资本表!BK61</f>
        <v>888553.52</v>
      </c>
      <c r="BL96" s="76">
        <f>资产资本表!BL61</f>
        <v>1062287.33</v>
      </c>
      <c r="BM96" s="76">
        <f>资产资本表!BM61</f>
        <v>1324073.54</v>
      </c>
      <c r="BN96" s="76">
        <f>资产资本表!BN61</f>
        <v>2868067.59</v>
      </c>
      <c r="BO96" s="76">
        <f>资产资本表!BO61</f>
        <v>3062169.4</v>
      </c>
      <c r="BP96" s="76">
        <f>资产资本表!BP61</f>
        <v>2438296.81</v>
      </c>
      <c r="BQ96" s="76">
        <f>资产资本表!BQ61</f>
        <v>2672660.36</v>
      </c>
      <c r="BR96" s="76">
        <f>资产资本表!BR61</f>
        <v>1585952.89</v>
      </c>
      <c r="BS96" s="76">
        <f>资产资本表!BS61</f>
        <v>2760567.41</v>
      </c>
      <c r="BT96" s="76">
        <f>资产资本表!BT61</f>
        <v>804511.01</v>
      </c>
      <c r="BU96" s="76">
        <f>资产资本表!BU61</f>
        <v>791639.26</v>
      </c>
      <c r="BV96" s="76">
        <f>资产资本表!BV61</f>
        <v>909784.56</v>
      </c>
      <c r="BW96" s="76">
        <f>资产资本表!BW61</f>
        <v>1012561.78</v>
      </c>
      <c r="BX96" s="76">
        <f>资产资本表!BX61</f>
        <v>814000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119290694.5</v>
      </c>
      <c r="F97" s="76">
        <f>资产资本表!F62</f>
        <v>140811617.41999999</v>
      </c>
      <c r="G97" s="76">
        <f>资产资本表!G62</f>
        <v>130507096.54000001</v>
      </c>
      <c r="H97" s="76">
        <f>资产资本表!H62</f>
        <v>122698772.59999999</v>
      </c>
      <c r="I97" s="76">
        <f>资产资本表!I62</f>
        <v>168610588.13</v>
      </c>
      <c r="J97" s="76">
        <f>资产资本表!J62</f>
        <v>132784492.90000001</v>
      </c>
      <c r="K97" s="76">
        <f>资产资本表!K62</f>
        <v>124606922.22</v>
      </c>
      <c r="L97" s="76">
        <f>资产资本表!L62</f>
        <v>142733797.06999999</v>
      </c>
      <c r="M97" s="76">
        <f>资产资本表!M62</f>
        <v>212303931.27000001</v>
      </c>
      <c r="N97" s="76">
        <f>资产资本表!N62</f>
        <v>169746060.84999999</v>
      </c>
      <c r="O97" s="76">
        <f>资产资本表!O62</f>
        <v>147008603.99000001</v>
      </c>
      <c r="P97" s="76">
        <f>资产资本表!P62</f>
        <v>131206885.5</v>
      </c>
      <c r="Q97" s="76">
        <f>资产资本表!Q62</f>
        <v>128625282.72</v>
      </c>
      <c r="R97" s="76">
        <f>资产资本表!R62</f>
        <v>117746000.06999999</v>
      </c>
      <c r="S97" s="76">
        <f>资产资本表!S62</f>
        <v>116869113.26000001</v>
      </c>
      <c r="T97" s="76">
        <f>资产资本表!T62</f>
        <v>105747996.59</v>
      </c>
      <c r="U97" s="76">
        <f>资产资本表!U62</f>
        <v>100675993.84</v>
      </c>
      <c r="V97" s="76">
        <f>资产资本表!V62</f>
        <v>123084388.95999999</v>
      </c>
      <c r="W97" s="76">
        <f>资产资本表!W62</f>
        <v>106584451.54000001</v>
      </c>
      <c r="X97" s="76">
        <f>资产资本表!X62</f>
        <v>101270405.84999999</v>
      </c>
      <c r="Y97" s="76">
        <f>资产资本表!Y62</f>
        <v>95195500.890000001</v>
      </c>
      <c r="Z97" s="76">
        <f>资产资本表!Z62</f>
        <v>68122137.840000004</v>
      </c>
      <c r="AA97" s="76">
        <f>资产资本表!AA62</f>
        <v>70530873.409999996</v>
      </c>
      <c r="AB97" s="76">
        <f>资产资本表!AB62</f>
        <v>99553882.730000004</v>
      </c>
      <c r="AC97" s="76">
        <f>资产资本表!AC62</f>
        <v>98256235.670000002</v>
      </c>
      <c r="AD97" s="76">
        <f>资产资本表!AD62</f>
        <v>0</v>
      </c>
      <c r="AE97" s="76">
        <f>资产资本表!AE62</f>
        <v>0</v>
      </c>
      <c r="AF97" s="76">
        <f>资产资本表!AF62</f>
        <v>0</v>
      </c>
      <c r="AG97" s="76">
        <f>资产资本表!AG62</f>
        <v>0</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1436839.85</v>
      </c>
      <c r="AQ97" s="76">
        <f>资产资本表!AQ62</f>
        <v>1543926.48</v>
      </c>
      <c r="AR97" s="76">
        <f>资产资本表!AR62</f>
        <v>1643020.23</v>
      </c>
      <c r="AS97" s="76">
        <f>资产资本表!AS62</f>
        <v>1643020.23</v>
      </c>
      <c r="AT97" s="76">
        <f>资产资本表!AT62</f>
        <v>7459482.3300000001</v>
      </c>
      <c r="AU97" s="76">
        <f>资产资本表!AU62</f>
        <v>7497375.2999999998</v>
      </c>
      <c r="AV97" s="76">
        <f>资产资本表!AV62</f>
        <v>7682614.4100000001</v>
      </c>
      <c r="AW97" s="76">
        <f>资产资本表!AW62</f>
        <v>3414075.72</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164408161.83000001</v>
      </c>
      <c r="F98" s="76">
        <f>资产资本表!F63</f>
        <v>157570396.31999999</v>
      </c>
      <c r="G98" s="76">
        <f>资产资本表!G63</f>
        <v>161395157.93000001</v>
      </c>
      <c r="H98" s="76">
        <f>资产资本表!H63</f>
        <v>165654165.59999999</v>
      </c>
      <c r="I98" s="76">
        <f>资产资本表!I63</f>
        <v>225785597.97999999</v>
      </c>
      <c r="J98" s="76">
        <f>资产资本表!J63</f>
        <v>253491883.38999999</v>
      </c>
      <c r="K98" s="76">
        <f>资产资本表!K63</f>
        <v>264183678.34</v>
      </c>
      <c r="L98" s="76">
        <f>资产资本表!L63</f>
        <v>108750830.04000001</v>
      </c>
      <c r="M98" s="76">
        <f>资产资本表!M63</f>
        <v>85021972.579999998</v>
      </c>
      <c r="N98" s="76">
        <f>资产资本表!N63</f>
        <v>85121290.519999996</v>
      </c>
      <c r="O98" s="76">
        <f>资产资本表!O63</f>
        <v>102219397.22</v>
      </c>
      <c r="P98" s="76">
        <f>资产资本表!P63</f>
        <v>102275937.98999999</v>
      </c>
      <c r="Q98" s="76">
        <f>资产资本表!Q63</f>
        <v>102249802.81</v>
      </c>
      <c r="R98" s="76">
        <f>资产资本表!R63</f>
        <v>96759371.430000007</v>
      </c>
      <c r="S98" s="76">
        <f>资产资本表!S63</f>
        <v>103752935.95</v>
      </c>
      <c r="T98" s="76">
        <f>资产资本表!T63</f>
        <v>110982580.88</v>
      </c>
      <c r="U98" s="76">
        <f>资产资本表!U63</f>
        <v>111290399.63</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631816.43999999994</v>
      </c>
      <c r="BW99" s="93">
        <f>资产资本表!BW64</f>
        <v>0</v>
      </c>
      <c r="BX99" s="93">
        <f>资产资本表!BX64</f>
        <v>0</v>
      </c>
      <c r="BY99" s="93">
        <f>资产资本表!BY64</f>
        <v>625431.11</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50727206.189999998</v>
      </c>
      <c r="F100" s="197">
        <f t="shared" ref="F100:BQ100" si="54">(F84+J84)/2</f>
        <v>46370925.939999998</v>
      </c>
      <c r="G100" s="197">
        <f t="shared" si="54"/>
        <v>46285605.93</v>
      </c>
      <c r="H100" s="197">
        <f t="shared" si="54"/>
        <v>47995716.590000004</v>
      </c>
      <c r="I100" s="197">
        <f t="shared" si="54"/>
        <v>54119739.195</v>
      </c>
      <c r="J100" s="197">
        <f t="shared" si="54"/>
        <v>54721403.909999996</v>
      </c>
      <c r="K100" s="197">
        <f t="shared" si="54"/>
        <v>55154637.644999996</v>
      </c>
      <c r="L100" s="197">
        <f t="shared" si="54"/>
        <v>52701506.769999996</v>
      </c>
      <c r="M100" s="197">
        <f t="shared" si="54"/>
        <v>54025132.784999996</v>
      </c>
      <c r="N100" s="197">
        <f t="shared" si="54"/>
        <v>54501264.710000001</v>
      </c>
      <c r="O100" s="197">
        <f t="shared" si="54"/>
        <v>52356691.230000004</v>
      </c>
      <c r="P100" s="197">
        <f t="shared" si="54"/>
        <v>52472312.064999998</v>
      </c>
      <c r="Q100" s="197">
        <f t="shared" si="54"/>
        <v>52410585.344999999</v>
      </c>
      <c r="R100" s="197">
        <f t="shared" si="54"/>
        <v>48264256.899999999</v>
      </c>
      <c r="S100" s="197">
        <f t="shared" si="54"/>
        <v>46673118.269999996</v>
      </c>
      <c r="T100" s="197">
        <f t="shared" si="54"/>
        <v>46976424.93</v>
      </c>
      <c r="U100" s="197">
        <f t="shared" si="54"/>
        <v>47266514.344999999</v>
      </c>
      <c r="V100" s="197">
        <f t="shared" si="54"/>
        <v>42232756.759999998</v>
      </c>
      <c r="W100" s="197">
        <f t="shared" si="54"/>
        <v>43363379.945</v>
      </c>
      <c r="X100" s="197">
        <f t="shared" si="54"/>
        <v>44622314.200000003</v>
      </c>
      <c r="Y100" s="197">
        <f t="shared" si="54"/>
        <v>45874143.239999995</v>
      </c>
      <c r="Z100" s="197">
        <f t="shared" si="54"/>
        <v>28211911.390000001</v>
      </c>
      <c r="AA100" s="197">
        <f t="shared" si="54"/>
        <v>28936180.309999999</v>
      </c>
      <c r="AB100" s="197">
        <f t="shared" si="54"/>
        <v>29875474.969999999</v>
      </c>
      <c r="AC100" s="197">
        <f t="shared" si="54"/>
        <v>30542003.055</v>
      </c>
      <c r="AD100" s="197">
        <f t="shared" si="54"/>
        <v>13458735.824999999</v>
      </c>
      <c r="AE100" s="197">
        <f t="shared" si="54"/>
        <v>13692800.434999999</v>
      </c>
      <c r="AF100" s="197">
        <f t="shared" si="54"/>
        <v>13939158.18</v>
      </c>
      <c r="AG100" s="197">
        <f t="shared" si="54"/>
        <v>14156414.82</v>
      </c>
      <c r="AH100" s="197">
        <f t="shared" si="54"/>
        <v>14445059.135</v>
      </c>
      <c r="AI100" s="197">
        <f t="shared" si="54"/>
        <v>14677171.649999999</v>
      </c>
      <c r="AJ100" s="197">
        <f t="shared" si="54"/>
        <v>15100458.275</v>
      </c>
      <c r="AK100" s="197">
        <f t="shared" si="54"/>
        <v>15340632.58</v>
      </c>
      <c r="AL100" s="197">
        <f t="shared" si="54"/>
        <v>15688757.824999999</v>
      </c>
      <c r="AM100" s="197">
        <f t="shared" si="54"/>
        <v>16048270.414999999</v>
      </c>
      <c r="AN100" s="197">
        <f t="shared" si="54"/>
        <v>16907823.875</v>
      </c>
      <c r="AO100" s="197">
        <f t="shared" si="54"/>
        <v>17213937.129999999</v>
      </c>
      <c r="AP100" s="197">
        <f t="shared" si="54"/>
        <v>17447896.375</v>
      </c>
      <c r="AQ100" s="197">
        <f t="shared" si="54"/>
        <v>17582824.704999998</v>
      </c>
      <c r="AR100" s="197">
        <f t="shared" si="54"/>
        <v>18318879.975000001</v>
      </c>
      <c r="AS100" s="197">
        <f t="shared" si="54"/>
        <v>18520904.225000001</v>
      </c>
      <c r="AT100" s="197">
        <f t="shared" si="54"/>
        <v>20823743.84</v>
      </c>
      <c r="AU100" s="197">
        <f t="shared" si="54"/>
        <v>21050553.280000001</v>
      </c>
      <c r="AV100" s="197">
        <f t="shared" si="54"/>
        <v>9290486.8000000007</v>
      </c>
      <c r="AW100" s="197">
        <f t="shared" si="54"/>
        <v>21755748.41</v>
      </c>
      <c r="AX100" s="197">
        <f t="shared" si="54"/>
        <v>24662488.32</v>
      </c>
      <c r="AY100" s="197">
        <f t="shared" si="54"/>
        <v>25430714.725000001</v>
      </c>
      <c r="AZ100" s="197">
        <f t="shared" si="54"/>
        <v>13881337.035</v>
      </c>
      <c r="BA100" s="197">
        <f t="shared" si="54"/>
        <v>26769109.565000001</v>
      </c>
      <c r="BB100" s="197">
        <f t="shared" si="54"/>
        <v>27762448.170000002</v>
      </c>
      <c r="BC100" s="197">
        <f t="shared" si="54"/>
        <v>28575088.640000001</v>
      </c>
      <c r="BD100" s="197">
        <f t="shared" si="54"/>
        <v>29675512.550000001</v>
      </c>
      <c r="BE100" s="197">
        <f t="shared" si="54"/>
        <v>30716192.520000003</v>
      </c>
      <c r="BF100" s="197">
        <f t="shared" si="54"/>
        <v>30621530.120000001</v>
      </c>
      <c r="BG100" s="197">
        <f t="shared" si="54"/>
        <v>31662602.524999999</v>
      </c>
      <c r="BH100" s="197">
        <f t="shared" si="54"/>
        <v>32920775.565000001</v>
      </c>
      <c r="BI100" s="197">
        <f t="shared" si="54"/>
        <v>33913177.664999999</v>
      </c>
      <c r="BJ100" s="197">
        <f t="shared" si="54"/>
        <v>33691593.579999998</v>
      </c>
      <c r="BK100" s="197">
        <f t="shared" si="54"/>
        <v>34849882.969999999</v>
      </c>
      <c r="BL100" s="197">
        <f t="shared" si="54"/>
        <v>35787129.234999999</v>
      </c>
      <c r="BM100" s="197">
        <f t="shared" si="54"/>
        <v>36623561.784999996</v>
      </c>
      <c r="BN100" s="197">
        <f t="shared" si="54"/>
        <v>34254756.085000001</v>
      </c>
      <c r="BO100" s="197">
        <f t="shared" si="54"/>
        <v>45369991.284999996</v>
      </c>
      <c r="BP100" s="197">
        <f t="shared" si="54"/>
        <v>44063840.18</v>
      </c>
      <c r="BQ100" s="197">
        <f t="shared" si="54"/>
        <v>44748432.390000001</v>
      </c>
      <c r="BR100" s="197">
        <f t="shared" ref="BR100:CK100" si="55">(BR84+BV84)/2</f>
        <v>29607925.59</v>
      </c>
      <c r="BS100" s="197">
        <f t="shared" si="55"/>
        <v>40675600.265000001</v>
      </c>
      <c r="BT100" s="197">
        <f t="shared" si="55"/>
        <v>37832553.32</v>
      </c>
      <c r="BU100" s="197">
        <f t="shared" si="55"/>
        <v>38377122.280000001</v>
      </c>
      <c r="BV100" s="197">
        <f t="shared" si="55"/>
        <v>26182528.634999998</v>
      </c>
      <c r="BW100" s="197">
        <f t="shared" si="55"/>
        <v>27128847.424999997</v>
      </c>
      <c r="BX100" s="197">
        <f t="shared" si="55"/>
        <v>36515342.379999995</v>
      </c>
      <c r="BY100" s="197">
        <f t="shared" si="55"/>
        <v>38673817.840000004</v>
      </c>
      <c r="BZ100" s="197">
        <f t="shared" si="55"/>
        <v>13048849.369999999</v>
      </c>
      <c r="CA100" s="197">
        <f t="shared" si="55"/>
        <v>13548324.904999999</v>
      </c>
      <c r="CB100" s="197">
        <f t="shared" si="55"/>
        <v>24086100.055</v>
      </c>
      <c r="CC100" s="197">
        <f t="shared" si="55"/>
        <v>25947492.530000001</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1.0870739879133562</v>
      </c>
      <c r="F101" s="252">
        <f t="shared" ref="F101:BQ101" si="56">F100/F84</f>
        <v>1.2617821786835817</v>
      </c>
      <c r="G101" s="252">
        <f t="shared" si="56"/>
        <v>1.2979619108592151</v>
      </c>
      <c r="H101" s="252">
        <f t="shared" si="56"/>
        <v>1.0783098752946947</v>
      </c>
      <c r="I101" s="252">
        <f t="shared" si="56"/>
        <v>0.9877590581286233</v>
      </c>
      <c r="J101" s="252">
        <f t="shared" si="56"/>
        <v>0.97731608808323911</v>
      </c>
      <c r="K101" s="252">
        <f t="shared" si="56"/>
        <v>0.96913855873543564</v>
      </c>
      <c r="L101" s="252">
        <f t="shared" si="56"/>
        <v>1.0237019496298807</v>
      </c>
      <c r="M101" s="252">
        <f t="shared" si="56"/>
        <v>1.010778114391871</v>
      </c>
      <c r="N101" s="252">
        <f t="shared" si="56"/>
        <v>1.0196434388065412</v>
      </c>
      <c r="O101" s="252">
        <f t="shared" si="56"/>
        <v>0.98049392033646909</v>
      </c>
      <c r="P101" s="252">
        <f t="shared" si="56"/>
        <v>0.97312025584697137</v>
      </c>
      <c r="Q101" s="252">
        <f t="shared" si="56"/>
        <v>0.95987950939065581</v>
      </c>
      <c r="R101" s="252">
        <f t="shared" si="56"/>
        <v>0.86882423957762089</v>
      </c>
      <c r="S101" s="252">
        <f t="shared" si="56"/>
        <v>0.90953965201737552</v>
      </c>
      <c r="T101" s="252">
        <f t="shared" si="56"/>
        <v>0.92069277810827277</v>
      </c>
      <c r="U101" s="252">
        <f t="shared" si="56"/>
        <v>0.9411898440679497</v>
      </c>
      <c r="V101" s="252">
        <f t="shared" si="56"/>
        <v>1.0306383172541229</v>
      </c>
      <c r="W101" s="252">
        <f t="shared" si="56"/>
        <v>1.0316965848941027</v>
      </c>
      <c r="X101" s="252">
        <f t="shared" si="56"/>
        <v>1.03942177750561</v>
      </c>
      <c r="Y101" s="252">
        <f t="shared" si="56"/>
        <v>1.0352282615979815</v>
      </c>
      <c r="Z101" s="252">
        <f t="shared" si="56"/>
        <v>0.64872519010759178</v>
      </c>
      <c r="AA101" s="252">
        <f t="shared" si="56"/>
        <v>0.64740522873158635</v>
      </c>
      <c r="AB101" s="252">
        <f t="shared" si="56"/>
        <v>0.64505399451488443</v>
      </c>
      <c r="AC101" s="252">
        <f t="shared" si="56"/>
        <v>0.64386769640932984</v>
      </c>
      <c r="AD101" s="252">
        <f t="shared" si="56"/>
        <v>1.04044227763335</v>
      </c>
      <c r="AE101" s="252">
        <f t="shared" si="56"/>
        <v>1.039164721703006</v>
      </c>
      <c r="AF101" s="252">
        <f t="shared" si="56"/>
        <v>1.0374283412729217</v>
      </c>
      <c r="AG101" s="252">
        <f t="shared" si="56"/>
        <v>1.0371918964523159</v>
      </c>
      <c r="AH101" s="252">
        <f t="shared" si="56"/>
        <v>1.0331270562653261</v>
      </c>
      <c r="AI101" s="252">
        <f t="shared" si="56"/>
        <v>1.0329588614928564</v>
      </c>
      <c r="AJ101" s="252">
        <f t="shared" si="56"/>
        <v>1.0455892958558601</v>
      </c>
      <c r="AK101" s="252">
        <f t="shared" si="56"/>
        <v>1.0461396310968132</v>
      </c>
      <c r="AL101" s="252">
        <f t="shared" si="56"/>
        <v>1.0523549571554724</v>
      </c>
      <c r="AM101" s="252">
        <f t="shared" si="56"/>
        <v>1.0596079369984324</v>
      </c>
      <c r="AN101" s="252">
        <f t="shared" si="56"/>
        <v>1.0729089777387089</v>
      </c>
      <c r="AO101" s="252">
        <f t="shared" si="56"/>
        <v>1.0747140106834254</v>
      </c>
      <c r="AP101" s="252">
        <f t="shared" si="56"/>
        <v>1.0594208444828379</v>
      </c>
      <c r="AQ101" s="252">
        <f t="shared" si="56"/>
        <v>1.0372698491954768</v>
      </c>
      <c r="AR101" s="252">
        <f t="shared" si="56"/>
        <v>1.0145149651726371</v>
      </c>
      <c r="AS101" s="252">
        <f t="shared" si="56"/>
        <v>1.005988703009455</v>
      </c>
      <c r="AT101" s="252">
        <f t="shared" si="56"/>
        <v>1.1300967159889581</v>
      </c>
      <c r="AU101" s="252">
        <f t="shared" si="56"/>
        <v>1.1556974579310006</v>
      </c>
      <c r="AV101" s="252">
        <f t="shared" si="56"/>
        <v>0.5</v>
      </c>
      <c r="AW101" s="252">
        <f t="shared" si="56"/>
        <v>1.1677076606179113</v>
      </c>
      <c r="AX101" s="252">
        <f t="shared" si="56"/>
        <v>1.0620781664148105</v>
      </c>
      <c r="AY101" s="252">
        <f t="shared" si="56"/>
        <v>1.0646471931039514</v>
      </c>
      <c r="AZ101" s="252" t="e">
        <f t="shared" si="56"/>
        <v>#DIV/0!</v>
      </c>
      <c r="BA101" s="252">
        <f t="shared" si="56"/>
        <v>1.0759142811664257</v>
      </c>
      <c r="BB101" s="252">
        <f t="shared" si="56"/>
        <v>1.0635321863465226</v>
      </c>
      <c r="BC101" s="252">
        <f t="shared" si="56"/>
        <v>1.0593209573392519</v>
      </c>
      <c r="BD101" s="252">
        <f t="shared" si="56"/>
        <v>1.0688996483255548</v>
      </c>
      <c r="BE101" s="252">
        <f t="shared" si="56"/>
        <v>1.0718235230502258</v>
      </c>
      <c r="BF101" s="252">
        <f t="shared" si="56"/>
        <v>1.0408090106688332</v>
      </c>
      <c r="BG101" s="252">
        <f t="shared" si="56"/>
        <v>1.0492899159740601</v>
      </c>
      <c r="BH101" s="252">
        <f t="shared" si="56"/>
        <v>1.0421808828746577</v>
      </c>
      <c r="BI101" s="252">
        <f t="shared" si="56"/>
        <v>1.0347427107864025</v>
      </c>
      <c r="BJ101" s="252">
        <f t="shared" si="56"/>
        <v>1.0587460276480398</v>
      </c>
      <c r="BK101" s="252">
        <f t="shared" si="56"/>
        <v>1.0512804598880034</v>
      </c>
      <c r="BL101" s="252">
        <f t="shared" si="56"/>
        <v>1.0447820679680087</v>
      </c>
      <c r="BM101" s="252">
        <f t="shared" si="56"/>
        <v>1.0448395429225004</v>
      </c>
      <c r="BN101" s="252">
        <f t="shared" si="56"/>
        <v>0.96326698579984915</v>
      </c>
      <c r="BO101" s="252">
        <f t="shared" si="56"/>
        <v>1.2413189037993118</v>
      </c>
      <c r="BP101" s="252">
        <f t="shared" si="56"/>
        <v>1.1806696300826263</v>
      </c>
      <c r="BQ101" s="252">
        <f t="shared" si="56"/>
        <v>1.1715699720379309</v>
      </c>
      <c r="BR101" s="252">
        <f t="shared" ref="BR101:CK101" si="57">BR100/BR84</f>
        <v>0.89861244653934114</v>
      </c>
      <c r="BS101" s="252">
        <f t="shared" si="57"/>
        <v>0.75060866493557277</v>
      </c>
      <c r="BT101" s="252">
        <f t="shared" si="57"/>
        <v>0.74463823490265468</v>
      </c>
      <c r="BU101" s="252">
        <f t="shared" si="57"/>
        <v>0.74806880902928929</v>
      </c>
      <c r="BV101" s="252">
        <f t="shared" si="57"/>
        <v>0.99677052053395021</v>
      </c>
      <c r="BW101" s="252">
        <f t="shared" si="57"/>
        <v>0.99881456641478317</v>
      </c>
      <c r="BX101" s="252">
        <f t="shared" si="57"/>
        <v>1.4689287337552974</v>
      </c>
      <c r="BY101" s="252">
        <f t="shared" si="57"/>
        <v>1.5194416651290208</v>
      </c>
      <c r="BZ101" s="252">
        <f t="shared" si="57"/>
        <v>0.5</v>
      </c>
      <c r="CA101" s="252">
        <f t="shared" si="57"/>
        <v>0.5</v>
      </c>
      <c r="CB101" s="252">
        <f t="shared" si="57"/>
        <v>0.5</v>
      </c>
      <c r="CC101" s="252">
        <f t="shared" si="57"/>
        <v>0.5</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E27" sqref="E27"/>
    </sheetView>
  </sheetViews>
  <sheetFormatPr defaultRowHeight="14.4" x14ac:dyDescent="0.25"/>
  <cols>
    <col min="1" max="1" width="63.21875" style="17" bestFit="1" customWidth="1"/>
    <col min="2" max="4" width="9.5546875" hidden="1" customWidth="1"/>
    <col min="5" max="5" width="22.6640625" bestFit="1" customWidth="1"/>
    <col min="6" max="8" width="22.6640625" hidden="1" customWidth="1"/>
    <col min="9" max="9" width="19.33203125" bestFit="1" customWidth="1"/>
    <col min="10" max="10" width="19.33203125" hidden="1" customWidth="1"/>
    <col min="11" max="11" width="20.21875" hidden="1" customWidth="1"/>
    <col min="12" max="12" width="19.33203125" hidden="1" customWidth="1"/>
    <col min="13" max="13" width="20.21875" bestFit="1" customWidth="1"/>
    <col min="14" max="16" width="22.6640625" hidden="1" customWidth="1"/>
    <col min="17" max="17" width="22.6640625" bestFit="1" customWidth="1"/>
    <col min="18" max="20" width="20.21875" hidden="1" customWidth="1"/>
    <col min="21" max="21" width="20.21875" bestFit="1" customWidth="1"/>
    <col min="22" max="24" width="20.21875" hidden="1" customWidth="1"/>
    <col min="25" max="25" width="19.33203125" bestFit="1" customWidth="1"/>
    <col min="26" max="28" width="20.21875" hidden="1" customWidth="1"/>
    <col min="29" max="29" width="20.21875" bestFit="1" customWidth="1"/>
    <col min="30" max="32" width="17.77734375" hidden="1" customWidth="1"/>
    <col min="33" max="33" width="17.77734375" bestFit="1" customWidth="1"/>
    <col min="34" max="36" width="16.109375" hidden="1" customWidth="1"/>
    <col min="37" max="37" width="17.77734375" bestFit="1" customWidth="1"/>
    <col min="38" max="39" width="17.21875" hidden="1" customWidth="1"/>
    <col min="40" max="40" width="16.109375" hidden="1" customWidth="1"/>
    <col min="41" max="41" width="19" bestFit="1" customWidth="1"/>
    <col min="42" max="42" width="17.77734375" hidden="1" customWidth="1"/>
    <col min="43" max="44" width="19" hidden="1" customWidth="1"/>
    <col min="45" max="45" width="19" bestFit="1" customWidth="1"/>
    <col min="46" max="48" width="17.21875" hidden="1" customWidth="1"/>
    <col min="49" max="49" width="20.21875" bestFit="1" customWidth="1"/>
    <col min="50" max="51" width="17.77734375" hidden="1" customWidth="1"/>
    <col min="52" max="52" width="19" hidden="1" customWidth="1"/>
    <col min="53" max="53" width="20.21875" bestFit="1" customWidth="1"/>
    <col min="54" max="56" width="19" hidden="1" customWidth="1"/>
    <col min="57" max="57" width="20.21875" bestFit="1" customWidth="1"/>
    <col min="58" max="60" width="20.21875" hidden="1" customWidth="1"/>
    <col min="61" max="61" width="17.77734375" bestFit="1" customWidth="1"/>
    <col min="62" max="62" width="20.21875" hidden="1" customWidth="1"/>
    <col min="63" max="64" width="19" hidden="1" customWidth="1"/>
    <col min="65" max="65" width="19.33203125" bestFit="1" customWidth="1"/>
    <col min="66" max="66" width="19" hidden="1" customWidth="1"/>
    <col min="67" max="67" width="20.21875" bestFit="1" customWidth="1"/>
    <col min="68" max="68" width="17.77734375" hidden="1" customWidth="1"/>
    <col min="69" max="69" width="19" bestFit="1" customWidth="1"/>
    <col min="70" max="70" width="17.21875" hidden="1" customWidth="1"/>
    <col min="71" max="71" width="19" bestFit="1" customWidth="1"/>
    <col min="72" max="72" width="17.77734375" bestFit="1" customWidth="1"/>
    <col min="73" max="73" width="17.21875" hidden="1" customWidth="1"/>
    <col min="74" max="74" width="16.109375" hidden="1" customWidth="1"/>
    <col min="75" max="81" width="16.1093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863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36160</v>
      </c>
      <c r="BU1" s="1">
        <v>25569</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1656132658.1800001</v>
      </c>
      <c r="F2" s="26">
        <f>现金流量表!F4</f>
        <v>1015572580.24</v>
      </c>
      <c r="G2" s="26">
        <f>现金流量表!G4</f>
        <v>663376128.89999998</v>
      </c>
      <c r="H2" s="26">
        <f>现金流量表!H4</f>
        <v>253470371.09999999</v>
      </c>
      <c r="I2" s="26">
        <f>现金流量表!I4</f>
        <v>3553873922.02</v>
      </c>
      <c r="J2" s="26">
        <f>现金流量表!J4</f>
        <v>2620449402.2600002</v>
      </c>
      <c r="K2" s="26">
        <f>现金流量表!K4</f>
        <v>1859129190.74</v>
      </c>
      <c r="L2" s="26">
        <f>现金流量表!L4</f>
        <v>1243596286.5799999</v>
      </c>
      <c r="M2" s="26">
        <f>现金流量表!M4</f>
        <v>3249568813.8000002</v>
      </c>
      <c r="N2" s="26">
        <f>现金流量表!N4</f>
        <v>2121778517.28</v>
      </c>
      <c r="O2" s="26">
        <f>现金流量表!O4</f>
        <v>1128602420.24</v>
      </c>
      <c r="P2" s="26">
        <f>现金流量表!P4</f>
        <v>410957064.37</v>
      </c>
      <c r="Q2" s="26">
        <f>现金流量表!Q4</f>
        <v>1802099478.3900001</v>
      </c>
      <c r="R2" s="26">
        <f>现金流量表!R4</f>
        <v>1561216197.2</v>
      </c>
      <c r="S2" s="26">
        <f>现金流量表!S4</f>
        <v>1214331564.4300001</v>
      </c>
      <c r="T2" s="26">
        <f>现金流量表!T4</f>
        <v>590712399.84000003</v>
      </c>
      <c r="U2" s="26">
        <f>现金流量表!U4</f>
        <v>2173874757.0100002</v>
      </c>
      <c r="V2" s="26">
        <f>现金流量表!V4</f>
        <v>1753833214.1500001</v>
      </c>
      <c r="W2" s="26">
        <f>现金流量表!W4</f>
        <v>1259110597.9000001</v>
      </c>
      <c r="X2" s="26">
        <f>现金流量表!X4</f>
        <v>587403173.15999997</v>
      </c>
      <c r="Y2" s="26">
        <f>现金流量表!Y4</f>
        <v>1551850280.6099999</v>
      </c>
      <c r="Z2" s="26">
        <f>现金流量表!Z4</f>
        <v>0</v>
      </c>
      <c r="AA2" s="26">
        <f>现金流量表!AA4</f>
        <v>611488005.98000002</v>
      </c>
      <c r="AB2" s="26">
        <f>现金流量表!AB4</f>
        <v>144866613.91999999</v>
      </c>
      <c r="AC2" s="26">
        <f>现金流量表!AC4</f>
        <v>1492525820.8800001</v>
      </c>
      <c r="AD2" s="26">
        <f>现金流量表!AD4</f>
        <v>0</v>
      </c>
      <c r="AE2" s="26">
        <f>现金流量表!AE4</f>
        <v>0</v>
      </c>
      <c r="AF2" s="26">
        <f>现金流量表!AF4</f>
        <v>0</v>
      </c>
      <c r="AG2" s="26">
        <f>现金流量表!AG4</f>
        <v>1356392.3</v>
      </c>
      <c r="AH2" s="26">
        <f>现金流量表!AH4</f>
        <v>990000</v>
      </c>
      <c r="AI2" s="26">
        <f>现金流量表!AI4</f>
        <v>990000</v>
      </c>
      <c r="AJ2" s="26">
        <f>现金流量表!AJ4</f>
        <v>0</v>
      </c>
      <c r="AK2" s="26">
        <f>现金流量表!AK4</f>
        <v>1067174.4099999999</v>
      </c>
      <c r="AL2" s="26">
        <f>现金流量表!AL4</f>
        <v>765394.76</v>
      </c>
      <c r="AM2" s="26">
        <f>现金流量表!AM4</f>
        <v>740971.8</v>
      </c>
      <c r="AN2" s="26">
        <f>现金流量表!AN4</f>
        <v>533976.80000000005</v>
      </c>
      <c r="AO2" s="26">
        <f>现金流量表!AO4</f>
        <v>64195331.869999997</v>
      </c>
      <c r="AP2" s="26">
        <f>现金流量表!AP4</f>
        <v>83243103.849999994</v>
      </c>
      <c r="AQ2" s="26">
        <f>现金流量表!AQ4</f>
        <v>80146732.090000004</v>
      </c>
      <c r="AR2" s="26">
        <f>现金流量表!AR4</f>
        <v>31308146.449999999</v>
      </c>
      <c r="AS2" s="26">
        <f>现金流量表!AS4</f>
        <v>333871300.74000001</v>
      </c>
      <c r="AT2" s="26">
        <f>现金流量表!AT4</f>
        <v>256469199.46000001</v>
      </c>
      <c r="AU2" s="26">
        <f>现金流量表!AU4</f>
        <v>184827898.59999999</v>
      </c>
      <c r="AV2" s="26">
        <f>现金流量表!AV4</f>
        <v>88130958.420000002</v>
      </c>
      <c r="AW2" s="26">
        <f>现金流量表!AW4</f>
        <v>317658012.48000002</v>
      </c>
      <c r="AX2" s="26">
        <f>现金流量表!AX4</f>
        <v>176419425.13999999</v>
      </c>
      <c r="AY2" s="26">
        <f>现金流量表!AY4</f>
        <v>97616233.650000006</v>
      </c>
      <c r="AZ2" s="26">
        <f>现金流量表!AZ4</f>
        <v>41918566.969999999</v>
      </c>
      <c r="BA2" s="26">
        <f>现金流量表!BA4</f>
        <v>119525456.18000001</v>
      </c>
      <c r="BB2" s="26">
        <f>现金流量表!BB4</f>
        <v>83646372.209999993</v>
      </c>
      <c r="BC2" s="26">
        <f>现金流量表!BC4</f>
        <v>57692779.979999997</v>
      </c>
      <c r="BD2" s="26">
        <f>现金流量表!BD4</f>
        <v>10213265.58</v>
      </c>
      <c r="BE2" s="26">
        <f>现金流量表!BE4</f>
        <v>804439941.25999999</v>
      </c>
      <c r="BF2" s="26">
        <f>现金流量表!BF4</f>
        <v>617470159.15999997</v>
      </c>
      <c r="BG2" s="26">
        <f>现金流量表!BG4</f>
        <v>544406616.33000004</v>
      </c>
      <c r="BH2" s="26">
        <f>现金流量表!BH4</f>
        <v>193793743.63</v>
      </c>
      <c r="BI2" s="26">
        <f>现金流量表!BI4</f>
        <v>968356782.14999998</v>
      </c>
      <c r="BJ2" s="26">
        <f>现金流量表!BJ4</f>
        <v>638623516.97000003</v>
      </c>
      <c r="BK2" s="26">
        <f>现金流量表!BK4</f>
        <v>444256993.76999998</v>
      </c>
      <c r="BL2" s="26">
        <f>现金流量表!BL4</f>
        <v>216170532.91</v>
      </c>
      <c r="BM2" s="26">
        <f>现金流量表!BM4</f>
        <v>1023971890.21</v>
      </c>
      <c r="BN2" s="26">
        <f>现金流量表!BN4</f>
        <v>483853665.66000003</v>
      </c>
      <c r="BO2" s="26">
        <f>现金流量表!BO4</f>
        <v>868142368.79999995</v>
      </c>
      <c r="BP2" s="26">
        <f>现金流量表!BP4</f>
        <v>251702943.63</v>
      </c>
      <c r="BQ2" s="26">
        <f>现金流量表!BQ4</f>
        <v>236019329.78</v>
      </c>
      <c r="BR2" s="26">
        <f>现金流量表!BR4</f>
        <v>103976965.61</v>
      </c>
      <c r="BS2" s="26">
        <f>现金流量表!BS4</f>
        <v>103259450.75</v>
      </c>
      <c r="BT2" s="26">
        <f>现金流量表!BT4</f>
        <v>71762827.719999999</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2473918205.1599998</v>
      </c>
      <c r="F3" s="26">
        <f>利润表!F3</f>
        <v>1008208630.3099999</v>
      </c>
      <c r="G3" s="26">
        <f>利润表!G3</f>
        <v>878288856.76999998</v>
      </c>
      <c r="H3" s="26">
        <f>利润表!H3</f>
        <v>630272076.14999998</v>
      </c>
      <c r="I3" s="26">
        <f>利润表!I3</f>
        <v>6704848495.9899998</v>
      </c>
      <c r="J3" s="26">
        <f>利润表!J3</f>
        <v>4576608658.5100002</v>
      </c>
      <c r="K3" s="26">
        <f>利润表!K3</f>
        <v>3995822264.8899999</v>
      </c>
      <c r="L3" s="26">
        <f>利润表!L3</f>
        <v>2925433262.5500002</v>
      </c>
      <c r="M3" s="26">
        <f>利润表!M3</f>
        <v>519502880.88</v>
      </c>
      <c r="N3" s="26">
        <f>利润表!N3</f>
        <v>367419981.04000002</v>
      </c>
      <c r="O3" s="26">
        <f>利润表!O3</f>
        <v>217567191.96000001</v>
      </c>
      <c r="P3" s="26">
        <f>利润表!P3</f>
        <v>144601402.62</v>
      </c>
      <c r="Q3" s="26">
        <f>利润表!Q3</f>
        <v>1270810233.05</v>
      </c>
      <c r="R3" s="26">
        <f>利润表!R3</f>
        <v>893502435.89999998</v>
      </c>
      <c r="S3" s="26">
        <f>利润表!S3</f>
        <v>679685555.03999996</v>
      </c>
      <c r="T3" s="26">
        <f>利润表!T3</f>
        <v>301403886.20999998</v>
      </c>
      <c r="U3" s="26">
        <f>利润表!U3</f>
        <v>2776957460.2800002</v>
      </c>
      <c r="V3" s="26">
        <f>利润表!V3</f>
        <v>326513513.94</v>
      </c>
      <c r="W3" s="26">
        <f>利润表!W3</f>
        <v>251933246.53999999</v>
      </c>
      <c r="X3" s="26">
        <f>利润表!X3</f>
        <v>159552882.02000001</v>
      </c>
      <c r="Y3" s="26">
        <f>利润表!Y3</f>
        <v>1886509459.79</v>
      </c>
      <c r="Z3" s="26">
        <f>利润表!Z3</f>
        <v>362275701.70999998</v>
      </c>
      <c r="AA3" s="26">
        <f>利润表!AA3</f>
        <v>92328849.569999993</v>
      </c>
      <c r="AB3" s="26">
        <f>利润表!AB3</f>
        <v>38430091.479999997</v>
      </c>
      <c r="AC3" s="26">
        <f>利润表!AC3</f>
        <v>911117929.50999999</v>
      </c>
      <c r="AD3" s="26">
        <f>利润表!AD3</f>
        <v>2325028.98</v>
      </c>
      <c r="AE3" s="26">
        <f>利润表!AE3</f>
        <v>719549.52</v>
      </c>
      <c r="AF3" s="26">
        <f>利润表!AF3</f>
        <v>454838.86</v>
      </c>
      <c r="AG3" s="26">
        <f>利润表!AG3</f>
        <v>1972005.12</v>
      </c>
      <c r="AH3" s="26">
        <f>利润表!AH3</f>
        <v>2247045.88</v>
      </c>
      <c r="AI3" s="26">
        <f>利润表!AI3</f>
        <v>1644331.61</v>
      </c>
      <c r="AJ3" s="26">
        <f>利润表!AJ3</f>
        <v>118276.34</v>
      </c>
      <c r="AK3" s="26">
        <f>利润表!AK3</f>
        <v>2319583.5699999998</v>
      </c>
      <c r="AL3" s="26">
        <f>利润表!AL3</f>
        <v>1059567.43</v>
      </c>
      <c r="AM3" s="26">
        <f>利润表!AM3</f>
        <v>714108.94</v>
      </c>
      <c r="AN3" s="26">
        <f>利润表!AN3</f>
        <v>317568.12</v>
      </c>
      <c r="AO3" s="26">
        <f>利润表!AO3</f>
        <v>29625077.149999999</v>
      </c>
      <c r="AP3" s="26">
        <f>利润表!AP3</f>
        <v>39690074.759999998</v>
      </c>
      <c r="AQ3" s="26">
        <f>利润表!AQ3</f>
        <v>38358193.560000002</v>
      </c>
      <c r="AR3" s="26">
        <f>利润表!AR3</f>
        <v>19981743.039999999</v>
      </c>
      <c r="AS3" s="26">
        <f>利润表!AS3</f>
        <v>276226954.25999999</v>
      </c>
      <c r="AT3" s="26">
        <f>利润表!AT3</f>
        <v>212112113.97</v>
      </c>
      <c r="AU3" s="26">
        <f>利润表!AU3</f>
        <v>151644166.93000001</v>
      </c>
      <c r="AV3" s="26">
        <f>利润表!AV3</f>
        <v>63063671.619999997</v>
      </c>
      <c r="AW3" s="26">
        <f>利润表!AW3</f>
        <v>229176151.38999999</v>
      </c>
      <c r="AX3" s="26">
        <f>利润表!AX3</f>
        <v>126125572.09</v>
      </c>
      <c r="AY3" s="26">
        <f>利润表!AY3</f>
        <v>70840155.810000002</v>
      </c>
      <c r="AZ3" s="26">
        <f>利润表!AZ3</f>
        <v>40009471.130000003</v>
      </c>
      <c r="BA3" s="26">
        <f>利润表!BA3</f>
        <v>221745760.09</v>
      </c>
      <c r="BB3" s="26">
        <f>利润表!BB3</f>
        <v>199810636.08000001</v>
      </c>
      <c r="BC3" s="26">
        <f>利润表!BC3</f>
        <v>173086494.44</v>
      </c>
      <c r="BD3" s="26">
        <f>利润表!BD3</f>
        <v>100146046.31</v>
      </c>
      <c r="BE3" s="26">
        <f>利润表!BE3</f>
        <v>802031313.57000005</v>
      </c>
      <c r="BF3" s="26">
        <f>利润表!BF3</f>
        <v>607294097.42999995</v>
      </c>
      <c r="BG3" s="26">
        <f>利润表!BG3</f>
        <v>386725469.05000001</v>
      </c>
      <c r="BH3" s="26">
        <f>利润表!BH3</f>
        <v>169912280.74000001</v>
      </c>
      <c r="BI3" s="26">
        <f>利润表!BI3</f>
        <v>869817025.36000001</v>
      </c>
      <c r="BJ3" s="26">
        <f>利润表!BJ3</f>
        <v>565880172.08000004</v>
      </c>
      <c r="BK3" s="26">
        <f>利润表!BK3</f>
        <v>315347767.18000001</v>
      </c>
      <c r="BL3" s="26">
        <f>利润表!BL3</f>
        <v>130281275.70999999</v>
      </c>
      <c r="BM3" s="26">
        <f>利润表!BM3</f>
        <v>999050509.49000001</v>
      </c>
      <c r="BN3" s="26">
        <f>利润表!BN3</f>
        <v>673254922.34000003</v>
      </c>
      <c r="BO3" s="26">
        <f>利润表!BO3</f>
        <v>425651976.61000001</v>
      </c>
      <c r="BP3" s="26">
        <f>利润表!BP3</f>
        <v>207852439.46000001</v>
      </c>
      <c r="BQ3" s="26">
        <f>利润表!BQ3</f>
        <v>765263961.45000005</v>
      </c>
      <c r="BR3" s="26">
        <f>利润表!BR3</f>
        <v>230558710.11000001</v>
      </c>
      <c r="BS3" s="26">
        <f>利润表!BS3</f>
        <v>200713844.22</v>
      </c>
      <c r="BT3" s="26">
        <f>利润表!BT3</f>
        <v>104052271.91</v>
      </c>
      <c r="BU3" s="26">
        <f>利润表!BU3</f>
        <v>102280731.3</v>
      </c>
      <c r="BV3" s="26">
        <f>利润表!BV3</f>
        <v>40263702.859999999</v>
      </c>
      <c r="BW3" s="26">
        <f>利润表!BW3</f>
        <v>73300115.700000003</v>
      </c>
      <c r="BX3" s="26">
        <f>利润表!BX3</f>
        <v>31045743.600000001</v>
      </c>
      <c r="BY3" s="26">
        <f>利润表!BY3</f>
        <v>64591996.619999997</v>
      </c>
      <c r="BZ3" s="26">
        <f>利润表!BZ3</f>
        <v>32156710.449999999</v>
      </c>
      <c r="CA3" s="26">
        <f>利润表!CA3</f>
        <v>73487956.930000007</v>
      </c>
      <c r="CB3" s="26">
        <f>利润表!CB3</f>
        <v>90320186.430000007</v>
      </c>
      <c r="CC3" s="26">
        <f>利润表!CC3</f>
        <v>72534689.709999993</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0.57216847165442064</v>
      </c>
      <c r="F5" s="28">
        <f t="shared" ref="F5:BQ5" si="2">(F2/(1+F4))/F3</f>
        <v>0.86094358473700827</v>
      </c>
      <c r="G5" s="28">
        <f t="shared" si="2"/>
        <v>0.64555998859433683</v>
      </c>
      <c r="H5" s="28">
        <f t="shared" si="2"/>
        <v>0.34372670314677534</v>
      </c>
      <c r="I5" s="28">
        <f t="shared" si="2"/>
        <v>0.4530302333402797</v>
      </c>
      <c r="J5" s="28">
        <f t="shared" si="2"/>
        <v>0.48937991227354405</v>
      </c>
      <c r="K5" s="28">
        <f t="shared" si="2"/>
        <v>0.39766516200853336</v>
      </c>
      <c r="L5" s="28">
        <f t="shared" si="2"/>
        <v>0.36333175760647468</v>
      </c>
      <c r="M5" s="28">
        <f t="shared" si="2"/>
        <v>5.3462826574885867</v>
      </c>
      <c r="N5" s="28">
        <f t="shared" si="2"/>
        <v>4.9357302427373941</v>
      </c>
      <c r="O5" s="28">
        <f t="shared" si="2"/>
        <v>4.4336530912892753</v>
      </c>
      <c r="P5" s="28">
        <f t="shared" si="2"/>
        <v>2.4290591086826154</v>
      </c>
      <c r="Q5" s="28">
        <f t="shared" si="2"/>
        <v>1.2120267246662124</v>
      </c>
      <c r="R5" s="28">
        <f t="shared" si="2"/>
        <v>1.4934182208194899</v>
      </c>
      <c r="S5" s="28">
        <f t="shared" si="2"/>
        <v>1.5270152768620582</v>
      </c>
      <c r="T5" s="28">
        <f t="shared" si="2"/>
        <v>1.6751024659113705</v>
      </c>
      <c r="U5" s="28">
        <f t="shared" si="2"/>
        <v>0.66908213013883078</v>
      </c>
      <c r="V5" s="28">
        <f t="shared" si="2"/>
        <v>4.5909363108695356</v>
      </c>
      <c r="W5" s="28">
        <f t="shared" si="2"/>
        <v>4.2716192442555201</v>
      </c>
      <c r="X5" s="28">
        <f t="shared" si="2"/>
        <v>3.1466306831794708</v>
      </c>
      <c r="Y5" s="28">
        <f t="shared" si="2"/>
        <v>0.70308036586934219</v>
      </c>
      <c r="Z5" s="28">
        <f t="shared" si="2"/>
        <v>0</v>
      </c>
      <c r="AA5" s="28">
        <f t="shared" si="2"/>
        <v>5.6606285444311037</v>
      </c>
      <c r="AB5" s="28">
        <f t="shared" si="2"/>
        <v>3.221892375652569</v>
      </c>
      <c r="AC5" s="28">
        <f t="shared" si="2"/>
        <v>1.400107552987442</v>
      </c>
      <c r="AD5" s="28">
        <f t="shared" si="2"/>
        <v>0</v>
      </c>
      <c r="AE5" s="28">
        <f t="shared" si="2"/>
        <v>0</v>
      </c>
      <c r="AF5" s="28">
        <f t="shared" si="2"/>
        <v>0</v>
      </c>
      <c r="AG5" s="28">
        <f t="shared" si="2"/>
        <v>0.58788369581903432</v>
      </c>
      <c r="AH5" s="28">
        <f t="shared" si="2"/>
        <v>0.37656278124318776</v>
      </c>
      <c r="AI5" s="28">
        <f t="shared" si="2"/>
        <v>0.5145883233089743</v>
      </c>
      <c r="AJ5" s="28">
        <f t="shared" si="2"/>
        <v>0</v>
      </c>
      <c r="AK5" s="28">
        <f t="shared" si="2"/>
        <v>0.3932235475964681</v>
      </c>
      <c r="AL5" s="28">
        <f t="shared" si="2"/>
        <v>0.61740625186596731</v>
      </c>
      <c r="AM5" s="28">
        <f t="shared" si="2"/>
        <v>0.88685240485748706</v>
      </c>
      <c r="AN5" s="28">
        <f t="shared" si="2"/>
        <v>1.4371418244073979</v>
      </c>
      <c r="AO5" s="28">
        <f t="shared" si="2"/>
        <v>1.8520729832797758</v>
      </c>
      <c r="AP5" s="28">
        <f t="shared" si="2"/>
        <v>1.7925880069203228</v>
      </c>
      <c r="AQ5" s="28">
        <f t="shared" si="2"/>
        <v>1.7858369766984257</v>
      </c>
      <c r="AR5" s="28">
        <f t="shared" si="2"/>
        <v>1.3391774419452516</v>
      </c>
      <c r="AS5" s="28">
        <f t="shared" si="2"/>
        <v>1.0330638690457687</v>
      </c>
      <c r="AT5" s="28">
        <f t="shared" si="2"/>
        <v>1.0334367042040282</v>
      </c>
      <c r="AU5" s="28">
        <f t="shared" si="2"/>
        <v>1.041731878674266</v>
      </c>
      <c r="AV5" s="28">
        <f t="shared" si="2"/>
        <v>1.1944373607211722</v>
      </c>
      <c r="AW5" s="28">
        <f t="shared" si="2"/>
        <v>1.1846894762937261</v>
      </c>
      <c r="AX5" s="28">
        <f t="shared" si="2"/>
        <v>1.1955215025339549</v>
      </c>
      <c r="AY5" s="28">
        <f t="shared" si="2"/>
        <v>1.1777596672303725</v>
      </c>
      <c r="AZ5" s="28">
        <f t="shared" si="2"/>
        <v>0.89548384432978667</v>
      </c>
      <c r="BA5" s="28">
        <f t="shared" si="2"/>
        <v>0.46070107276951977</v>
      </c>
      <c r="BB5" s="28">
        <f t="shared" si="2"/>
        <v>0.35780190295720121</v>
      </c>
      <c r="BC5" s="28">
        <f t="shared" si="2"/>
        <v>0.28488686259728702</v>
      </c>
      <c r="BD5" s="28">
        <f t="shared" si="2"/>
        <v>8.7165566112230697E-2</v>
      </c>
      <c r="BE5" s="28">
        <f t="shared" si="2"/>
        <v>0.85726765740602051</v>
      </c>
      <c r="BF5" s="28">
        <f t="shared" si="2"/>
        <v>0.86902256257670352</v>
      </c>
      <c r="BG5" s="28">
        <f t="shared" si="2"/>
        <v>1.203191507983902</v>
      </c>
      <c r="BH5" s="28">
        <f t="shared" si="2"/>
        <v>0.97483052781626334</v>
      </c>
      <c r="BI5" s="28">
        <f t="shared" si="2"/>
        <v>0.9515281320418213</v>
      </c>
      <c r="BJ5" s="28">
        <f t="shared" si="2"/>
        <v>0.96457181699796168</v>
      </c>
      <c r="BK5" s="28">
        <f t="shared" si="2"/>
        <v>1.2040891732882169</v>
      </c>
      <c r="BL5" s="28">
        <f t="shared" si="2"/>
        <v>1.4181710935237224</v>
      </c>
      <c r="BM5" s="28">
        <f t="shared" si="2"/>
        <v>0.87602142378057313</v>
      </c>
      <c r="BN5" s="28">
        <f t="shared" si="2"/>
        <v>0.61425490979313913</v>
      </c>
      <c r="BO5" s="28">
        <f t="shared" si="2"/>
        <v>1.7432129189787309</v>
      </c>
      <c r="BP5" s="28">
        <f t="shared" si="2"/>
        <v>1.0350165800805176</v>
      </c>
      <c r="BQ5" s="28">
        <f t="shared" si="2"/>
        <v>0.26360306123218508</v>
      </c>
      <c r="BR5" s="28">
        <f t="shared" ref="BR5:CL5" si="3">(BR2/(1+BR4))/BR3</f>
        <v>0.38545150314932242</v>
      </c>
      <c r="BS5" s="28">
        <f t="shared" si="3"/>
        <v>0.43971028084754116</v>
      </c>
      <c r="BT5" s="28">
        <f t="shared" si="3"/>
        <v>0.58947055227286671</v>
      </c>
      <c r="BU5" s="28">
        <f t="shared" si="3"/>
        <v>0</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3651804676.5700002</v>
      </c>
      <c r="F6" s="26">
        <f>现金流量表!F8</f>
        <v>3334791856.3400002</v>
      </c>
      <c r="G6" s="26">
        <f>现金流量表!G8</f>
        <v>1794231811.54</v>
      </c>
      <c r="H6" s="26">
        <f>现金流量表!H8</f>
        <v>1629722481.1900001</v>
      </c>
      <c r="I6" s="26">
        <f>现金流量表!I8</f>
        <v>1775969010.27</v>
      </c>
      <c r="J6" s="26">
        <f>现金流量表!J8</f>
        <v>1460554890.6600001</v>
      </c>
      <c r="K6" s="26">
        <f>现金流量表!K8</f>
        <v>1170052496.8900001</v>
      </c>
      <c r="L6" s="26">
        <f>现金流量表!L8</f>
        <v>540587106.86000001</v>
      </c>
      <c r="M6" s="26">
        <f>现金流量表!M8</f>
        <v>4172957767.48</v>
      </c>
      <c r="N6" s="26">
        <f>现金流量表!N8</f>
        <v>3779940250.1399999</v>
      </c>
      <c r="O6" s="26">
        <f>现金流量表!O8</f>
        <v>3280024003.1799998</v>
      </c>
      <c r="P6" s="26">
        <f>现金流量表!P8</f>
        <v>1735774594.24</v>
      </c>
      <c r="Q6" s="26">
        <f>现金流量表!Q8</f>
        <v>2017188608.95</v>
      </c>
      <c r="R6" s="26">
        <f>现金流量表!R8</f>
        <v>1891292975.6199999</v>
      </c>
      <c r="S6" s="26">
        <f>现金流量表!S8</f>
        <v>1650562701.1800001</v>
      </c>
      <c r="T6" s="26">
        <f>现金流量表!T8</f>
        <v>1274503770.52</v>
      </c>
      <c r="U6" s="26">
        <f>现金流量表!U8</f>
        <v>2147821024.5799999</v>
      </c>
      <c r="V6" s="26">
        <f>现金流量表!V8</f>
        <v>2005877201.73</v>
      </c>
      <c r="W6" s="26">
        <f>现金流量表!W8</f>
        <v>1603774002.47</v>
      </c>
      <c r="X6" s="26">
        <f>现金流量表!X8</f>
        <v>867718018.00999999</v>
      </c>
      <c r="Y6" s="26">
        <f>现金流量表!Y8</f>
        <v>883772687.82000005</v>
      </c>
      <c r="Z6" s="26">
        <f>现金流量表!Z8</f>
        <v>924244278.96000004</v>
      </c>
      <c r="AA6" s="26">
        <f>现金流量表!AA8</f>
        <v>488143173.75999999</v>
      </c>
      <c r="AB6" s="26">
        <f>现金流量表!AB8</f>
        <v>265686695.12</v>
      </c>
      <c r="AC6" s="26">
        <f>现金流量表!AC8</f>
        <v>1601690494.3499999</v>
      </c>
      <c r="AD6" s="26">
        <f>现金流量表!AD8</f>
        <v>0</v>
      </c>
      <c r="AE6" s="26">
        <f>现金流量表!AE8</f>
        <v>0</v>
      </c>
      <c r="AF6" s="26">
        <f>现金流量表!AF8</f>
        <v>0</v>
      </c>
      <c r="AG6" s="26">
        <f>现金流量表!AG8</f>
        <v>515944.54</v>
      </c>
      <c r="AH6" s="26">
        <f>现金流量表!AH8</f>
        <v>0</v>
      </c>
      <c r="AI6" s="26">
        <f>现金流量表!AI8</f>
        <v>0</v>
      </c>
      <c r="AJ6" s="26">
        <f>现金流量表!AJ8</f>
        <v>0</v>
      </c>
      <c r="AK6" s="26">
        <f>现金流量表!AK8</f>
        <v>0</v>
      </c>
      <c r="AL6" s="26">
        <f>现金流量表!AL8</f>
        <v>80000</v>
      </c>
      <c r="AM6" s="26">
        <f>现金流量表!AM8</f>
        <v>0</v>
      </c>
      <c r="AN6" s="26">
        <f>现金流量表!AN8</f>
        <v>0</v>
      </c>
      <c r="AO6" s="26">
        <f>现金流量表!AO8</f>
        <v>69199105.930000007</v>
      </c>
      <c r="AP6" s="26">
        <f>现金流量表!AP8</f>
        <v>75247946.209999993</v>
      </c>
      <c r="AQ6" s="26">
        <f>现金流量表!AQ8</f>
        <v>74839157.209999993</v>
      </c>
      <c r="AR6" s="26">
        <f>现金流量表!AR8</f>
        <v>34571661.509999998</v>
      </c>
      <c r="AS6" s="26">
        <f>现金流量表!AS8</f>
        <v>290092855.35000002</v>
      </c>
      <c r="AT6" s="26">
        <f>现金流量表!AT8</f>
        <v>224541339.87</v>
      </c>
      <c r="AU6" s="26">
        <f>现金流量表!AU8</f>
        <v>164071605.37</v>
      </c>
      <c r="AV6" s="26">
        <f>现金流量表!AV8</f>
        <v>71601094.200000003</v>
      </c>
      <c r="AW6" s="26">
        <f>现金流量表!AW8</f>
        <v>283653574.00999999</v>
      </c>
      <c r="AX6" s="26">
        <f>现金流量表!AX8</f>
        <v>166098176.47</v>
      </c>
      <c r="AY6" s="26">
        <f>现金流量表!AY8</f>
        <v>88925132.569999993</v>
      </c>
      <c r="AZ6" s="26">
        <f>现金流量表!AZ8</f>
        <v>53773169.369999997</v>
      </c>
      <c r="BA6" s="26">
        <f>现金流量表!BA8</f>
        <v>102461909.36</v>
      </c>
      <c r="BB6" s="26">
        <f>现金流量表!BB8</f>
        <v>77387134.219999999</v>
      </c>
      <c r="BC6" s="26">
        <f>现金流量表!BC8</f>
        <v>45995737.890000001</v>
      </c>
      <c r="BD6" s="26">
        <f>现金流量表!BD8</f>
        <v>8146111.0199999996</v>
      </c>
      <c r="BE6" s="26">
        <f>现金流量表!BE8</f>
        <v>807506458.38999999</v>
      </c>
      <c r="BF6" s="26">
        <f>现金流量表!BF8</f>
        <v>636203611.39999998</v>
      </c>
      <c r="BG6" s="26">
        <f>现金流量表!BG8</f>
        <v>504333229.88</v>
      </c>
      <c r="BH6" s="26">
        <f>现金流量表!BH8</f>
        <v>319889495.48000002</v>
      </c>
      <c r="BI6" s="26">
        <f>现金流量表!BI8</f>
        <v>827955923.71000004</v>
      </c>
      <c r="BJ6" s="26">
        <f>现金流量表!BJ8</f>
        <v>742479764.46000004</v>
      </c>
      <c r="BK6" s="26">
        <f>现金流量表!BK8</f>
        <v>456121528.56</v>
      </c>
      <c r="BL6" s="26">
        <f>现金流量表!BL8</f>
        <v>293059217.27999997</v>
      </c>
      <c r="BM6" s="26">
        <f>现金流量表!BM8</f>
        <v>1059380281.88</v>
      </c>
      <c r="BN6" s="26">
        <f>现金流量表!BN8</f>
        <v>513998911.01999998</v>
      </c>
      <c r="BO6" s="26">
        <f>现金流量表!BO8</f>
        <v>885053554.61000001</v>
      </c>
      <c r="BP6" s="26">
        <f>现金流量表!BP8</f>
        <v>237938670.25999999</v>
      </c>
      <c r="BQ6" s="26">
        <f>现金流量表!BQ8</f>
        <v>199738079.03</v>
      </c>
      <c r="BR6" s="26">
        <f>现金流量表!BR8</f>
        <v>79220236.230000004</v>
      </c>
      <c r="BS6" s="26">
        <f>现金流量表!BS8</f>
        <v>57068893.649999999</v>
      </c>
      <c r="BT6" s="26">
        <f>现金流量表!BT8</f>
        <v>42033953.369999997</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149544980.55000001</v>
      </c>
      <c r="F7" s="26">
        <f>现金流量表!F9</f>
        <v>106589248.81</v>
      </c>
      <c r="G7" s="26">
        <f>现金流量表!G9</f>
        <v>76116551.299999997</v>
      </c>
      <c r="H7" s="26">
        <f>现金流量表!H9</f>
        <v>46642043.960000001</v>
      </c>
      <c r="I7" s="26">
        <f>现金流量表!I9</f>
        <v>176503307.24000001</v>
      </c>
      <c r="J7" s="26">
        <f>现金流量表!J9</f>
        <v>128549191</v>
      </c>
      <c r="K7" s="26">
        <f>现金流量表!K9</f>
        <v>89948876.430000007</v>
      </c>
      <c r="L7" s="26">
        <f>现金流量表!L9</f>
        <v>57095063.460000001</v>
      </c>
      <c r="M7" s="26">
        <f>现金流量表!M9</f>
        <v>188566633.69</v>
      </c>
      <c r="N7" s="26">
        <f>现金流量表!N9</f>
        <v>115666919.58</v>
      </c>
      <c r="O7" s="26">
        <f>现金流量表!O9</f>
        <v>82319449.780000001</v>
      </c>
      <c r="P7" s="26">
        <f>现金流量表!P9</f>
        <v>51541067.259999998</v>
      </c>
      <c r="Q7" s="26">
        <f>现金流量表!Q9</f>
        <v>132532682.17</v>
      </c>
      <c r="R7" s="26">
        <f>现金流量表!R9</f>
        <v>108348347.93000001</v>
      </c>
      <c r="S7" s="26">
        <f>现金流量表!S9</f>
        <v>77616599.709999993</v>
      </c>
      <c r="T7" s="26">
        <f>现金流量表!T9</f>
        <v>48033099.090000004</v>
      </c>
      <c r="U7" s="26">
        <f>现金流量表!U9</f>
        <v>109212317.87</v>
      </c>
      <c r="V7" s="26">
        <f>现金流量表!V9</f>
        <v>88910338.25</v>
      </c>
      <c r="W7" s="26">
        <f>现金流量表!W9</f>
        <v>62801713.280000001</v>
      </c>
      <c r="X7" s="26">
        <f>现金流量表!X9</f>
        <v>39651178.240000002</v>
      </c>
      <c r="Y7" s="26">
        <f>现金流量表!Y9</f>
        <v>92649467.079999998</v>
      </c>
      <c r="Z7" s="26">
        <f>现金流量表!Z9</f>
        <v>66779793.280000001</v>
      </c>
      <c r="AA7" s="26">
        <f>现金流量表!AA9</f>
        <v>42255732.630000003</v>
      </c>
      <c r="AB7" s="26">
        <f>现金流量表!AB9</f>
        <v>24147121.699999999</v>
      </c>
      <c r="AC7" s="26">
        <f>现金流量表!AC9</f>
        <v>62908196.43</v>
      </c>
      <c r="AD7" s="26">
        <f>现金流量表!AD9</f>
        <v>784512.88</v>
      </c>
      <c r="AE7" s="26">
        <f>现金流量表!AE9</f>
        <v>667033.39</v>
      </c>
      <c r="AF7" s="26">
        <f>现金流量表!AF9</f>
        <v>646332.01</v>
      </c>
      <c r="AG7" s="26">
        <f>现金流量表!AG9</f>
        <v>1892956.39</v>
      </c>
      <c r="AH7" s="26">
        <f>现金流量表!AH9</f>
        <v>1054162.6499999999</v>
      </c>
      <c r="AI7" s="26">
        <f>现金流量表!AI9</f>
        <v>961930.28</v>
      </c>
      <c r="AJ7" s="26">
        <f>现金流量表!AJ9</f>
        <v>146227.19</v>
      </c>
      <c r="AK7" s="26">
        <f>现金流量表!AK9</f>
        <v>568763.84</v>
      </c>
      <c r="AL7" s="26">
        <f>现金流量表!AL9</f>
        <v>453774.32</v>
      </c>
      <c r="AM7" s="26">
        <f>现金流量表!AM9</f>
        <v>605805.39</v>
      </c>
      <c r="AN7" s="26">
        <f>现金流量表!AN9</f>
        <v>246091.16</v>
      </c>
      <c r="AO7" s="26">
        <f>现金流量表!AO9</f>
        <v>3537596.76</v>
      </c>
      <c r="AP7" s="26">
        <f>现金流量表!AP9</f>
        <v>4829834.68</v>
      </c>
      <c r="AQ7" s="26">
        <f>现金流量表!AQ9</f>
        <v>4102461.52</v>
      </c>
      <c r="AR7" s="26">
        <f>现金流量表!AR9</f>
        <v>1809629.86</v>
      </c>
      <c r="AS7" s="26">
        <f>现金流量表!AS9</f>
        <v>11531323.33</v>
      </c>
      <c r="AT7" s="26">
        <f>现金流量表!AT9</f>
        <v>8748449.1400000006</v>
      </c>
      <c r="AU7" s="26">
        <f>现金流量表!AU9</f>
        <v>6251530.2300000004</v>
      </c>
      <c r="AV7" s="26">
        <f>现金流量表!AV9</f>
        <v>3215822.59</v>
      </c>
      <c r="AW7" s="26">
        <f>现金流量表!AW9</f>
        <v>10520956.140000001</v>
      </c>
      <c r="AX7" s="26">
        <f>现金流量表!AX9</f>
        <v>8184324.46</v>
      </c>
      <c r="AY7" s="26">
        <f>现金流量表!AY9</f>
        <v>4805495.46</v>
      </c>
      <c r="AZ7" s="26">
        <f>现金流量表!AZ9</f>
        <v>2340119.8199999998</v>
      </c>
      <c r="BA7" s="26">
        <f>现金流量表!BA9</f>
        <v>8572558.3300000001</v>
      </c>
      <c r="BB7" s="26">
        <f>现金流量表!BB9</f>
        <v>6961313.7999999998</v>
      </c>
      <c r="BC7" s="26">
        <f>现金流量表!BC9</f>
        <v>4440490.96</v>
      </c>
      <c r="BD7" s="26">
        <f>现金流量表!BD9</f>
        <v>2374860.67</v>
      </c>
      <c r="BE7" s="26">
        <f>现金流量表!BE9</f>
        <v>11160433.380000001</v>
      </c>
      <c r="BF7" s="26">
        <f>现金流量表!BF9</f>
        <v>8277752.2400000002</v>
      </c>
      <c r="BG7" s="26">
        <f>现金流量表!BG9</f>
        <v>5856056.71</v>
      </c>
      <c r="BH7" s="26">
        <f>现金流量表!BH9</f>
        <v>3163793.33</v>
      </c>
      <c r="BI7" s="26">
        <f>现金流量表!BI9</f>
        <v>12267786.52</v>
      </c>
      <c r="BJ7" s="26">
        <f>现金流量表!BJ9</f>
        <v>9557499.6600000001</v>
      </c>
      <c r="BK7" s="26">
        <f>现金流量表!BK9</f>
        <v>6623811.7400000002</v>
      </c>
      <c r="BL7" s="26">
        <f>现金流量表!BL9</f>
        <v>3777388.42</v>
      </c>
      <c r="BM7" s="26">
        <f>现金流量表!BM9</f>
        <v>13641585.109999999</v>
      </c>
      <c r="BN7" s="26">
        <f>现金流量表!BN9</f>
        <v>6957991.6100000003</v>
      </c>
      <c r="BO7" s="26">
        <f>现金流量表!BO9</f>
        <v>10135821.15</v>
      </c>
      <c r="BP7" s="26">
        <f>现金流量表!BP9</f>
        <v>4163924.61</v>
      </c>
      <c r="BQ7" s="26">
        <f>现金流量表!BQ9</f>
        <v>13234553.529999999</v>
      </c>
      <c r="BR7" s="26">
        <f>现金流量表!BR9</f>
        <v>5514474.4699999997</v>
      </c>
      <c r="BS7" s="26">
        <f>现金流量表!BS9</f>
        <v>10100357.039999999</v>
      </c>
      <c r="BT7" s="26">
        <f>现金流量表!BT9</f>
        <v>7479513.8899999997</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1616027058.0599999</v>
      </c>
      <c r="F8" s="58">
        <f>利润表!F6</f>
        <v>600153230.5</v>
      </c>
      <c r="G8" s="58">
        <f>利润表!G6</f>
        <v>508306514.16000003</v>
      </c>
      <c r="H8" s="58">
        <f>利润表!H6</f>
        <v>365987243.24000001</v>
      </c>
      <c r="I8" s="58">
        <f>利润表!I6</f>
        <v>4539441199.6700001</v>
      </c>
      <c r="J8" s="58">
        <f>利润表!J6</f>
        <v>3382976744.8299999</v>
      </c>
      <c r="K8" s="58">
        <f>利润表!K6</f>
        <v>2928384287.7600002</v>
      </c>
      <c r="L8" s="58">
        <f>利润表!L6</f>
        <v>2058609440.3299999</v>
      </c>
      <c r="M8" s="58">
        <f>利润表!M6</f>
        <v>313954249.98000002</v>
      </c>
      <c r="N8" s="58">
        <f>利润表!N6</f>
        <v>211737968.27000001</v>
      </c>
      <c r="O8" s="58">
        <f>利润表!O6</f>
        <v>116658735.59</v>
      </c>
      <c r="P8" s="58">
        <f>利润表!P6</f>
        <v>78663009.230000004</v>
      </c>
      <c r="Q8" s="58">
        <f>利润表!Q6</f>
        <v>812740259.87</v>
      </c>
      <c r="R8" s="58">
        <f>利润表!R6</f>
        <v>514968866.93000001</v>
      </c>
      <c r="S8" s="58">
        <f>利润表!S6</f>
        <v>396215248.80000001</v>
      </c>
      <c r="T8" s="58">
        <f>利润表!T6</f>
        <v>157583419.81999999</v>
      </c>
      <c r="U8" s="58">
        <f>利润表!U6</f>
        <v>1671380022</v>
      </c>
      <c r="V8" s="58">
        <f>利润表!V6</f>
        <v>175894801.06</v>
      </c>
      <c r="W8" s="58">
        <f>利润表!W6</f>
        <v>126409864.45</v>
      </c>
      <c r="X8" s="58">
        <f>利润表!X6</f>
        <v>75818115.939999998</v>
      </c>
      <c r="Y8" s="58">
        <f>利润表!Y6</f>
        <v>1211372080.8099999</v>
      </c>
      <c r="Z8" s="58">
        <f>利润表!Z6</f>
        <v>172648495.69999999</v>
      </c>
      <c r="AA8" s="58">
        <f>利润表!AA6</f>
        <v>62530779.710000001</v>
      </c>
      <c r="AB8" s="58">
        <f>利润表!AB6</f>
        <v>28367218.780000001</v>
      </c>
      <c r="AC8" s="58">
        <f>利润表!AC6</f>
        <v>470449669.13</v>
      </c>
      <c r="AD8" s="58">
        <f>利润表!AD6</f>
        <v>1705033.33</v>
      </c>
      <c r="AE8" s="58">
        <f>利润表!AE6</f>
        <v>438811.08</v>
      </c>
      <c r="AF8" s="58">
        <f>利润表!AF6</f>
        <v>315678.40000000002</v>
      </c>
      <c r="AG8" s="58">
        <f>利润表!AG6</f>
        <v>4099904.38</v>
      </c>
      <c r="AH8" s="58">
        <f>利润表!AH6</f>
        <v>4345105.6399999997</v>
      </c>
      <c r="AI8" s="58">
        <f>利润表!AI6</f>
        <v>3915105.64</v>
      </c>
      <c r="AJ8" s="58">
        <f>利润表!AJ6</f>
        <v>84000</v>
      </c>
      <c r="AK8" s="58">
        <f>利润表!AK6</f>
        <v>3793869.56</v>
      </c>
      <c r="AL8" s="58">
        <f>利润表!AL6</f>
        <v>635376.02</v>
      </c>
      <c r="AM8" s="58">
        <f>利润表!AM6</f>
        <v>424581.18</v>
      </c>
      <c r="AN8" s="58">
        <f>利润表!AN6</f>
        <v>152599.22</v>
      </c>
      <c r="AO8" s="58">
        <f>利润表!AO6</f>
        <v>29569124.870000001</v>
      </c>
      <c r="AP8" s="58">
        <f>利润表!AP6</f>
        <v>38786811.189999998</v>
      </c>
      <c r="AQ8" s="58">
        <f>利润表!AQ6</f>
        <v>37424619.420000002</v>
      </c>
      <c r="AR8" s="58">
        <f>利润表!AR6</f>
        <v>19857872.609999999</v>
      </c>
      <c r="AS8" s="58">
        <f>利润表!AS6</f>
        <v>238984727.55000001</v>
      </c>
      <c r="AT8" s="58">
        <f>利润表!AT6</f>
        <v>198543038.46000001</v>
      </c>
      <c r="AU8" s="58">
        <f>利润表!AU6</f>
        <v>140102053.34999999</v>
      </c>
      <c r="AV8" s="58">
        <f>利润表!AV6</f>
        <v>56881135.210000001</v>
      </c>
      <c r="AW8" s="58">
        <f>利润表!AW6</f>
        <v>215780698.36000001</v>
      </c>
      <c r="AX8" s="58">
        <f>利润表!AX6</f>
        <v>117329240.27</v>
      </c>
      <c r="AY8" s="58">
        <f>利润表!AY6</f>
        <v>68868369.069999993</v>
      </c>
      <c r="AZ8" s="58">
        <f>利润表!AZ6</f>
        <v>39466456.479999997</v>
      </c>
      <c r="BA8" s="58">
        <f>利润表!BA6</f>
        <v>218314124.33000001</v>
      </c>
      <c r="BB8" s="58">
        <f>利润表!BB6</f>
        <v>197131177.56</v>
      </c>
      <c r="BC8" s="58">
        <f>利润表!BC6</f>
        <v>173158410.75</v>
      </c>
      <c r="BD8" s="58">
        <f>利润表!BD6</f>
        <v>100427642.67</v>
      </c>
      <c r="BE8" s="58">
        <f>利润表!BE6</f>
        <v>758309533.38</v>
      </c>
      <c r="BF8" s="58">
        <f>利润表!BF6</f>
        <v>570889335.45000005</v>
      </c>
      <c r="BG8" s="58">
        <f>利润表!BG6</f>
        <v>354856131.64999998</v>
      </c>
      <c r="BH8" s="58">
        <f>利润表!BH6</f>
        <v>154647892.50999999</v>
      </c>
      <c r="BI8" s="58">
        <f>利润表!BI6</f>
        <v>769721036.62</v>
      </c>
      <c r="BJ8" s="58">
        <f>利润表!BJ6</f>
        <v>504092879.63</v>
      </c>
      <c r="BK8" s="58">
        <f>利润表!BK6</f>
        <v>279952562.36000001</v>
      </c>
      <c r="BL8" s="58">
        <f>利润表!BL6</f>
        <v>115370952.12</v>
      </c>
      <c r="BM8" s="58">
        <f>利润表!BM6</f>
        <v>901152413.30999994</v>
      </c>
      <c r="BN8" s="58">
        <f>利润表!BN6</f>
        <v>613747270.54999995</v>
      </c>
      <c r="BO8" s="58">
        <f>利润表!BO6</f>
        <v>384726753.97000003</v>
      </c>
      <c r="BP8" s="58">
        <f>利润表!BP6</f>
        <v>192820990.41999999</v>
      </c>
      <c r="BQ8" s="58">
        <f>利润表!BQ6</f>
        <v>685163130.41999996</v>
      </c>
      <c r="BR8" s="58">
        <f>利润表!BR6</f>
        <v>196652588.31</v>
      </c>
      <c r="BS8" s="58">
        <f>利润表!BS6</f>
        <v>125981881.90000001</v>
      </c>
      <c r="BT8" s="58">
        <f>利润表!BT6</f>
        <v>69117475.049999997</v>
      </c>
      <c r="BU8" s="58">
        <f>利润表!BU6</f>
        <v>62179832.670000002</v>
      </c>
      <c r="BV8" s="58">
        <f>利润表!BV6</f>
        <v>25515819.390000001</v>
      </c>
      <c r="BW8" s="58">
        <f>利润表!BW6</f>
        <v>37705823.210000001</v>
      </c>
      <c r="BX8" s="58">
        <f>利润表!BX6</f>
        <v>14688107.789999999</v>
      </c>
      <c r="BY8" s="58">
        <f>利润表!BY6</f>
        <v>37626667.640000001</v>
      </c>
      <c r="BZ8" s="58">
        <f>利润表!BZ6</f>
        <v>20236400.73</v>
      </c>
      <c r="CA8" s="58">
        <f>利润表!CA6</f>
        <v>45078924.869999997</v>
      </c>
      <c r="CB8" s="58">
        <f>利润表!CB6</f>
        <v>49854667.170000002</v>
      </c>
      <c r="CC8" s="58">
        <f>利润表!CC6</f>
        <v>39443207.759999998</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101451253.31999999</v>
      </c>
      <c r="F9" s="58">
        <f>利润表!F7</f>
        <v>89424917.439999998</v>
      </c>
      <c r="G9" s="58">
        <f>利润表!G7</f>
        <v>80628114.709999993</v>
      </c>
      <c r="H9" s="58">
        <f>利润表!H7</f>
        <v>61589906.329999998</v>
      </c>
      <c r="I9" s="58">
        <f>利润表!I7</f>
        <v>411298134.14999998</v>
      </c>
      <c r="J9" s="58">
        <f>利润表!J7</f>
        <v>252840463.41999999</v>
      </c>
      <c r="K9" s="58">
        <f>利润表!K7</f>
        <v>211189956.50999999</v>
      </c>
      <c r="L9" s="58">
        <f>利润表!L7</f>
        <v>199741282.63</v>
      </c>
      <c r="M9" s="58">
        <f>利润表!M7</f>
        <v>42561979.93</v>
      </c>
      <c r="N9" s="58">
        <f>利润表!N7</f>
        <v>22746195.420000002</v>
      </c>
      <c r="O9" s="58">
        <f>利润表!O7</f>
        <v>10482372.85</v>
      </c>
      <c r="P9" s="58">
        <f>利润表!P7</f>
        <v>14774642.84</v>
      </c>
      <c r="Q9" s="58">
        <f>利润表!Q7</f>
        <v>126295894.42</v>
      </c>
      <c r="R9" s="58">
        <f>利润表!R7</f>
        <v>120726515.27</v>
      </c>
      <c r="S9" s="58">
        <f>利润表!S7</f>
        <v>103259927.25</v>
      </c>
      <c r="T9" s="58">
        <f>利润表!T7</f>
        <v>30094731.969999999</v>
      </c>
      <c r="U9" s="58">
        <f>利润表!U7</f>
        <v>332091140.33999997</v>
      </c>
      <c r="V9" s="58">
        <f>利润表!V7</f>
        <v>45330962.090000004</v>
      </c>
      <c r="W9" s="58">
        <f>利润表!W7</f>
        <v>38447264.93</v>
      </c>
      <c r="X9" s="58">
        <f>利润表!X7</f>
        <v>13049064.960000001</v>
      </c>
      <c r="Y9" s="58">
        <f>利润表!Y7</f>
        <v>189907873.41999999</v>
      </c>
      <c r="Z9" s="58">
        <f>利润表!Z7</f>
        <v>65520930.93</v>
      </c>
      <c r="AA9" s="58">
        <f>利润表!AA7</f>
        <v>4236995.6500000004</v>
      </c>
      <c r="AB9" s="58">
        <f>利润表!AB7</f>
        <v>2758656.39</v>
      </c>
      <c r="AC9" s="58">
        <f>利润表!AC7</f>
        <v>121683843.83</v>
      </c>
      <c r="AD9" s="58">
        <f>利润表!AD7</f>
        <v>62306.68</v>
      </c>
      <c r="AE9" s="58">
        <f>利润表!AE7</f>
        <v>43233.440000000002</v>
      </c>
      <c r="AF9" s="58">
        <f>利润表!AF7</f>
        <v>21616.720000000001</v>
      </c>
      <c r="AG9" s="58">
        <f>利润表!AG7</f>
        <v>64301.83</v>
      </c>
      <c r="AH9" s="58">
        <f>利润表!AH7</f>
        <v>25308.78</v>
      </c>
      <c r="AI9" s="58">
        <f>利润表!AI7</f>
        <v>10314.98</v>
      </c>
      <c r="AJ9" s="58">
        <f>利润表!AJ7</f>
        <v>5157.49</v>
      </c>
      <c r="AK9" s="58">
        <f>利润表!AK7</f>
        <v>52354.14</v>
      </c>
      <c r="AL9" s="58">
        <f>利润表!AL7</f>
        <v>69241.78</v>
      </c>
      <c r="AM9" s="58">
        <f>利润表!AM7</f>
        <v>56402.91</v>
      </c>
      <c r="AN9" s="58">
        <f>利润表!AN7</f>
        <v>15511.07</v>
      </c>
      <c r="AO9" s="58">
        <f>利润表!AO7</f>
        <v>133622.69</v>
      </c>
      <c r="AP9" s="58">
        <f>利润表!AP7</f>
        <v>104800.8</v>
      </c>
      <c r="AQ9" s="58">
        <f>利润表!AQ7</f>
        <v>103612.12</v>
      </c>
      <c r="AR9" s="58">
        <f>利润表!AR7</f>
        <v>63806.25</v>
      </c>
      <c r="AS9" s="58">
        <f>利润表!AS7</f>
        <v>729823.35</v>
      </c>
      <c r="AT9" s="58">
        <f>利润表!AT7</f>
        <v>298035.8</v>
      </c>
      <c r="AU9" s="58">
        <f>利润表!AU7</f>
        <v>186051.24</v>
      </c>
      <c r="AV9" s="58">
        <f>利润表!AV7</f>
        <v>152345.28</v>
      </c>
      <c r="AW9" s="58">
        <f>利润表!AW7</f>
        <v>245314.92</v>
      </c>
      <c r="AX9" s="58">
        <f>利润表!AX7</f>
        <v>107675.08</v>
      </c>
      <c r="AY9" s="58">
        <f>利润表!AY7</f>
        <v>39897.870000000003</v>
      </c>
      <c r="AZ9" s="58">
        <f>利润表!AZ7</f>
        <v>8788.2999999999993</v>
      </c>
      <c r="BA9" s="58">
        <f>利润表!BA7</f>
        <v>502263.09</v>
      </c>
      <c r="BB9" s="58">
        <f>利润表!BB7</f>
        <v>295089.95</v>
      </c>
      <c r="BC9" s="58">
        <f>利润表!BC7</f>
        <v>230201.89</v>
      </c>
      <c r="BD9" s="58">
        <f>利润表!BD7</f>
        <v>129787.77</v>
      </c>
      <c r="BE9" s="58">
        <f>利润表!BE7</f>
        <v>625168.99</v>
      </c>
      <c r="BF9" s="58">
        <f>利润表!BF7</f>
        <v>445319.09</v>
      </c>
      <c r="BG9" s="58">
        <f>利润表!BG7</f>
        <v>339085.12</v>
      </c>
      <c r="BH9" s="58">
        <f>利润表!BH7</f>
        <v>157619.75</v>
      </c>
      <c r="BI9" s="58">
        <f>利润表!BI7</f>
        <v>1461794.33</v>
      </c>
      <c r="BJ9" s="58">
        <f>利润表!BJ7</f>
        <v>898372.48</v>
      </c>
      <c r="BK9" s="58">
        <f>利润表!BK7</f>
        <v>406107.11</v>
      </c>
      <c r="BL9" s="58">
        <f>利润表!BL7</f>
        <v>83009.600000000006</v>
      </c>
      <c r="BM9" s="58">
        <f>利润表!BM7</f>
        <v>1869168.06</v>
      </c>
      <c r="BN9" s="58">
        <f>利润表!BN7</f>
        <v>1417384.88</v>
      </c>
      <c r="BO9" s="58">
        <f>利润表!BO7</f>
        <v>829062.46</v>
      </c>
      <c r="BP9" s="58">
        <f>利润表!BP7</f>
        <v>666241.77</v>
      </c>
      <c r="BQ9" s="58">
        <f>利润表!BQ7</f>
        <v>3218094.36</v>
      </c>
      <c r="BR9" s="58">
        <f>利润表!BR7</f>
        <v>1944718.97</v>
      </c>
      <c r="BS9" s="58">
        <f>利润表!BS7</f>
        <v>3463019.55</v>
      </c>
      <c r="BT9" s="58">
        <f>利润表!BT7</f>
        <v>1539275.07</v>
      </c>
      <c r="BU9" s="58">
        <f>利润表!BU7</f>
        <v>1402513.88</v>
      </c>
      <c r="BV9" s="58">
        <f>利润表!BV7</f>
        <v>392976.86</v>
      </c>
      <c r="BW9" s="58">
        <f>利润表!BW7</f>
        <v>1265989.26</v>
      </c>
      <c r="BX9" s="58">
        <f>利润表!BX7</f>
        <v>488903.67999999999</v>
      </c>
      <c r="BY9" s="58">
        <f>利润表!BY7</f>
        <v>884093.29</v>
      </c>
      <c r="BZ9" s="58">
        <f>利润表!BZ7</f>
        <v>226578.78</v>
      </c>
      <c r="CA9" s="58">
        <f>利润表!CA7</f>
        <v>758737.16</v>
      </c>
      <c r="CB9" s="58">
        <f>利润表!CB7</f>
        <v>692701.56</v>
      </c>
      <c r="CC9" s="58">
        <f>利润表!CC7</f>
        <v>346846.66</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45955102.289999999</v>
      </c>
      <c r="F10" s="58">
        <f>利润表!F8</f>
        <v>36096637.200000003</v>
      </c>
      <c r="G10" s="58">
        <f>利润表!G8</f>
        <v>26352030.510000002</v>
      </c>
      <c r="H10" s="58">
        <f>利润表!H8</f>
        <v>8610414.5399999991</v>
      </c>
      <c r="I10" s="58">
        <f>利润表!I8</f>
        <v>120514143.47</v>
      </c>
      <c r="J10" s="58">
        <f>利润表!J8</f>
        <v>84617026.969999999</v>
      </c>
      <c r="K10" s="58">
        <f>利润表!K8</f>
        <v>50856506.030000001</v>
      </c>
      <c r="L10" s="58">
        <f>利润表!L8</f>
        <v>20227825.170000002</v>
      </c>
      <c r="M10" s="58">
        <f>利润表!M8</f>
        <v>86926637.469999999</v>
      </c>
      <c r="N10" s="58">
        <f>利润表!N8</f>
        <v>55320126.909999996</v>
      </c>
      <c r="O10" s="58">
        <f>利润表!O8</f>
        <v>37191676.270000003</v>
      </c>
      <c r="P10" s="58">
        <f>利润表!P8</f>
        <v>14289501.99</v>
      </c>
      <c r="Q10" s="58">
        <f>利润表!Q8</f>
        <v>56386031.840000004</v>
      </c>
      <c r="R10" s="58">
        <f>利润表!R8</f>
        <v>43546455.869999997</v>
      </c>
      <c r="S10" s="58">
        <f>利润表!S8</f>
        <v>30709436.84</v>
      </c>
      <c r="T10" s="58">
        <f>利润表!T8</f>
        <v>13580679.880000001</v>
      </c>
      <c r="U10" s="58">
        <f>利润表!U8</f>
        <v>45246195.350000001</v>
      </c>
      <c r="V10" s="58">
        <f>利润表!V8</f>
        <v>33414029.710000001</v>
      </c>
      <c r="W10" s="58">
        <f>利润表!W8</f>
        <v>20895448.82</v>
      </c>
      <c r="X10" s="58">
        <f>利润表!X8</f>
        <v>9207108.2599999998</v>
      </c>
      <c r="Y10" s="58">
        <f>利润表!Y8</f>
        <v>39961608.130000003</v>
      </c>
      <c r="Z10" s="58">
        <f>利润表!Z8</f>
        <v>25851485.030000001</v>
      </c>
      <c r="AA10" s="58">
        <f>利润表!AA8</f>
        <v>9644357.6400000006</v>
      </c>
      <c r="AB10" s="58">
        <f>利润表!AB8</f>
        <v>4074621.71</v>
      </c>
      <c r="AC10" s="58">
        <f>利润表!AC8</f>
        <v>37176642.43</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-208622</v>
      </c>
      <c r="AM10" s="58">
        <f>利润表!AM8</f>
        <v>-402411.35</v>
      </c>
      <c r="AN10" s="58">
        <f>利润表!AN8</f>
        <v>0</v>
      </c>
      <c r="AO10" s="58">
        <f>利润表!AO8</f>
        <v>2322996.6800000002</v>
      </c>
      <c r="AP10" s="58">
        <f>利润表!AP8</f>
        <v>2822873.12</v>
      </c>
      <c r="AQ10" s="58">
        <f>利润表!AQ8</f>
        <v>2386177.29</v>
      </c>
      <c r="AR10" s="58">
        <f>利润表!AR8</f>
        <v>1239141.08</v>
      </c>
      <c r="AS10" s="58">
        <f>利润表!AS8</f>
        <v>11116450.77</v>
      </c>
      <c r="AT10" s="58">
        <f>利润表!AT8</f>
        <v>8876671.6699999999</v>
      </c>
      <c r="AU10" s="58">
        <f>利润表!AU8</f>
        <v>6574610.2599999998</v>
      </c>
      <c r="AV10" s="58">
        <f>利润表!AV8</f>
        <v>3574313.8</v>
      </c>
      <c r="AW10" s="58">
        <f>利润表!AW8</f>
        <v>13747148.449999999</v>
      </c>
      <c r="AX10" s="58">
        <f>利润表!AX8</f>
        <v>8095603.3899999997</v>
      </c>
      <c r="AY10" s="58">
        <f>利润表!AY8</f>
        <v>5208377.07</v>
      </c>
      <c r="AZ10" s="58">
        <f>利润表!AZ8</f>
        <v>2597860.15</v>
      </c>
      <c r="BA10" s="58">
        <f>利润表!BA8</f>
        <v>7668617.2000000002</v>
      </c>
      <c r="BB10" s="58">
        <f>利润表!BB8</f>
        <v>5574907.3200000003</v>
      </c>
      <c r="BC10" s="58">
        <f>利润表!BC8</f>
        <v>3227823.63</v>
      </c>
      <c r="BD10" s="58">
        <f>利润表!BD8</f>
        <v>1658146.67</v>
      </c>
      <c r="BE10" s="58">
        <f>利润表!BE8</f>
        <v>12128003.970000001</v>
      </c>
      <c r="BF10" s="58">
        <f>利润表!BF8</f>
        <v>7326654.3300000001</v>
      </c>
      <c r="BG10" s="58">
        <f>利润表!BG8</f>
        <v>5140689.68</v>
      </c>
      <c r="BH10" s="58">
        <f>利润表!BH8</f>
        <v>2572951.27</v>
      </c>
      <c r="BI10" s="58">
        <f>利润表!BI8</f>
        <v>14507809.52</v>
      </c>
      <c r="BJ10" s="58">
        <f>利润表!BJ8</f>
        <v>9700464.6400000006</v>
      </c>
      <c r="BK10" s="58">
        <f>利润表!BK8</f>
        <v>5154955.25</v>
      </c>
      <c r="BL10" s="58">
        <f>利润表!BL8</f>
        <v>2697345.63</v>
      </c>
      <c r="BM10" s="58">
        <f>利润表!BM8</f>
        <v>18616003.309999999</v>
      </c>
      <c r="BN10" s="58">
        <f>利润表!BN8</f>
        <v>12723949.17</v>
      </c>
      <c r="BO10" s="58">
        <f>利润表!BO8</f>
        <v>7435897.4400000004</v>
      </c>
      <c r="BP10" s="58">
        <f>利润表!BP8</f>
        <v>3775848.12</v>
      </c>
      <c r="BQ10" s="58">
        <f>利润表!BQ8</f>
        <v>15503561.42</v>
      </c>
      <c r="BR10" s="58">
        <f>利润表!BR8</f>
        <v>3845589.43</v>
      </c>
      <c r="BS10" s="58">
        <f>利润表!BS8</f>
        <v>5632489.0099999998</v>
      </c>
      <c r="BT10" s="58">
        <f>利润表!BT8</f>
        <v>3064819.49</v>
      </c>
      <c r="BU10" s="58">
        <f>利润表!BU8</f>
        <v>4980656.49</v>
      </c>
      <c r="BV10" s="58">
        <f>利润表!BV8</f>
        <v>2431489.89</v>
      </c>
      <c r="BW10" s="58">
        <f>利润表!BW8</f>
        <v>4165780.47</v>
      </c>
      <c r="BX10" s="58">
        <f>利润表!BX8</f>
        <v>1997711.48</v>
      </c>
      <c r="BY10" s="58">
        <f>利润表!BY8</f>
        <v>3325861.95</v>
      </c>
      <c r="BZ10" s="58">
        <f>利润表!BZ8</f>
        <v>1540271.99</v>
      </c>
      <c r="CA10" s="58">
        <f>利润表!CA8</f>
        <v>4877014.13</v>
      </c>
      <c r="CB10" s="58">
        <f>利润表!CB8</f>
        <v>7272589.9500000002</v>
      </c>
      <c r="CC10" s="58">
        <f>利润表!CC8</f>
        <v>6196688.6699999999</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148643860.25</v>
      </c>
      <c r="F11" s="58">
        <f>利润表!F9</f>
        <v>122399732.97</v>
      </c>
      <c r="G11" s="58">
        <f>利润表!G9</f>
        <v>88655676.859999999</v>
      </c>
      <c r="H11" s="58">
        <f>利润表!H9</f>
        <v>47525779.289999999</v>
      </c>
      <c r="I11" s="58">
        <f>利润表!I9</f>
        <v>182172498.37</v>
      </c>
      <c r="J11" s="58">
        <f>利润表!J9</f>
        <v>144290524.96000001</v>
      </c>
      <c r="K11" s="58">
        <f>利润表!K9</f>
        <v>93455186.049999997</v>
      </c>
      <c r="L11" s="58">
        <f>利润表!L9</f>
        <v>51985543.399999999</v>
      </c>
      <c r="M11" s="58">
        <f>利润表!M9</f>
        <v>193213484.40000001</v>
      </c>
      <c r="N11" s="58">
        <f>利润表!N9</f>
        <v>135627590.81999999</v>
      </c>
      <c r="O11" s="58">
        <f>利润表!O9</f>
        <v>97591166.959999993</v>
      </c>
      <c r="P11" s="58">
        <f>利润表!P9</f>
        <v>49837232.189999998</v>
      </c>
      <c r="Q11" s="58">
        <f>利润表!Q9</f>
        <v>148939850.91</v>
      </c>
      <c r="R11" s="58">
        <f>利润表!R9</f>
        <v>118289185.34</v>
      </c>
      <c r="S11" s="58">
        <f>利润表!S9</f>
        <v>77644059.790000007</v>
      </c>
      <c r="T11" s="58">
        <f>利润表!T9</f>
        <v>50880135.57</v>
      </c>
      <c r="U11" s="58">
        <f>利润表!U9</f>
        <v>108937690.45</v>
      </c>
      <c r="V11" s="58">
        <f>利润表!V9</f>
        <v>80854760.340000004</v>
      </c>
      <c r="W11" s="58">
        <f>利润表!W9</f>
        <v>54035052.049999997</v>
      </c>
      <c r="X11" s="58">
        <f>利润表!X9</f>
        <v>32815401.469999999</v>
      </c>
      <c r="Y11" s="58">
        <f>利润表!Y9</f>
        <v>84505484.939999998</v>
      </c>
      <c r="Z11" s="58">
        <f>利润表!Z9</f>
        <v>69971405.079999998</v>
      </c>
      <c r="AA11" s="58">
        <f>利润表!AA9</f>
        <v>41460248.130000003</v>
      </c>
      <c r="AB11" s="58">
        <f>利润表!AB9</f>
        <v>24641457.489999998</v>
      </c>
      <c r="AC11" s="58">
        <f>利润表!AC9</f>
        <v>78469227.819999993</v>
      </c>
      <c r="AD11" s="58">
        <f>利润表!AD9</f>
        <v>2980805.51</v>
      </c>
      <c r="AE11" s="58">
        <f>利润表!AE9</f>
        <v>1957592.03</v>
      </c>
      <c r="AF11" s="58">
        <f>利润表!AF9</f>
        <v>945560.98</v>
      </c>
      <c r="AG11" s="58">
        <f>利润表!AG9</f>
        <v>3608223.67</v>
      </c>
      <c r="AH11" s="58">
        <f>利润表!AH9</f>
        <v>2746005.31</v>
      </c>
      <c r="AI11" s="58">
        <f>利润表!AI9</f>
        <v>1552133.04</v>
      </c>
      <c r="AJ11" s="58">
        <f>利润表!AJ9</f>
        <v>706222.42</v>
      </c>
      <c r="AK11" s="58">
        <f>利润表!AK9</f>
        <v>2733963.15</v>
      </c>
      <c r="AL11" s="58">
        <f>利润表!AL9</f>
        <v>2237359.42</v>
      </c>
      <c r="AM11" s="58">
        <f>利润表!AM9</f>
        <v>1408576.38</v>
      </c>
      <c r="AN11" s="58">
        <f>利润表!AN9</f>
        <v>506551.71</v>
      </c>
      <c r="AO11" s="58">
        <f>利润表!AO9</f>
        <v>14063980.23</v>
      </c>
      <c r="AP11" s="58">
        <f>利润表!AP9</f>
        <v>13401357.779999999</v>
      </c>
      <c r="AQ11" s="58">
        <f>利润表!AQ9</f>
        <v>11333767.01</v>
      </c>
      <c r="AR11" s="58">
        <f>利润表!AR9</f>
        <v>4663545.7699999996</v>
      </c>
      <c r="AS11" s="58">
        <f>利润表!AS9</f>
        <v>14676262.720000001</v>
      </c>
      <c r="AT11" s="58">
        <f>利润表!AT9</f>
        <v>17641463.170000002</v>
      </c>
      <c r="AU11" s="58">
        <f>利润表!AU9</f>
        <v>12292359.189999999</v>
      </c>
      <c r="AV11" s="58">
        <f>利润表!AV9</f>
        <v>5701844.5199999996</v>
      </c>
      <c r="AW11" s="58">
        <f>利润表!AW9</f>
        <v>24892400.59</v>
      </c>
      <c r="AX11" s="58">
        <f>利润表!AX9</f>
        <v>14382229.800000001</v>
      </c>
      <c r="AY11" s="58">
        <f>利润表!AY9</f>
        <v>9547297.7100000009</v>
      </c>
      <c r="AZ11" s="58">
        <f>利润表!AZ9</f>
        <v>3296249.24</v>
      </c>
      <c r="BA11" s="58">
        <f>利润表!BA9</f>
        <v>370569542.62</v>
      </c>
      <c r="BB11" s="58">
        <f>利润表!BB9</f>
        <v>33707498.43</v>
      </c>
      <c r="BC11" s="58">
        <f>利润表!BC9</f>
        <v>29891715.260000002</v>
      </c>
      <c r="BD11" s="58">
        <f>利润表!BD9</f>
        <v>4891753.8600000003</v>
      </c>
      <c r="BE11" s="58">
        <f>利润表!BE9</f>
        <v>159327802.06</v>
      </c>
      <c r="BF11" s="58">
        <f>利润表!BF9</f>
        <v>16591984.41</v>
      </c>
      <c r="BG11" s="58">
        <f>利润表!BG9</f>
        <v>11976014.43</v>
      </c>
      <c r="BH11" s="58">
        <f>利润表!BH9</f>
        <v>5770128.2300000004</v>
      </c>
      <c r="BI11" s="58">
        <f>利润表!BI9</f>
        <v>29244777.52</v>
      </c>
      <c r="BJ11" s="58">
        <f>利润表!BJ9</f>
        <v>15903617.050000001</v>
      </c>
      <c r="BK11" s="58">
        <f>利润表!BK9</f>
        <v>9246246.9700000007</v>
      </c>
      <c r="BL11" s="58">
        <f>利润表!BL9</f>
        <v>5246232.58</v>
      </c>
      <c r="BM11" s="58">
        <f>利润表!BM9</f>
        <v>32355008.66</v>
      </c>
      <c r="BN11" s="58">
        <f>利润表!BN9</f>
        <v>18694792.07</v>
      </c>
      <c r="BO11" s="58">
        <f>利润表!BO9</f>
        <v>12261857.93</v>
      </c>
      <c r="BP11" s="58">
        <f>利润表!BP9</f>
        <v>6093179.75</v>
      </c>
      <c r="BQ11" s="58">
        <f>利润表!BQ9</f>
        <v>25381286.73</v>
      </c>
      <c r="BR11" s="58">
        <f>利润表!BR9</f>
        <v>9694547.5199999996</v>
      </c>
      <c r="BS11" s="58">
        <f>利润表!BS9</f>
        <v>19561959.190000001</v>
      </c>
      <c r="BT11" s="58">
        <f>利润表!BT9</f>
        <v>8496202.1199999992</v>
      </c>
      <c r="BU11" s="58">
        <f>利润表!BU9</f>
        <v>15025733.48</v>
      </c>
      <c r="BV11" s="58">
        <f>利润表!BV9</f>
        <v>5627860.6699999999</v>
      </c>
      <c r="BW11" s="58">
        <f>利润表!BW9</f>
        <v>10642772.460000001</v>
      </c>
      <c r="BX11" s="58">
        <f>利润表!BX9</f>
        <v>4713830.84</v>
      </c>
      <c r="BY11" s="58">
        <f>利润表!BY9</f>
        <v>4535806.34</v>
      </c>
      <c r="BZ11" s="58">
        <f>利润表!BZ9</f>
        <v>2150703.64</v>
      </c>
      <c r="CA11" s="58">
        <f>利润表!CA9</f>
        <v>3276807.82</v>
      </c>
      <c r="CB11" s="58">
        <f>利润表!CB9</f>
        <v>6850825.21</v>
      </c>
      <c r="CC11" s="58">
        <f>利润表!CC9</f>
        <v>5438582.0899999999</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1912077273.9199998</v>
      </c>
      <c r="F12" s="58">
        <f t="shared" ref="F12:BQ12" si="4">SUM(F8:F11)</f>
        <v>848074518.11000013</v>
      </c>
      <c r="G12" s="58">
        <f t="shared" si="4"/>
        <v>703942336.24000001</v>
      </c>
      <c r="H12" s="58">
        <f t="shared" si="4"/>
        <v>483713343.40000004</v>
      </c>
      <c r="I12" s="58">
        <f t="shared" si="4"/>
        <v>5253425975.6599998</v>
      </c>
      <c r="J12" s="58">
        <f t="shared" si="4"/>
        <v>3864724760.1799998</v>
      </c>
      <c r="K12" s="58">
        <f t="shared" si="4"/>
        <v>3283885936.3500009</v>
      </c>
      <c r="L12" s="58">
        <f t="shared" si="4"/>
        <v>2330564091.5300002</v>
      </c>
      <c r="M12" s="58">
        <f t="shared" si="4"/>
        <v>636656351.77999997</v>
      </c>
      <c r="N12" s="58">
        <f t="shared" si="4"/>
        <v>425431881.42000002</v>
      </c>
      <c r="O12" s="58">
        <f t="shared" si="4"/>
        <v>261923951.67000002</v>
      </c>
      <c r="P12" s="58">
        <f t="shared" si="4"/>
        <v>157564386.25</v>
      </c>
      <c r="Q12" s="58">
        <f t="shared" si="4"/>
        <v>1144362037.04</v>
      </c>
      <c r="R12" s="58">
        <f t="shared" si="4"/>
        <v>797531023.41000009</v>
      </c>
      <c r="S12" s="58">
        <f t="shared" si="4"/>
        <v>607828672.67999995</v>
      </c>
      <c r="T12" s="58">
        <f t="shared" si="4"/>
        <v>252138967.23999998</v>
      </c>
      <c r="U12" s="58">
        <f t="shared" si="4"/>
        <v>2157655048.1399999</v>
      </c>
      <c r="V12" s="58">
        <f t="shared" si="4"/>
        <v>335494553.20000005</v>
      </c>
      <c r="W12" s="58">
        <f t="shared" si="4"/>
        <v>239787630.25</v>
      </c>
      <c r="X12" s="58">
        <f t="shared" si="4"/>
        <v>130889690.63000001</v>
      </c>
      <c r="Y12" s="58">
        <f t="shared" si="4"/>
        <v>1525747047.3000002</v>
      </c>
      <c r="Z12" s="58">
        <f t="shared" si="4"/>
        <v>333992316.74000001</v>
      </c>
      <c r="AA12" s="58">
        <f t="shared" si="4"/>
        <v>117872381.13</v>
      </c>
      <c r="AB12" s="58">
        <f t="shared" si="4"/>
        <v>59841954.370000005</v>
      </c>
      <c r="AC12" s="58">
        <f t="shared" si="4"/>
        <v>707779383.21000004</v>
      </c>
      <c r="AD12" s="58">
        <f t="shared" si="4"/>
        <v>4748145.5199999996</v>
      </c>
      <c r="AE12" s="58">
        <f t="shared" si="4"/>
        <v>2439636.5499999998</v>
      </c>
      <c r="AF12" s="58">
        <f t="shared" si="4"/>
        <v>1282856.1000000001</v>
      </c>
      <c r="AG12" s="58">
        <f t="shared" si="4"/>
        <v>7772429.8799999999</v>
      </c>
      <c r="AH12" s="58">
        <f t="shared" si="4"/>
        <v>7116419.7300000004</v>
      </c>
      <c r="AI12" s="58">
        <f t="shared" si="4"/>
        <v>5477553.6600000001</v>
      </c>
      <c r="AJ12" s="58">
        <f t="shared" si="4"/>
        <v>795379.91</v>
      </c>
      <c r="AK12" s="58">
        <f t="shared" si="4"/>
        <v>6580186.8499999996</v>
      </c>
      <c r="AL12" s="58">
        <f t="shared" si="4"/>
        <v>2733355.2199999997</v>
      </c>
      <c r="AM12" s="58">
        <f t="shared" si="4"/>
        <v>1487149.1199999999</v>
      </c>
      <c r="AN12" s="58">
        <f t="shared" si="4"/>
        <v>674662</v>
      </c>
      <c r="AO12" s="58">
        <f t="shared" si="4"/>
        <v>46089724.469999999</v>
      </c>
      <c r="AP12" s="58">
        <f t="shared" si="4"/>
        <v>55115842.889999993</v>
      </c>
      <c r="AQ12" s="58">
        <f t="shared" si="4"/>
        <v>51248175.839999996</v>
      </c>
      <c r="AR12" s="58">
        <f t="shared" si="4"/>
        <v>25824365.709999997</v>
      </c>
      <c r="AS12" s="58">
        <f t="shared" si="4"/>
        <v>265507264.39000002</v>
      </c>
      <c r="AT12" s="58">
        <f t="shared" si="4"/>
        <v>225359209.10000002</v>
      </c>
      <c r="AU12" s="58">
        <f t="shared" si="4"/>
        <v>159155074.03999999</v>
      </c>
      <c r="AV12" s="58">
        <f t="shared" si="4"/>
        <v>66309638.810000002</v>
      </c>
      <c r="AW12" s="58">
        <f t="shared" si="4"/>
        <v>254665562.31999999</v>
      </c>
      <c r="AX12" s="58">
        <f t="shared" si="4"/>
        <v>139914748.53999999</v>
      </c>
      <c r="AY12" s="58">
        <f t="shared" si="4"/>
        <v>83663941.719999999</v>
      </c>
      <c r="AZ12" s="58">
        <f t="shared" si="4"/>
        <v>45369354.169999994</v>
      </c>
      <c r="BA12" s="58">
        <f t="shared" si="4"/>
        <v>597054547.24000001</v>
      </c>
      <c r="BB12" s="58">
        <f t="shared" si="4"/>
        <v>236708673.25999999</v>
      </c>
      <c r="BC12" s="58">
        <f t="shared" si="4"/>
        <v>206508151.52999997</v>
      </c>
      <c r="BD12" s="58">
        <f t="shared" si="4"/>
        <v>107107330.97</v>
      </c>
      <c r="BE12" s="58">
        <f t="shared" si="4"/>
        <v>930390508.4000001</v>
      </c>
      <c r="BF12" s="58">
        <f t="shared" si="4"/>
        <v>595253293.28000009</v>
      </c>
      <c r="BG12" s="58">
        <f t="shared" si="4"/>
        <v>372311920.88</v>
      </c>
      <c r="BH12" s="58">
        <f t="shared" si="4"/>
        <v>163148591.75999999</v>
      </c>
      <c r="BI12" s="58">
        <f t="shared" si="4"/>
        <v>814935417.99000001</v>
      </c>
      <c r="BJ12" s="58">
        <f t="shared" si="4"/>
        <v>530595333.80000001</v>
      </c>
      <c r="BK12" s="58">
        <f t="shared" si="4"/>
        <v>294759871.69000006</v>
      </c>
      <c r="BL12" s="58">
        <f t="shared" si="4"/>
        <v>123397539.92999999</v>
      </c>
      <c r="BM12" s="58">
        <f t="shared" si="4"/>
        <v>953992593.33999979</v>
      </c>
      <c r="BN12" s="58">
        <f t="shared" si="4"/>
        <v>646583396.66999996</v>
      </c>
      <c r="BO12" s="58">
        <f t="shared" si="4"/>
        <v>405253571.80000001</v>
      </c>
      <c r="BP12" s="58">
        <f t="shared" si="4"/>
        <v>203356260.06</v>
      </c>
      <c r="BQ12" s="58">
        <f t="shared" si="4"/>
        <v>729266072.92999995</v>
      </c>
      <c r="BR12" s="58">
        <f t="shared" ref="BR12:CL12" si="5">SUM(BR8:BR11)</f>
        <v>212137444.23000002</v>
      </c>
      <c r="BS12" s="58">
        <f t="shared" si="5"/>
        <v>154639349.65000001</v>
      </c>
      <c r="BT12" s="58">
        <f t="shared" si="5"/>
        <v>82217771.729999989</v>
      </c>
      <c r="BU12" s="58">
        <f t="shared" si="5"/>
        <v>83588736.520000011</v>
      </c>
      <c r="BV12" s="58">
        <f t="shared" si="5"/>
        <v>33968146.810000002</v>
      </c>
      <c r="BW12" s="58">
        <f t="shared" si="5"/>
        <v>53780365.399999999</v>
      </c>
      <c r="BX12" s="58">
        <f t="shared" si="5"/>
        <v>21888553.789999999</v>
      </c>
      <c r="BY12" s="58">
        <f t="shared" si="5"/>
        <v>46372429.219999999</v>
      </c>
      <c r="BZ12" s="58">
        <f t="shared" si="5"/>
        <v>24153955.140000001</v>
      </c>
      <c r="CA12" s="58">
        <f t="shared" si="5"/>
        <v>53991483.979999997</v>
      </c>
      <c r="CB12" s="58">
        <f t="shared" si="5"/>
        <v>64670783.890000008</v>
      </c>
      <c r="CC12" s="58">
        <f t="shared" si="5"/>
        <v>51425325.179999992</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1.7105718494888631</v>
      </c>
      <c r="F13" s="28">
        <f t="shared" ref="F13:BQ13" si="6">(F6/(1+F4)+F7)/F12</f>
        <v>3.486531708631917</v>
      </c>
      <c r="G13" s="28">
        <f t="shared" si="6"/>
        <v>2.2866191324027882</v>
      </c>
      <c r="H13" s="28">
        <f t="shared" si="6"/>
        <v>2.9760751097739733</v>
      </c>
      <c r="I13" s="28">
        <f t="shared" si="6"/>
        <v>0.32253724447447374</v>
      </c>
      <c r="J13" s="28">
        <f t="shared" si="6"/>
        <v>0.3562703141427559</v>
      </c>
      <c r="K13" s="28">
        <f t="shared" si="6"/>
        <v>0.3319219262463991</v>
      </c>
      <c r="L13" s="28">
        <f t="shared" si="6"/>
        <v>0.22275093296949208</v>
      </c>
      <c r="M13" s="28">
        <f t="shared" si="6"/>
        <v>5.898311064810291</v>
      </c>
      <c r="N13" s="28">
        <f t="shared" si="6"/>
        <v>7.8658540373685861</v>
      </c>
      <c r="O13" s="28">
        <f t="shared" si="6"/>
        <v>11.017544406832464</v>
      </c>
      <c r="P13" s="28">
        <f t="shared" si="6"/>
        <v>9.7427415741604957</v>
      </c>
      <c r="Q13" s="28">
        <f t="shared" si="6"/>
        <v>1.6224109593278102</v>
      </c>
      <c r="R13" s="28">
        <f t="shared" si="6"/>
        <v>2.1627222265376633</v>
      </c>
      <c r="S13" s="28">
        <f t="shared" si="6"/>
        <v>2.4486405759431205</v>
      </c>
      <c r="T13" s="28">
        <f t="shared" si="6"/>
        <v>4.5108162912014711</v>
      </c>
      <c r="U13" s="28">
        <f t="shared" si="6"/>
        <v>0.90142156180138044</v>
      </c>
      <c r="V13" s="28">
        <f t="shared" si="6"/>
        <v>5.3751552142742494</v>
      </c>
      <c r="W13" s="28">
        <f t="shared" si="6"/>
        <v>5.9784098222394428</v>
      </c>
      <c r="X13" s="28">
        <f t="shared" si="6"/>
        <v>5.9690759914853553</v>
      </c>
      <c r="Y13" s="28">
        <f t="shared" si="6"/>
        <v>0.55580034726050209</v>
      </c>
      <c r="Z13" s="28">
        <f t="shared" si="6"/>
        <v>2.5651253801937597</v>
      </c>
      <c r="AA13" s="28">
        <f t="shared" si="6"/>
        <v>3.8980473292748172</v>
      </c>
      <c r="AB13" s="28">
        <f t="shared" si="6"/>
        <v>4.1982212938495875</v>
      </c>
      <c r="AC13" s="28">
        <f t="shared" si="6"/>
        <v>2.023051906970196</v>
      </c>
      <c r="AD13" s="28">
        <f t="shared" si="6"/>
        <v>0.16522511298263665</v>
      </c>
      <c r="AE13" s="28">
        <f t="shared" si="6"/>
        <v>0.27341506668278109</v>
      </c>
      <c r="AF13" s="28">
        <f t="shared" si="6"/>
        <v>0.50382268907635075</v>
      </c>
      <c r="AG13" s="28">
        <f t="shared" si="6"/>
        <v>0.30028378066451455</v>
      </c>
      <c r="AH13" s="28">
        <f t="shared" si="6"/>
        <v>0.14813103920164639</v>
      </c>
      <c r="AI13" s="28">
        <f t="shared" si="6"/>
        <v>0.17561311850297784</v>
      </c>
      <c r="AJ13" s="28">
        <f t="shared" si="6"/>
        <v>0.18384571719947013</v>
      </c>
      <c r="AK13" s="28">
        <f t="shared" si="6"/>
        <v>8.6435819067964617E-2</v>
      </c>
      <c r="AL13" s="28">
        <f t="shared" si="6"/>
        <v>0.19102910026310757</v>
      </c>
      <c r="AM13" s="28">
        <f t="shared" si="6"/>
        <v>0.40736021818713114</v>
      </c>
      <c r="AN13" s="28">
        <f t="shared" si="6"/>
        <v>0.36476214756426184</v>
      </c>
      <c r="AO13" s="28">
        <f t="shared" si="6"/>
        <v>1.3600023099228129</v>
      </c>
      <c r="AP13" s="28">
        <f t="shared" si="6"/>
        <v>1.2545271013666419</v>
      </c>
      <c r="AQ13" s="28">
        <f t="shared" si="6"/>
        <v>1.3281946535031761</v>
      </c>
      <c r="AR13" s="28">
        <f t="shared" si="6"/>
        <v>1.2142818473517367</v>
      </c>
      <c r="AS13" s="28">
        <f t="shared" si="6"/>
        <v>0.9772762162888271</v>
      </c>
      <c r="AT13" s="28">
        <f t="shared" si="6"/>
        <v>0.89041901169222781</v>
      </c>
      <c r="AU13" s="28">
        <f t="shared" si="6"/>
        <v>0.92038329569728339</v>
      </c>
      <c r="AV13" s="28">
        <f t="shared" si="6"/>
        <v>0.97140235049119883</v>
      </c>
      <c r="AW13" s="28">
        <f t="shared" si="6"/>
        <v>0.99330237657906184</v>
      </c>
      <c r="AX13" s="28">
        <f t="shared" si="6"/>
        <v>1.0731433206288234</v>
      </c>
      <c r="AY13" s="28">
        <f t="shared" si="6"/>
        <v>0.96588662463948993</v>
      </c>
      <c r="AZ13" s="28">
        <f t="shared" si="6"/>
        <v>1.0645973372142632</v>
      </c>
      <c r="BA13" s="28">
        <f t="shared" si="6"/>
        <v>0.16103526935475301</v>
      </c>
      <c r="BB13" s="28">
        <f t="shared" si="6"/>
        <v>0.30883601582433945</v>
      </c>
      <c r="BC13" s="28">
        <f t="shared" si="6"/>
        <v>0.21187099454920724</v>
      </c>
      <c r="BD13" s="28">
        <f t="shared" si="6"/>
        <v>8.7177494170752656E-2</v>
      </c>
      <c r="BE13" s="28">
        <f t="shared" si="6"/>
        <v>0.75380916637733952</v>
      </c>
      <c r="BF13" s="28">
        <f t="shared" si="6"/>
        <v>0.92740607889031301</v>
      </c>
      <c r="BG13" s="28">
        <f t="shared" si="6"/>
        <v>1.1735055335047928</v>
      </c>
      <c r="BH13" s="28">
        <f t="shared" si="6"/>
        <v>1.6952252884501469</v>
      </c>
      <c r="BI13" s="28">
        <f t="shared" si="6"/>
        <v>0.88341039826840217</v>
      </c>
      <c r="BJ13" s="28">
        <f t="shared" si="6"/>
        <v>1.2140242250695257</v>
      </c>
      <c r="BK13" s="28">
        <f t="shared" si="6"/>
        <v>1.3450652891607393</v>
      </c>
      <c r="BL13" s="28">
        <f t="shared" si="6"/>
        <v>2.0604572186075307</v>
      </c>
      <c r="BM13" s="28">
        <f t="shared" si="6"/>
        <v>0.96341923816017105</v>
      </c>
      <c r="BN13" s="28">
        <f t="shared" si="6"/>
        <v>0.6902022267699357</v>
      </c>
      <c r="BO13" s="28">
        <f t="shared" si="6"/>
        <v>1.8916350257599299</v>
      </c>
      <c r="BP13" s="28">
        <f t="shared" si="6"/>
        <v>1.0205257973684967</v>
      </c>
      <c r="BQ13" s="28">
        <f t="shared" si="6"/>
        <v>0.25224107801173518</v>
      </c>
      <c r="BR13" s="28">
        <f t="shared" ref="BR13:CK13" si="7">(BR6/(1+BR4)+BR7)/BR12</f>
        <v>0.34517281167013059</v>
      </c>
      <c r="BS13" s="28">
        <f t="shared" si="7"/>
        <v>0.38073872757966026</v>
      </c>
      <c r="BT13" s="28">
        <f t="shared" si="7"/>
        <v>0.52793901912518881</v>
      </c>
      <c r="BU13" s="28">
        <f t="shared" si="7"/>
        <v>0</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-2545673422.1100001</v>
      </c>
      <c r="F14" s="26">
        <f>现金流量表!F13</f>
        <v>-2750566131.23</v>
      </c>
      <c r="G14" s="26">
        <f>现金流量表!G13</f>
        <v>-1445376116.1900001</v>
      </c>
      <c r="H14" s="26">
        <f>现金流量表!H13</f>
        <v>-1565308419.46</v>
      </c>
      <c r="I14" s="26">
        <f>现金流量表!I13</f>
        <v>691104491.77999997</v>
      </c>
      <c r="J14" s="26">
        <f>现金流量表!J13</f>
        <v>137878888.19999999</v>
      </c>
      <c r="K14" s="26">
        <f>现金流量表!K13</f>
        <v>-385520336.01999998</v>
      </c>
      <c r="L14" s="26">
        <f>现金流量表!L13</f>
        <v>89349997.129999995</v>
      </c>
      <c r="M14" s="26">
        <f>现金流量表!M13</f>
        <v>-768907546.52999997</v>
      </c>
      <c r="N14" s="26">
        <f>现金流量表!N13</f>
        <v>-1562092516.05</v>
      </c>
      <c r="O14" s="26">
        <f>现金流量表!O13</f>
        <v>-2086574627.5899999</v>
      </c>
      <c r="P14" s="26">
        <f>现金流量表!P13</f>
        <v>-1396335655.1099999</v>
      </c>
      <c r="Q14" s="26">
        <f>现金流量表!Q13</f>
        <v>-1425465822.8</v>
      </c>
      <c r="R14" s="26">
        <f>现金流量表!R13</f>
        <v>-466478960.85000002</v>
      </c>
      <c r="S14" s="26">
        <f>现金流量表!S13</f>
        <v>-617771034.63</v>
      </c>
      <c r="T14" s="26">
        <f>现金流量表!T13</f>
        <v>-549212482.45000005</v>
      </c>
      <c r="U14" s="26">
        <f>现金流量表!U13</f>
        <v>-204524340.52000001</v>
      </c>
      <c r="V14" s="26">
        <f>现金流量表!V13</f>
        <v>-438497845.25</v>
      </c>
      <c r="W14" s="26">
        <f>现金流量表!W13</f>
        <v>-488956284.01999998</v>
      </c>
      <c r="X14" s="26">
        <f>现金流量表!X13</f>
        <v>-253170549.13</v>
      </c>
      <c r="Y14" s="26">
        <f>现金流量表!Y13</f>
        <v>592891844.79999995</v>
      </c>
      <c r="Z14" s="26">
        <f>现金流量表!Z13</f>
        <v>-186895588.00999999</v>
      </c>
      <c r="AA14" s="26">
        <f>现金流量表!AA13</f>
        <v>-128819902.31</v>
      </c>
      <c r="AB14" s="26">
        <f>现金流量表!AB13</f>
        <v>-209240468.47999999</v>
      </c>
      <c r="AC14" s="26">
        <f>现金流量表!AC13</f>
        <v>-240562991.19999999</v>
      </c>
      <c r="AD14" s="26">
        <f>现金流量表!AD13</f>
        <v>-1172244.23</v>
      </c>
      <c r="AE14" s="26">
        <f>现金流量表!AE13</f>
        <v>-1283167.74</v>
      </c>
      <c r="AF14" s="26">
        <f>现金流量表!AF13</f>
        <v>-1208218.99</v>
      </c>
      <c r="AG14" s="26">
        <f>现金流量表!AG13</f>
        <v>21073685.140000001</v>
      </c>
      <c r="AH14" s="26">
        <f>现金流量表!AH13</f>
        <v>-313210.71000000002</v>
      </c>
      <c r="AI14" s="26">
        <f>现金流量表!AI13</f>
        <v>-158636.32999999999</v>
      </c>
      <c r="AJ14" s="26">
        <f>现金流量表!AJ13</f>
        <v>-272384.93</v>
      </c>
      <c r="AK14" s="26">
        <f>现金流量表!AK13</f>
        <v>-292174.2</v>
      </c>
      <c r="AL14" s="26">
        <f>现金流量表!AL13</f>
        <v>-710375.51</v>
      </c>
      <c r="AM14" s="26">
        <f>现金流量表!AM13</f>
        <v>-611585.43999999994</v>
      </c>
      <c r="AN14" s="26">
        <f>现金流量表!AN13</f>
        <v>-6636.6</v>
      </c>
      <c r="AO14" s="26">
        <f>现金流量表!AO13</f>
        <v>-4209778.05</v>
      </c>
      <c r="AP14" s="26">
        <f>现金流量表!AP13</f>
        <v>-7172700.2400000002</v>
      </c>
      <c r="AQ14" s="26">
        <f>现金流量表!AQ13</f>
        <v>-8412004.8000000007</v>
      </c>
      <c r="AR14" s="26">
        <f>现金流量表!AR13</f>
        <v>-12304361.58</v>
      </c>
      <c r="AS14" s="26">
        <f>现金流量表!AS13</f>
        <v>13324244.859999999</v>
      </c>
      <c r="AT14" s="26">
        <f>现金流量表!AT13</f>
        <v>1507130.52</v>
      </c>
      <c r="AU14" s="26">
        <f>现金流量表!AU13</f>
        <v>1991862.12</v>
      </c>
      <c r="AV14" s="26">
        <f>现金流量表!AV13</f>
        <v>7239244.5800000001</v>
      </c>
      <c r="AW14" s="26">
        <f>现金流量表!AW13</f>
        <v>6962586.4100000001</v>
      </c>
      <c r="AX14" s="26">
        <f>现金流量表!AX13</f>
        <v>-6609543.79</v>
      </c>
      <c r="AY14" s="26">
        <f>现金流量表!AY13</f>
        <v>-3889806.9</v>
      </c>
      <c r="AZ14" s="26">
        <f>现金流量表!AZ13</f>
        <v>-11072594.890000001</v>
      </c>
      <c r="BA14" s="26">
        <f>现金流量表!BA13</f>
        <v>-31223327.969999999</v>
      </c>
      <c r="BB14" s="26">
        <f>现金流量表!BB13</f>
        <v>-39777854.969999999</v>
      </c>
      <c r="BC14" s="26">
        <f>现金流量表!BC13</f>
        <v>-45370548.880000003</v>
      </c>
      <c r="BD14" s="26">
        <f>现金流量表!BD13</f>
        <v>-44984721.909999996</v>
      </c>
      <c r="BE14" s="26">
        <f>现金流量表!BE13</f>
        <v>-318439670.99000001</v>
      </c>
      <c r="BF14" s="26">
        <f>现金流量表!BF13</f>
        <v>-277675337.48000002</v>
      </c>
      <c r="BG14" s="26">
        <f>现金流量表!BG13</f>
        <v>-243361897.47999999</v>
      </c>
      <c r="BH14" s="26">
        <f>现金流量表!BH13</f>
        <v>-156109067.38</v>
      </c>
      <c r="BI14" s="26">
        <f>现金流量表!BI13</f>
        <v>69402939.780000001</v>
      </c>
      <c r="BJ14" s="26">
        <f>现金流量表!BJ13</f>
        <v>-127067140.53</v>
      </c>
      <c r="BK14" s="26">
        <f>现金流量表!BK13</f>
        <v>-28667883.329999998</v>
      </c>
      <c r="BL14" s="26">
        <f>现金流量表!BL13</f>
        <v>-88581604.349999994</v>
      </c>
      <c r="BM14" s="26">
        <f>现金流量表!BM13</f>
        <v>46532285.009999998</v>
      </c>
      <c r="BN14" s="26">
        <f>现金流量表!BN13</f>
        <v>-77192979.090000004</v>
      </c>
      <c r="BO14" s="26">
        <f>现金流量表!BO13</f>
        <v>-99741360.409999996</v>
      </c>
      <c r="BP14" s="26">
        <f>现金流量表!BP13</f>
        <v>6771450.3099999996</v>
      </c>
      <c r="BQ14" s="26">
        <f>现金流量表!BQ13</f>
        <v>-7089081.2999999998</v>
      </c>
      <c r="BR14" s="26">
        <f>现金流量表!BR13</f>
        <v>4455370.5199999996</v>
      </c>
      <c r="BS14" s="26">
        <f>现金流量表!BS13</f>
        <v>-8375594.7699999996</v>
      </c>
      <c r="BT14" s="26">
        <f>现金流量表!BT13</f>
        <v>2582327.89</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308980378.52350187</v>
      </c>
      <c r="F15" s="26">
        <f>股权价值增加表!F17</f>
        <v>62119288.300106347</v>
      </c>
      <c r="G15" s="26">
        <f>股权价值增加表!G17</f>
        <v>108155021.11853465</v>
      </c>
      <c r="H15" s="26">
        <f>股权价值增加表!H17</f>
        <v>94496539.484529719</v>
      </c>
      <c r="I15" s="26">
        <f>股权价值增加表!I17</f>
        <v>1066889189.4762712</v>
      </c>
      <c r="J15" s="26">
        <f>股权价值增加表!J17</f>
        <v>506866404.06013447</v>
      </c>
      <c r="K15" s="26">
        <f>股权价值增加表!K17</f>
        <v>507197015.14398098</v>
      </c>
      <c r="L15" s="26">
        <f>股权价值增加表!L17</f>
        <v>436248404.38321924</v>
      </c>
      <c r="M15" s="26">
        <f>股权价值增加表!M17</f>
        <v>-81848616.433122709</v>
      </c>
      <c r="N15" s="26">
        <f>股权价值增加表!N17</f>
        <v>13907333.551844761</v>
      </c>
      <c r="O15" s="26">
        <f>股权价值增加表!O17</f>
        <v>-38408270.541988209</v>
      </c>
      <c r="P15" s="26">
        <f>股权价值增加表!P17</f>
        <v>-11818194.357946878</v>
      </c>
      <c r="Q15" s="26">
        <f>股权价值增加表!Q17</f>
        <v>99971293.21749869</v>
      </c>
      <c r="R15" s="26">
        <f>股权价值增加表!R17</f>
        <v>24756964.370159343</v>
      </c>
      <c r="S15" s="26">
        <f>股权价值增加表!S17</f>
        <v>37522737.548531257</v>
      </c>
      <c r="T15" s="26">
        <f>股权价值增加表!T17</f>
        <v>18440724.594044343</v>
      </c>
      <c r="U15" s="26">
        <f>股权价值增加表!U17</f>
        <v>444534314.23077905</v>
      </c>
      <c r="V15" s="26">
        <f>股权价值增加表!V17</f>
        <v>-1285157.3395497545</v>
      </c>
      <c r="W15" s="26">
        <f>股权价值增加表!W17</f>
        <v>11081090.219755411</v>
      </c>
      <c r="X15" s="26">
        <f>股权价值增加表!X17</f>
        <v>1912302.0590070486</v>
      </c>
      <c r="Y15" s="26">
        <f>股权价值增加表!Y17</f>
        <v>322330047.05456209</v>
      </c>
      <c r="Z15" s="26">
        <f>股权价值增加表!Z17</f>
        <v>29281061.077018183</v>
      </c>
      <c r="AA15" s="26">
        <f>股权价值增加表!AA17</f>
        <v>-21442754.657571297</v>
      </c>
      <c r="AB15" s="26">
        <f>股权价值增加表!AB17</f>
        <v>-18957665.247812983</v>
      </c>
      <c r="AC15" s="26">
        <f>股权价值增加表!AC17</f>
        <v>173656682.6639722</v>
      </c>
      <c r="AD15" s="26">
        <f>股权价值增加表!AD17</f>
        <v>4330372.560470365</v>
      </c>
      <c r="AE15" s="26">
        <f>股权价值增加表!AE17</f>
        <v>5036486.9159820834</v>
      </c>
      <c r="AF15" s="26">
        <f>股权价值增加表!AF17</f>
        <v>4909926.8</v>
      </c>
      <c r="AG15" s="26">
        <f>股权价值增加表!AG17</f>
        <v>31954454.649999999</v>
      </c>
      <c r="AH15" s="26">
        <f>股权价值增加表!AH17</f>
        <v>26399867.77</v>
      </c>
      <c r="AI15" s="26">
        <f>股权价值增加表!AI17</f>
        <v>27436019.57</v>
      </c>
      <c r="AJ15" s="26">
        <f>股权价值增加表!AJ17</f>
        <v>16511611.620000001</v>
      </c>
      <c r="AK15" s="26">
        <f>股权价值增加表!AK17</f>
        <v>41081429.969999999</v>
      </c>
      <c r="AL15" s="26">
        <f>股权价值增加表!AL17</f>
        <v>1464432.9800000004</v>
      </c>
      <c r="AM15" s="26">
        <f>股权价值增加表!AM17</f>
        <v>4427822.2100000018</v>
      </c>
      <c r="AN15" s="26">
        <f>股权价值增加表!AN17</f>
        <v>14848272.629999999</v>
      </c>
      <c r="AO15" s="26">
        <f>股权价值增加表!AO17</f>
        <v>26006511.017316494</v>
      </c>
      <c r="AP15" s="26">
        <f>股权价值增加表!AP17</f>
        <v>12860555.538971387</v>
      </c>
      <c r="AQ15" s="26">
        <f>股权价值增加表!AQ17</f>
        <v>79873507.951272517</v>
      </c>
      <c r="AR15" s="26">
        <f>股权价值增加表!AR17</f>
        <v>34580065.350000001</v>
      </c>
      <c r="AS15" s="26">
        <f>股权价值增加表!AS17</f>
        <v>54806873.126232527</v>
      </c>
      <c r="AT15" s="26">
        <f>股权价值增加表!AT17</f>
        <v>-9279370.2965147588</v>
      </c>
      <c r="AU15" s="26">
        <f>股权价值增加表!AU17</f>
        <v>-3522800.6725100745</v>
      </c>
      <c r="AV15" s="26">
        <f>股权价值增加表!AV17</f>
        <v>-3240520.7311186637</v>
      </c>
      <c r="AW15" s="26">
        <f>股权价值增加表!AW17</f>
        <v>-691737181.8409971</v>
      </c>
      <c r="AX15" s="26">
        <f>股权价值增加表!AX17</f>
        <v>-24021901.225269247</v>
      </c>
      <c r="AY15" s="26">
        <f>股权价值增加表!AY17</f>
        <v>-23093295.949521761</v>
      </c>
      <c r="AZ15" s="26">
        <f>股权价值增加表!AZ17</f>
        <v>-5353153.311235955</v>
      </c>
      <c r="BA15" s="26">
        <f>股权价值增加表!BA17</f>
        <v>-383191879.69444925</v>
      </c>
      <c r="BB15" s="26">
        <f>股权价值增加表!BB17</f>
        <v>-36314408.160100929</v>
      </c>
      <c r="BC15" s="26">
        <f>股权价值增加表!BC17</f>
        <v>-32950916.100450259</v>
      </c>
      <c r="BD15" s="26">
        <f>股权价值增加表!BD17</f>
        <v>-6634382.222466832</v>
      </c>
      <c r="BE15" s="26">
        <f>股权价值增加表!BE17</f>
        <v>-153392246.96511763</v>
      </c>
      <c r="BF15" s="26">
        <f>股权价值增加表!BF17</f>
        <v>22951921.138160013</v>
      </c>
      <c r="BG15" s="26">
        <f>股权价值增加表!BG17</f>
        <v>11943469.449487809</v>
      </c>
      <c r="BH15" s="26">
        <f>股权价值增加表!BH17</f>
        <v>5479432.2878722055</v>
      </c>
      <c r="BI15" s="26">
        <f>股权价值增加表!BI17</f>
        <v>39435385.878439933</v>
      </c>
      <c r="BJ15" s="26">
        <f>股权价值增加表!BJ17</f>
        <v>24649979.993008777</v>
      </c>
      <c r="BK15" s="26">
        <f>股权价值增加表!BK17</f>
        <v>14643759.903954485</v>
      </c>
      <c r="BL15" s="26">
        <f>股权价值增加表!BL17</f>
        <v>4064799.5894403835</v>
      </c>
      <c r="BM15" s="26">
        <f>股权价值增加表!BM17</f>
        <v>31881120.731452759</v>
      </c>
      <c r="BN15" s="26">
        <f>股权价值增加表!BN17</f>
        <v>20375318.973815031</v>
      </c>
      <c r="BO15" s="26">
        <f>股权价值增加表!BO17</f>
        <v>17037102.238971442</v>
      </c>
      <c r="BP15" s="26">
        <f>股权价值增加表!BP17</f>
        <v>3369653.6012328481</v>
      </c>
      <c r="BQ15" s="26">
        <f>股权价值增加表!BQ17</f>
        <v>26525265.134702481</v>
      </c>
      <c r="BR15" s="26">
        <f>股权价值增加表!BR17</f>
        <v>15068106.271845488</v>
      </c>
      <c r="BS15" s="26">
        <f>股权价值增加表!BS17</f>
        <v>38991151.09139628</v>
      </c>
      <c r="BT15" s="26">
        <f>股权价值增加表!BT17</f>
        <v>20896556.282405883</v>
      </c>
      <c r="BU15" s="26">
        <f>股权价值增加表!BU17</f>
        <v>16741550.270213006</v>
      </c>
      <c r="BV15" s="26">
        <f>股权价值增加表!BV17</f>
        <v>5100601.4110923512</v>
      </c>
      <c r="BW15" s="26">
        <f>股权价值增加表!BW17</f>
        <v>18238083.384639956</v>
      </c>
      <c r="BX15" s="26">
        <f>股权价值增加表!BX17</f>
        <v>8081049.1599399867</v>
      </c>
      <c r="BY15" s="26">
        <f>股权价值增加表!BY17</f>
        <v>13930132.923733572</v>
      </c>
      <c r="BZ15" s="26">
        <f>股权价值增加表!BZ17</f>
        <v>5863881.3979733437</v>
      </c>
      <c r="CA15" s="26">
        <f>股权价值增加表!CA17</f>
        <v>16557277.133322256</v>
      </c>
      <c r="CB15" s="26">
        <f>股权价值增加表!CB17</f>
        <v>23742451.016109787</v>
      </c>
      <c r="CC15" s="26">
        <f>股权价值增加表!CC17</f>
        <v>19970966.600089986</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-8.2389484868741256</v>
      </c>
      <c r="F16" s="28">
        <f t="shared" ref="F16:BQ16" si="8">F14/F15</f>
        <v>-44.278777276739845</v>
      </c>
      <c r="G16" s="28">
        <f t="shared" si="8"/>
        <v>-13.36392985958471</v>
      </c>
      <c r="H16" s="28">
        <f t="shared" si="8"/>
        <v>-16.564716845702701</v>
      </c>
      <c r="I16" s="28">
        <f t="shared" si="8"/>
        <v>0.6477753253074563</v>
      </c>
      <c r="J16" s="28">
        <f t="shared" si="8"/>
        <v>0.27202214843113193</v>
      </c>
      <c r="K16" s="28">
        <f t="shared" si="8"/>
        <v>-0.76009977288718877</v>
      </c>
      <c r="L16" s="28">
        <f t="shared" si="8"/>
        <v>0.20481449612709904</v>
      </c>
      <c r="M16" s="28">
        <f t="shared" si="8"/>
        <v>9.3942644364460683</v>
      </c>
      <c r="N16" s="28">
        <f t="shared" si="8"/>
        <v>-112.3214964411919</v>
      </c>
      <c r="O16" s="28">
        <f t="shared" si="8"/>
        <v>54.326180224879977</v>
      </c>
      <c r="P16" s="28">
        <f t="shared" si="8"/>
        <v>118.15135314398222</v>
      </c>
      <c r="Q16" s="28">
        <f t="shared" si="8"/>
        <v>-14.258751456768096</v>
      </c>
      <c r="R16" s="28">
        <f t="shared" si="8"/>
        <v>-18.842332762423315</v>
      </c>
      <c r="S16" s="28">
        <f t="shared" si="8"/>
        <v>-16.463911617082459</v>
      </c>
      <c r="T16" s="28">
        <f t="shared" si="8"/>
        <v>-29.782586885299231</v>
      </c>
      <c r="U16" s="28">
        <f t="shared" si="8"/>
        <v>-0.46008673340304079</v>
      </c>
      <c r="V16" s="28">
        <f t="shared" si="8"/>
        <v>341.201681502768</v>
      </c>
      <c r="W16" s="28">
        <f t="shared" si="8"/>
        <v>-44.12528680149962</v>
      </c>
      <c r="X16" s="28">
        <f t="shared" si="8"/>
        <v>-132.39045993678283</v>
      </c>
      <c r="Y16" s="28">
        <f t="shared" si="8"/>
        <v>1.839393659442611</v>
      </c>
      <c r="Z16" s="28">
        <f t="shared" si="8"/>
        <v>-6.3828147319664135</v>
      </c>
      <c r="AA16" s="28">
        <f t="shared" si="8"/>
        <v>6.0076190940567669</v>
      </c>
      <c r="AB16" s="28">
        <f t="shared" si="8"/>
        <v>11.037248824938432</v>
      </c>
      <c r="AC16" s="28">
        <f t="shared" si="8"/>
        <v>-1.385279204402933</v>
      </c>
      <c r="AD16" s="28">
        <f t="shared" si="8"/>
        <v>-0.2707028583870093</v>
      </c>
      <c r="AE16" s="28">
        <f t="shared" si="8"/>
        <v>-0.25477436185293661</v>
      </c>
      <c r="AF16" s="28">
        <f t="shared" si="8"/>
        <v>-0.246076782651831</v>
      </c>
      <c r="AG16" s="28">
        <f t="shared" si="8"/>
        <v>0.65949130945346934</v>
      </c>
      <c r="AH16" s="28">
        <f t="shared" si="8"/>
        <v>-1.1864101469323382E-2</v>
      </c>
      <c r="AI16" s="28">
        <f t="shared" si="8"/>
        <v>-5.7820461016678008E-3</v>
      </c>
      <c r="AJ16" s="28">
        <f t="shared" si="8"/>
        <v>-1.649656837071365E-2</v>
      </c>
      <c r="AK16" s="28">
        <f t="shared" si="8"/>
        <v>-7.1120747309273867E-3</v>
      </c>
      <c r="AL16" s="28">
        <f t="shared" si="8"/>
        <v>-0.48508570873622348</v>
      </c>
      <c r="AM16" s="28">
        <f t="shared" si="8"/>
        <v>-0.13812330554256821</v>
      </c>
      <c r="AN16" s="28">
        <f t="shared" si="8"/>
        <v>-4.4696108196391602E-4</v>
      </c>
      <c r="AO16" s="28">
        <f t="shared" si="8"/>
        <v>-0.16187400329082627</v>
      </c>
      <c r="AP16" s="28">
        <f t="shared" si="8"/>
        <v>-0.55772864696743008</v>
      </c>
      <c r="AQ16" s="28">
        <f t="shared" si="8"/>
        <v>-0.10531658137679158</v>
      </c>
      <c r="AR16" s="28">
        <f t="shared" si="8"/>
        <v>-0.35582239233680335</v>
      </c>
      <c r="AS16" s="28">
        <f t="shared" si="8"/>
        <v>0.24311266270037471</v>
      </c>
      <c r="AT16" s="28">
        <f t="shared" si="8"/>
        <v>-0.16241732702121647</v>
      </c>
      <c r="AU16" s="28">
        <f t="shared" si="8"/>
        <v>-0.56542004648271904</v>
      </c>
      <c r="AV16" s="28">
        <f t="shared" si="8"/>
        <v>-2.2339757034977934</v>
      </c>
      <c r="AW16" s="28">
        <f t="shared" si="8"/>
        <v>-1.006536383004553E-2</v>
      </c>
      <c r="AX16" s="28">
        <f t="shared" si="8"/>
        <v>0.27514657262212255</v>
      </c>
      <c r="AY16" s="28">
        <f t="shared" si="8"/>
        <v>0.16843879316761426</v>
      </c>
      <c r="AZ16" s="28">
        <f t="shared" si="8"/>
        <v>2.0684247669050078</v>
      </c>
      <c r="BA16" s="28">
        <f t="shared" si="8"/>
        <v>8.1482227637226956E-2</v>
      </c>
      <c r="BB16" s="28">
        <f t="shared" si="8"/>
        <v>1.0953739021335449</v>
      </c>
      <c r="BC16" s="28">
        <f t="shared" si="8"/>
        <v>1.3769131256226299</v>
      </c>
      <c r="BD16" s="28">
        <f t="shared" si="8"/>
        <v>6.780544201638345</v>
      </c>
      <c r="BE16" s="28">
        <f t="shared" si="8"/>
        <v>2.075982830230104</v>
      </c>
      <c r="BF16" s="28">
        <f t="shared" si="8"/>
        <v>-12.0981305141527</v>
      </c>
      <c r="BG16" s="28">
        <f t="shared" si="8"/>
        <v>-20.376147693871019</v>
      </c>
      <c r="BH16" s="28">
        <f t="shared" si="8"/>
        <v>-28.490007573507377</v>
      </c>
      <c r="BI16" s="28">
        <f t="shared" si="8"/>
        <v>1.7599153205685731</v>
      </c>
      <c r="BJ16" s="28">
        <f t="shared" si="8"/>
        <v>-5.1548577550991421</v>
      </c>
      <c r="BK16" s="28">
        <f t="shared" si="8"/>
        <v>-1.9576859712278101</v>
      </c>
      <c r="BL16" s="28">
        <f t="shared" si="8"/>
        <v>-21.792366979203361</v>
      </c>
      <c r="BM16" s="28">
        <f t="shared" si="8"/>
        <v>1.4595561242015225</v>
      </c>
      <c r="BN16" s="28">
        <f t="shared" si="8"/>
        <v>-3.788553160281964</v>
      </c>
      <c r="BO16" s="28">
        <f t="shared" si="8"/>
        <v>-5.8543617929255056</v>
      </c>
      <c r="BP16" s="28">
        <f t="shared" si="8"/>
        <v>2.0095389946083904</v>
      </c>
      <c r="BQ16" s="28">
        <f t="shared" si="8"/>
        <v>-0.26725769804749261</v>
      </c>
      <c r="BR16" s="28">
        <f t="shared" ref="BR16:CL16" si="9">BR14/BR15</f>
        <v>0.29568218060187079</v>
      </c>
      <c r="BS16" s="28">
        <f t="shared" si="9"/>
        <v>-0.21480757904190584</v>
      </c>
      <c r="BT16" s="28">
        <f t="shared" si="9"/>
        <v>0.12357672025482129</v>
      </c>
      <c r="BU16" s="28">
        <f t="shared" si="9"/>
        <v>0</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224187781.70999995</v>
      </c>
      <c r="F17" s="26">
        <f>股权价值增加表!F42</f>
        <v>34413729.899999917</v>
      </c>
      <c r="G17" s="26">
        <f>股权价值增加表!G42</f>
        <v>74399274.719999969</v>
      </c>
      <c r="H17" s="26">
        <f>股权价值增加表!H42</f>
        <v>76170339.939999968</v>
      </c>
      <c r="I17" s="26">
        <f>股权价值增加表!I42</f>
        <v>937986689.3599999</v>
      </c>
      <c r="J17" s="26">
        <f>股权价值增加表!J42</f>
        <v>426336111.29000026</v>
      </c>
      <c r="K17" s="26">
        <f>股权价值增加表!K42</f>
        <v>447193655.90999961</v>
      </c>
      <c r="L17" s="26">
        <f>股权价值增加表!L42</f>
        <v>409278268.83000028</v>
      </c>
      <c r="M17" s="26">
        <f>股权价值增加表!M42</f>
        <v>79437371.470000029</v>
      </c>
      <c r="N17" s="26">
        <f>股权价值增加表!N42</f>
        <v>-5910801.5999999493</v>
      </c>
      <c r="O17" s="26">
        <f>股权价值增加表!O42</f>
        <v>75498011.080000043</v>
      </c>
      <c r="P17" s="26">
        <f>股权价值增加表!P42</f>
        <v>-73892475.840000004</v>
      </c>
      <c r="Q17" s="26">
        <f>股权价值增加表!Q42</f>
        <v>118244349.63000001</v>
      </c>
      <c r="R17" s="26">
        <f>股权价值增加表!R42</f>
        <v>12479508.899999954</v>
      </c>
      <c r="S17" s="26">
        <f>股权价值增加表!S42</f>
        <v>25684472.459999952</v>
      </c>
      <c r="T17" s="26">
        <f>股权价值增加表!T42</f>
        <v>11204823.199999981</v>
      </c>
      <c r="U17" s="26">
        <f>股权价值增加表!U42</f>
        <v>453655580.80000025</v>
      </c>
      <c r="V17" s="26">
        <f>股权价值增加表!V42</f>
        <v>23095821.67999997</v>
      </c>
      <c r="W17" s="26">
        <f>股权价值增加表!W42</f>
        <v>57235174.219999991</v>
      </c>
      <c r="X17" s="26">
        <f>股权价值增加表!X42</f>
        <v>854688.95000001602</v>
      </c>
      <c r="Y17" s="26">
        <f>股权价值增加表!Y42</f>
        <v>410802729.18000001</v>
      </c>
      <c r="Z17" s="26">
        <f>股权价值增加表!Z42</f>
        <v>129787676.91999997</v>
      </c>
      <c r="AA17" s="26">
        <f>股权价值增加表!AA42</f>
        <v>99469951.349999994</v>
      </c>
      <c r="AB17" s="26">
        <f>股权价值增加表!AB42</f>
        <v>-21558089.800000001</v>
      </c>
      <c r="AC17" s="26">
        <f>股权价值增加表!AC42</f>
        <v>231642962.49000007</v>
      </c>
      <c r="AD17" s="26">
        <f>股权价值增加表!AD42</f>
        <v>-31095058.109999999</v>
      </c>
      <c r="AE17" s="26">
        <f>股权价值增加表!AE42</f>
        <v>-19002304.210000001</v>
      </c>
      <c r="AF17" s="26">
        <f>股权价值增加表!AF42</f>
        <v>-6479405.6600000011</v>
      </c>
      <c r="AG17" s="26">
        <f>股权价值增加表!AG42</f>
        <v>4964195.3999999985</v>
      </c>
      <c r="AH17" s="26">
        <f>股权价值增加表!AH42</f>
        <v>-8468186.2799999975</v>
      </c>
      <c r="AI17" s="26">
        <f>股权价值增加表!AI42</f>
        <v>3956450.6099999994</v>
      </c>
      <c r="AJ17" s="26">
        <f>股权价值增加表!AJ42</f>
        <v>5121351.5300000012</v>
      </c>
      <c r="AK17" s="26">
        <f>股权价值增加表!AK42</f>
        <v>7426948.7699999958</v>
      </c>
      <c r="AL17" s="26">
        <f>股权价值增加表!AL42</f>
        <v>-39352711.189999998</v>
      </c>
      <c r="AM17" s="26">
        <f>股权价值增加表!AM42</f>
        <v>-23045205.369999997</v>
      </c>
      <c r="AN17" s="26">
        <f>股权价值增加表!AN42</f>
        <v>1235008.459999999</v>
      </c>
      <c r="AO17" s="26">
        <f>股权价值增加表!AO42</f>
        <v>3220275.7200000016</v>
      </c>
      <c r="AP17" s="26">
        <f>股权价值增加表!AP42</f>
        <v>-24939801.570000008</v>
      </c>
      <c r="AQ17" s="26">
        <f>股权价值增加表!AQ42</f>
        <v>55893134.75</v>
      </c>
      <c r="AR17" s="26">
        <f>股权价值增加表!AR42</f>
        <v>22113116.32</v>
      </c>
      <c r="AS17" s="26">
        <f>股权价值增加表!AS42</f>
        <v>31557092.699999981</v>
      </c>
      <c r="AT17" s="26">
        <f>股权价值增加表!AT42</f>
        <v>-48487022.650000006</v>
      </c>
      <c r="AU17" s="26">
        <f>股权价值增加表!AU42</f>
        <v>-29616942.849999983</v>
      </c>
      <c r="AV17" s="26">
        <f>股权价值增加表!AV42</f>
        <v>-16047430.160000004</v>
      </c>
      <c r="AW17" s="26">
        <f>股权价值增加表!AW42</f>
        <v>-770441732.03000009</v>
      </c>
      <c r="AX17" s="26">
        <f>股权价值增加表!AX42</f>
        <v>-63457312.609999999</v>
      </c>
      <c r="AY17" s="26">
        <f>股权价值增加表!AY42</f>
        <v>-49393492.11999999</v>
      </c>
      <c r="AZ17" s="26">
        <f>股权价值增加表!AZ42</f>
        <v>-18547132.919999994</v>
      </c>
      <c r="BA17" s="26">
        <f>股权价值增加表!BA42</f>
        <v>-443390685.4600001</v>
      </c>
      <c r="BB17" s="26">
        <f>股权价值增加表!BB42</f>
        <v>-72591347.950000003</v>
      </c>
      <c r="BC17" s="26">
        <f>股权价值增加表!BC42</f>
        <v>-55933688.319999993</v>
      </c>
      <c r="BD17" s="26">
        <f>股权价值增加表!BD42</f>
        <v>-18941067.280000001</v>
      </c>
      <c r="BE17" s="26">
        <f>股权价值增加表!BE42</f>
        <v>-183016369.83000007</v>
      </c>
      <c r="BF17" s="26">
        <f>股权价值增加表!BF42</f>
        <v>-3884359.2800000054</v>
      </c>
      <c r="BG17" s="26">
        <f>股权价值增加表!BG42</f>
        <v>4878607.9700000081</v>
      </c>
      <c r="BH17" s="26">
        <f>股权价值增加表!BH42</f>
        <v>1755361.6400000162</v>
      </c>
      <c r="BI17" s="26">
        <f>股权价值增加表!BI42</f>
        <v>15172382.659999948</v>
      </c>
      <c r="BJ17" s="26">
        <f>股权价值增加表!BJ42</f>
        <v>8161960.4799999669</v>
      </c>
      <c r="BK17" s="26">
        <f>股权价值增加表!BK42</f>
        <v>5148964.649999978</v>
      </c>
      <c r="BL17" s="26">
        <f>股权价值增加表!BL42</f>
        <v>614489.42000000086</v>
      </c>
      <c r="BM17" s="26">
        <f>股权价值增加表!BM42</f>
        <v>12647564.730000058</v>
      </c>
      <c r="BN17" s="26">
        <f>股权价值增加表!BN42</f>
        <v>9593165.9600000121</v>
      </c>
      <c r="BO17" s="26">
        <f>股权价值增加表!BO42</f>
        <v>9867879.6799999755</v>
      </c>
      <c r="BP17" s="26">
        <f>股权价值增加表!BP42</f>
        <v>1786931.0000000005</v>
      </c>
      <c r="BQ17" s="26">
        <f>股权价值增加表!BQ42</f>
        <v>30170001.220000077</v>
      </c>
      <c r="BR17" s="26">
        <f>股权价值增加表!BR42</f>
        <v>17893332.419999987</v>
      </c>
      <c r="BS17" s="26">
        <f>股权价值增加表!BS42</f>
        <v>36856085.100000001</v>
      </c>
      <c r="BT17" s="26">
        <f>股权价值增加表!BT42</f>
        <v>19172872.149999999</v>
      </c>
      <c r="BU17" s="26">
        <f>股权价值增加表!BU42</f>
        <v>19836124.109999992</v>
      </c>
      <c r="BV17" s="26">
        <f>股权价值增加表!BV42</f>
        <v>7695370.2900000038</v>
      </c>
      <c r="BW17" s="26">
        <f>股权价值增加表!BW42</f>
        <v>18869422.430000003</v>
      </c>
      <c r="BX17" s="26">
        <f>股权价值增加表!BX42</f>
        <v>7006262.29</v>
      </c>
      <c r="BY17" s="26">
        <f>股权价值增加表!BY42</f>
        <v>13210763.869999997</v>
      </c>
      <c r="BZ17" s="26">
        <f>股权价值增加表!BZ42</f>
        <v>4482166.0100000007</v>
      </c>
      <c r="CA17" s="26">
        <f>股权价值增加表!CA42</f>
        <v>10644864.33</v>
      </c>
      <c r="CB17" s="26">
        <f>股权价值增加表!CB42</f>
        <v>15660324.800000001</v>
      </c>
      <c r="CC17" s="26">
        <f>股权价值增加表!CC42</f>
        <v>13734864.340000004</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-11.35509438869857</v>
      </c>
      <c r="F18" s="28">
        <f t="shared" ref="F18:BQ18" si="10">F14/F17</f>
        <v>-79.92641713707431</v>
      </c>
      <c r="G18" s="28">
        <f t="shared" si="10"/>
        <v>-19.427287720608046</v>
      </c>
      <c r="H18" s="28">
        <f t="shared" si="10"/>
        <v>-20.550104157248175</v>
      </c>
      <c r="I18" s="28">
        <f t="shared" si="10"/>
        <v>0.73679562793321651</v>
      </c>
      <c r="J18" s="28">
        <f t="shared" si="10"/>
        <v>0.32340419811685311</v>
      </c>
      <c r="K18" s="28">
        <f t="shared" si="10"/>
        <v>-0.86208811535016105</v>
      </c>
      <c r="L18" s="28">
        <f t="shared" si="10"/>
        <v>0.21831111968251807</v>
      </c>
      <c r="M18" s="28">
        <f t="shared" si="10"/>
        <v>-9.6794182926908938</v>
      </c>
      <c r="N18" s="28">
        <f t="shared" si="10"/>
        <v>264.27760932629059</v>
      </c>
      <c r="O18" s="28">
        <f t="shared" si="10"/>
        <v>-27.63747809699252</v>
      </c>
      <c r="P18" s="28">
        <f t="shared" si="10"/>
        <v>18.896858431614838</v>
      </c>
      <c r="Q18" s="28">
        <f t="shared" si="10"/>
        <v>-12.055255301927275</v>
      </c>
      <c r="R18" s="28">
        <f t="shared" si="10"/>
        <v>-37.37959278589895</v>
      </c>
      <c r="S18" s="28">
        <f t="shared" si="10"/>
        <v>-24.052315483298081</v>
      </c>
      <c r="T18" s="28">
        <f t="shared" si="10"/>
        <v>-49.015720520248905</v>
      </c>
      <c r="U18" s="28">
        <f t="shared" si="10"/>
        <v>-0.45083616112322694</v>
      </c>
      <c r="V18" s="28">
        <f t="shared" si="10"/>
        <v>-18.986024889069917</v>
      </c>
      <c r="W18" s="28">
        <f t="shared" si="10"/>
        <v>-8.5429334440488418</v>
      </c>
      <c r="X18" s="28">
        <f t="shared" si="10"/>
        <v>-296.21366829417326</v>
      </c>
      <c r="Y18" s="28">
        <f t="shared" si="10"/>
        <v>1.4432519617955473</v>
      </c>
      <c r="Z18" s="28">
        <f t="shared" si="10"/>
        <v>-1.4400102725099306</v>
      </c>
      <c r="AA18" s="28">
        <f t="shared" si="10"/>
        <v>-1.2950634896434983</v>
      </c>
      <c r="AB18" s="28">
        <f t="shared" si="10"/>
        <v>9.7058909403002858</v>
      </c>
      <c r="AC18" s="28">
        <f t="shared" si="10"/>
        <v>-1.0385076611614523</v>
      </c>
      <c r="AD18" s="28">
        <f t="shared" si="10"/>
        <v>3.7698730964037426E-2</v>
      </c>
      <c r="AE18" s="28">
        <f t="shared" si="10"/>
        <v>6.7526954932377647E-2</v>
      </c>
      <c r="AF18" s="28">
        <f t="shared" si="10"/>
        <v>0.18647065076644695</v>
      </c>
      <c r="AG18" s="28">
        <f t="shared" si="10"/>
        <v>4.2451361080589223</v>
      </c>
      <c r="AH18" s="28">
        <f t="shared" si="10"/>
        <v>3.6986752492648295E-2</v>
      </c>
      <c r="AI18" s="28">
        <f t="shared" si="10"/>
        <v>-4.0095617420079464E-2</v>
      </c>
      <c r="AJ18" s="28">
        <f t="shared" si="10"/>
        <v>-5.3186142057309614E-2</v>
      </c>
      <c r="AK18" s="28">
        <f t="shared" si="10"/>
        <v>-3.9339735475245531E-2</v>
      </c>
      <c r="AL18" s="28">
        <f t="shared" si="10"/>
        <v>1.8051501116917074E-2</v>
      </c>
      <c r="AM18" s="28">
        <f t="shared" si="10"/>
        <v>2.6538511164502589E-2</v>
      </c>
      <c r="AN18" s="28">
        <f t="shared" si="10"/>
        <v>-5.3737283710590987E-3</v>
      </c>
      <c r="AO18" s="28">
        <f t="shared" si="10"/>
        <v>-1.307272549320714</v>
      </c>
      <c r="AP18" s="28">
        <f t="shared" si="10"/>
        <v>0.28760053362365218</v>
      </c>
      <c r="AQ18" s="28">
        <f t="shared" si="10"/>
        <v>-0.15050157479313683</v>
      </c>
      <c r="AR18" s="28">
        <f t="shared" si="10"/>
        <v>-0.55642820315069907</v>
      </c>
      <c r="AS18" s="28">
        <f t="shared" si="10"/>
        <v>0.42222662862729454</v>
      </c>
      <c r="AT18" s="28">
        <f t="shared" si="10"/>
        <v>-3.1083173138493375E-2</v>
      </c>
      <c r="AU18" s="28">
        <f t="shared" si="10"/>
        <v>-6.7254143349235018E-2</v>
      </c>
      <c r="AV18" s="28">
        <f t="shared" si="10"/>
        <v>-0.4511155062101232</v>
      </c>
      <c r="AW18" s="28">
        <f t="shared" si="10"/>
        <v>-9.0371356074580925E-3</v>
      </c>
      <c r="AX18" s="28">
        <f t="shared" si="10"/>
        <v>0.10415732274421005</v>
      </c>
      <c r="AY18" s="28">
        <f t="shared" si="10"/>
        <v>7.8751404953305029E-2</v>
      </c>
      <c r="AZ18" s="28">
        <f t="shared" si="10"/>
        <v>0.59699765660600035</v>
      </c>
      <c r="BA18" s="28">
        <f t="shared" si="10"/>
        <v>7.0419449469505763E-2</v>
      </c>
      <c r="BB18" s="28">
        <f t="shared" si="10"/>
        <v>0.54796964229674427</v>
      </c>
      <c r="BC18" s="28">
        <f t="shared" si="10"/>
        <v>0.81114888437952393</v>
      </c>
      <c r="BD18" s="28">
        <f t="shared" si="10"/>
        <v>2.3749834813954576</v>
      </c>
      <c r="BE18" s="28">
        <f t="shared" si="10"/>
        <v>1.7399518484919776</v>
      </c>
      <c r="BF18" s="28">
        <f t="shared" si="10"/>
        <v>71.485492835255869</v>
      </c>
      <c r="BG18" s="28">
        <f t="shared" si="10"/>
        <v>-49.883470649108048</v>
      </c>
      <c r="BH18" s="28">
        <f t="shared" si="10"/>
        <v>-88.932709831803407</v>
      </c>
      <c r="BI18" s="28">
        <f t="shared" si="10"/>
        <v>4.5742940535616734</v>
      </c>
      <c r="BJ18" s="28">
        <f t="shared" si="10"/>
        <v>-15.568213156797901</v>
      </c>
      <c r="BK18" s="28">
        <f t="shared" si="10"/>
        <v>-5.5676986110207842</v>
      </c>
      <c r="BL18" s="28">
        <f t="shared" si="10"/>
        <v>-144.15480798676708</v>
      </c>
      <c r="BM18" s="28">
        <f t="shared" si="10"/>
        <v>3.6791497812717489</v>
      </c>
      <c r="BN18" s="28">
        <f t="shared" si="10"/>
        <v>-8.0466635740345218</v>
      </c>
      <c r="BO18" s="28">
        <f t="shared" si="10"/>
        <v>-10.107679019653414</v>
      </c>
      <c r="BP18" s="28">
        <f t="shared" si="10"/>
        <v>3.7894302074338615</v>
      </c>
      <c r="BQ18" s="28">
        <f t="shared" si="10"/>
        <v>-0.23497119699486646</v>
      </c>
      <c r="BR18" s="28">
        <f t="shared" ref="BR18:CK18" si="11">BR14/BR17</f>
        <v>0.24899612969913196</v>
      </c>
      <c r="BS18" s="28">
        <f t="shared" si="11"/>
        <v>-0.22725134119033166</v>
      </c>
      <c r="BT18" s="28">
        <f t="shared" si="11"/>
        <v>0.13468654408150321</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51763865.259999998</v>
      </c>
      <c r="F19" s="26">
        <f>现金流量表!F48</f>
        <v>0</v>
      </c>
      <c r="G19" s="26">
        <f>现金流量表!G48</f>
        <v>1079941.32</v>
      </c>
      <c r="H19" s="26">
        <f>现金流量表!H48</f>
        <v>0</v>
      </c>
      <c r="I19" s="26">
        <f>现金流量表!I48</f>
        <v>5937134.9100000001</v>
      </c>
      <c r="J19" s="26">
        <f>现金流量表!J48</f>
        <v>0</v>
      </c>
      <c r="K19" s="26">
        <f>现金流量表!K48</f>
        <v>-27780.12</v>
      </c>
      <c r="L19" s="26">
        <f>现金流量表!L48</f>
        <v>0</v>
      </c>
      <c r="M19" s="26">
        <f>现金流量表!M48</f>
        <v>914621.49</v>
      </c>
      <c r="N19" s="26">
        <f>现金流量表!N48</f>
        <v>0</v>
      </c>
      <c r="O19" s="26">
        <f>现金流量表!O48</f>
        <v>649640.14</v>
      </c>
      <c r="P19" s="26">
        <f>现金流量表!P48</f>
        <v>0</v>
      </c>
      <c r="Q19" s="26">
        <f>现金流量表!Q48</f>
        <v>454124.58</v>
      </c>
      <c r="R19" s="26">
        <f>现金流量表!R48</f>
        <v>0</v>
      </c>
      <c r="S19" s="26">
        <f>现金流量表!S48</f>
        <v>179424.51</v>
      </c>
      <c r="T19" s="26">
        <f>现金流量表!T48</f>
        <v>0</v>
      </c>
      <c r="U19" s="26">
        <f>现金流量表!U48</f>
        <v>1462498.08</v>
      </c>
      <c r="V19" s="26">
        <f>现金流量表!V48</f>
        <v>0</v>
      </c>
      <c r="W19" s="26">
        <f>现金流量表!W48</f>
        <v>166643.57999999999</v>
      </c>
      <c r="X19" s="26">
        <f>现金流量表!X48</f>
        <v>0</v>
      </c>
      <c r="Y19" s="26">
        <f>现金流量表!Y48</f>
        <v>842692.24</v>
      </c>
      <c r="Z19" s="26">
        <f>现金流量表!Z48</f>
        <v>0</v>
      </c>
      <c r="AA19" s="26">
        <f>现金流量表!AA48</f>
        <v>89276.67</v>
      </c>
      <c r="AB19" s="26">
        <f>现金流量表!AB48</f>
        <v>0</v>
      </c>
      <c r="AC19" s="26">
        <f>现金流量表!AC48</f>
        <v>-2039457.77</v>
      </c>
      <c r="AD19" s="26">
        <f>现金流量表!AD48</f>
        <v>0</v>
      </c>
      <c r="AE19" s="26">
        <f>现金流量表!AE48</f>
        <v>1718446.35</v>
      </c>
      <c r="AF19" s="26">
        <f>现金流量表!AF48</f>
        <v>0</v>
      </c>
      <c r="AG19" s="26">
        <f>现金流量表!AG48</f>
        <v>-6414659.4800000004</v>
      </c>
      <c r="AH19" s="26">
        <f>现金流量表!AH48</f>
        <v>0</v>
      </c>
      <c r="AI19" s="26">
        <f>现金流量表!AI48</f>
        <v>70978.31</v>
      </c>
      <c r="AJ19" s="26">
        <f>现金流量表!AJ48</f>
        <v>0</v>
      </c>
      <c r="AK19" s="26">
        <f>现金流量表!AK48</f>
        <v>3087203.75</v>
      </c>
      <c r="AL19" s="26">
        <f>现金流量表!AL48</f>
        <v>0</v>
      </c>
      <c r="AM19" s="26">
        <f>现金流量表!AM48</f>
        <v>-660921.06000000006</v>
      </c>
      <c r="AN19" s="26">
        <f>现金流量表!AN48</f>
        <v>0</v>
      </c>
      <c r="AO19" s="26">
        <f>现金流量表!AO48</f>
        <v>12682501.439999999</v>
      </c>
      <c r="AP19" s="26">
        <f>现金流量表!AP48</f>
        <v>0</v>
      </c>
      <c r="AQ19" s="26">
        <f>现金流量表!AQ48</f>
        <v>9068740.1799999997</v>
      </c>
      <c r="AR19" s="26">
        <f>现金流量表!AR48</f>
        <v>0</v>
      </c>
      <c r="AS19" s="26">
        <f>现金流量表!AS48</f>
        <v>-14047138.48</v>
      </c>
      <c r="AT19" s="26">
        <f>现金流量表!AT48</f>
        <v>0</v>
      </c>
      <c r="AU19" s="26">
        <f>现金流量表!AU48</f>
        <v>0</v>
      </c>
      <c r="AV19" s="26">
        <f>现金流量表!AV48</f>
        <v>0</v>
      </c>
      <c r="AW19" s="26">
        <f>现金流量表!AW48</f>
        <v>357279484.61000001</v>
      </c>
      <c r="AX19" s="26">
        <f>现金流量表!AX48</f>
        <v>0</v>
      </c>
      <c r="AY19" s="26">
        <f>现金流量表!AY48</f>
        <v>0</v>
      </c>
      <c r="AZ19" s="26">
        <f>现金流量表!AZ48</f>
        <v>0</v>
      </c>
      <c r="BA19" s="26">
        <f>现金流量表!BA48</f>
        <v>347751469.01999998</v>
      </c>
      <c r="BB19" s="26">
        <f>现金流量表!BB48</f>
        <v>19773328.289999999</v>
      </c>
      <c r="BC19" s="26">
        <f>现金流量表!BC48</f>
        <v>19774328.289999999</v>
      </c>
      <c r="BD19" s="26">
        <f>现金流量表!BD48</f>
        <v>0</v>
      </c>
      <c r="BE19" s="26">
        <f>现金流量表!BE48</f>
        <v>155093883.78</v>
      </c>
      <c r="BF19" s="26">
        <f>现金流量表!BF48</f>
        <v>704109.4</v>
      </c>
      <c r="BG19" s="26">
        <f>现金流量表!BG48</f>
        <v>704109.4</v>
      </c>
      <c r="BH19" s="26">
        <f>现金流量表!BH48</f>
        <v>0</v>
      </c>
      <c r="BI19" s="26">
        <f>现金流量表!BI48</f>
        <v>2956392.6</v>
      </c>
      <c r="BJ19" s="26">
        <f>现金流量表!BJ48</f>
        <v>-3276742.16</v>
      </c>
      <c r="BK19" s="26">
        <f>现金流量表!BK48</f>
        <v>-3276742.16</v>
      </c>
      <c r="BL19" s="26">
        <f>现金流量表!BL48</f>
        <v>0</v>
      </c>
      <c r="BM19" s="26">
        <f>现金流量表!BM48</f>
        <v>3412136.55</v>
      </c>
      <c r="BN19" s="26">
        <f>现金流量表!BN48</f>
        <v>-207863.85</v>
      </c>
      <c r="BO19" s="26">
        <f>现金流量表!BO48</f>
        <v>-2445043.9500000002</v>
      </c>
      <c r="BP19" s="26">
        <f>现金流量表!BP48</f>
        <v>-6223031.1600000001</v>
      </c>
      <c r="BQ19" s="26">
        <f>现金流量表!BQ48</f>
        <v>3698819.36</v>
      </c>
      <c r="BR19" s="26">
        <f>现金流量表!BR48</f>
        <v>1321001.73</v>
      </c>
      <c r="BS19" s="26">
        <f>现金流量表!BS48</f>
        <v>1724625.54</v>
      </c>
      <c r="BT19" s="26">
        <f>现金流量表!BT48</f>
        <v>55820.45</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26263079.190000001</v>
      </c>
      <c r="F20" s="26">
        <f>现金流量表!F49</f>
        <v>0</v>
      </c>
      <c r="G20" s="26">
        <f>现金流量表!G49</f>
        <v>10613420.390000001</v>
      </c>
      <c r="H20" s="26">
        <f>现金流量表!H49</f>
        <v>0</v>
      </c>
      <c r="I20" s="26">
        <f>现金流量表!I49</f>
        <v>16134485.289999999</v>
      </c>
      <c r="J20" s="26">
        <f>现金流量表!J49</f>
        <v>0</v>
      </c>
      <c r="K20" s="26">
        <f>现金流量表!K49</f>
        <v>10650405.039999999</v>
      </c>
      <c r="L20" s="26">
        <f>现金流量表!L49</f>
        <v>0</v>
      </c>
      <c r="M20" s="26">
        <f>现金流量表!M49</f>
        <v>20494303.890000001</v>
      </c>
      <c r="N20" s="26">
        <f>现金流量表!N49</f>
        <v>0</v>
      </c>
      <c r="O20" s="26">
        <f>现金流量表!O49</f>
        <v>10348588.039999999</v>
      </c>
      <c r="P20" s="26">
        <f>现金流量表!P49</f>
        <v>0</v>
      </c>
      <c r="Q20" s="26">
        <f>现金流量表!Q49</f>
        <v>26524614.739999998</v>
      </c>
      <c r="R20" s="26">
        <f>现金流量表!R49</f>
        <v>0</v>
      </c>
      <c r="S20" s="26">
        <f>现金流量表!S49</f>
        <v>12531668.810000001</v>
      </c>
      <c r="T20" s="26">
        <f>现金流量表!T49</f>
        <v>0</v>
      </c>
      <c r="U20" s="26">
        <f>现金流量表!U49</f>
        <v>16795863.77</v>
      </c>
      <c r="V20" s="26">
        <f>现金流量表!V49</f>
        <v>0</v>
      </c>
      <c r="W20" s="26">
        <f>现金流量表!W49</f>
        <v>8712578.6400000006</v>
      </c>
      <c r="X20" s="26">
        <f>现金流量表!X49</f>
        <v>0</v>
      </c>
      <c r="Y20" s="26">
        <f>现金流量表!Y49</f>
        <v>14366943.42</v>
      </c>
      <c r="Z20" s="26">
        <f>现金流量表!Z49</f>
        <v>0</v>
      </c>
      <c r="AA20" s="26">
        <f>现金流量表!AA49</f>
        <v>7094238.5</v>
      </c>
      <c r="AB20" s="26">
        <f>现金流量表!AB49</f>
        <v>0</v>
      </c>
      <c r="AC20" s="26">
        <f>现金流量表!AC49</f>
        <v>13110699.82</v>
      </c>
      <c r="AD20" s="26">
        <f>现金流量表!AD49</f>
        <v>0</v>
      </c>
      <c r="AE20" s="26">
        <f>现金流量表!AE49</f>
        <v>467039.94</v>
      </c>
      <c r="AF20" s="26">
        <f>现金流量表!AF49</f>
        <v>0</v>
      </c>
      <c r="AG20" s="26">
        <f>现金流量表!AG49</f>
        <v>1015248.8</v>
      </c>
      <c r="AH20" s="26">
        <f>现金流量表!AH49</f>
        <v>0</v>
      </c>
      <c r="AI20" s="26">
        <f>现金流量表!AI49</f>
        <v>455175.54</v>
      </c>
      <c r="AJ20" s="26">
        <f>现金流量表!AJ49</f>
        <v>0</v>
      </c>
      <c r="AK20" s="26">
        <f>现金流量表!AK49</f>
        <v>968585.92</v>
      </c>
      <c r="AL20" s="26">
        <f>现金流量表!AL49</f>
        <v>0</v>
      </c>
      <c r="AM20" s="26">
        <f>现金流量表!AM49</f>
        <v>487145.52</v>
      </c>
      <c r="AN20" s="26">
        <f>现金流量表!AN49</f>
        <v>0</v>
      </c>
      <c r="AO20" s="26">
        <f>现金流量表!AO49</f>
        <v>1114517.49</v>
      </c>
      <c r="AP20" s="26">
        <f>现金流量表!AP49</f>
        <v>0</v>
      </c>
      <c r="AQ20" s="26">
        <f>现金流量表!AQ49</f>
        <v>661292.87</v>
      </c>
      <c r="AR20" s="26">
        <f>现金流量表!AR49</f>
        <v>0</v>
      </c>
      <c r="AS20" s="26">
        <f>现金流量表!AS49</f>
        <v>1507581.35</v>
      </c>
      <c r="AT20" s="26">
        <f>现金流量表!AT49</f>
        <v>0</v>
      </c>
      <c r="AU20" s="26">
        <f>现金流量表!AU49</f>
        <v>0</v>
      </c>
      <c r="AV20" s="26">
        <f>现金流量表!AV49</f>
        <v>0</v>
      </c>
      <c r="AW20" s="26">
        <f>现金流量表!AW49</f>
        <v>2712291.73</v>
      </c>
      <c r="AX20" s="26">
        <f>现金流量表!AX49</f>
        <v>0</v>
      </c>
      <c r="AY20" s="26">
        <f>现金流量表!AY49</f>
        <v>0</v>
      </c>
      <c r="AZ20" s="26">
        <f>现金流量表!AZ49</f>
        <v>0</v>
      </c>
      <c r="BA20" s="26">
        <f>现金流量表!BA49</f>
        <v>3318185.49</v>
      </c>
      <c r="BB20" s="26">
        <f>现金流量表!BB49</f>
        <v>2731089.03</v>
      </c>
      <c r="BC20" s="26">
        <f>现金流量表!BC49</f>
        <v>1801821.35</v>
      </c>
      <c r="BD20" s="26">
        <f>现金流量表!BD49</f>
        <v>929408.37</v>
      </c>
      <c r="BE20" s="26">
        <f>现金流量表!BE49</f>
        <v>4394775.59</v>
      </c>
      <c r="BF20" s="26">
        <f>现金流量表!BF49</f>
        <v>2788029.52</v>
      </c>
      <c r="BG20" s="26">
        <f>现金流量表!BG49</f>
        <v>2340714.59</v>
      </c>
      <c r="BH20" s="26">
        <f>现金流量表!BH49</f>
        <v>1190011.57</v>
      </c>
      <c r="BI20" s="26">
        <f>现金流量表!BI49</f>
        <v>5422225.8099999996</v>
      </c>
      <c r="BJ20" s="26">
        <f>现金流量表!BJ49</f>
        <v>3560395.13</v>
      </c>
      <c r="BK20" s="26">
        <f>现金流量表!BK49</f>
        <v>1725796.44</v>
      </c>
      <c r="BL20" s="26">
        <f>现金流量表!BL49</f>
        <v>675208.26</v>
      </c>
      <c r="BM20" s="26">
        <f>现金流量表!BM49</f>
        <v>4899369.3</v>
      </c>
      <c r="BN20" s="26">
        <f>现金流量表!BN49</f>
        <v>2491289.4300000002</v>
      </c>
      <c r="BO20" s="26">
        <f>现金流量表!BO49</f>
        <v>3102998.47</v>
      </c>
      <c r="BP20" s="26">
        <f>现金流量表!BP49</f>
        <v>2005106.66</v>
      </c>
      <c r="BQ20" s="26">
        <f>现金流量表!BQ49</f>
        <v>3592593.68</v>
      </c>
      <c r="BR20" s="26">
        <f>现金流量表!BR49</f>
        <v>1759521.42</v>
      </c>
      <c r="BS20" s="26">
        <f>现金流量表!BS49</f>
        <v>2593156.67</v>
      </c>
      <c r="BT20" s="26">
        <f>现金流量表!BT49</f>
        <v>2378319.8199999998</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60717985.799999997</v>
      </c>
      <c r="F21" s="26">
        <f>现金流量表!F50</f>
        <v>0</v>
      </c>
      <c r="G21" s="26">
        <f>现金流量表!G50</f>
        <v>30628267.739999998</v>
      </c>
      <c r="H21" s="26">
        <f>现金流量表!H50</f>
        <v>0</v>
      </c>
      <c r="I21" s="26">
        <f>现金流量表!I50</f>
        <v>35928240.380000003</v>
      </c>
      <c r="J21" s="26">
        <f>现金流量表!J50</f>
        <v>0</v>
      </c>
      <c r="K21" s="26">
        <f>现金流量表!K50</f>
        <v>5147619.9400000004</v>
      </c>
      <c r="L21" s="26">
        <f>现金流量表!L50</f>
        <v>0</v>
      </c>
      <c r="M21" s="26">
        <f>现金流量表!M50</f>
        <v>100305.71</v>
      </c>
      <c r="N21" s="26">
        <f>现金流量表!N50</f>
        <v>0</v>
      </c>
      <c r="O21" s="26">
        <f>现金流量表!O50</f>
        <v>11035.02</v>
      </c>
      <c r="P21" s="26">
        <f>现金流量表!P50</f>
        <v>0</v>
      </c>
      <c r="Q21" s="26">
        <f>现金流量表!Q50</f>
        <v>22070.04</v>
      </c>
      <c r="R21" s="26">
        <f>现金流量表!R50</f>
        <v>0</v>
      </c>
      <c r="S21" s="26">
        <f>现金流量表!S50</f>
        <v>11035.02</v>
      </c>
      <c r="T21" s="26">
        <f>现金流量表!T50</f>
        <v>0</v>
      </c>
      <c r="U21" s="26">
        <f>现金流量表!U50</f>
        <v>22070.04</v>
      </c>
      <c r="V21" s="26">
        <f>现金流量表!V50</f>
        <v>0</v>
      </c>
      <c r="W21" s="26">
        <f>现金流量表!W50</f>
        <v>11035.02</v>
      </c>
      <c r="X21" s="26">
        <f>现金流量表!X50</f>
        <v>0</v>
      </c>
      <c r="Y21" s="26">
        <f>现金流量表!Y50</f>
        <v>1839.17</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3900</v>
      </c>
      <c r="AH21" s="26">
        <f>现金流量表!AH50</f>
        <v>0</v>
      </c>
      <c r="AI21" s="26">
        <f>现金流量表!AI50</f>
        <v>3900</v>
      </c>
      <c r="AJ21" s="26">
        <f>现金流量表!AJ50</f>
        <v>0</v>
      </c>
      <c r="AK21" s="26">
        <f>现金流量表!AK50</f>
        <v>7800</v>
      </c>
      <c r="AL21" s="26">
        <f>现金流量表!AL50</f>
        <v>0</v>
      </c>
      <c r="AM21" s="26">
        <f>现金流量表!AM50</f>
        <v>3900</v>
      </c>
      <c r="AN21" s="26">
        <f>现金流量表!AN50</f>
        <v>0</v>
      </c>
      <c r="AO21" s="26">
        <f>现金流量表!AO50</f>
        <v>7800</v>
      </c>
      <c r="AP21" s="26">
        <f>现金流量表!AP50</f>
        <v>0</v>
      </c>
      <c r="AQ21" s="26">
        <f>现金流量表!AQ50</f>
        <v>3900</v>
      </c>
      <c r="AR21" s="26">
        <f>现金流量表!AR50</f>
        <v>0</v>
      </c>
      <c r="AS21" s="26">
        <f>现金流量表!AS50</f>
        <v>7800</v>
      </c>
      <c r="AT21" s="26">
        <f>现金流量表!AT50</f>
        <v>0</v>
      </c>
      <c r="AU21" s="26">
        <f>现金流量表!AU50</f>
        <v>0</v>
      </c>
      <c r="AV21" s="26">
        <f>现金流量表!AV50</f>
        <v>0</v>
      </c>
      <c r="AW21" s="26">
        <f>现金流量表!AW50</f>
        <v>7800</v>
      </c>
      <c r="AX21" s="26">
        <f>现金流量表!AX50</f>
        <v>0</v>
      </c>
      <c r="AY21" s="26">
        <f>现金流量表!AY50</f>
        <v>0</v>
      </c>
      <c r="AZ21" s="26">
        <f>现金流量表!AZ50</f>
        <v>0</v>
      </c>
      <c r="BA21" s="26">
        <f>现金流量表!BA50</f>
        <v>1369286.88</v>
      </c>
      <c r="BB21" s="26">
        <f>现金流量表!BB50</f>
        <v>1026965.16</v>
      </c>
      <c r="BC21" s="26">
        <f>现金流量表!BC50</f>
        <v>684643.44</v>
      </c>
      <c r="BD21" s="26">
        <f>现金流量表!BD50</f>
        <v>342321.72</v>
      </c>
      <c r="BE21" s="26">
        <f>现金流量表!BE50</f>
        <v>2273538.1800000002</v>
      </c>
      <c r="BF21" s="26">
        <f>现金流量表!BF50</f>
        <v>1931216.46</v>
      </c>
      <c r="BG21" s="26">
        <f>现金流量表!BG50</f>
        <v>1585046.14</v>
      </c>
      <c r="BH21" s="26">
        <f>现金流量表!BH50</f>
        <v>794447.37</v>
      </c>
      <c r="BI21" s="26">
        <f>现金流量表!BI50</f>
        <v>3177789.4399999999</v>
      </c>
      <c r="BJ21" s="26">
        <f>现金流量表!BJ50</f>
        <v>2124519.75</v>
      </c>
      <c r="BK21" s="26">
        <f>现金流量表!BK50</f>
        <v>1416346.5</v>
      </c>
      <c r="BL21" s="26">
        <f>现金流量表!BL50</f>
        <v>11545.8</v>
      </c>
      <c r="BM21" s="26">
        <f>现金流量表!BM50</f>
        <v>3046750.73</v>
      </c>
      <c r="BN21" s="26">
        <f>现金流量表!BN50</f>
        <v>903471.02</v>
      </c>
      <c r="BO21" s="26">
        <f>现金流量表!BO50</f>
        <v>2915366.2</v>
      </c>
      <c r="BP21" s="26">
        <f>现金流量表!BP50</f>
        <v>1158214.45</v>
      </c>
      <c r="BQ21" s="26">
        <f>现金流量表!BQ50</f>
        <v>2918937.52</v>
      </c>
      <c r="BR21" s="26">
        <f>现金流量表!BR50</f>
        <v>416924.26</v>
      </c>
      <c r="BS21" s="26">
        <f>现金流量表!BS50</f>
        <v>3563875.88</v>
      </c>
      <c r="BT21" s="26">
        <f>现金流量表!BT50</f>
        <v>1228508.78</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5475214.0700000003</v>
      </c>
      <c r="F22" s="26">
        <f>现金流量表!F51</f>
        <v>0</v>
      </c>
      <c r="G22" s="26">
        <f>现金流量表!G51</f>
        <v>4165428.66</v>
      </c>
      <c r="H22" s="26">
        <f>现金流量表!H51</f>
        <v>0</v>
      </c>
      <c r="I22" s="26">
        <f>现金流量表!I51</f>
        <v>8078841.1600000001</v>
      </c>
      <c r="J22" s="26">
        <f>现金流量表!J51</f>
        <v>0</v>
      </c>
      <c r="K22" s="26">
        <f>现金流量表!K51</f>
        <v>3589088.2</v>
      </c>
      <c r="L22" s="26">
        <f>现金流量表!L51</f>
        <v>0</v>
      </c>
      <c r="M22" s="26">
        <f>现金流量表!M51</f>
        <v>6159277.1900000004</v>
      </c>
      <c r="N22" s="26">
        <f>现金流量表!N51</f>
        <v>0</v>
      </c>
      <c r="O22" s="26">
        <f>现金流量表!O51</f>
        <v>3744507.06</v>
      </c>
      <c r="P22" s="26">
        <f>现金流量表!P51</f>
        <v>0</v>
      </c>
      <c r="Q22" s="26">
        <f>现金流量表!Q51</f>
        <v>624084.51</v>
      </c>
      <c r="R22" s="26">
        <f>现金流量表!R51</f>
        <v>0</v>
      </c>
      <c r="S22" s="26">
        <f>现金流量表!S51</f>
        <v>0</v>
      </c>
      <c r="T22" s="26">
        <f>现金流量表!T51</f>
        <v>0</v>
      </c>
      <c r="U22" s="26">
        <f>现金流量表!U51</f>
        <v>0</v>
      </c>
      <c r="V22" s="26">
        <f>现金流量表!V51</f>
        <v>0</v>
      </c>
      <c r="W22" s="26">
        <f>现金流量表!W51</f>
        <v>16335.3</v>
      </c>
      <c r="X22" s="26">
        <f>现金流量表!X51</f>
        <v>0</v>
      </c>
      <c r="Y22" s="26">
        <f>现金流量表!Y51</f>
        <v>32670.6</v>
      </c>
      <c r="Z22" s="26">
        <f>现金流量表!Z51</f>
        <v>0</v>
      </c>
      <c r="AA22" s="26">
        <f>现金流量表!AA51</f>
        <v>16335.3</v>
      </c>
      <c r="AB22" s="26">
        <f>现金流量表!AB51</f>
        <v>0</v>
      </c>
      <c r="AC22" s="26">
        <f>现金流量表!AC51</f>
        <v>372374.89</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35216.03</v>
      </c>
      <c r="BJ22" s="26">
        <f>现金流量表!BJ51</f>
        <v>649925.61</v>
      </c>
      <c r="BK22" s="26">
        <f>现金流量表!BK51</f>
        <v>435520.02</v>
      </c>
      <c r="BL22" s="26">
        <f>现金流量表!BL51</f>
        <v>261786.21</v>
      </c>
      <c r="BM22" s="26">
        <f>现金流量表!BM51</f>
        <v>1583181.82</v>
      </c>
      <c r="BN22" s="26">
        <f>现金流量表!BN51</f>
        <v>536880.96</v>
      </c>
      <c r="BO22" s="26">
        <f>现金流量表!BO51</f>
        <v>797104.82</v>
      </c>
      <c r="BP22" s="26">
        <f>现金流量表!BP51</f>
        <v>1116785.6100000001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59542.3</v>
      </c>
      <c r="F23" s="26">
        <f>现金流量表!F54</f>
        <v>0</v>
      </c>
      <c r="G23" s="26">
        <f>现金流量表!G54</f>
        <v>25678.84</v>
      </c>
      <c r="H23" s="26">
        <f>现金流量表!H54</f>
        <v>0</v>
      </c>
      <c r="I23" s="26">
        <f>现金流量表!I54</f>
        <v>742316.92</v>
      </c>
      <c r="J23" s="26">
        <f>现金流量表!J54</f>
        <v>0</v>
      </c>
      <c r="K23" s="26">
        <f>现金流量表!K54</f>
        <v>-186339.78</v>
      </c>
      <c r="L23" s="26">
        <f>现金流量表!L54</f>
        <v>0</v>
      </c>
      <c r="M23" s="26">
        <f>现金流量表!M54</f>
        <v>-661256.77</v>
      </c>
      <c r="N23" s="26">
        <f>现金流量表!N54</f>
        <v>0</v>
      </c>
      <c r="O23" s="26">
        <f>现金流量表!O54</f>
        <v>14891.12</v>
      </c>
      <c r="P23" s="26">
        <f>现金流量表!P54</f>
        <v>0</v>
      </c>
      <c r="Q23" s="26">
        <f>现金流量表!Q54</f>
        <v>-19634.54</v>
      </c>
      <c r="R23" s="26">
        <f>现金流量表!R54</f>
        <v>0</v>
      </c>
      <c r="S23" s="26">
        <f>现金流量表!S54</f>
        <v>-10892.68</v>
      </c>
      <c r="T23" s="26">
        <f>现金流量表!T54</f>
        <v>0</v>
      </c>
      <c r="U23" s="26">
        <f>现金流量表!U54</f>
        <v>-655683.78</v>
      </c>
      <c r="V23" s="26">
        <f>现金流量表!V54</f>
        <v>0</v>
      </c>
      <c r="W23" s="26">
        <f>现金流量表!W54</f>
        <v>8360.4599999999991</v>
      </c>
      <c r="X23" s="26">
        <f>现金流量表!X54</f>
        <v>0</v>
      </c>
      <c r="Y23" s="26">
        <f>现金流量表!Y54</f>
        <v>420284.24</v>
      </c>
      <c r="Z23" s="26">
        <f>现金流量表!Z54</f>
        <v>0</v>
      </c>
      <c r="AA23" s="26">
        <f>现金流量表!AA54</f>
        <v>39873.339999999997</v>
      </c>
      <c r="AB23" s="26">
        <f>现金流量表!AB54</f>
        <v>0</v>
      </c>
      <c r="AC23" s="26">
        <f>现金流量表!AC54</f>
        <v>186904.92</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-53845.41</v>
      </c>
      <c r="AL23" s="26">
        <f>现金流量表!AL54</f>
        <v>0</v>
      </c>
      <c r="AM23" s="26">
        <f>现金流量表!AM54</f>
        <v>-53845.41</v>
      </c>
      <c r="AN23" s="26">
        <f>现金流量表!AN54</f>
        <v>0</v>
      </c>
      <c r="AO23" s="26">
        <f>现金流量表!AO54</f>
        <v>62291.97</v>
      </c>
      <c r="AP23" s="26">
        <f>现金流量表!AP54</f>
        <v>0</v>
      </c>
      <c r="AQ23" s="26">
        <f>现金流量表!AQ54</f>
        <v>117250.88</v>
      </c>
      <c r="AR23" s="26">
        <f>现金流量表!AR54</f>
        <v>0</v>
      </c>
      <c r="AS23" s="26">
        <f>现金流量表!AS54</f>
        <v>6979.11</v>
      </c>
      <c r="AT23" s="26">
        <f>现金流量表!AT54</f>
        <v>0</v>
      </c>
      <c r="AU23" s="26">
        <f>现金流量表!AU54</f>
        <v>0</v>
      </c>
      <c r="AV23" s="26">
        <f>现金流量表!AV54</f>
        <v>0</v>
      </c>
      <c r="AW23" s="26">
        <f>现金流量表!AW54</f>
        <v>-102534.36</v>
      </c>
      <c r="AX23" s="26">
        <f>现金流量表!AX54</f>
        <v>0</v>
      </c>
      <c r="AY23" s="26">
        <f>现金流量表!AY54</f>
        <v>0</v>
      </c>
      <c r="AZ23" s="26">
        <f>现金流量表!AZ54</f>
        <v>0</v>
      </c>
      <c r="BA23" s="26">
        <f>现金流量表!BA54</f>
        <v>-1600</v>
      </c>
      <c r="BB23" s="26">
        <f>现金流量表!BB54</f>
        <v>0</v>
      </c>
      <c r="BC23" s="26">
        <f>现金流量表!BC54</f>
        <v>0</v>
      </c>
      <c r="BD23" s="26">
        <f>现金流量表!BD54</f>
        <v>0</v>
      </c>
      <c r="BE23" s="26">
        <f>现金流量表!BE54</f>
        <v>-2634.58</v>
      </c>
      <c r="BF23" s="26">
        <f>现金流量表!BF54</f>
        <v>-1284.8900000000001</v>
      </c>
      <c r="BG23" s="26">
        <f>现金流量表!BG54</f>
        <v>-1284.8900000000001</v>
      </c>
      <c r="BH23" s="26">
        <f>现金流量表!BH54</f>
        <v>0</v>
      </c>
      <c r="BI23" s="26">
        <f>现金流量表!BI54</f>
        <v>20331.14</v>
      </c>
      <c r="BJ23" s="26">
        <f>现金流量表!BJ54</f>
        <v>51091.15</v>
      </c>
      <c r="BK23" s="26">
        <f>现金流量表!BK54</f>
        <v>51091.15</v>
      </c>
      <c r="BL23" s="26">
        <f>现金流量表!BL54</f>
        <v>51091.15</v>
      </c>
      <c r="BM23" s="26">
        <f>现金流量表!BM54</f>
        <v>3931.2</v>
      </c>
      <c r="BN23" s="26">
        <f>现金流量表!BN54</f>
        <v>6870.72</v>
      </c>
      <c r="BO23" s="26">
        <f>现金流量表!BO54</f>
        <v>-634718.19999999995</v>
      </c>
      <c r="BP23" s="26">
        <f>现金流量表!BP54</f>
        <v>14769.9</v>
      </c>
      <c r="BQ23" s="26">
        <f>现金流量表!BQ54</f>
        <v>37595.620000000003</v>
      </c>
      <c r="BR23" s="26">
        <f>现金流量表!BR54</f>
        <v>1353090.33</v>
      </c>
      <c r="BS23" s="26">
        <f>现金流量表!BS54</f>
        <v>50791.58</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390397.34</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107412.34</v>
      </c>
      <c r="BP24" s="26">
        <f>现金流量表!BP55</f>
        <v>0</v>
      </c>
      <c r="BQ24" s="26">
        <f>现金流量表!BQ55</f>
        <v>0</v>
      </c>
      <c r="BR24" s="26">
        <f>现金流量表!BR55</f>
        <v>20584.86</v>
      </c>
      <c r="BS24" s="26">
        <f>现金流量表!BS55</f>
        <v>0</v>
      </c>
      <c r="BT24" s="26">
        <f>现金流量表!BT55</f>
        <v>47110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144279686.62</v>
      </c>
      <c r="F25" s="28">
        <f t="shared" ref="F25:BQ25" si="12">SUM(F19:F24)</f>
        <v>0</v>
      </c>
      <c r="G25" s="28">
        <f t="shared" si="12"/>
        <v>46512736.950000003</v>
      </c>
      <c r="H25" s="28">
        <f t="shared" si="12"/>
        <v>0</v>
      </c>
      <c r="I25" s="28">
        <f t="shared" si="12"/>
        <v>66821018.659999996</v>
      </c>
      <c r="J25" s="28">
        <f t="shared" si="12"/>
        <v>0</v>
      </c>
      <c r="K25" s="28">
        <f t="shared" si="12"/>
        <v>19172993.279999997</v>
      </c>
      <c r="L25" s="28">
        <f t="shared" si="12"/>
        <v>0</v>
      </c>
      <c r="M25" s="28">
        <f t="shared" si="12"/>
        <v>27007251.510000002</v>
      </c>
      <c r="N25" s="28">
        <f t="shared" si="12"/>
        <v>0</v>
      </c>
      <c r="O25" s="28">
        <f t="shared" si="12"/>
        <v>14768661.379999999</v>
      </c>
      <c r="P25" s="28">
        <f t="shared" si="12"/>
        <v>0</v>
      </c>
      <c r="Q25" s="28">
        <f t="shared" si="12"/>
        <v>27605259.329999998</v>
      </c>
      <c r="R25" s="28">
        <f t="shared" si="12"/>
        <v>0</v>
      </c>
      <c r="S25" s="28">
        <f t="shared" si="12"/>
        <v>12711235.66</v>
      </c>
      <c r="T25" s="28">
        <f t="shared" si="12"/>
        <v>0</v>
      </c>
      <c r="U25" s="28">
        <f t="shared" si="12"/>
        <v>17624748.109999999</v>
      </c>
      <c r="V25" s="28">
        <f t="shared" si="12"/>
        <v>0</v>
      </c>
      <c r="W25" s="28">
        <f t="shared" si="12"/>
        <v>8914953.0000000019</v>
      </c>
      <c r="X25" s="28">
        <f t="shared" si="12"/>
        <v>0</v>
      </c>
      <c r="Y25" s="28">
        <f t="shared" si="12"/>
        <v>15664429.67</v>
      </c>
      <c r="Z25" s="28">
        <f t="shared" si="12"/>
        <v>0</v>
      </c>
      <c r="AA25" s="28">
        <f t="shared" si="12"/>
        <v>7239723.8099999996</v>
      </c>
      <c r="AB25" s="28">
        <f t="shared" si="12"/>
        <v>0</v>
      </c>
      <c r="AC25" s="28">
        <f t="shared" si="12"/>
        <v>11630521.860000001</v>
      </c>
      <c r="AD25" s="28">
        <f t="shared" si="12"/>
        <v>0</v>
      </c>
      <c r="AE25" s="28">
        <f t="shared" si="12"/>
        <v>2185486.29</v>
      </c>
      <c r="AF25" s="28">
        <f t="shared" si="12"/>
        <v>0</v>
      </c>
      <c r="AG25" s="28">
        <f t="shared" si="12"/>
        <v>-5395510.6800000006</v>
      </c>
      <c r="AH25" s="28">
        <f t="shared" si="12"/>
        <v>0</v>
      </c>
      <c r="AI25" s="28">
        <f t="shared" si="12"/>
        <v>530053.85</v>
      </c>
      <c r="AJ25" s="28">
        <f t="shared" si="12"/>
        <v>0</v>
      </c>
      <c r="AK25" s="28">
        <f t="shared" si="12"/>
        <v>4009744.26</v>
      </c>
      <c r="AL25" s="28">
        <f t="shared" si="12"/>
        <v>0</v>
      </c>
      <c r="AM25" s="28">
        <f t="shared" si="12"/>
        <v>-223720.95000000004</v>
      </c>
      <c r="AN25" s="28">
        <f t="shared" si="12"/>
        <v>0</v>
      </c>
      <c r="AO25" s="28">
        <f t="shared" si="12"/>
        <v>13867110.9</v>
      </c>
      <c r="AP25" s="28">
        <f t="shared" si="12"/>
        <v>0</v>
      </c>
      <c r="AQ25" s="28">
        <f t="shared" si="12"/>
        <v>9851183.9299999997</v>
      </c>
      <c r="AR25" s="28">
        <f t="shared" si="12"/>
        <v>0</v>
      </c>
      <c r="AS25" s="28">
        <f t="shared" si="12"/>
        <v>-12524778.020000001</v>
      </c>
      <c r="AT25" s="28">
        <f t="shared" si="12"/>
        <v>0</v>
      </c>
      <c r="AU25" s="28">
        <f t="shared" si="12"/>
        <v>0</v>
      </c>
      <c r="AV25" s="28">
        <f t="shared" si="12"/>
        <v>0</v>
      </c>
      <c r="AW25" s="28">
        <f t="shared" si="12"/>
        <v>359897041.98000002</v>
      </c>
      <c r="AX25" s="28">
        <f t="shared" si="12"/>
        <v>0</v>
      </c>
      <c r="AY25" s="28">
        <f t="shared" si="12"/>
        <v>0</v>
      </c>
      <c r="AZ25" s="28">
        <f t="shared" si="12"/>
        <v>0</v>
      </c>
      <c r="BA25" s="28">
        <f t="shared" si="12"/>
        <v>352827738.72999996</v>
      </c>
      <c r="BB25" s="28">
        <f t="shared" si="12"/>
        <v>23531382.48</v>
      </c>
      <c r="BC25" s="28">
        <f t="shared" si="12"/>
        <v>22260793.080000002</v>
      </c>
      <c r="BD25" s="28">
        <f t="shared" si="12"/>
        <v>1271730.0899999999</v>
      </c>
      <c r="BE25" s="28">
        <f t="shared" si="12"/>
        <v>161759562.97</v>
      </c>
      <c r="BF25" s="28">
        <f t="shared" si="12"/>
        <v>5422070.4900000002</v>
      </c>
      <c r="BG25" s="28">
        <f t="shared" si="12"/>
        <v>4628585.24</v>
      </c>
      <c r="BH25" s="28">
        <f t="shared" si="12"/>
        <v>1984458.94</v>
      </c>
      <c r="BI25" s="28">
        <f t="shared" si="12"/>
        <v>11611955.02</v>
      </c>
      <c r="BJ25" s="28">
        <f t="shared" si="12"/>
        <v>3109189.4799999995</v>
      </c>
      <c r="BK25" s="28">
        <f t="shared" si="12"/>
        <v>352011.94999999984</v>
      </c>
      <c r="BL25" s="28">
        <f t="shared" si="12"/>
        <v>999631.42</v>
      </c>
      <c r="BM25" s="28">
        <f t="shared" si="12"/>
        <v>12945369.6</v>
      </c>
      <c r="BN25" s="28">
        <f t="shared" si="12"/>
        <v>3730648.2800000003</v>
      </c>
      <c r="BO25" s="28">
        <f t="shared" si="12"/>
        <v>3843119.6799999997</v>
      </c>
      <c r="BP25" s="28">
        <f t="shared" si="12"/>
        <v>-1928154.5399999998</v>
      </c>
      <c r="BQ25" s="28">
        <f t="shared" si="12"/>
        <v>10247946.18</v>
      </c>
      <c r="BR25" s="28">
        <f t="shared" ref="BR25:CK25" si="13">SUM(BR19:BR24)</f>
        <v>4871122.6000000006</v>
      </c>
      <c r="BS25" s="28">
        <f t="shared" si="13"/>
        <v>7932449.6699999999</v>
      </c>
      <c r="BT25" s="28">
        <f t="shared" si="13"/>
        <v>3709759.05</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-2689953108.73</v>
      </c>
      <c r="F26" s="28">
        <f t="shared" ref="F26:BQ26" si="14">F14-F25</f>
        <v>-2750566131.23</v>
      </c>
      <c r="G26" s="28">
        <f t="shared" si="14"/>
        <v>-1491888853.1400001</v>
      </c>
      <c r="H26" s="28">
        <f t="shared" si="14"/>
        <v>-1565308419.46</v>
      </c>
      <c r="I26" s="28">
        <f t="shared" si="14"/>
        <v>624283473.12</v>
      </c>
      <c r="J26" s="28">
        <f t="shared" si="14"/>
        <v>137878888.19999999</v>
      </c>
      <c r="K26" s="28">
        <f t="shared" si="14"/>
        <v>-404693329.29999995</v>
      </c>
      <c r="L26" s="28">
        <f t="shared" si="14"/>
        <v>89349997.129999995</v>
      </c>
      <c r="M26" s="28">
        <f t="shared" si="14"/>
        <v>-795914798.03999996</v>
      </c>
      <c r="N26" s="28">
        <f t="shared" si="14"/>
        <v>-1562092516.05</v>
      </c>
      <c r="O26" s="28">
        <f t="shared" si="14"/>
        <v>-2101343288.97</v>
      </c>
      <c r="P26" s="28">
        <f t="shared" si="14"/>
        <v>-1396335655.1099999</v>
      </c>
      <c r="Q26" s="28">
        <f t="shared" si="14"/>
        <v>-1453071082.1299999</v>
      </c>
      <c r="R26" s="28">
        <f t="shared" si="14"/>
        <v>-466478960.85000002</v>
      </c>
      <c r="S26" s="28">
        <f t="shared" si="14"/>
        <v>-630482270.28999996</v>
      </c>
      <c r="T26" s="28">
        <f t="shared" si="14"/>
        <v>-549212482.45000005</v>
      </c>
      <c r="U26" s="28">
        <f t="shared" si="14"/>
        <v>-222149088.63</v>
      </c>
      <c r="V26" s="28">
        <f t="shared" si="14"/>
        <v>-438497845.25</v>
      </c>
      <c r="W26" s="28">
        <f t="shared" si="14"/>
        <v>-497871237.01999998</v>
      </c>
      <c r="X26" s="28">
        <f t="shared" si="14"/>
        <v>-253170549.13</v>
      </c>
      <c r="Y26" s="28">
        <f t="shared" si="14"/>
        <v>577227415.13</v>
      </c>
      <c r="Z26" s="28">
        <f t="shared" si="14"/>
        <v>-186895588.00999999</v>
      </c>
      <c r="AA26" s="28">
        <f t="shared" si="14"/>
        <v>-136059626.12</v>
      </c>
      <c r="AB26" s="28">
        <f t="shared" si="14"/>
        <v>-209240468.47999999</v>
      </c>
      <c r="AC26" s="28">
        <f t="shared" si="14"/>
        <v>-252193513.06</v>
      </c>
      <c r="AD26" s="28">
        <f t="shared" si="14"/>
        <v>-1172244.23</v>
      </c>
      <c r="AE26" s="28">
        <f t="shared" si="14"/>
        <v>-3468654.0300000003</v>
      </c>
      <c r="AF26" s="28">
        <f t="shared" si="14"/>
        <v>-1208218.99</v>
      </c>
      <c r="AG26" s="28">
        <f t="shared" si="14"/>
        <v>26469195.82</v>
      </c>
      <c r="AH26" s="28">
        <f t="shared" si="14"/>
        <v>-313210.71000000002</v>
      </c>
      <c r="AI26" s="28">
        <f t="shared" si="14"/>
        <v>-688690.17999999993</v>
      </c>
      <c r="AJ26" s="28">
        <f t="shared" si="14"/>
        <v>-272384.93</v>
      </c>
      <c r="AK26" s="28">
        <f t="shared" si="14"/>
        <v>-4301918.46</v>
      </c>
      <c r="AL26" s="28">
        <f t="shared" si="14"/>
        <v>-710375.51</v>
      </c>
      <c r="AM26" s="28">
        <f t="shared" si="14"/>
        <v>-387864.48999999987</v>
      </c>
      <c r="AN26" s="28">
        <f t="shared" si="14"/>
        <v>-6636.6</v>
      </c>
      <c r="AO26" s="28">
        <f t="shared" si="14"/>
        <v>-18076888.949999999</v>
      </c>
      <c r="AP26" s="28">
        <f t="shared" si="14"/>
        <v>-7172700.2400000002</v>
      </c>
      <c r="AQ26" s="28">
        <f t="shared" si="14"/>
        <v>-18263188.73</v>
      </c>
      <c r="AR26" s="28">
        <f t="shared" si="14"/>
        <v>-12304361.58</v>
      </c>
      <c r="AS26" s="28">
        <f t="shared" si="14"/>
        <v>25849022.880000003</v>
      </c>
      <c r="AT26" s="28">
        <f t="shared" si="14"/>
        <v>1507130.52</v>
      </c>
      <c r="AU26" s="28">
        <f t="shared" si="14"/>
        <v>1991862.12</v>
      </c>
      <c r="AV26" s="28">
        <f t="shared" si="14"/>
        <v>7239244.5800000001</v>
      </c>
      <c r="AW26" s="28">
        <f t="shared" si="14"/>
        <v>-352934455.56999999</v>
      </c>
      <c r="AX26" s="28">
        <f t="shared" si="14"/>
        <v>-6609543.79</v>
      </c>
      <c r="AY26" s="28">
        <f t="shared" si="14"/>
        <v>-3889806.9</v>
      </c>
      <c r="AZ26" s="28">
        <f t="shared" si="14"/>
        <v>-11072594.890000001</v>
      </c>
      <c r="BA26" s="28">
        <f t="shared" si="14"/>
        <v>-384051066.69999993</v>
      </c>
      <c r="BB26" s="28">
        <f t="shared" si="14"/>
        <v>-63309237.450000003</v>
      </c>
      <c r="BC26" s="28">
        <f t="shared" si="14"/>
        <v>-67631341.960000008</v>
      </c>
      <c r="BD26" s="28">
        <f t="shared" si="14"/>
        <v>-46256452</v>
      </c>
      <c r="BE26" s="28">
        <f t="shared" si="14"/>
        <v>-480199233.96000004</v>
      </c>
      <c r="BF26" s="28">
        <f t="shared" si="14"/>
        <v>-283097407.97000003</v>
      </c>
      <c r="BG26" s="28">
        <f t="shared" si="14"/>
        <v>-247990482.72</v>
      </c>
      <c r="BH26" s="28">
        <f t="shared" si="14"/>
        <v>-158093526.31999999</v>
      </c>
      <c r="BI26" s="28">
        <f t="shared" si="14"/>
        <v>57790984.760000005</v>
      </c>
      <c r="BJ26" s="28">
        <f t="shared" si="14"/>
        <v>-130176330.01000001</v>
      </c>
      <c r="BK26" s="28">
        <f t="shared" si="14"/>
        <v>-29019895.279999997</v>
      </c>
      <c r="BL26" s="28">
        <f t="shared" si="14"/>
        <v>-89581235.769999996</v>
      </c>
      <c r="BM26" s="28">
        <f t="shared" si="14"/>
        <v>33586915.409999996</v>
      </c>
      <c r="BN26" s="28">
        <f t="shared" si="14"/>
        <v>-80923627.370000005</v>
      </c>
      <c r="BO26" s="28">
        <f t="shared" si="14"/>
        <v>-103584480.09</v>
      </c>
      <c r="BP26" s="28">
        <f t="shared" si="14"/>
        <v>8699604.8499999996</v>
      </c>
      <c r="BQ26" s="28">
        <f t="shared" si="14"/>
        <v>-17337027.48</v>
      </c>
      <c r="BR26" s="28">
        <f t="shared" ref="BR26:CK26" si="15">BR14-BR25</f>
        <v>-415752.08000000101</v>
      </c>
      <c r="BS26" s="28">
        <f t="shared" si="15"/>
        <v>-16308044.439999999</v>
      </c>
      <c r="BT26" s="28">
        <f t="shared" si="15"/>
        <v>-1127431.1599999997</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-2689953108.73</v>
      </c>
      <c r="F27" s="26">
        <f t="shared" ref="F27:BQ27" si="16">F26-F24</f>
        <v>-2750566131.23</v>
      </c>
      <c r="G27" s="26">
        <f t="shared" si="16"/>
        <v>-1491888853.1400001</v>
      </c>
      <c r="H27" s="26">
        <f t="shared" si="16"/>
        <v>-1565308419.46</v>
      </c>
      <c r="I27" s="26">
        <f t="shared" si="16"/>
        <v>624283473.12</v>
      </c>
      <c r="J27" s="26">
        <f t="shared" si="16"/>
        <v>137878888.19999999</v>
      </c>
      <c r="K27" s="26">
        <f t="shared" si="16"/>
        <v>-404693329.29999995</v>
      </c>
      <c r="L27" s="26">
        <f t="shared" si="16"/>
        <v>89349997.129999995</v>
      </c>
      <c r="M27" s="26">
        <f t="shared" si="16"/>
        <v>-795914798.03999996</v>
      </c>
      <c r="N27" s="26">
        <f t="shared" si="16"/>
        <v>-1562092516.05</v>
      </c>
      <c r="O27" s="26">
        <f t="shared" si="16"/>
        <v>-2101343288.97</v>
      </c>
      <c r="P27" s="26">
        <f t="shared" si="16"/>
        <v>-1396335655.1099999</v>
      </c>
      <c r="Q27" s="26">
        <f t="shared" si="16"/>
        <v>-1453071082.1299999</v>
      </c>
      <c r="R27" s="26">
        <f t="shared" si="16"/>
        <v>-466478960.85000002</v>
      </c>
      <c r="S27" s="26">
        <f t="shared" si="16"/>
        <v>-630482270.28999996</v>
      </c>
      <c r="T27" s="26">
        <f t="shared" si="16"/>
        <v>-549212482.45000005</v>
      </c>
      <c r="U27" s="26">
        <f t="shared" si="16"/>
        <v>-222149088.63</v>
      </c>
      <c r="V27" s="26">
        <f t="shared" si="16"/>
        <v>-438497845.25</v>
      </c>
      <c r="W27" s="26">
        <f t="shared" si="16"/>
        <v>-497871237.01999998</v>
      </c>
      <c r="X27" s="26">
        <f t="shared" si="16"/>
        <v>-253170549.13</v>
      </c>
      <c r="Y27" s="26">
        <f t="shared" si="16"/>
        <v>577227415.13</v>
      </c>
      <c r="Z27" s="26">
        <f t="shared" si="16"/>
        <v>-186895588.00999999</v>
      </c>
      <c r="AA27" s="26">
        <f t="shared" si="16"/>
        <v>-136059626.12</v>
      </c>
      <c r="AB27" s="26">
        <f t="shared" si="16"/>
        <v>-209240468.47999999</v>
      </c>
      <c r="AC27" s="26">
        <f t="shared" si="16"/>
        <v>-252193513.06</v>
      </c>
      <c r="AD27" s="26">
        <f t="shared" si="16"/>
        <v>-1172244.23</v>
      </c>
      <c r="AE27" s="26">
        <f t="shared" si="16"/>
        <v>-3468654.0300000003</v>
      </c>
      <c r="AF27" s="26">
        <f t="shared" si="16"/>
        <v>-1208218.99</v>
      </c>
      <c r="AG27" s="26">
        <f t="shared" si="16"/>
        <v>26469195.82</v>
      </c>
      <c r="AH27" s="26">
        <f t="shared" si="16"/>
        <v>-313210.71000000002</v>
      </c>
      <c r="AI27" s="26">
        <f t="shared" si="16"/>
        <v>-688690.17999999993</v>
      </c>
      <c r="AJ27" s="26">
        <f t="shared" si="16"/>
        <v>-272384.93</v>
      </c>
      <c r="AK27" s="26">
        <f t="shared" si="16"/>
        <v>-4301918.46</v>
      </c>
      <c r="AL27" s="26">
        <f t="shared" si="16"/>
        <v>-710375.51</v>
      </c>
      <c r="AM27" s="26">
        <f t="shared" si="16"/>
        <v>-387864.48999999987</v>
      </c>
      <c r="AN27" s="26">
        <f t="shared" si="16"/>
        <v>-6636.6</v>
      </c>
      <c r="AO27" s="26">
        <f t="shared" si="16"/>
        <v>-18076888.949999999</v>
      </c>
      <c r="AP27" s="26">
        <f t="shared" si="16"/>
        <v>-7172700.2400000002</v>
      </c>
      <c r="AQ27" s="26">
        <f t="shared" si="16"/>
        <v>-18263188.73</v>
      </c>
      <c r="AR27" s="26">
        <f t="shared" si="16"/>
        <v>-12304361.58</v>
      </c>
      <c r="AS27" s="26">
        <f t="shared" si="16"/>
        <v>25849022.880000003</v>
      </c>
      <c r="AT27" s="26">
        <f t="shared" si="16"/>
        <v>1507130.52</v>
      </c>
      <c r="AU27" s="26">
        <f t="shared" si="16"/>
        <v>1991862.12</v>
      </c>
      <c r="AV27" s="26">
        <f t="shared" si="16"/>
        <v>7239244.5800000001</v>
      </c>
      <c r="AW27" s="26">
        <f t="shared" si="16"/>
        <v>-352934455.56999999</v>
      </c>
      <c r="AX27" s="26">
        <f t="shared" si="16"/>
        <v>-6609543.79</v>
      </c>
      <c r="AY27" s="26">
        <f t="shared" si="16"/>
        <v>-3889806.9</v>
      </c>
      <c r="AZ27" s="26">
        <f t="shared" si="16"/>
        <v>-11072594.890000001</v>
      </c>
      <c r="BA27" s="26">
        <f t="shared" si="16"/>
        <v>-384441464.0399999</v>
      </c>
      <c r="BB27" s="26">
        <f t="shared" si="16"/>
        <v>-63309237.450000003</v>
      </c>
      <c r="BC27" s="26">
        <f t="shared" si="16"/>
        <v>-67631341.960000008</v>
      </c>
      <c r="BD27" s="26">
        <f t="shared" si="16"/>
        <v>-46256452</v>
      </c>
      <c r="BE27" s="26">
        <f t="shared" si="16"/>
        <v>-480199233.96000004</v>
      </c>
      <c r="BF27" s="26">
        <f t="shared" si="16"/>
        <v>-283097407.97000003</v>
      </c>
      <c r="BG27" s="26">
        <f t="shared" si="16"/>
        <v>-247990482.72</v>
      </c>
      <c r="BH27" s="26">
        <f t="shared" si="16"/>
        <v>-158093526.31999999</v>
      </c>
      <c r="BI27" s="26">
        <f t="shared" si="16"/>
        <v>57790984.760000005</v>
      </c>
      <c r="BJ27" s="26">
        <f t="shared" si="16"/>
        <v>-130176330.01000001</v>
      </c>
      <c r="BK27" s="26">
        <f t="shared" si="16"/>
        <v>-29019895.279999997</v>
      </c>
      <c r="BL27" s="26">
        <f t="shared" si="16"/>
        <v>-89581235.769999996</v>
      </c>
      <c r="BM27" s="26">
        <f t="shared" si="16"/>
        <v>33586915.409999996</v>
      </c>
      <c r="BN27" s="26">
        <f t="shared" si="16"/>
        <v>-80923627.370000005</v>
      </c>
      <c r="BO27" s="26">
        <f t="shared" si="16"/>
        <v>-103691892.43000001</v>
      </c>
      <c r="BP27" s="26">
        <f t="shared" si="16"/>
        <v>8699604.8499999996</v>
      </c>
      <c r="BQ27" s="26">
        <f t="shared" si="16"/>
        <v>-17337027.48</v>
      </c>
      <c r="BR27" s="26">
        <f t="shared" ref="BR27:CL27" si="17">BR26-BR24</f>
        <v>-436336.94000000099</v>
      </c>
      <c r="BS27" s="26">
        <f t="shared" si="17"/>
        <v>-16308044.439999999</v>
      </c>
      <c r="BT27" s="26">
        <f t="shared" si="17"/>
        <v>-1174541.1599999997</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-5.3088648419384574</v>
      </c>
      <c r="F28" s="63">
        <f t="shared" ref="F28:BQ28" si="18">(F27-J27)/J27</f>
        <v>-20.949146436691386</v>
      </c>
      <c r="G28" s="63">
        <f t="shared" si="18"/>
        <v>2.686467616653152</v>
      </c>
      <c r="H28" s="63">
        <f t="shared" si="18"/>
        <v>-18.518841295344988</v>
      </c>
      <c r="I28" s="63">
        <f t="shared" si="18"/>
        <v>-1.784359676007212</v>
      </c>
      <c r="J28" s="63">
        <f t="shared" si="18"/>
        <v>-1.0882655071856107</v>
      </c>
      <c r="K28" s="63">
        <f t="shared" si="18"/>
        <v>-0.80741208186960944</v>
      </c>
      <c r="L28" s="63">
        <f t="shared" si="18"/>
        <v>-1.0639889104048992</v>
      </c>
      <c r="M28" s="63">
        <f t="shared" si="18"/>
        <v>-0.45225336335693939</v>
      </c>
      <c r="N28" s="63">
        <f t="shared" si="18"/>
        <v>2.3486880377276069</v>
      </c>
      <c r="O28" s="63">
        <f t="shared" si="18"/>
        <v>2.3329141642689732</v>
      </c>
      <c r="P28" s="63">
        <f t="shared" si="18"/>
        <v>1.5424324823810271</v>
      </c>
      <c r="Q28" s="63">
        <f t="shared" si="18"/>
        <v>5.5409725112586887</v>
      </c>
      <c r="R28" s="63">
        <f t="shared" si="18"/>
        <v>6.3811295547067506E-2</v>
      </c>
      <c r="S28" s="63">
        <f t="shared" si="18"/>
        <v>0.26635608448429582</v>
      </c>
      <c r="T28" s="63">
        <f t="shared" si="18"/>
        <v>1.1693379594795843</v>
      </c>
      <c r="U28" s="63">
        <f t="shared" si="18"/>
        <v>-1.3848554015404289</v>
      </c>
      <c r="V28" s="63">
        <f t="shared" si="18"/>
        <v>1.3462182811214241</v>
      </c>
      <c r="W28" s="63">
        <f t="shared" si="18"/>
        <v>2.6592136199234764</v>
      </c>
      <c r="X28" s="63">
        <f t="shared" si="18"/>
        <v>0.20995021168287537</v>
      </c>
      <c r="Y28" s="63">
        <f t="shared" si="18"/>
        <v>-3.288827369610694</v>
      </c>
      <c r="Z28" s="63">
        <f t="shared" si="18"/>
        <v>158.43400123197878</v>
      </c>
      <c r="AA28" s="63">
        <f t="shared" si="18"/>
        <v>38.22548197174914</v>
      </c>
      <c r="AB28" s="63">
        <f t="shared" si="18"/>
        <v>172.18091356931907</v>
      </c>
      <c r="AC28" s="63">
        <f t="shared" si="18"/>
        <v>-10.527811678715368</v>
      </c>
      <c r="AD28" s="63">
        <f t="shared" si="18"/>
        <v>2.7426696871253218</v>
      </c>
      <c r="AE28" s="63">
        <f t="shared" si="18"/>
        <v>4.0365957446932104</v>
      </c>
      <c r="AF28" s="63">
        <f t="shared" si="18"/>
        <v>3.4357042439902976</v>
      </c>
      <c r="AG28" s="63">
        <f t="shared" si="18"/>
        <v>-7.1528818052027887</v>
      </c>
      <c r="AH28" s="63">
        <f t="shared" si="18"/>
        <v>-0.55909134592773335</v>
      </c>
      <c r="AI28" s="63">
        <f t="shared" si="18"/>
        <v>0.77559482178943517</v>
      </c>
      <c r="AJ28" s="63">
        <f t="shared" si="18"/>
        <v>40.042842720670222</v>
      </c>
      <c r="AK28" s="63">
        <f t="shared" si="18"/>
        <v>-0.76202108272618441</v>
      </c>
      <c r="AL28" s="63">
        <f t="shared" si="18"/>
        <v>-0.90096121596739143</v>
      </c>
      <c r="AM28" s="63">
        <f t="shared" si="18"/>
        <v>-0.97876249894067657</v>
      </c>
      <c r="AN28" s="63">
        <f t="shared" si="18"/>
        <v>-0.99946063028489129</v>
      </c>
      <c r="AO28" s="63">
        <f t="shared" si="18"/>
        <v>-1.6993258133554638</v>
      </c>
      <c r="AP28" s="63">
        <f t="shared" si="18"/>
        <v>-5.7591765575817542</v>
      </c>
      <c r="AQ28" s="63">
        <f t="shared" si="18"/>
        <v>-10.168902077418894</v>
      </c>
      <c r="AR28" s="63">
        <f t="shared" si="18"/>
        <v>-2.6996747994940655</v>
      </c>
      <c r="AS28" s="63">
        <f t="shared" si="18"/>
        <v>-1.0732402928420606</v>
      </c>
      <c r="AT28" s="63">
        <f t="shared" si="18"/>
        <v>-1.2280233807180814</v>
      </c>
      <c r="AU28" s="63">
        <f t="shared" si="18"/>
        <v>-1.5120722367992097</v>
      </c>
      <c r="AV28" s="63">
        <f t="shared" si="18"/>
        <v>-1.6537983780602306</v>
      </c>
      <c r="AW28" s="63">
        <f t="shared" si="18"/>
        <v>-8.1955281667332597E-2</v>
      </c>
      <c r="AX28" s="63">
        <f t="shared" si="18"/>
        <v>-0.89559906174481974</v>
      </c>
      <c r="AY28" s="63">
        <f t="shared" si="18"/>
        <v>-0.94248514391004412</v>
      </c>
      <c r="AZ28" s="63">
        <f t="shared" si="18"/>
        <v>-0.76062593624776931</v>
      </c>
      <c r="BA28" s="63">
        <f t="shared" si="18"/>
        <v>-0.1994125836693372</v>
      </c>
      <c r="BB28" s="63">
        <f t="shared" si="18"/>
        <v>-0.77636942032083567</v>
      </c>
      <c r="BC28" s="63">
        <f t="shared" si="18"/>
        <v>-0.72728251012616119</v>
      </c>
      <c r="BD28" s="63">
        <f t="shared" si="18"/>
        <v>-0.70741084042637226</v>
      </c>
      <c r="BE28" s="63">
        <f t="shared" si="18"/>
        <v>-9.3092412415918826</v>
      </c>
      <c r="BF28" s="63">
        <f t="shared" si="18"/>
        <v>1.1747226085437561</v>
      </c>
      <c r="BG28" s="63">
        <f t="shared" si="18"/>
        <v>7.5455333428067428</v>
      </c>
      <c r="BH28" s="63">
        <f t="shared" si="18"/>
        <v>0.76480626730697754</v>
      </c>
      <c r="BI28" s="63">
        <f t="shared" si="18"/>
        <v>0.72063984008467807</v>
      </c>
      <c r="BJ28" s="63">
        <f t="shared" si="18"/>
        <v>0.60863191926390281</v>
      </c>
      <c r="BK28" s="63">
        <f t="shared" si="18"/>
        <v>-0.72013342027111082</v>
      </c>
      <c r="BL28" s="63">
        <f t="shared" si="18"/>
        <v>-11.297161459005807</v>
      </c>
      <c r="BM28" s="63">
        <f t="shared" si="18"/>
        <v>-2.9372937747688219</v>
      </c>
      <c r="BN28" s="63">
        <f t="shared" si="18"/>
        <v>184.46132575894177</v>
      </c>
      <c r="BO28" s="63">
        <f t="shared" si="18"/>
        <v>5.3583278063473321</v>
      </c>
      <c r="BP28" s="63">
        <f t="shared" si="18"/>
        <v>-8.4068113968862548</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0.64672104089663152</v>
      </c>
      <c r="F31" s="112"/>
      <c r="G31" s="112"/>
      <c r="H31" s="112"/>
      <c r="I31" s="112" t="e">
        <f>POWER(E27/Y27,1/6)-1</f>
        <v>#NUM!</v>
      </c>
      <c r="M31" s="112">
        <f>POWER(E27/AC27,1/7)-1</f>
        <v>0.40235731892252269</v>
      </c>
      <c r="Q31" s="115" t="s">
        <v>604</v>
      </c>
      <c r="R31" s="115"/>
      <c r="S31" s="115"/>
      <c r="T31" s="115"/>
      <c r="U31" s="115">
        <f>POWER(E14/U14,1/5)-1</f>
        <v>0.65581395128622755</v>
      </c>
      <c r="V31" s="115"/>
      <c r="W31" s="115"/>
      <c r="X31" s="115"/>
      <c r="Y31" s="115" t="e">
        <f>POWER(E14/Y14,1/6)-1</f>
        <v>#NUM!</v>
      </c>
      <c r="Z31" s="115"/>
      <c r="AA31" s="115"/>
      <c r="AB31" s="115"/>
      <c r="AC31" s="115">
        <f>POWER(E14/AC14,1/7)-1</f>
        <v>0.40077278733703459</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6" style="26" bestFit="1" customWidth="1"/>
    <col min="3" max="3" width="38" bestFit="1" customWidth="1"/>
    <col min="4" max="4" width="23.88671875" bestFit="1" customWidth="1"/>
    <col min="5" max="11" width="20.44140625" bestFit="1" customWidth="1"/>
    <col min="12" max="12" width="40.21875" bestFit="1" customWidth="1"/>
    <col min="13" max="18" width="20.44140625" bestFit="1" customWidth="1"/>
    <col min="19" max="19" width="26" bestFit="1" customWidth="1"/>
    <col min="20" max="74" width="9.44140625" bestFit="1" customWidth="1"/>
  </cols>
  <sheetData>
    <row r="1" spans="1:10" ht="16.2" customHeight="1" x14ac:dyDescent="0.25">
      <c r="A1" s="68" t="s">
        <v>515</v>
      </c>
      <c r="B1" s="69">
        <f>自由现金流分析表!E1</f>
        <v>43100</v>
      </c>
      <c r="C1" s="191" t="s">
        <v>755</v>
      </c>
      <c r="D1" s="274">
        <v>0.08</v>
      </c>
      <c r="E1" s="262" t="s">
        <v>751</v>
      </c>
      <c r="F1" s="63">
        <f>平均资本成本表!E13</f>
        <v>4.9482889165072791E-2</v>
      </c>
    </row>
    <row r="2" spans="1:10" x14ac:dyDescent="0.25">
      <c r="A2" s="70" t="s">
        <v>516</v>
      </c>
      <c r="B2" s="71">
        <f>(自由现金流分析表!E27+自由现金流分析表!I27+自由现金流分析表!M27)/3</f>
        <v>-953861477.88333333</v>
      </c>
      <c r="C2" t="s">
        <v>549</v>
      </c>
      <c r="D2" s="63"/>
      <c r="E2" s="63"/>
      <c r="F2" s="56"/>
    </row>
    <row r="3" spans="1:10" s="63" customFormat="1" x14ac:dyDescent="0.25">
      <c r="A3" s="72" t="s">
        <v>517</v>
      </c>
      <c r="B3" s="98">
        <v>0.1</v>
      </c>
      <c r="D3" s="191" t="s">
        <v>752</v>
      </c>
      <c r="E3" s="190" t="s">
        <v>753</v>
      </c>
      <c r="F3" s="260"/>
    </row>
    <row r="4" spans="1:10" s="63" customFormat="1" x14ac:dyDescent="0.25">
      <c r="A4" s="72" t="s">
        <v>518</v>
      </c>
      <c r="B4" s="98">
        <f>F1</f>
        <v>4.9482889165072791E-2</v>
      </c>
      <c r="D4" s="190"/>
      <c r="E4" s="190" t="s">
        <v>754</v>
      </c>
      <c r="F4" s="261"/>
    </row>
    <row r="5" spans="1:10" x14ac:dyDescent="0.25">
      <c r="A5" s="70" t="s">
        <v>519</v>
      </c>
      <c r="B5" s="71">
        <f>B2*(1+B3)/(B4-B3)</f>
        <v>20770143191.685131</v>
      </c>
      <c r="D5" s="63"/>
      <c r="E5" s="63"/>
    </row>
    <row r="6" spans="1:10" x14ac:dyDescent="0.25">
      <c r="A6" s="70" t="s">
        <v>520</v>
      </c>
      <c r="B6" s="71">
        <f>资产资本表!E17</f>
        <v>926091901.50999999</v>
      </c>
      <c r="D6" s="190"/>
      <c r="E6" s="190"/>
      <c r="F6" s="190"/>
      <c r="G6" s="190"/>
    </row>
    <row r="7" spans="1:10" x14ac:dyDescent="0.25">
      <c r="A7" s="70" t="s">
        <v>521</v>
      </c>
      <c r="B7" s="71">
        <f>资产资本表!E19</f>
        <v>403915866.87</v>
      </c>
      <c r="D7" s="190"/>
      <c r="E7" s="190"/>
      <c r="F7" s="190"/>
      <c r="G7" s="190"/>
    </row>
    <row r="8" spans="1:10" x14ac:dyDescent="0.25">
      <c r="A8" s="70" t="s">
        <v>522</v>
      </c>
      <c r="B8" s="197">
        <f>资产资本表!E89</f>
        <v>5477444392.6900005</v>
      </c>
      <c r="C8" s="272" t="s">
        <v>749</v>
      </c>
      <c r="D8" s="273">
        <f>B2/B4</f>
        <v>-19276592251.945766</v>
      </c>
      <c r="E8" s="63"/>
      <c r="F8" s="190"/>
      <c r="G8" s="190"/>
    </row>
    <row r="9" spans="1:10" x14ac:dyDescent="0.25">
      <c r="A9" s="70" t="s">
        <v>523</v>
      </c>
      <c r="B9" s="197">
        <f>B5+B6+B7-B8</f>
        <v>16622706567.375128</v>
      </c>
      <c r="C9" s="272" t="s">
        <v>750</v>
      </c>
      <c r="D9" s="273">
        <f>(D8+资产资本结构分析表!$E$2+资产资本结构分析表!$E$3)/B55</f>
        <v>-12.988276310459215</v>
      </c>
      <c r="E9" s="190"/>
      <c r="F9" s="190"/>
      <c r="G9" s="190"/>
    </row>
    <row r="10" spans="1:10" x14ac:dyDescent="0.25">
      <c r="A10" s="70" t="s">
        <v>524</v>
      </c>
      <c r="B10" s="73">
        <f>资产资本表!E103/资产资本表!E107</f>
        <v>-5.6085958044208972E-3</v>
      </c>
      <c r="D10" s="190"/>
      <c r="E10" s="190"/>
      <c r="F10" s="190"/>
      <c r="G10" s="190"/>
    </row>
    <row r="11" spans="1:10" x14ac:dyDescent="0.25">
      <c r="A11" s="70" t="s">
        <v>550</v>
      </c>
      <c r="B11" s="197">
        <f>B9*(1-B10)</f>
        <v>16715936609.687029</v>
      </c>
      <c r="C11" s="269" t="s">
        <v>746</v>
      </c>
      <c r="D11" s="270">
        <f>资产资本结构分析表!E2</f>
        <v>926091901.50999999</v>
      </c>
      <c r="E11" s="63"/>
      <c r="F11" s="190"/>
      <c r="G11" s="190"/>
    </row>
    <row r="12" spans="1:10" x14ac:dyDescent="0.25">
      <c r="A12" s="70" t="s">
        <v>525</v>
      </c>
      <c r="B12" s="268">
        <f>B55</f>
        <v>1381752594</v>
      </c>
      <c r="C12" s="269" t="s">
        <v>747</v>
      </c>
      <c r="D12" s="271">
        <f>D11/B55</f>
        <v>0.67022989899304652</v>
      </c>
      <c r="E12" s="190"/>
      <c r="F12" s="190"/>
      <c r="G12" s="190"/>
    </row>
    <row r="13" spans="1:10" ht="15" thickBot="1" x14ac:dyDescent="0.3">
      <c r="A13" s="74" t="s">
        <v>526</v>
      </c>
      <c r="B13" s="75">
        <f>B11/B12</f>
        <v>12.097633601176383</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0.08</v>
      </c>
      <c r="E17" s="90"/>
      <c r="F17" s="90"/>
      <c r="G17" s="90"/>
      <c r="H17" s="90" t="s">
        <v>543</v>
      </c>
      <c r="I17" s="90">
        <v>0.01</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-953861477.88333333</v>
      </c>
      <c r="D19" s="89">
        <f>C19*(1+$D$17)</f>
        <v>-1030170396.1140001</v>
      </c>
      <c r="E19" s="89">
        <f>D19*(1+$D$17)</f>
        <v>-1112584027.8031201</v>
      </c>
      <c r="F19" s="89">
        <f>E19*(1+$D$17)</f>
        <v>-1201590750.0273697</v>
      </c>
      <c r="G19" s="89">
        <f>F19*(1+$D$17)</f>
        <v>-1297718010.0295594</v>
      </c>
      <c r="H19" s="89">
        <f>G19*(1+$D$17)</f>
        <v>-1401535450.8319242</v>
      </c>
      <c r="I19" s="89">
        <f>H19*(1+I17)</f>
        <v>-1415550805.3402433</v>
      </c>
      <c r="J19" s="76"/>
    </row>
    <row r="20" spans="1:10" s="26" customFormat="1" x14ac:dyDescent="0.25">
      <c r="A20" s="99" t="s">
        <v>529</v>
      </c>
      <c r="B20" s="95">
        <f>B4</f>
        <v>4.9482889165072791E-2</v>
      </c>
      <c r="C20" s="89"/>
      <c r="D20" s="89">
        <f t="shared" ref="D20:I20" si="0">(1+$B$20)^D18</f>
        <v>1.0494828891650727</v>
      </c>
      <c r="E20" s="89">
        <f t="shared" si="0"/>
        <v>1.1014143346502683</v>
      </c>
      <c r="F20" s="89">
        <f t="shared" si="0"/>
        <v>1.1559154980965898</v>
      </c>
      <c r="G20" s="89">
        <f t="shared" si="0"/>
        <v>1.2131135365730932</v>
      </c>
      <c r="H20" s="89">
        <f t="shared" si="0"/>
        <v>1.2731418992479888</v>
      </c>
      <c r="I20" s="89">
        <f t="shared" si="0"/>
        <v>1.3361406387398873</v>
      </c>
      <c r="J20" s="76"/>
    </row>
    <row r="21" spans="1:10" s="26" customFormat="1" x14ac:dyDescent="0.25">
      <c r="A21" s="301" t="s">
        <v>530</v>
      </c>
      <c r="B21" s="301"/>
      <c r="C21" s="89"/>
      <c r="D21" s="89">
        <f>D19/D20</f>
        <v>-981598086.78116047</v>
      </c>
      <c r="E21" s="89">
        <f>E19/E20</f>
        <v>-1010141227.3305836</v>
      </c>
      <c r="F21" s="89">
        <f>F19/F20</f>
        <v>-1039514352.0490831</v>
      </c>
      <c r="G21" s="89">
        <f>G19/G20</f>
        <v>-1069741595.4119712</v>
      </c>
      <c r="H21" s="89">
        <f>H19/H20</f>
        <v>-1100847793.6825221</v>
      </c>
      <c r="I21" s="89">
        <f>I19/((B20-I17)*I20)</f>
        <v>-26832699265.13628</v>
      </c>
      <c r="J21" s="76"/>
    </row>
    <row r="22" spans="1:10" s="26" customFormat="1" x14ac:dyDescent="0.25">
      <c r="A22" s="301" t="s">
        <v>548</v>
      </c>
      <c r="B22" s="301"/>
      <c r="C22" s="89"/>
      <c r="D22" s="297">
        <f>SUM(D21:H21)</f>
        <v>-5201843055.2553205</v>
      </c>
      <c r="E22" s="298"/>
      <c r="F22" s="298"/>
      <c r="G22" s="298"/>
      <c r="H22" s="299"/>
      <c r="I22" s="89">
        <f>I21</f>
        <v>-26832699265.13628</v>
      </c>
      <c r="J22" s="76"/>
    </row>
    <row r="23" spans="1:10" x14ac:dyDescent="0.25">
      <c r="A23" s="92" t="s">
        <v>531</v>
      </c>
      <c r="B23" s="76">
        <f>D22+I22</f>
        <v>-32034542320.391602</v>
      </c>
      <c r="C23" s="77"/>
      <c r="D23" s="77"/>
      <c r="E23" s="77"/>
      <c r="F23" s="77"/>
      <c r="G23" s="77"/>
      <c r="H23" s="77"/>
      <c r="I23" s="79"/>
      <c r="J23" s="77"/>
    </row>
    <row r="24" spans="1:10" x14ac:dyDescent="0.25">
      <c r="A24" s="92" t="s">
        <v>532</v>
      </c>
      <c r="B24" s="76">
        <f>B23</f>
        <v>-32034542320.391602</v>
      </c>
      <c r="C24" s="77"/>
      <c r="D24" s="77"/>
      <c r="E24" s="77"/>
      <c r="F24" s="77"/>
      <c r="G24" s="77"/>
      <c r="H24" s="77"/>
      <c r="I24" s="79"/>
      <c r="J24" s="77"/>
    </row>
    <row r="25" spans="1:10" x14ac:dyDescent="0.25">
      <c r="A25" s="70" t="s">
        <v>533</v>
      </c>
      <c r="B25" s="71">
        <f>资产资本表!E17</f>
        <v>926091901.50999999</v>
      </c>
      <c r="C25" s="77"/>
      <c r="D25" s="77"/>
      <c r="E25" s="77"/>
      <c r="F25" s="77"/>
      <c r="G25" s="77"/>
      <c r="H25" s="77"/>
      <c r="I25" s="79"/>
      <c r="J25" s="77"/>
    </row>
    <row r="26" spans="1:10" x14ac:dyDescent="0.25">
      <c r="A26" s="70" t="s">
        <v>534</v>
      </c>
      <c r="B26" s="71">
        <f>资产资本表!E19</f>
        <v>403915866.87</v>
      </c>
      <c r="C26" s="77"/>
      <c r="D26" s="77"/>
      <c r="E26" s="77"/>
      <c r="F26" s="77"/>
      <c r="G26" s="77"/>
      <c r="H26" s="77"/>
      <c r="I26" s="79"/>
      <c r="J26" s="77"/>
    </row>
    <row r="27" spans="1:10" x14ac:dyDescent="0.25">
      <c r="A27" s="70" t="s">
        <v>535</v>
      </c>
      <c r="B27" s="71">
        <f>资产资本表!E89</f>
        <v>5477444392.6900005</v>
      </c>
      <c r="C27" s="77"/>
      <c r="D27" s="77"/>
      <c r="E27" s="77"/>
      <c r="F27" s="77"/>
      <c r="G27" s="77"/>
      <c r="H27" s="77"/>
      <c r="I27" s="79"/>
      <c r="J27" s="77"/>
    </row>
    <row r="28" spans="1:10" s="2" customFormat="1" x14ac:dyDescent="0.25">
      <c r="A28" s="82" t="s">
        <v>536</v>
      </c>
      <c r="B28" s="83">
        <f>B24+B25+B26-B27</f>
        <v>-36181978944.701607</v>
      </c>
      <c r="C28" s="80"/>
      <c r="D28" s="80"/>
      <c r="E28" s="80"/>
      <c r="F28" s="80"/>
      <c r="G28" s="80"/>
      <c r="H28" s="80"/>
      <c r="I28" s="81"/>
      <c r="J28" s="80"/>
    </row>
    <row r="29" spans="1:10" x14ac:dyDescent="0.25">
      <c r="A29" s="70" t="s">
        <v>537</v>
      </c>
      <c r="B29" s="78">
        <f>资产资本表!E103/资产资本表!E107</f>
        <v>-5.6085958044208972E-3</v>
      </c>
      <c r="C29" s="302" t="s">
        <v>544</v>
      </c>
      <c r="D29" s="302"/>
      <c r="E29" s="302"/>
      <c r="F29" s="77"/>
      <c r="G29" s="77"/>
      <c r="H29" s="77"/>
      <c r="I29" s="79"/>
      <c r="J29" s="77"/>
    </row>
    <row r="30" spans="1:10" s="2" customFormat="1" x14ac:dyDescent="0.25">
      <c r="A30" s="82" t="s">
        <v>538</v>
      </c>
      <c r="B30" s="83">
        <f>B28*(1-B29)</f>
        <v>-36384909040.006508</v>
      </c>
      <c r="C30" s="91">
        <v>0.4</v>
      </c>
      <c r="D30" s="91">
        <v>0.3</v>
      </c>
      <c r="E30" s="91">
        <v>0.2</v>
      </c>
      <c r="F30" s="80"/>
      <c r="G30" s="80"/>
      <c r="H30" s="80"/>
      <c r="I30" s="81"/>
      <c r="J30" s="80"/>
    </row>
    <row r="31" spans="1:10" x14ac:dyDescent="0.25">
      <c r="A31" s="70" t="s">
        <v>748</v>
      </c>
      <c r="B31" s="101">
        <f>B55</f>
        <v>1381752594</v>
      </c>
      <c r="C31" s="215">
        <f>$B$32*(1-C30)</f>
        <v>-15.799460423523477</v>
      </c>
      <c r="D31" s="215">
        <f>$B$32*(1-D30)</f>
        <v>-18.432703827444058</v>
      </c>
      <c r="E31" s="215">
        <f>$B$32*(1-E30)</f>
        <v>-21.065947231364639</v>
      </c>
      <c r="F31" s="77"/>
      <c r="G31" s="77"/>
      <c r="H31" s="77"/>
      <c r="I31" s="79"/>
      <c r="J31" s="77"/>
    </row>
    <row r="32" spans="1:10" s="2" customFormat="1" ht="15" thickBot="1" x14ac:dyDescent="0.3">
      <c r="A32" s="84" t="s">
        <v>539</v>
      </c>
      <c r="B32" s="85">
        <f>B30/B31</f>
        <v>-26.332434039205797</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-953861477.88333333</v>
      </c>
      <c r="D39" s="89">
        <f>$C$39*(1+$D$37)^D38</f>
        <v>-1096940699.5658333</v>
      </c>
      <c r="E39" s="89">
        <f>$C$39*(1+$D$37)^E38</f>
        <v>-1261481804.5007081</v>
      </c>
      <c r="F39" s="89">
        <f>$C$39*(1+$D$37)^F38</f>
        <v>-1450704075.1758142</v>
      </c>
      <c r="G39" s="89">
        <f>$C$39*(1+$D$37)^G38</f>
        <v>-1668309686.4521861</v>
      </c>
      <c r="H39" s="89">
        <f>$C$39*(1+$D$37)^H38</f>
        <v>-1918556139.4200141</v>
      </c>
      <c r="I39" s="89">
        <f>H39*(1+$I$37)</f>
        <v>-2091226191.9678156</v>
      </c>
      <c r="J39" s="89">
        <f t="shared" ref="J39:N39" si="1">I39*(1+$I$37)</f>
        <v>-2279436549.2449193</v>
      </c>
      <c r="K39" s="89">
        <f t="shared" si="1"/>
        <v>-2484585838.6769624</v>
      </c>
      <c r="L39" s="89">
        <f t="shared" si="1"/>
        <v>-2708198564.1578894</v>
      </c>
      <c r="M39" s="89">
        <f t="shared" si="1"/>
        <v>-2951936434.9320998</v>
      </c>
      <c r="N39" s="89">
        <f t="shared" si="1"/>
        <v>-3217610714.0759892</v>
      </c>
      <c r="O39" s="89">
        <f t="shared" ref="O39" si="2">N39*(1+$I$37)</f>
        <v>-3507195678.3428288</v>
      </c>
      <c r="P39" s="89">
        <f t="shared" ref="P39" si="3">O39*(1+$I$37)</f>
        <v>-3822843289.3936834</v>
      </c>
      <c r="Q39" s="89">
        <f t="shared" ref="Q39" si="4">P39*(1+$I$37)</f>
        <v>-4166899185.439115</v>
      </c>
      <c r="R39" s="89">
        <f t="shared" ref="R39" si="5">Q39*(1+$I$37)</f>
        <v>-4541920112.1286354</v>
      </c>
      <c r="S39" s="89">
        <f>R39*(1+S37)</f>
        <v>-4632758514.3712082</v>
      </c>
    </row>
    <row r="40" spans="1:19" s="23" customFormat="1" x14ac:dyDescent="0.25">
      <c r="A40" s="210" t="s">
        <v>529</v>
      </c>
      <c r="B40" s="209">
        <f>B4</f>
        <v>4.9482889165072791E-2</v>
      </c>
      <c r="C40" s="215"/>
      <c r="D40" s="215">
        <f>(1+$B$40)^D38</f>
        <v>1.0494828891650727</v>
      </c>
      <c r="E40" s="215">
        <f t="shared" ref="E40:R40" si="6">(1+$B$40)^E38</f>
        <v>1.1014143346502683</v>
      </c>
      <c r="F40" s="215">
        <f t="shared" si="6"/>
        <v>1.1559154980965898</v>
      </c>
      <c r="G40" s="215">
        <f t="shared" si="6"/>
        <v>1.2131135365730932</v>
      </c>
      <c r="H40" s="215">
        <f t="shared" si="6"/>
        <v>1.2731418992479888</v>
      </c>
      <c r="I40" s="215">
        <f t="shared" si="6"/>
        <v>1.3361406387398873</v>
      </c>
      <c r="J40" s="215">
        <f t="shared" si="6"/>
        <v>1.4022567378756026</v>
      </c>
      <c r="K40" s="215">
        <f t="shared" si="6"/>
        <v>1.4716444526168775</v>
      </c>
      <c r="L40" s="215">
        <f t="shared" si="6"/>
        <v>1.5444656719561125</v>
      </c>
      <c r="M40" s="215">
        <f t="shared" si="6"/>
        <v>1.6208902956207765</v>
      </c>
      <c r="N40" s="215">
        <f t="shared" si="6"/>
        <v>1.7010966304677211</v>
      </c>
      <c r="O40" s="215">
        <f t="shared" si="6"/>
        <v>1.7852718064922342</v>
      </c>
      <c r="P40" s="215">
        <f t="shared" si="6"/>
        <v>1.8736122134224182</v>
      </c>
      <c r="Q40" s="215">
        <f t="shared" si="6"/>
        <v>1.9663239589175265</v>
      </c>
      <c r="R40" s="215">
        <f t="shared" si="6"/>
        <v>2.0636233494392693</v>
      </c>
      <c r="S40" s="183">
        <f>(1+$B$40)^S38</f>
        <v>2.165737394918029</v>
      </c>
    </row>
    <row r="41" spans="1:19" s="193" customFormat="1" x14ac:dyDescent="0.25">
      <c r="A41" s="313" t="s">
        <v>530</v>
      </c>
      <c r="B41" s="314"/>
      <c r="C41" s="89"/>
      <c r="D41" s="89">
        <f t="shared" ref="D41:R41" si="7">D39/D40</f>
        <v>-1045220184.9984579</v>
      </c>
      <c r="E41" s="89">
        <f t="shared" si="7"/>
        <v>-1145329023.6151376</v>
      </c>
      <c r="F41" s="89">
        <f t="shared" si="7"/>
        <v>-1255026061.6495268</v>
      </c>
      <c r="G41" s="89">
        <f t="shared" si="7"/>
        <v>-1375229635.2779725</v>
      </c>
      <c r="H41" s="89">
        <f t="shared" si="7"/>
        <v>-1506946036.8504519</v>
      </c>
      <c r="I41" s="89">
        <f t="shared" si="7"/>
        <v>-1565124307.5280223</v>
      </c>
      <c r="J41" s="89">
        <f t="shared" si="7"/>
        <v>-1625548651.4532502</v>
      </c>
      <c r="K41" s="89">
        <f t="shared" si="7"/>
        <v>-1688305782.1873164</v>
      </c>
      <c r="L41" s="89">
        <f t="shared" si="7"/>
        <v>-1753485761.0191321</v>
      </c>
      <c r="M41" s="89">
        <f t="shared" si="7"/>
        <v>-1821182126.2101843</v>
      </c>
      <c r="N41" s="89">
        <f t="shared" si="7"/>
        <v>-1891492027.229105</v>
      </c>
      <c r="O41" s="89">
        <f t="shared" si="7"/>
        <v>-1964516364.1685979</v>
      </c>
      <c r="P41" s="89">
        <f t="shared" si="7"/>
        <v>-2040359932.5448024</v>
      </c>
      <c r="Q41" s="89">
        <f t="shared" si="7"/>
        <v>-2119131573.6868806</v>
      </c>
      <c r="R41" s="89">
        <f t="shared" si="7"/>
        <v>-2200944330.9326639</v>
      </c>
      <c r="S41" s="89">
        <f>S39/((B40-S37)*S40)</f>
        <v>-72554412149.039597</v>
      </c>
    </row>
    <row r="42" spans="1:19" s="23" customFormat="1" x14ac:dyDescent="0.25">
      <c r="A42" s="315" t="s">
        <v>548</v>
      </c>
      <c r="B42" s="316"/>
      <c r="C42" s="215"/>
      <c r="D42" s="308">
        <f>SUM(D41:H41)</f>
        <v>-6327750942.3915462</v>
      </c>
      <c r="E42" s="309"/>
      <c r="F42" s="309"/>
      <c r="G42" s="309"/>
      <c r="H42" s="310"/>
      <c r="I42" s="308">
        <f>SUM(I41:R41)</f>
        <v>-18670090856.959953</v>
      </c>
      <c r="J42" s="309"/>
      <c r="K42" s="309"/>
      <c r="L42" s="309"/>
      <c r="M42" s="309"/>
      <c r="N42" s="309"/>
      <c r="O42" s="309"/>
      <c r="P42" s="309"/>
      <c r="Q42" s="309"/>
      <c r="R42" s="310"/>
      <c r="S42" s="215">
        <f>S41</f>
        <v>-72554412149.039597</v>
      </c>
    </row>
    <row r="43" spans="1:19" x14ac:dyDescent="0.25">
      <c r="A43" s="206" t="s">
        <v>546</v>
      </c>
      <c r="B43" s="197">
        <f>D42+I42+S42</f>
        <v>-97552253948.391098</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-97552253948.391098</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926091901.50999999</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403915866.87</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5477444392.6900005</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-101699690572.70111</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-5.6085958044208972E-3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-102270083030.55807</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1381752594</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-74.01475739915135</v>
      </c>
      <c r="C52" s="208">
        <f>$B$52*(1-C51)</f>
        <v>-44.40885443949081</v>
      </c>
      <c r="D52" s="208">
        <f>$B$52*(1-D51)</f>
        <v>-51.810330179405945</v>
      </c>
      <c r="E52" s="208">
        <f>$B$52*(1-E51)</f>
        <v>-59.21180591932108</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863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1381752594</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0.79437371470000029</v>
      </c>
      <c r="F64" s="168">
        <v>0</v>
      </c>
      <c r="G64" s="166">
        <v>16.47</v>
      </c>
      <c r="H64" s="168">
        <f>G64*D64</f>
        <v>55.997999999999998</v>
      </c>
      <c r="I64" s="168">
        <f>C64*D64</f>
        <v>59.125999999999998</v>
      </c>
      <c r="J64" s="168">
        <f>H64/E64</f>
        <v>70.493269054286316</v>
      </c>
      <c r="K64" s="168">
        <f>I64/E64</f>
        <v>74.430962286219739</v>
      </c>
      <c r="L64" s="263">
        <v>0</v>
      </c>
    </row>
    <row r="65" spans="1:12" s="26" customFormat="1" x14ac:dyDescent="0.25">
      <c r="A65" s="179">
        <f>股权价值增加表!I1</f>
        <v>42735</v>
      </c>
      <c r="B65" s="167">
        <v>42543</v>
      </c>
      <c r="C65" s="166">
        <v>23.13</v>
      </c>
      <c r="D65" s="166">
        <v>3.64</v>
      </c>
      <c r="E65" s="168">
        <f>股权价值增加表!I42/100000000</f>
        <v>9.3798668935999991</v>
      </c>
      <c r="F65" s="168">
        <f>(E65-E64)/E64*100</f>
        <v>1080.7876721024636</v>
      </c>
      <c r="G65" s="166">
        <v>23.11</v>
      </c>
      <c r="H65" s="168">
        <f t="shared" ref="H65:H66" si="8">G65*D65</f>
        <v>84.120400000000004</v>
      </c>
      <c r="I65" s="168">
        <f t="shared" ref="I65:I66" si="9">C65*D65</f>
        <v>84.193200000000004</v>
      </c>
      <c r="J65" s="168">
        <f t="shared" ref="J65:J66" si="10">H65/E65</f>
        <v>8.9681869640811644</v>
      </c>
      <c r="K65" s="168">
        <f t="shared" ref="K65:K66" si="11">I65/E65</f>
        <v>8.9759482682473966</v>
      </c>
      <c r="L65" s="263">
        <f>K65/F65</f>
        <v>8.305006154248987E-3</v>
      </c>
    </row>
    <row r="66" spans="1:12" s="26" customFormat="1" x14ac:dyDescent="0.25">
      <c r="A66" s="179">
        <f>股权价值增加表!E1</f>
        <v>43100</v>
      </c>
      <c r="B66" s="167">
        <v>42872</v>
      </c>
      <c r="C66" s="166">
        <v>16.399999999999999</v>
      </c>
      <c r="D66" s="166">
        <v>9.09</v>
      </c>
      <c r="E66" s="168">
        <f>股权价值增加表!E42/100000000</f>
        <v>2.2418778170999993</v>
      </c>
      <c r="F66" s="168">
        <f t="shared" ref="F66" si="12">(E66-E65)/E65*100</f>
        <v>-76.0990444477452</v>
      </c>
      <c r="G66" s="166">
        <v>15.76</v>
      </c>
      <c r="H66" s="168">
        <f t="shared" si="8"/>
        <v>143.25839999999999</v>
      </c>
      <c r="I66" s="168">
        <f t="shared" si="9"/>
        <v>149.07599999999999</v>
      </c>
      <c r="J66" s="168">
        <f t="shared" si="10"/>
        <v>63.901073870882556</v>
      </c>
      <c r="K66" s="168">
        <f t="shared" si="11"/>
        <v>66.496041337720428</v>
      </c>
      <c r="L66" s="263">
        <f t="shared" ref="L66" si="13">K66/F66</f>
        <v>-0.8738091499083297</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93.141658611935839</v>
      </c>
      <c r="G69" s="171">
        <v>10.119999999999999</v>
      </c>
      <c r="H69" s="172">
        <f>G69*D69</f>
        <v>91.990799999999993</v>
      </c>
      <c r="I69" s="172">
        <f>C69*D69</f>
        <v>105.8985</v>
      </c>
      <c r="J69" s="172">
        <f>H69/E69</f>
        <v>21.244988452655885</v>
      </c>
      <c r="K69" s="172">
        <f>I69/E69</f>
        <v>24.456928406466513</v>
      </c>
      <c r="L69" s="266">
        <f>K69/F69</f>
        <v>0.26257776349424411</v>
      </c>
    </row>
    <row r="70" spans="1:12" s="26" customFormat="1" ht="15" thickBot="1" x14ac:dyDescent="0.3">
      <c r="A70" s="173" t="s">
        <v>627</v>
      </c>
      <c r="B70" s="174">
        <v>43305</v>
      </c>
      <c r="C70" s="175">
        <v>11.65</v>
      </c>
      <c r="D70" s="175">
        <v>9.09</v>
      </c>
      <c r="E70" s="175">
        <v>3.86</v>
      </c>
      <c r="F70" s="176">
        <f>(E70-E66)/E66*100</f>
        <v>72.177090587083669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0.38010460571951965</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2019-02-11T03:10:13Z</dcterms:modified>
</cp:coreProperties>
</file>