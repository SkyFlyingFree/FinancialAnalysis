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5A6446F-5FC5-4CED-9F6B-C5D8D62B8354}"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 i="13" l="1"/>
  <c r="B40" i="13" l="1"/>
  <c r="B20" i="13"/>
  <c r="F46" i="1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S40" i="13"/>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V13" i="8" s="1"/>
  <c r="BU9" i="8"/>
  <c r="BU13" i="8" s="1"/>
  <c r="BT9" i="8"/>
  <c r="BT13" i="8" s="1"/>
  <c r="BS9" i="8"/>
  <c r="BS13" i="8" s="1"/>
  <c r="BR9" i="8"/>
  <c r="BR13" i="8" s="1"/>
  <c r="BQ9" i="8"/>
  <c r="BQ13" i="8" s="1"/>
  <c r="BP9" i="8"/>
  <c r="BP13" i="8" s="1"/>
  <c r="BO9" i="8"/>
  <c r="BO13" i="8" s="1"/>
  <c r="BN9" i="8"/>
  <c r="BN13" i="8" s="1"/>
  <c r="BM9" i="8"/>
  <c r="BM13" i="8" s="1"/>
  <c r="BL9" i="8"/>
  <c r="BL13" i="8" s="1"/>
  <c r="BK9" i="8"/>
  <c r="BK13" i="8" s="1"/>
  <c r="BJ9" i="8"/>
  <c r="BJ13" i="8" s="1"/>
  <c r="BI9" i="8"/>
  <c r="BI13" i="8" s="1"/>
  <c r="BH9" i="8"/>
  <c r="BH13" i="8" s="1"/>
  <c r="BG9" i="8"/>
  <c r="BG13" i="8" s="1"/>
  <c r="BF9" i="8"/>
  <c r="BF13" i="8" s="1"/>
  <c r="BE9" i="8"/>
  <c r="BE13" i="8" s="1"/>
  <c r="BD9" i="8"/>
  <c r="BD13" i="8" s="1"/>
  <c r="BC9" i="8"/>
  <c r="BC13" i="8" s="1"/>
  <c r="BB9" i="8"/>
  <c r="BB13" i="8" s="1"/>
  <c r="BA9" i="8"/>
  <c r="BA13" i="8" s="1"/>
  <c r="AZ9" i="8"/>
  <c r="AZ13" i="8" s="1"/>
  <c r="AY9" i="8"/>
  <c r="AY13" i="8" s="1"/>
  <c r="AX9" i="8"/>
  <c r="AX13" i="8" s="1"/>
  <c r="AW9" i="8"/>
  <c r="AW13" i="8" s="1"/>
  <c r="AV9" i="8"/>
  <c r="AV13" i="8" s="1"/>
  <c r="AU9" i="8"/>
  <c r="AU13" i="8" s="1"/>
  <c r="AT9" i="8"/>
  <c r="AT13" i="8" s="1"/>
  <c r="AS9" i="8"/>
  <c r="AS13" i="8" s="1"/>
  <c r="AR9" i="8"/>
  <c r="AR13" i="8" s="1"/>
  <c r="AQ9" i="8"/>
  <c r="AQ13" i="8" s="1"/>
  <c r="AP9" i="8"/>
  <c r="AP13" i="8" s="1"/>
  <c r="AO9" i="8"/>
  <c r="AO13" i="8" s="1"/>
  <c r="AN9" i="8"/>
  <c r="AN13" i="8" s="1"/>
  <c r="AM9" i="8"/>
  <c r="AM13" i="8" s="1"/>
  <c r="AL9" i="8"/>
  <c r="AL13" i="8" s="1"/>
  <c r="AK9" i="8"/>
  <c r="AK13" i="8" s="1"/>
  <c r="AJ9" i="8"/>
  <c r="AJ13" i="8" s="1"/>
  <c r="AI9" i="8"/>
  <c r="AI13" i="8" s="1"/>
  <c r="AH9" i="8"/>
  <c r="AH13" i="8" s="1"/>
  <c r="AG9" i="8"/>
  <c r="AG13" i="8" s="1"/>
  <c r="AF9" i="8"/>
  <c r="AF13" i="8" s="1"/>
  <c r="AE9" i="8"/>
  <c r="AE13" i="8" s="1"/>
  <c r="AD9" i="8"/>
  <c r="AD13" i="8" s="1"/>
  <c r="AC9" i="8"/>
  <c r="AC13" i="8" s="1"/>
  <c r="AB9" i="8"/>
  <c r="AB13" i="8" s="1"/>
  <c r="AA9" i="8"/>
  <c r="AA13" i="8" s="1"/>
  <c r="Z9" i="8"/>
  <c r="Z13" i="8" s="1"/>
  <c r="Y9" i="8"/>
  <c r="Y13" i="8" s="1"/>
  <c r="X9" i="8"/>
  <c r="X13" i="8" s="1"/>
  <c r="W9" i="8"/>
  <c r="W13" i="8" s="1"/>
  <c r="V9" i="8"/>
  <c r="V13" i="8" s="1"/>
  <c r="U9" i="8"/>
  <c r="U13" i="8" s="1"/>
  <c r="T9" i="8"/>
  <c r="T13" i="8" s="1"/>
  <c r="S9" i="8"/>
  <c r="S13" i="8" s="1"/>
  <c r="R9" i="8"/>
  <c r="R13" i="8" s="1"/>
  <c r="Q9" i="8"/>
  <c r="Q13" i="8" s="1"/>
  <c r="P9" i="8"/>
  <c r="P13" i="8" s="1"/>
  <c r="O9" i="8"/>
  <c r="O13" i="8" s="1"/>
  <c r="N9" i="8"/>
  <c r="N13" i="8" s="1"/>
  <c r="M9" i="8"/>
  <c r="M13" i="8" s="1"/>
  <c r="L9" i="8"/>
  <c r="L13" i="8" s="1"/>
  <c r="K9" i="8"/>
  <c r="K13" i="8" s="1"/>
  <c r="J9" i="8"/>
  <c r="J13" i="8" s="1"/>
  <c r="I9" i="8"/>
  <c r="I13" i="8" s="1"/>
  <c r="H9" i="8"/>
  <c r="H13" i="8" s="1"/>
  <c r="G9" i="8"/>
  <c r="G13" i="8" s="1"/>
  <c r="F9" i="8"/>
  <c r="F13" i="8" s="1"/>
  <c r="E9" i="8"/>
  <c r="E13" i="8" s="1"/>
  <c r="B4"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M65" i="11" l="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S25" i="12"/>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V25" i="12"/>
  <c r="AD25" i="12"/>
  <c r="AL25" i="12"/>
  <c r="AL26" i="12" s="1"/>
  <c r="AL27" i="12" s="1"/>
  <c r="AT25" i="12"/>
  <c r="AT26" i="12" s="1"/>
  <c r="AT27" i="12" s="1"/>
  <c r="BB25" i="12"/>
  <c r="BB26" i="12" s="1"/>
  <c r="BB27" i="12" s="1"/>
  <c r="BJ25" i="12"/>
  <c r="BJ26" i="12" s="1"/>
  <c r="BJ27" i="12" s="1"/>
  <c r="BR25" i="12"/>
  <c r="BR26" i="12" s="1"/>
  <c r="BR27" i="12" s="1"/>
  <c r="BZ25" i="12"/>
  <c r="BZ26" i="12" s="1"/>
  <c r="BZ27" i="12" s="1"/>
  <c r="CH25" i="12"/>
  <c r="I25" i="12"/>
  <c r="Q25" i="12"/>
  <c r="Q26" i="12" s="1"/>
  <c r="Q27" i="12" s="1"/>
  <c r="Y25" i="12"/>
  <c r="AG25" i="12"/>
  <c r="AG26" i="12" s="1"/>
  <c r="AG27" i="12" s="1"/>
  <c r="AO25" i="12"/>
  <c r="AO26" i="12" s="1"/>
  <c r="AO27" i="12" s="1"/>
  <c r="AW25" i="12"/>
  <c r="AW26" i="12" s="1"/>
  <c r="AW27" i="12" s="1"/>
  <c r="BE25" i="12"/>
  <c r="BE26" i="12" s="1"/>
  <c r="BE27"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CA25" i="12"/>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B27" i="12" s="1"/>
  <c r="AZ13" i="12"/>
  <c r="BH13" i="12"/>
  <c r="BX13" i="12"/>
  <c r="AC26" i="12"/>
  <c r="AC27" i="12" s="1"/>
  <c r="AK26" i="12"/>
  <c r="AK27" i="12" s="1"/>
  <c r="AS26" i="12"/>
  <c r="AS27" i="12" s="1"/>
  <c r="BA26" i="12"/>
  <c r="BA27" i="12" s="1"/>
  <c r="U13" i="12"/>
  <c r="AC13" i="12"/>
  <c r="BA13" i="12"/>
  <c r="CG13" i="12"/>
  <c r="N26" i="12"/>
  <c r="N27" i="12" s="1"/>
  <c r="V26" i="12"/>
  <c r="V27" i="12" s="1"/>
  <c r="AD26" i="12"/>
  <c r="AD27" i="12" s="1"/>
  <c r="CH26" i="12"/>
  <c r="CH27" i="12" s="1"/>
  <c r="CH28" i="12" s="1"/>
  <c r="CK18" i="12"/>
  <c r="BS26" i="12"/>
  <c r="BS27" i="12" s="1"/>
  <c r="CA26" i="12"/>
  <c r="CA27" i="12" s="1"/>
  <c r="AE13" i="12"/>
  <c r="BC13" i="12"/>
  <c r="CA13" i="12"/>
  <c r="X13" i="12"/>
  <c r="BD13" i="12"/>
  <c r="BL13" i="12"/>
  <c r="CJ13" i="12"/>
  <c r="I26" i="12"/>
  <c r="I27" i="12" s="1"/>
  <c r="Y26" i="12"/>
  <c r="Y27" i="12" s="1"/>
  <c r="BM26" i="12"/>
  <c r="BM27" i="12" s="1"/>
  <c r="BU26" i="12"/>
  <c r="BU27" i="12" s="1"/>
  <c r="CC26" i="12"/>
  <c r="CC27" i="12" s="1"/>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BX74" i="11" l="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Y28" i="12"/>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BX28" i="12"/>
  <c r="L28" i="12"/>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BE28" i="12"/>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AW28" i="12"/>
  <c r="AO28" i="12"/>
  <c r="BM28" i="12"/>
  <c r="AZ28" i="12"/>
  <c r="O28" i="12"/>
  <c r="G28" i="12"/>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<sst xmlns="http://schemas.openxmlformats.org/spreadsheetml/2006/main" count="1016" uniqueCount="749">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</sst>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178" fontId="0" fillId="4" borderId="0" xfId="0" applyNumberFormat="1" applyFill="1">
      <alignment vertical="center"/>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6.5533973558825717E-2</c:v>
                </c:pt>
                <c:pt idx="1">
                  <c:v>6.0225636855828033E-2</c:v>
                </c:pt>
                <c:pt idx="2">
                  <c:v>5.4249885126504707E-2</c:v>
                </c:pt>
                <c:pt idx="3">
                  <c:v>5.9274057351573983E-2</c:v>
                </c:pt>
                <c:pt idx="4">
                  <c:v>6.1363805563911591E-2</c:v>
                </c:pt>
                <c:pt idx="5">
                  <c:v>6.6835959591948824E-2</c:v>
                </c:pt>
                <c:pt idx="6">
                  <c:v>6.5697251146659016E-2</c:v>
                </c:pt>
                <c:pt idx="7">
                  <c:v>6.3974697208385403E-2</c:v>
                </c:pt>
                <c:pt idx="8">
                  <c:v>6.8738655619720937E-2</c:v>
                </c:pt>
                <c:pt idx="9">
                  <c:v>8.2294545751216835E-2</c:v>
                </c:pt>
                <c:pt idx="10">
                  <c:v>7.7014028380914507E-2</c:v>
                </c:pt>
                <c:pt idx="11">
                  <c:v>6.3846757745084345E-2</c:v>
                </c:pt>
                <c:pt idx="12">
                  <c:v>4.6894873927330029E-2</c:v>
                </c:pt>
                <c:pt idx="13">
                  <c:v>5.2340229677718127E-2</c:v>
                </c:pt>
                <c:pt idx="14">
                  <c:v>8.0686970271486816E-2</c:v>
                </c:pt>
                <c:pt idx="15">
                  <c:v>9.4557321885717555E-2</c:v>
                </c:pt>
                <c:pt idx="16">
                  <c:v>8.9413180278508725E-2</c:v>
                </c:pt>
                <c:pt idx="17">
                  <c:v>8.375061175820106E-2</c:v>
                </c:pt>
                <c:pt idx="18">
                  <c:v>8.8514994905466368E-2</c:v>
                </c:pt>
                <c:pt idx="19">
                  <c:v>5.1550671899719472E-2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0.46948889060092985</c:v>
                </c:pt>
                <c:pt idx="1">
                  <c:v>0.52409182779565378</c:v>
                </c:pt>
                <c:pt idx="2">
                  <c:v>6.2175444241395497E-2</c:v>
                </c:pt>
                <c:pt idx="3">
                  <c:v>-6.8477648281734985E-2</c:v>
                </c:pt>
                <c:pt idx="4">
                  <c:v>2.9981205654876546E-2</c:v>
                </c:pt>
                <c:pt idx="5">
                  <c:v>1.1468342870991288</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553</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386</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387</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388</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389</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390</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391</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392</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393</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394</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395</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396</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399</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397</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398</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400</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401</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402</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403</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404</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405</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406</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407</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408</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409</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410</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411</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412</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413</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414</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415</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416</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417</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418</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419</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611</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421</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420</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422</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423</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424</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573</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27" customFormat="1" x14ac:dyDescent="0.25">
      <c r="A13" s="227" t="s">
        <v>352</v>
      </c>
      <c r="E13" s="227">
        <f>E11/E12</f>
        <v>6.7505496024895251E-2</v>
      </c>
      <c r="F13" s="227">
        <f t="shared" ref="F13:AR13" si="53">F11/F12</f>
        <v>0.10596641824462885</v>
      </c>
      <c r="G13" s="227">
        <f t="shared" si="53"/>
        <v>2.4318765744151108E-2</v>
      </c>
      <c r="H13" s="227">
        <f t="shared" si="53"/>
        <v>3.6367774167496827E-2</v>
      </c>
      <c r="I13" s="227">
        <f t="shared" si="53"/>
        <v>3.4652520769804518E-2</v>
      </c>
      <c r="J13" s="227">
        <f t="shared" si="53"/>
        <v>8.1396355981924351E-2</v>
      </c>
      <c r="K13" s="227">
        <f t="shared" si="53"/>
        <v>3.3248810822339575E-2</v>
      </c>
      <c r="L13" s="227">
        <f t="shared" si="53"/>
        <v>2.2031507638316964E-2</v>
      </c>
      <c r="M13" s="227">
        <f t="shared" si="53"/>
        <v>0.10752080122542775</v>
      </c>
      <c r="N13" s="227">
        <f t="shared" si="53"/>
        <v>0.14966084185981929</v>
      </c>
      <c r="O13" s="227">
        <f t="shared" si="53"/>
        <v>5.8827134591104099E-2</v>
      </c>
      <c r="P13" s="227">
        <f t="shared" si="53"/>
        <v>9.2003171109002926E-2</v>
      </c>
      <c r="Q13" s="227">
        <f t="shared" si="53"/>
        <v>0.34680925553883496</v>
      </c>
      <c r="R13" s="227">
        <f t="shared" si="53"/>
        <v>0.4230541231360338</v>
      </c>
      <c r="S13" s="227">
        <f t="shared" si="53"/>
        <v>0.24383765021233467</v>
      </c>
      <c r="T13" s="227">
        <f t="shared" si="53"/>
        <v>0.21876896072946497</v>
      </c>
      <c r="U13" s="227">
        <f t="shared" si="53"/>
        <v>0.42396492709084216</v>
      </c>
      <c r="V13" s="227">
        <f t="shared" si="53"/>
        <v>0.38225866883265758</v>
      </c>
      <c r="W13" s="227">
        <f t="shared" si="53"/>
        <v>0.24199194457930254</v>
      </c>
      <c r="X13" s="227">
        <f t="shared" si="53"/>
        <v>0.13976352939305731</v>
      </c>
      <c r="Y13" s="227">
        <f t="shared" si="53"/>
        <v>0.31978611395759432</v>
      </c>
      <c r="Z13" s="227">
        <f t="shared" si="53"/>
        <v>0.34797173806893061</v>
      </c>
      <c r="AA13" s="227">
        <f t="shared" si="53"/>
        <v>0.15276574687176586</v>
      </c>
      <c r="AB13" s="227">
        <f t="shared" si="53"/>
        <v>0.10121974836785497</v>
      </c>
      <c r="AC13" s="227">
        <f t="shared" si="53"/>
        <v>0.28684603484373422</v>
      </c>
      <c r="AD13" s="227">
        <f t="shared" si="53"/>
        <v>0.25019378663931735</v>
      </c>
      <c r="AE13" s="227">
        <f t="shared" si="53"/>
        <v>0.12873119816940706</v>
      </c>
      <c r="AF13" s="227">
        <f t="shared" si="53"/>
        <v>0.11543314118806136</v>
      </c>
      <c r="AG13" s="227">
        <f t="shared" si="53"/>
        <v>0.16842964543697517</v>
      </c>
      <c r="AH13" s="227">
        <f t="shared" si="53"/>
        <v>0.20171122182674289</v>
      </c>
      <c r="AI13" s="227">
        <f t="shared" si="53"/>
        <v>0.12545508806386577</v>
      </c>
      <c r="AJ13" s="227">
        <f t="shared" si="53"/>
        <v>0.13639846493683436</v>
      </c>
      <c r="AK13" s="227">
        <f t="shared" si="53"/>
        <v>0.37321707019405587</v>
      </c>
      <c r="AL13" s="227">
        <f t="shared" si="53"/>
        <v>0.29207631108754628</v>
      </c>
      <c r="AM13" s="227">
        <f t="shared" si="53"/>
        <v>0.13732328008019856</v>
      </c>
      <c r="AN13" s="227">
        <f t="shared" si="53"/>
        <v>6.0837395528359518E-2</v>
      </c>
      <c r="AO13" s="227">
        <f t="shared" si="53"/>
        <v>0.21921114740114511</v>
      </c>
      <c r="AP13" s="227">
        <f t="shared" si="53"/>
        <v>0.18728629422537973</v>
      </c>
      <c r="AQ13" s="227">
        <f t="shared" si="53"/>
        <v>8.4338258794871696E-2</v>
      </c>
      <c r="AR13" s="227">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50" customFormat="1" x14ac:dyDescent="0.25">
      <c r="A21" s="250" t="s">
        <v>672</v>
      </c>
      <c r="E21" s="250">
        <f>E20/E19</f>
        <v>1.7259943711627945</v>
      </c>
      <c r="F21" s="250">
        <f t="shared" ref="F21:AS21" si="56">F20/F19</f>
        <v>1.4337722683839831</v>
      </c>
      <c r="G21" s="250">
        <f t="shared" si="56"/>
        <v>0.56013877393685041</v>
      </c>
      <c r="H21" s="250">
        <f t="shared" si="56"/>
        <v>0.35151983061703762</v>
      </c>
      <c r="I21" s="250">
        <f t="shared" si="56"/>
        <v>1.787331029058727</v>
      </c>
      <c r="J21" s="250">
        <f t="shared" si="56"/>
        <v>1.8293456783258344</v>
      </c>
      <c r="K21" s="250">
        <f t="shared" si="56"/>
        <v>1.3848095049466489</v>
      </c>
      <c r="L21" s="250">
        <f t="shared" si="56"/>
        <v>2.4946939910541235</v>
      </c>
      <c r="M21" s="250">
        <f t="shared" si="56"/>
        <v>0.90295621733991382</v>
      </c>
      <c r="N21" s="250">
        <f t="shared" si="56"/>
        <v>0.7459227877657213</v>
      </c>
      <c r="O21" s="250">
        <f t="shared" si="56"/>
        <v>0.84189734256949345</v>
      </c>
      <c r="P21" s="250">
        <f t="shared" si="56"/>
        <v>0.32854175737839003</v>
      </c>
      <c r="Q21" s="250">
        <f t="shared" si="56"/>
        <v>0.44071876063546894</v>
      </c>
      <c r="R21" s="250">
        <f t="shared" si="56"/>
        <v>0.49631154956344442</v>
      </c>
      <c r="S21" s="250">
        <f t="shared" si="56"/>
        <v>0.38986085471021026</v>
      </c>
      <c r="T21" s="250">
        <f t="shared" si="56"/>
        <v>0.30861361976633955</v>
      </c>
      <c r="U21" s="250">
        <f t="shared" si="56"/>
        <v>0.56576277409356335</v>
      </c>
      <c r="V21" s="250">
        <f t="shared" si="56"/>
        <v>0.55354175551856</v>
      </c>
      <c r="W21" s="250">
        <f t="shared" si="56"/>
        <v>0.58413839222160358</v>
      </c>
      <c r="X21" s="250">
        <f t="shared" si="56"/>
        <v>0.52600512750247364</v>
      </c>
      <c r="Y21" s="250">
        <f t="shared" si="56"/>
        <v>0.95121670041756357</v>
      </c>
      <c r="Z21" s="250">
        <f t="shared" si="56"/>
        <v>0.88987461791387135</v>
      </c>
      <c r="AA21" s="250">
        <f t="shared" si="56"/>
        <v>1.0911927537864199</v>
      </c>
      <c r="AB21" s="250">
        <f t="shared" si="56"/>
        <v>1.0351884322703062</v>
      </c>
      <c r="AC21" s="250">
        <f t="shared" si="56"/>
        <v>0.67784153847378426</v>
      </c>
      <c r="AD21" s="250">
        <f t="shared" si="56"/>
        <v>0.57668430519986513</v>
      </c>
      <c r="AE21" s="250">
        <f t="shared" si="56"/>
        <v>0.75165060966508412</v>
      </c>
      <c r="AF21" s="250">
        <f t="shared" si="56"/>
        <v>0.30326403038626271</v>
      </c>
      <c r="AG21" s="250">
        <f t="shared" si="56"/>
        <v>0.30328070532356977</v>
      </c>
      <c r="AH21" s="250">
        <f t="shared" si="56"/>
        <v>0.20919071198036338</v>
      </c>
      <c r="AI21" s="250">
        <f t="shared" si="56"/>
        <v>0.30386671567986528</v>
      </c>
      <c r="AJ21" s="250">
        <f t="shared" si="56"/>
        <v>0.36312834819015455</v>
      </c>
      <c r="AK21" s="250">
        <f t="shared" si="56"/>
        <v>0.80326590581027801</v>
      </c>
      <c r="AL21" s="250">
        <f t="shared" si="56"/>
        <v>0.84355988710187801</v>
      </c>
      <c r="AM21" s="250">
        <f t="shared" si="56"/>
        <v>1.5228162935798497</v>
      </c>
      <c r="AN21" s="250">
        <f t="shared" si="56"/>
        <v>1.7580034009217316</v>
      </c>
      <c r="AO21" s="250">
        <f t="shared" si="56"/>
        <v>1.8493951772803783</v>
      </c>
      <c r="AP21" s="250">
        <f t="shared" si="56"/>
        <v>1.2885025631189206</v>
      </c>
      <c r="AQ21" s="250">
        <f t="shared" si="56"/>
        <v>0.99350080234722127</v>
      </c>
      <c r="AR21" s="250">
        <f t="shared" si="56"/>
        <v>6.2071883218443445E-2</v>
      </c>
      <c r="AS21" s="250">
        <f t="shared" si="56"/>
        <v>24.475620600131453</v>
      </c>
    </row>
    <row r="22" spans="1:74" s="26" customFormat="1" x14ac:dyDescent="0.25">
      <c r="A22" s="17" t="s">
        <v>301</v>
      </c>
      <c r="E22" s="26">
        <f>I35</f>
        <v>2006803439.1900001</v>
      </c>
      <c r="F22" s="26">
        <f t="shared" ref="F22:Y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28" customFormat="1" x14ac:dyDescent="0.25">
      <c r="A24" s="228" t="s">
        <v>303</v>
      </c>
      <c r="B24" s="228">
        <v>-8052842799.9799995</v>
      </c>
      <c r="C24" s="228">
        <v>-4379946694.79</v>
      </c>
      <c r="D24" s="228">
        <v>-2258176969.52</v>
      </c>
      <c r="E24" s="228">
        <v>-3659933147.1599998</v>
      </c>
      <c r="F24" s="228">
        <v>-1310222489.0999999</v>
      </c>
      <c r="G24" s="228">
        <v>1212522035.73</v>
      </c>
      <c r="H24" s="228">
        <v>1917360757.8399999</v>
      </c>
      <c r="I24" s="228">
        <v>-3504270910.29</v>
      </c>
      <c r="J24" s="228">
        <v>-1963239775.8199999</v>
      </c>
      <c r="K24" s="228">
        <v>-1011795613.0599999</v>
      </c>
      <c r="L24" s="228">
        <v>-563744125.88999999</v>
      </c>
      <c r="M24" s="228">
        <v>1756280982.79</v>
      </c>
      <c r="N24" s="228">
        <v>1455998369.01</v>
      </c>
      <c r="O24" s="228">
        <v>350550009.19999999</v>
      </c>
      <c r="P24" s="228">
        <v>1606675466.1600001</v>
      </c>
      <c r="Q24" s="228">
        <v>5001211226.8699999</v>
      </c>
      <c r="R24" s="228">
        <v>3976765129.5799999</v>
      </c>
      <c r="S24" s="228">
        <v>3418248739.3299999</v>
      </c>
      <c r="T24" s="228">
        <v>2952370297.8099999</v>
      </c>
      <c r="U24" s="228">
        <v>2607456782.3699999</v>
      </c>
      <c r="V24" s="228">
        <v>1649250173.51</v>
      </c>
      <c r="W24" s="228">
        <v>1075358010.1800001</v>
      </c>
      <c r="X24" s="228">
        <v>1114829314.1099999</v>
      </c>
      <c r="Y24" s="228">
        <v>-292331569.18000001</v>
      </c>
      <c r="Z24" s="228">
        <v>-993580774.29999995</v>
      </c>
      <c r="AA24" s="228">
        <v>-1274481910.1900001</v>
      </c>
      <c r="AB24" s="228">
        <v>-640951839.41999996</v>
      </c>
      <c r="AC24" s="228">
        <v>1750730656.1800001</v>
      </c>
      <c r="AD24" s="228">
        <v>428493992.19</v>
      </c>
      <c r="AE24" s="228">
        <v>473473831.93000001</v>
      </c>
      <c r="AF24" s="228">
        <v>1084131606.6199999</v>
      </c>
      <c r="AG24" s="228">
        <v>1586828702.28</v>
      </c>
      <c r="AH24" s="228">
        <v>1299445679.3800001</v>
      </c>
      <c r="AI24" s="228">
        <v>763611222.38999999</v>
      </c>
      <c r="AJ24" s="228">
        <v>795431895.69000006</v>
      </c>
      <c r="AK24" s="228">
        <v>-609532250.52999997</v>
      </c>
      <c r="AL24" s="228">
        <v>878115980.08000004</v>
      </c>
      <c r="AM24" s="228">
        <v>848464475.28999996</v>
      </c>
      <c r="AN24" s="228">
        <v>1005339550.22</v>
      </c>
      <c r="AO24" s="228">
        <v>-1164027199.5899999</v>
      </c>
      <c r="AP24" s="228">
        <v>-910105478.90999997</v>
      </c>
      <c r="AQ24" s="228">
        <v>-824271871.38999999</v>
      </c>
      <c r="AR24" s="228">
        <v>13317634.869999999</v>
      </c>
      <c r="AS24" s="228">
        <v>232303057.16999999</v>
      </c>
      <c r="AT24" s="228">
        <v>102340429.64</v>
      </c>
      <c r="AU24" s="228">
        <v>114682289.03</v>
      </c>
      <c r="AV24" s="228">
        <v>67733183.680000007</v>
      </c>
      <c r="AW24" s="228">
        <v>-377094583.62</v>
      </c>
      <c r="AX24" s="228">
        <v>-162665891.11000001</v>
      </c>
      <c r="AY24" s="228">
        <v>-96314213.319999993</v>
      </c>
      <c r="AZ24" s="228">
        <v>159510136.62</v>
      </c>
      <c r="BA24" s="228">
        <v>387539526.37</v>
      </c>
      <c r="BB24" s="228">
        <v>481367622.10000002</v>
      </c>
      <c r="BC24" s="228">
        <v>542189012.48000002</v>
      </c>
      <c r="BD24" s="228">
        <v>300535070.19999999</v>
      </c>
      <c r="BE24" s="228">
        <v>1164549226.24</v>
      </c>
      <c r="BF24" s="228">
        <v>641801556.5</v>
      </c>
      <c r="BG24" s="228">
        <v>423316961.5</v>
      </c>
      <c r="BH24" s="228">
        <v>46918681.5</v>
      </c>
      <c r="BI24" s="228">
        <v>60358944.159999996</v>
      </c>
      <c r="BJ24" s="228">
        <v>73839976.620000005</v>
      </c>
      <c r="BK24" s="228">
        <v>-63206828.630000003</v>
      </c>
      <c r="BL24" s="228">
        <v>14520783.07</v>
      </c>
      <c r="BM24" s="228">
        <v>30398650</v>
      </c>
      <c r="BN24" s="228">
        <v>-48000000</v>
      </c>
      <c r="BO24" s="228">
        <v>-102155502.83</v>
      </c>
      <c r="BP24" s="228">
        <v>-96355930.5</v>
      </c>
      <c r="BQ24" s="228">
        <v>432373011.86000001</v>
      </c>
      <c r="BR24" s="228">
        <v>15390719.83</v>
      </c>
      <c r="BS24" s="228">
        <v>2453913.44</v>
      </c>
      <c r="BT24" s="228">
        <v>0</v>
      </c>
    </row>
    <row r="25" spans="1:74" s="249" customFormat="1" ht="138.6" customHeight="1" x14ac:dyDescent="0.25">
      <c r="A25" s="273" t="s">
        <v>673</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632</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633</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634</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635</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636</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639</v>
      </c>
      <c r="AS41" s="53" t="s">
        <v>640</v>
      </c>
      <c r="AW41" s="53" t="s">
        <v>641</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600</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601</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5" t="s">
        <v>674</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9" sqref="A9"/>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348</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748</v>
      </c>
      <c r="E9" s="63">
        <f>$E$16</f>
        <v>0.09</v>
      </c>
      <c r="F9" s="63">
        <f t="shared" ref="F9:BQ9" si="3">$E$16</f>
        <v>0.09</v>
      </c>
      <c r="G9" s="63">
        <f t="shared" si="3"/>
        <v>0.09</v>
      </c>
      <c r="H9" s="63">
        <f t="shared" si="3"/>
        <v>0.09</v>
      </c>
      <c r="I9" s="63">
        <f t="shared" si="3"/>
        <v>0.09</v>
      </c>
      <c r="J9" s="63">
        <f t="shared" si="3"/>
        <v>0.09</v>
      </c>
      <c r="K9" s="63">
        <f t="shared" si="3"/>
        <v>0.09</v>
      </c>
      <c r="L9" s="63">
        <f t="shared" si="3"/>
        <v>0.09</v>
      </c>
      <c r="M9" s="63">
        <f t="shared" si="3"/>
        <v>0.09</v>
      </c>
      <c r="N9" s="63">
        <f t="shared" si="3"/>
        <v>0.09</v>
      </c>
      <c r="O9" s="63">
        <f t="shared" si="3"/>
        <v>0.09</v>
      </c>
      <c r="P9" s="63">
        <f t="shared" si="3"/>
        <v>0.09</v>
      </c>
      <c r="Q9" s="63">
        <f t="shared" si="3"/>
        <v>0.09</v>
      </c>
      <c r="R9" s="63">
        <f t="shared" si="3"/>
        <v>0.09</v>
      </c>
      <c r="S9" s="63">
        <f t="shared" si="3"/>
        <v>0.09</v>
      </c>
      <c r="T9" s="63">
        <f t="shared" si="3"/>
        <v>0.09</v>
      </c>
      <c r="U9" s="63">
        <f t="shared" si="3"/>
        <v>0.09</v>
      </c>
      <c r="V9" s="63">
        <f t="shared" si="3"/>
        <v>0.09</v>
      </c>
      <c r="W9" s="63">
        <f t="shared" si="3"/>
        <v>0.09</v>
      </c>
      <c r="X9" s="63">
        <f t="shared" si="3"/>
        <v>0.09</v>
      </c>
      <c r="Y9" s="63">
        <f t="shared" si="3"/>
        <v>0.09</v>
      </c>
      <c r="Z9" s="63">
        <f t="shared" si="3"/>
        <v>0.09</v>
      </c>
      <c r="AA9" s="63">
        <f t="shared" si="3"/>
        <v>0.09</v>
      </c>
      <c r="AB9" s="63">
        <f t="shared" si="3"/>
        <v>0.09</v>
      </c>
      <c r="AC9" s="63">
        <f t="shared" si="3"/>
        <v>0.09</v>
      </c>
      <c r="AD9" s="63">
        <f t="shared" si="3"/>
        <v>0.09</v>
      </c>
      <c r="AE9" s="63">
        <f t="shared" si="3"/>
        <v>0.09</v>
      </c>
      <c r="AF9" s="63">
        <f t="shared" si="3"/>
        <v>0.09</v>
      </c>
      <c r="AG9" s="63">
        <f t="shared" si="3"/>
        <v>0.09</v>
      </c>
      <c r="AH9" s="63">
        <f t="shared" si="3"/>
        <v>0.09</v>
      </c>
      <c r="AI9" s="63">
        <f t="shared" si="3"/>
        <v>0.09</v>
      </c>
      <c r="AJ9" s="63">
        <f t="shared" si="3"/>
        <v>0.09</v>
      </c>
      <c r="AK9" s="63">
        <f t="shared" si="3"/>
        <v>0.09</v>
      </c>
      <c r="AL9" s="63">
        <f t="shared" si="3"/>
        <v>0.09</v>
      </c>
      <c r="AM9" s="63">
        <f t="shared" si="3"/>
        <v>0.09</v>
      </c>
      <c r="AN9" s="63">
        <f t="shared" si="3"/>
        <v>0.09</v>
      </c>
      <c r="AO9" s="63">
        <f t="shared" si="3"/>
        <v>0.09</v>
      </c>
      <c r="AP9" s="63">
        <f t="shared" si="3"/>
        <v>0.09</v>
      </c>
      <c r="AQ9" s="63">
        <f t="shared" si="3"/>
        <v>0.09</v>
      </c>
      <c r="AR9" s="63">
        <f t="shared" si="3"/>
        <v>0.09</v>
      </c>
      <c r="AS9" s="63">
        <f t="shared" si="3"/>
        <v>0.09</v>
      </c>
      <c r="AT9" s="63">
        <f t="shared" si="3"/>
        <v>0.09</v>
      </c>
      <c r="AU9" s="63">
        <f t="shared" si="3"/>
        <v>0.09</v>
      </c>
      <c r="AV9" s="63">
        <f t="shared" si="3"/>
        <v>0.09</v>
      </c>
      <c r="AW9" s="63">
        <f t="shared" si="3"/>
        <v>0.09</v>
      </c>
      <c r="AX9" s="63">
        <f t="shared" si="3"/>
        <v>0.09</v>
      </c>
      <c r="AY9" s="63">
        <f t="shared" si="3"/>
        <v>0.09</v>
      </c>
      <c r="AZ9" s="63">
        <f t="shared" si="3"/>
        <v>0.09</v>
      </c>
      <c r="BA9" s="63">
        <f t="shared" si="3"/>
        <v>0.09</v>
      </c>
      <c r="BB9" s="63">
        <f t="shared" si="3"/>
        <v>0.09</v>
      </c>
      <c r="BC9" s="63">
        <f t="shared" si="3"/>
        <v>0.09</v>
      </c>
      <c r="BD9" s="63">
        <f t="shared" si="3"/>
        <v>0.09</v>
      </c>
      <c r="BE9" s="63">
        <f t="shared" si="3"/>
        <v>0.09</v>
      </c>
      <c r="BF9" s="63">
        <f t="shared" si="3"/>
        <v>0.09</v>
      </c>
      <c r="BG9" s="63">
        <f t="shared" si="3"/>
        <v>0.09</v>
      </c>
      <c r="BH9" s="63">
        <f t="shared" si="3"/>
        <v>0.09</v>
      </c>
      <c r="BI9" s="63">
        <f t="shared" si="3"/>
        <v>0.09</v>
      </c>
      <c r="BJ9" s="63">
        <f t="shared" si="3"/>
        <v>0.09</v>
      </c>
      <c r="BK9" s="63">
        <f t="shared" si="3"/>
        <v>0.09</v>
      </c>
      <c r="BL9" s="63">
        <f t="shared" si="3"/>
        <v>0.09</v>
      </c>
      <c r="BM9" s="63">
        <f t="shared" si="3"/>
        <v>0.09</v>
      </c>
      <c r="BN9" s="63">
        <f t="shared" si="3"/>
        <v>0.09</v>
      </c>
      <c r="BO9" s="63">
        <f t="shared" si="3"/>
        <v>0.09</v>
      </c>
      <c r="BP9" s="63">
        <f t="shared" si="3"/>
        <v>0.09</v>
      </c>
      <c r="BQ9" s="63">
        <f t="shared" si="3"/>
        <v>0.09</v>
      </c>
      <c r="BR9" s="63">
        <f>$E$16</f>
        <v>0.09</v>
      </c>
      <c r="BS9" s="63">
        <f>$E$16</f>
        <v>0.09</v>
      </c>
      <c r="BT9" s="63">
        <f>$E$16</f>
        <v>0.09</v>
      </c>
      <c r="BU9" s="63">
        <f>$E$16</f>
        <v>0.09</v>
      </c>
      <c r="BV9" s="63">
        <f>$E$16</f>
        <v>0.09</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349</v>
      </c>
      <c r="E11" s="63">
        <f>E4/E10</f>
        <v>0.41414218958329319</v>
      </c>
      <c r="F11" s="63">
        <f t="shared" ref="F11:BQ11" si="4">F4/F10</f>
        <v>0.46648359803195794</v>
      </c>
      <c r="G11" s="63">
        <f t="shared" si="4"/>
        <v>0.49613110681341399</v>
      </c>
      <c r="H11" s="63">
        <f t="shared" si="4"/>
        <v>0.48421290350713536</v>
      </c>
      <c r="I11" s="63">
        <f t="shared" si="4"/>
        <v>0.54505556156455393</v>
      </c>
      <c r="J11" s="63">
        <f t="shared" si="4"/>
        <v>0.57935462375881563</v>
      </c>
      <c r="K11" s="63">
        <f t="shared" si="4"/>
        <v>0.62269911424687252</v>
      </c>
      <c r="L11" s="63">
        <f t="shared" si="4"/>
        <v>0.61989773186257546</v>
      </c>
      <c r="M11" s="63">
        <f t="shared" si="4"/>
        <v>0.63375401321084524</v>
      </c>
      <c r="N11" s="63">
        <f t="shared" si="4"/>
        <v>0.63465211900211471</v>
      </c>
      <c r="O11" s="63">
        <f t="shared" si="4"/>
        <v>0.62993073965836388</v>
      </c>
      <c r="P11" s="63">
        <f t="shared" si="4"/>
        <v>0.63086394757844266</v>
      </c>
      <c r="Q11" s="63">
        <f t="shared" si="4"/>
        <v>0.62280104901457345</v>
      </c>
      <c r="R11" s="63">
        <f t="shared" si="4"/>
        <v>0.61262289588768726</v>
      </c>
      <c r="S11" s="63">
        <f t="shared" si="4"/>
        <v>0.62597996444518056</v>
      </c>
      <c r="T11" s="63">
        <f t="shared" si="4"/>
        <v>0.57216850378407402</v>
      </c>
      <c r="U11" s="63">
        <f t="shared" si="4"/>
        <v>0.54307881363838117</v>
      </c>
      <c r="V11" s="63">
        <f t="shared" si="4"/>
        <v>0.54082338895299698</v>
      </c>
      <c r="W11" s="63">
        <f t="shared" si="4"/>
        <v>0.55660635393899927</v>
      </c>
      <c r="X11" s="63">
        <f t="shared" si="4"/>
        <v>0.50318658688046469</v>
      </c>
      <c r="Y11" s="63">
        <f t="shared" si="4"/>
        <v>0.48602900529282189</v>
      </c>
      <c r="Z11" s="63">
        <f t="shared" si="4"/>
        <v>0.48903400074695297</v>
      </c>
      <c r="AA11" s="63">
        <f t="shared" si="4"/>
        <v>0.49882817398173224</v>
      </c>
      <c r="AB11" s="63">
        <f t="shared" si="4"/>
        <v>0.45189979211719083</v>
      </c>
      <c r="AC11" s="63">
        <f t="shared" si="4"/>
        <v>0.44497769756070871</v>
      </c>
      <c r="AD11" s="63">
        <f t="shared" si="4"/>
        <v>0.38194038106878436</v>
      </c>
      <c r="AE11" s="63">
        <f t="shared" si="4"/>
        <v>0.44018387974155326</v>
      </c>
      <c r="AF11" s="63">
        <f t="shared" si="4"/>
        <v>0.42709021122648977</v>
      </c>
      <c r="AG11" s="63">
        <f t="shared" si="4"/>
        <v>0.39241978187423465</v>
      </c>
      <c r="AH11" s="63">
        <f t="shared" si="4"/>
        <v>0.39179175251283616</v>
      </c>
      <c r="AI11" s="63">
        <f t="shared" si="4"/>
        <v>0.37408239351060163</v>
      </c>
      <c r="AJ11" s="63">
        <f t="shared" si="4"/>
        <v>0.3336798534774601</v>
      </c>
      <c r="AK11" s="63">
        <f t="shared" si="4"/>
        <v>0.33140913904480723</v>
      </c>
      <c r="AL11" s="63">
        <f t="shared" si="4"/>
        <v>0.38481282877936074</v>
      </c>
      <c r="AM11" s="63">
        <f t="shared" si="4"/>
        <v>0.40162007324953547</v>
      </c>
      <c r="AN11" s="63">
        <f t="shared" si="4"/>
        <v>0.32201221172934286</v>
      </c>
      <c r="AO11" s="63">
        <f t="shared" si="4"/>
        <v>0.23789481965871015</v>
      </c>
      <c r="AP11" s="63">
        <f t="shared" si="4"/>
        <v>0.28344943721746846</v>
      </c>
      <c r="AQ11" s="63">
        <f t="shared" si="4"/>
        <v>0.31316018201076951</v>
      </c>
      <c r="AR11" s="63">
        <f t="shared" si="4"/>
        <v>0.33666582493041347</v>
      </c>
      <c r="AS11" s="63">
        <f t="shared" si="4"/>
        <v>0.32337632984466946</v>
      </c>
      <c r="AT11" s="63">
        <f t="shared" si="4"/>
        <v>0.34854921564306057</v>
      </c>
      <c r="AU11" s="63">
        <f t="shared" si="4"/>
        <v>0.34743987683834299</v>
      </c>
      <c r="AV11" s="63">
        <f t="shared" si="4"/>
        <v>0.34188268539965877</v>
      </c>
      <c r="AW11" s="63">
        <f t="shared" si="4"/>
        <v>0.35446845400434251</v>
      </c>
      <c r="AX11" s="63">
        <f t="shared" si="4"/>
        <v>0.403440436489865</v>
      </c>
      <c r="AY11" s="63">
        <f t="shared" si="4"/>
        <v>0.43800650045272155</v>
      </c>
      <c r="AZ11" s="63">
        <f t="shared" si="4"/>
        <v>0.45550872188894759</v>
      </c>
      <c r="BA11" s="63">
        <f t="shared" si="4"/>
        <v>0.49734320295411066</v>
      </c>
      <c r="BB11" s="63">
        <f t="shared" si="4"/>
        <v>0.52639594010081681</v>
      </c>
      <c r="BC11" s="63">
        <f t="shared" si="4"/>
        <v>0.5544034985808769</v>
      </c>
      <c r="BD11" s="63">
        <f t="shared" si="4"/>
        <v>0.50420617812394253</v>
      </c>
      <c r="BE11" s="63">
        <f t="shared" si="4"/>
        <v>0.47423007149832408</v>
      </c>
      <c r="BF11" s="63">
        <f t="shared" si="4"/>
        <v>0.35511814048448287</v>
      </c>
      <c r="BG11" s="63">
        <f t="shared" si="4"/>
        <v>0.28688469490026186</v>
      </c>
      <c r="BH11" s="63">
        <f t="shared" si="4"/>
        <v>0.13172258632956529</v>
      </c>
      <c r="BI11" s="63">
        <f t="shared" si="4"/>
        <v>0.10727700610026786</v>
      </c>
      <c r="BJ11" s="63">
        <f t="shared" si="4"/>
        <v>0.12155385469318965</v>
      </c>
      <c r="BK11" s="63">
        <f t="shared" si="4"/>
        <v>7.6844176204443698E-2</v>
      </c>
      <c r="BL11" s="63">
        <f t="shared" si="4"/>
        <v>7.6450075025285266E-2</v>
      </c>
      <c r="BM11" s="63">
        <f t="shared" si="4"/>
        <v>9.3544836945946661E-2</v>
      </c>
      <c r="BN11" s="63">
        <f t="shared" si="4"/>
        <v>3.6778754960198265E-2</v>
      </c>
      <c r="BO11" s="63">
        <f t="shared" si="4"/>
        <v>0</v>
      </c>
      <c r="BP11" s="63">
        <f t="shared" si="4"/>
        <v>0</v>
      </c>
      <c r="BQ11" s="63">
        <f t="shared" si="4"/>
        <v>0</v>
      </c>
      <c r="BR11" s="63" t="e">
        <f>BR4/BR10</f>
        <v>#DIV/0!</v>
      </c>
      <c r="BS11" s="63">
        <f>BS4/BS10</f>
        <v>0</v>
      </c>
      <c r="BT11" s="63">
        <f>BT4/BT10</f>
        <v>0.11965666592150205</v>
      </c>
      <c r="BU11" s="63">
        <f>BU4/BU10</f>
        <v>0.34912724120065203</v>
      </c>
      <c r="BV11" s="63" t="e">
        <f>BV4/BV10*100</f>
        <v>#DIV/0!</v>
      </c>
    </row>
    <row r="12" spans="1:74" s="63" customFormat="1" x14ac:dyDescent="0.25">
      <c r="A12" s="17" t="s">
        <v>350</v>
      </c>
      <c r="E12" s="63">
        <f>E8/E10</f>
        <v>0.5858578104167067</v>
      </c>
      <c r="F12" s="63">
        <f t="shared" ref="F12:BQ12" si="5">F8/F10</f>
        <v>0.52695584498977177</v>
      </c>
      <c r="G12" s="63">
        <f t="shared" si="5"/>
        <v>0.50298116277613014</v>
      </c>
      <c r="H12" s="63">
        <f t="shared" si="5"/>
        <v>0.51578709649286458</v>
      </c>
      <c r="I12" s="63">
        <f t="shared" si="5"/>
        <v>0.45475805942755976</v>
      </c>
      <c r="J12" s="63">
        <f t="shared" si="5"/>
        <v>0.42064537624118414</v>
      </c>
      <c r="K12" s="63">
        <f t="shared" si="5"/>
        <v>0.37730088575312787</v>
      </c>
      <c r="L12" s="63">
        <f t="shared" si="5"/>
        <v>0.36940456695246787</v>
      </c>
      <c r="M12" s="63">
        <f t="shared" si="5"/>
        <v>0.36624598678915488</v>
      </c>
      <c r="N12" s="63">
        <f t="shared" si="5"/>
        <v>0.36534788099788545</v>
      </c>
      <c r="O12" s="63">
        <f t="shared" si="5"/>
        <v>0.3700692603416364</v>
      </c>
      <c r="P12" s="63">
        <f t="shared" si="5"/>
        <v>0.36755619189872046</v>
      </c>
      <c r="Q12" s="63">
        <f t="shared" si="5"/>
        <v>0.37719895098542655</v>
      </c>
      <c r="R12" s="63">
        <f t="shared" si="5"/>
        <v>0.38737710411231296</v>
      </c>
      <c r="S12" s="63">
        <f t="shared" si="5"/>
        <v>0.37402003555481983</v>
      </c>
      <c r="T12" s="63">
        <f t="shared" si="5"/>
        <v>0.42783149621592614</v>
      </c>
      <c r="U12" s="63">
        <f t="shared" si="5"/>
        <v>0.45692118636161888</v>
      </c>
      <c r="V12" s="63">
        <f t="shared" si="5"/>
        <v>0.45917661104700302</v>
      </c>
      <c r="W12" s="63">
        <f t="shared" si="5"/>
        <v>0.44339364606100073</v>
      </c>
      <c r="X12" s="63">
        <f t="shared" si="5"/>
        <v>0.49681341311953536</v>
      </c>
      <c r="Y12" s="63">
        <f t="shared" si="5"/>
        <v>0.51397099470717811</v>
      </c>
      <c r="Z12" s="63">
        <f t="shared" si="5"/>
        <v>0.51096599925304675</v>
      </c>
      <c r="AA12" s="63">
        <f t="shared" si="5"/>
        <v>0.49811475875289596</v>
      </c>
      <c r="AB12" s="63">
        <f t="shared" si="5"/>
        <v>0.54500365023819231</v>
      </c>
      <c r="AC12" s="63">
        <f t="shared" si="5"/>
        <v>0.54084852615258139</v>
      </c>
      <c r="AD12" s="63">
        <f t="shared" si="5"/>
        <v>0.61805961893121575</v>
      </c>
      <c r="AE12" s="63">
        <f t="shared" si="5"/>
        <v>0.55981612025844685</v>
      </c>
      <c r="AF12" s="63">
        <f t="shared" si="5"/>
        <v>0.57290978877351018</v>
      </c>
      <c r="AG12" s="63">
        <f t="shared" si="5"/>
        <v>0.60758021812576546</v>
      </c>
      <c r="AH12" s="63">
        <f t="shared" si="5"/>
        <v>0.60820824748716373</v>
      </c>
      <c r="AI12" s="63">
        <f t="shared" si="5"/>
        <v>0.62591760648939831</v>
      </c>
      <c r="AJ12" s="63">
        <f t="shared" si="5"/>
        <v>0.66632014652253979</v>
      </c>
      <c r="AK12" s="63">
        <f t="shared" si="5"/>
        <v>0.6685908609551926</v>
      </c>
      <c r="AL12" s="63">
        <f t="shared" si="5"/>
        <v>0.61518717122063926</v>
      </c>
      <c r="AM12" s="63">
        <f t="shared" si="5"/>
        <v>0.59837992675046459</v>
      </c>
      <c r="AN12" s="63">
        <f t="shared" si="5"/>
        <v>0.56427385501633376</v>
      </c>
      <c r="AO12" s="63">
        <f t="shared" si="5"/>
        <v>0.76210518034129004</v>
      </c>
      <c r="AP12" s="63">
        <f t="shared" si="5"/>
        <v>0.71655056278253138</v>
      </c>
      <c r="AQ12" s="63">
        <f t="shared" si="5"/>
        <v>0.68683981798923055</v>
      </c>
      <c r="AR12" s="63">
        <f t="shared" si="5"/>
        <v>0.56917760801197836</v>
      </c>
      <c r="AS12" s="63">
        <f t="shared" si="5"/>
        <v>0.67662367015533043</v>
      </c>
      <c r="AT12" s="63">
        <f t="shared" si="5"/>
        <v>0.65145078435693948</v>
      </c>
      <c r="AU12" s="63">
        <f t="shared" si="5"/>
        <v>0.62241828679283007</v>
      </c>
      <c r="AV12" s="63">
        <f t="shared" si="5"/>
        <v>0.65811731460034129</v>
      </c>
      <c r="AW12" s="63">
        <f t="shared" si="5"/>
        <v>0.64209472135139534</v>
      </c>
      <c r="AX12" s="63">
        <f t="shared" si="5"/>
        <v>0.59329462933115706</v>
      </c>
      <c r="AY12" s="63">
        <f t="shared" si="5"/>
        <v>0.55907940457736061</v>
      </c>
      <c r="AZ12" s="63">
        <f t="shared" si="5"/>
        <v>0.54218057052590984</v>
      </c>
      <c r="BA12" s="63">
        <f t="shared" si="5"/>
        <v>0.50045590197770373</v>
      </c>
      <c r="BB12" s="63">
        <f t="shared" si="5"/>
        <v>0.47161623239307859</v>
      </c>
      <c r="BC12" s="63">
        <f t="shared" si="5"/>
        <v>0.44480962633328475</v>
      </c>
      <c r="BD12" s="63">
        <f t="shared" si="5"/>
        <v>0.49490223164554614</v>
      </c>
      <c r="BE12" s="63">
        <f t="shared" si="5"/>
        <v>0.52543679679232813</v>
      </c>
      <c r="BF12" s="63">
        <f t="shared" si="5"/>
        <v>0.64364853586814219</v>
      </c>
      <c r="BG12" s="63">
        <f t="shared" si="5"/>
        <v>0.71199279293648854</v>
      </c>
      <c r="BH12" s="63">
        <f t="shared" si="5"/>
        <v>0.85935873635148763</v>
      </c>
      <c r="BI12" s="63">
        <f t="shared" si="5"/>
        <v>0.88718134263186088</v>
      </c>
      <c r="BJ12" s="63">
        <f t="shared" si="5"/>
        <v>0.8760701092023776</v>
      </c>
      <c r="BK12" s="63">
        <f t="shared" si="5"/>
        <v>0.92253513066400672</v>
      </c>
      <c r="BL12" s="63">
        <f t="shared" si="5"/>
        <v>0.83311030033715738</v>
      </c>
      <c r="BM12" s="63">
        <f t="shared" si="5"/>
        <v>1.0506369098413062</v>
      </c>
      <c r="BN12" s="63">
        <f t="shared" si="5"/>
        <v>0.9539981590675195</v>
      </c>
      <c r="BO12" s="63">
        <f t="shared" si="5"/>
        <v>0.99347978087231914</v>
      </c>
      <c r="BP12" s="63">
        <f t="shared" si="5"/>
        <v>0.92837420812561033</v>
      </c>
      <c r="BQ12" s="63">
        <f t="shared" si="5"/>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351</v>
      </c>
      <c r="E13" s="63">
        <f>E5*E11*(1-E6)+E9*E12</f>
        <v>6.5533973558825717E-2</v>
      </c>
      <c r="F13" s="63">
        <f t="shared" ref="F13:J13" si="6">F5*F11*(1-F6)+F9*F12</f>
        <v>4.7426026049079459E-2</v>
      </c>
      <c r="G13" s="63">
        <f t="shared" si="6"/>
        <v>4.5268304649851709E-2</v>
      </c>
      <c r="H13" s="63">
        <f t="shared" si="6"/>
        <v>4.6420838684357812E-2</v>
      </c>
      <c r="I13" s="63">
        <f t="shared" si="6"/>
        <v>6.0225636855828033E-2</v>
      </c>
      <c r="J13" s="63">
        <f t="shared" si="6"/>
        <v>3.7858083861706575E-2</v>
      </c>
      <c r="K13" s="63">
        <f t="shared" ref="K13" si="7">K5*K11*(1-K6)+K9*K12</f>
        <v>3.3957079717781509E-2</v>
      </c>
      <c r="L13" s="63">
        <f t="shared" ref="L13" si="8">L5*L11*(1-L6)+L9*L12</f>
        <v>3.3246411025722108E-2</v>
      </c>
      <c r="M13" s="63">
        <f t="shared" ref="M13" si="9">M5*M11*(1-M6)+M9*M12</f>
        <v>5.4249885126504707E-2</v>
      </c>
      <c r="N13" s="63">
        <f t="shared" ref="N13:O13" si="10">N5*N11*(1-N6)+N9*N12</f>
        <v>3.2881309289809688E-2</v>
      </c>
      <c r="O13" s="63">
        <f t="shared" si="10"/>
        <v>3.3306233430747276E-2</v>
      </c>
      <c r="P13" s="63">
        <f t="shared" ref="P13" si="11">P5*P11*(1-P6)+P9*P12</f>
        <v>3.3080057270884838E-2</v>
      </c>
      <c r="Q13" s="63">
        <f t="shared" ref="Q13" si="12">Q5*Q11*(1-Q6)+Q9*Q12</f>
        <v>5.9274057351573983E-2</v>
      </c>
      <c r="R13" s="63">
        <f t="shared" ref="R13" si="13">R5*R11*(1-R6)+R9*R12</f>
        <v>3.4863939370108163E-2</v>
      </c>
      <c r="S13" s="63">
        <f t="shared" ref="S13:T13" si="14">S5*S11*(1-S6)+S9*S12</f>
        <v>3.3661803199933782E-2</v>
      </c>
      <c r="T13" s="63">
        <f t="shared" si="14"/>
        <v>3.850483465943335E-2</v>
      </c>
      <c r="U13" s="63">
        <f t="shared" ref="U13" si="15">U5*U11*(1-U6)+U9*U12</f>
        <v>6.1363805563911591E-2</v>
      </c>
      <c r="V13" s="63">
        <f t="shared" ref="V13" si="16">V5*V11*(1-V6)+V9*V12</f>
        <v>4.1325894994230269E-2</v>
      </c>
      <c r="W13" s="63">
        <f t="shared" ref="W13" si="17">W5*W11*(1-W6)+W9*W12</f>
        <v>3.9905428145490064E-2</v>
      </c>
      <c r="X13" s="63">
        <f t="shared" ref="X13:Y13" si="18">X5*X11*(1-X6)+X9*X12</f>
        <v>4.4713207180758184E-2</v>
      </c>
      <c r="Y13" s="63">
        <f t="shared" si="18"/>
        <v>6.6835959591948824E-2</v>
      </c>
      <c r="Z13" s="63">
        <f t="shared" ref="Z13" si="19">Z5*Z11*(1-Z6)+Z9*Z12</f>
        <v>4.598693993277421E-2</v>
      </c>
      <c r="AA13" s="63">
        <f t="shared" ref="AA13" si="20">AA5*AA11*(1-AA6)+AA9*AA12</f>
        <v>4.4830328287760637E-2</v>
      </c>
      <c r="AB13" s="63">
        <f t="shared" ref="AB13" si="21">AB5*AB11*(1-AB6)+AB9*AB12</f>
        <v>4.9050328521437307E-2</v>
      </c>
      <c r="AC13" s="63">
        <f t="shared" ref="AC13:AD13" si="22">AC5*AC11*(1-AC6)+AC9*AC12</f>
        <v>6.5697251146659016E-2</v>
      </c>
      <c r="AD13" s="63">
        <f t="shared" si="22"/>
        <v>5.5625365703809417E-2</v>
      </c>
      <c r="AE13" s="63">
        <f t="shared" ref="AE13" si="23">AE5*AE11*(1-AE6)+AE9*AE12</f>
        <v>5.0383450823260213E-2</v>
      </c>
      <c r="AF13" s="63">
        <f t="shared" ref="AF13" si="24">AF5*AF11*(1-AF6)+AF9*AF12</f>
        <v>5.1561880989615914E-2</v>
      </c>
      <c r="AG13" s="63">
        <f t="shared" ref="AG13" si="25">AG5*AG11*(1-AG6)+AG9*AG12</f>
        <v>6.3974697208385403E-2</v>
      </c>
      <c r="AH13" s="63">
        <f t="shared" ref="AH13:AI13" si="26">AH5*AH11*(1-AH6)+AH9*AH12</f>
        <v>5.4738742273844732E-2</v>
      </c>
      <c r="AI13" s="63">
        <f t="shared" si="26"/>
        <v>5.6332584584045844E-2</v>
      </c>
      <c r="AJ13" s="63">
        <f t="shared" ref="AJ13" si="27">AJ5*AJ11*(1-AJ6)+AJ9*AJ12</f>
        <v>5.9968813187028576E-2</v>
      </c>
      <c r="AK13" s="63">
        <f t="shared" ref="AK13" si="28">AK5*AK11*(1-AK6)+AK9*AK12</f>
        <v>6.8738655619720937E-2</v>
      </c>
      <c r="AL13" s="63">
        <f t="shared" ref="AL13" si="29">AL5*AL11*(1-AL6)+AL9*AL12</f>
        <v>5.5366845409857535E-2</v>
      </c>
      <c r="AM13" s="63">
        <f t="shared" ref="AM13:AN13" si="30">AM5*AM11*(1-AM6)+AM9*AM12</f>
        <v>5.3854193407541807E-2</v>
      </c>
      <c r="AN13" s="63">
        <f t="shared" si="30"/>
        <v>5.0784646951470037E-2</v>
      </c>
      <c r="AO13" s="63">
        <f t="shared" ref="AO13" si="31">AO5*AO11*(1-AO6)+AO9*AO12</f>
        <v>8.2294545751216835E-2</v>
      </c>
      <c r="AP13" s="63">
        <f t="shared" ref="AP13" si="32">AP5*AP11*(1-AP6)+AP9*AP12</f>
        <v>6.4489550650427815E-2</v>
      </c>
      <c r="AQ13" s="63">
        <f t="shared" ref="AQ13" si="33">AQ5*AQ11*(1-AQ6)+AQ9*AQ12</f>
        <v>6.1815583619030751E-2</v>
      </c>
      <c r="AR13" s="63">
        <f t="shared" ref="AR13:AS13" si="34">AR5*AR11*(1-AR6)+AR9*AR12</f>
        <v>5.1225984721078054E-2</v>
      </c>
      <c r="AS13" s="63">
        <f t="shared" si="34"/>
        <v>7.7014028380914507E-2</v>
      </c>
      <c r="AT13" s="63">
        <f t="shared" ref="AT13" si="35">AT5*AT11*(1-AT6)+AT9*AT12</f>
        <v>5.8630570592124551E-2</v>
      </c>
      <c r="AU13" s="63">
        <f t="shared" ref="AU13" si="36">AU5*AU11*(1-AU6)+AU9*AU12</f>
        <v>5.6017645811354704E-2</v>
      </c>
      <c r="AV13" s="63">
        <f t="shared" ref="AV13" si="37">AV5*AV11*(1-AV6)+AV9*AV12</f>
        <v>5.9230558314030714E-2</v>
      </c>
      <c r="AW13" s="63">
        <f t="shared" ref="AW13:AX13" si="38">AW5*AW11*(1-AW6)+AW9*AW12</f>
        <v>6.3846757745084345E-2</v>
      </c>
      <c r="AX13" s="63">
        <f t="shared" si="38"/>
        <v>5.3396516639804131E-2</v>
      </c>
      <c r="AY13" s="63">
        <f t="shared" ref="AY13" si="39">AY5*AY11*(1-AY6)+AY9*AY12</f>
        <v>5.031714641196245E-2</v>
      </c>
      <c r="AZ13" s="63">
        <f t="shared" ref="AZ13" si="40">AZ5*AZ11*(1-AZ6)+AZ9*AZ12</f>
        <v>4.8796251347331884E-2</v>
      </c>
      <c r="BA13" s="63">
        <f t="shared" ref="BA13" si="41">BA5*BA11*(1-BA6)+BA9*BA12</f>
        <v>4.6894873927330029E-2</v>
      </c>
      <c r="BB13" s="63">
        <f t="shared" ref="BB13:BC13" si="42">BB5*BB11*(1-BB6)+BB9*BB12</f>
        <v>4.244546091537707E-2</v>
      </c>
      <c r="BC13" s="63">
        <f t="shared" si="42"/>
        <v>4.0032866369995625E-2</v>
      </c>
      <c r="BD13" s="63">
        <f t="shared" ref="BD13" si="43">BD5*BD11*(1-BD6)+BD9*BD12</f>
        <v>4.4541200848099149E-2</v>
      </c>
      <c r="BE13" s="63">
        <f t="shared" ref="BE13" si="44">BE5*BE11*(1-BE6)+BE9*BE12</f>
        <v>5.2340229677718127E-2</v>
      </c>
      <c r="BF13" s="63">
        <f t="shared" ref="BF13" si="45">BF5*BF11*(1-BF6)+BF9*BF12</f>
        <v>5.7928368228132798E-2</v>
      </c>
      <c r="BG13" s="63">
        <f t="shared" ref="BG13:BH13" si="46">BG5*BG11*(1-BG6)+BG9*BG12</f>
        <v>6.4079351364283971E-2</v>
      </c>
      <c r="BH13" s="63">
        <f t="shared" si="46"/>
        <v>7.7342286271633878E-2</v>
      </c>
      <c r="BI13" s="63">
        <f t="shared" ref="BI13" si="47">BI5*BI11*(1-BI6)+BI9*BI12</f>
        <v>8.0686970271486816E-2</v>
      </c>
      <c r="BJ13" s="63">
        <f t="shared" ref="BJ13" si="48">BJ5*BJ11*(1-BJ6)+BJ9*BJ12</f>
        <v>7.8846309828213987E-2</v>
      </c>
      <c r="BK13" s="63">
        <f t="shared" ref="BK13" si="49">BK5*BK11*(1-BK6)+BK9*BK12</f>
        <v>8.3028161759760605E-2</v>
      </c>
      <c r="BL13" s="63">
        <f t="shared" ref="BL13:BM13" si="50">BL5*BL11*(1-BL6)+BL9*BL12</f>
        <v>7.497992703034416E-2</v>
      </c>
      <c r="BM13" s="63">
        <f t="shared" si="50"/>
        <v>9.4557321885717555E-2</v>
      </c>
      <c r="BN13" s="63">
        <f t="shared" ref="BN13" si="51">BN5*BN11*(1-BN6)+BN9*BN12</f>
        <v>8.5859834316076758E-2</v>
      </c>
      <c r="BO13" s="63">
        <f t="shared" ref="BO13" si="52">BO5*BO11*(1-BO6)+BO9*BO12</f>
        <v>8.9413180278508725E-2</v>
      </c>
      <c r="BP13" s="63">
        <f t="shared" ref="BP13" si="53">BP5*BP11*(1-BP6)+BP9*BP12</f>
        <v>8.3553678731304926E-2</v>
      </c>
      <c r="BQ13" s="63">
        <f t="shared" ref="BQ13:BR13" si="54">BQ5*BQ11*(1-BQ6)+BQ9*BQ12</f>
        <v>8.375061175820106E-2</v>
      </c>
      <c r="BR13" s="63" t="e">
        <f t="shared" si="54"/>
        <v>#DIV/0!</v>
      </c>
      <c r="BS13" s="63">
        <f t="shared" ref="BS13" si="55">BS5*BS11*(1-BS6)+BS9*BS12</f>
        <v>8.8514994905466368E-2</v>
      </c>
      <c r="BT13" s="63">
        <f t="shared" ref="BT13" si="56">BT5*BT11*(1-BT6)+BT9*BT12</f>
        <v>7.6967674910626976E-2</v>
      </c>
      <c r="BU13" s="63">
        <f t="shared" ref="BU13" si="57">BU5*BU11*(1-BU6)+BU9*BU12</f>
        <v>5.1550671899719472E-2</v>
      </c>
      <c r="BV13" s="63" t="e">
        <f t="shared" ref="BV13" si="58">BV5*BV11*(1-BV6)+BV9*BV12</f>
        <v>#DIV/0!</v>
      </c>
    </row>
    <row r="14" spans="1:74" s="16" customFormat="1" ht="56.4" customHeight="1" x14ac:dyDescent="0.25">
      <c r="A14" s="277" t="s">
        <v>675</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t="s">
        <v>335</v>
      </c>
      <c r="E16" s="45">
        <v>0.09</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554</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555</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560</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336</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337</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338</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642</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644</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341</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342</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643</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347</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645</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345</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346</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670</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671</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4" t="s">
        <v>576</v>
      </c>
      <c r="B19" s="115"/>
      <c r="C19" s="115"/>
      <c r="D19" s="115"/>
      <c r="E19" s="115" t="s">
        <v>569</v>
      </c>
      <c r="F19" s="115"/>
      <c r="G19" s="115"/>
      <c r="H19" s="115"/>
      <c r="I19" s="115" t="s">
        <v>604</v>
      </c>
      <c r="M19" s="115" t="s">
        <v>571</v>
      </c>
      <c r="N19" s="63"/>
      <c r="O19" s="63"/>
      <c r="P19" s="63"/>
      <c r="Q19" s="63"/>
      <c r="R19" s="63"/>
      <c r="S19" s="63"/>
      <c r="T19" s="63"/>
      <c r="U19" s="63"/>
    </row>
    <row r="20" spans="1:90" s="63" customFormat="1" ht="14.25" customHeight="1" x14ac:dyDescent="0.25">
      <c r="A20" s="114" t="s">
        <v>577</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575</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578</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579</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580</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556</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564</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557</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565</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574</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558</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559</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561</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568</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562</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566</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563</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567</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637</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32" customFormat="1" x14ac:dyDescent="0.25">
      <c r="A39" s="229" t="s">
        <v>554</v>
      </c>
      <c r="B39" s="230"/>
      <c r="C39" s="230"/>
      <c r="D39" s="230"/>
      <c r="E39" s="231">
        <f>E2/E9</f>
        <v>5.8729835069126025E-2</v>
      </c>
      <c r="F39" s="231">
        <f t="shared" ref="F39:U39" si="37">F2/F9</f>
        <v>5.4790197966374451E-2</v>
      </c>
      <c r="G39" s="231">
        <f t="shared" si="37"/>
        <v>4.8770391375439787E-2</v>
      </c>
      <c r="H39" s="231">
        <f t="shared" si="37"/>
        <v>6.6590279939330574E-2</v>
      </c>
      <c r="I39" s="231">
        <f t="shared" si="37"/>
        <v>4.9777090151832036E-2</v>
      </c>
      <c r="J39" s="231">
        <f t="shared" si="37"/>
        <v>6.136443074404991E-2</v>
      </c>
      <c r="K39" s="231">
        <f t="shared" si="37"/>
        <v>4.7986238934046382E-2</v>
      </c>
      <c r="L39" s="231">
        <f t="shared" si="37"/>
        <v>6.3346935888986378E-2</v>
      </c>
      <c r="M39" s="231">
        <f t="shared" si="37"/>
        <v>5.1548913164028834E-2</v>
      </c>
      <c r="N39" s="231">
        <f t="shared" si="37"/>
        <v>3.2691183757421451E-2</v>
      </c>
      <c r="O39" s="231">
        <f t="shared" si="37"/>
        <v>2.8693412108217037E-2</v>
      </c>
      <c r="P39" s="231">
        <f t="shared" si="37"/>
        <v>3.1663516425255868E-2</v>
      </c>
      <c r="Q39" s="231">
        <f t="shared" si="37"/>
        <v>2.9874433016640226E-2</v>
      </c>
      <c r="R39" s="231">
        <f t="shared" si="37"/>
        <v>3.3712106959483248E-2</v>
      </c>
      <c r="S39" s="231">
        <f t="shared" si="37"/>
        <v>5.5615510080103236E-2</v>
      </c>
      <c r="T39" s="231">
        <f t="shared" si="37"/>
        <v>5.8351428974943942E-2</v>
      </c>
      <c r="U39" s="231">
        <f t="shared" si="37"/>
        <v>4.1312812000540461E-2</v>
      </c>
    </row>
    <row r="40" spans="1:89" s="232" customFormat="1" x14ac:dyDescent="0.25">
      <c r="A40" s="229" t="s">
        <v>555</v>
      </c>
      <c r="B40" s="230"/>
      <c r="C40" s="230"/>
      <c r="D40" s="230"/>
      <c r="E40" s="231">
        <f>E3/E9</f>
        <v>1.0013086277810366E-2</v>
      </c>
      <c r="F40" s="231">
        <f t="shared" ref="F40:U40" si="38">F3/F9</f>
        <v>8.6685614157093922E-3</v>
      </c>
      <c r="G40" s="231">
        <f t="shared" si="38"/>
        <v>8.5508811933094966E-3</v>
      </c>
      <c r="H40" s="231">
        <f t="shared" si="38"/>
        <v>8.7411081907626635E-3</v>
      </c>
      <c r="I40" s="231">
        <f t="shared" si="38"/>
        <v>9.0114640229200255E-3</v>
      </c>
      <c r="J40" s="231">
        <f t="shared" si="38"/>
        <v>8.6941141881268121E-3</v>
      </c>
      <c r="K40" s="231">
        <f t="shared" si="38"/>
        <v>4.8867418924475421E-3</v>
      </c>
      <c r="L40" s="231">
        <f t="shared" si="38"/>
        <v>4.9439841955105672E-3</v>
      </c>
      <c r="M40" s="231">
        <f t="shared" si="38"/>
        <v>4.5987707093758639E-3</v>
      </c>
      <c r="N40" s="231">
        <f t="shared" si="38"/>
        <v>4.625511422180332E-3</v>
      </c>
      <c r="O40" s="231">
        <f t="shared" si="38"/>
        <v>2.3480425160858007E-3</v>
      </c>
      <c r="P40" s="231">
        <f t="shared" si="38"/>
        <v>2.3221858219087234E-3</v>
      </c>
      <c r="Q40" s="231">
        <f t="shared" si="38"/>
        <v>2.5194542549126413E-3</v>
      </c>
      <c r="R40" s="231">
        <f t="shared" si="38"/>
        <v>2.721796802993939E-3</v>
      </c>
      <c r="S40" s="231">
        <f t="shared" si="38"/>
        <v>3.5300888586036784E-3</v>
      </c>
      <c r="T40" s="231">
        <f t="shared" si="38"/>
        <v>3.7394635234311996E-3</v>
      </c>
      <c r="U40" s="231">
        <f t="shared" si="38"/>
        <v>4.3459473267063653E-3</v>
      </c>
    </row>
    <row r="41" spans="1:89" x14ac:dyDescent="0.25">
      <c r="A41" s="189" t="s">
        <v>560</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336</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337</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338</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32" customFormat="1" x14ac:dyDescent="0.25">
      <c r="A45" s="229" t="s">
        <v>339</v>
      </c>
      <c r="B45" s="230"/>
      <c r="C45" s="230"/>
      <c r="D45" s="230"/>
      <c r="E45" s="231">
        <f>E8/E9</f>
        <v>0.93125707865306362</v>
      </c>
      <c r="F45" s="231">
        <f t="shared" ref="F45:U45" si="43">F8/F9</f>
        <v>0.9365412406179161</v>
      </c>
      <c r="G45" s="231">
        <f t="shared" si="43"/>
        <v>0.9426787274312507</v>
      </c>
      <c r="H45" s="231">
        <f t="shared" si="43"/>
        <v>0.92466861186990668</v>
      </c>
      <c r="I45" s="231">
        <f t="shared" si="43"/>
        <v>0.94121144582524785</v>
      </c>
      <c r="J45" s="231">
        <f t="shared" si="43"/>
        <v>0.92994145506782333</v>
      </c>
      <c r="K45" s="231">
        <f t="shared" si="43"/>
        <v>0.94712701917350617</v>
      </c>
      <c r="L45" s="231">
        <f t="shared" si="43"/>
        <v>0.931709079915503</v>
      </c>
      <c r="M45" s="231">
        <f t="shared" si="43"/>
        <v>0.94385231612659526</v>
      </c>
      <c r="N45" s="231">
        <f t="shared" si="43"/>
        <v>0.96268330482039821</v>
      </c>
      <c r="O45" s="231">
        <f t="shared" si="43"/>
        <v>0.96895854537569714</v>
      </c>
      <c r="P45" s="231">
        <f t="shared" si="43"/>
        <v>0.96601429775283543</v>
      </c>
      <c r="Q45" s="231">
        <f t="shared" si="43"/>
        <v>0.9676061127284471</v>
      </c>
      <c r="R45" s="231">
        <f t="shared" si="43"/>
        <v>0.96356609623752287</v>
      </c>
      <c r="S45" s="231">
        <f t="shared" si="43"/>
        <v>0.94085440106129314</v>
      </c>
      <c r="T45" s="231">
        <f t="shared" si="43"/>
        <v>0.93790910750162493</v>
      </c>
      <c r="U45" s="231">
        <f t="shared" si="43"/>
        <v>0.95434124067275317</v>
      </c>
    </row>
    <row r="46" spans="1:89" x14ac:dyDescent="0.25">
      <c r="A46" s="190" t="s">
        <v>340</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341</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342</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343</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347</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344</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36" t="s">
        <v>646</v>
      </c>
      <c r="B54" s="237"/>
      <c r="C54" s="237"/>
      <c r="D54" s="237"/>
      <c r="E54" s="238">
        <f>E1</f>
        <v>43100</v>
      </c>
      <c r="F54" s="238">
        <f t="shared" ref="F54:U54" si="50">F1</f>
        <v>43008</v>
      </c>
      <c r="G54" s="238">
        <f t="shared" si="50"/>
        <v>42916</v>
      </c>
      <c r="H54" s="238">
        <f t="shared" si="50"/>
        <v>42825</v>
      </c>
      <c r="I54" s="238">
        <f t="shared" si="50"/>
        <v>42735</v>
      </c>
      <c r="J54" s="238">
        <f t="shared" si="50"/>
        <v>42643</v>
      </c>
      <c r="K54" s="238">
        <f t="shared" si="50"/>
        <v>42551</v>
      </c>
      <c r="L54" s="238">
        <f t="shared" si="50"/>
        <v>42460</v>
      </c>
      <c r="M54" s="238">
        <f t="shared" si="50"/>
        <v>42369</v>
      </c>
      <c r="N54" s="238">
        <f t="shared" si="50"/>
        <v>42277</v>
      </c>
      <c r="O54" s="238">
        <f t="shared" si="50"/>
        <v>42185</v>
      </c>
      <c r="P54" s="238">
        <f t="shared" si="50"/>
        <v>42094</v>
      </c>
      <c r="Q54" s="238">
        <f t="shared" si="50"/>
        <v>42004</v>
      </c>
      <c r="R54" s="238">
        <f t="shared" si="50"/>
        <v>41912</v>
      </c>
      <c r="S54" s="238">
        <f t="shared" si="50"/>
        <v>41820</v>
      </c>
      <c r="T54" s="238">
        <f t="shared" si="50"/>
        <v>41729</v>
      </c>
      <c r="U54" s="238">
        <f t="shared" si="50"/>
        <v>41639</v>
      </c>
    </row>
    <row r="55" spans="1:21" x14ac:dyDescent="0.25">
      <c r="A55" s="189" t="s">
        <v>650</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651</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652</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653</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32" customFormat="1" x14ac:dyDescent="0.25">
      <c r="A59" s="234" t="s">
        <v>647</v>
      </c>
      <c r="B59" s="230"/>
      <c r="C59" s="230"/>
      <c r="D59" s="230"/>
      <c r="E59" s="231">
        <f>E55+E56</f>
        <v>0.23279453840754472</v>
      </c>
      <c r="F59" s="231">
        <f t="shared" ref="F59:U59" si="55">F55+F56</f>
        <v>0.23573248339338315</v>
      </c>
      <c r="G59" s="231">
        <f t="shared" si="55"/>
        <v>0.23265530029850584</v>
      </c>
      <c r="H59" s="231">
        <f t="shared" si="55"/>
        <v>0.17134259428809984</v>
      </c>
      <c r="I59" s="231">
        <f t="shared" si="55"/>
        <v>7.6933356427023578E-2</v>
      </c>
      <c r="J59" s="231">
        <f t="shared" si="55"/>
        <v>7.2060644976403257E-2</v>
      </c>
      <c r="K59" s="231">
        <f t="shared" si="55"/>
        <v>9.0936330188548936E-2</v>
      </c>
      <c r="L59" s="231">
        <f t="shared" si="55"/>
        <v>8.4498488797694865E-2</v>
      </c>
      <c r="M59" s="231">
        <f t="shared" si="55"/>
        <v>9.8439349294142428E-2</v>
      </c>
      <c r="N59" s="231">
        <f t="shared" si="55"/>
        <v>0.1156330866277436</v>
      </c>
      <c r="O59" s="231">
        <f t="shared" si="55"/>
        <v>9.5601736435007106E-2</v>
      </c>
      <c r="P59" s="231">
        <f t="shared" si="55"/>
        <v>0.13079706926060666</v>
      </c>
      <c r="Q59" s="231">
        <f t="shared" si="55"/>
        <v>0.10278510315997727</v>
      </c>
      <c r="R59" s="231">
        <f t="shared" si="55"/>
        <v>0.11236571151746472</v>
      </c>
      <c r="S59" s="231">
        <f t="shared" si="55"/>
        <v>0.17603086790055494</v>
      </c>
      <c r="T59" s="231">
        <f t="shared" si="55"/>
        <v>0.16720602647065974</v>
      </c>
      <c r="U59" s="231">
        <f t="shared" si="55"/>
        <v>0.11857502063060447</v>
      </c>
    </row>
    <row r="60" spans="1:21" x14ac:dyDescent="0.25">
      <c r="A60" s="189" t="s">
        <v>654</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655</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32" customFormat="1" x14ac:dyDescent="0.25">
      <c r="A62" s="234" t="s">
        <v>648</v>
      </c>
      <c r="B62" s="230"/>
      <c r="C62" s="230"/>
      <c r="D62" s="230"/>
      <c r="E62" s="231">
        <f>E60+E61</f>
        <v>0.76720546159245528</v>
      </c>
      <c r="F62" s="231">
        <f t="shared" ref="F62:M62" si="58">F60+F61</f>
        <v>0.76426751660661663</v>
      </c>
      <c r="G62" s="231">
        <f t="shared" si="58"/>
        <v>0.7673446997014941</v>
      </c>
      <c r="H62" s="231">
        <f t="shared" si="58"/>
        <v>0.82865740571190016</v>
      </c>
      <c r="I62" s="231">
        <f t="shared" si="58"/>
        <v>0.92306664357297641</v>
      </c>
      <c r="J62" s="231">
        <f t="shared" si="58"/>
        <v>0.9279393550235967</v>
      </c>
      <c r="K62" s="231">
        <f t="shared" si="58"/>
        <v>0.90906366981145115</v>
      </c>
      <c r="L62" s="231">
        <f t="shared" si="58"/>
        <v>0.91550151120230516</v>
      </c>
      <c r="M62" s="231">
        <f t="shared" si="58"/>
        <v>0.90156065070585745</v>
      </c>
      <c r="N62" s="231">
        <f t="shared" ref="N62" si="59">N60+N61</f>
        <v>0.88436691337225637</v>
      </c>
      <c r="O62" s="231">
        <f t="shared" ref="O62" si="60">O60+O61</f>
        <v>0.90439826356499298</v>
      </c>
      <c r="P62" s="231">
        <f t="shared" ref="P62" si="61">P60+P61</f>
        <v>0.86920293073939348</v>
      </c>
      <c r="Q62" s="231">
        <f t="shared" ref="Q62" si="62">Q60+Q61</f>
        <v>0.89721489684002276</v>
      </c>
      <c r="R62" s="231">
        <f t="shared" ref="R62" si="63">R60+R61</f>
        <v>0.88763428848253534</v>
      </c>
      <c r="S62" s="231">
        <f t="shared" ref="S62" si="64">S60+S61</f>
        <v>0.82396913209944522</v>
      </c>
      <c r="T62" s="231">
        <f t="shared" ref="T62" si="65">T60+T61</f>
        <v>0.83279397352934037</v>
      </c>
      <c r="U62" s="231">
        <f t="shared" ref="U62" si="66">U60+U61</f>
        <v>0.88142497936939557</v>
      </c>
    </row>
    <row r="63" spans="1:21" x14ac:dyDescent="0.25">
      <c r="A63" s="233" t="s">
        <v>649</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79" t="s">
        <v>707</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9" t="s">
        <v>656</v>
      </c>
      <c r="E66" s="240">
        <f>E1</f>
        <v>43100</v>
      </c>
      <c r="F66" s="240">
        <f t="shared" ref="F66:U66" si="67">F1</f>
        <v>43008</v>
      </c>
      <c r="G66" s="240">
        <f t="shared" si="67"/>
        <v>42916</v>
      </c>
      <c r="H66" s="240">
        <f t="shared" si="67"/>
        <v>42825</v>
      </c>
      <c r="I66" s="240">
        <f t="shared" si="67"/>
        <v>42735</v>
      </c>
      <c r="J66" s="240">
        <f t="shared" si="67"/>
        <v>42643</v>
      </c>
      <c r="K66" s="240">
        <f t="shared" si="67"/>
        <v>42551</v>
      </c>
      <c r="L66" s="240">
        <f t="shared" si="67"/>
        <v>42460</v>
      </c>
      <c r="M66" s="240">
        <f t="shared" si="67"/>
        <v>42369</v>
      </c>
      <c r="N66" s="240">
        <f t="shared" si="67"/>
        <v>42277</v>
      </c>
      <c r="O66" s="240">
        <f t="shared" si="67"/>
        <v>42185</v>
      </c>
      <c r="P66" s="240">
        <f t="shared" si="67"/>
        <v>42094</v>
      </c>
      <c r="Q66" s="240">
        <f t="shared" si="67"/>
        <v>42004</v>
      </c>
      <c r="R66" s="240">
        <f t="shared" si="67"/>
        <v>41912</v>
      </c>
      <c r="S66" s="240">
        <f t="shared" si="67"/>
        <v>41820</v>
      </c>
      <c r="T66" s="240">
        <f t="shared" si="67"/>
        <v>41729</v>
      </c>
      <c r="U66" s="240">
        <f t="shared" si="67"/>
        <v>41639</v>
      </c>
    </row>
    <row r="67" spans="1:21" x14ac:dyDescent="0.25">
      <c r="A67" s="17" t="s">
        <v>657</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658</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659</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41" customFormat="1" x14ac:dyDescent="0.25">
      <c r="A70" s="241" t="s">
        <v>662</v>
      </c>
      <c r="E70" s="241">
        <f>E69/E74</f>
        <v>0.41414218958329319</v>
      </c>
      <c r="F70" s="241">
        <f t="shared" ref="F70:U70" si="71">F69/F74</f>
        <v>0.46648359803195794</v>
      </c>
      <c r="G70" s="241">
        <f t="shared" si="71"/>
        <v>0.49613110681341399</v>
      </c>
      <c r="H70" s="241">
        <f t="shared" si="71"/>
        <v>0.48421290350713536</v>
      </c>
      <c r="I70" s="241">
        <f t="shared" si="71"/>
        <v>0.54505556156455393</v>
      </c>
      <c r="J70" s="241">
        <f t="shared" si="71"/>
        <v>0.57935462375881563</v>
      </c>
      <c r="K70" s="241">
        <f t="shared" si="71"/>
        <v>0.62269911424687252</v>
      </c>
      <c r="L70" s="241">
        <f t="shared" si="71"/>
        <v>0.61989773186257546</v>
      </c>
      <c r="M70" s="241">
        <f t="shared" si="71"/>
        <v>0.63375401321084524</v>
      </c>
      <c r="N70" s="241">
        <f t="shared" si="71"/>
        <v>0.63465211900211471</v>
      </c>
      <c r="O70" s="241">
        <f t="shared" si="71"/>
        <v>0.62993073965836388</v>
      </c>
      <c r="P70" s="241">
        <f t="shared" si="71"/>
        <v>0.63086394757844266</v>
      </c>
      <c r="Q70" s="241">
        <f t="shared" si="71"/>
        <v>0.62280104901457345</v>
      </c>
      <c r="R70" s="241">
        <f t="shared" si="71"/>
        <v>0.61262289588768726</v>
      </c>
      <c r="S70" s="241">
        <f t="shared" si="71"/>
        <v>0.62597996444518056</v>
      </c>
      <c r="T70" s="241">
        <f t="shared" si="71"/>
        <v>0.57216850378407402</v>
      </c>
      <c r="U70" s="241">
        <f t="shared" si="71"/>
        <v>0.54307881363838117</v>
      </c>
    </row>
    <row r="71" spans="1:21" x14ac:dyDescent="0.25">
      <c r="A71" s="17" t="s">
        <v>660</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41" customFormat="1" x14ac:dyDescent="0.25">
      <c r="A72" s="241" t="s">
        <v>663</v>
      </c>
      <c r="E72" s="241">
        <f>E71/E74</f>
        <v>0.58585781041670681</v>
      </c>
      <c r="F72" s="241">
        <f t="shared" ref="F72:U72" si="73">F71/F74</f>
        <v>0.53351640196804206</v>
      </c>
      <c r="G72" s="241">
        <f t="shared" si="73"/>
        <v>0.50386889318658601</v>
      </c>
      <c r="H72" s="241">
        <f t="shared" si="73"/>
        <v>0.51578709649286458</v>
      </c>
      <c r="I72" s="241">
        <f t="shared" si="73"/>
        <v>0.45494443843544602</v>
      </c>
      <c r="J72" s="241">
        <f t="shared" si="73"/>
        <v>0.42064537624118431</v>
      </c>
      <c r="K72" s="241">
        <f t="shared" si="73"/>
        <v>0.37730088575312754</v>
      </c>
      <c r="L72" s="241">
        <f t="shared" si="73"/>
        <v>0.38010226813742448</v>
      </c>
      <c r="M72" s="241">
        <f t="shared" si="73"/>
        <v>0.36624598678915482</v>
      </c>
      <c r="N72" s="241">
        <f t="shared" si="73"/>
        <v>0.36534788099788529</v>
      </c>
      <c r="O72" s="241">
        <f t="shared" si="73"/>
        <v>0.37006926034163612</v>
      </c>
      <c r="P72" s="241">
        <f t="shared" si="73"/>
        <v>0.36913605242155734</v>
      </c>
      <c r="Q72" s="241">
        <f t="shared" si="73"/>
        <v>0.37719895098542655</v>
      </c>
      <c r="R72" s="241">
        <f t="shared" si="73"/>
        <v>0.38737710411231274</v>
      </c>
      <c r="S72" s="241">
        <f t="shared" si="73"/>
        <v>0.3740200355548195</v>
      </c>
      <c r="T72" s="241">
        <f t="shared" si="73"/>
        <v>0.42783149621592598</v>
      </c>
      <c r="U72" s="241">
        <f t="shared" si="73"/>
        <v>0.45692118636161877</v>
      </c>
    </row>
    <row r="73" spans="1:21" s="243" customFormat="1" x14ac:dyDescent="0.25">
      <c r="A73" s="242" t="s">
        <v>664</v>
      </c>
      <c r="E73" s="244">
        <f>E74/E71</f>
        <v>1.7068988109738157</v>
      </c>
      <c r="F73" s="244">
        <f t="shared" ref="F73:U73" si="74">F74/F71</f>
        <v>1.8743566201736017</v>
      </c>
      <c r="G73" s="244">
        <f t="shared" si="74"/>
        <v>1.9846432544699546</v>
      </c>
      <c r="H73" s="244">
        <f t="shared" si="74"/>
        <v>1.9387844457520933</v>
      </c>
      <c r="I73" s="244">
        <f t="shared" si="74"/>
        <v>2.1980706115212665</v>
      </c>
      <c r="J73" s="244">
        <f t="shared" si="74"/>
        <v>2.3772993986902464</v>
      </c>
      <c r="K73" s="244">
        <f t="shared" si="74"/>
        <v>2.6504045915606782</v>
      </c>
      <c r="L73" s="244">
        <f t="shared" si="74"/>
        <v>2.6308709098217058</v>
      </c>
      <c r="M73" s="244">
        <f t="shared" si="74"/>
        <v>2.7304053452350669</v>
      </c>
      <c r="N73" s="244">
        <f t="shared" si="74"/>
        <v>2.737117284678567</v>
      </c>
      <c r="O73" s="244">
        <f t="shared" si="74"/>
        <v>2.7021968781650005</v>
      </c>
      <c r="P73" s="244">
        <f t="shared" si="74"/>
        <v>2.7090282659738403</v>
      </c>
      <c r="Q73" s="244">
        <f t="shared" si="74"/>
        <v>2.6511208405736948</v>
      </c>
      <c r="R73" s="244">
        <f t="shared" si="74"/>
        <v>2.5814638743080405</v>
      </c>
      <c r="S73" s="244">
        <f t="shared" si="74"/>
        <v>2.6736535611430678</v>
      </c>
      <c r="T73" s="244">
        <f t="shared" si="74"/>
        <v>2.337368821241018</v>
      </c>
      <c r="U73" s="244">
        <f t="shared" si="74"/>
        <v>2.1885612439265949</v>
      </c>
    </row>
    <row r="74" spans="1:21" x14ac:dyDescent="0.25">
      <c r="A74" s="17" t="s">
        <v>661</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77" t="s">
        <v>708</v>
      </c>
      <c r="B75" s="276"/>
      <c r="C75" s="276"/>
      <c r="D75" s="276"/>
      <c r="E75" s="276"/>
      <c r="F75" s="276"/>
      <c r="G75" s="276"/>
      <c r="H75" s="276"/>
      <c r="I75" s="276"/>
      <c r="J75" s="276"/>
      <c r="K75" s="276"/>
      <c r="L75" s="276"/>
      <c r="M75" s="276"/>
      <c r="N75" s="276"/>
      <c r="O75" s="276"/>
      <c r="P75" s="276"/>
      <c r="Q75" s="276"/>
      <c r="R75" s="276"/>
      <c r="S75" s="276"/>
      <c r="T75" s="276"/>
      <c r="U75" s="276"/>
    </row>
    <row r="77" spans="1:21" s="245" customFormat="1" x14ac:dyDescent="0.25">
      <c r="A77" s="246" t="s">
        <v>665</v>
      </c>
      <c r="B77" s="247"/>
      <c r="C77" s="247"/>
      <c r="D77" s="247"/>
      <c r="E77" s="248">
        <f>E1</f>
        <v>43100</v>
      </c>
      <c r="F77" s="248">
        <f t="shared" ref="F77:U77" si="76">F1</f>
        <v>43008</v>
      </c>
      <c r="G77" s="248">
        <f t="shared" si="76"/>
        <v>42916</v>
      </c>
      <c r="H77" s="248">
        <f t="shared" si="76"/>
        <v>42825</v>
      </c>
      <c r="I77" s="248">
        <f t="shared" si="76"/>
        <v>42735</v>
      </c>
      <c r="J77" s="248">
        <f t="shared" si="76"/>
        <v>42643</v>
      </c>
      <c r="K77" s="248">
        <f t="shared" si="76"/>
        <v>42551</v>
      </c>
      <c r="L77" s="248">
        <f t="shared" si="76"/>
        <v>42460</v>
      </c>
      <c r="M77" s="248">
        <f t="shared" si="76"/>
        <v>42369</v>
      </c>
      <c r="N77" s="248">
        <f t="shared" si="76"/>
        <v>42277</v>
      </c>
      <c r="O77" s="248">
        <f t="shared" si="76"/>
        <v>42185</v>
      </c>
      <c r="P77" s="248">
        <f t="shared" si="76"/>
        <v>42094</v>
      </c>
      <c r="Q77" s="248">
        <f t="shared" si="76"/>
        <v>42004</v>
      </c>
      <c r="R77" s="248">
        <f t="shared" si="76"/>
        <v>41912</v>
      </c>
      <c r="S77" s="248">
        <f t="shared" si="76"/>
        <v>41820</v>
      </c>
      <c r="T77" s="248">
        <f t="shared" si="76"/>
        <v>41729</v>
      </c>
      <c r="U77" s="248">
        <f t="shared" si="76"/>
        <v>41639</v>
      </c>
    </row>
    <row r="78" spans="1:21" x14ac:dyDescent="0.25">
      <c r="A78" s="189" t="s">
        <v>657</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666</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27" customFormat="1" x14ac:dyDescent="0.25">
      <c r="A80" s="231" t="s">
        <v>667</v>
      </c>
      <c r="B80" s="231"/>
      <c r="C80" s="231"/>
      <c r="D80" s="231"/>
      <c r="E80" s="231">
        <f>E79/E85</f>
        <v>0.293690716989573</v>
      </c>
      <c r="F80" s="231">
        <f t="shared" ref="F80:U80" si="79">F79/F85</f>
        <v>0.32456454974588089</v>
      </c>
      <c r="G80" s="231">
        <f t="shared" si="79"/>
        <v>0.3378613917536426</v>
      </c>
      <c r="H80" s="231">
        <f t="shared" si="79"/>
        <v>0.28496231329994587</v>
      </c>
      <c r="I80" s="231">
        <f t="shared" si="79"/>
        <v>0.31348259541180812</v>
      </c>
      <c r="J80" s="231">
        <f t="shared" si="79"/>
        <v>0.29096239384442152</v>
      </c>
      <c r="K80" s="231">
        <f t="shared" si="79"/>
        <v>0.36306851817729452</v>
      </c>
      <c r="L80" s="231">
        <f t="shared" si="79"/>
        <v>0.31741088468502482</v>
      </c>
      <c r="M80" s="231">
        <f t="shared" si="79"/>
        <v>0.3020724046165833</v>
      </c>
      <c r="N80" s="231">
        <f t="shared" si="79"/>
        <v>0.29612362590511293</v>
      </c>
      <c r="O80" s="231">
        <f t="shared" si="79"/>
        <v>0.25155727472146605</v>
      </c>
      <c r="P80" s="231">
        <f t="shared" si="79"/>
        <v>0.21242841045605468</v>
      </c>
      <c r="Q80" s="231">
        <f t="shared" si="79"/>
        <v>0.20128130704974445</v>
      </c>
      <c r="R80" s="231">
        <f t="shared" si="79"/>
        <v>0.19754952526387204</v>
      </c>
      <c r="S80" s="231">
        <f t="shared" si="79"/>
        <v>0.24363293613319373</v>
      </c>
      <c r="T80" s="231">
        <f t="shared" si="79"/>
        <v>0.21082204786682276</v>
      </c>
      <c r="U80" s="231">
        <f t="shared" si="79"/>
        <v>0.19782571551102468</v>
      </c>
    </row>
    <row r="81" spans="1:21" x14ac:dyDescent="0.25">
      <c r="A81" s="189" t="s">
        <v>658</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660</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668</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27" customFormat="1" x14ac:dyDescent="0.25">
      <c r="A84" s="231" t="s">
        <v>669</v>
      </c>
      <c r="B84" s="231"/>
      <c r="C84" s="231"/>
      <c r="D84" s="231"/>
      <c r="E84" s="231">
        <f>E83/E85</f>
        <v>0.70630928301042695</v>
      </c>
      <c r="F84" s="231">
        <f t="shared" ref="F84:U84" si="83">F83/F85</f>
        <v>0.67543545025411911</v>
      </c>
      <c r="G84" s="231">
        <f t="shared" si="83"/>
        <v>0.6621386082463574</v>
      </c>
      <c r="H84" s="231">
        <f t="shared" si="83"/>
        <v>0.71503768670005408</v>
      </c>
      <c r="I84" s="231">
        <f t="shared" si="83"/>
        <v>0.68651740458819188</v>
      </c>
      <c r="J84" s="231">
        <f t="shared" si="83"/>
        <v>0.70903760615557854</v>
      </c>
      <c r="K84" s="231">
        <f t="shared" si="83"/>
        <v>0.63693148182270543</v>
      </c>
      <c r="L84" s="231">
        <f t="shared" si="83"/>
        <v>0.68258911531497524</v>
      </c>
      <c r="M84" s="231">
        <f t="shared" si="83"/>
        <v>0.69792759538341664</v>
      </c>
      <c r="N84" s="231">
        <f t="shared" si="83"/>
        <v>0.7038763740948869</v>
      </c>
      <c r="O84" s="231">
        <f t="shared" si="83"/>
        <v>0.74844272527853384</v>
      </c>
      <c r="P84" s="231">
        <f t="shared" si="83"/>
        <v>0.78757158954394535</v>
      </c>
      <c r="Q84" s="231">
        <f t="shared" si="83"/>
        <v>0.79871869295025555</v>
      </c>
      <c r="R84" s="231">
        <f t="shared" si="83"/>
        <v>0.80245047473612796</v>
      </c>
      <c r="S84" s="231">
        <f t="shared" si="83"/>
        <v>0.7563670638668063</v>
      </c>
      <c r="T84" s="231">
        <f t="shared" si="83"/>
        <v>0.78917795213317721</v>
      </c>
      <c r="U84" s="231">
        <f t="shared" si="83"/>
        <v>0.80217428448897532</v>
      </c>
    </row>
    <row r="85" spans="1:21" x14ac:dyDescent="0.25">
      <c r="A85" s="189" t="s">
        <v>661</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5" t="s">
        <v>709</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43" sqref="A43:AG43"/>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353</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374</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354</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355</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356</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357</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358</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359</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360</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361</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362</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363</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364</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365</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366</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676</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367</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368</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369</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370</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371</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372</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373</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677</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2" t="s">
        <v>602</v>
      </c>
      <c r="B26" s="153"/>
      <c r="C26" s="153"/>
      <c r="D26" s="153"/>
      <c r="E26" s="154">
        <f>POWER(E2/Y2,1/6)-1</f>
        <v>0.22214563123958619</v>
      </c>
    </row>
    <row r="27" spans="1:89" s="26" customFormat="1" x14ac:dyDescent="0.25">
      <c r="A27" s="20" t="s">
        <v>379</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375</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380</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376</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381</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377</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382</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378</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684</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383</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378</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384</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385</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430</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706</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425</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426</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429</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427</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428</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691</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679</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680</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681</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682</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77" t="s">
        <v>683</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32" customFormat="1" x14ac:dyDescent="0.25">
      <c r="A60" s="234" t="s">
        <v>685</v>
      </c>
      <c r="B60" s="230"/>
      <c r="C60" s="230"/>
      <c r="D60" s="230"/>
      <c r="E60" s="235">
        <f>E53</f>
        <v>43100</v>
      </c>
      <c r="F60" s="235">
        <f t="shared" ref="F60:AC60" si="45">F53</f>
        <v>43008</v>
      </c>
      <c r="G60" s="235">
        <f t="shared" si="45"/>
        <v>42916</v>
      </c>
      <c r="H60" s="235">
        <f t="shared" si="45"/>
        <v>42825</v>
      </c>
      <c r="I60" s="235">
        <f t="shared" si="45"/>
        <v>42735</v>
      </c>
      <c r="J60" s="235">
        <f t="shared" si="45"/>
        <v>42643</v>
      </c>
      <c r="K60" s="235">
        <f t="shared" si="45"/>
        <v>42551</v>
      </c>
      <c r="L60" s="235">
        <f t="shared" si="45"/>
        <v>42460</v>
      </c>
      <c r="M60" s="235">
        <f t="shared" si="45"/>
        <v>42369</v>
      </c>
      <c r="N60" s="235">
        <f t="shared" si="45"/>
        <v>42277</v>
      </c>
      <c r="O60" s="235">
        <f t="shared" si="45"/>
        <v>42185</v>
      </c>
      <c r="P60" s="235">
        <f t="shared" si="45"/>
        <v>42094</v>
      </c>
      <c r="Q60" s="235">
        <f t="shared" si="45"/>
        <v>42004</v>
      </c>
      <c r="R60" s="235">
        <f t="shared" si="45"/>
        <v>41912</v>
      </c>
      <c r="S60" s="235">
        <f t="shared" si="45"/>
        <v>41820</v>
      </c>
      <c r="T60" s="235">
        <f t="shared" si="45"/>
        <v>41729</v>
      </c>
      <c r="U60" s="235">
        <f t="shared" si="45"/>
        <v>41639</v>
      </c>
      <c r="V60" s="235">
        <f t="shared" si="45"/>
        <v>41547</v>
      </c>
      <c r="W60" s="235">
        <f t="shared" si="45"/>
        <v>41455</v>
      </c>
      <c r="X60" s="235">
        <f t="shared" si="45"/>
        <v>41364</v>
      </c>
      <c r="Y60" s="235">
        <f t="shared" si="45"/>
        <v>41274</v>
      </c>
      <c r="Z60" s="235">
        <f t="shared" si="45"/>
        <v>41182</v>
      </c>
      <c r="AA60" s="235">
        <f t="shared" si="45"/>
        <v>41090</v>
      </c>
      <c r="AB60" s="235">
        <f t="shared" si="45"/>
        <v>40999</v>
      </c>
      <c r="AC60" s="235">
        <f t="shared" si="45"/>
        <v>40908</v>
      </c>
    </row>
    <row r="61" spans="1:88" s="198" customFormat="1" x14ac:dyDescent="0.25">
      <c r="A61" s="89" t="s">
        <v>686</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687</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688</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689</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79" t="s">
        <v>690</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742</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710</v>
      </c>
      <c r="B69" s="281"/>
      <c r="C69" s="281"/>
      <c r="D69" s="281"/>
      <c r="E69" s="281"/>
      <c r="F69" s="266"/>
      <c r="G69" s="266"/>
      <c r="H69" s="266"/>
      <c r="I69" s="266" t="s">
        <v>714</v>
      </c>
      <c r="J69" s="266"/>
      <c r="K69" s="266"/>
      <c r="L69" s="266"/>
      <c r="M69" s="266" t="s">
        <v>715</v>
      </c>
    </row>
    <row r="70" spans="1:29" ht="57.6" x14ac:dyDescent="0.25">
      <c r="A70" s="282" t="s">
        <v>711</v>
      </c>
      <c r="B70" s="65"/>
      <c r="C70" s="65"/>
      <c r="D70" s="65"/>
      <c r="E70" s="65" t="s">
        <v>712</v>
      </c>
      <c r="F70" s="65"/>
      <c r="G70" s="65"/>
      <c r="H70" s="65"/>
      <c r="I70" s="267" t="s">
        <v>716</v>
      </c>
      <c r="J70" s="268"/>
      <c r="K70" s="268"/>
      <c r="L70" s="268"/>
      <c r="M70" s="267" t="s">
        <v>717</v>
      </c>
    </row>
    <row r="71" spans="1:29" ht="54.6" customHeight="1" x14ac:dyDescent="0.25">
      <c r="A71" s="282"/>
      <c r="B71" s="65"/>
      <c r="C71" s="65"/>
      <c r="D71" s="65"/>
      <c r="E71" s="65" t="s">
        <v>713</v>
      </c>
      <c r="F71" s="65"/>
      <c r="G71" s="65"/>
      <c r="H71" s="65"/>
      <c r="I71" s="267" t="s">
        <v>718</v>
      </c>
      <c r="J71" s="268"/>
      <c r="K71" s="268"/>
      <c r="L71" s="268"/>
      <c r="M71" s="267" t="s">
        <v>719</v>
      </c>
    </row>
    <row r="72" spans="1:29" ht="57.6" x14ac:dyDescent="0.25">
      <c r="A72" s="282" t="s">
        <v>727</v>
      </c>
      <c r="B72" s="65"/>
      <c r="C72" s="65"/>
      <c r="D72" s="65"/>
      <c r="E72" s="65" t="s">
        <v>720</v>
      </c>
      <c r="F72" s="65"/>
      <c r="G72" s="65"/>
      <c r="H72" s="65"/>
      <c r="I72" s="267" t="s">
        <v>728</v>
      </c>
      <c r="J72" s="268"/>
      <c r="K72" s="268"/>
      <c r="L72" s="268"/>
      <c r="M72" s="267" t="s">
        <v>729</v>
      </c>
    </row>
    <row r="73" spans="1:29" ht="43.2" x14ac:dyDescent="0.25">
      <c r="A73" s="282"/>
      <c r="B73" s="65"/>
      <c r="C73" s="65"/>
      <c r="D73" s="65"/>
      <c r="E73" s="65" t="s">
        <v>721</v>
      </c>
      <c r="F73" s="65"/>
      <c r="G73" s="65"/>
      <c r="H73" s="65"/>
      <c r="I73" s="267" t="s">
        <v>730</v>
      </c>
      <c r="J73" s="268"/>
      <c r="K73" s="268"/>
      <c r="L73" s="268"/>
      <c r="M73" s="267" t="s">
        <v>731</v>
      </c>
    </row>
    <row r="74" spans="1:29" ht="72" x14ac:dyDescent="0.25">
      <c r="A74" s="282"/>
      <c r="B74" s="65"/>
      <c r="C74" s="65"/>
      <c r="D74" s="65"/>
      <c r="E74" s="65" t="s">
        <v>722</v>
      </c>
      <c r="F74" s="65"/>
      <c r="G74" s="65"/>
      <c r="H74" s="65"/>
      <c r="I74" s="267" t="s">
        <v>732</v>
      </c>
      <c r="J74" s="268"/>
      <c r="K74" s="268"/>
      <c r="L74" s="268"/>
      <c r="M74" s="267" t="s">
        <v>733</v>
      </c>
    </row>
    <row r="75" spans="1:29" ht="72" x14ac:dyDescent="0.25">
      <c r="A75" s="282"/>
      <c r="B75" s="65"/>
      <c r="C75" s="65"/>
      <c r="D75" s="65"/>
      <c r="E75" s="65" t="s">
        <v>723</v>
      </c>
      <c r="F75" s="65"/>
      <c r="G75" s="65"/>
      <c r="H75" s="65"/>
      <c r="I75" s="267" t="s">
        <v>734</v>
      </c>
      <c r="J75" s="268"/>
      <c r="K75" s="268"/>
      <c r="L75" s="268"/>
      <c r="M75" s="267" t="s">
        <v>735</v>
      </c>
    </row>
    <row r="76" spans="1:29" x14ac:dyDescent="0.25">
      <c r="A76" s="282"/>
      <c r="B76" s="65"/>
      <c r="C76" s="65"/>
      <c r="D76" s="65"/>
      <c r="E76" s="65" t="s">
        <v>724</v>
      </c>
      <c r="F76" s="65"/>
      <c r="G76" s="65"/>
      <c r="H76" s="65"/>
      <c r="I76" s="267" t="s">
        <v>736</v>
      </c>
      <c r="J76" s="268"/>
      <c r="K76" s="268"/>
      <c r="L76" s="268"/>
      <c r="M76" s="267" t="s">
        <v>737</v>
      </c>
    </row>
    <row r="77" spans="1:29" ht="57.6" x14ac:dyDescent="0.25">
      <c r="A77" s="282"/>
      <c r="B77" s="65"/>
      <c r="C77" s="65"/>
      <c r="D77" s="65"/>
      <c r="E77" s="65" t="s">
        <v>725</v>
      </c>
      <c r="F77" s="65"/>
      <c r="G77" s="65"/>
      <c r="H77" s="65"/>
      <c r="I77" s="267" t="s">
        <v>738</v>
      </c>
      <c r="J77" s="268"/>
      <c r="K77" s="268"/>
      <c r="L77" s="268"/>
      <c r="M77" s="267" t="s">
        <v>739</v>
      </c>
    </row>
    <row r="78" spans="1:29" ht="57.6" x14ac:dyDescent="0.25">
      <c r="A78" s="282"/>
      <c r="B78" s="65"/>
      <c r="C78" s="65"/>
      <c r="D78" s="65"/>
      <c r="E78" s="65" t="s">
        <v>726</v>
      </c>
      <c r="F78" s="65"/>
      <c r="G78" s="65"/>
      <c r="H78" s="65"/>
      <c r="I78" s="267" t="s">
        <v>740</v>
      </c>
      <c r="J78" s="268"/>
      <c r="K78" s="268"/>
      <c r="L78" s="268"/>
      <c r="M78" s="267" t="s">
        <v>741</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E14" sqref="E14"/>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426</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431</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432</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428</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439</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51" t="s">
        <v>433</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440</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434</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51" t="s">
        <v>435</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441</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436</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437</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438</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705</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9" customFormat="1" x14ac:dyDescent="0.25">
      <c r="A18" s="258" t="s">
        <v>442</v>
      </c>
      <c r="B18" s="256">
        <v>43373</v>
      </c>
      <c r="C18" s="256">
        <v>43281</v>
      </c>
      <c r="D18" s="256">
        <v>43190</v>
      </c>
      <c r="E18" s="256">
        <v>43100</v>
      </c>
      <c r="F18" s="256">
        <v>43008</v>
      </c>
      <c r="G18" s="256">
        <v>42916</v>
      </c>
      <c r="H18" s="256">
        <v>42825</v>
      </c>
      <c r="I18" s="256">
        <v>42735</v>
      </c>
      <c r="J18" s="256">
        <v>42643</v>
      </c>
      <c r="K18" s="256">
        <v>42551</v>
      </c>
      <c r="L18" s="256">
        <v>42460</v>
      </c>
      <c r="M18" s="256">
        <v>42369</v>
      </c>
      <c r="N18" s="256">
        <v>42277</v>
      </c>
      <c r="O18" s="256">
        <v>42185</v>
      </c>
      <c r="P18" s="256">
        <v>42094</v>
      </c>
      <c r="Q18" s="256">
        <v>42004</v>
      </c>
      <c r="R18" s="256">
        <v>41912</v>
      </c>
      <c r="S18" s="256">
        <v>41820</v>
      </c>
      <c r="T18" s="256">
        <v>41729</v>
      </c>
      <c r="U18" s="256">
        <v>41639</v>
      </c>
      <c r="V18" s="256">
        <v>41547</v>
      </c>
      <c r="W18" s="256">
        <v>41455</v>
      </c>
      <c r="X18" s="256">
        <v>41364</v>
      </c>
      <c r="Y18" s="256">
        <v>41274</v>
      </c>
      <c r="Z18" s="256">
        <v>41182</v>
      </c>
      <c r="AA18" s="256">
        <v>41090</v>
      </c>
      <c r="AB18" s="256">
        <v>40999</v>
      </c>
      <c r="AC18" s="256">
        <v>40908</v>
      </c>
      <c r="AD18" s="256">
        <v>40816</v>
      </c>
      <c r="AE18" s="256">
        <v>40724</v>
      </c>
      <c r="AF18" s="256">
        <v>40633</v>
      </c>
      <c r="AG18" s="256">
        <v>40543</v>
      </c>
      <c r="AH18" s="256">
        <v>40451</v>
      </c>
      <c r="AI18" s="256">
        <v>40359</v>
      </c>
      <c r="AJ18" s="256">
        <v>40268</v>
      </c>
      <c r="AK18" s="256">
        <v>40178</v>
      </c>
      <c r="AL18" s="256">
        <v>40086</v>
      </c>
      <c r="AM18" s="256">
        <v>39994</v>
      </c>
      <c r="AN18" s="256">
        <v>39903</v>
      </c>
      <c r="AO18" s="256">
        <v>39813</v>
      </c>
      <c r="AP18" s="256">
        <v>39721</v>
      </c>
      <c r="AQ18" s="256">
        <v>39629</v>
      </c>
      <c r="AR18" s="256">
        <v>39538</v>
      </c>
      <c r="AS18" s="256">
        <v>39447</v>
      </c>
      <c r="AT18" s="256">
        <v>39355</v>
      </c>
      <c r="AU18" s="256">
        <v>39263</v>
      </c>
      <c r="AV18" s="256">
        <v>39172</v>
      </c>
      <c r="AW18" s="256">
        <v>39082</v>
      </c>
      <c r="AX18" s="256">
        <v>38990</v>
      </c>
      <c r="AY18" s="256">
        <v>38898</v>
      </c>
      <c r="AZ18" s="256">
        <v>38807</v>
      </c>
      <c r="BA18" s="256">
        <v>38717</v>
      </c>
      <c r="BB18" s="256">
        <v>38625</v>
      </c>
      <c r="BC18" s="256">
        <v>38533</v>
      </c>
      <c r="BD18" s="256">
        <v>38442</v>
      </c>
      <c r="BE18" s="256">
        <v>38352</v>
      </c>
      <c r="BF18" s="256">
        <v>38260</v>
      </c>
      <c r="BG18" s="256">
        <v>38168</v>
      </c>
      <c r="BH18" s="256">
        <v>38077</v>
      </c>
      <c r="BI18" s="256">
        <v>37986</v>
      </c>
      <c r="BJ18" s="256">
        <v>37894</v>
      </c>
      <c r="BK18" s="256">
        <v>37802</v>
      </c>
      <c r="BL18" s="256">
        <v>37711</v>
      </c>
      <c r="BM18" s="256">
        <v>37621</v>
      </c>
      <c r="BN18" s="256">
        <v>37529</v>
      </c>
      <c r="BO18" s="256">
        <v>37437</v>
      </c>
      <c r="BP18" s="256">
        <v>37346</v>
      </c>
      <c r="BQ18" s="256">
        <v>37256</v>
      </c>
      <c r="BR18" s="256">
        <v>37164</v>
      </c>
      <c r="BS18" s="256">
        <v>37072</v>
      </c>
      <c r="BT18" s="256">
        <v>36891</v>
      </c>
      <c r="BU18" s="256">
        <v>36707</v>
      </c>
      <c r="BV18" s="256">
        <v>36525</v>
      </c>
      <c r="BW18" s="256">
        <v>36160</v>
      </c>
      <c r="BX18" s="256">
        <v>35795</v>
      </c>
      <c r="BY18" s="256">
        <v>25569</v>
      </c>
      <c r="BZ18" s="256"/>
      <c r="CA18" s="256"/>
      <c r="CB18" s="256"/>
      <c r="CC18" s="256"/>
      <c r="CD18" s="256"/>
      <c r="CE18" s="256"/>
      <c r="CF18" s="256"/>
      <c r="CG18" s="256"/>
      <c r="CH18" s="256"/>
      <c r="CI18" s="256"/>
      <c r="CJ18" s="256"/>
      <c r="CK18" s="256"/>
    </row>
    <row r="19" spans="1:89" s="117" customFormat="1" x14ac:dyDescent="0.25">
      <c r="A19" s="160" t="s">
        <v>448</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449</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52" customFormat="1" x14ac:dyDescent="0.25">
      <c r="A21" s="241" t="s">
        <v>450</v>
      </c>
      <c r="E21" s="252">
        <f>E20/E19</f>
        <v>0.31258854450314849</v>
      </c>
      <c r="F21" s="252">
        <f t="shared" ref="F21:BQ21" si="6">F20/F19</f>
        <v>0.31289736097376414</v>
      </c>
      <c r="G21" s="252">
        <f t="shared" si="6"/>
        <v>0.314389694785701</v>
      </c>
      <c r="H21" s="252">
        <f t="shared" si="6"/>
        <v>0.3212351898773112</v>
      </c>
      <c r="I21" s="252">
        <f t="shared" si="6"/>
        <v>0.21428535676541746</v>
      </c>
      <c r="J21" s="252">
        <f t="shared" si="6"/>
        <v>0.20650035717285148</v>
      </c>
      <c r="K21" s="252">
        <f t="shared" si="6"/>
        <v>0.1938977319646023</v>
      </c>
      <c r="L21" s="252">
        <f t="shared" si="6"/>
        <v>0.16770230488625645</v>
      </c>
      <c r="M21" s="252">
        <f t="shared" si="6"/>
        <v>0.1919212223770452</v>
      </c>
      <c r="N21" s="252">
        <f t="shared" si="6"/>
        <v>0.21672067574617601</v>
      </c>
      <c r="O21" s="252">
        <f t="shared" si="6"/>
        <v>0.2132307909460375</v>
      </c>
      <c r="P21" s="252">
        <f t="shared" si="6"/>
        <v>0.19771866195645194</v>
      </c>
      <c r="Q21" s="252">
        <f t="shared" si="6"/>
        <v>0.20635590531838371</v>
      </c>
      <c r="R21" s="252">
        <f t="shared" si="6"/>
        <v>0.22012402471034218</v>
      </c>
      <c r="S21" s="252">
        <f t="shared" si="6"/>
        <v>0.22149920153645669</v>
      </c>
      <c r="T21" s="252">
        <f t="shared" si="6"/>
        <v>0.25138380046452447</v>
      </c>
      <c r="U21" s="252">
        <f t="shared" si="6"/>
        <v>0.22958038969385774</v>
      </c>
      <c r="V21" s="252">
        <f t="shared" si="6"/>
        <v>0.25055811391856359</v>
      </c>
      <c r="W21" s="252">
        <f t="shared" si="6"/>
        <v>0.25124901577719722</v>
      </c>
      <c r="X21" s="252">
        <f t="shared" si="6"/>
        <v>0.2599945881864944</v>
      </c>
      <c r="Y21" s="252">
        <f t="shared" si="6"/>
        <v>0.23956709871030499</v>
      </c>
      <c r="Z21" s="252">
        <f t="shared" si="6"/>
        <v>0.24212095439822509</v>
      </c>
      <c r="AA21" s="252">
        <f t="shared" si="6"/>
        <v>0.23276404700893547</v>
      </c>
      <c r="AB21" s="252">
        <f t="shared" si="6"/>
        <v>0.22330615669769699</v>
      </c>
      <c r="AC21" s="252">
        <f t="shared" si="6"/>
        <v>0.21478742834174649</v>
      </c>
      <c r="AD21" s="252">
        <f t="shared" si="6"/>
        <v>0.23351636403488982</v>
      </c>
      <c r="AE21" s="252">
        <f t="shared" si="6"/>
        <v>0.22930550200349864</v>
      </c>
      <c r="AF21" s="252">
        <f t="shared" si="6"/>
        <v>0.23053414744855158</v>
      </c>
      <c r="AG21" s="252">
        <f t="shared" si="6"/>
        <v>0.1877295876966687</v>
      </c>
      <c r="AH21" s="252">
        <f t="shared" si="6"/>
        <v>0.1901199651198919</v>
      </c>
      <c r="AI21" s="252">
        <f t="shared" si="6"/>
        <v>0.1923261290001603</v>
      </c>
      <c r="AJ21" s="252">
        <f t="shared" si="6"/>
        <v>0.16724975793023011</v>
      </c>
      <c r="AK21" s="252">
        <f t="shared" si="6"/>
        <v>0.2254923501920526</v>
      </c>
      <c r="AL21" s="252">
        <f t="shared" si="6"/>
        <v>0.25919556008316252</v>
      </c>
      <c r="AM21" s="252">
        <f t="shared" si="6"/>
        <v>0.25030976189820953</v>
      </c>
      <c r="AN21" s="252">
        <f t="shared" si="6"/>
        <v>0.2197308934159278</v>
      </c>
      <c r="AO21" s="252">
        <f t="shared" si="6"/>
        <v>0.26742180462396814</v>
      </c>
      <c r="AP21" s="252">
        <f t="shared" si="6"/>
        <v>0.29513856142760125</v>
      </c>
      <c r="AQ21" s="252">
        <f t="shared" si="6"/>
        <v>0.31282737608430561</v>
      </c>
      <c r="AR21" s="252">
        <f t="shared" si="6"/>
        <v>0.28436696052797122</v>
      </c>
      <c r="AS21" s="252">
        <f t="shared" si="6"/>
        <v>0.306591324981622</v>
      </c>
      <c r="AT21" s="252">
        <f t="shared" si="6"/>
        <v>0.30259261137114291</v>
      </c>
      <c r="AU21" s="252">
        <f t="shared" si="6"/>
        <v>0.29850271195726524</v>
      </c>
      <c r="AV21" s="252">
        <f t="shared" si="6"/>
        <v>0.30912854743601054</v>
      </c>
      <c r="AW21" s="252">
        <f t="shared" si="6"/>
        <v>0.26218098377698879</v>
      </c>
      <c r="AX21" s="252">
        <f t="shared" si="6"/>
        <v>0.26812769762456073</v>
      </c>
      <c r="AY21" s="252">
        <f t="shared" si="6"/>
        <v>0.24594487234905552</v>
      </c>
      <c r="AZ21" s="252">
        <f t="shared" si="6"/>
        <v>0.25995104878872671</v>
      </c>
      <c r="BA21" s="252">
        <f t="shared" si="6"/>
        <v>0.26064908206012039</v>
      </c>
      <c r="BB21" s="252">
        <f t="shared" si="6"/>
        <v>0.28712369043605512</v>
      </c>
      <c r="BC21" s="252">
        <f t="shared" si="6"/>
        <v>0.30900247596209801</v>
      </c>
      <c r="BD21" s="252">
        <f t="shared" si="6"/>
        <v>0.29700403520923374</v>
      </c>
      <c r="BE21" s="252">
        <f t="shared" si="6"/>
        <v>0.24524280358197242</v>
      </c>
      <c r="BF21" s="252">
        <f t="shared" si="6"/>
        <v>0.28036467157288603</v>
      </c>
      <c r="BG21" s="252">
        <f t="shared" si="6"/>
        <v>0.3057751534967571</v>
      </c>
      <c r="BH21" s="252">
        <f t="shared" si="6"/>
        <v>0.28789641283234157</v>
      </c>
      <c r="BI21" s="252">
        <f t="shared" si="6"/>
        <v>0.22403447842760854</v>
      </c>
      <c r="BJ21" s="252">
        <f t="shared" si="6"/>
        <v>0.2665003363416516</v>
      </c>
      <c r="BK21" s="252">
        <f t="shared" si="6"/>
        <v>0.27627308934629913</v>
      </c>
      <c r="BL21" s="252">
        <f t="shared" si="6"/>
        <v>0.23729414079500183</v>
      </c>
      <c r="BM21" s="252">
        <f t="shared" si="6"/>
        <v>0.21202250848229115</v>
      </c>
      <c r="BN21" s="252">
        <f t="shared" si="6"/>
        <v>0.21303039034540266</v>
      </c>
      <c r="BO21" s="252">
        <f t="shared" si="6"/>
        <v>0.24843419635128286</v>
      </c>
      <c r="BP21" s="252">
        <f t="shared" si="6"/>
        <v>0.23192553857141573</v>
      </c>
      <c r="BQ21" s="252">
        <f t="shared" si="6"/>
        <v>0.19626468172040581</v>
      </c>
      <c r="BR21" s="252">
        <f t="shared" ref="BR21:CK21" si="7">BR20/BR19</f>
        <v>0.99632416488064524</v>
      </c>
      <c r="BS21" s="252">
        <f t="shared" si="7"/>
        <v>0.24885258192967311</v>
      </c>
      <c r="BT21" s="252">
        <f t="shared" si="7"/>
        <v>0.18216551923636423</v>
      </c>
      <c r="BU21" s="252">
        <f t="shared" si="7"/>
        <v>0.26038587159778159</v>
      </c>
      <c r="BV21" s="252">
        <f t="shared" si="7"/>
        <v>0.15770984565719837</v>
      </c>
      <c r="BW21" s="252">
        <f t="shared" si="7"/>
        <v>0.15296753750605221</v>
      </c>
      <c r="BX21" s="252">
        <f t="shared" si="7"/>
        <v>0.14423344465507904</v>
      </c>
      <c r="BY21" s="252" t="e">
        <f t="shared" si="7"/>
        <v>#DIV/0!</v>
      </c>
      <c r="BZ21" s="252" t="e">
        <f t="shared" si="7"/>
        <v>#DIV/0!</v>
      </c>
      <c r="CA21" s="252" t="e">
        <f t="shared" si="7"/>
        <v>#DIV/0!</v>
      </c>
      <c r="CB21" s="252" t="e">
        <f t="shared" si="7"/>
        <v>#DIV/0!</v>
      </c>
      <c r="CC21" s="252" t="e">
        <f t="shared" si="7"/>
        <v>#DIV/0!</v>
      </c>
      <c r="CD21" s="252" t="e">
        <f t="shared" si="7"/>
        <v>#DIV/0!</v>
      </c>
      <c r="CE21" s="252" t="e">
        <f t="shared" si="7"/>
        <v>#DIV/0!</v>
      </c>
      <c r="CF21" s="252" t="e">
        <f t="shared" si="7"/>
        <v>#DIV/0!</v>
      </c>
      <c r="CG21" s="252" t="e">
        <f t="shared" si="7"/>
        <v>#DIV/0!</v>
      </c>
      <c r="CH21" s="252" t="e">
        <f t="shared" si="7"/>
        <v>#DIV/0!</v>
      </c>
      <c r="CI21" s="252" t="e">
        <f t="shared" si="7"/>
        <v>#DIV/0!</v>
      </c>
      <c r="CJ21" s="252" t="e">
        <f t="shared" si="7"/>
        <v>#DIV/0!</v>
      </c>
      <c r="CK21" s="252" t="e">
        <f t="shared" si="7"/>
        <v>#DIV/0!</v>
      </c>
    </row>
    <row r="22" spans="1:89" s="26" customFormat="1" x14ac:dyDescent="0.25">
      <c r="A22" s="26" t="s">
        <v>692</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54" customFormat="1" x14ac:dyDescent="0.25">
      <c r="A23" s="253" t="s">
        <v>693</v>
      </c>
      <c r="E23" s="254">
        <f>E19/E22</f>
        <v>1.0866839413790512</v>
      </c>
      <c r="F23" s="254">
        <f t="shared" ref="F23:BQ23" si="8">F19/F22</f>
        <v>0.82149086160059626</v>
      </c>
      <c r="G23" s="254">
        <f t="shared" si="8"/>
        <v>0.5237855759848502</v>
      </c>
      <c r="H23" s="254">
        <f t="shared" si="8"/>
        <v>0.26260369709191733</v>
      </c>
      <c r="I23" s="254">
        <f t="shared" si="8"/>
        <v>0.79323517902014928</v>
      </c>
      <c r="J23" s="254">
        <f t="shared" si="8"/>
        <v>0.56370023206305242</v>
      </c>
      <c r="K23" s="254">
        <f t="shared" si="8"/>
        <v>0.31911412990425458</v>
      </c>
      <c r="L23" s="254">
        <f t="shared" si="8"/>
        <v>0.1407023081494686</v>
      </c>
      <c r="M23" s="254">
        <f t="shared" si="8"/>
        <v>0.51025913237705933</v>
      </c>
      <c r="N23" s="254">
        <f t="shared" si="8"/>
        <v>0.38777391180106191</v>
      </c>
      <c r="O23" s="254">
        <f t="shared" si="8"/>
        <v>0.27611414546050267</v>
      </c>
      <c r="P23" s="254">
        <f t="shared" si="8"/>
        <v>0.12454442495082881</v>
      </c>
      <c r="Q23" s="254">
        <f t="shared" si="8"/>
        <v>0.64811469040338521</v>
      </c>
      <c r="R23" s="254">
        <f t="shared" si="8"/>
        <v>0.55854844434148321</v>
      </c>
      <c r="S23" s="254">
        <f t="shared" si="8"/>
        <v>0.39659578286420577</v>
      </c>
      <c r="T23" s="254">
        <f t="shared" si="8"/>
        <v>0.18437220881648739</v>
      </c>
      <c r="U23" s="254">
        <f t="shared" si="8"/>
        <v>0.82247765338516299</v>
      </c>
      <c r="V23" s="254">
        <f t="shared" si="8"/>
        <v>0.6743548059532023</v>
      </c>
      <c r="W23" s="254">
        <f t="shared" si="8"/>
        <v>0.47619621322668138</v>
      </c>
      <c r="X23" s="254">
        <f t="shared" si="8"/>
        <v>0.24747036105897119</v>
      </c>
      <c r="Y23" s="254">
        <f t="shared" si="8"/>
        <v>0.90456420314206842</v>
      </c>
      <c r="Z23" s="254">
        <f t="shared" si="8"/>
        <v>0.67937846502701404</v>
      </c>
      <c r="AA23" s="254">
        <f t="shared" si="8"/>
        <v>0.46585693471143819</v>
      </c>
      <c r="AB23" s="254">
        <f t="shared" si="8"/>
        <v>0.22437537888630149</v>
      </c>
      <c r="AC23" s="254">
        <f t="shared" si="8"/>
        <v>1.0308912669796482</v>
      </c>
      <c r="AD23" s="254">
        <f t="shared" si="8"/>
        <v>0.83898481347104559</v>
      </c>
      <c r="AE23" s="254">
        <f t="shared" si="8"/>
        <v>0.56466799865573569</v>
      </c>
      <c r="AF23" s="254">
        <f t="shared" si="8"/>
        <v>0.26974265544757975</v>
      </c>
      <c r="AG23" s="254">
        <f t="shared" si="8"/>
        <v>0.88579907687906412</v>
      </c>
      <c r="AH23" s="254">
        <f t="shared" si="8"/>
        <v>0.71941136702915909</v>
      </c>
      <c r="AI23" s="254">
        <f t="shared" si="8"/>
        <v>0.51773601015446391</v>
      </c>
      <c r="AJ23" s="254">
        <f t="shared" si="8"/>
        <v>0.25942043810464172</v>
      </c>
      <c r="AK23" s="254">
        <f t="shared" si="8"/>
        <v>0.89199790261477929</v>
      </c>
      <c r="AL23" s="254">
        <f t="shared" si="8"/>
        <v>0.65357929031229611</v>
      </c>
      <c r="AM23" s="254">
        <f t="shared" si="8"/>
        <v>0.44798216587671835</v>
      </c>
      <c r="AN23" s="254">
        <f t="shared" si="8"/>
        <v>0.21622125579906903</v>
      </c>
      <c r="AO23" s="254">
        <f t="shared" si="8"/>
        <v>1.3543763300808334</v>
      </c>
      <c r="AP23" s="254">
        <f t="shared" si="8"/>
        <v>0.99092337588244106</v>
      </c>
      <c r="AQ23" s="254">
        <f t="shared" si="8"/>
        <v>0.67692828679692396</v>
      </c>
      <c r="AR23" s="254">
        <f t="shared" si="8"/>
        <v>0.33299368584583527</v>
      </c>
      <c r="AS23" s="254">
        <f t="shared" si="8"/>
        <v>1.5314391071075157</v>
      </c>
      <c r="AT23" s="254">
        <f t="shared" si="8"/>
        <v>1.2736212972703767</v>
      </c>
      <c r="AU23" s="254">
        <f t="shared" si="8"/>
        <v>0.7739699714336542</v>
      </c>
      <c r="AV23" s="254">
        <f t="shared" si="8"/>
        <v>0.38369388758034645</v>
      </c>
      <c r="AW23" s="254">
        <f t="shared" si="8"/>
        <v>1.2123819324628664</v>
      </c>
      <c r="AX23" s="254">
        <f t="shared" si="8"/>
        <v>0.921139460649121</v>
      </c>
      <c r="AY23" s="254">
        <f t="shared" si="8"/>
        <v>0.57387566466193896</v>
      </c>
      <c r="AZ23" s="254">
        <f t="shared" si="8"/>
        <v>0.27959034151524675</v>
      </c>
      <c r="BA23" s="254">
        <f t="shared" si="8"/>
        <v>0.9673666168822751</v>
      </c>
      <c r="BB23" s="254">
        <f t="shared" si="8"/>
        <v>0.80450184668486446</v>
      </c>
      <c r="BC23" s="254">
        <f t="shared" si="8"/>
        <v>0.54334547489420504</v>
      </c>
      <c r="BD23" s="254">
        <f t="shared" si="8"/>
        <v>0.33293304327393863</v>
      </c>
      <c r="BE23" s="254">
        <f t="shared" si="8"/>
        <v>0.98202899413229205</v>
      </c>
      <c r="BF23" s="254">
        <f t="shared" si="8"/>
        <v>1.1523237970941136</v>
      </c>
      <c r="BG23" s="254">
        <f t="shared" si="8"/>
        <v>1.0590625555854782</v>
      </c>
      <c r="BH23" s="254">
        <f t="shared" si="8"/>
        <v>0.50713961735780011</v>
      </c>
      <c r="BI23" s="254">
        <f t="shared" si="8"/>
        <v>1.5969991881524996</v>
      </c>
      <c r="BJ23" s="254">
        <f t="shared" si="8"/>
        <v>1.3352614412160646</v>
      </c>
      <c r="BK23" s="254">
        <f t="shared" si="8"/>
        <v>0.92095054087856321</v>
      </c>
      <c r="BL23" s="254">
        <f t="shared" si="8"/>
        <v>0.48030467902648438</v>
      </c>
      <c r="BM23" s="254">
        <f t="shared" si="8"/>
        <v>1.3596383981802107</v>
      </c>
      <c r="BN23" s="254">
        <f t="shared" si="8"/>
        <v>1.1280755028272047</v>
      </c>
      <c r="BO23" s="254">
        <f t="shared" si="8"/>
        <v>0.68412690854309943</v>
      </c>
      <c r="BP23" s="254">
        <f t="shared" si="8"/>
        <v>0.38616317229423286</v>
      </c>
      <c r="BQ23" s="254">
        <f t="shared" si="8"/>
        <v>1.156227785903015</v>
      </c>
      <c r="BR23" s="254" t="e">
        <f t="shared" ref="BR23:CK23" si="9">BR19/BR22</f>
        <v>#DIV/0!</v>
      </c>
      <c r="BS23" s="254">
        <f t="shared" si="9"/>
        <v>0.74271963359470272</v>
      </c>
      <c r="BT23" s="254">
        <f t="shared" si="9"/>
        <v>1.3693033301109112</v>
      </c>
      <c r="BU23" s="254">
        <f t="shared" si="9"/>
        <v>0.66353118988927795</v>
      </c>
      <c r="BV23" s="254">
        <f t="shared" si="9"/>
        <v>1.0817568050282051</v>
      </c>
      <c r="BW23" s="254">
        <f t="shared" si="9"/>
        <v>0.98376632957219723</v>
      </c>
      <c r="BX23" s="254">
        <f t="shared" si="9"/>
        <v>0.92605033008629922</v>
      </c>
      <c r="BY23" s="254" t="e">
        <f t="shared" si="9"/>
        <v>#DIV/0!</v>
      </c>
      <c r="BZ23" s="254" t="e">
        <f t="shared" si="9"/>
        <v>#DIV/0!</v>
      </c>
      <c r="CA23" s="254" t="e">
        <f t="shared" si="9"/>
        <v>#DIV/0!</v>
      </c>
      <c r="CB23" s="254" t="e">
        <f t="shared" si="9"/>
        <v>#DIV/0!</v>
      </c>
      <c r="CC23" s="254" t="e">
        <f t="shared" si="9"/>
        <v>#DIV/0!</v>
      </c>
      <c r="CD23" s="254" t="e">
        <f t="shared" si="9"/>
        <v>#DIV/0!</v>
      </c>
      <c r="CE23" s="254" t="e">
        <f t="shared" si="9"/>
        <v>#DIV/0!</v>
      </c>
      <c r="CF23" s="254" t="e">
        <f t="shared" si="9"/>
        <v>#DIV/0!</v>
      </c>
      <c r="CG23" s="254" t="e">
        <f t="shared" si="9"/>
        <v>#DIV/0!</v>
      </c>
      <c r="CH23" s="254" t="e">
        <f t="shared" si="9"/>
        <v>#DIV/0!</v>
      </c>
      <c r="CI23" s="254" t="e">
        <f t="shared" si="9"/>
        <v>#DIV/0!</v>
      </c>
      <c r="CJ23" s="254" t="e">
        <f t="shared" si="9"/>
        <v>#DIV/0!</v>
      </c>
      <c r="CK23" s="254" t="e">
        <f t="shared" si="9"/>
        <v>#DIV/0!</v>
      </c>
    </row>
    <row r="24" spans="1:89" s="162" customFormat="1" ht="15" thickBot="1" x14ac:dyDescent="0.3">
      <c r="A24" s="161" t="s">
        <v>700</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57" customFormat="1" x14ac:dyDescent="0.25">
      <c r="A25" s="255" t="s">
        <v>443</v>
      </c>
      <c r="B25" s="256">
        <v>43373</v>
      </c>
      <c r="C25" s="256">
        <v>43281</v>
      </c>
      <c r="D25" s="256">
        <v>43190</v>
      </c>
      <c r="E25" s="256">
        <v>43100</v>
      </c>
      <c r="F25" s="256">
        <v>43008</v>
      </c>
      <c r="G25" s="256">
        <v>42916</v>
      </c>
      <c r="H25" s="256">
        <v>42825</v>
      </c>
      <c r="I25" s="256">
        <v>42735</v>
      </c>
      <c r="J25" s="256">
        <v>42643</v>
      </c>
      <c r="K25" s="256">
        <v>42551</v>
      </c>
      <c r="L25" s="256">
        <v>42460</v>
      </c>
      <c r="M25" s="256">
        <v>42369</v>
      </c>
      <c r="N25" s="256">
        <v>42277</v>
      </c>
      <c r="O25" s="256">
        <v>42185</v>
      </c>
      <c r="P25" s="256">
        <v>42094</v>
      </c>
      <c r="Q25" s="256">
        <v>42004</v>
      </c>
      <c r="R25" s="256">
        <v>41912</v>
      </c>
      <c r="S25" s="256">
        <v>41820</v>
      </c>
      <c r="T25" s="256">
        <v>41729</v>
      </c>
      <c r="U25" s="256">
        <v>41639</v>
      </c>
      <c r="V25" s="256">
        <v>41547</v>
      </c>
      <c r="W25" s="256">
        <v>41455</v>
      </c>
      <c r="X25" s="256">
        <v>41364</v>
      </c>
      <c r="Y25" s="256">
        <v>41274</v>
      </c>
      <c r="Z25" s="256">
        <v>41182</v>
      </c>
      <c r="AA25" s="256">
        <v>41090</v>
      </c>
      <c r="AB25" s="256">
        <v>40999</v>
      </c>
      <c r="AC25" s="256">
        <v>40908</v>
      </c>
      <c r="AD25" s="256">
        <v>40816</v>
      </c>
      <c r="AE25" s="256">
        <v>40724</v>
      </c>
      <c r="AF25" s="256">
        <v>40633</v>
      </c>
      <c r="AG25" s="256">
        <v>40543</v>
      </c>
      <c r="AH25" s="256">
        <v>40451</v>
      </c>
      <c r="AI25" s="256">
        <v>40359</v>
      </c>
      <c r="AJ25" s="256">
        <v>40268</v>
      </c>
      <c r="AK25" s="256">
        <v>40178</v>
      </c>
      <c r="AL25" s="256">
        <v>40086</v>
      </c>
      <c r="AM25" s="256">
        <v>39994</v>
      </c>
      <c r="AN25" s="256">
        <v>39903</v>
      </c>
      <c r="AO25" s="256">
        <v>39813</v>
      </c>
      <c r="AP25" s="256">
        <v>39721</v>
      </c>
      <c r="AQ25" s="256">
        <v>39629</v>
      </c>
      <c r="AR25" s="256">
        <v>39538</v>
      </c>
      <c r="AS25" s="256">
        <v>39447</v>
      </c>
      <c r="AT25" s="256">
        <v>39355</v>
      </c>
      <c r="AU25" s="256">
        <v>39263</v>
      </c>
      <c r="AV25" s="256">
        <v>39172</v>
      </c>
      <c r="AW25" s="256">
        <v>39082</v>
      </c>
      <c r="AX25" s="256">
        <v>38990</v>
      </c>
      <c r="AY25" s="256">
        <v>38898</v>
      </c>
      <c r="AZ25" s="256">
        <v>38807</v>
      </c>
      <c r="BA25" s="256">
        <v>38717</v>
      </c>
      <c r="BB25" s="256">
        <v>38625</v>
      </c>
      <c r="BC25" s="256">
        <v>38533</v>
      </c>
      <c r="BD25" s="256">
        <v>38442</v>
      </c>
      <c r="BE25" s="256">
        <v>38352</v>
      </c>
      <c r="BF25" s="256">
        <v>38260</v>
      </c>
      <c r="BG25" s="256">
        <v>38168</v>
      </c>
      <c r="BH25" s="256">
        <v>38077</v>
      </c>
      <c r="BI25" s="256">
        <v>37986</v>
      </c>
      <c r="BJ25" s="256">
        <v>37894</v>
      </c>
      <c r="BK25" s="256">
        <v>37802</v>
      </c>
      <c r="BL25" s="256">
        <v>37711</v>
      </c>
      <c r="BM25" s="256">
        <v>37621</v>
      </c>
      <c r="BN25" s="256">
        <v>37529</v>
      </c>
      <c r="BO25" s="256">
        <v>37437</v>
      </c>
      <c r="BP25" s="256">
        <v>37346</v>
      </c>
      <c r="BQ25" s="256">
        <v>37256</v>
      </c>
      <c r="BR25" s="256">
        <v>37164</v>
      </c>
      <c r="BS25" s="256">
        <v>37072</v>
      </c>
      <c r="BT25" s="256">
        <v>36891</v>
      </c>
      <c r="BU25" s="256">
        <v>36707</v>
      </c>
      <c r="BV25" s="256">
        <v>36525</v>
      </c>
      <c r="BW25" s="256">
        <v>36160</v>
      </c>
      <c r="BX25" s="256">
        <v>35795</v>
      </c>
      <c r="BY25" s="256">
        <v>25569</v>
      </c>
      <c r="BZ25" s="256"/>
      <c r="CA25" s="256"/>
      <c r="CB25" s="256"/>
      <c r="CC25" s="256"/>
      <c r="CD25" s="256"/>
      <c r="CE25" s="256"/>
      <c r="CF25" s="256"/>
      <c r="CG25" s="256"/>
      <c r="CH25" s="256"/>
      <c r="CI25" s="256"/>
      <c r="CJ25" s="256"/>
      <c r="CK25" s="256"/>
    </row>
    <row r="26" spans="1:89" s="76" customFormat="1" x14ac:dyDescent="0.25">
      <c r="A26" s="148" t="s">
        <v>444</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445</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446</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8" t="s">
        <v>702</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7" customFormat="1" x14ac:dyDescent="0.25">
      <c r="A31" s="119" t="s">
        <v>447</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451</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452</v>
      </c>
    </row>
    <row r="34" spans="1:89" s="76" customFormat="1" x14ac:dyDescent="0.25">
      <c r="A34" s="148" t="s">
        <v>453</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454</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455</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456</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457</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458</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459</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460</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461</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462</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463</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7" t="s">
        <v>703</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704</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464</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465</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466</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467</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468</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469</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470</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471</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445</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472</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7" t="s">
        <v>701</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20" customFormat="1" x14ac:dyDescent="0.25">
      <c r="A61" s="119" t="s">
        <v>473</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474</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465</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475</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699</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476</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477</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478</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479</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480</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481</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482</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483</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65" customFormat="1" x14ac:dyDescent="0.25">
      <c r="A74" s="264" t="s">
        <v>484</v>
      </c>
      <c r="E74" s="265">
        <f>E66+E70</f>
        <v>117.10936011189091</v>
      </c>
      <c r="F74" s="265">
        <f t="shared" ref="F74:BQ74" si="40">F66+F70</f>
        <v>153.42565531917148</v>
      </c>
      <c r="G74" s="265">
        <f t="shared" si="40"/>
        <v>233.45832283010145</v>
      </c>
      <c r="H74" s="265">
        <f t="shared" si="40"/>
        <v>409.79667890544476</v>
      </c>
      <c r="I74" s="265">
        <f t="shared" si="40"/>
        <v>108.72193901219151</v>
      </c>
      <c r="J74" s="265">
        <f t="shared" si="40"/>
        <v>166.27781280438856</v>
      </c>
      <c r="K74" s="265">
        <f t="shared" si="40"/>
        <v>255.3471360467118</v>
      </c>
      <c r="L74" s="265">
        <f t="shared" si="40"/>
        <v>528.93216823402895</v>
      </c>
      <c r="M74" s="265">
        <f t="shared" si="40"/>
        <v>140.08416028149034</v>
      </c>
      <c r="N74" s="265">
        <f t="shared" si="40"/>
        <v>205.70639746322422</v>
      </c>
      <c r="O74" s="265">
        <f t="shared" si="40"/>
        <v>309.73445113540629</v>
      </c>
      <c r="P74" s="265">
        <f t="shared" si="40"/>
        <v>662.02277552562396</v>
      </c>
      <c r="Q74" s="265">
        <f t="shared" si="40"/>
        <v>117.32852474746358</v>
      </c>
      <c r="R74" s="265">
        <f t="shared" si="40"/>
        <v>160.92083004789754</v>
      </c>
      <c r="S74" s="265">
        <f t="shared" si="40"/>
        <v>260.49519798972477</v>
      </c>
      <c r="T74" s="265">
        <f t="shared" si="40"/>
        <v>581.62540238591896</v>
      </c>
      <c r="U74" s="265">
        <f t="shared" si="40"/>
        <v>126.27105862684223</v>
      </c>
      <c r="V74" s="265">
        <f t="shared" si="40"/>
        <v>168.88146577015067</v>
      </c>
      <c r="W74" s="265">
        <f t="shared" si="40"/>
        <v>262.06079150913195</v>
      </c>
      <c r="X74" s="265">
        <f t="shared" si="40"/>
        <v>536.88134131696177</v>
      </c>
      <c r="Y74" s="265">
        <f t="shared" si="40"/>
        <v>136.31484509195775</v>
      </c>
      <c r="Z74" s="265">
        <f t="shared" si="40"/>
        <v>181.54754921689511</v>
      </c>
      <c r="AA74" s="265">
        <f t="shared" si="40"/>
        <v>277.77605795186122</v>
      </c>
      <c r="AB74" s="265">
        <f t="shared" si="40"/>
        <v>579.03735986553045</v>
      </c>
      <c r="AC74" s="265">
        <f t="shared" si="40"/>
        <v>111.4543419550258</v>
      </c>
      <c r="AD74" s="265">
        <f t="shared" si="40"/>
        <v>145.77349372617158</v>
      </c>
      <c r="AE74" s="265">
        <f t="shared" si="40"/>
        <v>207.09149819880864</v>
      </c>
      <c r="AF74" s="265">
        <f t="shared" si="40"/>
        <v>406.75265438840603</v>
      </c>
      <c r="AG74" s="265">
        <f t="shared" si="40"/>
        <v>106.16817612142161</v>
      </c>
      <c r="AH74" s="265">
        <f t="shared" si="40"/>
        <v>142.16809492905625</v>
      </c>
      <c r="AI74" s="265">
        <f t="shared" si="40"/>
        <v>181.41804056523071</v>
      </c>
      <c r="AJ74" s="265">
        <f t="shared" si="40"/>
        <v>346.27583074601921</v>
      </c>
      <c r="AK74" s="265">
        <f t="shared" si="40"/>
        <v>112.90586052147418</v>
      </c>
      <c r="AL74" s="265">
        <f t="shared" si="40"/>
        <v>198.91014557859626</v>
      </c>
      <c r="AM74" s="265">
        <f t="shared" si="40"/>
        <v>298.26787554998964</v>
      </c>
      <c r="AN74" s="265">
        <f t="shared" si="40"/>
        <v>660.85793208369068</v>
      </c>
      <c r="AO74" s="265">
        <f t="shared" si="40"/>
        <v>100.49606851003719</v>
      </c>
      <c r="AP74" s="265">
        <f t="shared" si="40"/>
        <v>145.88520079829993</v>
      </c>
      <c r="AQ74" s="265">
        <f t="shared" si="40"/>
        <v>214.86659983840494</v>
      </c>
      <c r="AR74" s="265">
        <f t="shared" si="40"/>
        <v>453.11767765383183</v>
      </c>
      <c r="AS74" s="265">
        <f t="shared" si="40"/>
        <v>85.812434898720397</v>
      </c>
      <c r="AT74" s="265">
        <f t="shared" si="40"/>
        <v>105.14014572055632</v>
      </c>
      <c r="AU74" s="265">
        <f t="shared" si="40"/>
        <v>154.52934396976283</v>
      </c>
      <c r="AV74" s="265">
        <f t="shared" si="40"/>
        <v>323.81289342931007</v>
      </c>
      <c r="AW74" s="265">
        <f t="shared" si="40"/>
        <v>82.511095166091238</v>
      </c>
      <c r="AX74" s="265">
        <f t="shared" si="40"/>
        <v>112.5434930723702</v>
      </c>
      <c r="AY74" s="265">
        <f t="shared" si="40"/>
        <v>162.51229358529855</v>
      </c>
      <c r="AZ74" s="265">
        <f t="shared" si="40"/>
        <v>319.71340856883086</v>
      </c>
      <c r="BA74" s="265">
        <f t="shared" si="40"/>
        <v>88.561553650344536</v>
      </c>
      <c r="BB74" s="265">
        <f t="shared" si="40"/>
        <v>98.545843152298829</v>
      </c>
      <c r="BC74" s="265">
        <f t="shared" si="40"/>
        <v>140.03826302241595</v>
      </c>
      <c r="BD74" s="265">
        <f t="shared" si="40"/>
        <v>232.70810621536788</v>
      </c>
      <c r="BE74" s="265">
        <f t="shared" si="40"/>
        <v>77.113485447150893</v>
      </c>
      <c r="BF74" s="265">
        <f t="shared" si="40"/>
        <v>73.907429627399551</v>
      </c>
      <c r="BG74" s="265">
        <f t="shared" si="40"/>
        <v>122.67372140868565</v>
      </c>
      <c r="BH74" s="265">
        <f t="shared" si="40"/>
        <v>243.77822349965749</v>
      </c>
      <c r="BI74" s="265">
        <f t="shared" si="40"/>
        <v>49.66826676123717</v>
      </c>
      <c r="BJ74" s="265">
        <f t="shared" si="40"/>
        <v>68.837668022848518</v>
      </c>
      <c r="BK74" s="265">
        <f t="shared" si="40"/>
        <v>140.1582854148653</v>
      </c>
      <c r="BL74" s="265">
        <f t="shared" si="40"/>
        <v>252.3800055723033</v>
      </c>
      <c r="BM74" s="265">
        <f t="shared" si="40"/>
        <v>47.69431767124756</v>
      </c>
      <c r="BN74" s="265">
        <f t="shared" si="40"/>
        <v>48.267743466789987</v>
      </c>
      <c r="BO74" s="265">
        <f t="shared" si="40"/>
        <v>155.20781820813241</v>
      </c>
      <c r="BP74" s="265">
        <f t="shared" si="40"/>
        <v>225.44897484937908</v>
      </c>
      <c r="BQ74" s="265">
        <f t="shared" si="40"/>
        <v>76.516696366559927</v>
      </c>
      <c r="BR74" s="265" t="e">
        <f t="shared" ref="BR74:CK74" si="41">BR66+BR70</f>
        <v>#DIV/0!</v>
      </c>
      <c r="BS74" s="265">
        <f t="shared" si="41"/>
        <v>118.9682294985127</v>
      </c>
      <c r="BT74" s="265">
        <f t="shared" si="41"/>
        <v>87.841177949862086</v>
      </c>
      <c r="BU74" s="265">
        <f t="shared" si="41"/>
        <v>175.5227683282568</v>
      </c>
      <c r="BV74" s="265">
        <f t="shared" si="41"/>
        <v>49.183199598318694</v>
      </c>
      <c r="BW74" s="265">
        <f t="shared" si="41"/>
        <v>35.843225774931952</v>
      </c>
      <c r="BX74" s="265">
        <f t="shared" si="41"/>
        <v>104.69493755242986</v>
      </c>
      <c r="BY74" s="265" t="e">
        <f t="shared" si="41"/>
        <v>#DIV/0!</v>
      </c>
      <c r="BZ74" s="265" t="e">
        <f t="shared" si="41"/>
        <v>#DIV/0!</v>
      </c>
      <c r="CA74" s="265" t="e">
        <f t="shared" si="41"/>
        <v>#DIV/0!</v>
      </c>
      <c r="CB74" s="265" t="e">
        <f t="shared" si="41"/>
        <v>#DIV/0!</v>
      </c>
      <c r="CC74" s="265" t="e">
        <f t="shared" si="41"/>
        <v>#DIV/0!</v>
      </c>
      <c r="CD74" s="265" t="e">
        <f t="shared" si="41"/>
        <v>#DIV/0!</v>
      </c>
      <c r="CE74" s="265" t="e">
        <f t="shared" si="41"/>
        <v>#DIV/0!</v>
      </c>
      <c r="CF74" s="265" t="e">
        <f t="shared" si="41"/>
        <v>#DIV/0!</v>
      </c>
      <c r="CG74" s="265" t="e">
        <f t="shared" si="41"/>
        <v>#DIV/0!</v>
      </c>
      <c r="CH74" s="265" t="e">
        <f t="shared" si="41"/>
        <v>#DIV/0!</v>
      </c>
      <c r="CI74" s="265" t="e">
        <f t="shared" si="41"/>
        <v>#DIV/0!</v>
      </c>
      <c r="CJ74" s="265" t="e">
        <f t="shared" si="41"/>
        <v>#DIV/0!</v>
      </c>
      <c r="CK74" s="265">
        <f t="shared" si="41"/>
        <v>0</v>
      </c>
    </row>
    <row r="75" spans="1:89" s="265" customFormat="1" x14ac:dyDescent="0.25">
      <c r="A75" s="264" t="s">
        <v>485</v>
      </c>
      <c r="E75" s="265">
        <f>E74-E73</f>
        <v>55.31391828210166</v>
      </c>
      <c r="F75" s="265">
        <f t="shared" ref="F75:BQ75" si="42">F74-F73</f>
        <v>67.098060700801966</v>
      </c>
      <c r="G75" s="265">
        <f t="shared" si="42"/>
        <v>100.69134456702582</v>
      </c>
      <c r="H75" s="265">
        <f t="shared" si="42"/>
        <v>106.84913823141176</v>
      </c>
      <c r="I75" s="265">
        <f t="shared" si="42"/>
        <v>17.761747173062744</v>
      </c>
      <c r="J75" s="265">
        <f t="shared" si="42"/>
        <v>35.420122361938439</v>
      </c>
      <c r="K75" s="265">
        <f t="shared" si="42"/>
        <v>37.134760669159562</v>
      </c>
      <c r="L75" s="265">
        <f t="shared" si="42"/>
        <v>54.13777520151632</v>
      </c>
      <c r="M75" s="265">
        <f t="shared" si="42"/>
        <v>11.951757791343169</v>
      </c>
      <c r="N75" s="265">
        <f t="shared" si="42"/>
        <v>47.615100184092853</v>
      </c>
      <c r="O75" s="265">
        <f t="shared" si="42"/>
        <v>79.068876249699656</v>
      </c>
      <c r="P75" s="265">
        <f t="shared" si="42"/>
        <v>202.87640079654165</v>
      </c>
      <c r="Q75" s="265">
        <f t="shared" si="42"/>
        <v>20.189258077430623</v>
      </c>
      <c r="R75" s="265">
        <f t="shared" si="42"/>
        <v>60.277689774040795</v>
      </c>
      <c r="S75" s="265">
        <f t="shared" si="42"/>
        <v>126.20868632883366</v>
      </c>
      <c r="T75" s="265">
        <f t="shared" si="42"/>
        <v>258.51947792807323</v>
      </c>
      <c r="U75" s="265">
        <f t="shared" si="42"/>
        <v>49.301539075501239</v>
      </c>
      <c r="V75" s="265">
        <f t="shared" si="42"/>
        <v>125.21380113151392</v>
      </c>
      <c r="W75" s="265">
        <f t="shared" si="42"/>
        <v>186.92071326555691</v>
      </c>
      <c r="X75" s="265">
        <f t="shared" si="42"/>
        <v>373.24034068480785</v>
      </c>
      <c r="Y75" s="265">
        <f t="shared" si="42"/>
        <v>109.8007385487754</v>
      </c>
      <c r="Z75" s="265">
        <f t="shared" si="42"/>
        <v>192.38396597374572</v>
      </c>
      <c r="AA75" s="265">
        <f t="shared" si="42"/>
        <v>252.71641059528389</v>
      </c>
      <c r="AB75" s="265">
        <f t="shared" si="42"/>
        <v>500.45747102336207</v>
      </c>
      <c r="AC75" s="265">
        <f t="shared" si="42"/>
        <v>110.02770457968894</v>
      </c>
      <c r="AD75" s="265">
        <f t="shared" si="42"/>
        <v>144.97489804942697</v>
      </c>
      <c r="AE75" s="265">
        <f t="shared" si="42"/>
        <v>173.77632246200795</v>
      </c>
      <c r="AF75" s="265">
        <f t="shared" si="42"/>
        <v>334.44943225328802</v>
      </c>
      <c r="AG75" s="265">
        <f t="shared" si="42"/>
        <v>94.67233566737012</v>
      </c>
      <c r="AH75" s="265">
        <f t="shared" si="42"/>
        <v>148.7508099393215</v>
      </c>
      <c r="AI75" s="265">
        <f t="shared" si="42"/>
        <v>200.04112843856041</v>
      </c>
      <c r="AJ75" s="265">
        <f t="shared" si="42"/>
        <v>378.32570592565219</v>
      </c>
      <c r="AK75" s="265">
        <f t="shared" si="42"/>
        <v>134.74085304474684</v>
      </c>
      <c r="AL75" s="265">
        <f t="shared" si="42"/>
        <v>244.2443939005305</v>
      </c>
      <c r="AM75" s="265">
        <f t="shared" si="42"/>
        <v>411.85016723216239</v>
      </c>
      <c r="AN75" s="265">
        <f t="shared" si="42"/>
        <v>874.06635864682471</v>
      </c>
      <c r="AO75" s="265">
        <f t="shared" si="42"/>
        <v>126.82310019092506</v>
      </c>
      <c r="AP75" s="265">
        <f t="shared" si="42"/>
        <v>165.50961169595419</v>
      </c>
      <c r="AQ75" s="265">
        <f t="shared" si="42"/>
        <v>256.57221177125092</v>
      </c>
      <c r="AR75" s="265">
        <f t="shared" si="42"/>
        <v>533.56344298181648</v>
      </c>
      <c r="AS75" s="265">
        <f t="shared" si="42"/>
        <v>81.96096981545449</v>
      </c>
      <c r="AT75" s="265">
        <f t="shared" si="42"/>
        <v>90.219489414592118</v>
      </c>
      <c r="AU75" s="265">
        <f t="shared" si="42"/>
        <v>132.80815677744266</v>
      </c>
      <c r="AV75" s="265">
        <f t="shared" si="42"/>
        <v>279.38217361456776</v>
      </c>
      <c r="AW75" s="265">
        <f t="shared" si="42"/>
        <v>42.320679433427287</v>
      </c>
      <c r="AX75" s="265">
        <f t="shared" si="42"/>
        <v>72.290226555991367</v>
      </c>
      <c r="AY75" s="265">
        <f t="shared" si="42"/>
        <v>108.77208728321298</v>
      </c>
      <c r="AZ75" s="265">
        <f t="shared" si="42"/>
        <v>208.54826647785109</v>
      </c>
      <c r="BA75" s="265">
        <f t="shared" si="42"/>
        <v>48.361706760957752</v>
      </c>
      <c r="BB75" s="265">
        <f t="shared" si="42"/>
        <v>73.933840725812402</v>
      </c>
      <c r="BC75" s="265">
        <f t="shared" si="42"/>
        <v>106.00898395640621</v>
      </c>
      <c r="BD75" s="265">
        <f t="shared" si="42"/>
        <v>144.21926412555661</v>
      </c>
      <c r="BE75" s="265">
        <f t="shared" si="42"/>
        <v>42.700100489851167</v>
      </c>
      <c r="BF75" s="265">
        <f t="shared" si="42"/>
        <v>61.666772226664165</v>
      </c>
      <c r="BG75" s="265">
        <f t="shared" si="42"/>
        <v>87.244457540343319</v>
      </c>
      <c r="BH75" s="265">
        <f t="shared" si="42"/>
        <v>166.12229366549485</v>
      </c>
      <c r="BI75" s="265">
        <f t="shared" si="42"/>
        <v>24.266029044267633</v>
      </c>
      <c r="BJ75" s="265">
        <f t="shared" si="42"/>
        <v>76.579357838247319</v>
      </c>
      <c r="BK75" s="265">
        <f t="shared" si="42"/>
        <v>140.39688702080039</v>
      </c>
      <c r="BL75" s="265">
        <f t="shared" si="42"/>
        <v>256.6778409175854</v>
      </c>
      <c r="BM75" s="265">
        <f t="shared" si="42"/>
        <v>55.312723344029784</v>
      </c>
      <c r="BN75" s="265">
        <f t="shared" si="42"/>
        <v>54.064010511354653</v>
      </c>
      <c r="BO75" s="265">
        <f t="shared" si="42"/>
        <v>153.61255571108396</v>
      </c>
      <c r="BP75" s="265">
        <f t="shared" si="42"/>
        <v>225.77082663102215</v>
      </c>
      <c r="BQ75" s="265">
        <f t="shared" si="42"/>
        <v>86.40121183673358</v>
      </c>
      <c r="BR75" s="265" t="e">
        <f t="shared" ref="BR75:CJ75" si="43">BR74-BR73</f>
        <v>#DIV/0!</v>
      </c>
      <c r="BS75" s="265">
        <f t="shared" si="43"/>
        <v>104.00590483479101</v>
      </c>
      <c r="BT75" s="265">
        <f t="shared" si="43"/>
        <v>74.526110733197171</v>
      </c>
      <c r="BU75" s="265">
        <f t="shared" si="43"/>
        <v>177.63088323610538</v>
      </c>
      <c r="BV75" s="265">
        <f t="shared" si="43"/>
        <v>33.267728507995727</v>
      </c>
      <c r="BW75" s="265">
        <f t="shared" si="43"/>
        <v>29.515935479531258</v>
      </c>
      <c r="BX75" s="265">
        <f t="shared" si="43"/>
        <v>97.94520211073025</v>
      </c>
      <c r="BY75" s="265" t="e">
        <f t="shared" si="43"/>
        <v>#DIV/0!</v>
      </c>
      <c r="BZ75" s="265" t="e">
        <f t="shared" si="43"/>
        <v>#DIV/0!</v>
      </c>
      <c r="CA75" s="265" t="e">
        <f t="shared" si="43"/>
        <v>#DIV/0!</v>
      </c>
      <c r="CB75" s="265" t="e">
        <f t="shared" si="43"/>
        <v>#DIV/0!</v>
      </c>
      <c r="CC75" s="265" t="e">
        <f t="shared" si="43"/>
        <v>#DIV/0!</v>
      </c>
      <c r="CD75" s="265" t="e">
        <f t="shared" si="43"/>
        <v>#DIV/0!</v>
      </c>
      <c r="CE75" s="265" t="e">
        <f t="shared" si="43"/>
        <v>#DIV/0!</v>
      </c>
      <c r="CF75" s="265" t="e">
        <f t="shared" si="43"/>
        <v>#DIV/0!</v>
      </c>
      <c r="CG75" s="265" t="e">
        <f t="shared" si="43"/>
        <v>#DIV/0!</v>
      </c>
      <c r="CH75" s="265" t="e">
        <f t="shared" si="43"/>
        <v>#DIV/0!</v>
      </c>
      <c r="CI75" s="265" t="e">
        <f t="shared" si="43"/>
        <v>#DIV/0!</v>
      </c>
      <c r="CJ75" s="265" t="e">
        <f t="shared" si="43"/>
        <v>#DIV/0!</v>
      </c>
    </row>
    <row r="76" spans="1:89" s="121" customFormat="1" x14ac:dyDescent="0.25">
      <c r="A76" s="150" t="s">
        <v>486</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7" t="s">
        <v>698</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9" customFormat="1" x14ac:dyDescent="0.25">
      <c r="A80" s="258" t="s">
        <v>581</v>
      </c>
      <c r="B80" s="256">
        <v>43373</v>
      </c>
      <c r="C80" s="256">
        <v>43281</v>
      </c>
      <c r="D80" s="256">
        <v>43190</v>
      </c>
      <c r="E80" s="256">
        <v>43100</v>
      </c>
      <c r="F80" s="256">
        <v>43008</v>
      </c>
      <c r="G80" s="256">
        <v>42916</v>
      </c>
      <c r="H80" s="256">
        <v>42825</v>
      </c>
      <c r="I80" s="256">
        <v>42735</v>
      </c>
      <c r="J80" s="256">
        <v>42643</v>
      </c>
      <c r="K80" s="256">
        <v>42551</v>
      </c>
      <c r="L80" s="256">
        <v>42460</v>
      </c>
      <c r="M80" s="256">
        <v>42369</v>
      </c>
      <c r="N80" s="256">
        <v>42277</v>
      </c>
      <c r="O80" s="256">
        <v>42185</v>
      </c>
      <c r="P80" s="256">
        <v>42094</v>
      </c>
      <c r="Q80" s="256">
        <v>42004</v>
      </c>
      <c r="R80" s="256">
        <v>41912</v>
      </c>
      <c r="S80" s="256">
        <v>41820</v>
      </c>
      <c r="T80" s="256">
        <v>41729</v>
      </c>
      <c r="U80" s="256">
        <v>41639</v>
      </c>
      <c r="V80" s="256">
        <v>41547</v>
      </c>
      <c r="W80" s="256">
        <v>41455</v>
      </c>
      <c r="X80" s="256">
        <v>41364</v>
      </c>
      <c r="Y80" s="256">
        <v>41274</v>
      </c>
      <c r="Z80" s="256">
        <v>41182</v>
      </c>
      <c r="AA80" s="256">
        <v>41090</v>
      </c>
      <c r="AB80" s="256">
        <v>40999</v>
      </c>
      <c r="AC80" s="256">
        <v>40908</v>
      </c>
      <c r="AD80" s="256">
        <v>40816</v>
      </c>
      <c r="AE80" s="256">
        <v>40724</v>
      </c>
      <c r="AF80" s="256">
        <v>40633</v>
      </c>
      <c r="AG80" s="256">
        <v>40543</v>
      </c>
      <c r="AH80" s="256">
        <v>40451</v>
      </c>
      <c r="AI80" s="256">
        <v>40359</v>
      </c>
      <c r="AJ80" s="256">
        <v>40268</v>
      </c>
      <c r="AK80" s="256">
        <v>40178</v>
      </c>
      <c r="AL80" s="256">
        <v>40086</v>
      </c>
      <c r="AM80" s="256">
        <v>39994</v>
      </c>
      <c r="AN80" s="256">
        <v>39903</v>
      </c>
      <c r="AO80" s="256">
        <v>39813</v>
      </c>
      <c r="AP80" s="256">
        <v>39721</v>
      </c>
      <c r="AQ80" s="256">
        <v>39629</v>
      </c>
      <c r="AR80" s="256">
        <v>39538</v>
      </c>
      <c r="AS80" s="256">
        <v>39447</v>
      </c>
      <c r="AT80" s="256">
        <v>39355</v>
      </c>
      <c r="AU80" s="256">
        <v>39263</v>
      </c>
      <c r="AV80" s="256">
        <v>39172</v>
      </c>
      <c r="AW80" s="256">
        <v>39082</v>
      </c>
      <c r="AX80" s="256">
        <v>38990</v>
      </c>
      <c r="AY80" s="256">
        <v>38898</v>
      </c>
      <c r="AZ80" s="256">
        <v>38807</v>
      </c>
      <c r="BA80" s="256">
        <v>38717</v>
      </c>
      <c r="BB80" s="256">
        <v>38625</v>
      </c>
      <c r="BC80" s="256">
        <v>38533</v>
      </c>
      <c r="BD80" s="256">
        <v>38442</v>
      </c>
      <c r="BE80" s="256">
        <v>38352</v>
      </c>
      <c r="BF80" s="256">
        <v>38260</v>
      </c>
      <c r="BG80" s="256">
        <v>38168</v>
      </c>
      <c r="BH80" s="256">
        <v>38077</v>
      </c>
      <c r="BI80" s="256">
        <v>37986</v>
      </c>
      <c r="BJ80" s="256">
        <v>37894</v>
      </c>
      <c r="BK80" s="256">
        <v>37802</v>
      </c>
      <c r="BL80" s="256">
        <v>37711</v>
      </c>
      <c r="BM80" s="256">
        <v>37621</v>
      </c>
      <c r="BN80" s="256">
        <v>37529</v>
      </c>
      <c r="BO80" s="256">
        <v>37437</v>
      </c>
      <c r="BP80" s="256">
        <v>37346</v>
      </c>
      <c r="BQ80" s="256">
        <v>37256</v>
      </c>
      <c r="BR80" s="256">
        <v>37164</v>
      </c>
      <c r="BS80" s="256">
        <v>37072</v>
      </c>
      <c r="BT80" s="256">
        <v>36891</v>
      </c>
      <c r="BU80" s="256">
        <v>36707</v>
      </c>
      <c r="BV80" s="256">
        <v>36525</v>
      </c>
      <c r="BW80" s="256">
        <v>36160</v>
      </c>
      <c r="BX80" s="256">
        <v>35795</v>
      </c>
      <c r="BY80" s="256">
        <v>25569</v>
      </c>
      <c r="BZ80" s="256"/>
      <c r="CA80" s="256"/>
      <c r="CB80" s="256"/>
      <c r="CC80" s="256"/>
      <c r="CD80" s="256"/>
      <c r="CE80" s="256"/>
      <c r="CF80" s="256"/>
      <c r="CG80" s="256"/>
      <c r="CH80" s="256"/>
      <c r="CI80" s="256"/>
      <c r="CJ80" s="256"/>
      <c r="CK80" s="256"/>
    </row>
    <row r="81" spans="1:89" s="76" customFormat="1" x14ac:dyDescent="0.25">
      <c r="A81" s="70" t="s">
        <v>582</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583</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60" t="s">
        <v>584</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585</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60" t="s">
        <v>586</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587</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63" t="s">
        <v>588</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589</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590</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591</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592</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593</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60" t="s">
        <v>697</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594</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595</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596</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597</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598</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599</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694</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61" customFormat="1" ht="15" thickBot="1" x14ac:dyDescent="0.3">
      <c r="A101" s="262" t="s">
        <v>695</v>
      </c>
      <c r="E101" s="261">
        <f>E100/E84</f>
        <v>1.0155306844599206</v>
      </c>
      <c r="F101" s="261">
        <f t="shared" ref="F101:BQ101" si="56">F100/F84</f>
        <v>1.0238229454880483</v>
      </c>
      <c r="G101" s="261">
        <f t="shared" si="56"/>
        <v>0.97138914741276683</v>
      </c>
      <c r="H101" s="261">
        <f t="shared" si="56"/>
        <v>0.95261329892768409</v>
      </c>
      <c r="I101" s="261">
        <f t="shared" si="56"/>
        <v>0.8520853380192327</v>
      </c>
      <c r="J101" s="261">
        <f t="shared" si="56"/>
        <v>0.77597979149169349</v>
      </c>
      <c r="K101" s="261">
        <f t="shared" si="56"/>
        <v>0.78447325460491946</v>
      </c>
      <c r="L101" s="261">
        <f t="shared" si="56"/>
        <v>0.79646710917539465</v>
      </c>
      <c r="M101" s="261">
        <f t="shared" si="56"/>
        <v>0.87899044021375516</v>
      </c>
      <c r="N101" s="261">
        <f t="shared" si="56"/>
        <v>0.76648316937036887</v>
      </c>
      <c r="O101" s="261">
        <f t="shared" si="56"/>
        <v>0.78340223013560761</v>
      </c>
      <c r="P101" s="261">
        <f t="shared" si="56"/>
        <v>0.77637880475177701</v>
      </c>
      <c r="Q101" s="261">
        <f t="shared" si="56"/>
        <v>0.78239251466422211</v>
      </c>
      <c r="R101" s="261">
        <f t="shared" si="56"/>
        <v>0.99579015093590295</v>
      </c>
      <c r="S101" s="261">
        <f t="shared" si="56"/>
        <v>0.99509404992520689</v>
      </c>
      <c r="T101" s="261">
        <f t="shared" si="56"/>
        <v>1.0061512143201463</v>
      </c>
      <c r="U101" s="261">
        <f t="shared" si="56"/>
        <v>0.92715487932457996</v>
      </c>
      <c r="V101" s="261">
        <f t="shared" si="56"/>
        <v>0.94537299648992712</v>
      </c>
      <c r="W101" s="261">
        <f t="shared" si="56"/>
        <v>0.91869442989949657</v>
      </c>
      <c r="X101" s="261">
        <f t="shared" si="56"/>
        <v>0.90985036701805966</v>
      </c>
      <c r="Y101" s="261">
        <f t="shared" si="56"/>
        <v>0.97091032168958957</v>
      </c>
      <c r="Z101" s="261">
        <f t="shared" si="56"/>
        <v>0.97434963842755051</v>
      </c>
      <c r="AA101" s="261">
        <f t="shared" si="56"/>
        <v>0.98982007128599048</v>
      </c>
      <c r="AB101" s="261">
        <f t="shared" si="56"/>
        <v>1.0039553418304583</v>
      </c>
      <c r="AC101" s="261">
        <f t="shared" si="56"/>
        <v>1.0018499137972381</v>
      </c>
      <c r="AD101" s="261">
        <f t="shared" si="56"/>
        <v>0.7166336298796967</v>
      </c>
      <c r="AE101" s="261">
        <f t="shared" si="56"/>
        <v>0.72128195227416292</v>
      </c>
      <c r="AF101" s="261">
        <f t="shared" si="56"/>
        <v>0.72146733597572743</v>
      </c>
      <c r="AG101" s="261">
        <f t="shared" si="56"/>
        <v>0.72880747513321897</v>
      </c>
      <c r="AH101" s="261">
        <f t="shared" si="56"/>
        <v>1.0221128512412117</v>
      </c>
      <c r="AI101" s="261">
        <f t="shared" si="56"/>
        <v>1.015500210363079</v>
      </c>
      <c r="AJ101" s="261">
        <f t="shared" si="56"/>
        <v>1.0154712690873848</v>
      </c>
      <c r="AK101" s="261">
        <f t="shared" si="56"/>
        <v>1.0156561745714727</v>
      </c>
      <c r="AL101" s="261">
        <f t="shared" si="56"/>
        <v>0.98622269898708437</v>
      </c>
      <c r="AM101" s="261">
        <f t="shared" si="56"/>
        <v>0.9855835231376352</v>
      </c>
      <c r="AN101" s="261">
        <f t="shared" si="56"/>
        <v>0.98426990655595892</v>
      </c>
      <c r="AO101" s="261">
        <f t="shared" si="56"/>
        <v>0.98432713808774119</v>
      </c>
      <c r="AP101" s="261">
        <f t="shared" si="56"/>
        <v>0.99349639426509662</v>
      </c>
      <c r="AQ101" s="261">
        <f t="shared" si="56"/>
        <v>0.99254293731309096</v>
      </c>
      <c r="AR101" s="261">
        <f t="shared" si="56"/>
        <v>0.99003959131478081</v>
      </c>
      <c r="AS101" s="261">
        <f t="shared" si="56"/>
        <v>1.0067656810336332</v>
      </c>
      <c r="AT101" s="261">
        <f t="shared" si="56"/>
        <v>0.99955322863101259</v>
      </c>
      <c r="AU101" s="261">
        <f t="shared" si="56"/>
        <v>1.0082561377848853</v>
      </c>
      <c r="AV101" s="261">
        <f t="shared" si="56"/>
        <v>1.0089342219410058</v>
      </c>
      <c r="AW101" s="261">
        <f t="shared" si="56"/>
        <v>0.68697735847388453</v>
      </c>
      <c r="AX101" s="261">
        <f t="shared" si="56"/>
        <v>0.58546849411473001</v>
      </c>
      <c r="AY101" s="261">
        <f t="shared" si="56"/>
        <v>0.5849844216082557</v>
      </c>
      <c r="AZ101" s="261">
        <f t="shared" si="56"/>
        <v>0.5855727931492426</v>
      </c>
      <c r="BA101" s="261">
        <f t="shared" si="56"/>
        <v>0.72579640919099075</v>
      </c>
      <c r="BB101" s="261">
        <f t="shared" si="56"/>
        <v>0.9870025115237786</v>
      </c>
      <c r="BC101" s="261">
        <f t="shared" si="56"/>
        <v>0.99254251703513352</v>
      </c>
      <c r="BD101" s="261">
        <f t="shared" si="56"/>
        <v>1.016061060118691</v>
      </c>
      <c r="BE101" s="261">
        <f t="shared" si="56"/>
        <v>1.010673212187402</v>
      </c>
      <c r="BF101" s="261">
        <f t="shared" si="56"/>
        <v>1.0394671553672343</v>
      </c>
      <c r="BG101" s="261">
        <f t="shared" si="56"/>
        <v>1.031216949570571</v>
      </c>
      <c r="BH101" s="261">
        <f t="shared" si="56"/>
        <v>0.98462284857214899</v>
      </c>
      <c r="BI101" s="261">
        <f t="shared" si="56"/>
        <v>0.91034630600536426</v>
      </c>
      <c r="BJ101" s="261">
        <f t="shared" si="56"/>
        <v>0.87694263374185388</v>
      </c>
      <c r="BK101" s="261">
        <f t="shared" si="56"/>
        <v>0.76907961648834289</v>
      </c>
      <c r="BL101" s="261">
        <f t="shared" si="56"/>
        <v>0.77803025908499512</v>
      </c>
      <c r="BM101" s="261">
        <f t="shared" si="56"/>
        <v>0.83184310607394329</v>
      </c>
      <c r="BN101" s="261">
        <f t="shared" si="56"/>
        <v>0.5</v>
      </c>
      <c r="BO101" s="261">
        <f t="shared" si="56"/>
        <v>0.96666482811839149</v>
      </c>
      <c r="BP101" s="261">
        <f t="shared" si="56"/>
        <v>0.88052084457388935</v>
      </c>
      <c r="BQ101" s="261">
        <f t="shared" si="56"/>
        <v>0.74934108886128725</v>
      </c>
      <c r="BR101" s="261" t="e">
        <f t="shared" ref="BR101:CK101" si="57">BR100/BR84</f>
        <v>#DIV/0!</v>
      </c>
      <c r="BS101" s="261">
        <f t="shared" si="57"/>
        <v>0.73395032017958095</v>
      </c>
      <c r="BT101" s="261">
        <f t="shared" si="57"/>
        <v>0.57224539786624751</v>
      </c>
      <c r="BU101" s="261">
        <f t="shared" si="57"/>
        <v>0.5</v>
      </c>
      <c r="BV101" s="261">
        <f t="shared" si="57"/>
        <v>0.5</v>
      </c>
      <c r="BW101" s="261">
        <f t="shared" si="57"/>
        <v>0.5</v>
      </c>
      <c r="BX101" s="261">
        <f t="shared" si="57"/>
        <v>0.5</v>
      </c>
      <c r="BY101" s="261" t="e">
        <f t="shared" si="57"/>
        <v>#DIV/0!</v>
      </c>
      <c r="BZ101" s="261" t="e">
        <f t="shared" si="57"/>
        <v>#DIV/0!</v>
      </c>
      <c r="CA101" s="261" t="e">
        <f t="shared" si="57"/>
        <v>#DIV/0!</v>
      </c>
      <c r="CB101" s="261" t="e">
        <f t="shared" si="57"/>
        <v>#DIV/0!</v>
      </c>
      <c r="CC101" s="261" t="e">
        <f t="shared" si="57"/>
        <v>#DIV/0!</v>
      </c>
      <c r="CD101" s="261" t="e">
        <f t="shared" si="57"/>
        <v>#DIV/0!</v>
      </c>
      <c r="CE101" s="261" t="e">
        <f t="shared" si="57"/>
        <v>#DIV/0!</v>
      </c>
      <c r="CF101" s="261" t="e">
        <f t="shared" si="57"/>
        <v>#DIV/0!</v>
      </c>
      <c r="CG101" s="261" t="e">
        <f t="shared" si="57"/>
        <v>#DIV/0!</v>
      </c>
      <c r="CH101" s="261" t="e">
        <f t="shared" si="57"/>
        <v>#DIV/0!</v>
      </c>
      <c r="CI101" s="261" t="e">
        <f t="shared" si="57"/>
        <v>#DIV/0!</v>
      </c>
      <c r="CJ101" s="261" t="e">
        <f t="shared" si="57"/>
        <v>#DIV/0!</v>
      </c>
      <c r="CK101" s="261" t="e">
        <f t="shared" si="57"/>
        <v>#DIV/0!</v>
      </c>
    </row>
    <row r="102" spans="1:89" ht="204.75" customHeight="1" x14ac:dyDescent="0.25">
      <c r="A102" s="286" t="s">
        <v>696</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8" workbookViewId="0">
      <selection activeCell="A29" sqref="A29:AC29"/>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487</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488</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513</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489</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490</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491</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492</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493</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494</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495</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496</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497</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498</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499</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500</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501</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502</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503</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504</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505</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506</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507</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508</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509</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510</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511</v>
      </c>
      <c r="E27" s="26">
        <f>E26-E24</f>
        <v>6505500595.1799994</v>
      </c>
      <c r="F27" s="26">
        <f t="shared" ref="F27:BQ27" si="16">F26-F24</f>
        <v>5631450899.3100004</v>
      </c>
      <c r="G27" s="26">
        <f t="shared" si="16"/>
        <v>-385445265.10000014</v>
      </c>
      <c r="H27" s="26">
        <f t="shared" si="16"/>
        <v>473064821.51999998</v>
      </c>
      <c r="I27" s="26">
        <f t="shared" si="16"/>
        <v>4427049865.2900009</v>
      </c>
      <c r="J27" s="26">
        <f t="shared" si="16"/>
        <v>5213297121.1899996</v>
      </c>
      <c r="K27" s="26">
        <f t="shared" si="16"/>
        <v>1959271171.3100002</v>
      </c>
      <c r="L27" s="26">
        <f t="shared" si="16"/>
        <v>1797738710.79</v>
      </c>
      <c r="M27" s="26">
        <f t="shared" si="16"/>
        <v>2904713341.1199999</v>
      </c>
      <c r="N27" s="26">
        <f t="shared" si="16"/>
        <v>3261934933.6900001</v>
      </c>
      <c r="O27" s="26">
        <f t="shared" si="16"/>
        <v>1133305725.8</v>
      </c>
      <c r="P27" s="26">
        <f t="shared" si="16"/>
        <v>744388968.48000002</v>
      </c>
      <c r="Q27" s="26">
        <f t="shared" si="16"/>
        <v>2734683198.3999996</v>
      </c>
      <c r="R27" s="26">
        <f t="shared" si="16"/>
        <v>4001156726.0300002</v>
      </c>
      <c r="S27" s="26">
        <f t="shared" si="16"/>
        <v>1277007220.1800001</v>
      </c>
      <c r="T27" s="26">
        <f t="shared" si="16"/>
        <v>1041438665.5</v>
      </c>
      <c r="U27" s="26">
        <f t="shared" si="16"/>
        <v>2935713988.3500004</v>
      </c>
      <c r="V27" s="26">
        <f t="shared" si="16"/>
        <v>2431011526.1799998</v>
      </c>
      <c r="W27" s="26">
        <f t="shared" si="16"/>
        <v>1305224574.9599998</v>
      </c>
      <c r="X27" s="26">
        <f t="shared" si="16"/>
        <v>771350227.17999995</v>
      </c>
      <c r="Y27" s="26">
        <f t="shared" si="16"/>
        <v>2850259764.1900001</v>
      </c>
      <c r="Z27" s="26">
        <f t="shared" si="16"/>
        <v>2768175671.1700001</v>
      </c>
      <c r="AA27" s="26">
        <f t="shared" si="16"/>
        <v>1498994398.0799999</v>
      </c>
      <c r="AB27" s="26">
        <f t="shared" si="16"/>
        <v>941760962.99000001</v>
      </c>
      <c r="AC27" s="26">
        <f t="shared" si="16"/>
        <v>1327657090.8700001</v>
      </c>
      <c r="AD27" s="26">
        <f t="shared" si="16"/>
        <v>1030715391.98</v>
      </c>
      <c r="AE27" s="26">
        <f t="shared" si="16"/>
        <v>587725815.11000013</v>
      </c>
      <c r="AF27" s="26">
        <f t="shared" si="16"/>
        <v>245090015.16999999</v>
      </c>
      <c r="AG27" s="26">
        <f t="shared" si="16"/>
        <v>60166444.479999959</v>
      </c>
      <c r="AH27" s="26">
        <f t="shared" si="16"/>
        <v>217249909.44999999</v>
      </c>
      <c r="AI27" s="26">
        <f t="shared" si="16"/>
        <v>55737726.560000002</v>
      </c>
      <c r="AJ27" s="26">
        <f t="shared" si="16"/>
        <v>221686829.78999999</v>
      </c>
      <c r="AK27" s="26">
        <f t="shared" si="16"/>
        <v>1150367078.6299999</v>
      </c>
      <c r="AL27" s="26">
        <f t="shared" si="16"/>
        <v>971572847.78999996</v>
      </c>
      <c r="AM27" s="26">
        <f t="shared" si="16"/>
        <v>888628813.20000005</v>
      </c>
      <c r="AN27" s="26">
        <f t="shared" si="16"/>
        <v>500247022.56</v>
      </c>
      <c r="AO27" s="26">
        <f t="shared" si="16"/>
        <v>1732336314.8900001</v>
      </c>
      <c r="AP27" s="26">
        <f t="shared" si="16"/>
        <v>892259381.87</v>
      </c>
      <c r="AQ27" s="26">
        <f t="shared" si="16"/>
        <v>342451215.82999998</v>
      </c>
      <c r="AR27" s="26">
        <f t="shared" si="16"/>
        <v>25279397.539999999</v>
      </c>
      <c r="AS27" s="26">
        <f t="shared" si="16"/>
        <v>1022195373.71</v>
      </c>
      <c r="AT27" s="26">
        <f t="shared" si="16"/>
        <v>1160994477.8499999</v>
      </c>
      <c r="AU27" s="26">
        <f t="shared" si="16"/>
        <v>447188260.96000004</v>
      </c>
      <c r="AV27" s="26">
        <f t="shared" si="16"/>
        <v>96061223.269999996</v>
      </c>
      <c r="AW27" s="26">
        <f t="shared" si="16"/>
        <v>714482291.0999999</v>
      </c>
      <c r="AX27" s="26">
        <f t="shared" si="16"/>
        <v>526769707.03000003</v>
      </c>
      <c r="AY27" s="26">
        <f t="shared" si="16"/>
        <v>269902225.69999999</v>
      </c>
      <c r="AZ27" s="26">
        <f t="shared" si="16"/>
        <v>44156612.450000003</v>
      </c>
      <c r="BA27" s="26">
        <f t="shared" si="16"/>
        <v>696217041.06999993</v>
      </c>
      <c r="BB27" s="26">
        <f t="shared" si="16"/>
        <v>529923827.59999996</v>
      </c>
      <c r="BC27" s="26">
        <f t="shared" si="16"/>
        <v>293619603.31999999</v>
      </c>
      <c r="BD27" s="26">
        <f t="shared" si="16"/>
        <v>264327041.48000002</v>
      </c>
      <c r="BE27" s="26">
        <f t="shared" si="16"/>
        <v>47077306.789999984</v>
      </c>
      <c r="BF27" s="26">
        <f t="shared" si="16"/>
        <v>196671095.81999996</v>
      </c>
      <c r="BG27" s="26">
        <f t="shared" si="16"/>
        <v>214251053.15999997</v>
      </c>
      <c r="BH27" s="26">
        <f t="shared" si="16"/>
        <v>64894608.239999995</v>
      </c>
      <c r="BI27" s="26">
        <f t="shared" si="16"/>
        <v>320611965.62</v>
      </c>
      <c r="BJ27" s="26">
        <f t="shared" si="16"/>
        <v>274114410.02999997</v>
      </c>
      <c r="BK27" s="26">
        <f t="shared" si="16"/>
        <v>98158514.289999992</v>
      </c>
      <c r="BL27" s="26">
        <f t="shared" si="16"/>
        <v>20061235.420000002</v>
      </c>
      <c r="BM27" s="26">
        <f t="shared" si="16"/>
        <v>81820634.780000001</v>
      </c>
      <c r="BN27" s="26">
        <f t="shared" si="16"/>
        <v>-16360590.819999998</v>
      </c>
      <c r="BO27" s="26">
        <f t="shared" si="16"/>
        <v>39279083.819999993</v>
      </c>
      <c r="BP27" s="26">
        <f t="shared" si="16"/>
        <v>15492380.66</v>
      </c>
      <c r="BQ27" s="26">
        <f t="shared" si="16"/>
        <v>38241740.450000003</v>
      </c>
      <c r="BR27" s="26">
        <f t="shared" ref="BR27:CL27" si="17">BR26-BR24</f>
        <v>-25728599.380000003</v>
      </c>
      <c r="BS27" s="26">
        <f t="shared" si="17"/>
        <v>25423500.439999998</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512</v>
      </c>
      <c r="E28" s="63">
        <f>(E27-I27)/I27</f>
        <v>0.46948889060092985</v>
      </c>
      <c r="F28" s="63">
        <f t="shared" ref="F28:BQ28" si="18">(F27-J27)/J27</f>
        <v>8.020908235219712E-2</v>
      </c>
      <c r="G28" s="63">
        <f t="shared" si="18"/>
        <v>-1.1967289014119904</v>
      </c>
      <c r="H28" s="63">
        <f t="shared" si="18"/>
        <v>-0.73685562941896265</v>
      </c>
      <c r="I28" s="63">
        <f t="shared" si="18"/>
        <v>0.52409182779565378</v>
      </c>
      <c r="J28" s="63">
        <f t="shared" si="18"/>
        <v>0.59822229050184006</v>
      </c>
      <c r="K28" s="63">
        <f t="shared" si="18"/>
        <v>0.72881079368671819</v>
      </c>
      <c r="L28" s="63">
        <f t="shared" si="18"/>
        <v>1.4150528647151774</v>
      </c>
      <c r="M28" s="63">
        <f t="shared" si="18"/>
        <v>6.2175444241395497E-2</v>
      </c>
      <c r="N28" s="63">
        <f t="shared" si="18"/>
        <v>-0.18475202121699083</v>
      </c>
      <c r="O28" s="63">
        <f t="shared" si="18"/>
        <v>-0.11252989968196478</v>
      </c>
      <c r="P28" s="63">
        <f t="shared" si="18"/>
        <v>-0.28523014063183921</v>
      </c>
      <c r="Q28" s="63">
        <f t="shared" si="18"/>
        <v>-6.8477648281734985E-2</v>
      </c>
      <c r="R28" s="63">
        <f t="shared" si="18"/>
        <v>0.64588142957810968</v>
      </c>
      <c r="S28" s="63">
        <f t="shared" si="18"/>
        <v>-2.1618773750765832E-2</v>
      </c>
      <c r="T28" s="63">
        <f t="shared" si="18"/>
        <v>0.35015020259658658</v>
      </c>
      <c r="U28" s="63">
        <f t="shared" si="18"/>
        <v>2.9981205654876546E-2</v>
      </c>
      <c r="V28" s="63">
        <f t="shared" si="18"/>
        <v>-0.12180012580180437</v>
      </c>
      <c r="W28" s="63">
        <f t="shared" si="18"/>
        <v>-0.12926654253557712</v>
      </c>
      <c r="X28" s="63">
        <f t="shared" si="18"/>
        <v>-0.18094903325464082</v>
      </c>
      <c r="Y28" s="63">
        <f t="shared" si="18"/>
        <v>1.1468342870991288</v>
      </c>
      <c r="Z28" s="63">
        <f t="shared" si="18"/>
        <v>1.685683839311205</v>
      </c>
      <c r="AA28" s="63">
        <f t="shared" si="18"/>
        <v>1.5504995008589926</v>
      </c>
      <c r="AB28" s="63">
        <f t="shared" si="18"/>
        <v>2.842510525517628</v>
      </c>
      <c r="AC28" s="63">
        <f t="shared" si="18"/>
        <v>21.06640432793613</v>
      </c>
      <c r="AD28" s="63">
        <f t="shared" si="18"/>
        <v>3.744376624088853</v>
      </c>
      <c r="AE28" s="63">
        <f t="shared" si="18"/>
        <v>9.5444884709700322</v>
      </c>
      <c r="AF28" s="63">
        <f t="shared" si="18"/>
        <v>0.10556867722890628</v>
      </c>
      <c r="AG28" s="63">
        <f t="shared" si="18"/>
        <v>-0.9476980473470662</v>
      </c>
      <c r="AH28" s="63">
        <f t="shared" si="18"/>
        <v>-0.77639359730547208</v>
      </c>
      <c r="AI28" s="63">
        <f t="shared" si="18"/>
        <v>-0.93727670571553334</v>
      </c>
      <c r="AJ28" s="63">
        <f t="shared" si="18"/>
        <v>-0.55684527884739032</v>
      </c>
      <c r="AK28" s="63">
        <f t="shared" si="18"/>
        <v>-0.33594471885036603</v>
      </c>
      <c r="AL28" s="63">
        <f t="shared" si="18"/>
        <v>8.8890593398720616E-2</v>
      </c>
      <c r="AM28" s="63">
        <f t="shared" si="18"/>
        <v>1.5949062877356939</v>
      </c>
      <c r="AN28" s="63">
        <f t="shared" si="18"/>
        <v>18.788724069410716</v>
      </c>
      <c r="AO28" s="63">
        <f t="shared" si="18"/>
        <v>0.6947213413836768</v>
      </c>
      <c r="AP28" s="63">
        <f t="shared" si="18"/>
        <v>-0.23146974521158781</v>
      </c>
      <c r="AQ28" s="63">
        <f t="shared" si="18"/>
        <v>-0.23421242074905124</v>
      </c>
      <c r="AR28" s="63">
        <f t="shared" si="18"/>
        <v>-0.73684077008943538</v>
      </c>
      <c r="AS28" s="63">
        <f t="shared" si="18"/>
        <v>0.43067978932865136</v>
      </c>
      <c r="AT28" s="63">
        <f t="shared" si="18"/>
        <v>1.203988692508243</v>
      </c>
      <c r="AU28" s="63">
        <f t="shared" si="18"/>
        <v>0.6568528095691063</v>
      </c>
      <c r="AV28" s="63">
        <f t="shared" si="18"/>
        <v>1.1754663218056709</v>
      </c>
      <c r="AW28" s="63">
        <f t="shared" si="18"/>
        <v>2.623499419366198E-2</v>
      </c>
      <c r="AX28" s="63">
        <f t="shared" si="18"/>
        <v>-5.9520263209993721E-3</v>
      </c>
      <c r="AY28" s="63">
        <f t="shared" si="18"/>
        <v>-8.0775865616001558E-2</v>
      </c>
      <c r="AZ28" s="63">
        <f t="shared" si="18"/>
        <v>-0.8329470484640481</v>
      </c>
      <c r="BA28" s="63">
        <f t="shared" si="18"/>
        <v>13.788803534910119</v>
      </c>
      <c r="BB28" s="63">
        <f t="shared" si="18"/>
        <v>1.6944672545324309</v>
      </c>
      <c r="BC28" s="63">
        <f t="shared" si="18"/>
        <v>0.37044648784399953</v>
      </c>
      <c r="BD28" s="63">
        <f t="shared" si="18"/>
        <v>3.0731741611327434</v>
      </c>
      <c r="BE28" s="63">
        <f t="shared" si="18"/>
        <v>-0.85316422392732039</v>
      </c>
      <c r="BF28" s="63">
        <f t="shared" si="18"/>
        <v>-0.28252186450732147</v>
      </c>
      <c r="BG28" s="63">
        <f t="shared" si="18"/>
        <v>1.1827047272436868</v>
      </c>
      <c r="BH28" s="63">
        <f t="shared" si="18"/>
        <v>2.2348261152104056</v>
      </c>
      <c r="BI28" s="63">
        <f t="shared" si="18"/>
        <v>2.9184732125589603</v>
      </c>
      <c r="BJ28" s="63">
        <f t="shared" si="18"/>
        <v>-17.754554468467539</v>
      </c>
      <c r="BK28" s="63">
        <f t="shared" si="18"/>
        <v>1.4990021340574131</v>
      </c>
      <c r="BL28" s="63">
        <f t="shared" si="18"/>
        <v>0.29490979212745483</v>
      </c>
      <c r="BM28" s="63">
        <f t="shared" si="18"/>
        <v>1.1395635715633334</v>
      </c>
      <c r="BN28" s="63">
        <f t="shared" si="18"/>
        <v>-0.36410876556623517</v>
      </c>
      <c r="BO28" s="63">
        <f t="shared" si="18"/>
        <v>0.54499117510192852</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744</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2" t="s">
        <v>570</v>
      </c>
      <c r="B30" s="96"/>
      <c r="C30" s="96"/>
      <c r="D30" s="96"/>
      <c r="E30" s="96" t="s">
        <v>569</v>
      </c>
      <c r="F30" s="96"/>
      <c r="G30" s="96"/>
      <c r="H30" s="96"/>
      <c r="I30" s="96" t="s">
        <v>603</v>
      </c>
      <c r="M30" s="96" t="s">
        <v>571</v>
      </c>
      <c r="Q30" s="115" t="s">
        <v>609</v>
      </c>
      <c r="R30" s="115"/>
      <c r="S30" s="115"/>
      <c r="T30" s="115"/>
      <c r="U30" s="115" t="s">
        <v>606</v>
      </c>
      <c r="V30" s="115"/>
      <c r="W30" s="115"/>
      <c r="X30" s="115"/>
      <c r="Y30" s="115" t="s">
        <v>607</v>
      </c>
      <c r="Z30" s="115"/>
      <c r="AA30" s="115"/>
      <c r="AB30" s="115"/>
      <c r="AC30" s="115" t="s">
        <v>608</v>
      </c>
    </row>
    <row r="31" spans="1:90" s="63" customFormat="1" x14ac:dyDescent="0.25">
      <c r="A31" s="112" t="s">
        <v>572</v>
      </c>
      <c r="B31" s="113"/>
      <c r="C31" s="113"/>
      <c r="D31" s="113"/>
      <c r="E31" s="113">
        <f>POWER(E27/U27,1/5)-1</f>
        <v>0.17250146965080604</v>
      </c>
      <c r="F31" s="113"/>
      <c r="G31" s="113"/>
      <c r="H31" s="113"/>
      <c r="I31" s="113">
        <f>POWER(E27/Y27,1/6)-1</f>
        <v>0.14744720689635393</v>
      </c>
      <c r="M31" s="113">
        <f>POWER(E27/AC27,1/7)-1</f>
        <v>0.2548715041451417</v>
      </c>
      <c r="Q31" s="116" t="s">
        <v>605</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514</v>
      </c>
      <c r="E32" s="66">
        <v>0.17</v>
      </c>
    </row>
    <row r="39" spans="1:13" ht="43.2" x14ac:dyDescent="0.25">
      <c r="A39" s="67" t="s">
        <v>515</v>
      </c>
    </row>
    <row r="41" spans="1:13" ht="111" customHeight="1" x14ac:dyDescent="0.25">
      <c r="A41" s="277" t="s">
        <v>743</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18" sqref="D18"/>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516</v>
      </c>
      <c r="B1" s="69">
        <f>自由现金流分析表!E1</f>
        <v>43100</v>
      </c>
      <c r="D1" s="271"/>
      <c r="E1" s="272"/>
    </row>
    <row r="2" spans="1:10" x14ac:dyDescent="0.25">
      <c r="A2" s="70" t="s">
        <v>517</v>
      </c>
      <c r="B2" s="71">
        <f>(自由现金流分析表!E27+自由现金流分析表!I27+自由现金流分析表!M27)/3</f>
        <v>4612421267.1966667</v>
      </c>
      <c r="C2" t="s">
        <v>550</v>
      </c>
      <c r="D2" s="63"/>
      <c r="E2" s="63"/>
      <c r="F2" s="56"/>
    </row>
    <row r="3" spans="1:10" s="63" customFormat="1" x14ac:dyDescent="0.25">
      <c r="A3" s="72" t="s">
        <v>518</v>
      </c>
      <c r="B3" s="98">
        <v>0</v>
      </c>
      <c r="D3" s="195"/>
      <c r="E3" s="195"/>
      <c r="F3" s="269"/>
    </row>
    <row r="4" spans="1:10" s="63" customFormat="1" x14ac:dyDescent="0.25">
      <c r="A4" s="72" t="s">
        <v>519</v>
      </c>
      <c r="B4" s="98">
        <f>平均资本成本表!E13</f>
        <v>6.5533973558825717E-2</v>
      </c>
      <c r="D4" s="195"/>
      <c r="E4" s="195"/>
      <c r="F4" s="270"/>
    </row>
    <row r="5" spans="1:10" x14ac:dyDescent="0.25">
      <c r="A5" s="70" t="s">
        <v>520</v>
      </c>
      <c r="B5" s="71">
        <f>B2*(1+B3)/(B4-B3)</f>
        <v>70382139472.382019</v>
      </c>
      <c r="D5" s="63"/>
      <c r="E5" s="63"/>
    </row>
    <row r="6" spans="1:10" x14ac:dyDescent="0.25">
      <c r="A6" s="70" t="s">
        <v>521</v>
      </c>
      <c r="B6" s="71">
        <f>资产资本表!E17</f>
        <v>3082974654.1799998</v>
      </c>
      <c r="D6" s="195"/>
      <c r="E6" s="195"/>
      <c r="F6" s="195"/>
      <c r="G6" s="195"/>
    </row>
    <row r="7" spans="1:10" x14ac:dyDescent="0.25">
      <c r="A7" s="70" t="s">
        <v>522</v>
      </c>
      <c r="B7" s="71">
        <f>资产资本表!E19</f>
        <v>525628774</v>
      </c>
      <c r="D7" s="195"/>
      <c r="E7" s="195"/>
      <c r="F7" s="195"/>
      <c r="G7" s="195"/>
    </row>
    <row r="8" spans="1:10" x14ac:dyDescent="0.25">
      <c r="A8" s="70" t="s">
        <v>523</v>
      </c>
      <c r="B8" s="71">
        <f>资产资本表!E89</f>
        <v>21740055496.650002</v>
      </c>
      <c r="D8" s="63"/>
      <c r="E8" s="63"/>
      <c r="F8" s="195"/>
      <c r="G8" s="195"/>
    </row>
    <row r="9" spans="1:10" x14ac:dyDescent="0.25">
      <c r="A9" s="70" t="s">
        <v>524</v>
      </c>
      <c r="B9" s="71">
        <f>B5+B6+B7-B8</f>
        <v>52250687403.91201</v>
      </c>
      <c r="D9" s="195"/>
      <c r="E9" s="195"/>
      <c r="F9" s="195"/>
      <c r="G9" s="195"/>
    </row>
    <row r="10" spans="1:10" x14ac:dyDescent="0.25">
      <c r="A10" s="70" t="s">
        <v>525</v>
      </c>
      <c r="B10" s="73">
        <f>资产资本表!E103/资产资本表!E107</f>
        <v>0.11297952665263912</v>
      </c>
      <c r="D10" s="195"/>
      <c r="E10" s="195"/>
      <c r="F10" s="195"/>
      <c r="G10" s="195"/>
    </row>
    <row r="11" spans="1:10" x14ac:dyDescent="0.25">
      <c r="A11" s="70" t="s">
        <v>551</v>
      </c>
      <c r="B11" s="71">
        <f>B9*(1-B10)</f>
        <v>46347429473.743019</v>
      </c>
      <c r="D11" s="63"/>
      <c r="E11" s="63"/>
      <c r="F11" s="195"/>
      <c r="G11" s="195"/>
    </row>
    <row r="12" spans="1:10" x14ac:dyDescent="0.25">
      <c r="A12" s="70" t="s">
        <v>526</v>
      </c>
      <c r="B12" s="102">
        <f>B55</f>
        <v>2734012800</v>
      </c>
      <c r="D12" s="195"/>
      <c r="E12" s="195"/>
      <c r="F12" s="195"/>
      <c r="G12" s="195"/>
    </row>
    <row r="13" spans="1:10" ht="15" thickBot="1" x14ac:dyDescent="0.3">
      <c r="A13" s="74" t="s">
        <v>527</v>
      </c>
      <c r="B13" s="75">
        <f>B11/B12</f>
        <v>16.952162577198987</v>
      </c>
      <c r="D13" s="195"/>
      <c r="E13" s="195"/>
    </row>
    <row r="14" spans="1:10" s="16" customFormat="1" ht="53.25" customHeight="1" x14ac:dyDescent="0.25">
      <c r="A14" s="277" t="s">
        <v>745</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543</v>
      </c>
      <c r="D17" s="90">
        <v>0.1</v>
      </c>
      <c r="E17" s="90"/>
      <c r="F17" s="90"/>
      <c r="G17" s="90"/>
      <c r="H17" s="90" t="s">
        <v>544</v>
      </c>
      <c r="I17" s="90">
        <v>0.04</v>
      </c>
      <c r="J17" s="78"/>
    </row>
    <row r="18" spans="1:10" s="2" customFormat="1" x14ac:dyDescent="0.25">
      <c r="A18" s="298" t="s">
        <v>528</v>
      </c>
      <c r="B18" s="298"/>
      <c r="C18" s="65" t="s">
        <v>542</v>
      </c>
      <c r="D18" s="97">
        <v>1</v>
      </c>
      <c r="E18" s="97">
        <v>2</v>
      </c>
      <c r="F18" s="97">
        <v>3</v>
      </c>
      <c r="G18" s="97">
        <v>4</v>
      </c>
      <c r="H18" s="97">
        <v>5</v>
      </c>
      <c r="I18" s="96">
        <v>6</v>
      </c>
      <c r="J18" s="80"/>
    </row>
    <row r="19" spans="1:10" s="26" customFormat="1" x14ac:dyDescent="0.25">
      <c r="A19" s="99" t="s">
        <v>529</v>
      </c>
      <c r="B19" s="94"/>
      <c r="C19" s="89">
        <f>B2</f>
        <v>4612421267.1966667</v>
      </c>
      <c r="D19" s="89">
        <f>C19*(1+$D$17)</f>
        <v>5073663393.9163342</v>
      </c>
      <c r="E19" s="89">
        <f>D19*(1+$D$17)</f>
        <v>5581029733.3079681</v>
      </c>
      <c r="F19" s="89">
        <f>E19*(1+$D$17)</f>
        <v>6139132706.6387653</v>
      </c>
      <c r="G19" s="89">
        <f>F19*(1+$D$17)</f>
        <v>6753045977.3026428</v>
      </c>
      <c r="H19" s="89">
        <f>G19*(1+$D$17)</f>
        <v>7428350575.0329075</v>
      </c>
      <c r="I19" s="89">
        <f>H19*(1+I17)</f>
        <v>7725484598.0342245</v>
      </c>
      <c r="J19" s="76"/>
    </row>
    <row r="20" spans="1:10" s="26" customFormat="1" x14ac:dyDescent="0.25">
      <c r="A20" s="99" t="s">
        <v>530</v>
      </c>
      <c r="B20" s="95">
        <f>B4</f>
        <v>6.5533973558825717E-2</v>
      </c>
      <c r="C20" s="89"/>
      <c r="D20" s="89">
        <f t="shared" ref="D20:I20" si="0">(1+$B$20)^D18</f>
        <v>1.0655339735588256</v>
      </c>
      <c r="E20" s="89">
        <f t="shared" si="0"/>
        <v>1.1353626488080601</v>
      </c>
      <c r="F20" s="89">
        <f t="shared" si="0"/>
        <v>1.2097674746147258</v>
      </c>
      <c r="G20" s="89">
        <f t="shared" si="0"/>
        <v>1.2890483443084546</v>
      </c>
      <c r="H20" s="89">
        <f t="shared" si="0"/>
        <v>1.3735248044204129</v>
      </c>
      <c r="I20" s="89">
        <f t="shared" si="0"/>
        <v>1.4635373426356912</v>
      </c>
      <c r="J20" s="76"/>
    </row>
    <row r="21" spans="1:10" s="26" customFormat="1" x14ac:dyDescent="0.25">
      <c r="A21" s="299" t="s">
        <v>531</v>
      </c>
      <c r="B21" s="299"/>
      <c r="C21" s="89"/>
      <c r="D21" s="89">
        <f>D19/D20</f>
        <v>4761615790.5979986</v>
      </c>
      <c r="E21" s="89">
        <f>E19/E20</f>
        <v>4915636197.0927181</v>
      </c>
      <c r="F21" s="89">
        <f>F19/F20</f>
        <v>5074638585.8934526</v>
      </c>
      <c r="G21" s="89">
        <f>G19/G20</f>
        <v>5238784105.4367123</v>
      </c>
      <c r="H21" s="89">
        <f>H19/H20</f>
        <v>5408239116.7063437</v>
      </c>
      <c r="I21" s="89">
        <f>I19/((B20-I17)*I20)</f>
        <v>206730006661.92038</v>
      </c>
      <c r="J21" s="76"/>
    </row>
    <row r="22" spans="1:10" s="26" customFormat="1" x14ac:dyDescent="0.25">
      <c r="A22" s="299" t="s">
        <v>549</v>
      </c>
      <c r="B22" s="299"/>
      <c r="C22" s="89"/>
      <c r="D22" s="295">
        <f>SUM(D21:H21)</f>
        <v>25398913795.727226</v>
      </c>
      <c r="E22" s="296"/>
      <c r="F22" s="296"/>
      <c r="G22" s="296"/>
      <c r="H22" s="297"/>
      <c r="I22" s="89">
        <f>I21</f>
        <v>206730006661.92038</v>
      </c>
      <c r="J22" s="76"/>
    </row>
    <row r="23" spans="1:10" x14ac:dyDescent="0.25">
      <c r="A23" s="92" t="s">
        <v>532</v>
      </c>
      <c r="B23" s="76">
        <f>D22+I22</f>
        <v>232128920457.64761</v>
      </c>
      <c r="C23" s="77"/>
      <c r="D23" s="77"/>
      <c r="E23" s="77"/>
      <c r="F23" s="77"/>
      <c r="G23" s="77"/>
      <c r="H23" s="77"/>
      <c r="I23" s="79"/>
      <c r="J23" s="77"/>
    </row>
    <row r="24" spans="1:10" x14ac:dyDescent="0.25">
      <c r="A24" s="92" t="s">
        <v>533</v>
      </c>
      <c r="B24" s="76">
        <f>B23</f>
        <v>232128920457.64761</v>
      </c>
      <c r="C24" s="77"/>
      <c r="D24" s="77"/>
      <c r="E24" s="77"/>
      <c r="F24" s="77"/>
      <c r="G24" s="77"/>
      <c r="H24" s="77"/>
      <c r="I24" s="79"/>
      <c r="J24" s="77"/>
    </row>
    <row r="25" spans="1:10" x14ac:dyDescent="0.25">
      <c r="A25" s="70" t="s">
        <v>534</v>
      </c>
      <c r="B25" s="71">
        <f>资产资本表!E17</f>
        <v>3082974654.1799998</v>
      </c>
      <c r="C25" s="77"/>
      <c r="D25" s="77"/>
      <c r="E25" s="77"/>
      <c r="F25" s="77"/>
      <c r="G25" s="77"/>
      <c r="H25" s="77"/>
      <c r="I25" s="79"/>
      <c r="J25" s="77"/>
    </row>
    <row r="26" spans="1:10" x14ac:dyDescent="0.25">
      <c r="A26" s="70" t="s">
        <v>535</v>
      </c>
      <c r="B26" s="71">
        <f>资产资本表!E19</f>
        <v>525628774</v>
      </c>
      <c r="C26" s="77"/>
      <c r="D26" s="77"/>
      <c r="E26" s="77"/>
      <c r="F26" s="77"/>
      <c r="G26" s="77"/>
      <c r="H26" s="77"/>
      <c r="I26" s="79"/>
      <c r="J26" s="77"/>
    </row>
    <row r="27" spans="1:10" x14ac:dyDescent="0.25">
      <c r="A27" s="70" t="s">
        <v>536</v>
      </c>
      <c r="B27" s="71">
        <f>资产资本表!E89</f>
        <v>21740055496.650002</v>
      </c>
      <c r="C27" s="77"/>
      <c r="D27" s="77"/>
      <c r="E27" s="77"/>
      <c r="F27" s="77"/>
      <c r="G27" s="77"/>
      <c r="H27" s="77"/>
      <c r="I27" s="79"/>
      <c r="J27" s="77"/>
    </row>
    <row r="28" spans="1:10" s="2" customFormat="1" x14ac:dyDescent="0.25">
      <c r="A28" s="82" t="s">
        <v>537</v>
      </c>
      <c r="B28" s="83">
        <f>B24+B25+B26-B27</f>
        <v>213997468389.17761</v>
      </c>
      <c r="C28" s="80"/>
      <c r="D28" s="80"/>
      <c r="E28" s="80"/>
      <c r="F28" s="80"/>
      <c r="G28" s="80"/>
      <c r="H28" s="80"/>
      <c r="I28" s="81"/>
      <c r="J28" s="80"/>
    </row>
    <row r="29" spans="1:10" x14ac:dyDescent="0.25">
      <c r="A29" s="70" t="s">
        <v>538</v>
      </c>
      <c r="B29" s="78">
        <f>资产资本表!E103/资产资本表!E107</f>
        <v>0.11297952665263912</v>
      </c>
      <c r="C29" s="300" t="s">
        <v>545</v>
      </c>
      <c r="D29" s="300"/>
      <c r="E29" s="300"/>
      <c r="F29" s="77"/>
      <c r="G29" s="77"/>
      <c r="H29" s="77"/>
      <c r="I29" s="79"/>
      <c r="J29" s="77"/>
    </row>
    <row r="30" spans="1:10" s="2" customFormat="1" x14ac:dyDescent="0.25">
      <c r="A30" s="82" t="s">
        <v>539</v>
      </c>
      <c r="B30" s="83">
        <f>B28*(1-B29)</f>
        <v>189820135705.70523</v>
      </c>
      <c r="C30" s="91">
        <v>0.4</v>
      </c>
      <c r="D30" s="91">
        <v>0.3</v>
      </c>
      <c r="E30" s="91">
        <v>0.2</v>
      </c>
      <c r="F30" s="80"/>
      <c r="G30" s="80"/>
      <c r="H30" s="80"/>
      <c r="I30" s="81"/>
      <c r="J30" s="80"/>
    </row>
    <row r="31" spans="1:10" x14ac:dyDescent="0.25">
      <c r="A31" s="70" t="s">
        <v>541</v>
      </c>
      <c r="B31" s="101">
        <f>B55</f>
        <v>2734012800</v>
      </c>
      <c r="C31" s="64">
        <f>$B$32*(1-C30)</f>
        <v>41.65747922739174</v>
      </c>
      <c r="D31" s="64">
        <f>$B$32*(1-D30)</f>
        <v>48.600392431957033</v>
      </c>
      <c r="E31" s="64">
        <f>$B$32*(1-E30)</f>
        <v>55.543305636522327</v>
      </c>
      <c r="F31" s="77"/>
      <c r="G31" s="77"/>
      <c r="H31" s="77"/>
      <c r="I31" s="79"/>
      <c r="J31" s="77"/>
    </row>
    <row r="32" spans="1:10" s="2" customFormat="1" ht="15" thickBot="1" x14ac:dyDescent="0.3">
      <c r="A32" s="84" t="s">
        <v>540</v>
      </c>
      <c r="B32" s="85">
        <f>B30/B31</f>
        <v>69.429132045652906</v>
      </c>
      <c r="C32" s="86"/>
      <c r="D32" s="86"/>
      <c r="E32" s="86"/>
      <c r="F32" s="86"/>
      <c r="G32" s="86"/>
      <c r="H32" s="86"/>
      <c r="I32" s="87"/>
      <c r="J32" s="80"/>
    </row>
    <row r="33" spans="1:19" ht="63" customHeight="1" x14ac:dyDescent="0.25">
      <c r="A33" s="301" t="s">
        <v>746</v>
      </c>
      <c r="B33" s="302"/>
      <c r="C33" s="302"/>
      <c r="D33" s="302"/>
      <c r="E33" s="302"/>
      <c r="F33" s="302"/>
      <c r="G33" s="302"/>
      <c r="H33" s="302"/>
      <c r="I33" s="302"/>
    </row>
    <row r="37" spans="1:19" s="63" customFormat="1" x14ac:dyDescent="0.25">
      <c r="A37" s="209"/>
      <c r="B37" s="209"/>
      <c r="C37" s="220" t="s">
        <v>543</v>
      </c>
      <c r="D37" s="220">
        <v>0.15</v>
      </c>
      <c r="E37" s="220"/>
      <c r="F37" s="220"/>
      <c r="G37" s="220"/>
      <c r="H37" s="220" t="s">
        <v>638</v>
      </c>
      <c r="I37" s="220">
        <v>0.09</v>
      </c>
      <c r="J37" s="220"/>
      <c r="K37" s="220"/>
      <c r="L37" s="220"/>
      <c r="M37" s="220"/>
      <c r="N37" s="220"/>
      <c r="O37" s="220"/>
      <c r="P37" s="220"/>
      <c r="Q37" s="220"/>
      <c r="R37" s="220" t="s">
        <v>548</v>
      </c>
      <c r="S37" s="220">
        <v>0.02</v>
      </c>
    </row>
    <row r="38" spans="1:19" s="24" customFormat="1" x14ac:dyDescent="0.25">
      <c r="A38" s="309" t="s">
        <v>546</v>
      </c>
      <c r="B38" s="310"/>
      <c r="C38" s="222" t="s">
        <v>542</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529</v>
      </c>
      <c r="B39" s="216"/>
      <c r="C39" s="221">
        <f>B2</f>
        <v>4612421267.1966667</v>
      </c>
      <c r="D39" s="221">
        <f>$C$39*(1+$D$37)^D38</f>
        <v>5304284457.276166</v>
      </c>
      <c r="E39" s="221">
        <f>$C$39*(1+$D$37)^E38</f>
        <v>6099927125.8675909</v>
      </c>
      <c r="F39" s="221">
        <f>$C$39*(1+$D$37)^F38</f>
        <v>7014916194.7477283</v>
      </c>
      <c r="G39" s="221">
        <f>$C$39*(1+$D$37)^G38</f>
        <v>8067153623.9598875</v>
      </c>
      <c r="H39" s="221">
        <f>$C$39*(1+$D$37)^H38</f>
        <v>9277226667.5538712</v>
      </c>
      <c r="I39" s="221">
        <f>H39*(1+$I$37)</f>
        <v>10112177067.63372</v>
      </c>
      <c r="J39" s="221">
        <f t="shared" ref="J39:N39" si="1">I39*(1+$I$37)</f>
        <v>11022273003.720757</v>
      </c>
      <c r="K39" s="221">
        <f t="shared" si="1"/>
        <v>12014277574.055626</v>
      </c>
      <c r="L39" s="221">
        <f t="shared" si="1"/>
        <v>13095562555.720633</v>
      </c>
      <c r="M39" s="221">
        <f t="shared" si="1"/>
        <v>14274163185.735491</v>
      </c>
      <c r="N39" s="221">
        <f t="shared" si="1"/>
        <v>15558837872.451687</v>
      </c>
      <c r="O39" s="221">
        <f t="shared" ref="O39" si="2">N39*(1+$I$37)</f>
        <v>16959133280.97234</v>
      </c>
      <c r="P39" s="221">
        <f t="shared" ref="P39" si="3">O39*(1+$I$37)</f>
        <v>18485455276.259853</v>
      </c>
      <c r="Q39" s="221">
        <f t="shared" ref="Q39" si="4">P39*(1+$I$37)</f>
        <v>20149146251.123241</v>
      </c>
      <c r="R39" s="221">
        <f t="shared" ref="R39" si="5">Q39*(1+$I$37)</f>
        <v>21962569413.724335</v>
      </c>
      <c r="S39" s="221">
        <f>R39*(1+S37)</f>
        <v>22401820801.998821</v>
      </c>
    </row>
    <row r="40" spans="1:19" s="23" customFormat="1" x14ac:dyDescent="0.25">
      <c r="A40" s="215" t="s">
        <v>530</v>
      </c>
      <c r="B40" s="214">
        <f>B4</f>
        <v>6.5533973558825717E-2</v>
      </c>
      <c r="C40" s="221"/>
      <c r="D40" s="221">
        <f>(1+$B$40)^D38</f>
        <v>1.0655339735588256</v>
      </c>
      <c r="E40" s="221">
        <f t="shared" ref="E40:R40" si="6">(1+$B$40)^E38</f>
        <v>1.1353626488080601</v>
      </c>
      <c r="F40" s="221">
        <f t="shared" si="6"/>
        <v>1.2097674746147258</v>
      </c>
      <c r="G40" s="221">
        <f t="shared" si="6"/>
        <v>1.2890483443084546</v>
      </c>
      <c r="H40" s="221">
        <f t="shared" si="6"/>
        <v>1.3735248044204129</v>
      </c>
      <c r="I40" s="221">
        <f t="shared" si="6"/>
        <v>1.4635373426356912</v>
      </c>
      <c r="J40" s="221">
        <f t="shared" si="6"/>
        <v>1.5594487601503326</v>
      </c>
      <c r="K40" s="221">
        <f t="shared" si="6"/>
        <v>1.6616456339643682</v>
      </c>
      <c r="L40" s="221">
        <f t="shared" si="6"/>
        <v>1.770539875004727</v>
      </c>
      <c r="M40" s="221">
        <f t="shared" si="6"/>
        <v>1.8865703883581333</v>
      </c>
      <c r="N40" s="221">
        <f t="shared" si="6"/>
        <v>2.0102048423056589</v>
      </c>
      <c r="O40" s="221">
        <f t="shared" si="6"/>
        <v>2.1419415532891413</v>
      </c>
      <c r="P40" s="221">
        <f t="shared" si="6"/>
        <v>2.2823114944069416</v>
      </c>
      <c r="Q40" s="221">
        <f t="shared" si="6"/>
        <v>2.4318804355344099</v>
      </c>
      <c r="R40" s="221">
        <f t="shared" si="6"/>
        <v>2.5912512236949472</v>
      </c>
      <c r="S40" s="188">
        <f>(1+$B$40)^S38</f>
        <v>2.7610662128728469</v>
      </c>
    </row>
    <row r="41" spans="1:19" s="23" customFormat="1" x14ac:dyDescent="0.25">
      <c r="A41" s="311" t="s">
        <v>531</v>
      </c>
      <c r="B41" s="312"/>
      <c r="C41" s="221"/>
      <c r="D41" s="221">
        <f t="shared" ref="D41:R41" si="7">D39/D40</f>
        <v>4978052871.9888153</v>
      </c>
      <c r="E41" s="221">
        <f t="shared" si="7"/>
        <v>5372668488.1447248</v>
      </c>
      <c r="F41" s="221">
        <f t="shared" si="7"/>
        <v>5798565709.4821186</v>
      </c>
      <c r="G41" s="221">
        <f t="shared" si="7"/>
        <v>6258224262.5568352</v>
      </c>
      <c r="H41" s="221">
        <f t="shared" si="7"/>
        <v>6754320444.5212679</v>
      </c>
      <c r="I41" s="221">
        <f t="shared" si="7"/>
        <v>6909408303.4619761</v>
      </c>
      <c r="J41" s="221">
        <f t="shared" si="7"/>
        <v>7068057178.5239019</v>
      </c>
      <c r="K41" s="221">
        <f t="shared" si="7"/>
        <v>7230348835.2037258</v>
      </c>
      <c r="L41" s="221">
        <f t="shared" si="7"/>
        <v>7396366916.4387894</v>
      </c>
      <c r="M41" s="221">
        <f t="shared" si="7"/>
        <v>7566196985.7155333</v>
      </c>
      <c r="N41" s="221">
        <f t="shared" si="7"/>
        <v>7739926571.1677704</v>
      </c>
      <c r="O41" s="221">
        <f t="shared" si="7"/>
        <v>7917645210.6875124</v>
      </c>
      <c r="P41" s="221">
        <f t="shared" si="7"/>
        <v>8099444498.0715904</v>
      </c>
      <c r="Q41" s="221">
        <f t="shared" si="7"/>
        <v>8285418130.2278671</v>
      </c>
      <c r="R41" s="221">
        <f t="shared" si="7"/>
        <v>8475661955.4653645</v>
      </c>
      <c r="S41" s="221">
        <f>S39/((B40-S37)*S40)</f>
        <v>178184919964.98322</v>
      </c>
    </row>
    <row r="42" spans="1:19" s="23" customFormat="1" x14ac:dyDescent="0.25">
      <c r="A42" s="311" t="s">
        <v>549</v>
      </c>
      <c r="B42" s="312"/>
      <c r="C42" s="221"/>
      <c r="D42" s="306">
        <f>SUM(D41:H41)</f>
        <v>29161831776.69376</v>
      </c>
      <c r="E42" s="307"/>
      <c r="F42" s="307"/>
      <c r="G42" s="307"/>
      <c r="H42" s="308"/>
      <c r="I42" s="306">
        <f>SUM(I41:R41)</f>
        <v>76688474584.964035</v>
      </c>
      <c r="J42" s="307"/>
      <c r="K42" s="307"/>
      <c r="L42" s="307"/>
      <c r="M42" s="307"/>
      <c r="N42" s="307"/>
      <c r="O42" s="307"/>
      <c r="P42" s="307"/>
      <c r="Q42" s="307"/>
      <c r="R42" s="308"/>
      <c r="S42" s="221">
        <f>S41</f>
        <v>178184919964.98322</v>
      </c>
    </row>
    <row r="43" spans="1:19" x14ac:dyDescent="0.25">
      <c r="A43" s="211" t="s">
        <v>547</v>
      </c>
      <c r="B43" s="202">
        <f>D42+I42+S42</f>
        <v>284035226326.64099</v>
      </c>
      <c r="C43" s="203"/>
      <c r="D43" s="203"/>
      <c r="E43" s="203"/>
      <c r="F43" s="203"/>
      <c r="G43" s="203"/>
      <c r="H43" s="203"/>
      <c r="I43" s="203"/>
      <c r="J43" s="203"/>
      <c r="K43" s="203"/>
      <c r="L43" s="203"/>
      <c r="M43" s="203"/>
      <c r="N43" s="203"/>
      <c r="O43" s="203"/>
      <c r="P43" s="203"/>
      <c r="Q43" s="203"/>
      <c r="R43" s="203"/>
      <c r="S43" s="205"/>
    </row>
    <row r="44" spans="1:19" x14ac:dyDescent="0.25">
      <c r="A44" s="211" t="s">
        <v>533</v>
      </c>
      <c r="B44" s="202">
        <f>B43</f>
        <v>284035226326.64099</v>
      </c>
      <c r="C44" s="203"/>
      <c r="D44" s="203"/>
      <c r="E44" s="203"/>
      <c r="F44" s="203"/>
      <c r="G44" s="203"/>
      <c r="H44" s="203"/>
      <c r="I44" s="203"/>
      <c r="J44" s="203"/>
      <c r="K44" s="203"/>
      <c r="L44" s="203"/>
      <c r="M44" s="203"/>
      <c r="N44" s="203"/>
      <c r="O44" s="203"/>
      <c r="P44" s="203"/>
      <c r="Q44" s="203"/>
      <c r="R44" s="203"/>
      <c r="S44" s="205"/>
    </row>
    <row r="45" spans="1:19" x14ac:dyDescent="0.25">
      <c r="A45" s="201" t="s">
        <v>534</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535</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536</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537</v>
      </c>
      <c r="B48" s="202">
        <f>B44+B45+B46-B47</f>
        <v>265903774258.17099</v>
      </c>
      <c r="C48" s="203"/>
      <c r="D48" s="203"/>
      <c r="E48" s="203"/>
      <c r="F48" s="203"/>
      <c r="G48" s="203"/>
      <c r="H48" s="203"/>
      <c r="I48" s="203"/>
      <c r="J48" s="203"/>
      <c r="K48" s="203"/>
      <c r="L48" s="203"/>
      <c r="M48" s="203"/>
      <c r="N48" s="203"/>
      <c r="O48" s="203"/>
      <c r="P48" s="203"/>
      <c r="Q48" s="203"/>
      <c r="R48" s="203"/>
      <c r="S48" s="205"/>
    </row>
    <row r="49" spans="1:74" x14ac:dyDescent="0.25">
      <c r="A49" s="201" t="s">
        <v>538</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539</v>
      </c>
      <c r="B50" s="202">
        <f>B48*(1-B49)</f>
        <v>235862091707.33264</v>
      </c>
      <c r="C50" s="303" t="s">
        <v>545</v>
      </c>
      <c r="D50" s="304"/>
      <c r="E50" s="305"/>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541</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540</v>
      </c>
      <c r="B52" s="212">
        <f>B50/B51</f>
        <v>86.269563810137484</v>
      </c>
      <c r="C52" s="213">
        <f>$B$52*(1-C51)</f>
        <v>51.76173828608249</v>
      </c>
      <c r="D52" s="213">
        <f>$B$52*(1-D51)</f>
        <v>60.388694667096232</v>
      </c>
      <c r="E52" s="213">
        <f>$B$52*(1-E51)</f>
        <v>69.015651048109987</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552</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293" t="s">
        <v>747</v>
      </c>
      <c r="B57" s="294"/>
      <c r="C57" s="294"/>
      <c r="D57" s="294"/>
      <c r="E57" s="294"/>
      <c r="F57" s="294"/>
      <c r="G57" s="294"/>
      <c r="H57" s="294"/>
      <c r="I57" s="294"/>
    </row>
    <row r="60" spans="1:74" s="157" customFormat="1" ht="51" customHeight="1" x14ac:dyDescent="0.25">
      <c r="A60" s="291" t="s">
        <v>610</v>
      </c>
      <c r="B60" s="292"/>
      <c r="C60" s="292"/>
      <c r="D60" s="292"/>
      <c r="E60" s="292"/>
      <c r="F60" s="292"/>
      <c r="G60" s="292"/>
      <c r="H60" s="292"/>
      <c r="I60" s="292"/>
    </row>
    <row r="63" spans="1:74" s="4" customFormat="1" x14ac:dyDescent="0.25">
      <c r="A63" s="183" t="s">
        <v>612</v>
      </c>
      <c r="B63" s="182" t="s">
        <v>613</v>
      </c>
      <c r="C63" s="96" t="s">
        <v>614</v>
      </c>
      <c r="D63" s="96" t="s">
        <v>615</v>
      </c>
      <c r="E63" s="96" t="s">
        <v>630</v>
      </c>
      <c r="F63" s="96" t="s">
        <v>616</v>
      </c>
      <c r="G63" s="96" t="s">
        <v>617</v>
      </c>
      <c r="H63" s="96" t="s">
        <v>626</v>
      </c>
      <c r="I63" s="96" t="s">
        <v>619</v>
      </c>
      <c r="J63" s="96" t="s">
        <v>625</v>
      </c>
      <c r="K63" s="96" t="s">
        <v>621</v>
      </c>
      <c r="L63" s="96" t="s">
        <v>627</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624</v>
      </c>
      <c r="B68" s="44" t="s">
        <v>613</v>
      </c>
      <c r="C68" s="44" t="s">
        <v>614</v>
      </c>
      <c r="D68" s="44" t="s">
        <v>615</v>
      </c>
      <c r="E68" s="44" t="s">
        <v>623</v>
      </c>
      <c r="F68" s="44" t="s">
        <v>616</v>
      </c>
      <c r="G68" s="44" t="s">
        <v>617</v>
      </c>
      <c r="H68" s="44" t="s">
        <v>618</v>
      </c>
      <c r="I68" s="44" t="s">
        <v>619</v>
      </c>
      <c r="J68" s="44" t="s">
        <v>620</v>
      </c>
      <c r="K68" s="44" t="s">
        <v>621</v>
      </c>
      <c r="L68" s="166" t="s">
        <v>622</v>
      </c>
    </row>
    <row r="69" spans="1:12" s="26" customFormat="1" x14ac:dyDescent="0.25">
      <c r="A69" s="172" t="s">
        <v>629</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628</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89" t="s">
        <v>631</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2019-02-07T04:17:29Z</dcterms:modified>
</cp:coreProperties>
</file>