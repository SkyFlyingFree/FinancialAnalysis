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4.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5.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6.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7.xml" ContentType="application/vnd.openxmlformats-officedocument.drawing+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11"/>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S40" i="13" l="1"/>
  <c r="C39" i="13" l="1"/>
  <c r="D39" i="13" s="1"/>
  <c r="D41" i="13" s="1"/>
  <c r="E39" i="13"/>
  <c r="G39" i="13"/>
  <c r="H39" i="13"/>
  <c r="I39" i="13"/>
  <c r="J39" i="13"/>
  <c r="K39" i="13" s="1"/>
  <c r="D40" i="13"/>
  <c r="E40" i="13"/>
  <c r="F40" i="13"/>
  <c r="G40" i="13"/>
  <c r="H40" i="13"/>
  <c r="I40" i="13"/>
  <c r="J40" i="13"/>
  <c r="J41" i="13" s="1"/>
  <c r="K40" i="13"/>
  <c r="L40" i="13"/>
  <c r="M40" i="13"/>
  <c r="N40" i="13"/>
  <c r="O40" i="13"/>
  <c r="P40" i="13"/>
  <c r="Q40" i="13"/>
  <c r="R40" i="13"/>
  <c r="E41" i="13"/>
  <c r="G41" i="13"/>
  <c r="H41" i="13"/>
  <c r="I41" i="13"/>
  <c r="B45" i="13"/>
  <c r="B46" i="13"/>
  <c r="B47" i="13"/>
  <c r="B49" i="13"/>
  <c r="B51" i="13"/>
  <c r="B54" i="13"/>
  <c r="F51" i="9"/>
  <c r="G51" i="9"/>
  <c r="H51" i="9"/>
  <c r="I51" i="9"/>
  <c r="J51" i="9"/>
  <c r="K51" i="9"/>
  <c r="L51" i="9"/>
  <c r="M51" i="9"/>
  <c r="N51" i="9"/>
  <c r="F50" i="9"/>
  <c r="G50" i="9"/>
  <c r="H50" i="9"/>
  <c r="I50" i="9"/>
  <c r="J50" i="9"/>
  <c r="K50" i="9"/>
  <c r="L50" i="9"/>
  <c r="M50" i="9"/>
  <c r="N50" i="9"/>
  <c r="F49" i="9"/>
  <c r="G49" i="9"/>
  <c r="H49" i="9"/>
  <c r="I49" i="9"/>
  <c r="J49" i="9"/>
  <c r="K49" i="9"/>
  <c r="L49" i="9"/>
  <c r="M49" i="9"/>
  <c r="N49" i="9"/>
  <c r="F48" i="9"/>
  <c r="G48" i="9"/>
  <c r="H48" i="9"/>
  <c r="I48" i="9"/>
  <c r="J48" i="9"/>
  <c r="K48" i="9"/>
  <c r="L48" i="9"/>
  <c r="M48" i="9"/>
  <c r="N48" i="9"/>
  <c r="F47" i="9"/>
  <c r="G47" i="9"/>
  <c r="H47" i="9"/>
  <c r="I47" i="9"/>
  <c r="J47" i="9"/>
  <c r="K47" i="9"/>
  <c r="L47" i="9"/>
  <c r="M47" i="9"/>
  <c r="N47" i="9"/>
  <c r="E51" i="9"/>
  <c r="E50" i="9"/>
  <c r="E49" i="9"/>
  <c r="E48" i="9"/>
  <c r="E47" i="9"/>
  <c r="F46" i="9"/>
  <c r="G46" i="9"/>
  <c r="H46" i="9"/>
  <c r="I46" i="9"/>
  <c r="J46" i="9"/>
  <c r="K46" i="9"/>
  <c r="L46" i="9"/>
  <c r="M46" i="9"/>
  <c r="N46" i="9"/>
  <c r="F45" i="9"/>
  <c r="G45" i="9"/>
  <c r="H45" i="9"/>
  <c r="I45" i="9"/>
  <c r="J45" i="9"/>
  <c r="K45" i="9"/>
  <c r="L45" i="9"/>
  <c r="M45" i="9"/>
  <c r="N45" i="9"/>
  <c r="F44" i="9"/>
  <c r="G44" i="9"/>
  <c r="H44" i="9"/>
  <c r="I44" i="9"/>
  <c r="J44" i="9"/>
  <c r="K44" i="9"/>
  <c r="L44" i="9"/>
  <c r="M44" i="9"/>
  <c r="N44" i="9"/>
  <c r="F43" i="9"/>
  <c r="G43" i="9"/>
  <c r="H43" i="9"/>
  <c r="I43" i="9"/>
  <c r="J43" i="9"/>
  <c r="K43" i="9"/>
  <c r="L43" i="9"/>
  <c r="M43" i="9"/>
  <c r="N43" i="9"/>
  <c r="F42" i="9"/>
  <c r="G42" i="9"/>
  <c r="H42" i="9"/>
  <c r="I42" i="9"/>
  <c r="J42" i="9"/>
  <c r="K42" i="9"/>
  <c r="L42" i="9"/>
  <c r="M42" i="9"/>
  <c r="N42" i="9"/>
  <c r="F41" i="9"/>
  <c r="G41" i="9"/>
  <c r="H41" i="9"/>
  <c r="I41" i="9"/>
  <c r="J41" i="9"/>
  <c r="K41" i="9"/>
  <c r="L41" i="9"/>
  <c r="M41" i="9"/>
  <c r="N41" i="9"/>
  <c r="F40" i="9"/>
  <c r="G40" i="9"/>
  <c r="H40" i="9"/>
  <c r="I40" i="9"/>
  <c r="J40" i="9"/>
  <c r="K40" i="9"/>
  <c r="L40" i="9"/>
  <c r="M40" i="9"/>
  <c r="N40" i="9"/>
  <c r="E46" i="9"/>
  <c r="E45" i="9"/>
  <c r="E44" i="9"/>
  <c r="E43" i="9"/>
  <c r="E42" i="9"/>
  <c r="E41" i="9"/>
  <c r="E40" i="9"/>
  <c r="F39" i="9"/>
  <c r="G39" i="9"/>
  <c r="H39" i="9"/>
  <c r="I39" i="9"/>
  <c r="J39" i="9"/>
  <c r="K39" i="9"/>
  <c r="L39" i="9"/>
  <c r="M39" i="9"/>
  <c r="N39" i="9"/>
  <c r="E39" i="9"/>
  <c r="F38" i="9"/>
  <c r="G38" i="9"/>
  <c r="H38" i="9"/>
  <c r="I38" i="9"/>
  <c r="J38" i="9"/>
  <c r="K38" i="9"/>
  <c r="L38" i="9"/>
  <c r="M38" i="9"/>
  <c r="N38" i="9"/>
  <c r="E38" i="9"/>
  <c r="F5" i="8"/>
  <c r="G5" i="8"/>
  <c r="H5" i="8"/>
  <c r="I5" i="8"/>
  <c r="J5" i="8"/>
  <c r="K5" i="8"/>
  <c r="L5" i="8"/>
  <c r="M5" i="8"/>
  <c r="N5" i="8"/>
  <c r="O5" i="8"/>
  <c r="P5" i="8"/>
  <c r="Q5" i="8"/>
  <c r="R5" i="8"/>
  <c r="S5" i="8"/>
  <c r="T5" i="8"/>
  <c r="U5" i="8"/>
  <c r="V5" i="8"/>
  <c r="W5" i="8"/>
  <c r="X5" i="8"/>
  <c r="Y5" i="8"/>
  <c r="Z5" i="8"/>
  <c r="AA5" i="8"/>
  <c r="AB5" i="8"/>
  <c r="AC5" i="8"/>
  <c r="AD5" i="8"/>
  <c r="AE5" i="8"/>
  <c r="AF5" i="8"/>
  <c r="AG5" i="8"/>
  <c r="AH5" i="8"/>
  <c r="AI5" i="8"/>
  <c r="AJ5" i="8"/>
  <c r="AK5" i="8"/>
  <c r="AL5" i="8"/>
  <c r="AM5" i="8"/>
  <c r="AN5" i="8"/>
  <c r="AO5" i="8"/>
  <c r="AP5" i="8"/>
  <c r="AQ5" i="8"/>
  <c r="AR5" i="8"/>
  <c r="AS5" i="8"/>
  <c r="AT5" i="8"/>
  <c r="AU5" i="8"/>
  <c r="AV5" i="8"/>
  <c r="AW5" i="8"/>
  <c r="AX5" i="8"/>
  <c r="AY5" i="8"/>
  <c r="AZ5" i="8"/>
  <c r="BA5" i="8"/>
  <c r="BB5" i="8"/>
  <c r="BC5" i="8"/>
  <c r="BD5" i="8"/>
  <c r="BE5" i="8"/>
  <c r="BF5" i="8"/>
  <c r="BG5" i="8"/>
  <c r="BH5" i="8"/>
  <c r="BI5" i="8"/>
  <c r="BJ5" i="8"/>
  <c r="BK5" i="8"/>
  <c r="BL5" i="8"/>
  <c r="BM5" i="8"/>
  <c r="BN5" i="8"/>
  <c r="BO5" i="8"/>
  <c r="BP5" i="8"/>
  <c r="BQ5" i="8"/>
  <c r="BR5" i="8"/>
  <c r="BS5" i="8"/>
  <c r="BT5" i="8"/>
  <c r="BU5" i="8"/>
  <c r="BV5" i="8"/>
  <c r="E5" i="8"/>
  <c r="K41" i="13" l="1"/>
  <c r="L39" i="13"/>
  <c r="F39" i="13"/>
  <c r="F41" i="13" s="1"/>
  <c r="D42" i="13" s="1"/>
  <c r="L41" i="13" l="1"/>
  <c r="M39" i="13"/>
  <c r="M41" i="13" l="1"/>
  <c r="N39" i="13"/>
  <c r="N41" i="13" l="1"/>
  <c r="O39" i="13"/>
  <c r="O41" i="13" l="1"/>
  <c r="P39" i="13"/>
  <c r="P41" i="13" l="1"/>
  <c r="Q39" i="13"/>
  <c r="R39" i="13" l="1"/>
  <c r="Q41" i="13"/>
  <c r="S39" i="13" l="1"/>
  <c r="S41" i="13" s="1"/>
  <c r="S42" i="13" s="1"/>
  <c r="R41" i="13"/>
  <c r="I42" i="13" s="1"/>
  <c r="B43" i="13" l="1"/>
  <c r="B44" i="13" s="1"/>
  <c r="B48" i="13" s="1"/>
  <c r="B50" i="13" s="1"/>
  <c r="B52" i="13" s="1"/>
  <c r="E52" i="13" s="1"/>
  <c r="D52" i="13" l="1"/>
  <c r="C52" i="13"/>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AL42" i="7"/>
  <c r="AM42" i="7"/>
  <c r="AN42" i="7"/>
  <c r="AO42" i="7"/>
  <c r="AP42" i="7"/>
  <c r="AQ42" i="7"/>
  <c r="AR42" i="7"/>
  <c r="AS42" i="7"/>
  <c r="AT42" i="7"/>
  <c r="AU42" i="7"/>
  <c r="AV42" i="7"/>
  <c r="AW42" i="7"/>
  <c r="AX42" i="7"/>
  <c r="AY42" i="7"/>
  <c r="AZ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R35" i="7"/>
  <c r="AS35" i="7"/>
  <c r="AT35" i="7"/>
  <c r="AU35" i="7"/>
  <c r="AV35" i="7"/>
  <c r="AW35" i="7"/>
  <c r="AX35" i="7"/>
  <c r="AY35" i="7"/>
  <c r="AZ35" i="7"/>
  <c r="BA35" i="7"/>
  <c r="BB35" i="7"/>
  <c r="BC35" i="7"/>
  <c r="BD35" i="7"/>
  <c r="BE35" i="7"/>
  <c r="BF35" i="7"/>
  <c r="BG35" i="7"/>
  <c r="BH35" i="7"/>
  <c r="BI35" i="7"/>
  <c r="BJ35" i="7"/>
  <c r="BK35" i="7"/>
  <c r="BL35" i="7"/>
  <c r="BM35" i="7"/>
  <c r="BN35" i="7"/>
  <c r="BO35" i="7"/>
  <c r="BP35" i="7"/>
  <c r="BQ35" i="7"/>
  <c r="BR35" i="7"/>
  <c r="BS35" i="7"/>
  <c r="BT35" i="7"/>
  <c r="BU35" i="7"/>
  <c r="BV35" i="7"/>
  <c r="AK54" i="6"/>
  <c r="Z56" i="6"/>
  <c r="AA56" i="6"/>
  <c r="AB56" i="6"/>
  <c r="AC56" i="6"/>
  <c r="AD56" i="6"/>
  <c r="AE56" i="6"/>
  <c r="AF56" i="6"/>
  <c r="AG56" i="6"/>
  <c r="AH56" i="6"/>
  <c r="AI56" i="6"/>
  <c r="AJ56" i="6"/>
  <c r="AK56" i="6"/>
  <c r="AL56" i="6"/>
  <c r="AM56" i="6"/>
  <c r="AN56" i="6"/>
  <c r="AO56" i="6"/>
  <c r="AP56" i="6"/>
  <c r="AQ56" i="6"/>
  <c r="AR56" i="6"/>
  <c r="AS56" i="6"/>
  <c r="AT56" i="6"/>
  <c r="AU56" i="6"/>
  <c r="U56" i="6"/>
  <c r="BV28" i="7" l="1"/>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K70" i="13" l="1"/>
  <c r="I70" i="13"/>
  <c r="H70" i="13"/>
  <c r="J70" i="13" s="1"/>
  <c r="K69" i="13"/>
  <c r="J69" i="13"/>
  <c r="I69" i="13"/>
  <c r="H69" i="13"/>
  <c r="I65" i="13"/>
  <c r="I66" i="13"/>
  <c r="I64" i="13"/>
  <c r="H64" i="13"/>
  <c r="H65" i="13"/>
  <c r="H66" i="13"/>
  <c r="AT24" i="11" l="1"/>
  <c r="AU24" i="11"/>
  <c r="AV24" i="11"/>
  <c r="AW24" i="11"/>
  <c r="AX24" i="11"/>
  <c r="AY24" i="11"/>
  <c r="AZ24" i="11"/>
  <c r="BA24" i="11"/>
  <c r="BB24" i="11"/>
  <c r="BC24" i="11"/>
  <c r="BD24" i="11"/>
  <c r="BE24" i="11"/>
  <c r="BF24" i="11"/>
  <c r="BG24" i="11"/>
  <c r="BH24" i="11"/>
  <c r="BI24" i="11"/>
  <c r="BJ24" i="11"/>
  <c r="BK24" i="11"/>
  <c r="BL24" i="11"/>
  <c r="BM24" i="11"/>
  <c r="BN24" i="11"/>
  <c r="BO24" i="11"/>
  <c r="BP24" i="11"/>
  <c r="BQ24" i="11"/>
  <c r="BR24" i="11"/>
  <c r="BS24" i="11"/>
  <c r="BT24" i="11"/>
  <c r="BU24" i="11"/>
  <c r="BV24" i="11"/>
  <c r="BW24" i="11"/>
  <c r="BX24" i="11"/>
  <c r="BY24" i="11"/>
  <c r="BZ24" i="11"/>
  <c r="CA24" i="11"/>
  <c r="CB24" i="11"/>
  <c r="CC24" i="11"/>
  <c r="CD24" i="11"/>
  <c r="CE24" i="11"/>
  <c r="CF24" i="11"/>
  <c r="CG24" i="11"/>
  <c r="CH24" i="11"/>
  <c r="CI24" i="11"/>
  <c r="CJ24" i="11"/>
  <c r="CK24" i="11"/>
  <c r="AT23" i="11"/>
  <c r="AU23" i="11"/>
  <c r="AV23" i="11"/>
  <c r="AW23" i="11"/>
  <c r="AX23" i="11"/>
  <c r="AY23" i="11"/>
  <c r="AZ23" i="11"/>
  <c r="BA23" i="11"/>
  <c r="BB23" i="11"/>
  <c r="BC23" i="11"/>
  <c r="BD23" i="11"/>
  <c r="BE23" i="11"/>
  <c r="BF23" i="11"/>
  <c r="BG23" i="11"/>
  <c r="BH23" i="11"/>
  <c r="BI23" i="11"/>
  <c r="BJ23" i="11"/>
  <c r="BK23" i="11"/>
  <c r="BL23" i="11"/>
  <c r="BM23" i="11"/>
  <c r="BN23" i="11"/>
  <c r="BO23" i="11"/>
  <c r="BP23" i="11"/>
  <c r="BQ23" i="11"/>
  <c r="BR23" i="11"/>
  <c r="BS23" i="11"/>
  <c r="BT23" i="11"/>
  <c r="BU23" i="11"/>
  <c r="BV23" i="11"/>
  <c r="BW23" i="11"/>
  <c r="BX23" i="11"/>
  <c r="BY23" i="11"/>
  <c r="BZ23" i="11"/>
  <c r="CA23" i="11"/>
  <c r="CB23" i="11"/>
  <c r="CC23" i="11"/>
  <c r="CD23" i="11"/>
  <c r="CE23" i="11"/>
  <c r="CF23" i="11"/>
  <c r="CG23" i="11"/>
  <c r="CH23" i="11"/>
  <c r="CI23" i="11"/>
  <c r="CJ23" i="11"/>
  <c r="CK23" i="11"/>
  <c r="AR22" i="11"/>
  <c r="AS22" i="11"/>
  <c r="AT22" i="11"/>
  <c r="AU22" i="11"/>
  <c r="AV22" i="11"/>
  <c r="AW22" i="11"/>
  <c r="AX22" i="11"/>
  <c r="AY22" i="11"/>
  <c r="AZ22" i="11"/>
  <c r="BA22" i="11"/>
  <c r="BB22" i="11"/>
  <c r="BC22" i="11"/>
  <c r="BD22" i="11"/>
  <c r="BE22" i="11"/>
  <c r="BF22" i="11"/>
  <c r="BG22" i="11"/>
  <c r="BH22" i="11"/>
  <c r="BI22" i="11"/>
  <c r="BJ22" i="11"/>
  <c r="BK22" i="11"/>
  <c r="BL22" i="11"/>
  <c r="BM22" i="11"/>
  <c r="BN22" i="11"/>
  <c r="BO22" i="11"/>
  <c r="BP22" i="11"/>
  <c r="BQ22" i="11"/>
  <c r="BR22" i="11"/>
  <c r="BS22" i="11"/>
  <c r="BT22" i="11"/>
  <c r="BU22" i="11"/>
  <c r="BV22" i="11"/>
  <c r="BW22" i="11"/>
  <c r="BX22" i="11"/>
  <c r="BY22" i="11"/>
  <c r="BZ22" i="11"/>
  <c r="CA22" i="11"/>
  <c r="CB22" i="11"/>
  <c r="CC22" i="11"/>
  <c r="CD22" i="11"/>
  <c r="CE22" i="11"/>
  <c r="CF22" i="11"/>
  <c r="CG22" i="11"/>
  <c r="CH22" i="11"/>
  <c r="CI22" i="11"/>
  <c r="CJ22" i="11"/>
  <c r="CK22" i="11"/>
  <c r="AT21" i="11"/>
  <c r="AU21" i="11"/>
  <c r="AV21" i="11"/>
  <c r="AW21" i="11"/>
  <c r="AX21" i="11"/>
  <c r="AY21" i="11"/>
  <c r="AZ21" i="11"/>
  <c r="BA21" i="11"/>
  <c r="BB21" i="11"/>
  <c r="BC21" i="11"/>
  <c r="BD21" i="11"/>
  <c r="BE21" i="11"/>
  <c r="BF21" i="11"/>
  <c r="BG21" i="11"/>
  <c r="BH21" i="11"/>
  <c r="BI21" i="11"/>
  <c r="BJ21" i="11"/>
  <c r="BK21" i="11"/>
  <c r="BL21" i="11"/>
  <c r="BM21" i="11"/>
  <c r="BN21" i="11"/>
  <c r="BO21" i="11"/>
  <c r="BP21" i="11"/>
  <c r="BQ21" i="11"/>
  <c r="BR21" i="11"/>
  <c r="BS21" i="11"/>
  <c r="BT21" i="11"/>
  <c r="BU21" i="11"/>
  <c r="BV21" i="11"/>
  <c r="BW21" i="11"/>
  <c r="BX21" i="11"/>
  <c r="BY21" i="11"/>
  <c r="BZ21" i="11"/>
  <c r="CA21" i="11"/>
  <c r="CB21" i="11"/>
  <c r="CC21" i="11"/>
  <c r="CD21" i="11"/>
  <c r="CE21" i="11"/>
  <c r="CF21" i="11"/>
  <c r="CG21" i="11"/>
  <c r="CH21" i="11"/>
  <c r="CI21" i="11"/>
  <c r="CJ21" i="11"/>
  <c r="CK21" i="11"/>
  <c r="AT20" i="11"/>
  <c r="AU20" i="11"/>
  <c r="AV20" i="11"/>
  <c r="AW20" i="11"/>
  <c r="AX20" i="11"/>
  <c r="AY20" i="11"/>
  <c r="AZ20" i="11"/>
  <c r="BA20" i="11"/>
  <c r="BB20" i="11"/>
  <c r="BC20" i="11"/>
  <c r="BD20" i="11"/>
  <c r="BE20" i="11"/>
  <c r="BF20" i="11"/>
  <c r="BG20" i="11"/>
  <c r="BH20" i="11"/>
  <c r="BI20" i="11"/>
  <c r="BJ20" i="11"/>
  <c r="BK20" i="11"/>
  <c r="BL20" i="11"/>
  <c r="BM20" i="11"/>
  <c r="BN20" i="11"/>
  <c r="BO20" i="11"/>
  <c r="BP20" i="11"/>
  <c r="BQ20" i="11"/>
  <c r="BR20" i="11"/>
  <c r="BS20" i="11"/>
  <c r="BT20" i="11"/>
  <c r="BU20" i="11"/>
  <c r="BV20" i="11"/>
  <c r="BW20" i="11"/>
  <c r="BX20" i="11"/>
  <c r="BY20" i="11"/>
  <c r="BZ20" i="11"/>
  <c r="CA20" i="11"/>
  <c r="CB20" i="11"/>
  <c r="CC20" i="11"/>
  <c r="CD20" i="11"/>
  <c r="CE20" i="11"/>
  <c r="CF20" i="11"/>
  <c r="CG20" i="11"/>
  <c r="CH20" i="11"/>
  <c r="CI20" i="11"/>
  <c r="CJ20" i="11"/>
  <c r="CK20" i="1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R23" i="11" s="1"/>
  <c r="AS19" i="11"/>
  <c r="AS23" i="11" s="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AC13" i="7" l="1"/>
  <c r="AD13" i="7"/>
  <c r="AE13" i="7"/>
  <c r="AF13" i="7"/>
  <c r="AG13" i="7"/>
  <c r="AH13" i="7"/>
  <c r="AI13" i="7"/>
  <c r="AJ13" i="7"/>
  <c r="AK13" i="7"/>
  <c r="AT43" i="6"/>
  <c r="AU43" i="6"/>
  <c r="AV43" i="6"/>
  <c r="AW43" i="6"/>
  <c r="AX43" i="6"/>
  <c r="AY43" i="6"/>
  <c r="AZ43" i="6"/>
  <c r="BA43" i="6"/>
  <c r="BB43" i="6"/>
  <c r="BC43" i="6"/>
  <c r="BD43" i="6"/>
  <c r="BE43" i="6"/>
  <c r="BF43" i="6"/>
  <c r="BG43" i="6"/>
  <c r="BH43" i="6"/>
  <c r="BI43" i="6"/>
  <c r="BJ43" i="6"/>
  <c r="BK43" i="6"/>
  <c r="BL43" i="6"/>
  <c r="BM43" i="6"/>
  <c r="BN43" i="6"/>
  <c r="BO43" i="6"/>
  <c r="BP43" i="6"/>
  <c r="BQ43" i="6"/>
  <c r="BR43" i="6"/>
  <c r="BS43" i="6"/>
  <c r="BT43" i="6"/>
  <c r="BU43" i="6"/>
  <c r="BV43" i="6"/>
  <c r="BW43" i="6"/>
  <c r="BX43" i="6"/>
  <c r="BY43" i="6"/>
  <c r="BZ43" i="6"/>
  <c r="CA43" i="6"/>
  <c r="CB43" i="6"/>
  <c r="CC43" i="6"/>
  <c r="CD43" i="6"/>
  <c r="CE43" i="6"/>
  <c r="CF43" i="6"/>
  <c r="CG43" i="6"/>
  <c r="CH43" i="6"/>
  <c r="CI43" i="6"/>
  <c r="CJ43" i="6"/>
  <c r="CK43" i="6"/>
  <c r="AT39" i="6"/>
  <c r="AU39" i="6"/>
  <c r="AV39" i="6"/>
  <c r="AW39" i="6"/>
  <c r="AX39" i="6"/>
  <c r="AY39" i="6"/>
  <c r="AZ39" i="6"/>
  <c r="BA39" i="6"/>
  <c r="BB39" i="6"/>
  <c r="BC39" i="6"/>
  <c r="BD39" i="6"/>
  <c r="BE39" i="6"/>
  <c r="BF39" i="6"/>
  <c r="BG39" i="6"/>
  <c r="BH39" i="6"/>
  <c r="BI39" i="6"/>
  <c r="BJ39" i="6"/>
  <c r="BK39" i="6"/>
  <c r="BL39" i="6"/>
  <c r="BM39" i="6"/>
  <c r="BN39" i="6"/>
  <c r="BO39" i="6"/>
  <c r="BP39" i="6"/>
  <c r="BQ39" i="6"/>
  <c r="BR39" i="6"/>
  <c r="BS39" i="6"/>
  <c r="BT39" i="6"/>
  <c r="BU39" i="6"/>
  <c r="BV39" i="6"/>
  <c r="BW39" i="6"/>
  <c r="BX39" i="6"/>
  <c r="BY39" i="6"/>
  <c r="BZ39" i="6"/>
  <c r="CA39" i="6"/>
  <c r="CB39" i="6"/>
  <c r="CC39" i="6"/>
  <c r="CD39" i="6"/>
  <c r="CE39" i="6"/>
  <c r="CF39" i="6"/>
  <c r="CG39" i="6"/>
  <c r="CH39" i="6"/>
  <c r="CI39" i="6"/>
  <c r="CJ39" i="6"/>
  <c r="CK39" i="6"/>
  <c r="AT34" i="6"/>
  <c r="AU34" i="6"/>
  <c r="AV34" i="6"/>
  <c r="AW34" i="6"/>
  <c r="AX34" i="6"/>
  <c r="AY34" i="6"/>
  <c r="AZ34" i="6"/>
  <c r="BA34" i="6"/>
  <c r="BB34" i="6"/>
  <c r="BC34" i="6"/>
  <c r="BD34" i="6"/>
  <c r="BE34" i="6"/>
  <c r="BF34" i="6"/>
  <c r="BG34" i="6"/>
  <c r="BH34" i="6"/>
  <c r="BI34" i="6"/>
  <c r="BJ34" i="6"/>
  <c r="BK34" i="6"/>
  <c r="BL34" i="6"/>
  <c r="BM34" i="6"/>
  <c r="BN34" i="6"/>
  <c r="BO34" i="6"/>
  <c r="BP34" i="6"/>
  <c r="BQ34" i="6"/>
  <c r="BR34" i="6"/>
  <c r="BS34" i="6"/>
  <c r="BT34" i="6"/>
  <c r="BU34" i="6"/>
  <c r="BV34" i="6"/>
  <c r="BW34" i="6"/>
  <c r="BX34" i="6"/>
  <c r="BY34" i="6"/>
  <c r="BZ34" i="6"/>
  <c r="CA34" i="6"/>
  <c r="CB34" i="6"/>
  <c r="CC34" i="6"/>
  <c r="CD34" i="6"/>
  <c r="CE34" i="6"/>
  <c r="CF34" i="6"/>
  <c r="CG34" i="6"/>
  <c r="CH34" i="6"/>
  <c r="CI34" i="6"/>
  <c r="CJ34" i="6"/>
  <c r="CK34" i="6"/>
  <c r="AT32" i="6"/>
  <c r="AU32" i="6"/>
  <c r="AV32" i="6"/>
  <c r="AW32" i="6"/>
  <c r="AX32" i="6"/>
  <c r="AY32" i="6"/>
  <c r="AZ32" i="6"/>
  <c r="BA32" i="6"/>
  <c r="BB32" i="6"/>
  <c r="BC32" i="6"/>
  <c r="BD32" i="6"/>
  <c r="BE32" i="6"/>
  <c r="BF32" i="6"/>
  <c r="BG32" i="6"/>
  <c r="BH32" i="6"/>
  <c r="BI32" i="6"/>
  <c r="BJ32" i="6"/>
  <c r="BK32" i="6"/>
  <c r="BL32" i="6"/>
  <c r="BM32" i="6"/>
  <c r="BN32" i="6"/>
  <c r="BO32" i="6"/>
  <c r="BP32" i="6"/>
  <c r="BQ32" i="6"/>
  <c r="BR32" i="6"/>
  <c r="BS32" i="6"/>
  <c r="BT32" i="6"/>
  <c r="BU32" i="6"/>
  <c r="BV32" i="6"/>
  <c r="BW32" i="6"/>
  <c r="BX32" i="6"/>
  <c r="BY32" i="6"/>
  <c r="BZ32" i="6"/>
  <c r="CA32" i="6"/>
  <c r="CB32" i="6"/>
  <c r="CC32" i="6"/>
  <c r="CD32" i="6"/>
  <c r="CE32" i="6"/>
  <c r="CF32" i="6"/>
  <c r="CG32" i="6"/>
  <c r="CH32" i="6"/>
  <c r="CI32" i="6"/>
  <c r="CJ32" i="6"/>
  <c r="CK32" i="6"/>
  <c r="AT18" i="6"/>
  <c r="AU18" i="6"/>
  <c r="AV18" i="6"/>
  <c r="AW18" i="6"/>
  <c r="AX18" i="6"/>
  <c r="AY18" i="6"/>
  <c r="AZ18" i="6"/>
  <c r="BA18" i="6"/>
  <c r="BB18" i="6"/>
  <c r="BC18" i="6"/>
  <c r="BD18" i="6"/>
  <c r="BE18" i="6"/>
  <c r="BF18" i="6"/>
  <c r="BG18" i="6"/>
  <c r="BH18" i="6"/>
  <c r="BI18" i="6"/>
  <c r="BJ18" i="6"/>
  <c r="BK18" i="6"/>
  <c r="BL18" i="6"/>
  <c r="BM18" i="6"/>
  <c r="BN18" i="6"/>
  <c r="BO18" i="6"/>
  <c r="BP18" i="6"/>
  <c r="BQ18" i="6"/>
  <c r="BR18" i="6"/>
  <c r="BS18" i="6"/>
  <c r="BT18" i="6"/>
  <c r="BU18" i="6"/>
  <c r="BV18" i="6"/>
  <c r="BW18" i="6"/>
  <c r="BX18" i="6"/>
  <c r="BY18" i="6"/>
  <c r="BZ18" i="6"/>
  <c r="CA18" i="6"/>
  <c r="CB18" i="6"/>
  <c r="CC18" i="6"/>
  <c r="CD18" i="6"/>
  <c r="CE18" i="6"/>
  <c r="CF18" i="6"/>
  <c r="CG18" i="6"/>
  <c r="CH18" i="6"/>
  <c r="CI18" i="6"/>
  <c r="CJ18" i="6"/>
  <c r="CK18" i="6"/>
  <c r="AT7" i="6"/>
  <c r="AU7" i="6"/>
  <c r="AV7" i="6"/>
  <c r="AW7" i="6"/>
  <c r="AX7" i="6"/>
  <c r="AY7" i="6"/>
  <c r="AZ7" i="6"/>
  <c r="BA7" i="6"/>
  <c r="BB7" i="6"/>
  <c r="BC7" i="6"/>
  <c r="BD7" i="6"/>
  <c r="BE7" i="6"/>
  <c r="BF7" i="6"/>
  <c r="BG7" i="6"/>
  <c r="BH7" i="6"/>
  <c r="BI7" i="6"/>
  <c r="BJ7" i="6"/>
  <c r="BK7" i="6"/>
  <c r="BL7" i="6"/>
  <c r="BM7" i="6"/>
  <c r="BN7" i="6"/>
  <c r="BO7" i="6"/>
  <c r="BP7" i="6"/>
  <c r="BQ7" i="6"/>
  <c r="BR7" i="6"/>
  <c r="BS7" i="6"/>
  <c r="BT7" i="6"/>
  <c r="BU7" i="6"/>
  <c r="BV7" i="6"/>
  <c r="BW7" i="6"/>
  <c r="BX7" i="6"/>
  <c r="BY7" i="6"/>
  <c r="BZ7" i="6"/>
  <c r="CA7" i="6"/>
  <c r="CB7" i="6"/>
  <c r="CC7" i="6"/>
  <c r="CD7" i="6"/>
  <c r="CE7" i="6"/>
  <c r="CF7" i="6"/>
  <c r="CG7" i="6"/>
  <c r="CH7" i="6"/>
  <c r="CI7" i="6"/>
  <c r="CJ7" i="6"/>
  <c r="CK7"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AT93" i="11"/>
  <c r="AU93" i="11"/>
  <c r="AV93" i="11"/>
  <c r="AW93" i="11"/>
  <c r="AX93" i="11"/>
  <c r="AY93" i="11"/>
  <c r="AZ93" i="11"/>
  <c r="BA93" i="11"/>
  <c r="BB93" i="11"/>
  <c r="BC93" i="11"/>
  <c r="BD93" i="11"/>
  <c r="BE93" i="11"/>
  <c r="BF93" i="11"/>
  <c r="BG93" i="11"/>
  <c r="BH93" i="11"/>
  <c r="BI93" i="11"/>
  <c r="BJ93" i="11"/>
  <c r="BK93" i="11"/>
  <c r="BL93" i="11"/>
  <c r="BM93" i="11"/>
  <c r="BN93" i="11"/>
  <c r="BO93" i="11"/>
  <c r="BP93" i="11"/>
  <c r="BQ93" i="11"/>
  <c r="BR93" i="11"/>
  <c r="BS93" i="11"/>
  <c r="BT93" i="11"/>
  <c r="BU93" i="11"/>
  <c r="BV93" i="11"/>
  <c r="BW93" i="11"/>
  <c r="BX93" i="11"/>
  <c r="BY93" i="11"/>
  <c r="BZ93" i="11"/>
  <c r="CA93" i="11"/>
  <c r="CB93" i="11"/>
  <c r="CC93" i="11"/>
  <c r="CD93" i="11"/>
  <c r="CE93" i="11"/>
  <c r="CF93" i="11"/>
  <c r="CG93" i="11"/>
  <c r="CH93" i="11"/>
  <c r="CI93" i="11"/>
  <c r="CJ93" i="11"/>
  <c r="CK93"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AT87" i="11"/>
  <c r="AU87" i="11"/>
  <c r="AV87" i="11"/>
  <c r="AW87" i="11"/>
  <c r="AX87" i="11"/>
  <c r="AY87" i="11"/>
  <c r="AZ87" i="11"/>
  <c r="BA87" i="11"/>
  <c r="BB87" i="11"/>
  <c r="BC87" i="11"/>
  <c r="BD87" i="11"/>
  <c r="BE87" i="11"/>
  <c r="BF87" i="11"/>
  <c r="BG87" i="11"/>
  <c r="BH87" i="11"/>
  <c r="BI87" i="11"/>
  <c r="BJ87" i="11"/>
  <c r="BK87" i="11"/>
  <c r="BL87" i="11"/>
  <c r="BM87" i="11"/>
  <c r="BN87" i="11"/>
  <c r="BO87" i="11"/>
  <c r="BP87" i="11"/>
  <c r="BQ87" i="11"/>
  <c r="BR87" i="11"/>
  <c r="BS87" i="11"/>
  <c r="BT87" i="11"/>
  <c r="BU87" i="11"/>
  <c r="BV87" i="11"/>
  <c r="BW87" i="11"/>
  <c r="BX87" i="11"/>
  <c r="BY87" i="11"/>
  <c r="BZ87" i="11"/>
  <c r="CA87" i="11"/>
  <c r="CB87" i="11"/>
  <c r="CC87" i="11"/>
  <c r="CD87" i="11"/>
  <c r="CE87" i="11"/>
  <c r="CF87" i="11"/>
  <c r="CG87" i="11"/>
  <c r="CH87" i="11"/>
  <c r="CI87" i="11"/>
  <c r="CJ87" i="11"/>
  <c r="CK87"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AT85" i="11"/>
  <c r="AU85" i="11"/>
  <c r="AV85" i="11"/>
  <c r="AW85" i="11"/>
  <c r="AX85" i="11"/>
  <c r="AY85" i="11"/>
  <c r="AZ85" i="11"/>
  <c r="BA85" i="11"/>
  <c r="BB85" i="11"/>
  <c r="BC85" i="11"/>
  <c r="BD85" i="11"/>
  <c r="BE85" i="11"/>
  <c r="BF85" i="11"/>
  <c r="BG85" i="11"/>
  <c r="BH85" i="11"/>
  <c r="BI85" i="11"/>
  <c r="BJ85" i="11"/>
  <c r="BK85" i="11"/>
  <c r="BL85" i="11"/>
  <c r="BM85" i="11"/>
  <c r="BN85" i="11"/>
  <c r="BO85" i="11"/>
  <c r="BP85" i="11"/>
  <c r="BQ85" i="11"/>
  <c r="BR85" i="11"/>
  <c r="BS85" i="11"/>
  <c r="BT85" i="11"/>
  <c r="BU85" i="11"/>
  <c r="BV85" i="11"/>
  <c r="BW85" i="11"/>
  <c r="BX85" i="11"/>
  <c r="BY85" i="11"/>
  <c r="BZ85" i="11"/>
  <c r="CA85" i="11"/>
  <c r="CB85" i="11"/>
  <c r="CC85" i="11"/>
  <c r="CD85" i="11"/>
  <c r="CE85" i="11"/>
  <c r="CF85" i="11"/>
  <c r="CG85" i="11"/>
  <c r="CH85" i="11"/>
  <c r="CI85" i="11"/>
  <c r="CJ85" i="11"/>
  <c r="CK85"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I84" i="11"/>
  <c r="CJ84" i="11"/>
  <c r="CK84" i="11"/>
  <c r="E84" i="11"/>
  <c r="AK82" i="11"/>
  <c r="AL82" i="11"/>
  <c r="AM82" i="11"/>
  <c r="AN82" i="11"/>
  <c r="AO82" i="11"/>
  <c r="AP82" i="11"/>
  <c r="AQ82" i="11"/>
  <c r="AR82" i="11"/>
  <c r="AS82" i="11"/>
  <c r="AT82" i="11"/>
  <c r="AT83" i="11" s="1"/>
  <c r="AU82" i="11"/>
  <c r="AU83" i="11" s="1"/>
  <c r="AV82" i="11"/>
  <c r="AV83" i="11" s="1"/>
  <c r="AW82" i="11"/>
  <c r="AW83" i="11" s="1"/>
  <c r="AX82" i="11"/>
  <c r="AX83" i="11" s="1"/>
  <c r="AY82" i="11"/>
  <c r="AY83" i="11" s="1"/>
  <c r="AZ82" i="11"/>
  <c r="AZ83" i="11" s="1"/>
  <c r="BA82" i="11"/>
  <c r="BA83" i="11" s="1"/>
  <c r="BB82" i="11"/>
  <c r="BB83" i="11" s="1"/>
  <c r="BC82" i="11"/>
  <c r="BC83" i="11" s="1"/>
  <c r="BD82" i="11"/>
  <c r="BD83" i="11" s="1"/>
  <c r="BE82" i="11"/>
  <c r="BE83" i="11" s="1"/>
  <c r="BF82" i="11"/>
  <c r="BF83" i="11" s="1"/>
  <c r="BG82" i="11"/>
  <c r="BG83" i="11" s="1"/>
  <c r="BH82" i="11"/>
  <c r="BH83" i="11" s="1"/>
  <c r="BI82" i="11"/>
  <c r="BI83" i="11" s="1"/>
  <c r="BJ82" i="11"/>
  <c r="BJ83" i="11" s="1"/>
  <c r="BK82" i="11"/>
  <c r="BK83" i="11" s="1"/>
  <c r="BL82" i="11"/>
  <c r="BL83" i="11" s="1"/>
  <c r="BM82" i="11"/>
  <c r="BM83" i="11" s="1"/>
  <c r="BN82" i="11"/>
  <c r="BN83" i="11" s="1"/>
  <c r="BO82" i="11"/>
  <c r="BO83" i="11" s="1"/>
  <c r="BP82" i="11"/>
  <c r="BP83" i="11" s="1"/>
  <c r="BQ82" i="11"/>
  <c r="BQ83" i="11" s="1"/>
  <c r="BR82" i="11"/>
  <c r="BR83" i="11" s="1"/>
  <c r="BS82" i="11"/>
  <c r="BS83" i="11" s="1"/>
  <c r="BT82" i="11"/>
  <c r="BT83" i="11" s="1"/>
  <c r="BU82" i="11"/>
  <c r="BU83" i="11" s="1"/>
  <c r="BV82" i="11"/>
  <c r="BV83" i="11" s="1"/>
  <c r="BW82" i="11"/>
  <c r="BW83" i="11" s="1"/>
  <c r="BX82" i="11"/>
  <c r="BX83" i="11" s="1"/>
  <c r="BY82" i="11"/>
  <c r="BY83" i="11" s="1"/>
  <c r="BZ82" i="11"/>
  <c r="BZ83" i="11" s="1"/>
  <c r="CA82" i="11"/>
  <c r="CA83" i="11" s="1"/>
  <c r="CB82" i="11"/>
  <c r="CB83" i="11" s="1"/>
  <c r="CC82" i="11"/>
  <c r="CC83" i="11" s="1"/>
  <c r="CD82" i="11"/>
  <c r="CD83" i="11" s="1"/>
  <c r="CE82" i="11"/>
  <c r="CE83" i="11" s="1"/>
  <c r="CF82" i="11"/>
  <c r="CF83" i="11" s="1"/>
  <c r="CG82" i="11"/>
  <c r="CG83" i="11" s="1"/>
  <c r="CH82" i="11"/>
  <c r="CH83" i="11" s="1"/>
  <c r="CI82" i="11"/>
  <c r="CI83" i="11" s="1"/>
  <c r="CJ82" i="11"/>
  <c r="CJ83" i="11" s="1"/>
  <c r="CK82" i="11"/>
  <c r="CK83" i="11" s="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K83" i="11" s="1"/>
  <c r="AL81" i="11"/>
  <c r="AL83" i="11" s="1"/>
  <c r="AM81" i="11"/>
  <c r="AN81" i="11"/>
  <c r="AN83" i="11" s="1"/>
  <c r="AO81" i="11"/>
  <c r="AP81" i="11"/>
  <c r="AP83" i="11" s="1"/>
  <c r="AQ81" i="11"/>
  <c r="AR81" i="11"/>
  <c r="AR93" i="11" s="1"/>
  <c r="AS81" i="11"/>
  <c r="AS93" i="11" s="1"/>
  <c r="AT81" i="11"/>
  <c r="AU81" i="11"/>
  <c r="AV81" i="11"/>
  <c r="AW81" i="11"/>
  <c r="AX81" i="11"/>
  <c r="AY81" i="11"/>
  <c r="AZ81" i="11"/>
  <c r="BA81" i="11"/>
  <c r="BB81" i="11"/>
  <c r="BC81" i="11"/>
  <c r="BD81" i="11"/>
  <c r="BE81" i="11"/>
  <c r="BF81" i="11"/>
  <c r="BG81" i="11"/>
  <c r="BH81" i="11"/>
  <c r="BI81" i="11"/>
  <c r="BJ81" i="11"/>
  <c r="BK81" i="11"/>
  <c r="BL81" i="11"/>
  <c r="BM81" i="11"/>
  <c r="BN81" i="11"/>
  <c r="BO81" i="11"/>
  <c r="BP81" i="11"/>
  <c r="BQ81" i="11"/>
  <c r="BR81" i="11"/>
  <c r="BS81" i="11"/>
  <c r="BT81" i="11"/>
  <c r="BU81" i="11"/>
  <c r="BV81" i="11"/>
  <c r="BW81" i="11"/>
  <c r="BX81" i="11"/>
  <c r="BY81" i="11"/>
  <c r="BZ81" i="11"/>
  <c r="CA81" i="11"/>
  <c r="CB81" i="11"/>
  <c r="CC81" i="11"/>
  <c r="CD81" i="11"/>
  <c r="CE81" i="11"/>
  <c r="CF81" i="11"/>
  <c r="CG81" i="11"/>
  <c r="CH81" i="11"/>
  <c r="CI81" i="11"/>
  <c r="CJ81" i="11"/>
  <c r="CK81" i="1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AQ83" i="11" l="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I20" i="13"/>
  <c r="H20" i="13"/>
  <c r="G20" i="13"/>
  <c r="F20" i="13"/>
  <c r="E20" i="13"/>
  <c r="D20"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K17" i="12"/>
  <c r="CL16" i="12"/>
  <c r="CK15" i="12"/>
  <c r="CK14" i="12"/>
  <c r="CK16" i="12" s="1"/>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E12" i="12" s="1"/>
  <c r="CD8" i="12"/>
  <c r="CD12" i="12" s="1"/>
  <c r="CC8" i="12"/>
  <c r="CB8" i="12"/>
  <c r="CA8" i="12"/>
  <c r="BZ8" i="12"/>
  <c r="BY8" i="12"/>
  <c r="BX8" i="12"/>
  <c r="BW8" i="12"/>
  <c r="BW12" i="12" s="1"/>
  <c r="BV8" i="12"/>
  <c r="BV12" i="12" s="1"/>
  <c r="BU8" i="12"/>
  <c r="BT8" i="12"/>
  <c r="BS8" i="12"/>
  <c r="BR8" i="12"/>
  <c r="BQ8" i="12"/>
  <c r="BP8" i="12"/>
  <c r="BO8" i="12"/>
  <c r="BO12" i="12" s="1"/>
  <c r="BN8" i="12"/>
  <c r="BN12" i="12" s="1"/>
  <c r="BM8" i="12"/>
  <c r="BL8" i="12"/>
  <c r="BK8" i="12"/>
  <c r="BJ8" i="12"/>
  <c r="BI8" i="12"/>
  <c r="BH8" i="12"/>
  <c r="BG8" i="12"/>
  <c r="BG12" i="12" s="1"/>
  <c r="BF8" i="12"/>
  <c r="BF12" i="12" s="1"/>
  <c r="BE8" i="12"/>
  <c r="BD8" i="12"/>
  <c r="BC8" i="12"/>
  <c r="BB8" i="12"/>
  <c r="BA8" i="12"/>
  <c r="AZ8" i="12"/>
  <c r="AY8" i="12"/>
  <c r="AY12" i="12" s="1"/>
  <c r="AX8" i="12"/>
  <c r="AX12" i="12" s="1"/>
  <c r="AW8" i="12"/>
  <c r="AV8" i="12"/>
  <c r="AU8" i="12"/>
  <c r="AT8" i="12"/>
  <c r="AS8" i="12"/>
  <c r="AR8" i="12"/>
  <c r="AQ8" i="12"/>
  <c r="AQ12" i="12" s="1"/>
  <c r="AP8" i="12"/>
  <c r="AP12" i="12" s="1"/>
  <c r="AO8" i="12"/>
  <c r="AN8" i="12"/>
  <c r="AM8" i="12"/>
  <c r="AL8" i="12"/>
  <c r="AK8" i="12"/>
  <c r="AJ8" i="12"/>
  <c r="AI8" i="12"/>
  <c r="AI12" i="12" s="1"/>
  <c r="AH8" i="12"/>
  <c r="AH12" i="12" s="1"/>
  <c r="AG8" i="12"/>
  <c r="AF8" i="12"/>
  <c r="AE8" i="12"/>
  <c r="AD8" i="12"/>
  <c r="AC8" i="12"/>
  <c r="AB8" i="12"/>
  <c r="AA8" i="12"/>
  <c r="AA12" i="12" s="1"/>
  <c r="Z8" i="12"/>
  <c r="Z12" i="12" s="1"/>
  <c r="Y8" i="12"/>
  <c r="X8" i="12"/>
  <c r="W8" i="12"/>
  <c r="V8" i="12"/>
  <c r="U8" i="12"/>
  <c r="T8" i="12"/>
  <c r="S8" i="12"/>
  <c r="S12" i="12" s="1"/>
  <c r="R8" i="12"/>
  <c r="R12" i="12" s="1"/>
  <c r="Q8" i="12"/>
  <c r="P8" i="12"/>
  <c r="O8" i="12"/>
  <c r="N8" i="12"/>
  <c r="M8" i="12"/>
  <c r="L8" i="12"/>
  <c r="K8" i="12"/>
  <c r="K12" i="12" s="1"/>
  <c r="J8" i="12"/>
  <c r="J12" i="12" s="1"/>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J76" i="11" s="1"/>
  <c r="CI71" i="11"/>
  <c r="CI76" i="11" s="1"/>
  <c r="CH71" i="11"/>
  <c r="CG71" i="11"/>
  <c r="CG76" i="11" s="1"/>
  <c r="CF71" i="11"/>
  <c r="CF76" i="11" s="1"/>
  <c r="CE71" i="11"/>
  <c r="CE76" i="11" s="1"/>
  <c r="CD71" i="11"/>
  <c r="CD76" i="11" s="1"/>
  <c r="CC71" i="11"/>
  <c r="CC76" i="11" s="1"/>
  <c r="CB71" i="11"/>
  <c r="CB76" i="11" s="1"/>
  <c r="CA71" i="11"/>
  <c r="CA76" i="11" s="1"/>
  <c r="BZ71" i="11"/>
  <c r="BY71" i="11"/>
  <c r="BY76" i="11" s="1"/>
  <c r="BX71" i="11"/>
  <c r="BX76" i="11" s="1"/>
  <c r="BW71" i="11"/>
  <c r="BW76" i="11" s="1"/>
  <c r="BV71" i="11"/>
  <c r="BV76" i="11" s="1"/>
  <c r="BU71" i="11"/>
  <c r="BU76" i="11" s="1"/>
  <c r="BT71" i="11"/>
  <c r="BT76" i="11" s="1"/>
  <c r="BS71" i="11"/>
  <c r="BS76" i="11" s="1"/>
  <c r="BR71" i="11"/>
  <c r="BQ71" i="11"/>
  <c r="BQ76" i="11" s="1"/>
  <c r="BP71" i="11"/>
  <c r="BP76" i="11" s="1"/>
  <c r="BO71" i="11"/>
  <c r="BO76" i="11" s="1"/>
  <c r="BN71" i="11"/>
  <c r="BN76" i="11" s="1"/>
  <c r="BM71" i="11"/>
  <c r="BM76" i="11" s="1"/>
  <c r="BL71" i="11"/>
  <c r="BL76" i="11" s="1"/>
  <c r="BK71" i="11"/>
  <c r="BK76" i="11" s="1"/>
  <c r="BJ71" i="11"/>
  <c r="BI71" i="11"/>
  <c r="BI76" i="11" s="1"/>
  <c r="BH71" i="11"/>
  <c r="BH76" i="11" s="1"/>
  <c r="BG71" i="11"/>
  <c r="BG76" i="11" s="1"/>
  <c r="BF71" i="11"/>
  <c r="BF76" i="11" s="1"/>
  <c r="BE71" i="11"/>
  <c r="BE76" i="11" s="1"/>
  <c r="BD71" i="11"/>
  <c r="BD76" i="11" s="1"/>
  <c r="BC71" i="11"/>
  <c r="BC76" i="11" s="1"/>
  <c r="BB71" i="11"/>
  <c r="BA71" i="11"/>
  <c r="BA76" i="11" s="1"/>
  <c r="AZ71" i="11"/>
  <c r="AZ76" i="11" s="1"/>
  <c r="AY71" i="11"/>
  <c r="AY76" i="11" s="1"/>
  <c r="AX71" i="11"/>
  <c r="AX76" i="11" s="1"/>
  <c r="AW71" i="11"/>
  <c r="AW76" i="11" s="1"/>
  <c r="AV71" i="11"/>
  <c r="AV76" i="11" s="1"/>
  <c r="AU71" i="11"/>
  <c r="AU76" i="11" s="1"/>
  <c r="AT71" i="11"/>
  <c r="AS71" i="11"/>
  <c r="AS76" i="11" s="1"/>
  <c r="AR71" i="11"/>
  <c r="AR76" i="11" s="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5" i="11"/>
  <c r="CK64" i="1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J65" i="11" s="1"/>
  <c r="CJ66" i="11" s="1"/>
  <c r="CI49" i="11"/>
  <c r="CI63" i="11" s="1"/>
  <c r="CI65" i="11" s="1"/>
  <c r="CI66" i="11" s="1"/>
  <c r="CH49" i="11"/>
  <c r="CH63" i="11" s="1"/>
  <c r="CH65" i="11" s="1"/>
  <c r="CH66" i="11" s="1"/>
  <c r="CG49" i="11"/>
  <c r="CF49" i="11"/>
  <c r="CF63" i="11" s="1"/>
  <c r="CF65" i="11" s="1"/>
  <c r="CF66" i="11" s="1"/>
  <c r="CE49" i="11"/>
  <c r="CE63" i="11" s="1"/>
  <c r="CE65" i="11" s="1"/>
  <c r="CE66" i="11" s="1"/>
  <c r="CD49" i="11"/>
  <c r="CC49" i="11"/>
  <c r="CC63" i="11" s="1"/>
  <c r="CC65" i="11" s="1"/>
  <c r="CC66" i="11" s="1"/>
  <c r="CB49" i="11"/>
  <c r="CB63" i="11" s="1"/>
  <c r="CB65" i="11" s="1"/>
  <c r="CB66" i="11" s="1"/>
  <c r="CA49" i="11"/>
  <c r="CA63" i="11" s="1"/>
  <c r="CA65" i="11" s="1"/>
  <c r="CA66" i="11" s="1"/>
  <c r="BZ49" i="11"/>
  <c r="BZ63" i="11" s="1"/>
  <c r="BZ65" i="11" s="1"/>
  <c r="BZ66" i="11" s="1"/>
  <c r="BY49" i="11"/>
  <c r="BX49" i="11"/>
  <c r="BX63" i="11" s="1"/>
  <c r="BX65" i="11" s="1"/>
  <c r="BX66" i="11" s="1"/>
  <c r="BW49" i="11"/>
  <c r="BW63" i="11" s="1"/>
  <c r="BW65" i="11" s="1"/>
  <c r="BW66" i="11" s="1"/>
  <c r="BV49" i="11"/>
  <c r="BU49" i="11"/>
  <c r="BU63" i="11" s="1"/>
  <c r="BU65" i="11" s="1"/>
  <c r="BU66" i="11" s="1"/>
  <c r="BT49" i="11"/>
  <c r="BT63" i="11" s="1"/>
  <c r="BT65" i="11" s="1"/>
  <c r="BT66" i="11" s="1"/>
  <c r="BS49" i="11"/>
  <c r="BS63" i="11" s="1"/>
  <c r="BS65" i="11" s="1"/>
  <c r="BS66" i="11" s="1"/>
  <c r="BR49" i="11"/>
  <c r="BR63" i="11" s="1"/>
  <c r="BR65" i="11" s="1"/>
  <c r="BR66" i="11" s="1"/>
  <c r="BQ49" i="11"/>
  <c r="BP49" i="11"/>
  <c r="BP63" i="11" s="1"/>
  <c r="BP65" i="11" s="1"/>
  <c r="BP66" i="11" s="1"/>
  <c r="BO49" i="11"/>
  <c r="BO63" i="11" s="1"/>
  <c r="BO65" i="11" s="1"/>
  <c r="BO66" i="11" s="1"/>
  <c r="BN49" i="11"/>
  <c r="BM49" i="11"/>
  <c r="BM63" i="11" s="1"/>
  <c r="BM65" i="11" s="1"/>
  <c r="BM66" i="11" s="1"/>
  <c r="BL49" i="11"/>
  <c r="BL63" i="11" s="1"/>
  <c r="BL65" i="11" s="1"/>
  <c r="BL66" i="11" s="1"/>
  <c r="BK49" i="11"/>
  <c r="BK63" i="11" s="1"/>
  <c r="BK65" i="11" s="1"/>
  <c r="BK66" i="11" s="1"/>
  <c r="BJ49" i="11"/>
  <c r="BJ63" i="11" s="1"/>
  <c r="BJ65" i="11" s="1"/>
  <c r="BJ66" i="11" s="1"/>
  <c r="BI49" i="11"/>
  <c r="BH49" i="11"/>
  <c r="BH57" i="11" s="1"/>
  <c r="BG49" i="11"/>
  <c r="BG63" i="11" s="1"/>
  <c r="BG65" i="11" s="1"/>
  <c r="BG66" i="11" s="1"/>
  <c r="BF49" i="11"/>
  <c r="BE49" i="11"/>
  <c r="BE63" i="11" s="1"/>
  <c r="BE65" i="11" s="1"/>
  <c r="BE66" i="11" s="1"/>
  <c r="BD49" i="11"/>
  <c r="BD63" i="11" s="1"/>
  <c r="BD65" i="11" s="1"/>
  <c r="BD66" i="11" s="1"/>
  <c r="BC49" i="11"/>
  <c r="BC63" i="11" s="1"/>
  <c r="BC65" i="11" s="1"/>
  <c r="BC66" i="11" s="1"/>
  <c r="BB49" i="11"/>
  <c r="BB63" i="11" s="1"/>
  <c r="BB65" i="11" s="1"/>
  <c r="BB66" i="11" s="1"/>
  <c r="BA49" i="11"/>
  <c r="AZ49" i="11"/>
  <c r="AZ63" i="11" s="1"/>
  <c r="AZ65" i="11" s="1"/>
  <c r="AZ66" i="11" s="1"/>
  <c r="AY49" i="11"/>
  <c r="AY63" i="11" s="1"/>
  <c r="AY65" i="11" s="1"/>
  <c r="AY66" i="11" s="1"/>
  <c r="AX49" i="11"/>
  <c r="AW49" i="11"/>
  <c r="AW63" i="11" s="1"/>
  <c r="AW65" i="11" s="1"/>
  <c r="AW66" i="11" s="1"/>
  <c r="AV49" i="11"/>
  <c r="AV63" i="11" s="1"/>
  <c r="AV65" i="11" s="1"/>
  <c r="AV66" i="11" s="1"/>
  <c r="AU49" i="11"/>
  <c r="AU63" i="11" s="1"/>
  <c r="AU65" i="11" s="1"/>
  <c r="AU66" i="11" s="1"/>
  <c r="AT49" i="11"/>
  <c r="AT63" i="11" s="1"/>
  <c r="AT65" i="11" s="1"/>
  <c r="AT66" i="11" s="1"/>
  <c r="AS49" i="11"/>
  <c r="AR49" i="11"/>
  <c r="AR63" i="11" s="1"/>
  <c r="AR65" i="11" s="1"/>
  <c r="AR66" i="11" s="1"/>
  <c r="AQ49" i="11"/>
  <c r="AQ63" i="11" s="1"/>
  <c r="AP49" i="11"/>
  <c r="AO49" i="11"/>
  <c r="AO63" i="11" s="1"/>
  <c r="AN49" i="11"/>
  <c r="AN63" i="11" s="1"/>
  <c r="AN65" i="11" s="1"/>
  <c r="AN66" i="11" s="1"/>
  <c r="AM49" i="11"/>
  <c r="AM63" i="11" s="1"/>
  <c r="AL49" i="11"/>
  <c r="AL63" i="11" s="1"/>
  <c r="AL65" i="11" s="1"/>
  <c r="AL66" i="11" s="1"/>
  <c r="AK49" i="11"/>
  <c r="AJ49" i="11"/>
  <c r="AJ57" i="11" s="1"/>
  <c r="AI49" i="11"/>
  <c r="AI57" i="11" s="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L57" i="11" s="1"/>
  <c r="K49" i="11"/>
  <c r="K57" i="11" s="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H43" i="11" s="1"/>
  <c r="CG35" i="11"/>
  <c r="CF35" i="11"/>
  <c r="CE35" i="11"/>
  <c r="CE43" i="11" s="1"/>
  <c r="CD35" i="11"/>
  <c r="CC35" i="11"/>
  <c r="CC43" i="11" s="1"/>
  <c r="CB35" i="11"/>
  <c r="CA35" i="11"/>
  <c r="BZ35" i="11"/>
  <c r="BZ43" i="11" s="1"/>
  <c r="BY35" i="11"/>
  <c r="BX35" i="11"/>
  <c r="BW35" i="11"/>
  <c r="BW43" i="11" s="1"/>
  <c r="BV35" i="11"/>
  <c r="BU35" i="11"/>
  <c r="BU43" i="11" s="1"/>
  <c r="BT35" i="11"/>
  <c r="BS35" i="11"/>
  <c r="BR35" i="11"/>
  <c r="BR43" i="11" s="1"/>
  <c r="BQ35" i="11"/>
  <c r="BP35" i="11"/>
  <c r="BO35" i="11"/>
  <c r="BO43" i="11" s="1"/>
  <c r="BN35" i="11"/>
  <c r="BM35" i="11"/>
  <c r="BM43" i="11" s="1"/>
  <c r="BL35" i="11"/>
  <c r="BK35" i="11"/>
  <c r="BJ35" i="11"/>
  <c r="BJ43" i="11" s="1"/>
  <c r="BI35" i="11"/>
  <c r="BH35" i="11"/>
  <c r="BG35" i="11"/>
  <c r="BG43" i="11" s="1"/>
  <c r="BF35" i="11"/>
  <c r="BE35" i="11"/>
  <c r="BE43" i="11" s="1"/>
  <c r="BD35" i="11"/>
  <c r="BC35" i="11"/>
  <c r="BB35" i="11"/>
  <c r="BB43" i="11" s="1"/>
  <c r="BA35" i="11"/>
  <c r="AZ35" i="11"/>
  <c r="AY35" i="11"/>
  <c r="AY43" i="11" s="1"/>
  <c r="AX35" i="11"/>
  <c r="AW35" i="11"/>
  <c r="AW43" i="11" s="1"/>
  <c r="AV35" i="11"/>
  <c r="AU35" i="11"/>
  <c r="AT35" i="11"/>
  <c r="AT43" i="11" s="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CA28" i="11" s="1"/>
  <c r="BZ27" i="11"/>
  <c r="BY27" i="11"/>
  <c r="BX27" i="11"/>
  <c r="BW27" i="11"/>
  <c r="BV27" i="11"/>
  <c r="BU27" i="11"/>
  <c r="BT27" i="11"/>
  <c r="BS27" i="11"/>
  <c r="BS28" i="11" s="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O28" i="11" s="1"/>
  <c r="N27" i="11"/>
  <c r="M27" i="11"/>
  <c r="L27" i="11"/>
  <c r="K27" i="11"/>
  <c r="J27" i="11"/>
  <c r="I27" i="11"/>
  <c r="H27" i="11"/>
  <c r="G27" i="11"/>
  <c r="F27" i="11"/>
  <c r="E27" i="11"/>
  <c r="CJ26" i="11"/>
  <c r="CJ28" i="11" s="1"/>
  <c r="CI26" i="11"/>
  <c r="CH26" i="11"/>
  <c r="CH28" i="11" s="1"/>
  <c r="CG26" i="11"/>
  <c r="CG28" i="11" s="1"/>
  <c r="CF26" i="11"/>
  <c r="CE26" i="11"/>
  <c r="CE28" i="11" s="1"/>
  <c r="CD26" i="11"/>
  <c r="CD28" i="11" s="1"/>
  <c r="CC26" i="11"/>
  <c r="CB26" i="11"/>
  <c r="CB28" i="11" s="1"/>
  <c r="CA26" i="11"/>
  <c r="BZ26" i="11"/>
  <c r="BZ28" i="11" s="1"/>
  <c r="BY26" i="11"/>
  <c r="BY28" i="11" s="1"/>
  <c r="BX26" i="11"/>
  <c r="BW26" i="11"/>
  <c r="BW28" i="11" s="1"/>
  <c r="BV26" i="11"/>
  <c r="BV28" i="11" s="1"/>
  <c r="BU26" i="11"/>
  <c r="BT26" i="11"/>
  <c r="BT28" i="11" s="1"/>
  <c r="BS26" i="11"/>
  <c r="BR26" i="11"/>
  <c r="BR28" i="11" s="1"/>
  <c r="BQ26" i="11"/>
  <c r="BQ28" i="11" s="1"/>
  <c r="BP26" i="11"/>
  <c r="BO26" i="11"/>
  <c r="BO28" i="11" s="1"/>
  <c r="BN26" i="11"/>
  <c r="BN28" i="11" s="1"/>
  <c r="BM26" i="11"/>
  <c r="BL26" i="11"/>
  <c r="BL28" i="11" s="1"/>
  <c r="BK26" i="11"/>
  <c r="BJ26" i="11"/>
  <c r="BI26" i="11"/>
  <c r="BI28" i="11" s="1"/>
  <c r="BH26" i="11"/>
  <c r="BG26" i="11"/>
  <c r="BG28" i="11" s="1"/>
  <c r="BF26" i="11"/>
  <c r="BE26" i="11"/>
  <c r="BD26" i="11"/>
  <c r="BD28" i="11" s="1"/>
  <c r="BC26" i="11"/>
  <c r="BB26" i="11"/>
  <c r="BB28" i="11" s="1"/>
  <c r="BA26" i="11"/>
  <c r="BA28" i="11" s="1"/>
  <c r="AZ26" i="11"/>
  <c r="AY26" i="11"/>
  <c r="AY28" i="11" s="1"/>
  <c r="AX26" i="11"/>
  <c r="AX28" i="11" s="1"/>
  <c r="AW26" i="11"/>
  <c r="AV26" i="11"/>
  <c r="AV28" i="11" s="1"/>
  <c r="AU26" i="11"/>
  <c r="AT26" i="11"/>
  <c r="AT28" i="11" s="1"/>
  <c r="AS26" i="11"/>
  <c r="AS28" i="11" s="1"/>
  <c r="AR26" i="11"/>
  <c r="AQ26" i="11"/>
  <c r="AQ28" i="11" s="1"/>
  <c r="AP26" i="11"/>
  <c r="AP28" i="11" s="1"/>
  <c r="AO26" i="11"/>
  <c r="AN26" i="11"/>
  <c r="AM26" i="11"/>
  <c r="AL26" i="11"/>
  <c r="AL28" i="11" s="1"/>
  <c r="AK26" i="11"/>
  <c r="AK28" i="11" s="1"/>
  <c r="AJ26" i="11"/>
  <c r="AI26" i="11"/>
  <c r="AI28" i="11" s="1"/>
  <c r="AH26" i="11"/>
  <c r="AH28" i="11" s="1"/>
  <c r="AG26" i="11"/>
  <c r="AF26" i="11"/>
  <c r="AE26" i="11"/>
  <c r="AD26" i="11"/>
  <c r="AD28" i="11" s="1"/>
  <c r="AC26" i="11"/>
  <c r="AC28" i="11" s="1"/>
  <c r="AB26" i="11"/>
  <c r="AA26" i="11"/>
  <c r="AA28" i="11" s="1"/>
  <c r="Z26" i="11"/>
  <c r="Z28" i="11" s="1"/>
  <c r="Y26" i="11"/>
  <c r="X26" i="11"/>
  <c r="W26" i="11"/>
  <c r="V26" i="11"/>
  <c r="V28" i="11" s="1"/>
  <c r="U26" i="11"/>
  <c r="U28" i="11" s="1"/>
  <c r="T26" i="11"/>
  <c r="S26" i="11"/>
  <c r="R26" i="11"/>
  <c r="R28" i="11" s="1"/>
  <c r="Q26" i="11"/>
  <c r="P26" i="11"/>
  <c r="O26" i="11"/>
  <c r="N26" i="11"/>
  <c r="N28" i="11" s="1"/>
  <c r="M26" i="11"/>
  <c r="M28" i="11" s="1"/>
  <c r="L26" i="11"/>
  <c r="K26" i="11"/>
  <c r="K28" i="11" s="1"/>
  <c r="J26" i="11"/>
  <c r="J28" i="11" s="1"/>
  <c r="I26" i="11"/>
  <c r="H26" i="11"/>
  <c r="G26" i="11"/>
  <c r="F26" i="11"/>
  <c r="F28" i="11" s="1"/>
  <c r="E26" i="11"/>
  <c r="E28" i="11" s="1"/>
  <c r="CK5" i="11"/>
  <c r="CK3" i="11"/>
  <c r="CJ3" i="11"/>
  <c r="CI3" i="11"/>
  <c r="CH3" i="11"/>
  <c r="CG3" i="11"/>
  <c r="CF3" i="11"/>
  <c r="CE3" i="11"/>
  <c r="CD3" i="11"/>
  <c r="CC3" i="11"/>
  <c r="CB3" i="11"/>
  <c r="CA3" i="11"/>
  <c r="BZ3" i="11"/>
  <c r="BY3" i="11"/>
  <c r="BX3" i="11"/>
  <c r="BW3" i="11"/>
  <c r="BV3" i="11"/>
  <c r="BU3" i="11"/>
  <c r="BT3" i="11"/>
  <c r="BS3" i="11"/>
  <c r="BR3" i="11"/>
  <c r="BQ3" i="11"/>
  <c r="BP3" i="11"/>
  <c r="BO3" i="11"/>
  <c r="BN3" i="11"/>
  <c r="BM3" i="11"/>
  <c r="BL3" i="11"/>
  <c r="BK3" i="11"/>
  <c r="BJ3" i="11"/>
  <c r="BI3" i="11"/>
  <c r="BH3" i="11"/>
  <c r="BG3" i="11"/>
  <c r="BF3" i="11"/>
  <c r="BE3" i="11"/>
  <c r="BD3" i="11"/>
  <c r="BC3" i="11"/>
  <c r="BB3" i="11"/>
  <c r="BA3" i="11"/>
  <c r="AZ3" i="11"/>
  <c r="AY3" i="11"/>
  <c r="AX3" i="11"/>
  <c r="AW3" i="11"/>
  <c r="AV3" i="11"/>
  <c r="AU3" i="11"/>
  <c r="AT3" i="11"/>
  <c r="AS3" i="11"/>
  <c r="AR3" i="11"/>
  <c r="CK2"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9" i="10"/>
  <c r="CK28" i="10"/>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9" i="10"/>
  <c r="CK18" i="10"/>
  <c r="CJ18" i="10"/>
  <c r="CI18" i="10"/>
  <c r="CH18" i="10"/>
  <c r="CG18" i="10"/>
  <c r="CF18" i="10"/>
  <c r="CE18" i="10"/>
  <c r="CD18" i="10"/>
  <c r="CC18" i="10"/>
  <c r="CB18" i="10"/>
  <c r="CA18" i="10"/>
  <c r="BZ18" i="10"/>
  <c r="BY18" i="10"/>
  <c r="BX18" i="10"/>
  <c r="BW18" i="10"/>
  <c r="BV18" i="10"/>
  <c r="BU18" i="10"/>
  <c r="BT18" i="10"/>
  <c r="BS18" i="10"/>
  <c r="BR18" i="10"/>
  <c r="BQ18" i="10"/>
  <c r="BP18" i="10"/>
  <c r="BO18" i="10"/>
  <c r="BN18" i="10"/>
  <c r="BM18" i="10"/>
  <c r="BL18" i="10"/>
  <c r="BK18" i="10"/>
  <c r="BJ18" i="10"/>
  <c r="BI18" i="10"/>
  <c r="BH18" i="10"/>
  <c r="BG18" i="10"/>
  <c r="BF18" i="10"/>
  <c r="BE18" i="10"/>
  <c r="BD18" i="10"/>
  <c r="BC18" i="10"/>
  <c r="BB18" i="10"/>
  <c r="BA18" i="10"/>
  <c r="AZ18" i="10"/>
  <c r="AY18" i="10"/>
  <c r="AX18" i="10"/>
  <c r="AW18" i="10"/>
  <c r="AV18" i="10"/>
  <c r="AU18" i="10"/>
  <c r="AT18" i="10"/>
  <c r="AS18" i="10"/>
  <c r="AR18" i="10"/>
  <c r="AQ18" i="10"/>
  <c r="AP18" i="10"/>
  <c r="AN18" i="10"/>
  <c r="AM18" i="10"/>
  <c r="AL18" i="10"/>
  <c r="AJ18" i="10"/>
  <c r="AI18" i="10"/>
  <c r="AH18" i="10"/>
  <c r="N18" i="10"/>
  <c r="H18" i="10"/>
  <c r="G18" i="10"/>
  <c r="F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C13" i="10" s="1"/>
  <c r="CB12" i="10"/>
  <c r="CA12" i="10"/>
  <c r="BZ12" i="10"/>
  <c r="BY12" i="10"/>
  <c r="BX12" i="10"/>
  <c r="BW12" i="10"/>
  <c r="BV12" i="10"/>
  <c r="BU12" i="10"/>
  <c r="BU13" i="10" s="1"/>
  <c r="BT12" i="10"/>
  <c r="BS12" i="10"/>
  <c r="BR12" i="10"/>
  <c r="BQ12" i="10"/>
  <c r="BP12" i="10"/>
  <c r="BO12" i="10"/>
  <c r="BN12" i="10"/>
  <c r="BM12" i="10"/>
  <c r="BM13" i="10" s="1"/>
  <c r="BL12" i="10"/>
  <c r="BK12" i="10"/>
  <c r="BJ12" i="10"/>
  <c r="BI12" i="10"/>
  <c r="BH12" i="10"/>
  <c r="BG12" i="10"/>
  <c r="BF12" i="10"/>
  <c r="BE12" i="10"/>
  <c r="BE13" i="10" s="1"/>
  <c r="BD12" i="10"/>
  <c r="BC12" i="10"/>
  <c r="BB12" i="10"/>
  <c r="BA12" i="10"/>
  <c r="AZ12" i="10"/>
  <c r="AY12" i="10"/>
  <c r="AX12" i="10"/>
  <c r="AW12" i="10"/>
  <c r="AW13" i="10" s="1"/>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H6" i="10"/>
  <c r="CB6" i="10"/>
  <c r="BZ6" i="10"/>
  <c r="BT6" i="10"/>
  <c r="BR6" i="10"/>
  <c r="BL6" i="10"/>
  <c r="BJ6" i="10"/>
  <c r="BD6" i="10"/>
  <c r="BB6" i="10"/>
  <c r="AV6" i="10"/>
  <c r="AT6" i="10"/>
  <c r="CK5" i="10"/>
  <c r="CG5" i="10"/>
  <c r="CE5" i="10"/>
  <c r="BY5" i="10"/>
  <c r="BW5" i="10"/>
  <c r="BQ5" i="10"/>
  <c r="BO5" i="10"/>
  <c r="BI5" i="10"/>
  <c r="BG5" i="10"/>
  <c r="BA5" i="10"/>
  <c r="AY5" i="10"/>
  <c r="CJ4" i="10"/>
  <c r="CJ5" i="10" s="1"/>
  <c r="CI4" i="10"/>
  <c r="CH4" i="10"/>
  <c r="CH5" i="10" s="1"/>
  <c r="CG4" i="10"/>
  <c r="CG6" i="10" s="1"/>
  <c r="CF4" i="10"/>
  <c r="CF6" i="10" s="1"/>
  <c r="CE4" i="10"/>
  <c r="CE6" i="10" s="1"/>
  <c r="CD4" i="10"/>
  <c r="CD5" i="10" s="1"/>
  <c r="CC4" i="10"/>
  <c r="CC5" i="10" s="1"/>
  <c r="CB4" i="10"/>
  <c r="CB5" i="10" s="1"/>
  <c r="CA4" i="10"/>
  <c r="BZ4" i="10"/>
  <c r="BZ5" i="10" s="1"/>
  <c r="BY4" i="10"/>
  <c r="BY6" i="10" s="1"/>
  <c r="BX4" i="10"/>
  <c r="BX6" i="10" s="1"/>
  <c r="BW4" i="10"/>
  <c r="BW6" i="10" s="1"/>
  <c r="BV4" i="10"/>
  <c r="BV5" i="10" s="1"/>
  <c r="BU4" i="10"/>
  <c r="BU5" i="10" s="1"/>
  <c r="BT4" i="10"/>
  <c r="BT5" i="10" s="1"/>
  <c r="BS4" i="10"/>
  <c r="BR4" i="10"/>
  <c r="BR5" i="10" s="1"/>
  <c r="BQ4" i="10"/>
  <c r="BQ6" i="10" s="1"/>
  <c r="BP4" i="10"/>
  <c r="BP6" i="10" s="1"/>
  <c r="BO4" i="10"/>
  <c r="BO6" i="10" s="1"/>
  <c r="BN4" i="10"/>
  <c r="BN5" i="10" s="1"/>
  <c r="BM4" i="10"/>
  <c r="BM5" i="10" s="1"/>
  <c r="BL4" i="10"/>
  <c r="BL5" i="10" s="1"/>
  <c r="BK4" i="10"/>
  <c r="BJ4" i="10"/>
  <c r="BJ5" i="10" s="1"/>
  <c r="BI4" i="10"/>
  <c r="BI6" i="10" s="1"/>
  <c r="BH4" i="10"/>
  <c r="BH6" i="10" s="1"/>
  <c r="BG4" i="10"/>
  <c r="BG6" i="10" s="1"/>
  <c r="BF4" i="10"/>
  <c r="BF5" i="10" s="1"/>
  <c r="BE4" i="10"/>
  <c r="BE5" i="10" s="1"/>
  <c r="BD4" i="10"/>
  <c r="BD5" i="10" s="1"/>
  <c r="BC4" i="10"/>
  <c r="BB4" i="10"/>
  <c r="BB5" i="10" s="1"/>
  <c r="BA4" i="10"/>
  <c r="BA6" i="10" s="1"/>
  <c r="AZ4" i="10"/>
  <c r="AZ6" i="10" s="1"/>
  <c r="AY4" i="10"/>
  <c r="AY6" i="10" s="1"/>
  <c r="AX4" i="10"/>
  <c r="AX5" i="10" s="1"/>
  <c r="AW4" i="10"/>
  <c r="AW5" i="10" s="1"/>
  <c r="AV4" i="10"/>
  <c r="AV5" i="10" s="1"/>
  <c r="AU4" i="10"/>
  <c r="AT4" i="10"/>
  <c r="AT5" i="10" s="1"/>
  <c r="AS4" i="10"/>
  <c r="AS6" i="10" s="1"/>
  <c r="AR4" i="10"/>
  <c r="AR6" i="10" s="1"/>
  <c r="AQ4" i="10"/>
  <c r="AQ6" i="10" s="1"/>
  <c r="AP4" i="10"/>
  <c r="AO4" i="10"/>
  <c r="AN4" i="10"/>
  <c r="AN6" i="10" s="1"/>
  <c r="AM4" i="10"/>
  <c r="AL4" i="10"/>
  <c r="AL6" i="10" s="1"/>
  <c r="AK4" i="10"/>
  <c r="AK6" i="10" s="1"/>
  <c r="AJ4" i="10"/>
  <c r="AJ6" i="10" s="1"/>
  <c r="AI4" i="10"/>
  <c r="AI6" i="10" s="1"/>
  <c r="AH4" i="10"/>
  <c r="AG4" i="10"/>
  <c r="AF4" i="10"/>
  <c r="AF6" i="10" s="1"/>
  <c r="AE4" i="10"/>
  <c r="AD4" i="10"/>
  <c r="AD6" i="10" s="1"/>
  <c r="AC4" i="10"/>
  <c r="AC6" i="10" s="1"/>
  <c r="AB4" i="10"/>
  <c r="AB6" i="10" s="1"/>
  <c r="AA4" i="10"/>
  <c r="AA6" i="10" s="1"/>
  <c r="Z4" i="10"/>
  <c r="Y4" i="10"/>
  <c r="X4" i="10"/>
  <c r="W4" i="10"/>
  <c r="V4" i="10"/>
  <c r="V6" i="10" s="1"/>
  <c r="U4" i="10"/>
  <c r="U6" i="10" s="1"/>
  <c r="T4" i="10"/>
  <c r="T6" i="10" s="1"/>
  <c r="S4" i="10"/>
  <c r="S6" i="10" s="1"/>
  <c r="R4" i="10"/>
  <c r="Q4" i="10"/>
  <c r="P4" i="10"/>
  <c r="O4" i="10"/>
  <c r="N4" i="10"/>
  <c r="N6" i="10" s="1"/>
  <c r="M4" i="10"/>
  <c r="M6" i="10" s="1"/>
  <c r="L4" i="10"/>
  <c r="L6" i="10" s="1"/>
  <c r="K4" i="10"/>
  <c r="K6" i="10" s="1"/>
  <c r="J4" i="10"/>
  <c r="I4" i="10"/>
  <c r="H4" i="10"/>
  <c r="G4" i="10"/>
  <c r="F4" i="10"/>
  <c r="F6" i="10" s="1"/>
  <c r="E4" i="10"/>
  <c r="E6" i="10" s="1"/>
  <c r="CG3" i="10"/>
  <c r="CE3" i="10"/>
  <c r="BW3" i="10"/>
  <c r="AY3" i="10"/>
  <c r="CJ2" i="10"/>
  <c r="CJ19" i="10" s="1"/>
  <c r="CI2" i="10"/>
  <c r="CH2" i="10"/>
  <c r="CH3" i="10" s="1"/>
  <c r="CG2" i="10"/>
  <c r="CF2" i="10"/>
  <c r="CF3" i="10" s="1"/>
  <c r="CE2" i="10"/>
  <c r="CE19" i="10" s="1"/>
  <c r="CD2" i="10"/>
  <c r="CC2" i="10"/>
  <c r="CB2" i="10"/>
  <c r="CB19" i="10" s="1"/>
  <c r="CA2" i="10"/>
  <c r="BZ2" i="10"/>
  <c r="BZ3" i="10" s="1"/>
  <c r="BY2" i="10"/>
  <c r="BX2" i="10"/>
  <c r="BX19" i="10" s="1"/>
  <c r="BW2" i="10"/>
  <c r="BW19" i="10" s="1"/>
  <c r="BV2" i="10"/>
  <c r="BU2" i="10"/>
  <c r="BT2" i="10"/>
  <c r="BT19" i="10" s="1"/>
  <c r="BS2" i="10"/>
  <c r="BR2" i="10"/>
  <c r="BR3" i="10" s="1"/>
  <c r="BQ2" i="10"/>
  <c r="BP2" i="10"/>
  <c r="BP3" i="10" s="1"/>
  <c r="BO2" i="10"/>
  <c r="BO19" i="10" s="1"/>
  <c r="BN2" i="10"/>
  <c r="BM2" i="10"/>
  <c r="BL2" i="10"/>
  <c r="BL19" i="10" s="1"/>
  <c r="BK2" i="10"/>
  <c r="BJ2" i="10"/>
  <c r="BJ3" i="10" s="1"/>
  <c r="BI2" i="10"/>
  <c r="BH2" i="10"/>
  <c r="BH19" i="10" s="1"/>
  <c r="BG2" i="10"/>
  <c r="BG19" i="10" s="1"/>
  <c r="BF2" i="10"/>
  <c r="BE2" i="10"/>
  <c r="BD2" i="10"/>
  <c r="BC2" i="10"/>
  <c r="BB2" i="10"/>
  <c r="BB3" i="10" s="1"/>
  <c r="BA2" i="10"/>
  <c r="AZ2" i="10"/>
  <c r="AZ19" i="10" s="1"/>
  <c r="AY2" i="10"/>
  <c r="AY19" i="10" s="1"/>
  <c r="AX2" i="10"/>
  <c r="AW2" i="10"/>
  <c r="AV2" i="10"/>
  <c r="AV19" i="10" s="1"/>
  <c r="AU2" i="10"/>
  <c r="AT2" i="10"/>
  <c r="AT3" i="10" s="1"/>
  <c r="AS2" i="10"/>
  <c r="AS5" i="10" s="1"/>
  <c r="AR2" i="10"/>
  <c r="AR19" i="10" s="1"/>
  <c r="AQ2" i="10"/>
  <c r="AQ19" i="10" s="1"/>
  <c r="AP2" i="10"/>
  <c r="AO2" i="10"/>
  <c r="AN2" i="10"/>
  <c r="AN19" i="10" s="1"/>
  <c r="AM2" i="10"/>
  <c r="AL2" i="10"/>
  <c r="AL3" i="10" s="1"/>
  <c r="AK2" i="10"/>
  <c r="AK5" i="10" s="1"/>
  <c r="AJ2" i="10"/>
  <c r="AJ19" i="10" s="1"/>
  <c r="AI2" i="10"/>
  <c r="AI19" i="10" s="1"/>
  <c r="AH2" i="10"/>
  <c r="AG2" i="10"/>
  <c r="AF2" i="10"/>
  <c r="AE2" i="10"/>
  <c r="AD2" i="10"/>
  <c r="AD3" i="10" s="1"/>
  <c r="AC2" i="10"/>
  <c r="AC5" i="10" s="1"/>
  <c r="AB2" i="10"/>
  <c r="AA2" i="10"/>
  <c r="Z2" i="10"/>
  <c r="Y2" i="10"/>
  <c r="X2" i="10"/>
  <c r="W2" i="10"/>
  <c r="V2" i="10"/>
  <c r="V3" i="10" s="1"/>
  <c r="U2" i="10"/>
  <c r="U5" i="10" s="1"/>
  <c r="T2" i="10"/>
  <c r="S2" i="10"/>
  <c r="R2" i="10"/>
  <c r="Q2" i="10"/>
  <c r="P2" i="10"/>
  <c r="O2" i="10"/>
  <c r="N2" i="10"/>
  <c r="N3" i="10" s="1"/>
  <c r="M2" i="10"/>
  <c r="M5" i="10" s="1"/>
  <c r="L2" i="10"/>
  <c r="K2" i="10"/>
  <c r="J2" i="10"/>
  <c r="I2" i="10"/>
  <c r="H2" i="10"/>
  <c r="H19" i="10" s="1"/>
  <c r="G2" i="10"/>
  <c r="F2" i="10"/>
  <c r="F3" i="10" s="1"/>
  <c r="E2" i="10"/>
  <c r="CL12" i="9"/>
  <c r="CL8"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9" i="8"/>
  <c r="BU9" i="8"/>
  <c r="BT9" i="8"/>
  <c r="BS9" i="8"/>
  <c r="BR9" i="8"/>
  <c r="BQ9" i="8"/>
  <c r="BP9" i="8"/>
  <c r="BO9" i="8"/>
  <c r="BN9" i="8"/>
  <c r="BM9" i="8"/>
  <c r="BL9" i="8"/>
  <c r="BK9" i="8"/>
  <c r="BJ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BU8" i="8"/>
  <c r="BT8" i="8"/>
  <c r="BS8" i="8"/>
  <c r="BR8" i="8"/>
  <c r="BQ8" i="8"/>
  <c r="BP8" i="8"/>
  <c r="BO8" i="8"/>
  <c r="BN8" i="8"/>
  <c r="BM8" i="8"/>
  <c r="BL8" i="8"/>
  <c r="BK8" i="8"/>
  <c r="BJ8" i="8"/>
  <c r="BI8" i="8"/>
  <c r="BH8" i="8"/>
  <c r="BG8" i="8"/>
  <c r="BF8" i="8"/>
  <c r="BE8" i="8"/>
  <c r="BD8" i="8"/>
  <c r="BC8" i="8"/>
  <c r="BB8" i="8"/>
  <c r="BA8" i="8"/>
  <c r="AZ8" i="8"/>
  <c r="AY8" i="8"/>
  <c r="AX8" i="8"/>
  <c r="AW8" i="8"/>
  <c r="AV8" i="8"/>
  <c r="AU8" i="8"/>
  <c r="AT8" i="8"/>
  <c r="AS8" i="8"/>
  <c r="AR8"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34" i="7"/>
  <c r="AB82" i="11" s="1"/>
  <c r="AB83" i="11" s="1"/>
  <c r="AA34" i="7"/>
  <c r="AA82" i="11" s="1"/>
  <c r="AA83" i="11" s="1"/>
  <c r="Z34" i="7"/>
  <c r="Z82" i="11" s="1"/>
  <c r="Z83" i="11" s="1"/>
  <c r="Y34" i="7"/>
  <c r="Y82" i="11" s="1"/>
  <c r="Y83" i="11" s="1"/>
  <c r="X34" i="7"/>
  <c r="X82" i="11" s="1"/>
  <c r="X83" i="11" s="1"/>
  <c r="W34" i="7"/>
  <c r="V34" i="7"/>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AB17" i="7"/>
  <c r="AA17" i="7"/>
  <c r="Z17" i="7"/>
  <c r="Y17" i="7"/>
  <c r="X17" i="7"/>
  <c r="W17" i="7"/>
  <c r="V17" i="7"/>
  <c r="U17" i="7"/>
  <c r="T17" i="7"/>
  <c r="S17" i="7"/>
  <c r="R17" i="7"/>
  <c r="Q17" i="7"/>
  <c r="P17" i="7"/>
  <c r="O17" i="7"/>
  <c r="N17" i="7"/>
  <c r="M17" i="7"/>
  <c r="L17" i="7"/>
  <c r="K17" i="7"/>
  <c r="J17" i="7"/>
  <c r="I17" i="7"/>
  <c r="H17" i="7"/>
  <c r="G17" i="7"/>
  <c r="F17" i="7"/>
  <c r="E17" i="7"/>
  <c r="AB12" i="7"/>
  <c r="U12" i="7"/>
  <c r="T12" i="7"/>
  <c r="M12" i="7"/>
  <c r="L12" i="7"/>
  <c r="K12" i="7"/>
  <c r="AB11" i="7"/>
  <c r="AB13" i="7" s="1"/>
  <c r="AA11" i="7"/>
  <c r="Z11" i="7"/>
  <c r="Y11" i="7"/>
  <c r="X11" i="7"/>
  <c r="W11" i="7"/>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D67" i="6"/>
  <c r="CC67" i="6"/>
  <c r="CB67" i="6"/>
  <c r="CA67" i="6"/>
  <c r="BZ67" i="6"/>
  <c r="BY67" i="6"/>
  <c r="BX67" i="6"/>
  <c r="BW67" i="6"/>
  <c r="BV67" i="6"/>
  <c r="BU67" i="6"/>
  <c r="BT67" i="6"/>
  <c r="BS67" i="6"/>
  <c r="BR67" i="6"/>
  <c r="BQ67" i="6"/>
  <c r="BP67" i="6"/>
  <c r="BO67" i="6"/>
  <c r="BN67" i="6"/>
  <c r="BM67" i="6"/>
  <c r="BL67" i="6"/>
  <c r="BK67" i="6"/>
  <c r="BJ67" i="6"/>
  <c r="BI67" i="6"/>
  <c r="BH67" i="6"/>
  <c r="BG67" i="6"/>
  <c r="BF67" i="6"/>
  <c r="BE67" i="6"/>
  <c r="BD67" i="6"/>
  <c r="BC67" i="6"/>
  <c r="BB67" i="6"/>
  <c r="BA67" i="6"/>
  <c r="AZ67" i="6"/>
  <c r="AY67" i="6"/>
  <c r="AX67" i="6"/>
  <c r="AW67" i="6"/>
  <c r="AV67" i="6"/>
  <c r="AU67" i="6"/>
  <c r="AT67" i="6"/>
  <c r="AS67" i="6"/>
  <c r="AR67" i="6"/>
  <c r="AQ67" i="6"/>
  <c r="AP67" i="6"/>
  <c r="AO67" i="6"/>
  <c r="AN67" i="6"/>
  <c r="AM67" i="6"/>
  <c r="AL67" i="6"/>
  <c r="AK67" i="6"/>
  <c r="AJ67" i="6"/>
  <c r="AI67" i="6"/>
  <c r="AH67" i="6"/>
  <c r="AG67" i="6"/>
  <c r="AF67" i="6"/>
  <c r="AE67" i="6"/>
  <c r="AE24" i="6" s="1"/>
  <c r="AD67" i="6"/>
  <c r="AC67" i="6"/>
  <c r="AB67" i="6"/>
  <c r="AA67" i="6"/>
  <c r="Z67" i="6"/>
  <c r="Y67" i="6"/>
  <c r="X67" i="6"/>
  <c r="W67" i="6"/>
  <c r="W24" i="6" s="1"/>
  <c r="V67" i="6"/>
  <c r="U67" i="6"/>
  <c r="T67" i="6"/>
  <c r="S67" i="6"/>
  <c r="R67" i="6"/>
  <c r="Q67" i="6"/>
  <c r="P67" i="6"/>
  <c r="O67" i="6"/>
  <c r="O24" i="6" s="1"/>
  <c r="N67" i="6"/>
  <c r="M67" i="6"/>
  <c r="L67" i="6"/>
  <c r="K67" i="6"/>
  <c r="J67" i="6"/>
  <c r="I67" i="6"/>
  <c r="H67" i="6"/>
  <c r="G67" i="6"/>
  <c r="G24" i="6" s="1"/>
  <c r="G27" i="6" s="1"/>
  <c r="G32" i="10" s="1"/>
  <c r="F67" i="6"/>
  <c r="E67" i="6"/>
  <c r="D67" i="6"/>
  <c r="C67" i="6"/>
  <c r="B67" i="6"/>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J35" i="6"/>
  <c r="CI35" i="6"/>
  <c r="CH35" i="6"/>
  <c r="CG35" i="6"/>
  <c r="CF35" i="6"/>
  <c r="CE35" i="6"/>
  <c r="CD35" i="6"/>
  <c r="CC35" i="6"/>
  <c r="CB35" i="6"/>
  <c r="CA35" i="6"/>
  <c r="BZ35" i="6"/>
  <c r="BY35" i="6"/>
  <c r="BX35" i="6"/>
  <c r="BW35" i="6"/>
  <c r="BV35" i="6"/>
  <c r="BU35" i="6"/>
  <c r="BT35" i="6"/>
  <c r="BS35" i="6"/>
  <c r="BR35" i="6"/>
  <c r="BQ35" i="6"/>
  <c r="BP35" i="6"/>
  <c r="BO35" i="6"/>
  <c r="BN35" i="6"/>
  <c r="BM35" i="6"/>
  <c r="BL35" i="6"/>
  <c r="BK35" i="6"/>
  <c r="BJ35" i="6"/>
  <c r="BI35" i="6"/>
  <c r="BH35" i="6"/>
  <c r="BG35" i="6"/>
  <c r="BF35" i="6"/>
  <c r="BE35" i="6"/>
  <c r="BD35" i="6"/>
  <c r="BC35" i="6"/>
  <c r="BB35" i="6"/>
  <c r="BA35" i="6"/>
  <c r="AZ35" i="6"/>
  <c r="AY35" i="6"/>
  <c r="AX35" i="6"/>
  <c r="AW35" i="6"/>
  <c r="AV35" i="6"/>
  <c r="AU35" i="6"/>
  <c r="AT35" i="6"/>
  <c r="AS35" i="6"/>
  <c r="AR35" i="6"/>
  <c r="AQ35" i="6"/>
  <c r="AP35" i="6"/>
  <c r="AN35" i="6"/>
  <c r="AM35" i="6"/>
  <c r="AL35" i="6"/>
  <c r="AJ35" i="6"/>
  <c r="AI35" i="6"/>
  <c r="AH35" i="6"/>
  <c r="N35" i="6"/>
  <c r="H35" i="6"/>
  <c r="G35" i="6"/>
  <c r="F35" i="6"/>
  <c r="D35" i="6"/>
  <c r="C35" i="6"/>
  <c r="B35" i="6"/>
  <c r="CK29" i="6"/>
  <c r="CJ27" i="6"/>
  <c r="CI27" i="6"/>
  <c r="CI32" i="10" s="1"/>
  <c r="CH27" i="6"/>
  <c r="CH32" i="10" s="1"/>
  <c r="CG27" i="6"/>
  <c r="CG32" i="10" s="1"/>
  <c r="CF27" i="6"/>
  <c r="CF32" i="10" s="1"/>
  <c r="CE27" i="6"/>
  <c r="CE32" i="10" s="1"/>
  <c r="CD27" i="6"/>
  <c r="CD32" i="10" s="1"/>
  <c r="CC27" i="6"/>
  <c r="CC32" i="10" s="1"/>
  <c r="CB27" i="6"/>
  <c r="CA27" i="6"/>
  <c r="CA32" i="10" s="1"/>
  <c r="BZ27" i="6"/>
  <c r="BZ32" i="10" s="1"/>
  <c r="BY27" i="6"/>
  <c r="BY32" i="10" s="1"/>
  <c r="BX27" i="6"/>
  <c r="BX32" i="10" s="1"/>
  <c r="BW27" i="6"/>
  <c r="BW32" i="10" s="1"/>
  <c r="BV27" i="6"/>
  <c r="BV32" i="10" s="1"/>
  <c r="BU27" i="6"/>
  <c r="BU32" i="10" s="1"/>
  <c r="BT27" i="6"/>
  <c r="BS27" i="6"/>
  <c r="BS32" i="10" s="1"/>
  <c r="BR27" i="6"/>
  <c r="BR32" i="10" s="1"/>
  <c r="BQ27" i="6"/>
  <c r="BQ32" i="10" s="1"/>
  <c r="BP27" i="6"/>
  <c r="BP32" i="10" s="1"/>
  <c r="BO27" i="6"/>
  <c r="BO32" i="10" s="1"/>
  <c r="BN27" i="6"/>
  <c r="BN32" i="10" s="1"/>
  <c r="BM27" i="6"/>
  <c r="BM32" i="10" s="1"/>
  <c r="BL27" i="6"/>
  <c r="BK27" i="6"/>
  <c r="BK32" i="10" s="1"/>
  <c r="BJ27" i="6"/>
  <c r="BJ32" i="10" s="1"/>
  <c r="BI27" i="6"/>
  <c r="BI32" i="10" s="1"/>
  <c r="BH27" i="6"/>
  <c r="BH32" i="10" s="1"/>
  <c r="BG27" i="6"/>
  <c r="BG32" i="10" s="1"/>
  <c r="BF27" i="6"/>
  <c r="BF32" i="10" s="1"/>
  <c r="BE27" i="6"/>
  <c r="BE32" i="10" s="1"/>
  <c r="BD27" i="6"/>
  <c r="BC27" i="6"/>
  <c r="BC32" i="10" s="1"/>
  <c r="BB27" i="6"/>
  <c r="BB32" i="10" s="1"/>
  <c r="BA27" i="6"/>
  <c r="BA32" i="10" s="1"/>
  <c r="AZ27" i="6"/>
  <c r="AZ32" i="10" s="1"/>
  <c r="AY27" i="6"/>
  <c r="AY32" i="10" s="1"/>
  <c r="AX27" i="6"/>
  <c r="AX32" i="10" s="1"/>
  <c r="AW27" i="6"/>
  <c r="AW32" i="10" s="1"/>
  <c r="AV27" i="6"/>
  <c r="AU27" i="6"/>
  <c r="AU32" i="10" s="1"/>
  <c r="AT27" i="6"/>
  <c r="AT32" i="10" s="1"/>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E24" i="6"/>
  <c r="CD24" i="6"/>
  <c r="CC24" i="6"/>
  <c r="CB24" i="6"/>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S27" i="6" s="1"/>
  <c r="AS32" i="10" s="1"/>
  <c r="AR24" i="6"/>
  <c r="AR27" i="6" s="1"/>
  <c r="AR32" i="10" s="1"/>
  <c r="AQ24" i="6"/>
  <c r="AQ27" i="6" s="1"/>
  <c r="AQ32" i="10" s="1"/>
  <c r="AP24" i="6"/>
  <c r="AP27" i="6" s="1"/>
  <c r="AP32" i="10" s="1"/>
  <c r="AO24" i="6"/>
  <c r="AN24" i="6"/>
  <c r="AN27" i="6" s="1"/>
  <c r="AM24" i="6"/>
  <c r="AM27" i="6" s="1"/>
  <c r="AM32" i="10" s="1"/>
  <c r="AL24" i="6"/>
  <c r="AL27" i="6" s="1"/>
  <c r="AL32" i="10" s="1"/>
  <c r="AK24" i="6"/>
  <c r="AJ24" i="6"/>
  <c r="AJ27" i="6" s="1"/>
  <c r="AJ32" i="10" s="1"/>
  <c r="AI24" i="6"/>
  <c r="AI27" i="6" s="1"/>
  <c r="AI32" i="10" s="1"/>
  <c r="AH24" i="6"/>
  <c r="AH27" i="6" s="1"/>
  <c r="AH32" i="10" s="1"/>
  <c r="AG24" i="6"/>
  <c r="AF24" i="6"/>
  <c r="AD24" i="6"/>
  <c r="AC24" i="6"/>
  <c r="AB24" i="6"/>
  <c r="AA24" i="6"/>
  <c r="Z24" i="6"/>
  <c r="Y24" i="6"/>
  <c r="X24" i="6"/>
  <c r="V24" i="6"/>
  <c r="U24" i="6"/>
  <c r="T24" i="6"/>
  <c r="S24" i="6"/>
  <c r="R24" i="6"/>
  <c r="Q24" i="6"/>
  <c r="P24" i="6"/>
  <c r="N24" i="6"/>
  <c r="M24" i="6"/>
  <c r="L24" i="6"/>
  <c r="K24" i="6"/>
  <c r="K27" i="6" s="1"/>
  <c r="K32" i="10" s="1"/>
  <c r="J24" i="6"/>
  <c r="I24" i="6"/>
  <c r="H24" i="6"/>
  <c r="H27" i="6" s="1"/>
  <c r="F24" i="6"/>
  <c r="F27" i="6" s="1"/>
  <c r="F32" i="10" s="1"/>
  <c r="E24" i="6"/>
  <c r="D24" i="6"/>
  <c r="D27" i="6" s="1"/>
  <c r="C24" i="6"/>
  <c r="C27" i="6" s="1"/>
  <c r="B24" i="6"/>
  <c r="B27" i="6" s="1"/>
  <c r="CK23" i="6"/>
  <c r="CJ23" i="6"/>
  <c r="CI23" i="6"/>
  <c r="CH23" i="6"/>
  <c r="CG23" i="6"/>
  <c r="CF23" i="6"/>
  <c r="CE23" i="6"/>
  <c r="CD23" i="6"/>
  <c r="CC23" i="6"/>
  <c r="CB23" i="6"/>
  <c r="CA23" i="6"/>
  <c r="BZ23" i="6"/>
  <c r="BY23" i="6"/>
  <c r="BX23" i="6"/>
  <c r="BW23" i="6"/>
  <c r="BV23" i="6"/>
  <c r="BU23" i="6"/>
  <c r="BT23" i="6"/>
  <c r="BS23" i="6"/>
  <c r="BR23" i="6"/>
  <c r="BQ23" i="6"/>
  <c r="BP23" i="6"/>
  <c r="BO23" i="6"/>
  <c r="BN23" i="6"/>
  <c r="BM23" i="6"/>
  <c r="BL23" i="6"/>
  <c r="BK23" i="6"/>
  <c r="BJ23" i="6"/>
  <c r="BI23" i="6"/>
  <c r="BH23" i="6"/>
  <c r="BG23" i="6"/>
  <c r="BF23" i="6"/>
  <c r="BE23" i="6"/>
  <c r="BD23" i="6"/>
  <c r="BC23" i="6"/>
  <c r="BB23" i="6"/>
  <c r="BA23" i="6"/>
  <c r="AZ23" i="6"/>
  <c r="AY23" i="6"/>
  <c r="AX23" i="6"/>
  <c r="AW23" i="6"/>
  <c r="AV23" i="6"/>
  <c r="AU23" i="6"/>
  <c r="AT23" i="6"/>
  <c r="AS23" i="6"/>
  <c r="AR23" i="6"/>
  <c r="AQ23" i="6"/>
  <c r="AP23" i="6"/>
  <c r="AO23" i="6"/>
  <c r="AO35" i="6" s="1"/>
  <c r="AN23" i="6"/>
  <c r="AM23" i="6"/>
  <c r="AL23" i="6"/>
  <c r="AK23" i="6"/>
  <c r="AK35" i="6" s="1"/>
  <c r="AJ23" i="6"/>
  <c r="AI23" i="6"/>
  <c r="AH23" i="6"/>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M23" i="6"/>
  <c r="M35" i="6" s="1"/>
  <c r="L23" i="6"/>
  <c r="L35" i="6" s="1"/>
  <c r="K23" i="6"/>
  <c r="K35" i="6" s="1"/>
  <c r="J23" i="6"/>
  <c r="J35" i="6" s="1"/>
  <c r="I23" i="6"/>
  <c r="I35" i="6" s="1"/>
  <c r="H23" i="6"/>
  <c r="G23" i="6"/>
  <c r="F23" i="6"/>
  <c r="E23" i="6"/>
  <c r="E35" i="6" s="1"/>
  <c r="D23" i="6"/>
  <c r="C23" i="6"/>
  <c r="B23" i="6"/>
  <c r="CK16" i="6"/>
  <c r="CH15" i="6"/>
  <c r="BZ15" i="6"/>
  <c r="BR15" i="6"/>
  <c r="BJ15" i="6"/>
  <c r="BB15" i="6"/>
  <c r="AT15" i="6"/>
  <c r="CJ12" i="6"/>
  <c r="CI12" i="6"/>
  <c r="CH12" i="6"/>
  <c r="CG12" i="6"/>
  <c r="CF12" i="6"/>
  <c r="CE12" i="6"/>
  <c r="CD12" i="6"/>
  <c r="CC12" i="6"/>
  <c r="CB12" i="6"/>
  <c r="CA12" i="6"/>
  <c r="BZ12" i="6"/>
  <c r="BY12" i="6"/>
  <c r="BX12" i="6"/>
  <c r="BW12" i="6"/>
  <c r="BV12"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O18" i="10" s="1"/>
  <c r="AN12" i="6"/>
  <c r="AM12" i="6"/>
  <c r="AL12" i="6"/>
  <c r="AK12" i="6"/>
  <c r="AK18" i="10" s="1"/>
  <c r="AJ12" i="6"/>
  <c r="AI12" i="6"/>
  <c r="AH12" i="6"/>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M12" i="6"/>
  <c r="M18" i="10" s="1"/>
  <c r="L12" i="6"/>
  <c r="L18" i="10" s="1"/>
  <c r="K12" i="6"/>
  <c r="K18" i="10" s="1"/>
  <c r="J12" i="6"/>
  <c r="J18" i="10" s="1"/>
  <c r="I12" i="6"/>
  <c r="I18" i="10" s="1"/>
  <c r="H12" i="6"/>
  <c r="G12" i="6"/>
  <c r="F12" i="6"/>
  <c r="E12" i="6"/>
  <c r="E18" i="10" s="1"/>
  <c r="D12" i="6"/>
  <c r="C12" i="6"/>
  <c r="B12" i="6"/>
  <c r="CK6" i="6"/>
  <c r="CK7" i="10" s="1"/>
  <c r="CK9" i="10" s="1"/>
  <c r="CJ6" i="6"/>
  <c r="CJ7" i="10" s="1"/>
  <c r="CI6" i="6"/>
  <c r="CI7" i="10" s="1"/>
  <c r="CH6" i="6"/>
  <c r="CH7" i="10" s="1"/>
  <c r="CG6" i="6"/>
  <c r="CG7" i="10" s="1"/>
  <c r="CF6" i="6"/>
  <c r="CF7" i="10" s="1"/>
  <c r="CE6" i="6"/>
  <c r="CE7" i="10" s="1"/>
  <c r="CD6" i="6"/>
  <c r="CD7" i="10" s="1"/>
  <c r="CC6" i="6"/>
  <c r="CC7" i="10" s="1"/>
  <c r="CB6" i="6"/>
  <c r="CB7" i="10" s="1"/>
  <c r="CA6" i="6"/>
  <c r="CA7" i="10" s="1"/>
  <c r="BZ6" i="6"/>
  <c r="BZ7" i="10" s="1"/>
  <c r="BY6" i="6"/>
  <c r="BY7" i="10" s="1"/>
  <c r="BX6" i="6"/>
  <c r="BX7" i="10" s="1"/>
  <c r="BW6" i="6"/>
  <c r="BW7" i="10" s="1"/>
  <c r="BV6" i="6"/>
  <c r="BV7" i="10" s="1"/>
  <c r="BU6" i="6"/>
  <c r="BU7" i="10" s="1"/>
  <c r="BT6" i="6"/>
  <c r="BT7" i="10" s="1"/>
  <c r="BS6" i="6"/>
  <c r="BS7" i="10" s="1"/>
  <c r="BR6" i="6"/>
  <c r="BR7" i="10" s="1"/>
  <c r="BQ6" i="6"/>
  <c r="BQ7" i="10" s="1"/>
  <c r="BP6" i="6"/>
  <c r="BP7" i="10" s="1"/>
  <c r="BO6" i="6"/>
  <c r="BO7" i="10" s="1"/>
  <c r="BN6" i="6"/>
  <c r="BN7" i="10" s="1"/>
  <c r="BM6" i="6"/>
  <c r="BM7" i="10" s="1"/>
  <c r="BL6" i="6"/>
  <c r="BL7" i="10" s="1"/>
  <c r="BK6" i="6"/>
  <c r="BK7" i="10" s="1"/>
  <c r="BJ6" i="6"/>
  <c r="BJ7" i="10" s="1"/>
  <c r="BI6" i="6"/>
  <c r="BI7" i="10" s="1"/>
  <c r="BH6" i="6"/>
  <c r="BH7" i="10" s="1"/>
  <c r="BG6" i="6"/>
  <c r="BG7" i="10" s="1"/>
  <c r="BF6" i="6"/>
  <c r="BF7" i="10" s="1"/>
  <c r="BE6" i="6"/>
  <c r="BE7" i="10" s="1"/>
  <c r="BD6" i="6"/>
  <c r="BD7" i="10" s="1"/>
  <c r="BC6" i="6"/>
  <c r="BC7" i="10" s="1"/>
  <c r="BB6" i="6"/>
  <c r="BB7" i="10" s="1"/>
  <c r="BA6" i="6"/>
  <c r="BA7" i="10" s="1"/>
  <c r="AZ6" i="6"/>
  <c r="AZ7" i="10" s="1"/>
  <c r="AY6" i="6"/>
  <c r="AY7" i="10" s="1"/>
  <c r="AX6" i="6"/>
  <c r="AX7" i="10" s="1"/>
  <c r="AW6" i="6"/>
  <c r="AW7" i="10" s="1"/>
  <c r="AV6" i="6"/>
  <c r="AV7" i="10" s="1"/>
  <c r="AU6" i="6"/>
  <c r="AU7" i="10" s="1"/>
  <c r="AT6" i="6"/>
  <c r="AT7" i="10" s="1"/>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J107" i="5"/>
  <c r="CI107" i="5"/>
  <c r="CH107" i="5"/>
  <c r="CG107" i="5"/>
  <c r="CF107" i="5"/>
  <c r="CE107" i="5"/>
  <c r="CD107" i="5"/>
  <c r="CC107" i="5"/>
  <c r="CB107" i="5"/>
  <c r="CA107" i="5"/>
  <c r="BZ107" i="5"/>
  <c r="BY107" i="5"/>
  <c r="BX107" i="5"/>
  <c r="BW107" i="5"/>
  <c r="BV107" i="5"/>
  <c r="BU107" i="5"/>
  <c r="BT107" i="5"/>
  <c r="BS107" i="5"/>
  <c r="BR107" i="5"/>
  <c r="BQ107" i="5"/>
  <c r="BP107" i="5"/>
  <c r="BO107" i="5"/>
  <c r="BN107" i="5"/>
  <c r="BM107" i="5"/>
  <c r="BL107" i="5"/>
  <c r="BK107" i="5"/>
  <c r="BJ107" i="5"/>
  <c r="BI107" i="5"/>
  <c r="BH107" i="5"/>
  <c r="BG107" i="5"/>
  <c r="BF107" i="5"/>
  <c r="BE107" i="5"/>
  <c r="BD107" i="5"/>
  <c r="BC107" i="5"/>
  <c r="BB107" i="5"/>
  <c r="BA107" i="5"/>
  <c r="AZ107" i="5"/>
  <c r="AY107" i="5"/>
  <c r="AX107" i="5"/>
  <c r="AW107" i="5"/>
  <c r="AV107" i="5"/>
  <c r="AU107" i="5"/>
  <c r="AT107" i="5"/>
  <c r="AS107" i="5"/>
  <c r="AR107" i="5"/>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E8" i="8" s="1"/>
  <c r="D107" i="5"/>
  <c r="C107" i="5"/>
  <c r="B107" i="5"/>
  <c r="D89" i="5"/>
  <c r="D108" i="5" s="1"/>
  <c r="C89" i="5"/>
  <c r="C108" i="5" s="1"/>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K72" i="5"/>
  <c r="K10" i="9" s="1"/>
  <c r="J72" i="5"/>
  <c r="I72" i="5"/>
  <c r="H72" i="5"/>
  <c r="H10" i="9" s="1"/>
  <c r="G72" i="5"/>
  <c r="G10" i="9" s="1"/>
  <c r="F72" i="5"/>
  <c r="F10" i="9" s="1"/>
  <c r="E72" i="5"/>
  <c r="CL70" i="5"/>
  <c r="CL9" i="9" s="1"/>
  <c r="CL69" i="5"/>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C31" i="9" s="1"/>
  <c r="CB49" i="5"/>
  <c r="CB6" i="9" s="1"/>
  <c r="CA49" i="5"/>
  <c r="CA6" i="9" s="1"/>
  <c r="BZ49" i="5"/>
  <c r="BZ6" i="9" s="1"/>
  <c r="BY49" i="5"/>
  <c r="BY6" i="9" s="1"/>
  <c r="BX49" i="5"/>
  <c r="BX6" i="9" s="1"/>
  <c r="BW49" i="5"/>
  <c r="BW6" i="9" s="1"/>
  <c r="BV49" i="5"/>
  <c r="BV6" i="9" s="1"/>
  <c r="BU49" i="5"/>
  <c r="BU6" i="9" s="1"/>
  <c r="BU31" i="9" s="1"/>
  <c r="BT49" i="5"/>
  <c r="BT6" i="9" s="1"/>
  <c r="BS49" i="5"/>
  <c r="BS6" i="9" s="1"/>
  <c r="BR49" i="5"/>
  <c r="BR6" i="9" s="1"/>
  <c r="BQ49" i="5"/>
  <c r="BQ6" i="9" s="1"/>
  <c r="BP49" i="5"/>
  <c r="BP6" i="9" s="1"/>
  <c r="BO49" i="5"/>
  <c r="BO6" i="9" s="1"/>
  <c r="BN49" i="5"/>
  <c r="BN6" i="9" s="1"/>
  <c r="BM49" i="5"/>
  <c r="BM6" i="9" s="1"/>
  <c r="BM31" i="9" s="1"/>
  <c r="BL49" i="5"/>
  <c r="BL6" i="9" s="1"/>
  <c r="BK49" i="5"/>
  <c r="BK6" i="9" s="1"/>
  <c r="BJ49" i="5"/>
  <c r="BJ6" i="9" s="1"/>
  <c r="BI49" i="5"/>
  <c r="BI6" i="9" s="1"/>
  <c r="BH49" i="5"/>
  <c r="BH6" i="9" s="1"/>
  <c r="BG49" i="5"/>
  <c r="BG6" i="9" s="1"/>
  <c r="BF49" i="5"/>
  <c r="BF6" i="9" s="1"/>
  <c r="BE49" i="5"/>
  <c r="BE6" i="9" s="1"/>
  <c r="BE31" i="9" s="1"/>
  <c r="BD49" i="5"/>
  <c r="BD6" i="9" s="1"/>
  <c r="BC49" i="5"/>
  <c r="BC6" i="9" s="1"/>
  <c r="BB49" i="5"/>
  <c r="BB6" i="9" s="1"/>
  <c r="BA49" i="5"/>
  <c r="BA6" i="9" s="1"/>
  <c r="AZ49" i="5"/>
  <c r="AZ6" i="9" s="1"/>
  <c r="AY49" i="5"/>
  <c r="AY6" i="9" s="1"/>
  <c r="AX49" i="5"/>
  <c r="AX6" i="9" s="1"/>
  <c r="AW49" i="5"/>
  <c r="AW6" i="9" s="1"/>
  <c r="AW31" i="9" s="1"/>
  <c r="AV49" i="5"/>
  <c r="AV6" i="9" s="1"/>
  <c r="AU49" i="5"/>
  <c r="AU6" i="9" s="1"/>
  <c r="AT49" i="5"/>
  <c r="AT6" i="9" s="1"/>
  <c r="AS49" i="5"/>
  <c r="AS6" i="9" s="1"/>
  <c r="AR49" i="5"/>
  <c r="AR6" i="9" s="1"/>
  <c r="AQ49" i="5"/>
  <c r="AQ6" i="9" s="1"/>
  <c r="AP49" i="5"/>
  <c r="AP6" i="9" s="1"/>
  <c r="AO49" i="5"/>
  <c r="AO6" i="9" s="1"/>
  <c r="AO31"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CA30" i="9" s="1"/>
  <c r="BZ33" i="5"/>
  <c r="BZ5" i="9" s="1"/>
  <c r="BY33" i="5"/>
  <c r="BY5" i="9" s="1"/>
  <c r="BX33" i="5"/>
  <c r="BX5" i="9" s="1"/>
  <c r="BW33" i="5"/>
  <c r="BW5" i="9" s="1"/>
  <c r="BV33" i="5"/>
  <c r="BV5" i="9" s="1"/>
  <c r="BU33" i="5"/>
  <c r="BU5" i="9" s="1"/>
  <c r="BT33" i="5"/>
  <c r="BT5" i="9" s="1"/>
  <c r="BS33" i="5"/>
  <c r="BS5" i="9" s="1"/>
  <c r="BS30" i="9" s="1"/>
  <c r="BR33" i="5"/>
  <c r="BR5" i="9" s="1"/>
  <c r="BQ33" i="5"/>
  <c r="BQ5" i="9" s="1"/>
  <c r="BP33" i="5"/>
  <c r="BP5" i="9" s="1"/>
  <c r="BO33" i="5"/>
  <c r="BO5" i="9" s="1"/>
  <c r="BN33" i="5"/>
  <c r="BN5" i="9" s="1"/>
  <c r="BM33" i="5"/>
  <c r="BM5" i="9" s="1"/>
  <c r="BL33" i="5"/>
  <c r="BL5" i="9" s="1"/>
  <c r="BK33" i="5"/>
  <c r="BK5" i="9" s="1"/>
  <c r="BK30" i="9" s="1"/>
  <c r="BJ33" i="5"/>
  <c r="BJ5" i="9" s="1"/>
  <c r="BI33" i="5"/>
  <c r="BI5" i="9" s="1"/>
  <c r="BH33" i="5"/>
  <c r="BH5" i="9" s="1"/>
  <c r="BG33" i="5"/>
  <c r="BG5" i="9" s="1"/>
  <c r="BF33" i="5"/>
  <c r="BF5" i="9" s="1"/>
  <c r="BE33" i="5"/>
  <c r="BE5" i="9" s="1"/>
  <c r="BD33" i="5"/>
  <c r="BD5" i="9" s="1"/>
  <c r="BC33" i="5"/>
  <c r="BC5" i="9" s="1"/>
  <c r="BC30" i="9" s="1"/>
  <c r="BB33" i="5"/>
  <c r="BB5" i="9" s="1"/>
  <c r="BA33" i="5"/>
  <c r="BA5" i="9" s="1"/>
  <c r="AZ33" i="5"/>
  <c r="AZ5" i="9" s="1"/>
  <c r="AY33" i="5"/>
  <c r="AY5" i="9" s="1"/>
  <c r="AX33" i="5"/>
  <c r="AX5" i="9" s="1"/>
  <c r="AW33" i="5"/>
  <c r="AW5" i="9" s="1"/>
  <c r="AV33" i="5"/>
  <c r="AV5" i="9" s="1"/>
  <c r="AU33" i="5"/>
  <c r="AU5" i="9" s="1"/>
  <c r="AU30"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Q35" i="7" s="1"/>
  <c r="AP17" i="5"/>
  <c r="AP35" i="7" s="1"/>
  <c r="AO17" i="5"/>
  <c r="AO35" i="7" s="1"/>
  <c r="AN17" i="5"/>
  <c r="AN35" i="7" s="1"/>
  <c r="AM17" i="5"/>
  <c r="AM35" i="7" s="1"/>
  <c r="AL17" i="5"/>
  <c r="AL35" i="7" s="1"/>
  <c r="AK17" i="5"/>
  <c r="AK35" i="7" s="1"/>
  <c r="AJ17" i="5"/>
  <c r="AJ35" i="7" s="1"/>
  <c r="AI17" i="5"/>
  <c r="AI35" i="7" s="1"/>
  <c r="AH17" i="5"/>
  <c r="AH35" i="7" s="1"/>
  <c r="AG17" i="5"/>
  <c r="AG35" i="7" s="1"/>
  <c r="AF17" i="5"/>
  <c r="AF35" i="7" s="1"/>
  <c r="AE17" i="5"/>
  <c r="AE35" i="7" s="1"/>
  <c r="AD17" i="5"/>
  <c r="AD35"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D17" i="5"/>
  <c r="C17" i="5"/>
  <c r="B17" i="5"/>
  <c r="C70" i="5" l="1"/>
  <c r="E25" i="12"/>
  <c r="M25" i="12"/>
  <c r="U25" i="12"/>
  <c r="AC25" i="12"/>
  <c r="AK25" i="12"/>
  <c r="AS25" i="12"/>
  <c r="BA25" i="12"/>
  <c r="BI25" i="12"/>
  <c r="BI26" i="12" s="1"/>
  <c r="BI27" i="12" s="1"/>
  <c r="BQ25" i="12"/>
  <c r="BY25" i="12"/>
  <c r="CG25" i="12"/>
  <c r="L27" i="6"/>
  <c r="N27" i="6"/>
  <c r="N32" i="10" s="1"/>
  <c r="K19" i="10"/>
  <c r="P27" i="6"/>
  <c r="P32" i="10" s="1"/>
  <c r="L19" i="10"/>
  <c r="P19" i="10"/>
  <c r="O27" i="6"/>
  <c r="O32" i="10" s="1"/>
  <c r="J27" i="6"/>
  <c r="J32" i="10" s="1"/>
  <c r="F25" i="12"/>
  <c r="N25" i="12"/>
  <c r="V25" i="12"/>
  <c r="AD25" i="12"/>
  <c r="AL25" i="12"/>
  <c r="AL26" i="12" s="1"/>
  <c r="AL27" i="12" s="1"/>
  <c r="AT25" i="12"/>
  <c r="BB25" i="12"/>
  <c r="BJ25" i="12"/>
  <c r="BR25" i="12"/>
  <c r="BZ25" i="12"/>
  <c r="CH25" i="12"/>
  <c r="I25" i="12"/>
  <c r="Q25" i="12"/>
  <c r="Q26" i="12" s="1"/>
  <c r="Q27" i="12" s="1"/>
  <c r="Y25" i="12"/>
  <c r="AG25" i="12"/>
  <c r="AO25" i="12"/>
  <c r="AW25" i="12"/>
  <c r="BE25" i="12"/>
  <c r="BM25" i="12"/>
  <c r="BU25" i="12"/>
  <c r="L12" i="12"/>
  <c r="T12" i="12"/>
  <c r="AB12" i="12"/>
  <c r="AJ12" i="12"/>
  <c r="AJ13" i="12" s="1"/>
  <c r="AR12" i="12"/>
  <c r="AZ12" i="12"/>
  <c r="BH12" i="12"/>
  <c r="BP12" i="12"/>
  <c r="BP13" i="12" s="1"/>
  <c r="BX12" i="12"/>
  <c r="CF12" i="12"/>
  <c r="G12" i="12"/>
  <c r="O12" i="12"/>
  <c r="O13" i="12" s="1"/>
  <c r="W12" i="12"/>
  <c r="AE12" i="12"/>
  <c r="AM12" i="12"/>
  <c r="AU12" i="12"/>
  <c r="AU13" i="12" s="1"/>
  <c r="BC12" i="12"/>
  <c r="BK12" i="12"/>
  <c r="BS12" i="12"/>
  <c r="CA12" i="12"/>
  <c r="CI12" i="12"/>
  <c r="K13" i="7"/>
  <c r="L13" i="7"/>
  <c r="T13" i="7"/>
  <c r="AN7" i="10"/>
  <c r="AN7" i="6"/>
  <c r="AO7" i="10"/>
  <c r="AO7" i="6"/>
  <c r="AP7" i="10"/>
  <c r="AP7" i="6"/>
  <c r="AQ7" i="10"/>
  <c r="AQ7" i="6"/>
  <c r="AR7" i="10"/>
  <c r="AR7" i="6"/>
  <c r="AK7" i="10"/>
  <c r="AK7" i="6"/>
  <c r="AS7" i="10"/>
  <c r="AS7" i="6"/>
  <c r="AL7" i="10"/>
  <c r="AL7" i="6"/>
  <c r="AM7" i="10"/>
  <c r="AM7" i="6"/>
  <c r="H7" i="10"/>
  <c r="H7" i="6"/>
  <c r="P7" i="10"/>
  <c r="P7" i="6"/>
  <c r="X7" i="10"/>
  <c r="X7" i="6"/>
  <c r="AF7" i="10"/>
  <c r="AF7" i="6"/>
  <c r="I7" i="10"/>
  <c r="I7" i="6"/>
  <c r="Q7" i="10"/>
  <c r="Q7" i="6"/>
  <c r="Y7" i="10"/>
  <c r="Y7" i="6"/>
  <c r="AG7" i="10"/>
  <c r="AG7" i="6"/>
  <c r="J7" i="10"/>
  <c r="J7" i="6"/>
  <c r="R7" i="10"/>
  <c r="R7" i="6"/>
  <c r="Z7" i="10"/>
  <c r="Z7" i="6"/>
  <c r="AH7" i="10"/>
  <c r="AH7" i="6"/>
  <c r="K7" i="10"/>
  <c r="K7" i="6"/>
  <c r="S7" i="10"/>
  <c r="S7" i="6"/>
  <c r="AA7" i="10"/>
  <c r="AA7" i="6"/>
  <c r="AI7" i="10"/>
  <c r="AI7" i="6"/>
  <c r="L7" i="10"/>
  <c r="L7" i="6"/>
  <c r="T7" i="10"/>
  <c r="T7" i="6"/>
  <c r="AB7" i="10"/>
  <c r="AB7" i="6"/>
  <c r="AJ7" i="10"/>
  <c r="AJ7" i="6"/>
  <c r="E7" i="10"/>
  <c r="E7" i="6"/>
  <c r="M7" i="10"/>
  <c r="M7" i="6"/>
  <c r="U7" i="10"/>
  <c r="U7" i="6"/>
  <c r="AC7" i="10"/>
  <c r="AC7" i="6"/>
  <c r="E5" i="10"/>
  <c r="E26" i="10"/>
  <c r="F7" i="10"/>
  <c r="F7" i="6"/>
  <c r="N7" i="10"/>
  <c r="N7" i="6"/>
  <c r="V7" i="10"/>
  <c r="V7" i="6"/>
  <c r="AD7" i="10"/>
  <c r="AD7" i="6"/>
  <c r="G7" i="10"/>
  <c r="G7" i="6"/>
  <c r="O7" i="10"/>
  <c r="O7" i="6"/>
  <c r="W7" i="10"/>
  <c r="W7" i="6"/>
  <c r="AE7" i="10"/>
  <c r="AE7" i="6"/>
  <c r="H28" i="11"/>
  <c r="P28" i="11"/>
  <c r="X28" i="11"/>
  <c r="AF28" i="11"/>
  <c r="AN28" i="11"/>
  <c r="M22" i="9"/>
  <c r="I22" i="9"/>
  <c r="I23" i="9"/>
  <c r="M23" i="9"/>
  <c r="AC31" i="12"/>
  <c r="Y31" i="12"/>
  <c r="U31" i="12"/>
  <c r="K25" i="12"/>
  <c r="K26" i="12" s="1"/>
  <c r="K27" i="12" s="1"/>
  <c r="S25" i="12"/>
  <c r="S26" i="12" s="1"/>
  <c r="S27" i="12" s="1"/>
  <c r="E12" i="12"/>
  <c r="M12" i="12"/>
  <c r="M13" i="12" s="1"/>
  <c r="U12" i="12"/>
  <c r="AC12" i="12"/>
  <c r="AK12" i="12"/>
  <c r="AS12" i="12"/>
  <c r="AS13" i="12" s="1"/>
  <c r="BA12" i="12"/>
  <c r="BI12" i="12"/>
  <c r="BQ12" i="12"/>
  <c r="BY12" i="12"/>
  <c r="BY13" i="12" s="1"/>
  <c r="CG12" i="12"/>
  <c r="CF28" i="11"/>
  <c r="H12" i="12"/>
  <c r="P12" i="12"/>
  <c r="P13" i="12" s="1"/>
  <c r="X12" i="12"/>
  <c r="AF12" i="12"/>
  <c r="AN12" i="12"/>
  <c r="AV12" i="12"/>
  <c r="AV13" i="12" s="1"/>
  <c r="BD12" i="12"/>
  <c r="BL12" i="12"/>
  <c r="BT12" i="12"/>
  <c r="CB12" i="12"/>
  <c r="CB13" i="12" s="1"/>
  <c r="CJ12" i="12"/>
  <c r="E19" i="7"/>
  <c r="E21" i="7" s="1"/>
  <c r="M19" i="7"/>
  <c r="M21" i="7" s="1"/>
  <c r="U19" i="7"/>
  <c r="U21" i="7" s="1"/>
  <c r="B50" i="5"/>
  <c r="B69" i="5" s="1"/>
  <c r="B70" i="5" s="1"/>
  <c r="G12" i="7"/>
  <c r="G13" i="7" s="1"/>
  <c r="O12" i="7"/>
  <c r="O13" i="7" s="1"/>
  <c r="W12" i="7"/>
  <c r="W13" i="7" s="1"/>
  <c r="F19" i="7"/>
  <c r="F21" i="7" s="1"/>
  <c r="N19" i="7"/>
  <c r="N21" i="7" s="1"/>
  <c r="V19" i="7"/>
  <c r="V21" i="7" s="1"/>
  <c r="P12" i="7"/>
  <c r="P13" i="7" s="1"/>
  <c r="H12" i="7"/>
  <c r="H13" i="7" s="1"/>
  <c r="X12" i="7"/>
  <c r="X13" i="7" s="1"/>
  <c r="E12" i="7"/>
  <c r="AD27" i="6"/>
  <c r="AD32" i="10" s="1"/>
  <c r="AE27" i="6"/>
  <c r="AE32" i="10" s="1"/>
  <c r="AF27" i="6"/>
  <c r="AF19" i="10"/>
  <c r="N12" i="7"/>
  <c r="F12" i="7"/>
  <c r="V12" i="7"/>
  <c r="I12" i="7"/>
  <c r="I13" i="7" s="1"/>
  <c r="M82" i="11"/>
  <c r="M83" i="11" s="1"/>
  <c r="Q12" i="7"/>
  <c r="Q13" i="7" s="1"/>
  <c r="U82" i="11"/>
  <c r="U83" i="11" s="1"/>
  <c r="Y12" i="7"/>
  <c r="Y13" i="7" s="1"/>
  <c r="AC82" i="11"/>
  <c r="AC83" i="11" s="1"/>
  <c r="J12" i="7"/>
  <c r="J13" i="7" s="1"/>
  <c r="N82" i="11"/>
  <c r="N83" i="11" s="1"/>
  <c r="R12" i="7"/>
  <c r="R13" i="7" s="1"/>
  <c r="V82" i="11"/>
  <c r="V83" i="11" s="1"/>
  <c r="Z12" i="7"/>
  <c r="Z13" i="7" s="1"/>
  <c r="AD82" i="11"/>
  <c r="AD83" i="11" s="1"/>
  <c r="S12" i="7"/>
  <c r="S13" i="7" s="1"/>
  <c r="W82" i="11"/>
  <c r="W83" i="11" s="1"/>
  <c r="AA12" i="7"/>
  <c r="AA13" i="7"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Q27" i="6"/>
  <c r="Q32" i="10" s="1"/>
  <c r="Y27" i="6"/>
  <c r="Y32" i="10" s="1"/>
  <c r="M27" i="6"/>
  <c r="M32" i="10" s="1"/>
  <c r="I27" i="6"/>
  <c r="E27" i="6"/>
  <c r="E32" i="10" s="1"/>
  <c r="E11" i="7"/>
  <c r="M11" i="7"/>
  <c r="M13" i="7" s="1"/>
  <c r="U11" i="7"/>
  <c r="U13" i="7" s="1"/>
  <c r="G19" i="7"/>
  <c r="G21" i="7" s="1"/>
  <c r="O19" i="7"/>
  <c r="O21" i="7" s="1"/>
  <c r="W19" i="7"/>
  <c r="W21" i="7" s="1"/>
  <c r="F11" i="7"/>
  <c r="N11" i="7"/>
  <c r="V11" i="7"/>
  <c r="H19" i="7"/>
  <c r="H21" i="7" s="1"/>
  <c r="P19" i="7"/>
  <c r="P21" i="7" s="1"/>
  <c r="X19" i="7"/>
  <c r="X21" i="7" s="1"/>
  <c r="I19" i="7"/>
  <c r="I21" i="7" s="1"/>
  <c r="Q19" i="7"/>
  <c r="Q21" i="7" s="1"/>
  <c r="Y19" i="7"/>
  <c r="Y21" i="7" s="1"/>
  <c r="J19" i="7"/>
  <c r="J21" i="7" s="1"/>
  <c r="R19" i="7"/>
  <c r="R21" i="7" s="1"/>
  <c r="Z19" i="7"/>
  <c r="Z21" i="7" s="1"/>
  <c r="K19" i="7"/>
  <c r="K21" i="7" s="1"/>
  <c r="S19" i="7"/>
  <c r="S21" i="7" s="1"/>
  <c r="AA19" i="7"/>
  <c r="AA21" i="7" s="1"/>
  <c r="L19" i="7"/>
  <c r="L21" i="7" s="1"/>
  <c r="T19" i="7"/>
  <c r="T21" i="7" s="1"/>
  <c r="AB19" i="7"/>
  <c r="AB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T9" i="10"/>
  <c r="T8" i="10"/>
  <c r="CF9" i="10"/>
  <c r="CF8" i="10"/>
  <c r="AT28" i="10"/>
  <c r="AT31" i="6"/>
  <c r="E9" i="10"/>
  <c r="E8" i="10"/>
  <c r="M9" i="10"/>
  <c r="M8" i="10"/>
  <c r="U9" i="10"/>
  <c r="U8" i="10"/>
  <c r="AC9" i="10"/>
  <c r="AC8" i="10"/>
  <c r="AK9" i="10"/>
  <c r="AK8" i="10"/>
  <c r="AS9" i="10"/>
  <c r="AS8" i="10"/>
  <c r="BA9" i="10"/>
  <c r="BA8" i="10"/>
  <c r="BQ9" i="10"/>
  <c r="BQ8" i="10"/>
  <c r="BY9" i="10"/>
  <c r="BY8" i="10"/>
  <c r="CG9" i="10"/>
  <c r="CG8" i="10"/>
  <c r="G15" i="6"/>
  <c r="G20" i="11" s="1"/>
  <c r="G21" i="11" s="1"/>
  <c r="O15" i="6"/>
  <c r="O20" i="11" s="1"/>
  <c r="O21" i="11" s="1"/>
  <c r="W15" i="6"/>
  <c r="W20" i="11" s="1"/>
  <c r="W21" i="11" s="1"/>
  <c r="AE15" i="6"/>
  <c r="AE20" i="11" s="1"/>
  <c r="AE21" i="11" s="1"/>
  <c r="AM15" i="6"/>
  <c r="AM20" i="11" s="1"/>
  <c r="AM21" i="11" s="1"/>
  <c r="AU15" i="6"/>
  <c r="BC15" i="6"/>
  <c r="BK15" i="6"/>
  <c r="BS15" i="6"/>
  <c r="CA15" i="6"/>
  <c r="CI15" i="6"/>
  <c r="L9" i="10"/>
  <c r="L8" i="10"/>
  <c r="BP9" i="10"/>
  <c r="BP8" i="10"/>
  <c r="BR28" i="10"/>
  <c r="BR31" i="6"/>
  <c r="F8" i="10"/>
  <c r="F9" i="10"/>
  <c r="N8" i="10"/>
  <c r="N9" i="10"/>
  <c r="V8" i="10"/>
  <c r="V9" i="10"/>
  <c r="AD8" i="10"/>
  <c r="AD9" i="10"/>
  <c r="AL8" i="10"/>
  <c r="AL9" i="10"/>
  <c r="AT8" i="10"/>
  <c r="AT9" i="10"/>
  <c r="BB8" i="10"/>
  <c r="BB9" i="10"/>
  <c r="BJ8" i="10"/>
  <c r="BJ9" i="10"/>
  <c r="BR8" i="10"/>
  <c r="BR9" i="10"/>
  <c r="BZ8" i="10"/>
  <c r="BZ9" i="10"/>
  <c r="CH8" i="10"/>
  <c r="CH9" i="10"/>
  <c r="H15" i="6"/>
  <c r="H20" i="11" s="1"/>
  <c r="H21" i="11" s="1"/>
  <c r="P15" i="6"/>
  <c r="P20" i="11" s="1"/>
  <c r="P21" i="11" s="1"/>
  <c r="X15" i="6"/>
  <c r="X20" i="11" s="1"/>
  <c r="X21" i="11" s="1"/>
  <c r="AF15" i="6"/>
  <c r="AF20" i="11" s="1"/>
  <c r="AF21" i="11" s="1"/>
  <c r="AN15" i="6"/>
  <c r="AN20" i="11" s="1"/>
  <c r="AN21" i="11" s="1"/>
  <c r="AV15" i="6"/>
  <c r="BD15" i="6"/>
  <c r="BL15" i="6"/>
  <c r="BT15" i="6"/>
  <c r="CB15" i="6"/>
  <c r="CJ15" i="6"/>
  <c r="AZ9" i="10"/>
  <c r="AZ8" i="10"/>
  <c r="BZ28" i="10"/>
  <c r="BZ31" i="6"/>
  <c r="L32" i="10"/>
  <c r="G8" i="10"/>
  <c r="G9" i="10"/>
  <c r="O8" i="10"/>
  <c r="O9" i="10"/>
  <c r="W8" i="10"/>
  <c r="W9" i="10"/>
  <c r="AE8" i="10"/>
  <c r="AE9" i="10"/>
  <c r="AM8" i="10"/>
  <c r="AM9" i="10"/>
  <c r="AU8" i="10"/>
  <c r="AU9" i="10"/>
  <c r="BC8" i="10"/>
  <c r="BC9" i="10"/>
  <c r="BK8" i="10"/>
  <c r="BK9" i="10"/>
  <c r="BS8" i="10"/>
  <c r="BS9" i="10"/>
  <c r="CA8" i="10"/>
  <c r="CA9" i="10"/>
  <c r="CI8" i="10"/>
  <c r="CI9" i="10"/>
  <c r="I15" i="6"/>
  <c r="I20" i="11" s="1"/>
  <c r="I21" i="11" s="1"/>
  <c r="Q15" i="6"/>
  <c r="Q20" i="11" s="1"/>
  <c r="Q21" i="11" s="1"/>
  <c r="Y15" i="6"/>
  <c r="Y20" i="11" s="1"/>
  <c r="Y21" i="11" s="1"/>
  <c r="AG15" i="6"/>
  <c r="AG20" i="11" s="1"/>
  <c r="AG21" i="11" s="1"/>
  <c r="AO15" i="6"/>
  <c r="AO20" i="11" s="1"/>
  <c r="AO21" i="11" s="1"/>
  <c r="AW15" i="6"/>
  <c r="BE15" i="6"/>
  <c r="BM15" i="6"/>
  <c r="BU15" i="6"/>
  <c r="CC15" i="6"/>
  <c r="AR9" i="10"/>
  <c r="AR8" i="10"/>
  <c r="CH28" i="10"/>
  <c r="CH31" i="6"/>
  <c r="H8" i="10"/>
  <c r="H9" i="10"/>
  <c r="P8" i="10"/>
  <c r="P9" i="10"/>
  <c r="X8" i="10"/>
  <c r="X9" i="10"/>
  <c r="AF8" i="10"/>
  <c r="AF9" i="10"/>
  <c r="AN8" i="10"/>
  <c r="AN9" i="10"/>
  <c r="AV8" i="10"/>
  <c r="AV9" i="10"/>
  <c r="BD8" i="10"/>
  <c r="BD9" i="10"/>
  <c r="BL8" i="10"/>
  <c r="BL9" i="10"/>
  <c r="BT8" i="10"/>
  <c r="BT9" i="10"/>
  <c r="CB8" i="10"/>
  <c r="CB9" i="10"/>
  <c r="CJ8" i="10"/>
  <c r="CJ9" i="10"/>
  <c r="B15" i="6"/>
  <c r="J15" i="6"/>
  <c r="J20" i="11" s="1"/>
  <c r="J21" i="11" s="1"/>
  <c r="R15" i="6"/>
  <c r="R20" i="11" s="1"/>
  <c r="R21" i="11" s="1"/>
  <c r="Z15" i="6"/>
  <c r="Z20" i="11" s="1"/>
  <c r="Z21" i="11" s="1"/>
  <c r="AH15" i="6"/>
  <c r="AH20" i="11" s="1"/>
  <c r="AH21" i="11" s="1"/>
  <c r="AP15" i="6"/>
  <c r="AP20" i="11" s="1"/>
  <c r="AP21" i="11" s="1"/>
  <c r="AX15" i="6"/>
  <c r="BF15" i="6"/>
  <c r="BN15" i="6"/>
  <c r="BV15" i="6"/>
  <c r="CD15" i="6"/>
  <c r="H32" i="10"/>
  <c r="X32" i="10"/>
  <c r="AF32" i="10"/>
  <c r="AN32" i="10"/>
  <c r="AV32" i="10"/>
  <c r="BD32" i="10"/>
  <c r="BL32" i="10"/>
  <c r="BT32" i="10"/>
  <c r="CB32" i="10"/>
  <c r="CJ32" i="10"/>
  <c r="AB9" i="10"/>
  <c r="AB8" i="10"/>
  <c r="BX9" i="10"/>
  <c r="BX8" i="10"/>
  <c r="BB28" i="10"/>
  <c r="BB31" i="6"/>
  <c r="I8" i="10"/>
  <c r="I9" i="10"/>
  <c r="Q8" i="10"/>
  <c r="Q9" i="10"/>
  <c r="Y8" i="10"/>
  <c r="Y9" i="10"/>
  <c r="AG8" i="10"/>
  <c r="AG9" i="10"/>
  <c r="AO8" i="10"/>
  <c r="AO9" i="10"/>
  <c r="AW8" i="10"/>
  <c r="AW9" i="10"/>
  <c r="BE8" i="10"/>
  <c r="BE9" i="10"/>
  <c r="BM8" i="10"/>
  <c r="BM9" i="10"/>
  <c r="BU8" i="10"/>
  <c r="BU9" i="10"/>
  <c r="CC8" i="10"/>
  <c r="CC9" i="10"/>
  <c r="C15" i="6"/>
  <c r="K15" i="6"/>
  <c r="K20" i="11" s="1"/>
  <c r="K21" i="11" s="1"/>
  <c r="S15" i="6"/>
  <c r="S20" i="11" s="1"/>
  <c r="S21" i="11" s="1"/>
  <c r="AA15" i="6"/>
  <c r="AA20" i="11" s="1"/>
  <c r="AA21" i="11" s="1"/>
  <c r="AI15" i="6"/>
  <c r="AI20" i="11" s="1"/>
  <c r="AI21" i="11" s="1"/>
  <c r="AQ15" i="6"/>
  <c r="AQ20" i="11" s="1"/>
  <c r="AQ21" i="11" s="1"/>
  <c r="AY15" i="6"/>
  <c r="BG15" i="6"/>
  <c r="BO15" i="6"/>
  <c r="BW15" i="6"/>
  <c r="CE15" i="6"/>
  <c r="I32" i="10"/>
  <c r="J9" i="10"/>
  <c r="J8" i="10"/>
  <c r="R9" i="10"/>
  <c r="R8" i="10"/>
  <c r="Z9" i="10"/>
  <c r="Z8" i="10"/>
  <c r="AH9" i="10"/>
  <c r="AH8" i="10"/>
  <c r="AP9" i="10"/>
  <c r="AP8" i="10"/>
  <c r="AX9" i="10"/>
  <c r="AX8" i="10"/>
  <c r="BF9" i="10"/>
  <c r="BF8" i="10"/>
  <c r="BN9" i="10"/>
  <c r="BN8" i="10"/>
  <c r="BV9" i="10"/>
  <c r="BV8" i="10"/>
  <c r="CD9" i="10"/>
  <c r="CD8" i="10"/>
  <c r="D15" i="6"/>
  <c r="L15" i="6"/>
  <c r="L20" i="11" s="1"/>
  <c r="L21" i="11" s="1"/>
  <c r="T15" i="6"/>
  <c r="T20" i="11" s="1"/>
  <c r="T21" i="11" s="1"/>
  <c r="AB15" i="6"/>
  <c r="AB20" i="11" s="1"/>
  <c r="AB21" i="11" s="1"/>
  <c r="AJ15" i="6"/>
  <c r="AJ20" i="11" s="1"/>
  <c r="AJ21" i="11" s="1"/>
  <c r="AR15" i="6"/>
  <c r="AR20" i="11" s="1"/>
  <c r="AR21" i="11" s="1"/>
  <c r="AR24" i="11" s="1"/>
  <c r="AZ15" i="6"/>
  <c r="BH15" i="6"/>
  <c r="BP15" i="6"/>
  <c r="BX15" i="6"/>
  <c r="CF15" i="6"/>
  <c r="AJ9" i="10"/>
  <c r="AJ8" i="10"/>
  <c r="BH9" i="10"/>
  <c r="BH8" i="10"/>
  <c r="BJ28" i="10"/>
  <c r="BJ31" i="6"/>
  <c r="K9" i="10"/>
  <c r="K8" i="10"/>
  <c r="S9" i="10"/>
  <c r="S8" i="10"/>
  <c r="AA9" i="10"/>
  <c r="AA8" i="10"/>
  <c r="AI9" i="10"/>
  <c r="AI8" i="10"/>
  <c r="AQ9" i="10"/>
  <c r="AQ8" i="10"/>
  <c r="AY9" i="10"/>
  <c r="AY8" i="10"/>
  <c r="BG9" i="10"/>
  <c r="BG8" i="10"/>
  <c r="BO9" i="10"/>
  <c r="BO8" i="10"/>
  <c r="BW9" i="10"/>
  <c r="BW8" i="10"/>
  <c r="CE9" i="10"/>
  <c r="CE8" i="10"/>
  <c r="E15" i="6"/>
  <c r="E20" i="11" s="1"/>
  <c r="E21" i="11" s="1"/>
  <c r="M15" i="6"/>
  <c r="M20" i="11" s="1"/>
  <c r="M21" i="11" s="1"/>
  <c r="U15" i="6"/>
  <c r="U20" i="11" s="1"/>
  <c r="U21" i="11" s="1"/>
  <c r="AC15" i="6"/>
  <c r="AC20" i="11" s="1"/>
  <c r="AC21" i="11" s="1"/>
  <c r="AK15" i="6"/>
  <c r="AK20" i="11" s="1"/>
  <c r="AK21" i="11" s="1"/>
  <c r="AS15" i="6"/>
  <c r="AS20" i="11" s="1"/>
  <c r="AS21" i="11" s="1"/>
  <c r="AS24" i="11" s="1"/>
  <c r="BA15" i="6"/>
  <c r="BI15" i="6"/>
  <c r="BQ15" i="6"/>
  <c r="BY15" i="6"/>
  <c r="CG15" i="6"/>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BW74" i="11" s="1"/>
  <c r="CE69" i="11"/>
  <c r="CE70" i="11" s="1"/>
  <c r="L69" i="11"/>
  <c r="L70" i="11" s="1"/>
  <c r="AB69" i="11"/>
  <c r="AB70" i="11" s="1"/>
  <c r="AB74" i="11" s="1"/>
  <c r="AJ69" i="11"/>
  <c r="AJ70" i="11" s="1"/>
  <c r="AR69" i="11"/>
  <c r="AR70" i="11" s="1"/>
  <c r="AR74" i="11" s="1"/>
  <c r="AZ69" i="11"/>
  <c r="AZ70" i="11" s="1"/>
  <c r="BH69" i="11"/>
  <c r="BH70" i="11" s="1"/>
  <c r="BP69" i="11"/>
  <c r="BP70" i="11" s="1"/>
  <c r="BP74"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L74" i="11" s="1"/>
  <c r="AT69" i="11"/>
  <c r="AT70" i="11" s="1"/>
  <c r="AT74" i="11" s="1"/>
  <c r="AT75" i="11" s="1"/>
  <c r="BB69" i="11"/>
  <c r="BB70" i="11" s="1"/>
  <c r="BB74" i="11" s="1"/>
  <c r="BB75" i="11" s="1"/>
  <c r="BJ69" i="11"/>
  <c r="BJ70" i="11" s="1"/>
  <c r="BR69" i="11"/>
  <c r="BR70" i="11" s="1"/>
  <c r="BZ69" i="11"/>
  <c r="BZ70" i="11" s="1"/>
  <c r="CH69" i="11"/>
  <c r="CH70" i="11" s="1"/>
  <c r="AY74" i="11"/>
  <c r="BG74" i="11"/>
  <c r="BO74" i="11"/>
  <c r="CE74" i="11"/>
  <c r="AM69" i="11"/>
  <c r="AM70" i="11" s="1"/>
  <c r="AU69" i="11"/>
  <c r="AU70" i="11" s="1"/>
  <c r="AU74" i="11" s="1"/>
  <c r="BC69" i="11"/>
  <c r="BC70" i="11" s="1"/>
  <c r="BC74" i="11" s="1"/>
  <c r="BK69" i="11"/>
  <c r="BK70" i="11" s="1"/>
  <c r="BK74" i="11" s="1"/>
  <c r="BS69" i="11"/>
  <c r="BS70" i="11" s="1"/>
  <c r="BS74" i="11" s="1"/>
  <c r="CA69" i="11"/>
  <c r="CA70" i="11" s="1"/>
  <c r="CA74" i="11" s="1"/>
  <c r="CI69" i="11"/>
  <c r="CI70" i="11" s="1"/>
  <c r="CI74" i="11" s="1"/>
  <c r="AZ74" i="11"/>
  <c r="BX74" i="11"/>
  <c r="CF74" i="11"/>
  <c r="H69" i="11"/>
  <c r="H70" i="11" s="1"/>
  <c r="P69" i="11"/>
  <c r="P70" i="11" s="1"/>
  <c r="X69" i="11"/>
  <c r="X70" i="11" s="1"/>
  <c r="AF69" i="11"/>
  <c r="AF70" i="11" s="1"/>
  <c r="AN69" i="11"/>
  <c r="AN70" i="11" s="1"/>
  <c r="AN74" i="11" s="1"/>
  <c r="AV69" i="11"/>
  <c r="AV70" i="11" s="1"/>
  <c r="AV74" i="11" s="1"/>
  <c r="BD69" i="11"/>
  <c r="BD70" i="11" s="1"/>
  <c r="BD74" i="11" s="1"/>
  <c r="BL69" i="11"/>
  <c r="BL70" i="11" s="1"/>
  <c r="BL74" i="11" s="1"/>
  <c r="BT69" i="11"/>
  <c r="BT70" i="11" s="1"/>
  <c r="BT74" i="11" s="1"/>
  <c r="CB69" i="11"/>
  <c r="CB70" i="11" s="1"/>
  <c r="CB74" i="11" s="1"/>
  <c r="CJ69" i="11"/>
  <c r="CJ70" i="11" s="1"/>
  <c r="CJ74" i="11" s="1"/>
  <c r="I69" i="11"/>
  <c r="I70" i="11" s="1"/>
  <c r="Q69" i="11"/>
  <c r="Q70" i="11" s="1"/>
  <c r="Y69" i="11"/>
  <c r="Y70" i="11" s="1"/>
  <c r="AG69" i="11"/>
  <c r="AG70" i="11" s="1"/>
  <c r="AO69" i="11"/>
  <c r="AO70" i="11" s="1"/>
  <c r="AW69" i="11"/>
  <c r="AW70" i="11" s="1"/>
  <c r="AW74" i="11" s="1"/>
  <c r="BE69" i="11"/>
  <c r="BE70" i="11" s="1"/>
  <c r="BE74" i="11" s="1"/>
  <c r="BM69" i="11"/>
  <c r="BM70" i="11" s="1"/>
  <c r="BM74" i="11" s="1"/>
  <c r="BU69" i="11"/>
  <c r="BU70" i="11" s="1"/>
  <c r="BU74" i="11" s="1"/>
  <c r="CC69" i="11"/>
  <c r="CC70" i="11" s="1"/>
  <c r="CC74" i="11" s="1"/>
  <c r="BJ74" i="11"/>
  <c r="BR74" i="11"/>
  <c r="BZ74" i="11"/>
  <c r="CH74" i="1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S74" i="11" s="1"/>
  <c r="AA65" i="11"/>
  <c r="AA66" i="11" s="1"/>
  <c r="AA74" i="11" s="1"/>
  <c r="AQ65" i="11"/>
  <c r="AQ66" i="11" s="1"/>
  <c r="AQ74" i="11" s="1"/>
  <c r="AE65" i="11"/>
  <c r="AE66" i="11" s="1"/>
  <c r="AM65" i="11"/>
  <c r="AM66" i="11" s="1"/>
  <c r="AM74"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2" i="9"/>
  <c r="X35" i="7"/>
  <c r="T22" i="7" s="1"/>
  <c r="T23" i="7" s="1"/>
  <c r="AG54" i="11"/>
  <c r="AG55" i="11" s="1"/>
  <c r="AG2" i="9"/>
  <c r="J54" i="11"/>
  <c r="J55" i="11" s="1"/>
  <c r="J2" i="9"/>
  <c r="J35" i="7"/>
  <c r="F22" i="7" s="1"/>
  <c r="F23" i="7" s="1"/>
  <c r="R54" i="11"/>
  <c r="R2" i="9"/>
  <c r="R35" i="7"/>
  <c r="N22" i="7" s="1"/>
  <c r="N23" i="7" s="1"/>
  <c r="Z54" i="11"/>
  <c r="Z55" i="11" s="1"/>
  <c r="Z2" i="9"/>
  <c r="V22" i="7"/>
  <c r="V23" i="7" s="1"/>
  <c r="AH54" i="11"/>
  <c r="AH55" i="11" s="1"/>
  <c r="AH2" i="9"/>
  <c r="AP54" i="11"/>
  <c r="AP55" i="11" s="1"/>
  <c r="AP2" i="9"/>
  <c r="AX54" i="11"/>
  <c r="AX2" i="9"/>
  <c r="AT25" i="9" s="1"/>
  <c r="BF54" i="11"/>
  <c r="BF2" i="9"/>
  <c r="BN54" i="11"/>
  <c r="BN2" i="9"/>
  <c r="BN25" i="9" s="1"/>
  <c r="BV54" i="11"/>
  <c r="BV2" i="9"/>
  <c r="CD54" i="11"/>
  <c r="CD2" i="9"/>
  <c r="J50" i="5"/>
  <c r="J22" i="11" s="1"/>
  <c r="J23" i="11" s="1"/>
  <c r="J24" i="11" s="1"/>
  <c r="R50" i="5"/>
  <c r="R22" i="11" s="1"/>
  <c r="R23" i="11" s="1"/>
  <c r="R24" i="11" s="1"/>
  <c r="Z50" i="5"/>
  <c r="Z22" i="11" s="1"/>
  <c r="Z23" i="11" s="1"/>
  <c r="AH50" i="5"/>
  <c r="AH22" i="11" s="1"/>
  <c r="AH23" i="11" s="1"/>
  <c r="AH24" i="11" s="1"/>
  <c r="AP50" i="5"/>
  <c r="AP22" i="11" s="1"/>
  <c r="AP23" i="11" s="1"/>
  <c r="AP24" i="11" s="1"/>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7" i="9"/>
  <c r="BN52" i="11"/>
  <c r="BN7" i="9"/>
  <c r="BV52" i="11"/>
  <c r="BV7" i="9"/>
  <c r="CD52" i="11"/>
  <c r="CD7" i="9"/>
  <c r="AZ89" i="5"/>
  <c r="L54" i="11"/>
  <c r="L55" i="11" s="1"/>
  <c r="L2" i="9"/>
  <c r="L16" i="9" s="1"/>
  <c r="L35" i="7"/>
  <c r="H22" i="7" s="1"/>
  <c r="Q54" i="11"/>
  <c r="Q55" i="11" s="1"/>
  <c r="Q2" i="9"/>
  <c r="Q16" i="9" s="1"/>
  <c r="Q35" i="7"/>
  <c r="M22" i="7" s="1"/>
  <c r="M23" i="7" s="1"/>
  <c r="AO54" i="11"/>
  <c r="AO2" i="9"/>
  <c r="BE54" i="11"/>
  <c r="BE2" i="9"/>
  <c r="CC54" i="11"/>
  <c r="CC2" i="9"/>
  <c r="CC16" i="9" s="1"/>
  <c r="K54" i="11"/>
  <c r="K55" i="11" s="1"/>
  <c r="K2" i="9"/>
  <c r="K35" i="7"/>
  <c r="G22" i="7" s="1"/>
  <c r="S54" i="11"/>
  <c r="S55" i="11" s="1"/>
  <c r="S2" i="9"/>
  <c r="S16" i="9" s="1"/>
  <c r="S35" i="7"/>
  <c r="O22" i="7" s="1"/>
  <c r="O23" i="7" s="1"/>
  <c r="AA54" i="11"/>
  <c r="AA55" i="11" s="1"/>
  <c r="AA2" i="9"/>
  <c r="W22" i="7"/>
  <c r="W23" i="7" s="1"/>
  <c r="AI54" i="11"/>
  <c r="AI2" i="9"/>
  <c r="AQ54" i="11"/>
  <c r="AQ55" i="11" s="1"/>
  <c r="AQ2" i="9"/>
  <c r="AQ25" i="9" s="1"/>
  <c r="AY54" i="11"/>
  <c r="AY2" i="9"/>
  <c r="BG54" i="11"/>
  <c r="BG2" i="9"/>
  <c r="BO54" i="11"/>
  <c r="BO2" i="9"/>
  <c r="BW54" i="11"/>
  <c r="BW2" i="9"/>
  <c r="CE54" i="11"/>
  <c r="CE2" i="9"/>
  <c r="K50" i="5"/>
  <c r="K22" i="11" s="1"/>
  <c r="K23" i="11" s="1"/>
  <c r="K24" i="11" s="1"/>
  <c r="S50" i="5"/>
  <c r="S22" i="11" s="1"/>
  <c r="S23" i="11" s="1"/>
  <c r="S24" i="11" s="1"/>
  <c r="AA50" i="5"/>
  <c r="AA22" i="11" s="1"/>
  <c r="AA23" i="11" s="1"/>
  <c r="AA24" i="11" s="1"/>
  <c r="AI50" i="5"/>
  <c r="AI22" i="11" s="1"/>
  <c r="AI23" i="11" s="1"/>
  <c r="AQ50" i="5"/>
  <c r="AQ22" i="11" s="1"/>
  <c r="AQ23" i="11" s="1"/>
  <c r="AQ24" i="11" s="1"/>
  <c r="AY50" i="5"/>
  <c r="BG50" i="5"/>
  <c r="BO50" i="5"/>
  <c r="BW50" i="5"/>
  <c r="CE50" i="5"/>
  <c r="K52" i="11"/>
  <c r="K53" i="11" s="1"/>
  <c r="K7" i="9"/>
  <c r="S52" i="11"/>
  <c r="S53" i="11" s="1"/>
  <c r="S7" i="9"/>
  <c r="AA52" i="11"/>
  <c r="AA53" i="11" s="1"/>
  <c r="AA7" i="9"/>
  <c r="AI52" i="11"/>
  <c r="AI53" i="11" s="1"/>
  <c r="AI7" i="9"/>
  <c r="AQ52" i="11"/>
  <c r="AQ7" i="9"/>
  <c r="AY52" i="11"/>
  <c r="AY7" i="9"/>
  <c r="BG52" i="11"/>
  <c r="BG7" i="9"/>
  <c r="BO52" i="11"/>
  <c r="BO7" i="9"/>
  <c r="BW52" i="11"/>
  <c r="BW7" i="9"/>
  <c r="BS32" i="9" s="1"/>
  <c r="CE52" i="11"/>
  <c r="CE7" i="9"/>
  <c r="I10" i="9"/>
  <c r="I89" i="5"/>
  <c r="BH89" i="5"/>
  <c r="T54" i="11"/>
  <c r="T2" i="9"/>
  <c r="T16" i="9" s="1"/>
  <c r="T35" i="7"/>
  <c r="P22" i="7" s="1"/>
  <c r="AZ54" i="11"/>
  <c r="AZ2" i="9"/>
  <c r="CF54" i="11"/>
  <c r="CF2" i="9"/>
  <c r="L50" i="5"/>
  <c r="L22" i="11" s="1"/>
  <c r="L23" i="11" s="1"/>
  <c r="L24" i="11" s="1"/>
  <c r="T50" i="5"/>
  <c r="T22" i="11" s="1"/>
  <c r="T23" i="11" s="1"/>
  <c r="T24" i="11" s="1"/>
  <c r="AB50" i="5"/>
  <c r="AB22" i="11" s="1"/>
  <c r="AB23" i="11" s="1"/>
  <c r="AB24" i="11" s="1"/>
  <c r="AJ50" i="5"/>
  <c r="AJ22" i="11" s="1"/>
  <c r="AJ23" i="11" s="1"/>
  <c r="AR50" i="5"/>
  <c r="AZ50" i="5"/>
  <c r="BH50" i="5"/>
  <c r="BP50" i="5"/>
  <c r="BX50" i="5"/>
  <c r="CF50" i="5"/>
  <c r="L52" i="11"/>
  <c r="L53" i="11" s="1"/>
  <c r="L7" i="9"/>
  <c r="T52" i="11"/>
  <c r="T53" i="11" s="1"/>
  <c r="T7" i="9"/>
  <c r="AB52" i="11"/>
  <c r="AB53" i="11" s="1"/>
  <c r="AB7" i="9"/>
  <c r="AJ52" i="11"/>
  <c r="AJ53" i="11" s="1"/>
  <c r="AJ7" i="9"/>
  <c r="AR52" i="11"/>
  <c r="AR7" i="9"/>
  <c r="AZ52" i="11"/>
  <c r="AZ7" i="9"/>
  <c r="BH52" i="11"/>
  <c r="BH7" i="9"/>
  <c r="BP52" i="11"/>
  <c r="BP7" i="9"/>
  <c r="BX52" i="11"/>
  <c r="BX7" i="9"/>
  <c r="CF52" i="11"/>
  <c r="CF7" i="9"/>
  <c r="J10" i="9"/>
  <c r="J89" i="5"/>
  <c r="R10" i="9"/>
  <c r="N34" i="9" s="1"/>
  <c r="R89" i="5"/>
  <c r="Z10" i="9"/>
  <c r="Z89" i="5"/>
  <c r="AH10" i="9"/>
  <c r="AH34" i="9" s="1"/>
  <c r="AH89" i="5"/>
  <c r="AP10" i="9"/>
  <c r="AL34" i="9" s="1"/>
  <c r="AP89" i="5"/>
  <c r="AX10" i="9"/>
  <c r="AX16" i="9" s="1"/>
  <c r="AX89" i="5"/>
  <c r="BF10" i="9"/>
  <c r="BF34" i="9" s="1"/>
  <c r="BF89" i="5"/>
  <c r="BN10" i="9"/>
  <c r="BN89" i="5"/>
  <c r="BV10" i="9"/>
  <c r="BR34" i="9" s="1"/>
  <c r="BV89" i="5"/>
  <c r="CD10" i="9"/>
  <c r="CD34" i="9" s="1"/>
  <c r="CD89" i="5"/>
  <c r="BP89" i="5"/>
  <c r="AB54" i="11"/>
  <c r="AB55" i="11" s="1"/>
  <c r="AB2" i="9"/>
  <c r="X22" i="7"/>
  <c r="BH54" i="11"/>
  <c r="BH2" i="9"/>
  <c r="M54" i="11"/>
  <c r="M55" i="11" s="1"/>
  <c r="M2" i="9"/>
  <c r="M35" i="7"/>
  <c r="I22" i="7" s="1"/>
  <c r="I23" i="7" s="1"/>
  <c r="U54" i="11"/>
  <c r="U2" i="9"/>
  <c r="U35" i="7"/>
  <c r="Q22" i="7" s="1"/>
  <c r="AC54" i="11"/>
  <c r="AC55" i="11" s="1"/>
  <c r="AC2" i="9"/>
  <c r="AC25" i="9" s="1"/>
  <c r="Y22" i="7"/>
  <c r="Y23" i="7" s="1"/>
  <c r="AK54" i="11"/>
  <c r="AK55" i="11" s="1"/>
  <c r="AK2" i="9"/>
  <c r="AS54" i="11"/>
  <c r="AS2" i="9"/>
  <c r="BA54" i="11"/>
  <c r="BA2" i="9"/>
  <c r="BI54" i="11"/>
  <c r="BI2" i="9"/>
  <c r="BQ54" i="11"/>
  <c r="BQ2" i="9"/>
  <c r="BY54" i="11"/>
  <c r="BY2" i="9"/>
  <c r="BY25" i="9" s="1"/>
  <c r="CG54" i="11"/>
  <c r="CG2" i="9"/>
  <c r="E50" i="5"/>
  <c r="E22" i="11" s="1"/>
  <c r="E23" i="11" s="1"/>
  <c r="M50" i="5"/>
  <c r="M22" i="11" s="1"/>
  <c r="M23" i="11" s="1"/>
  <c r="M24" i="11" s="1"/>
  <c r="U50" i="5"/>
  <c r="U22" i="11" s="1"/>
  <c r="U23" i="11" s="1"/>
  <c r="U24" i="11" s="1"/>
  <c r="AC50" i="5"/>
  <c r="AC22" i="11" s="1"/>
  <c r="AC23" i="11" s="1"/>
  <c r="AC24" i="11" s="1"/>
  <c r="AK50" i="5"/>
  <c r="AK22" i="11" s="1"/>
  <c r="AK23" i="11" s="1"/>
  <c r="AK24" i="11" s="1"/>
  <c r="AS50" i="5"/>
  <c r="BA50" i="5"/>
  <c r="BI50" i="5"/>
  <c r="BQ50" i="5"/>
  <c r="BY50" i="5"/>
  <c r="CG50" i="5"/>
  <c r="E52" i="11"/>
  <c r="E53" i="11" s="1"/>
  <c r="E7" i="9"/>
  <c r="M52" i="11"/>
  <c r="M53" i="11" s="1"/>
  <c r="M7" i="9"/>
  <c r="U52" i="11"/>
  <c r="U53" i="11" s="1"/>
  <c r="U7" i="9"/>
  <c r="AC52" i="11"/>
  <c r="AC53" i="11" s="1"/>
  <c r="AC7" i="9"/>
  <c r="AK52" i="11"/>
  <c r="AK7" i="9"/>
  <c r="AS52" i="11"/>
  <c r="AS7" i="9"/>
  <c r="BA52" i="11"/>
  <c r="BA7" i="9"/>
  <c r="BI52" i="11"/>
  <c r="BI7" i="9"/>
  <c r="BQ52" i="11"/>
  <c r="BQ7" i="9"/>
  <c r="BY52" i="11"/>
  <c r="BY7" i="9"/>
  <c r="CG52" i="11"/>
  <c r="CG7" i="9"/>
  <c r="L89" i="5"/>
  <c r="BX89" i="5"/>
  <c r="D70" i="5"/>
  <c r="AR54" i="11"/>
  <c r="AR2" i="9"/>
  <c r="AR16" i="9" s="1"/>
  <c r="BX54" i="11"/>
  <c r="BX2" i="9"/>
  <c r="E54" i="11"/>
  <c r="E55" i="11" s="1"/>
  <c r="B25" i="13"/>
  <c r="B6" i="13"/>
  <c r="E2" i="9"/>
  <c r="E35" i="7"/>
  <c r="F54" i="11"/>
  <c r="F55" i="11" s="1"/>
  <c r="F2" i="9"/>
  <c r="F16" i="9" s="1"/>
  <c r="F35" i="7"/>
  <c r="N54" i="11"/>
  <c r="N55" i="11" s="1"/>
  <c r="N2" i="9"/>
  <c r="N16" i="9" s="1"/>
  <c r="N35" i="7"/>
  <c r="J22" i="7" s="1"/>
  <c r="V54" i="11"/>
  <c r="V55" i="11" s="1"/>
  <c r="V2" i="9"/>
  <c r="V16" i="9" s="1"/>
  <c r="V35" i="7"/>
  <c r="R22" i="7" s="1"/>
  <c r="R23" i="7" s="1"/>
  <c r="AD54" i="11"/>
  <c r="AD2" i="9"/>
  <c r="AD16" i="9" s="1"/>
  <c r="Z22" i="7"/>
  <c r="AL54" i="11"/>
  <c r="AL2" i="9"/>
  <c r="AT54" i="11"/>
  <c r="AT2" i="9"/>
  <c r="BB54" i="11"/>
  <c r="BB2" i="9"/>
  <c r="BJ54" i="11"/>
  <c r="BJ2" i="9"/>
  <c r="BJ25" i="9" s="1"/>
  <c r="BR54" i="11"/>
  <c r="BR2" i="9"/>
  <c r="BR25" i="9" s="1"/>
  <c r="BZ54" i="11"/>
  <c r="BZ2" i="9"/>
  <c r="BV25" i="9" s="1"/>
  <c r="CH54" i="11"/>
  <c r="CH2" i="9"/>
  <c r="CH16" i="9" s="1"/>
  <c r="F50" i="5"/>
  <c r="F22" i="11" s="1"/>
  <c r="F23" i="11" s="1"/>
  <c r="N50" i="5"/>
  <c r="N22" i="11" s="1"/>
  <c r="N23" i="11" s="1"/>
  <c r="V50" i="5"/>
  <c r="V22" i="11" s="1"/>
  <c r="V23" i="11" s="1"/>
  <c r="AD50" i="5"/>
  <c r="AD22" i="11" s="1"/>
  <c r="AD23" i="11" s="1"/>
  <c r="AD24" i="11" s="1"/>
  <c r="AL50" i="5"/>
  <c r="AL22" i="11" s="1"/>
  <c r="AL23" i="11" s="1"/>
  <c r="AT50" i="5"/>
  <c r="BB50" i="5"/>
  <c r="BJ50" i="5"/>
  <c r="BR50" i="5"/>
  <c r="BZ50" i="5"/>
  <c r="CH50" i="5"/>
  <c r="F52" i="11"/>
  <c r="F53" i="11" s="1"/>
  <c r="F7" i="9"/>
  <c r="N52" i="11"/>
  <c r="N53" i="11" s="1"/>
  <c r="N7" i="9"/>
  <c r="V52" i="11"/>
  <c r="V53" i="11" s="1"/>
  <c r="V7" i="9"/>
  <c r="AD52" i="11"/>
  <c r="AD53" i="11" s="1"/>
  <c r="AD7" i="9"/>
  <c r="AD32" i="9" s="1"/>
  <c r="AL52" i="11"/>
  <c r="AL53" i="11" s="1"/>
  <c r="AL7" i="9"/>
  <c r="AT52" i="11"/>
  <c r="AT7" i="9"/>
  <c r="BB52" i="11"/>
  <c r="BB7" i="9"/>
  <c r="BJ52" i="11"/>
  <c r="BJ7" i="9"/>
  <c r="BJ32" i="9" s="1"/>
  <c r="BR52" i="11"/>
  <c r="BR7" i="9"/>
  <c r="BZ52" i="11"/>
  <c r="BZ7" i="9"/>
  <c r="CH52" i="11"/>
  <c r="CH7" i="9"/>
  <c r="T89" i="5"/>
  <c r="CF89" i="5"/>
  <c r="AJ54" i="11"/>
  <c r="AJ55" i="11" s="1"/>
  <c r="AJ2" i="9"/>
  <c r="BP54" i="11"/>
  <c r="BP2" i="9"/>
  <c r="BP25" i="9" s="1"/>
  <c r="G54" i="11"/>
  <c r="G55" i="11" s="1"/>
  <c r="G2" i="9"/>
  <c r="G35" i="7"/>
  <c r="O54" i="11"/>
  <c r="O55" i="11" s="1"/>
  <c r="O2" i="9"/>
  <c r="O35" i="7"/>
  <c r="K22" i="7" s="1"/>
  <c r="W54" i="11"/>
  <c r="W55" i="11" s="1"/>
  <c r="W2" i="9"/>
  <c r="W16" i="9" s="1"/>
  <c r="W35" i="7"/>
  <c r="S22" i="7" s="1"/>
  <c r="AE54" i="11"/>
  <c r="AE2" i="9"/>
  <c r="AE16" i="9" s="1"/>
  <c r="AA22" i="7"/>
  <c r="AA23" i="7" s="1"/>
  <c r="AM54" i="11"/>
  <c r="AM2" i="9"/>
  <c r="AU54" i="11"/>
  <c r="AU2" i="9"/>
  <c r="BC54" i="11"/>
  <c r="BC2" i="9"/>
  <c r="BK54" i="11"/>
  <c r="BK2" i="9"/>
  <c r="BK16" i="9" s="1"/>
  <c r="BS54" i="11"/>
  <c r="BS2" i="9"/>
  <c r="BS25" i="9" s="1"/>
  <c r="CA54" i="11"/>
  <c r="CA2" i="9"/>
  <c r="BW25" i="9" s="1"/>
  <c r="CI54" i="11"/>
  <c r="CI2" i="9"/>
  <c r="CI25" i="9" s="1"/>
  <c r="G50" i="5"/>
  <c r="G22" i="11" s="1"/>
  <c r="G23" i="11" s="1"/>
  <c r="O50" i="5"/>
  <c r="O22" i="11" s="1"/>
  <c r="O23" i="11" s="1"/>
  <c r="O24" i="11" s="1"/>
  <c r="W50" i="5"/>
  <c r="W22" i="11" s="1"/>
  <c r="W23" i="11" s="1"/>
  <c r="W24" i="11" s="1"/>
  <c r="AE50" i="5"/>
  <c r="AE22" i="11" s="1"/>
  <c r="AE23" i="11" s="1"/>
  <c r="AE24" i="11" s="1"/>
  <c r="AM50" i="5"/>
  <c r="AM22" i="11" s="1"/>
  <c r="AM23" i="11" s="1"/>
  <c r="AU50" i="5"/>
  <c r="BC50" i="5"/>
  <c r="BK50" i="5"/>
  <c r="BS50" i="5"/>
  <c r="CA50" i="5"/>
  <c r="CI50" i="5"/>
  <c r="G52" i="11"/>
  <c r="G53" i="11" s="1"/>
  <c r="G7" i="9"/>
  <c r="O52" i="11"/>
  <c r="O53" i="11" s="1"/>
  <c r="O7" i="9"/>
  <c r="W52" i="11"/>
  <c r="W53" i="11" s="1"/>
  <c r="W7" i="9"/>
  <c r="AE52" i="11"/>
  <c r="AE53" i="11" s="1"/>
  <c r="AE7" i="9"/>
  <c r="AM52" i="11"/>
  <c r="AM53" i="11" s="1"/>
  <c r="AM7" i="9"/>
  <c r="AU52" i="11"/>
  <c r="AU7" i="9"/>
  <c r="BC52" i="11"/>
  <c r="BC7" i="9"/>
  <c r="BK52" i="11"/>
  <c r="BK7" i="9"/>
  <c r="BS52" i="11"/>
  <c r="BS7" i="9"/>
  <c r="CA52" i="11"/>
  <c r="CA7" i="9"/>
  <c r="CI52" i="11"/>
  <c r="CI7" i="9"/>
  <c r="E10" i="9"/>
  <c r="E89" i="5"/>
  <c r="M10" i="9"/>
  <c r="M34" i="9" s="1"/>
  <c r="M89" i="5"/>
  <c r="AB89" i="5"/>
  <c r="H54" i="11"/>
  <c r="H55" i="11" s="1"/>
  <c r="H2" i="9"/>
  <c r="H16" i="9" s="1"/>
  <c r="H35" i="7"/>
  <c r="AF54" i="11"/>
  <c r="AF2" i="9"/>
  <c r="AF16" i="9" s="1"/>
  <c r="AB22" i="7"/>
  <c r="AN54" i="11"/>
  <c r="AN55" i="11" s="1"/>
  <c r="AN2" i="9"/>
  <c r="AN16" i="9" s="1"/>
  <c r="AV54" i="11"/>
  <c r="AV2" i="9"/>
  <c r="BD54" i="11"/>
  <c r="BD55" i="11" s="1"/>
  <c r="BD2" i="9"/>
  <c r="BD25" i="9" s="1"/>
  <c r="BL54" i="11"/>
  <c r="BL2" i="9"/>
  <c r="BT54" i="11"/>
  <c r="BT2" i="9"/>
  <c r="CB54" i="11"/>
  <c r="CB2" i="9"/>
  <c r="CJ54" i="11"/>
  <c r="CJ2" i="9"/>
  <c r="CJ25" i="9" s="1"/>
  <c r="H30" i="9"/>
  <c r="P30" i="9"/>
  <c r="X30" i="9"/>
  <c r="AF30" i="9"/>
  <c r="H50" i="5"/>
  <c r="H22" i="11" s="1"/>
  <c r="H23" i="11" s="1"/>
  <c r="P50" i="5"/>
  <c r="P22" i="11" s="1"/>
  <c r="P23" i="11" s="1"/>
  <c r="P24" i="11" s="1"/>
  <c r="X50" i="5"/>
  <c r="X22" i="11" s="1"/>
  <c r="X23" i="11" s="1"/>
  <c r="X24" i="11" s="1"/>
  <c r="AF50" i="5"/>
  <c r="AF22" i="11" s="1"/>
  <c r="AF23" i="11" s="1"/>
  <c r="AF24" i="11" s="1"/>
  <c r="AN50" i="5"/>
  <c r="AN22" i="11" s="1"/>
  <c r="AN23" i="11" s="1"/>
  <c r="AN24" i="11" s="1"/>
  <c r="AV50" i="5"/>
  <c r="BD50" i="5"/>
  <c r="BL50" i="5"/>
  <c r="BT50" i="5"/>
  <c r="CB50" i="5"/>
  <c r="CJ50" i="5"/>
  <c r="H52" i="11"/>
  <c r="H53" i="11" s="1"/>
  <c r="H7" i="9"/>
  <c r="P52" i="11"/>
  <c r="P53" i="11" s="1"/>
  <c r="P7" i="9"/>
  <c r="X52" i="11"/>
  <c r="X53" i="11" s="1"/>
  <c r="X7" i="9"/>
  <c r="X32" i="9" s="1"/>
  <c r="AF52" i="11"/>
  <c r="AF7" i="9"/>
  <c r="AB32" i="9" s="1"/>
  <c r="AN52" i="11"/>
  <c r="AN7" i="9"/>
  <c r="AN32" i="9" s="1"/>
  <c r="AV52" i="11"/>
  <c r="AV7" i="9"/>
  <c r="BD52" i="11"/>
  <c r="BD7" i="9"/>
  <c r="BD32" i="9" s="1"/>
  <c r="BL52" i="11"/>
  <c r="BL7" i="9"/>
  <c r="BL32" i="9" s="1"/>
  <c r="BT52" i="11"/>
  <c r="BT7" i="9"/>
  <c r="BP32" i="9" s="1"/>
  <c r="CB52" i="11"/>
  <c r="CB7" i="9"/>
  <c r="CJ52" i="11"/>
  <c r="CJ7" i="9"/>
  <c r="AJ89" i="5"/>
  <c r="P54" i="11"/>
  <c r="P55" i="11" s="1"/>
  <c r="P2" i="9"/>
  <c r="P16" i="9" s="1"/>
  <c r="P35" i="7"/>
  <c r="L22" i="7" s="1"/>
  <c r="I54" i="11"/>
  <c r="I55" i="11" s="1"/>
  <c r="I2" i="9"/>
  <c r="I35" i="7"/>
  <c r="E22" i="7" s="1"/>
  <c r="E23" i="7" s="1"/>
  <c r="Y54" i="11"/>
  <c r="Y55" i="11" s="1"/>
  <c r="Y2" i="9"/>
  <c r="Y35" i="7"/>
  <c r="U22" i="7" s="1"/>
  <c r="AW54" i="11"/>
  <c r="AW2" i="9"/>
  <c r="AW16" i="9" s="1"/>
  <c r="BM54" i="11"/>
  <c r="BM2" i="9"/>
  <c r="BM25" i="9" s="1"/>
  <c r="BU54" i="11"/>
  <c r="BU2" i="9"/>
  <c r="BQ25" i="9" s="1"/>
  <c r="CK54" i="11"/>
  <c r="CK2" i="9"/>
  <c r="I50" i="5"/>
  <c r="I22" i="11" s="1"/>
  <c r="I23" i="11" s="1"/>
  <c r="I24" i="11" s="1"/>
  <c r="Q50" i="5"/>
  <c r="Q22" i="11" s="1"/>
  <c r="Q23" i="11" s="1"/>
  <c r="Q24" i="11" s="1"/>
  <c r="Y50" i="5"/>
  <c r="Y22" i="11" s="1"/>
  <c r="Y23" i="11" s="1"/>
  <c r="AG50" i="5"/>
  <c r="AG22" i="11" s="1"/>
  <c r="AG23" i="11" s="1"/>
  <c r="AG24" i="11" s="1"/>
  <c r="AO50" i="5"/>
  <c r="AO22" i="11" s="1"/>
  <c r="AO23" i="11" s="1"/>
  <c r="AO24" i="11" s="1"/>
  <c r="AW50" i="5"/>
  <c r="BE50" i="5"/>
  <c r="BM50" i="5"/>
  <c r="BU50" i="5"/>
  <c r="CC50" i="5"/>
  <c r="CK50" i="5"/>
  <c r="I52" i="11"/>
  <c r="I53" i="11" s="1"/>
  <c r="I7" i="9"/>
  <c r="Q52" i="11"/>
  <c r="Q53" i="11" s="1"/>
  <c r="Q7" i="9"/>
  <c r="Y52" i="11"/>
  <c r="Y53" i="11" s="1"/>
  <c r="Y7" i="9"/>
  <c r="Y32" i="9" s="1"/>
  <c r="AG52" i="11"/>
  <c r="AG53" i="11" s="1"/>
  <c r="AG7" i="9"/>
  <c r="AC32" i="9" s="1"/>
  <c r="AO52" i="11"/>
  <c r="AO7" i="9"/>
  <c r="AO32" i="9" s="1"/>
  <c r="AW52" i="11"/>
  <c r="AW7" i="9"/>
  <c r="AW32" i="9" s="1"/>
  <c r="BE52" i="11"/>
  <c r="BE7" i="9"/>
  <c r="BM52" i="11"/>
  <c r="BM7" i="9"/>
  <c r="BM32" i="9" s="1"/>
  <c r="BU52" i="11"/>
  <c r="BU7" i="9"/>
  <c r="BQ32" i="9" s="1"/>
  <c r="CC52" i="11"/>
  <c r="CC7" i="9"/>
  <c r="BY32" i="9" s="1"/>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O75" i="11" s="1"/>
  <c r="BW72" i="11"/>
  <c r="BW73" i="11" s="1"/>
  <c r="CE72" i="11"/>
  <c r="CE73" i="11" s="1"/>
  <c r="CE75" i="11" s="1"/>
  <c r="L72" i="11"/>
  <c r="L73" i="11" s="1"/>
  <c r="T72" i="11"/>
  <c r="T73" i="11" s="1"/>
  <c r="AB72" i="11"/>
  <c r="AB73" i="11" s="1"/>
  <c r="AJ72" i="11"/>
  <c r="AJ73" i="11" s="1"/>
  <c r="AR72" i="11"/>
  <c r="AR73" i="11" s="1"/>
  <c r="AZ72" i="11"/>
  <c r="AZ73" i="11" s="1"/>
  <c r="AZ75" i="11" s="1"/>
  <c r="BH72" i="11"/>
  <c r="BH73" i="11" s="1"/>
  <c r="BP72" i="11"/>
  <c r="BP73" i="11" s="1"/>
  <c r="BX72" i="11"/>
  <c r="BX73" i="11" s="1"/>
  <c r="CF72" i="11"/>
  <c r="CF73" i="11" s="1"/>
  <c r="CF75"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O25" i="12"/>
  <c r="W25" i="12"/>
  <c r="W26" i="12" s="1"/>
  <c r="W27" i="12" s="1"/>
  <c r="AE25" i="12"/>
  <c r="AE26" i="12" s="1"/>
  <c r="AE27" i="12" s="1"/>
  <c r="AM25" i="12"/>
  <c r="AU25" i="12"/>
  <c r="BC25" i="12"/>
  <c r="BK25" i="12"/>
  <c r="BK26" i="12" s="1"/>
  <c r="BK27" i="12" s="1"/>
  <c r="BS25" i="12"/>
  <c r="CA25" i="12"/>
  <c r="CI25" i="12"/>
  <c r="CI26" i="12" s="1"/>
  <c r="CI27" i="12" s="1"/>
  <c r="CI28" i="12" s="1"/>
  <c r="H25" i="12"/>
  <c r="H26" i="12" s="1"/>
  <c r="H27" i="12" s="1"/>
  <c r="P25" i="12"/>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J25" i="12"/>
  <c r="CJ26" i="12" s="1"/>
  <c r="CJ27" i="12" s="1"/>
  <c r="CJ28" i="12" s="1"/>
  <c r="J5" i="12"/>
  <c r="R5" i="12"/>
  <c r="Z5" i="12"/>
  <c r="AH5" i="12"/>
  <c r="AP5" i="12"/>
  <c r="AX5" i="12"/>
  <c r="BF5" i="12"/>
  <c r="BN5" i="12"/>
  <c r="BV5" i="12"/>
  <c r="CD5" i="12"/>
  <c r="CC25" i="12"/>
  <c r="CK25" i="12"/>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P26" i="12"/>
  <c r="P27" i="12" s="1"/>
  <c r="CB26" i="12"/>
  <c r="CB27" i="12" s="1"/>
  <c r="L25" i="12"/>
  <c r="L26" i="12" s="1"/>
  <c r="L27" i="12" s="1"/>
  <c r="L28" i="12" s="1"/>
  <c r="T25" i="12"/>
  <c r="T26" i="12" s="1"/>
  <c r="T27" i="12" s="1"/>
  <c r="AB25" i="12"/>
  <c r="AJ25" i="12"/>
  <c r="AR25" i="12"/>
  <c r="AR26" i="12" s="1"/>
  <c r="AR27" i="12" s="1"/>
  <c r="AZ25" i="12"/>
  <c r="BH25" i="12"/>
  <c r="BH26" i="12" s="1"/>
  <c r="BH27" i="12" s="1"/>
  <c r="BP25" i="12"/>
  <c r="BP26" i="12" s="1"/>
  <c r="BP27" i="12" s="1"/>
  <c r="BX25" i="12"/>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L13" i="12"/>
  <c r="T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I13" i="12"/>
  <c r="AQ13" i="12"/>
  <c r="AY13" i="12"/>
  <c r="BG13" i="12"/>
  <c r="BO13" i="12"/>
  <c r="BW13" i="12"/>
  <c r="CE13" i="12"/>
  <c r="CI13" i="12"/>
  <c r="AB26" i="12"/>
  <c r="AB27" i="12" s="1"/>
  <c r="AJ26" i="12"/>
  <c r="AJ27" i="12" s="1"/>
  <c r="AZ26" i="12"/>
  <c r="AZ27" i="12" s="1"/>
  <c r="BX26" i="12"/>
  <c r="BX27" i="12" s="1"/>
  <c r="BX28" i="12" s="1"/>
  <c r="AB13" i="12"/>
  <c r="AR13" i="12"/>
  <c r="AZ13" i="12"/>
  <c r="BH13" i="12"/>
  <c r="BX13" i="12"/>
  <c r="CF13" i="12"/>
  <c r="E26" i="12"/>
  <c r="E27" i="12" s="1"/>
  <c r="M26" i="12"/>
  <c r="M27" i="12" s="1"/>
  <c r="U26" i="12"/>
  <c r="U27" i="12" s="1"/>
  <c r="AC26" i="12"/>
  <c r="AC27" i="12" s="1"/>
  <c r="AK26" i="12"/>
  <c r="AK27" i="12" s="1"/>
  <c r="AS26" i="12"/>
  <c r="AS27" i="12" s="1"/>
  <c r="BA26" i="12"/>
  <c r="BA27" i="12" s="1"/>
  <c r="BQ26" i="12"/>
  <c r="BQ27" i="12" s="1"/>
  <c r="BY26" i="12"/>
  <c r="BY27" i="12" s="1"/>
  <c r="CG26" i="12"/>
  <c r="CG27" i="12" s="1"/>
  <c r="E13" i="12"/>
  <c r="U13" i="12"/>
  <c r="AC13" i="12"/>
  <c r="AK13" i="12"/>
  <c r="BA13" i="12"/>
  <c r="BI13" i="12"/>
  <c r="BQ13" i="12"/>
  <c r="CG13" i="12"/>
  <c r="F26" i="12"/>
  <c r="F27" i="12" s="1"/>
  <c r="N26" i="12"/>
  <c r="N27" i="12" s="1"/>
  <c r="V26" i="12"/>
  <c r="V27" i="12" s="1"/>
  <c r="AD26" i="12"/>
  <c r="AD27" i="12" s="1"/>
  <c r="AT26" i="12"/>
  <c r="AT27" i="12" s="1"/>
  <c r="BB26" i="12"/>
  <c r="BB27" i="12" s="1"/>
  <c r="BJ26" i="12"/>
  <c r="BJ27" i="12" s="1"/>
  <c r="BR26" i="12"/>
  <c r="BR27" i="12" s="1"/>
  <c r="BZ26" i="12"/>
  <c r="BZ27" i="12" s="1"/>
  <c r="CH26" i="12"/>
  <c r="CH27" i="12" s="1"/>
  <c r="CH28" i="12" s="1"/>
  <c r="CK18" i="12"/>
  <c r="G26" i="12"/>
  <c r="G27" i="12" s="1"/>
  <c r="O26" i="12"/>
  <c r="O27" i="12" s="1"/>
  <c r="AM26" i="12"/>
  <c r="AM27" i="12" s="1"/>
  <c r="AU26" i="12"/>
  <c r="AU27" i="12" s="1"/>
  <c r="BC26" i="12"/>
  <c r="BC27" i="12" s="1"/>
  <c r="BS26" i="12"/>
  <c r="BS27" i="12" s="1"/>
  <c r="CA26" i="12"/>
  <c r="CA27" i="12" s="1"/>
  <c r="G13" i="12"/>
  <c r="AE13" i="12"/>
  <c r="AM13" i="12"/>
  <c r="BC13" i="12"/>
  <c r="BK13" i="12"/>
  <c r="BS13" i="12"/>
  <c r="CA13" i="12"/>
  <c r="H13" i="12"/>
  <c r="X13" i="12"/>
  <c r="AF13" i="12"/>
  <c r="AN13" i="12"/>
  <c r="BD13" i="12"/>
  <c r="BL13" i="12"/>
  <c r="BT13" i="12"/>
  <c r="CJ13" i="12"/>
  <c r="I26" i="12"/>
  <c r="I27" i="12" s="1"/>
  <c r="I28" i="12" s="1"/>
  <c r="Y26" i="12"/>
  <c r="Y27" i="12" s="1"/>
  <c r="Y28" i="12" s="1"/>
  <c r="AG26" i="12"/>
  <c r="AG27" i="12" s="1"/>
  <c r="AO26" i="12"/>
  <c r="AO27" i="12" s="1"/>
  <c r="AW26" i="12"/>
  <c r="AW27" i="12" s="1"/>
  <c r="BE26" i="12"/>
  <c r="BE27" i="12" s="1"/>
  <c r="BM26" i="12"/>
  <c r="BM27" i="12" s="1"/>
  <c r="BU26" i="12"/>
  <c r="BU27" i="12" s="1"/>
  <c r="BU28" i="12" s="1"/>
  <c r="CC26" i="12"/>
  <c r="CC27" i="12" s="1"/>
  <c r="CK26" i="12"/>
  <c r="CK27" i="12" s="1"/>
  <c r="CK28" i="12" s="1"/>
  <c r="J13" i="12"/>
  <c r="R13" i="12"/>
  <c r="Z13" i="12"/>
  <c r="AH13" i="12"/>
  <c r="AP13" i="12"/>
  <c r="AX13" i="12"/>
  <c r="BF13" i="12"/>
  <c r="BN13" i="12"/>
  <c r="BV13" i="12"/>
  <c r="CD13" i="12"/>
  <c r="W13" i="12"/>
  <c r="BF53" i="11"/>
  <c r="BL55" i="11"/>
  <c r="G57" i="11"/>
  <c r="BS57" i="11"/>
  <c r="BN53" i="11"/>
  <c r="BT55" i="11"/>
  <c r="O57" i="11"/>
  <c r="CA57" i="11"/>
  <c r="BV53" i="11"/>
  <c r="CB55" i="11"/>
  <c r="W57" i="11"/>
  <c r="CI57" i="11"/>
  <c r="CD53" i="11"/>
  <c r="X55" i="11"/>
  <c r="CJ55" i="11"/>
  <c r="AE57" i="11"/>
  <c r="K63" i="11"/>
  <c r="K65" i="11" s="1"/>
  <c r="K66" i="11" s="1"/>
  <c r="K74" i="11" s="1"/>
  <c r="AF55" i="11"/>
  <c r="AM57" i="11"/>
  <c r="V63" i="11"/>
  <c r="V65" i="11" s="1"/>
  <c r="V66" i="11" s="1"/>
  <c r="AU57" i="11"/>
  <c r="AF63" i="11"/>
  <c r="AF65" i="11" s="1"/>
  <c r="AF66" i="11" s="1"/>
  <c r="AF74" i="11" s="1"/>
  <c r="AV55" i="11"/>
  <c r="BC57" i="11"/>
  <c r="BF63" i="11"/>
  <c r="BF65" i="11" s="1"/>
  <c r="BF66" i="11" s="1"/>
  <c r="BF74" i="11" s="1"/>
  <c r="BF75" i="11" s="1"/>
  <c r="E57" i="11"/>
  <c r="E63" i="11"/>
  <c r="E65" i="11" s="1"/>
  <c r="E66" i="11" s="1"/>
  <c r="E74" i="11" s="1"/>
  <c r="M63" i="11"/>
  <c r="M65" i="11" s="1"/>
  <c r="M66" i="11" s="1"/>
  <c r="M74" i="11" s="1"/>
  <c r="M57" i="11"/>
  <c r="U63" i="11"/>
  <c r="U65" i="11" s="1"/>
  <c r="U66" i="11" s="1"/>
  <c r="U74" i="11" s="1"/>
  <c r="U57" i="11"/>
  <c r="U55" i="11"/>
  <c r="AC63" i="11"/>
  <c r="AC65" i="11" s="1"/>
  <c r="AC66" i="11" s="1"/>
  <c r="AC74" i="11" s="1"/>
  <c r="AC75" i="11" s="1"/>
  <c r="AC57" i="11"/>
  <c r="AK63" i="11"/>
  <c r="AK65" i="11" s="1"/>
  <c r="AK66" i="11" s="1"/>
  <c r="AK57" i="11"/>
  <c r="AK53" i="11"/>
  <c r="AS63" i="11"/>
  <c r="AS65" i="11" s="1"/>
  <c r="AS66" i="11" s="1"/>
  <c r="AS74" i="11" s="1"/>
  <c r="AS57" i="11"/>
  <c r="AS55" i="11"/>
  <c r="AS53" i="11"/>
  <c r="BA63" i="11"/>
  <c r="BA65" i="11" s="1"/>
  <c r="BA66" i="11" s="1"/>
  <c r="BA74" i="11" s="1"/>
  <c r="BA75" i="11" s="1"/>
  <c r="BA57" i="11"/>
  <c r="BA55" i="11"/>
  <c r="BA53" i="11"/>
  <c r="BI63" i="11"/>
  <c r="BI65" i="11" s="1"/>
  <c r="BI66" i="11" s="1"/>
  <c r="BI74" i="11" s="1"/>
  <c r="BI75" i="11" s="1"/>
  <c r="BI57" i="11"/>
  <c r="BI55" i="11"/>
  <c r="BI53" i="11"/>
  <c r="BQ63" i="11"/>
  <c r="BQ65" i="11" s="1"/>
  <c r="BQ66" i="11" s="1"/>
  <c r="BQ74" i="11" s="1"/>
  <c r="BQ75" i="11" s="1"/>
  <c r="BQ57" i="11"/>
  <c r="BQ55" i="11"/>
  <c r="BQ53" i="11"/>
  <c r="BY63" i="11"/>
  <c r="BY65" i="11" s="1"/>
  <c r="BY66" i="11" s="1"/>
  <c r="BY74" i="11" s="1"/>
  <c r="BY75" i="11" s="1"/>
  <c r="BY57" i="11"/>
  <c r="BY55" i="11"/>
  <c r="BY53" i="11"/>
  <c r="CG63" i="11"/>
  <c r="CG65" i="11" s="1"/>
  <c r="CG66" i="11" s="1"/>
  <c r="CG74" i="11" s="1"/>
  <c r="CG75" i="11" s="1"/>
  <c r="CG57" i="11"/>
  <c r="CG55" i="11"/>
  <c r="CG53" i="11"/>
  <c r="AQ53" i="11"/>
  <c r="AY53" i="11"/>
  <c r="BG53" i="11"/>
  <c r="BO53" i="11"/>
  <c r="BW53" i="11"/>
  <c r="CE53" i="11"/>
  <c r="AO55" i="11"/>
  <c r="AW55" i="11"/>
  <c r="BE55" i="11"/>
  <c r="BM55" i="11"/>
  <c r="BU55" i="11"/>
  <c r="CC55" i="11"/>
  <c r="CK55" i="11"/>
  <c r="H57" i="11"/>
  <c r="P57" i="11"/>
  <c r="X57" i="11"/>
  <c r="AF57" i="11"/>
  <c r="AN57" i="11"/>
  <c r="AV57" i="11"/>
  <c r="BD57" i="11"/>
  <c r="BL57" i="11"/>
  <c r="BT57" i="11"/>
  <c r="CB57" i="11"/>
  <c r="CJ57" i="11"/>
  <c r="L63" i="11"/>
  <c r="L65" i="11" s="1"/>
  <c r="L66" i="11" s="1"/>
  <c r="L74" i="11" s="1"/>
  <c r="W63" i="11"/>
  <c r="W65" i="11" s="1"/>
  <c r="W66" i="11" s="1"/>
  <c r="W74" i="11" s="1"/>
  <c r="AH63" i="11"/>
  <c r="AH65" i="11" s="1"/>
  <c r="AH66" i="11" s="1"/>
  <c r="AH74" i="11" s="1"/>
  <c r="BH63" i="11"/>
  <c r="BH65" i="11" s="1"/>
  <c r="BH66" i="11" s="1"/>
  <c r="BH74" i="11" s="1"/>
  <c r="BH75" i="11" s="1"/>
  <c r="AR53" i="11"/>
  <c r="AZ53" i="11"/>
  <c r="BH53" i="11"/>
  <c r="BP53" i="11"/>
  <c r="BX53" i="11"/>
  <c r="CF53" i="11"/>
  <c r="R55" i="11"/>
  <c r="AX55" i="11"/>
  <c r="BF55" i="11"/>
  <c r="BN55" i="11"/>
  <c r="BV55" i="11"/>
  <c r="CD55" i="11"/>
  <c r="I57" i="11"/>
  <c r="Q57" i="11"/>
  <c r="Y57" i="11"/>
  <c r="AG57" i="11"/>
  <c r="AO57" i="11"/>
  <c r="AW57" i="11"/>
  <c r="BE57" i="11"/>
  <c r="BM57" i="11"/>
  <c r="BU57" i="11"/>
  <c r="CC57" i="11"/>
  <c r="CK57" i="11"/>
  <c r="N63" i="11"/>
  <c r="N65" i="11" s="1"/>
  <c r="N66" i="11" s="1"/>
  <c r="X63" i="11"/>
  <c r="X65" i="11" s="1"/>
  <c r="X66" i="11" s="1"/>
  <c r="AI63" i="11"/>
  <c r="AI65" i="11" s="1"/>
  <c r="AI66" i="11" s="1"/>
  <c r="AI74" i="11" s="1"/>
  <c r="BN63" i="11"/>
  <c r="BN65" i="11" s="1"/>
  <c r="BN66" i="11" s="1"/>
  <c r="BN74" i="11" s="1"/>
  <c r="BN75"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AI55" i="11"/>
  <c r="AY55" i="11"/>
  <c r="BG55" i="11"/>
  <c r="BO55" i="11"/>
  <c r="BW55" i="11"/>
  <c r="CE55" i="11"/>
  <c r="J57" i="11"/>
  <c r="R57" i="11"/>
  <c r="Z57" i="11"/>
  <c r="AH57" i="11"/>
  <c r="AP57" i="11"/>
  <c r="AX57" i="11"/>
  <c r="BF57" i="11"/>
  <c r="BN57" i="11"/>
  <c r="BV57" i="11"/>
  <c r="CD57" i="11"/>
  <c r="O63" i="11"/>
  <c r="O65" i="11" s="1"/>
  <c r="O66" i="11" s="1"/>
  <c r="O74" i="11" s="1"/>
  <c r="Z63" i="11"/>
  <c r="Z65" i="11" s="1"/>
  <c r="Z66" i="11" s="1"/>
  <c r="Z74" i="11" s="1"/>
  <c r="AJ63" i="11"/>
  <c r="AJ65" i="11" s="1"/>
  <c r="AJ66" i="11" s="1"/>
  <c r="AJ74" i="11" s="1"/>
  <c r="BV63" i="11"/>
  <c r="BV65" i="11" s="1"/>
  <c r="BV66" i="11" s="1"/>
  <c r="BV74" i="11" s="1"/>
  <c r="BV75" i="11" s="1"/>
  <c r="AT53" i="11"/>
  <c r="BB53" i="11"/>
  <c r="BJ53" i="11"/>
  <c r="BR53" i="11"/>
  <c r="BZ53" i="11"/>
  <c r="CH53" i="11"/>
  <c r="T55" i="11"/>
  <c r="AR55" i="11"/>
  <c r="AZ55" i="11"/>
  <c r="BH55" i="11"/>
  <c r="BP55" i="11"/>
  <c r="BX55" i="11"/>
  <c r="CF55" i="11"/>
  <c r="S57" i="11"/>
  <c r="AA57" i="11"/>
  <c r="AQ57" i="11"/>
  <c r="AY57" i="11"/>
  <c r="BG57" i="11"/>
  <c r="BO57" i="11"/>
  <c r="BW57" i="11"/>
  <c r="CE57" i="11"/>
  <c r="F63" i="11"/>
  <c r="F65" i="11" s="1"/>
  <c r="F66" i="11" s="1"/>
  <c r="F74" i="11" s="1"/>
  <c r="F75" i="11" s="1"/>
  <c r="P63" i="11"/>
  <c r="P65" i="11" s="1"/>
  <c r="P66" i="11" s="1"/>
  <c r="AP63" i="11"/>
  <c r="AP65" i="11" s="1"/>
  <c r="AP66" i="11" s="1"/>
  <c r="AP74" i="11" s="1"/>
  <c r="CD63" i="11"/>
  <c r="CD65" i="11" s="1"/>
  <c r="CD66" i="11" s="1"/>
  <c r="CD74" i="11" s="1"/>
  <c r="CD75" i="11" s="1"/>
  <c r="AU53" i="11"/>
  <c r="BC53" i="11"/>
  <c r="BK53" i="11"/>
  <c r="BS53" i="11"/>
  <c r="CA53" i="11"/>
  <c r="CI53" i="11"/>
  <c r="T57" i="11"/>
  <c r="AB57" i="11"/>
  <c r="AR57" i="11"/>
  <c r="AZ57" i="11"/>
  <c r="BP57" i="11"/>
  <c r="BX57" i="11"/>
  <c r="CF57" i="11"/>
  <c r="G63" i="11"/>
  <c r="G65" i="11" s="1"/>
  <c r="G66" i="11" s="1"/>
  <c r="R63" i="11"/>
  <c r="R65" i="11" s="1"/>
  <c r="R66" i="11" s="1"/>
  <c r="R74" i="11" s="1"/>
  <c r="R75" i="11" s="1"/>
  <c r="AN53" i="11"/>
  <c r="AV53" i="11"/>
  <c r="BD53" i="11"/>
  <c r="BL53" i="11"/>
  <c r="BT53" i="11"/>
  <c r="CB53" i="11"/>
  <c r="CJ53" i="11"/>
  <c r="AD55" i="11"/>
  <c r="AL55" i="11"/>
  <c r="AT55" i="11"/>
  <c r="BB55" i="11"/>
  <c r="BJ55" i="11"/>
  <c r="BR55" i="11"/>
  <c r="BZ55" i="11"/>
  <c r="CH55" i="11"/>
  <c r="AD63" i="11"/>
  <c r="AD65" i="11" s="1"/>
  <c r="AD66" i="11" s="1"/>
  <c r="AX63" i="11"/>
  <c r="AX65" i="11" s="1"/>
  <c r="AX66" i="11" s="1"/>
  <c r="AX74" i="11" s="1"/>
  <c r="AX75" i="11" s="1"/>
  <c r="AO53" i="11"/>
  <c r="AW53" i="11"/>
  <c r="BE53" i="11"/>
  <c r="BM53" i="11"/>
  <c r="BU53" i="11"/>
  <c r="CC53" i="11"/>
  <c r="AE55" i="11"/>
  <c r="AM55" i="11"/>
  <c r="AU55" i="11"/>
  <c r="BC55" i="11"/>
  <c r="BK55" i="11"/>
  <c r="BS55"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CB25" i="9"/>
  <c r="J27" i="9"/>
  <c r="R27" i="9"/>
  <c r="Z27" i="9"/>
  <c r="AH27" i="9"/>
  <c r="AP27" i="9"/>
  <c r="AX27" i="9"/>
  <c r="BF27" i="9"/>
  <c r="BN27" i="9"/>
  <c r="BV27" i="9"/>
  <c r="CD27" i="9"/>
  <c r="K34" i="9"/>
  <c r="S34" i="9"/>
  <c r="AA34" i="9"/>
  <c r="AI34" i="9"/>
  <c r="AQ34" i="9"/>
  <c r="AY34" i="9"/>
  <c r="BG34" i="9"/>
  <c r="BO34" i="9"/>
  <c r="BW34" i="9"/>
  <c r="CE34" i="9"/>
  <c r="AG27" i="9"/>
  <c r="CC27" i="9"/>
  <c r="BN34" i="9"/>
  <c r="CK25" i="9"/>
  <c r="AX25" i="9"/>
  <c r="Y27" i="9"/>
  <c r="BU27" i="9"/>
  <c r="CH34" i="9"/>
  <c r="Q27" i="9"/>
  <c r="BE27" i="9"/>
  <c r="CH27" i="9"/>
  <c r="CI34" i="9"/>
  <c r="AW27" i="9"/>
  <c r="AX34" i="9"/>
  <c r="CI27" i="9"/>
  <c r="CJ34" i="9"/>
  <c r="AU25" i="9"/>
  <c r="AO27" i="9"/>
  <c r="CK27" i="9"/>
  <c r="CJ27" i="9"/>
  <c r="CK34" i="9"/>
  <c r="AT34" i="9"/>
  <c r="BJ34" i="9"/>
  <c r="CF25" i="9"/>
  <c r="F27" i="9"/>
  <c r="N27" i="9"/>
  <c r="V27" i="9"/>
  <c r="L30" i="9"/>
  <c r="T30" i="9"/>
  <c r="AB30" i="9"/>
  <c r="AJ30" i="9"/>
  <c r="AR30" i="9"/>
  <c r="AZ30" i="9"/>
  <c r="BH30" i="9"/>
  <c r="BP30" i="9"/>
  <c r="BX30" i="9"/>
  <c r="CF30" i="9"/>
  <c r="F31" i="9"/>
  <c r="N31" i="9"/>
  <c r="V31" i="9"/>
  <c r="AD31" i="9"/>
  <c r="AL31" i="9"/>
  <c r="AT31" i="9"/>
  <c r="BB31" i="9"/>
  <c r="BJ31" i="9"/>
  <c r="BR31" i="9"/>
  <c r="BZ31" i="9"/>
  <c r="CH31" i="9"/>
  <c r="AV32"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R32" i="9"/>
  <c r="AH32" i="9"/>
  <c r="AP32" i="9"/>
  <c r="AX32" i="9"/>
  <c r="BF32" i="9"/>
  <c r="BN32" i="9"/>
  <c r="BV32" i="9"/>
  <c r="CD32" i="9"/>
  <c r="Q34" i="9"/>
  <c r="Y34" i="9"/>
  <c r="AG34" i="9"/>
  <c r="AO34" i="9"/>
  <c r="AW34" i="9"/>
  <c r="BE34" i="9"/>
  <c r="BM34" i="9"/>
  <c r="BU34" i="9"/>
  <c r="CC34" i="9"/>
  <c r="AN30" i="9"/>
  <c r="AV30" i="9"/>
  <c r="BD30" i="9"/>
  <c r="BL30" i="9"/>
  <c r="BT30" i="9"/>
  <c r="CB30" i="9"/>
  <c r="BE25"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AS32" i="9"/>
  <c r="BA32" i="9"/>
  <c r="L27" i="9"/>
  <c r="T27" i="9"/>
  <c r="AB27" i="9"/>
  <c r="AJ27" i="9"/>
  <c r="AR27" i="9"/>
  <c r="AZ27" i="9"/>
  <c r="BH27" i="9"/>
  <c r="BP27" i="9"/>
  <c r="BX27" i="9"/>
  <c r="CF27" i="9"/>
  <c r="J30" i="9"/>
  <c r="R30" i="9"/>
  <c r="Z30" i="9"/>
  <c r="K25" i="9"/>
  <c r="AY25" i="9"/>
  <c r="BO25"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CA32" i="9"/>
  <c r="BH25" i="9"/>
  <c r="AD27" i="9"/>
  <c r="AL27" i="9"/>
  <c r="AT27" i="9"/>
  <c r="BB27" i="9"/>
  <c r="BJ27" i="9"/>
  <c r="BR27" i="9"/>
  <c r="BZ27" i="9"/>
  <c r="U27" i="9"/>
  <c r="AS27" i="9"/>
  <c r="BA27" i="9"/>
  <c r="BI27" i="9"/>
  <c r="BQ27" i="9"/>
  <c r="BY27" i="9"/>
  <c r="AK25" i="9"/>
  <c r="BA25" i="9"/>
  <c r="CG25" i="9"/>
  <c r="G27" i="9"/>
  <c r="O27" i="9"/>
  <c r="W27" i="9"/>
  <c r="AE27" i="9"/>
  <c r="AM27" i="9"/>
  <c r="AU27" i="9"/>
  <c r="BC27" i="9"/>
  <c r="BK27" i="9"/>
  <c r="BS27" i="9"/>
  <c r="CA27" i="9"/>
  <c r="E30" i="9"/>
  <c r="M30" i="9"/>
  <c r="U30" i="9"/>
  <c r="X16" i="9"/>
  <c r="AV16" i="9"/>
  <c r="BL16" i="9"/>
  <c r="BT16" i="9"/>
  <c r="CB16" i="9"/>
  <c r="BZ25" i="9"/>
  <c r="H27" i="9"/>
  <c r="P27" i="9"/>
  <c r="X27" i="9"/>
  <c r="AF27" i="9"/>
  <c r="AN27" i="9"/>
  <c r="AV27" i="9"/>
  <c r="BD27" i="9"/>
  <c r="BL27" i="9"/>
  <c r="BT27" i="9"/>
  <c r="CB27" i="9"/>
  <c r="F30" i="9"/>
  <c r="N30" i="9"/>
  <c r="V30" i="9"/>
  <c r="AV25" i="9"/>
  <c r="CL14" i="9"/>
  <c r="CL13" i="9"/>
  <c r="L34" i="9"/>
  <c r="T34" i="9"/>
  <c r="AB34" i="9"/>
  <c r="AB16" i="9"/>
  <c r="AJ34" i="9"/>
  <c r="AR34" i="9"/>
  <c r="AZ34" i="9"/>
  <c r="AZ16" i="9"/>
  <c r="BH34" i="9"/>
  <c r="BH16" i="9"/>
  <c r="BP34" i="9"/>
  <c r="BP16" i="9"/>
  <c r="BX34" i="9"/>
  <c r="BX16" i="9"/>
  <c r="CF34" i="9"/>
  <c r="CF16" i="9"/>
  <c r="G36" i="9"/>
  <c r="O36" i="9"/>
  <c r="W36" i="9"/>
  <c r="AE36" i="9"/>
  <c r="AM36" i="9"/>
  <c r="AU36" i="9"/>
  <c r="BC36" i="9"/>
  <c r="BK36" i="9"/>
  <c r="BS36" i="9"/>
  <c r="CA36" i="9"/>
  <c r="CI36" i="9"/>
  <c r="BN16" i="9"/>
  <c r="E36" i="9"/>
  <c r="M36" i="9"/>
  <c r="U36" i="9"/>
  <c r="AC36" i="9"/>
  <c r="AK36" i="9"/>
  <c r="AS36" i="9"/>
  <c r="BA36" i="9"/>
  <c r="BI36" i="9"/>
  <c r="BQ36" i="9"/>
  <c r="BY36" i="9"/>
  <c r="CG36" i="9"/>
  <c r="CJ16" i="9"/>
  <c r="J31" i="9"/>
  <c r="R31" i="9"/>
  <c r="Z31" i="9"/>
  <c r="AH31" i="9"/>
  <c r="AP31" i="9"/>
  <c r="AX31" i="9"/>
  <c r="BF31" i="9"/>
  <c r="BN31" i="9"/>
  <c r="BV31" i="9"/>
  <c r="CD31" i="9"/>
  <c r="AR32" i="9"/>
  <c r="BH32" i="9"/>
  <c r="BX32" i="9"/>
  <c r="F36" i="9"/>
  <c r="N36" i="9"/>
  <c r="V36" i="9"/>
  <c r="AD36" i="9"/>
  <c r="AL36" i="9"/>
  <c r="AT36" i="9"/>
  <c r="BB36" i="9"/>
  <c r="BJ36" i="9"/>
  <c r="BR36" i="9"/>
  <c r="BZ36" i="9"/>
  <c r="CH36" i="9"/>
  <c r="AG16" i="9"/>
  <c r="AO16" i="9"/>
  <c r="BE16" i="9"/>
  <c r="CK16" i="9"/>
  <c r="AH30" i="9"/>
  <c r="AP30" i="9"/>
  <c r="AX30" i="9"/>
  <c r="BF30" i="9"/>
  <c r="BN30" i="9"/>
  <c r="BV30" i="9"/>
  <c r="CD30" i="9"/>
  <c r="L31" i="9"/>
  <c r="T31" i="9"/>
  <c r="AB31" i="9"/>
  <c r="AJ31" i="9"/>
  <c r="AR31" i="9"/>
  <c r="AZ31" i="9"/>
  <c r="BH31" i="9"/>
  <c r="BP31" i="9"/>
  <c r="BX31" i="9"/>
  <c r="CF31" i="9"/>
  <c r="AL32" i="9"/>
  <c r="AT32" i="9"/>
  <c r="BB32" i="9"/>
  <c r="BR32" i="9"/>
  <c r="BZ32" i="9"/>
  <c r="U34" i="9"/>
  <c r="AC34" i="9"/>
  <c r="AK34" i="9"/>
  <c r="AS34" i="9"/>
  <c r="BA34" i="9"/>
  <c r="BI34" i="9"/>
  <c r="BQ34" i="9"/>
  <c r="BY34" i="9"/>
  <c r="CG34" i="9"/>
  <c r="H36" i="9"/>
  <c r="P36" i="9"/>
  <c r="X36" i="9"/>
  <c r="AF36" i="9"/>
  <c r="AN36" i="9"/>
  <c r="AV36" i="9"/>
  <c r="BD36" i="9"/>
  <c r="BL36" i="9"/>
  <c r="BT36" i="9"/>
  <c r="CB36" i="9"/>
  <c r="CJ36" i="9"/>
  <c r="K16" i="9"/>
  <c r="AQ16" i="9"/>
  <c r="AY16" i="9"/>
  <c r="BO16" i="9"/>
  <c r="BW16" i="9"/>
  <c r="I36" i="9"/>
  <c r="Q36" i="9"/>
  <c r="Y36" i="9"/>
  <c r="AG36" i="9"/>
  <c r="AO36" i="9"/>
  <c r="AW36" i="9"/>
  <c r="BE36" i="9"/>
  <c r="BM36" i="9"/>
  <c r="BU36" i="9"/>
  <c r="CC36" i="9"/>
  <c r="CK36" i="9"/>
  <c r="J36" i="9"/>
  <c r="R36" i="9"/>
  <c r="Z36" i="9"/>
  <c r="AH36" i="9"/>
  <c r="AP36" i="9"/>
  <c r="AX36" i="9"/>
  <c r="BF36" i="9"/>
  <c r="BN36" i="9"/>
  <c r="BV36" i="9"/>
  <c r="CD36" i="9"/>
  <c r="U16" i="9"/>
  <c r="AC16" i="9"/>
  <c r="AK16" i="9"/>
  <c r="BA16" i="9"/>
  <c r="BI16" i="9"/>
  <c r="BQ16" i="9"/>
  <c r="CG16" i="9"/>
  <c r="AC30" i="9"/>
  <c r="AK30" i="9"/>
  <c r="AS30" i="9"/>
  <c r="BA30" i="9"/>
  <c r="BI30" i="9"/>
  <c r="BQ30" i="9"/>
  <c r="BY30" i="9"/>
  <c r="CG30" i="9"/>
  <c r="G31" i="9"/>
  <c r="O31" i="9"/>
  <c r="W31" i="9"/>
  <c r="AE31" i="9"/>
  <c r="AM31" i="9"/>
  <c r="AU31" i="9"/>
  <c r="BC31" i="9"/>
  <c r="BK31" i="9"/>
  <c r="BS31" i="9"/>
  <c r="CA31" i="9"/>
  <c r="BE32" i="9"/>
  <c r="BU32" i="9"/>
  <c r="H34" i="9"/>
  <c r="P34" i="9"/>
  <c r="X34" i="9"/>
  <c r="AF34" i="9"/>
  <c r="AN34" i="9"/>
  <c r="AV34" i="9"/>
  <c r="BD34" i="9"/>
  <c r="BL34" i="9"/>
  <c r="BT34" i="9"/>
  <c r="CB34" i="9"/>
  <c r="K36" i="9"/>
  <c r="S36" i="9"/>
  <c r="AA36" i="9"/>
  <c r="AI36" i="9"/>
  <c r="AQ36" i="9"/>
  <c r="AY36" i="9"/>
  <c r="BG36" i="9"/>
  <c r="BO36" i="9"/>
  <c r="BW36" i="9"/>
  <c r="CE36" i="9"/>
  <c r="AL16" i="9"/>
  <c r="AT16" i="9"/>
  <c r="BB16" i="9"/>
  <c r="BJ16" i="9"/>
  <c r="BR16" i="9"/>
  <c r="BZ16" i="9"/>
  <c r="L36" i="9"/>
  <c r="T36" i="9"/>
  <c r="AB36" i="9"/>
  <c r="AJ36" i="9"/>
  <c r="AR36" i="9"/>
  <c r="AZ36" i="9"/>
  <c r="BH36" i="9"/>
  <c r="BP36" i="9"/>
  <c r="BX36" i="9"/>
  <c r="CF36" i="9"/>
  <c r="O16" i="9"/>
  <c r="AM16" i="9"/>
  <c r="AU16" i="9"/>
  <c r="BC16" i="9"/>
  <c r="CA16" i="9"/>
  <c r="E24" i="11" l="1"/>
  <c r="I74" i="11"/>
  <c r="BE28" i="12"/>
  <c r="J74" i="11"/>
  <c r="BG75" i="11"/>
  <c r="N24" i="11"/>
  <c r="Z24" i="11"/>
  <c r="AM24" i="11"/>
  <c r="AL24" i="11"/>
  <c r="AO74" i="11"/>
  <c r="AO75" i="11" s="1"/>
  <c r="N31" i="6"/>
  <c r="N32" i="6" s="1"/>
  <c r="I16" i="9"/>
  <c r="AD74" i="11"/>
  <c r="AD75" i="11" s="1"/>
  <c r="R34" i="9"/>
  <c r="X74" i="11"/>
  <c r="X75" i="11" s="1"/>
  <c r="BX75" i="11"/>
  <c r="U23" i="7"/>
  <c r="Z23" i="7"/>
  <c r="H23" i="7"/>
  <c r="P23" i="7"/>
  <c r="E13" i="7"/>
  <c r="V13" i="7"/>
  <c r="F13" i="7"/>
  <c r="N13" i="7"/>
  <c r="G24" i="11"/>
  <c r="F24" i="11"/>
  <c r="AJ24" i="11"/>
  <c r="AI24" i="11"/>
  <c r="F31" i="6"/>
  <c r="F32" i="6" s="1"/>
  <c r="F28" i="10"/>
  <c r="Y24" i="11"/>
  <c r="H24" i="11"/>
  <c r="W75" i="11"/>
  <c r="AJ75" i="11"/>
  <c r="AS75" i="11"/>
  <c r="M75" i="11"/>
  <c r="AH75" i="11"/>
  <c r="AL31" i="6"/>
  <c r="AL32" i="6" s="1"/>
  <c r="N28" i="10"/>
  <c r="AL28" i="10"/>
  <c r="V28" i="10"/>
  <c r="V20" i="11"/>
  <c r="V21" i="11" s="1"/>
  <c r="V24" i="11" s="1"/>
  <c r="AI75" i="11"/>
  <c r="AM75" i="11"/>
  <c r="H74" i="11"/>
  <c r="AH25" i="9"/>
  <c r="AO25" i="9"/>
  <c r="G25" i="9"/>
  <c r="I24" i="9"/>
  <c r="M24" i="9"/>
  <c r="AW28" i="12"/>
  <c r="AO28" i="12"/>
  <c r="BM28" i="12"/>
  <c r="AZ28" i="12"/>
  <c r="O28" i="12"/>
  <c r="G28" i="12"/>
  <c r="I31" i="12"/>
  <c r="M31" i="12"/>
  <c r="AY75" i="11"/>
  <c r="AQ75" i="11"/>
  <c r="T74" i="11"/>
  <c r="X23" i="7"/>
  <c r="G23" i="7"/>
  <c r="S23" i="7"/>
  <c r="I32" i="9"/>
  <c r="M32" i="9"/>
  <c r="H32" i="9"/>
  <c r="N32" i="9"/>
  <c r="L32" i="9"/>
  <c r="V74" i="11"/>
  <c r="V75" i="11" s="1"/>
  <c r="G74" i="11"/>
  <c r="G75" i="11" s="1"/>
  <c r="P74" i="11"/>
  <c r="P75" i="11" s="1"/>
  <c r="F32" i="9"/>
  <c r="F25" i="9"/>
  <c r="J16" i="9"/>
  <c r="O75" i="11"/>
  <c r="N74" i="11"/>
  <c r="N75" i="11" s="1"/>
  <c r="AK74" i="11"/>
  <c r="AF75" i="11"/>
  <c r="E75" i="11"/>
  <c r="AR75" i="11"/>
  <c r="AF32" i="9"/>
  <c r="E32" i="9"/>
  <c r="J32" i="9"/>
  <c r="I75" i="11"/>
  <c r="AA75" i="11"/>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AB23" i="7"/>
  <c r="Q23" i="7"/>
  <c r="L23" i="7"/>
  <c r="K23" i="7"/>
  <c r="J23" i="7"/>
  <c r="AB22" i="10"/>
  <c r="AD31" i="6"/>
  <c r="AD32" i="6" s="1"/>
  <c r="AD28" i="10"/>
  <c r="AG74" i="11"/>
  <c r="AG75" i="11" s="1"/>
  <c r="AE74" i="11"/>
  <c r="AE75" i="11" s="1"/>
  <c r="AB75" i="11"/>
  <c r="V31" i="6"/>
  <c r="AJ22" i="10"/>
  <c r="BM75" i="11"/>
  <c r="CJ75" i="11"/>
  <c r="BS75" i="11"/>
  <c r="CE22" i="10"/>
  <c r="S22" i="10"/>
  <c r="BQ22" i="10"/>
  <c r="CD22" i="10"/>
  <c r="R22" i="10"/>
  <c r="Y22" i="10"/>
  <c r="BL22" i="10"/>
  <c r="BS22" i="10"/>
  <c r="BC22" i="10"/>
  <c r="W22" i="10"/>
  <c r="BY28" i="10"/>
  <c r="BY31" i="6"/>
  <c r="M28" i="10"/>
  <c r="M31" i="6"/>
  <c r="M32" i="6" s="1"/>
  <c r="BP28" i="10"/>
  <c r="BP31" i="6"/>
  <c r="D31" i="6"/>
  <c r="BW28" i="10"/>
  <c r="BW31" i="6"/>
  <c r="K28" i="10"/>
  <c r="K31" i="6"/>
  <c r="K32" i="6" s="1"/>
  <c r="F6" i="11"/>
  <c r="Z28" i="10"/>
  <c r="Z31" i="6"/>
  <c r="Z32" i="6" s="1"/>
  <c r="BE28" i="10"/>
  <c r="BE31" i="6"/>
  <c r="CJ28" i="10"/>
  <c r="CJ31" i="6"/>
  <c r="X28" i="10"/>
  <c r="X31" i="6"/>
  <c r="X32" i="6" s="1"/>
  <c r="BK28" i="10"/>
  <c r="BK31" i="6"/>
  <c r="BE75" i="11"/>
  <c r="CB75" i="11"/>
  <c r="BK75" i="11"/>
  <c r="BZ22" i="10"/>
  <c r="BW22" i="10"/>
  <c r="K22" i="10"/>
  <c r="AK22" i="10"/>
  <c r="BV22" i="10"/>
  <c r="J22" i="10"/>
  <c r="CC22" i="10"/>
  <c r="Q22" i="10"/>
  <c r="BD22" i="10"/>
  <c r="BQ28" i="10"/>
  <c r="BQ31" i="6"/>
  <c r="E28" i="10"/>
  <c r="E31" i="6"/>
  <c r="E32" i="6" s="1"/>
  <c r="BH28" i="10"/>
  <c r="BH31" i="6"/>
  <c r="BO28" i="10"/>
  <c r="BO31" i="6"/>
  <c r="C31" i="6"/>
  <c r="CD28" i="10"/>
  <c r="CD31" i="6"/>
  <c r="R28" i="10"/>
  <c r="R31" i="6"/>
  <c r="R32" i="6" s="1"/>
  <c r="AW28" i="10"/>
  <c r="AW31" i="6"/>
  <c r="CB28" i="10"/>
  <c r="CB31" i="6"/>
  <c r="P28" i="10"/>
  <c r="P31" i="6"/>
  <c r="P32" i="6" s="1"/>
  <c r="BC28" i="10"/>
  <c r="BC31" i="6"/>
  <c r="BP75" i="11"/>
  <c r="AW75" i="11"/>
  <c r="BT75" i="11"/>
  <c r="H75" i="11"/>
  <c r="BC75" i="11"/>
  <c r="CH75" i="11"/>
  <c r="CF22" i="10"/>
  <c r="T22" i="10"/>
  <c r="AL22" i="10"/>
  <c r="F22" i="10"/>
  <c r="BO22" i="10"/>
  <c r="BI22" i="10"/>
  <c r="M22" i="10"/>
  <c r="BN22" i="10"/>
  <c r="BU22" i="10"/>
  <c r="I22" i="10"/>
  <c r="AV22" i="10"/>
  <c r="CI22" i="10"/>
  <c r="BI28" i="10"/>
  <c r="BI31" i="6"/>
  <c r="BJ6" i="11"/>
  <c r="BJ39" i="10"/>
  <c r="BJ34" i="10"/>
  <c r="BJ38" i="6"/>
  <c r="AZ28" i="10"/>
  <c r="AZ31" i="6"/>
  <c r="BG28" i="10"/>
  <c r="BG31" i="6"/>
  <c r="BV28" i="10"/>
  <c r="BV31" i="6"/>
  <c r="J28" i="10"/>
  <c r="J31" i="6"/>
  <c r="J32" i="6" s="1"/>
  <c r="AO28" i="10"/>
  <c r="AO31" i="6"/>
  <c r="AO32" i="6" s="1"/>
  <c r="AL6" i="11"/>
  <c r="BT28" i="10"/>
  <c r="BT31" i="6"/>
  <c r="H28" i="10"/>
  <c r="H31" i="6"/>
  <c r="H32" i="6" s="1"/>
  <c r="BR6" i="11"/>
  <c r="BR39" i="10"/>
  <c r="BR34" i="10"/>
  <c r="BR38" i="6"/>
  <c r="AU28" i="10"/>
  <c r="AU31" i="6"/>
  <c r="BW75" i="11"/>
  <c r="BL75" i="11"/>
  <c r="AU75" i="11"/>
  <c r="BZ75" i="11"/>
  <c r="BX22" i="10"/>
  <c r="L22" i="10"/>
  <c r="BB22" i="10"/>
  <c r="V22" i="10"/>
  <c r="BG22" i="10"/>
  <c r="BF22" i="10"/>
  <c r="BM22" i="10"/>
  <c r="AN22" i="10"/>
  <c r="AU22" i="10"/>
  <c r="O22" i="10"/>
  <c r="BA28" i="10"/>
  <c r="BA31" i="6"/>
  <c r="BJ29" i="10"/>
  <c r="AR28" i="10"/>
  <c r="AR31" i="6"/>
  <c r="AR32" i="6" s="1"/>
  <c r="AY28" i="10"/>
  <c r="AY31" i="6"/>
  <c r="BN28" i="10"/>
  <c r="BN31" i="6"/>
  <c r="B31" i="6"/>
  <c r="CH6" i="11"/>
  <c r="CH39" i="10"/>
  <c r="CH34" i="10"/>
  <c r="CH38" i="6"/>
  <c r="AG28" i="10"/>
  <c r="AG31" i="6"/>
  <c r="AG32" i="6" s="1"/>
  <c r="BL28" i="10"/>
  <c r="BL31" i="6"/>
  <c r="BR29" i="10"/>
  <c r="AM28" i="10"/>
  <c r="AM31" i="6"/>
  <c r="AM32" i="6" s="1"/>
  <c r="BD75" i="1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CH29" i="10"/>
  <c r="Y28" i="10"/>
  <c r="Y31" i="6"/>
  <c r="Y32" i="6" s="1"/>
  <c r="BD28" i="10"/>
  <c r="BD31" i="6"/>
  <c r="AE28" i="10"/>
  <c r="AE31" i="6"/>
  <c r="AE32" i="6" s="1"/>
  <c r="J75" i="11"/>
  <c r="AV75" i="11"/>
  <c r="Y74" i="11"/>
  <c r="Y75" i="11" s="1"/>
  <c r="BJ75" i="11"/>
  <c r="BH22" i="10"/>
  <c r="AQ22" i="10"/>
  <c r="E22" i="10"/>
  <c r="AP22" i="10"/>
  <c r="AW22" i="10"/>
  <c r="CJ22" i="10"/>
  <c r="X22" i="10"/>
  <c r="CA22" i="10"/>
  <c r="AK28" i="10"/>
  <c r="AK31" i="6"/>
  <c r="AK32" i="6" s="1"/>
  <c r="AB28" i="10"/>
  <c r="AB31" i="6"/>
  <c r="AB32" i="6" s="1"/>
  <c r="AI28" i="10"/>
  <c r="AI31" i="6"/>
  <c r="AI32" i="6" s="1"/>
  <c r="BB6" i="11"/>
  <c r="BB39" i="10"/>
  <c r="BB34" i="10"/>
  <c r="BB38" i="6"/>
  <c r="AX28" i="10"/>
  <c r="AX31" i="6"/>
  <c r="CC28" i="10"/>
  <c r="CC31" i="6"/>
  <c r="Q28" i="10"/>
  <c r="Q31" i="6"/>
  <c r="Q32" i="6" s="1"/>
  <c r="AV28" i="10"/>
  <c r="AV31" i="6"/>
  <c r="N6" i="11"/>
  <c r="N39" i="10"/>
  <c r="N34" i="10"/>
  <c r="N29" i="10" s="1"/>
  <c r="N38" i="6"/>
  <c r="N39" i="6" s="1"/>
  <c r="CI28" i="10"/>
  <c r="CI31" i="6"/>
  <c r="W28" i="10"/>
  <c r="W31" i="6"/>
  <c r="W32" i="6" s="1"/>
  <c r="CC75" i="11"/>
  <c r="AN75" i="11"/>
  <c r="CI75" i="11"/>
  <c r="AL75" i="11"/>
  <c r="Q74" i="11"/>
  <c r="Q75" i="11" s="1"/>
  <c r="AZ22" i="10"/>
  <c r="AT22" i="10"/>
  <c r="AD22" i="10"/>
  <c r="N22" i="10"/>
  <c r="AI22" i="10"/>
  <c r="BY22" i="10"/>
  <c r="AS22" i="10"/>
  <c r="AH22" i="10"/>
  <c r="AO22" i="10"/>
  <c r="CB22" i="10"/>
  <c r="P22" i="10"/>
  <c r="AC28" i="10"/>
  <c r="AC31" i="6"/>
  <c r="AC32" i="6" s="1"/>
  <c r="CF28" i="10"/>
  <c r="CF31" i="6"/>
  <c r="T28" i="10"/>
  <c r="T31" i="6"/>
  <c r="T32" i="6" s="1"/>
  <c r="AA28" i="10"/>
  <c r="AA31" i="6"/>
  <c r="AA32" i="6" s="1"/>
  <c r="BB29" i="10"/>
  <c r="AP28" i="10"/>
  <c r="AP31" i="6"/>
  <c r="AP32" i="6" s="1"/>
  <c r="AD34" i="10"/>
  <c r="BU28" i="10"/>
  <c r="BU31" i="6"/>
  <c r="I28" i="10"/>
  <c r="I31" i="6"/>
  <c r="I32" i="6" s="1"/>
  <c r="AN28" i="10"/>
  <c r="AN31" i="6"/>
  <c r="AN32" i="6" s="1"/>
  <c r="CA28" i="10"/>
  <c r="CA31" i="6"/>
  <c r="O28" i="10"/>
  <c r="O31" i="6"/>
  <c r="O32" i="6" s="1"/>
  <c r="BU75" i="11"/>
  <c r="CA75" i="11"/>
  <c r="AR22" i="10"/>
  <c r="CH22" i="10"/>
  <c r="BJ22" i="10"/>
  <c r="AA22" i="10"/>
  <c r="U22" i="10"/>
  <c r="Z22" i="10"/>
  <c r="AG22" i="10"/>
  <c r="BT22" i="10"/>
  <c r="H22" i="10"/>
  <c r="AM22" i="10"/>
  <c r="G22" i="10"/>
  <c r="CG28" i="10"/>
  <c r="CG31" i="6"/>
  <c r="U28" i="10"/>
  <c r="U31" i="6"/>
  <c r="U32" i="6" s="1"/>
  <c r="BX28" i="10"/>
  <c r="BX31" i="6"/>
  <c r="L28" i="10"/>
  <c r="L31" i="6"/>
  <c r="L32" i="6" s="1"/>
  <c r="CE28" i="10"/>
  <c r="CE31" i="6"/>
  <c r="S28" i="10"/>
  <c r="S31" i="6"/>
  <c r="S32" i="6" s="1"/>
  <c r="AH28" i="10"/>
  <c r="AH31" i="6"/>
  <c r="AH32" i="6" s="1"/>
  <c r="BM28" i="10"/>
  <c r="BM31" i="6"/>
  <c r="BZ6" i="11"/>
  <c r="BZ39" i="10"/>
  <c r="BZ34" i="10"/>
  <c r="BZ38" i="6"/>
  <c r="AF28" i="10"/>
  <c r="AF31" i="6"/>
  <c r="AF32" i="6" s="1"/>
  <c r="BS28" i="10"/>
  <c r="BS31" i="6"/>
  <c r="G28" i="10"/>
  <c r="G31" i="6"/>
  <c r="G32" i="6" s="1"/>
  <c r="AT6" i="11"/>
  <c r="AT39" i="10"/>
  <c r="AT34" i="10"/>
  <c r="AT29" i="10" s="1"/>
  <c r="AT38" i="6"/>
  <c r="AD34" i="9"/>
  <c r="E16" i="9"/>
  <c r="AH16" i="9"/>
  <c r="R16" i="9"/>
  <c r="AM32" i="9"/>
  <c r="G32" i="9"/>
  <c r="O32" i="9"/>
  <c r="AJ32" i="9"/>
  <c r="P32" i="9"/>
  <c r="S75" i="11"/>
  <c r="AK75" i="11"/>
  <c r="Z75" i="11"/>
  <c r="K75" i="11"/>
  <c r="T75" i="11"/>
  <c r="L75" i="11"/>
  <c r="U75" i="11"/>
  <c r="AP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108" i="5"/>
  <c r="H12" i="9"/>
  <c r="H4" i="8"/>
  <c r="H108" i="5"/>
  <c r="CK50" i="11"/>
  <c r="CK4" i="9"/>
  <c r="CK29" i="9" s="1"/>
  <c r="CK69" i="5"/>
  <c r="Y50" i="11"/>
  <c r="Y51" i="11" s="1"/>
  <c r="Y4" i="9"/>
  <c r="Y69" i="5"/>
  <c r="AN50" i="11"/>
  <c r="AN51" i="11" s="1"/>
  <c r="AN4" i="9"/>
  <c r="AN69" i="5"/>
  <c r="BC50" i="11"/>
  <c r="BC51" i="11" s="1"/>
  <c r="BC4" i="9"/>
  <c r="BC69" i="5"/>
  <c r="BB50" i="11"/>
  <c r="BB51" i="11" s="1"/>
  <c r="BB4" i="9"/>
  <c r="BB69" i="5"/>
  <c r="L12" i="9"/>
  <c r="L4" i="8"/>
  <c r="L108" i="5"/>
  <c r="CG50" i="11"/>
  <c r="CG51" i="11" s="1"/>
  <c r="CG4" i="9"/>
  <c r="CG29" i="9" s="1"/>
  <c r="CG69" i="5"/>
  <c r="U50" i="11"/>
  <c r="U51" i="11" s="1"/>
  <c r="U4" i="9"/>
  <c r="U69" i="5"/>
  <c r="CD12" i="9"/>
  <c r="CD108" i="5"/>
  <c r="AX12" i="9"/>
  <c r="AX108" i="5"/>
  <c r="AX4" i="8"/>
  <c r="R12" i="9"/>
  <c r="R4" i="8"/>
  <c r="R108" i="5"/>
  <c r="AB50" i="11"/>
  <c r="AB51" i="11" s="1"/>
  <c r="AB4" i="9"/>
  <c r="AB69" i="5"/>
  <c r="I12" i="9"/>
  <c r="I37" i="9" s="1"/>
  <c r="I4" i="8"/>
  <c r="I108" i="5"/>
  <c r="AQ50" i="11"/>
  <c r="AQ51" i="11" s="1"/>
  <c r="AQ4" i="9"/>
  <c r="AQ69" i="5"/>
  <c r="BF50" i="11"/>
  <c r="BF51" i="11" s="1"/>
  <c r="BF4" i="9"/>
  <c r="BF69" i="5"/>
  <c r="CI12" i="9"/>
  <c r="CI108" i="5"/>
  <c r="W12" i="9"/>
  <c r="W4" i="8"/>
  <c r="W108" i="5"/>
  <c r="BR12" i="9"/>
  <c r="BR108" i="5"/>
  <c r="BR4" i="8"/>
  <c r="F12" i="9"/>
  <c r="F4" i="8"/>
  <c r="F108" i="5"/>
  <c r="BA12" i="9"/>
  <c r="BA4" i="8"/>
  <c r="BA108" i="5"/>
  <c r="CE12" i="9"/>
  <c r="CE108" i="5"/>
  <c r="S12" i="9"/>
  <c r="S4" i="8"/>
  <c r="S108" i="5"/>
  <c r="BU12" i="9"/>
  <c r="BU4" i="8"/>
  <c r="BU108" i="5"/>
  <c r="BL12" i="9"/>
  <c r="BL4" i="8"/>
  <c r="BL108" i="5"/>
  <c r="CC50" i="11"/>
  <c r="CC51" i="11" s="1"/>
  <c r="CC4" i="9"/>
  <c r="CC29" i="9" s="1"/>
  <c r="CC69" i="5"/>
  <c r="Q50" i="11"/>
  <c r="Q51" i="11" s="1"/>
  <c r="Q4" i="9"/>
  <c r="Q69" i="5"/>
  <c r="AF50" i="11"/>
  <c r="AF51" i="11" s="1"/>
  <c r="AF4" i="9"/>
  <c r="AF69" i="5"/>
  <c r="AU50" i="11"/>
  <c r="AU51" i="11" s="1"/>
  <c r="AU4" i="9"/>
  <c r="AU69" i="5"/>
  <c r="AT50" i="11"/>
  <c r="AT51" i="11" s="1"/>
  <c r="AT4" i="9"/>
  <c r="AT69" i="5"/>
  <c r="BY50" i="11"/>
  <c r="BY51" i="11" s="1"/>
  <c r="BY4" i="9"/>
  <c r="BY29" i="9" s="1"/>
  <c r="BY69" i="5"/>
  <c r="M50" i="11"/>
  <c r="M51" i="11" s="1"/>
  <c r="M4" i="9"/>
  <c r="M69" i="5"/>
  <c r="CF50" i="11"/>
  <c r="CF51" i="11" s="1"/>
  <c r="CF4" i="9"/>
  <c r="CF69" i="5"/>
  <c r="T50" i="11"/>
  <c r="T51" i="11" s="1"/>
  <c r="T4" i="9"/>
  <c r="T69" i="5"/>
  <c r="AQ32" i="9"/>
  <c r="K32" i="9"/>
  <c r="AI50" i="11"/>
  <c r="AI51" i="11" s="1"/>
  <c r="AI4" i="9"/>
  <c r="AI69" i="5"/>
  <c r="AX50" i="11"/>
  <c r="AX51" i="11" s="1"/>
  <c r="AX4" i="9"/>
  <c r="AX29" i="9" s="1"/>
  <c r="AX69" i="5"/>
  <c r="CA12" i="9"/>
  <c r="CA108" i="5"/>
  <c r="O12" i="9"/>
  <c r="O4" i="8"/>
  <c r="O108" i="5"/>
  <c r="BJ12" i="9"/>
  <c r="BJ108" i="5"/>
  <c r="BJ4" i="8"/>
  <c r="AS12" i="9"/>
  <c r="AS4" i="8"/>
  <c r="AS108" i="5"/>
  <c r="BW12" i="9"/>
  <c r="BW108" i="5"/>
  <c r="K12" i="9"/>
  <c r="K4" i="8"/>
  <c r="K108" i="5"/>
  <c r="BM12" i="9"/>
  <c r="BM4" i="8"/>
  <c r="BM108" i="5"/>
  <c r="BD12" i="9"/>
  <c r="BD4" i="8"/>
  <c r="BD108" i="5"/>
  <c r="CK32" i="9"/>
  <c r="BU50" i="11"/>
  <c r="BU51" i="11" s="1"/>
  <c r="BU4" i="9"/>
  <c r="BU29" i="9" s="1"/>
  <c r="BU69" i="5"/>
  <c r="I50" i="11"/>
  <c r="I51" i="11" s="1"/>
  <c r="I4" i="9"/>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29" i="9" s="1"/>
  <c r="BQ69" i="5"/>
  <c r="E50" i="11"/>
  <c r="E51" i="11" s="1"/>
  <c r="E4" i="9"/>
  <c r="E69" i="5"/>
  <c r="BV12" i="9"/>
  <c r="BV4" i="8"/>
  <c r="BV108" i="5"/>
  <c r="AP12" i="9"/>
  <c r="AP4" i="8"/>
  <c r="AP108" i="5"/>
  <c r="J12" i="9"/>
  <c r="J4" i="8"/>
  <c r="J108" i="5"/>
  <c r="BX50" i="11"/>
  <c r="BX51" i="11" s="1"/>
  <c r="BX4" i="9"/>
  <c r="BX69" i="5"/>
  <c r="L50" i="11"/>
  <c r="L51" i="11" s="1"/>
  <c r="L4" i="9"/>
  <c r="L69" i="5"/>
  <c r="AA50" i="11"/>
  <c r="AA51" i="11" s="1"/>
  <c r="AA4" i="9"/>
  <c r="AA69" i="5"/>
  <c r="AP50" i="11"/>
  <c r="AP51" i="11" s="1"/>
  <c r="AP4" i="9"/>
  <c r="AP29" i="9" s="1"/>
  <c r="AP69" i="5"/>
  <c r="BS12" i="9"/>
  <c r="BS4" i="8"/>
  <c r="BS108" i="5"/>
  <c r="G12" i="9"/>
  <c r="G4" i="8"/>
  <c r="G108" i="5"/>
  <c r="BB12" i="9"/>
  <c r="BB108" i="5"/>
  <c r="BB4" i="8"/>
  <c r="AK12" i="9"/>
  <c r="AK4" i="8"/>
  <c r="AK108" i="5"/>
  <c r="BO12" i="9"/>
  <c r="BO4" i="8"/>
  <c r="BO108" i="5"/>
  <c r="BE12" i="9"/>
  <c r="BE4" i="8"/>
  <c r="BE108" i="5"/>
  <c r="AV12" i="9"/>
  <c r="AV4" i="8"/>
  <c r="AV108" i="5"/>
  <c r="AR12" i="9"/>
  <c r="AR4" i="8"/>
  <c r="AR108" i="5"/>
  <c r="BM50" i="11"/>
  <c r="BM51" i="11" s="1"/>
  <c r="BM4" i="9"/>
  <c r="BM29" i="9" s="1"/>
  <c r="BM69" i="5"/>
  <c r="CB50" i="11"/>
  <c r="CB51" i="11" s="1"/>
  <c r="CB4" i="9"/>
  <c r="CB29" i="9" s="1"/>
  <c r="CB69" i="5"/>
  <c r="P50" i="11"/>
  <c r="P51" i="11" s="1"/>
  <c r="P4" i="9"/>
  <c r="P69" i="5"/>
  <c r="AE50" i="11"/>
  <c r="AE51" i="11" s="1"/>
  <c r="AE4" i="9"/>
  <c r="AE29" i="9" s="1"/>
  <c r="AE69" i="5"/>
  <c r="AD50" i="11"/>
  <c r="AD51" i="11" s="1"/>
  <c r="AD4" i="9"/>
  <c r="AD69" i="5"/>
  <c r="BI50" i="11"/>
  <c r="BI51" i="11" s="1"/>
  <c r="BI4" i="9"/>
  <c r="BI29" i="9" s="1"/>
  <c r="BI69" i="5"/>
  <c r="BP50" i="11"/>
  <c r="BP51" i="11" s="1"/>
  <c r="BP4" i="9"/>
  <c r="BP69" i="5"/>
  <c r="BO32" i="9"/>
  <c r="AI32" i="9"/>
  <c r="CE50" i="11"/>
  <c r="CE51" i="11" s="1"/>
  <c r="CE4" i="9"/>
  <c r="CE69" i="5"/>
  <c r="S50" i="11"/>
  <c r="S51" i="11" s="1"/>
  <c r="S4" i="9"/>
  <c r="S69" i="5"/>
  <c r="AH50" i="11"/>
  <c r="AH51" i="11" s="1"/>
  <c r="AH4" i="9"/>
  <c r="AH69" i="5"/>
  <c r="BK12" i="9"/>
  <c r="BK4" i="8"/>
  <c r="BK108" i="5"/>
  <c r="AT12" i="9"/>
  <c r="AT4" i="8"/>
  <c r="AT108" i="5"/>
  <c r="AC12" i="9"/>
  <c r="AC4" i="8"/>
  <c r="AC108" i="5"/>
  <c r="BG12" i="9"/>
  <c r="BG4" i="8"/>
  <c r="BG108" i="5"/>
  <c r="AW12" i="9"/>
  <c r="AW4" i="8"/>
  <c r="AW108" i="5"/>
  <c r="AN12" i="9"/>
  <c r="AN4" i="8"/>
  <c r="AN108" i="5"/>
  <c r="BE50" i="11"/>
  <c r="BE51" i="11" s="1"/>
  <c r="BE4" i="9"/>
  <c r="BE29" i="9" s="1"/>
  <c r="BE69" i="5"/>
  <c r="CJ32" i="9"/>
  <c r="BT50" i="11"/>
  <c r="BT51" i="11" s="1"/>
  <c r="BT4" i="9"/>
  <c r="BT29" i="9" s="1"/>
  <c r="BT69" i="5"/>
  <c r="H50" i="11"/>
  <c r="H51" i="11" s="1"/>
  <c r="H4" i="9"/>
  <c r="H69" i="5"/>
  <c r="M12" i="9"/>
  <c r="M37" i="9" s="1"/>
  <c r="M4" i="8"/>
  <c r="M108" i="5"/>
  <c r="CI50" i="11"/>
  <c r="CI51" i="11" s="1"/>
  <c r="CI4" i="9"/>
  <c r="CI29" i="9" s="1"/>
  <c r="CI69" i="5"/>
  <c r="W50" i="11"/>
  <c r="W51" i="11" s="1"/>
  <c r="W4" i="9"/>
  <c r="W29" i="9" s="1"/>
  <c r="W69" i="5"/>
  <c r="CH50" i="11"/>
  <c r="CH51" i="11" s="1"/>
  <c r="CH4" i="9"/>
  <c r="CH29" i="9" s="1"/>
  <c r="CH69" i="5"/>
  <c r="V50" i="11"/>
  <c r="V51" i="11" s="1"/>
  <c r="V4" i="9"/>
  <c r="V69" i="5"/>
  <c r="BA50" i="11"/>
  <c r="BA51" i="11" s="1"/>
  <c r="BA4" i="9"/>
  <c r="BA29" i="9" s="1"/>
  <c r="BA69" i="5"/>
  <c r="BN12" i="9"/>
  <c r="BN4" i="8"/>
  <c r="BN108" i="5"/>
  <c r="AH12" i="9"/>
  <c r="AH4" i="8"/>
  <c r="AH108" i="5"/>
  <c r="BH50" i="11"/>
  <c r="BH51" i="11" s="1"/>
  <c r="BH4" i="9"/>
  <c r="BH69" i="5"/>
  <c r="BW50" i="11"/>
  <c r="BW51" i="11" s="1"/>
  <c r="BW4" i="9"/>
  <c r="BW69" i="5"/>
  <c r="K50" i="11"/>
  <c r="K51" i="11" s="1"/>
  <c r="K4" i="9"/>
  <c r="K69" i="5"/>
  <c r="AZ12" i="9"/>
  <c r="AZ108" i="5"/>
  <c r="AZ4" i="8"/>
  <c r="Z50" i="11"/>
  <c r="Z51" i="11" s="1"/>
  <c r="Z4" i="9"/>
  <c r="Z69" i="5"/>
  <c r="BC12" i="9"/>
  <c r="BC4" i="8"/>
  <c r="BC108" i="5"/>
  <c r="AL12" i="9"/>
  <c r="AL4" i="8"/>
  <c r="AL108" i="5"/>
  <c r="CG12" i="9"/>
  <c r="CG108" i="5"/>
  <c r="U12" i="9"/>
  <c r="U4" i="8"/>
  <c r="U108" i="5"/>
  <c r="AY12" i="9"/>
  <c r="AY4" i="8"/>
  <c r="AY108" i="5"/>
  <c r="AO12" i="9"/>
  <c r="AO4" i="8"/>
  <c r="AO108" i="5"/>
  <c r="AF12" i="9"/>
  <c r="AF4" i="8"/>
  <c r="AF108" i="5"/>
  <c r="AW50" i="11"/>
  <c r="AW51" i="11" s="1"/>
  <c r="AW4" i="9"/>
  <c r="AW29" i="9" s="1"/>
  <c r="AW69" i="5"/>
  <c r="AJ12" i="9"/>
  <c r="AJ4" i="8"/>
  <c r="AJ108" i="5"/>
  <c r="BL50" i="11"/>
  <c r="BL51" i="11" s="1"/>
  <c r="BL4" i="9"/>
  <c r="BL29" i="9" s="1"/>
  <c r="BL69" i="5"/>
  <c r="CA50" i="11"/>
  <c r="CA51" i="11" s="1"/>
  <c r="CA4" i="9"/>
  <c r="CA29" i="9" s="1"/>
  <c r="CA69" i="5"/>
  <c r="O50" i="11"/>
  <c r="O51" i="11" s="1"/>
  <c r="O4" i="9"/>
  <c r="O69" i="5"/>
  <c r="BZ50" i="11"/>
  <c r="BZ51" i="11" s="1"/>
  <c r="BZ4" i="9"/>
  <c r="BZ69" i="5"/>
  <c r="N50" i="11"/>
  <c r="N51" i="11" s="1"/>
  <c r="N4" i="9"/>
  <c r="N69" i="5"/>
  <c r="AS50" i="11"/>
  <c r="AS51" i="11" s="1"/>
  <c r="AS4" i="9"/>
  <c r="AS29" i="9" s="1"/>
  <c r="AS69" i="5"/>
  <c r="BP12" i="9"/>
  <c r="BP4" i="8"/>
  <c r="BP108" i="5"/>
  <c r="AZ50" i="11"/>
  <c r="AZ51" i="11" s="1"/>
  <c r="AZ4" i="9"/>
  <c r="AZ69" i="5"/>
  <c r="BG32" i="9"/>
  <c r="AA32" i="9"/>
  <c r="BO50" i="11"/>
  <c r="BO51" i="11" s="1"/>
  <c r="BO4" i="9"/>
  <c r="BO69" i="5"/>
  <c r="CD50" i="11"/>
  <c r="CD51" i="11" s="1"/>
  <c r="CD4" i="9"/>
  <c r="CD29" i="9" s="1"/>
  <c r="CD69" i="5"/>
  <c r="R50" i="11"/>
  <c r="R51" i="11" s="1"/>
  <c r="R4" i="9"/>
  <c r="R69" i="5"/>
  <c r="AU12" i="9"/>
  <c r="AU4" i="8"/>
  <c r="AU108" i="5"/>
  <c r="AD12" i="9"/>
  <c r="AD4" i="8"/>
  <c r="AD108" i="5"/>
  <c r="BY12" i="9"/>
  <c r="BY108" i="5"/>
  <c r="AQ12" i="9"/>
  <c r="AQ4" i="8"/>
  <c r="AQ108" i="5"/>
  <c r="AG12" i="9"/>
  <c r="AG4" i="8"/>
  <c r="AG108" i="5"/>
  <c r="CJ12" i="9"/>
  <c r="CJ108" i="5"/>
  <c r="X12" i="9"/>
  <c r="X4" i="8"/>
  <c r="X108" i="5"/>
  <c r="AO50" i="11"/>
  <c r="AO51" i="11" s="1"/>
  <c r="AO4" i="9"/>
  <c r="AO69" i="5"/>
  <c r="BD50" i="11"/>
  <c r="BD51" i="11" s="1"/>
  <c r="BD4" i="9"/>
  <c r="BD29" i="9" s="1"/>
  <c r="BD69" i="5"/>
  <c r="B27" i="13"/>
  <c r="B8" i="13"/>
  <c r="E12" i="9"/>
  <c r="E37" i="9" s="1"/>
  <c r="E4" i="8"/>
  <c r="E108" i="5"/>
  <c r="CI32" i="9"/>
  <c r="BS50" i="11"/>
  <c r="BS51" i="11" s="1"/>
  <c r="BS4" i="9"/>
  <c r="BS29" i="9" s="1"/>
  <c r="BS69" i="5"/>
  <c r="G50" i="11"/>
  <c r="G51" i="11" s="1"/>
  <c r="G4" i="9"/>
  <c r="G69" i="5"/>
  <c r="CF12" i="9"/>
  <c r="CF108" i="5"/>
  <c r="CH32" i="9"/>
  <c r="BR50" i="11"/>
  <c r="BR51" i="11" s="1"/>
  <c r="BR4" i="9"/>
  <c r="BR69" i="5"/>
  <c r="F50" i="11"/>
  <c r="F51" i="11" s="1"/>
  <c r="F4" i="9"/>
  <c r="F69" i="5"/>
  <c r="AK50" i="11"/>
  <c r="AK51" i="11" s="1"/>
  <c r="AK4" i="9"/>
  <c r="AK29" i="9" s="1"/>
  <c r="AK69" i="5"/>
  <c r="BF12" i="9"/>
  <c r="BF108" i="5"/>
  <c r="BF4" i="8"/>
  <c r="Z12" i="9"/>
  <c r="Z4" i="8"/>
  <c r="Z108" i="5"/>
  <c r="AR50" i="11"/>
  <c r="AR51" i="11" s="1"/>
  <c r="AR4" i="9"/>
  <c r="AR69" i="5"/>
  <c r="BH12" i="9"/>
  <c r="BH4" i="8"/>
  <c r="BH108" i="5"/>
  <c r="BG50" i="11"/>
  <c r="BG51" i="11" s="1"/>
  <c r="BG4" i="9"/>
  <c r="BG69" i="5"/>
  <c r="BV50" i="11"/>
  <c r="BV51" i="11" s="1"/>
  <c r="BV4" i="9"/>
  <c r="BV29" i="9" s="1"/>
  <c r="BV69" i="5"/>
  <c r="J50" i="11"/>
  <c r="J51" i="11" s="1"/>
  <c r="J4" i="9"/>
  <c r="J69" i="5"/>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V50" i="11"/>
  <c r="AV51" i="11" s="1"/>
  <c r="AV4" i="9"/>
  <c r="AV29" i="9" s="1"/>
  <c r="AV69" i="5"/>
  <c r="BK50" i="11"/>
  <c r="BK51" i="11" s="1"/>
  <c r="BK4" i="9"/>
  <c r="BK29" i="9" s="1"/>
  <c r="BK69" i="5"/>
  <c r="T12" i="9"/>
  <c r="T4" i="8"/>
  <c r="T108" i="5"/>
  <c r="BJ50" i="11"/>
  <c r="BJ51" i="11" s="1"/>
  <c r="BJ4" i="9"/>
  <c r="BJ69" i="5"/>
  <c r="BX12" i="9"/>
  <c r="BX108" i="5"/>
  <c r="AC50" i="11"/>
  <c r="AC51" i="11" s="1"/>
  <c r="AC4" i="9"/>
  <c r="AC69" i="5"/>
  <c r="AJ50" i="11"/>
  <c r="AJ51" i="11" s="1"/>
  <c r="AJ4" i="9"/>
  <c r="AJ29" i="9" s="1"/>
  <c r="AJ69" i="5"/>
  <c r="CE32" i="9"/>
  <c r="AY32" i="9"/>
  <c r="S32" i="9"/>
  <c r="AY50" i="11"/>
  <c r="AY51" i="11" s="1"/>
  <c r="AY4" i="9"/>
  <c r="AY29" i="9" s="1"/>
  <c r="AY69" i="5"/>
  <c r="BN50" i="11"/>
  <c r="BN51" i="11" s="1"/>
  <c r="BN4" i="9"/>
  <c r="BN29" i="9" s="1"/>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B2"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E35" i="9" l="1"/>
  <c r="F38" i="6"/>
  <c r="F39" i="6" s="1"/>
  <c r="F34" i="10"/>
  <c r="F39" i="10"/>
  <c r="AD39" i="10"/>
  <c r="AD6" i="11"/>
  <c r="AL38" i="6"/>
  <c r="AL39" i="6" s="1"/>
  <c r="AL34" i="10"/>
  <c r="AD38" i="6"/>
  <c r="AD39" i="6" s="1"/>
  <c r="AL39" i="10"/>
  <c r="F29" i="10"/>
  <c r="H29" i="9"/>
  <c r="AH29" i="9"/>
  <c r="AD29" i="10"/>
  <c r="AL29" i="10"/>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9" i="6" s="1"/>
  <c r="V34" i="10"/>
  <c r="V29" i="10" s="1"/>
  <c r="V39" i="10"/>
  <c r="S6" i="11"/>
  <c r="S39" i="10"/>
  <c r="S34" i="10"/>
  <c r="S29" i="10" s="1"/>
  <c r="S38" i="6"/>
  <c r="S39" i="6" s="1"/>
  <c r="AD9" i="11"/>
  <c r="AD40" i="10"/>
  <c r="AD41" i="10" s="1"/>
  <c r="AD41" i="6"/>
  <c r="W6" i="11"/>
  <c r="W39" i="10"/>
  <c r="W34" i="10"/>
  <c r="W38" i="6"/>
  <c r="W39" i="6" s="1"/>
  <c r="AE6" i="11"/>
  <c r="AE39" i="10"/>
  <c r="AE34" i="10"/>
  <c r="AE29" i="10" s="1"/>
  <c r="AE38" i="6"/>
  <c r="AE39" i="6" s="1"/>
  <c r="AR6" i="11"/>
  <c r="AR39" i="10"/>
  <c r="AR34" i="10"/>
  <c r="AR38" i="6"/>
  <c r="AR39" i="6" s="1"/>
  <c r="AU6" i="11"/>
  <c r="AU39" i="10"/>
  <c r="AU34" i="10"/>
  <c r="AU38" i="6"/>
  <c r="BH6" i="11"/>
  <c r="BH39" i="10"/>
  <c r="BH34" i="10"/>
  <c r="BH38" i="6"/>
  <c r="CJ6" i="11"/>
  <c r="CJ34" i="10"/>
  <c r="CJ39" i="10"/>
  <c r="CJ38" i="6"/>
  <c r="BZ9" i="11"/>
  <c r="BZ40" i="10"/>
  <c r="BZ41" i="10" s="1"/>
  <c r="BZ42" i="6"/>
  <c r="BZ41" i="6"/>
  <c r="BZ33" i="10"/>
  <c r="BZ31" i="10"/>
  <c r="AN6" i="11"/>
  <c r="AN34" i="10"/>
  <c r="AN39" i="10"/>
  <c r="AN38" i="6"/>
  <c r="AN39" i="6" s="1"/>
  <c r="AD31" i="10"/>
  <c r="AD33" i="10"/>
  <c r="CF6" i="11"/>
  <c r="CF34" i="10"/>
  <c r="CF39" i="10"/>
  <c r="CF38" i="6"/>
  <c r="N9" i="11"/>
  <c r="N40" i="10"/>
  <c r="N41" i="10" s="1"/>
  <c r="N41" i="6"/>
  <c r="N42" i="6"/>
  <c r="N43" i="6" s="1"/>
  <c r="CC6" i="11"/>
  <c r="CC34" i="10"/>
  <c r="CC39" i="10"/>
  <c r="CC38" i="6"/>
  <c r="AU29" i="10"/>
  <c r="AO6" i="11"/>
  <c r="AO39" i="10"/>
  <c r="AO34" i="10"/>
  <c r="AO29" i="10" s="1"/>
  <c r="AO38" i="6"/>
  <c r="AO39" i="6" s="1"/>
  <c r="AW6" i="11"/>
  <c r="AW39" i="10"/>
  <c r="AW34" i="10"/>
  <c r="AW38" i="6"/>
  <c r="C38" i="6"/>
  <c r="C32" i="6"/>
  <c r="CJ29" i="10"/>
  <c r="F9" i="11"/>
  <c r="F40" i="10"/>
  <c r="F41" i="10" s="1"/>
  <c r="F41" i="6"/>
  <c r="F42" i="6"/>
  <c r="F43" i="6" s="1"/>
  <c r="D38" i="6"/>
  <c r="D32" i="6"/>
  <c r="M6" i="11"/>
  <c r="M39" i="10"/>
  <c r="M34" i="10"/>
  <c r="M29" i="10" s="1"/>
  <c r="M38" i="6"/>
  <c r="M39" i="6" s="1"/>
  <c r="G6" i="11"/>
  <c r="G39" i="10"/>
  <c r="G34" i="10"/>
  <c r="G29" i="10" s="1"/>
  <c r="G38" i="6"/>
  <c r="G39" i="6" s="1"/>
  <c r="BZ42" i="10"/>
  <c r="CG6" i="11"/>
  <c r="CG39" i="10"/>
  <c r="CG34" i="10"/>
  <c r="CG38" i="6"/>
  <c r="AN29" i="10"/>
  <c r="N33" i="10"/>
  <c r="N31" i="10"/>
  <c r="CC29" i="10"/>
  <c r="BB9" i="11"/>
  <c r="BB40" i="10"/>
  <c r="BB41" i="10" s="1"/>
  <c r="BB42" i="6"/>
  <c r="BB41" i="6"/>
  <c r="AK6" i="11"/>
  <c r="AK39" i="10"/>
  <c r="AK34" i="10"/>
  <c r="AK29" i="10" s="1"/>
  <c r="AK38" i="6"/>
  <c r="AK39" i="6" s="1"/>
  <c r="Y6" i="11"/>
  <c r="Y39" i="10"/>
  <c r="Y34" i="10"/>
  <c r="Y38" i="6"/>
  <c r="Y39" i="6" s="1"/>
  <c r="AG6" i="11"/>
  <c r="AG39" i="10"/>
  <c r="AG34" i="10"/>
  <c r="AG29" i="10" s="1"/>
  <c r="AG38" i="6"/>
  <c r="AG39" i="6" s="1"/>
  <c r="AR29" i="10"/>
  <c r="V40" i="10"/>
  <c r="V41" i="6"/>
  <c r="H6" i="11"/>
  <c r="H34" i="10"/>
  <c r="H29" i="10" s="1"/>
  <c r="H39" i="10"/>
  <c r="H38" i="6"/>
  <c r="H39" i="6" s="1"/>
  <c r="BG6" i="11"/>
  <c r="BG39" i="10"/>
  <c r="BG34" i="10"/>
  <c r="BG38" i="6"/>
  <c r="BI6" i="11"/>
  <c r="BI39" i="10"/>
  <c r="BI34" i="10"/>
  <c r="BI38" i="6"/>
  <c r="BC6" i="11"/>
  <c r="BC39" i="10"/>
  <c r="BC34" i="10"/>
  <c r="BC38" i="6"/>
  <c r="AW29" i="10"/>
  <c r="CD6" i="11"/>
  <c r="CD34" i="10"/>
  <c r="CD39" i="10"/>
  <c r="CD38" i="6"/>
  <c r="BH29" i="10"/>
  <c r="Z6" i="11"/>
  <c r="Z39" i="10"/>
  <c r="Z34" i="10"/>
  <c r="Z29" i="10" s="1"/>
  <c r="Z38" i="6"/>
  <c r="Z39" i="6" s="1"/>
  <c r="F33" i="10"/>
  <c r="F31" i="10"/>
  <c r="L6" i="11"/>
  <c r="L39" i="10"/>
  <c r="L34" i="10"/>
  <c r="L38" i="6"/>
  <c r="L39" i="6" s="1"/>
  <c r="CG29" i="10"/>
  <c r="CA6" i="11"/>
  <c r="CA39" i="10"/>
  <c r="CA34" i="10"/>
  <c r="CA38" i="6"/>
  <c r="CF29" i="10"/>
  <c r="BB31" i="10"/>
  <c r="BB33" i="10"/>
  <c r="AS6" i="11"/>
  <c r="AS39" i="10"/>
  <c r="AS34" i="10"/>
  <c r="AS38" i="6"/>
  <c r="AS39" i="6" s="1"/>
  <c r="AY6" i="11"/>
  <c r="AY39" i="10"/>
  <c r="AY34" i="10"/>
  <c r="AY38" i="6"/>
  <c r="V31" i="10"/>
  <c r="V33" i="10"/>
  <c r="AL9" i="11"/>
  <c r="AL40" i="10"/>
  <c r="AL41" i="10" s="1"/>
  <c r="AL41" i="6"/>
  <c r="AL42" i="6"/>
  <c r="AL43" i="6" s="1"/>
  <c r="BV6" i="11"/>
  <c r="BV39" i="10"/>
  <c r="BV34" i="10"/>
  <c r="BV38" i="6"/>
  <c r="BI29" i="10"/>
  <c r="BC29" i="10"/>
  <c r="BO6" i="11"/>
  <c r="BO39" i="10"/>
  <c r="BO34" i="10"/>
  <c r="BO38" i="6"/>
  <c r="BQ6" i="11"/>
  <c r="BQ39" i="10"/>
  <c r="BQ34" i="10"/>
  <c r="BQ38" i="6"/>
  <c r="X6" i="11"/>
  <c r="X34" i="10"/>
  <c r="X39" i="10"/>
  <c r="X38" i="6"/>
  <c r="X39" i="6" s="1"/>
  <c r="BZ29" i="10"/>
  <c r="BW6" i="11"/>
  <c r="BW39" i="10"/>
  <c r="BW34" i="10"/>
  <c r="BW38" i="6"/>
  <c r="BP6" i="11"/>
  <c r="BP39" i="10"/>
  <c r="BP34" i="10"/>
  <c r="BP38" i="6"/>
  <c r="AT9" i="11"/>
  <c r="AT40" i="10"/>
  <c r="AT41" i="10" s="1"/>
  <c r="AT41" i="6"/>
  <c r="AT42" i="6"/>
  <c r="AF6" i="11"/>
  <c r="AF34" i="10"/>
  <c r="AF29" i="10" s="1"/>
  <c r="AF39" i="10"/>
  <c r="AF38" i="6"/>
  <c r="AF39" i="6" s="1"/>
  <c r="AH6" i="11"/>
  <c r="AH39" i="10"/>
  <c r="AH34" i="10"/>
  <c r="AH29" i="10" s="1"/>
  <c r="AH38" i="6"/>
  <c r="AH39" i="6" s="1"/>
  <c r="L29" i="10"/>
  <c r="CA29" i="10"/>
  <c r="BU6" i="11"/>
  <c r="BU39" i="10"/>
  <c r="BU34" i="10"/>
  <c r="BU38" i="6"/>
  <c r="T6" i="11"/>
  <c r="T39" i="10"/>
  <c r="T34" i="10"/>
  <c r="T38" i="6"/>
  <c r="T39" i="6" s="1"/>
  <c r="Q6" i="11"/>
  <c r="Q39" i="10"/>
  <c r="Q34" i="10"/>
  <c r="Q29" i="10" s="1"/>
  <c r="Q38" i="6"/>
  <c r="Q39" i="6" s="1"/>
  <c r="AX6" i="11"/>
  <c r="AX39" i="10"/>
  <c r="AX34" i="10"/>
  <c r="AX38" i="6"/>
  <c r="BB42" i="10"/>
  <c r="AB6" i="11"/>
  <c r="AB39" i="10"/>
  <c r="AB34" i="10"/>
  <c r="AB38" i="6"/>
  <c r="AB39" i="6" s="1"/>
  <c r="AS29" i="10"/>
  <c r="BL6" i="11"/>
  <c r="BL34" i="10"/>
  <c r="BL39" i="10"/>
  <c r="BL38" i="6"/>
  <c r="B32" i="6"/>
  <c r="B38" i="6"/>
  <c r="BR9" i="11"/>
  <c r="BR40" i="10"/>
  <c r="BR41" i="10" s="1"/>
  <c r="BR42" i="6"/>
  <c r="BR41" i="6"/>
  <c r="AL31" i="10"/>
  <c r="AL33" i="10"/>
  <c r="BG29" i="10"/>
  <c r="BJ9" i="11"/>
  <c r="BJ40" i="10"/>
  <c r="BJ41" i="10" s="1"/>
  <c r="BJ42" i="6"/>
  <c r="BJ41" i="6"/>
  <c r="CB6" i="11"/>
  <c r="CB34" i="10"/>
  <c r="CB39" i="10"/>
  <c r="CB38" i="6"/>
  <c r="CD29" i="10"/>
  <c r="BQ29" i="10"/>
  <c r="AT31" i="10"/>
  <c r="AT33" i="10"/>
  <c r="CE6" i="11"/>
  <c r="CE39" i="10"/>
  <c r="CE34" i="10"/>
  <c r="CE38" i="6"/>
  <c r="U6" i="11"/>
  <c r="U39" i="10"/>
  <c r="U34" i="10"/>
  <c r="U29" i="10" s="1"/>
  <c r="U38" i="6"/>
  <c r="U39" i="6" s="1"/>
  <c r="BU29" i="10"/>
  <c r="CI6" i="11"/>
  <c r="CI39" i="10"/>
  <c r="CI34" i="10"/>
  <c r="CI38" i="6"/>
  <c r="BD6" i="11"/>
  <c r="BD34" i="10"/>
  <c r="BD39" i="10"/>
  <c r="BD38" i="6"/>
  <c r="AJ6" i="11"/>
  <c r="AJ39" i="10"/>
  <c r="AJ34" i="10"/>
  <c r="AJ29" i="10" s="1"/>
  <c r="AJ38" i="6"/>
  <c r="AJ39" i="6" s="1"/>
  <c r="BL29" i="10"/>
  <c r="AY29" i="10"/>
  <c r="BR33" i="10"/>
  <c r="BR31" i="10"/>
  <c r="BJ33" i="10"/>
  <c r="BJ31" i="10"/>
  <c r="CB29" i="10"/>
  <c r="BO29" i="10"/>
  <c r="BP29" i="10"/>
  <c r="AT42" i="10"/>
  <c r="BM6" i="11"/>
  <c r="BM39" i="10"/>
  <c r="BM34" i="10"/>
  <c r="BM38" i="6"/>
  <c r="O6" i="11"/>
  <c r="O39" i="10"/>
  <c r="O34" i="10"/>
  <c r="O29" i="10" s="1"/>
  <c r="O38" i="6"/>
  <c r="O39" i="6" s="1"/>
  <c r="AP6" i="11"/>
  <c r="AP39" i="10"/>
  <c r="AP34" i="10"/>
  <c r="AP29" i="10" s="1"/>
  <c r="AP38" i="6"/>
  <c r="AP39" i="6" s="1"/>
  <c r="AA39" i="10"/>
  <c r="AA6" i="11"/>
  <c r="AA34" i="10"/>
  <c r="AA38" i="6"/>
  <c r="AA39" i="6" s="1"/>
  <c r="CI29" i="10"/>
  <c r="BD29" i="10"/>
  <c r="AM6" i="11"/>
  <c r="AM39" i="10"/>
  <c r="AM34" i="10"/>
  <c r="AM29" i="10" s="1"/>
  <c r="AM38" i="6"/>
  <c r="AM39" i="6" s="1"/>
  <c r="CH9" i="11"/>
  <c r="CH40" i="10"/>
  <c r="CH41" i="10" s="1"/>
  <c r="CH42" i="6"/>
  <c r="CH41" i="6"/>
  <c r="BN6" i="11"/>
  <c r="BN39" i="10"/>
  <c r="BN34" i="10"/>
  <c r="BN38" i="6"/>
  <c r="BR42" i="10"/>
  <c r="J6" i="11"/>
  <c r="J39" i="10"/>
  <c r="J34" i="10"/>
  <c r="J29" i="10" s="1"/>
  <c r="J38" i="6"/>
  <c r="J39" i="6" s="1"/>
  <c r="BJ42" i="10"/>
  <c r="R6" i="11"/>
  <c r="R39" i="10"/>
  <c r="R34" i="10"/>
  <c r="R29" i="10" s="1"/>
  <c r="R38" i="6"/>
  <c r="R39" i="6" s="1"/>
  <c r="E6" i="11"/>
  <c r="E39" i="10"/>
  <c r="E34" i="10"/>
  <c r="E29" i="10" s="1"/>
  <c r="E38" i="6"/>
  <c r="E39" i="6" s="1"/>
  <c r="BK6" i="11"/>
  <c r="BK39" i="10"/>
  <c r="BK34" i="10"/>
  <c r="BK38" i="6"/>
  <c r="BE6" i="11"/>
  <c r="BE39" i="10"/>
  <c r="BE34" i="10"/>
  <c r="BE38" i="6"/>
  <c r="BY6" i="11"/>
  <c r="BY39" i="10"/>
  <c r="BY34" i="10"/>
  <c r="BY38" i="6"/>
  <c r="BS6" i="11"/>
  <c r="BS39" i="10"/>
  <c r="BS34" i="10"/>
  <c r="BS38" i="6"/>
  <c r="CE29" i="10"/>
  <c r="BX6" i="11"/>
  <c r="BX34" i="10"/>
  <c r="BX39" i="10"/>
  <c r="BX38" i="6"/>
  <c r="I6" i="11"/>
  <c r="I39" i="10"/>
  <c r="I34" i="10"/>
  <c r="I29" i="10" s="1"/>
  <c r="I38" i="6"/>
  <c r="I39" i="6" s="1"/>
  <c r="AC6" i="11"/>
  <c r="AC39" i="10"/>
  <c r="AC34" i="10"/>
  <c r="AC29" i="10" s="1"/>
  <c r="AC38" i="6"/>
  <c r="AC39" i="6" s="1"/>
  <c r="AV6" i="11"/>
  <c r="AV34" i="10"/>
  <c r="AV39" i="10"/>
  <c r="AV38" i="6"/>
  <c r="AX29" i="10"/>
  <c r="AI39" i="10"/>
  <c r="AI6" i="11"/>
  <c r="AI34" i="10"/>
  <c r="AI38" i="6"/>
  <c r="AI39" i="6" s="1"/>
  <c r="BF6" i="11"/>
  <c r="BF39" i="10"/>
  <c r="BF34" i="10"/>
  <c r="BF29" i="10" s="1"/>
  <c r="BF38" i="6"/>
  <c r="AQ39" i="10"/>
  <c r="AQ6" i="11"/>
  <c r="AQ34" i="10"/>
  <c r="AQ29" i="10" s="1"/>
  <c r="AQ38" i="6"/>
  <c r="AQ39" i="6" s="1"/>
  <c r="CH31" i="10"/>
  <c r="CH33" i="10"/>
  <c r="BA6" i="11"/>
  <c r="BA39" i="10"/>
  <c r="BA34" i="10"/>
  <c r="BA29" i="10" s="1"/>
  <c r="BA38" i="6"/>
  <c r="BT6" i="11"/>
  <c r="BT34" i="10"/>
  <c r="BT29" i="10" s="1"/>
  <c r="BT39" i="10"/>
  <c r="BT38" i="6"/>
  <c r="AZ6" i="11"/>
  <c r="AZ39" i="10"/>
  <c r="AZ34" i="10"/>
  <c r="AZ38" i="6"/>
  <c r="P6" i="11"/>
  <c r="P34" i="10"/>
  <c r="P39" i="10"/>
  <c r="P38" i="6"/>
  <c r="P39" i="6" s="1"/>
  <c r="BK29" i="10"/>
  <c r="BE29" i="10"/>
  <c r="K6" i="11"/>
  <c r="K39" i="10"/>
  <c r="K34" i="10"/>
  <c r="K38" i="6"/>
  <c r="K39" i="6" s="1"/>
  <c r="BY29" i="10"/>
  <c r="AY8" i="9"/>
  <c r="AY70" i="5"/>
  <c r="CK37" i="9"/>
  <c r="CK35" i="9"/>
  <c r="BG8" i="9"/>
  <c r="BG70" i="5"/>
  <c r="BR8" i="9"/>
  <c r="BR70" i="5"/>
  <c r="CF37" i="9"/>
  <c r="CF35" i="9"/>
  <c r="CA8" i="9"/>
  <c r="CA70" i="5"/>
  <c r="U37" i="9"/>
  <c r="U35" i="9"/>
  <c r="BC35" i="9"/>
  <c r="BC37" i="9"/>
  <c r="K8" i="9"/>
  <c r="K70" i="5"/>
  <c r="BH8" i="9"/>
  <c r="BH70" i="5"/>
  <c r="BN37" i="9"/>
  <c r="BN35" i="9"/>
  <c r="BT8" i="9"/>
  <c r="BT70" i="5"/>
  <c r="BK37" i="9"/>
  <c r="BK35" i="9"/>
  <c r="S8" i="9"/>
  <c r="S70" i="5"/>
  <c r="AK35" i="9"/>
  <c r="AK37" i="9"/>
  <c r="CJ8" i="9"/>
  <c r="CJ70" i="5"/>
  <c r="BU8" i="9"/>
  <c r="BU70" i="5"/>
  <c r="AU8" i="9"/>
  <c r="AU70" i="5"/>
  <c r="AB8" i="9"/>
  <c r="AB70" i="5"/>
  <c r="AX37" i="9"/>
  <c r="AX35" i="9"/>
  <c r="BC8" i="9"/>
  <c r="BC70" i="5"/>
  <c r="AJ8" i="9"/>
  <c r="AJ70" i="5"/>
  <c r="AV8" i="9"/>
  <c r="AV70" i="5"/>
  <c r="P37" i="9"/>
  <c r="P35" i="9"/>
  <c r="V37" i="9"/>
  <c r="V35" i="9"/>
  <c r="G8" i="9"/>
  <c r="G70" i="5"/>
  <c r="BD8" i="9"/>
  <c r="BD70" i="5"/>
  <c r="CJ37" i="9"/>
  <c r="CJ35" i="9"/>
  <c r="BY37" i="9"/>
  <c r="BY35" i="9"/>
  <c r="R8" i="9"/>
  <c r="R70" i="5"/>
  <c r="AJ37" i="9"/>
  <c r="AJ35" i="9"/>
  <c r="Z8" i="9"/>
  <c r="Z70" i="5"/>
  <c r="V8" i="9"/>
  <c r="V70" i="5"/>
  <c r="BE8" i="9"/>
  <c r="BE70" i="5"/>
  <c r="AN37" i="9"/>
  <c r="AN35" i="9"/>
  <c r="AH8" i="9"/>
  <c r="AH70" i="5"/>
  <c r="P8" i="9"/>
  <c r="P70" i="5"/>
  <c r="BS37" i="9"/>
  <c r="BS35" i="9"/>
  <c r="AA8" i="9"/>
  <c r="AA70" i="5"/>
  <c r="BV11" i="8"/>
  <c r="BV7" i="8"/>
  <c r="BV13" i="8" s="1"/>
  <c r="BD37" i="9"/>
  <c r="BD35" i="9"/>
  <c r="BW37" i="9"/>
  <c r="BW35" i="9"/>
  <c r="CC8" i="9"/>
  <c r="CC70" i="5"/>
  <c r="BU35" i="9"/>
  <c r="BU37" i="9"/>
  <c r="BA35" i="9"/>
  <c r="BA37" i="9"/>
  <c r="AQ8" i="9"/>
  <c r="AQ70" i="5"/>
  <c r="BB8" i="9"/>
  <c r="BB70" i="5"/>
  <c r="H35" i="9"/>
  <c r="H37" i="9"/>
  <c r="CC35" i="9"/>
  <c r="CC37" i="9"/>
  <c r="BN8" i="9"/>
  <c r="BN70" i="5"/>
  <c r="T37" i="9"/>
  <c r="T35" i="9"/>
  <c r="BV8" i="9"/>
  <c r="BV70" i="5"/>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BO8" i="9"/>
  <c r="BO70" i="5"/>
  <c r="BW8" i="9"/>
  <c r="BW70" i="5"/>
  <c r="CE8" i="9"/>
  <c r="CE70" i="5"/>
  <c r="BI8" i="9"/>
  <c r="BI70" i="5"/>
  <c r="AD8" i="9"/>
  <c r="AD70" i="5"/>
  <c r="BB37" i="9"/>
  <c r="BB35" i="9"/>
  <c r="AF8" i="9"/>
  <c r="AF70" i="5"/>
  <c r="AG8" i="9"/>
  <c r="AG70" i="5"/>
  <c r="BS8" i="9"/>
  <c r="BS70" i="5"/>
  <c r="AG35" i="9"/>
  <c r="AG37" i="9"/>
  <c r="AD35" i="9"/>
  <c r="AD37" i="9"/>
  <c r="CD8" i="9"/>
  <c r="CD70" i="5"/>
  <c r="AS8" i="9"/>
  <c r="AS70" i="5"/>
  <c r="BL8" i="9"/>
  <c r="BL70" i="5"/>
  <c r="CH8" i="9"/>
  <c r="CH70" i="5"/>
  <c r="AW37" i="9"/>
  <c r="AW35" i="9"/>
  <c r="CB8" i="9"/>
  <c r="CB70" i="5"/>
  <c r="AR37" i="9"/>
  <c r="AR35" i="9"/>
  <c r="L8" i="9"/>
  <c r="L70" i="5"/>
  <c r="J37" i="9"/>
  <c r="J35" i="9"/>
  <c r="E8" i="9"/>
  <c r="E70" i="5"/>
  <c r="AM8" i="9"/>
  <c r="AM70" i="5"/>
  <c r="AB37" i="9"/>
  <c r="AB35" i="9"/>
  <c r="BM35" i="9"/>
  <c r="BM37" i="9"/>
  <c r="AS35" i="9"/>
  <c r="AS37" i="9"/>
  <c r="CA37" i="9"/>
  <c r="CA35" i="9"/>
  <c r="S37" i="9"/>
  <c r="S35" i="9"/>
  <c r="F37" i="9"/>
  <c r="F35" i="9"/>
  <c r="CI37" i="9"/>
  <c r="CI35" i="9"/>
  <c r="U8" i="9"/>
  <c r="U70" i="5"/>
  <c r="BT37" i="9"/>
  <c r="BT35" i="9"/>
  <c r="AA37" i="9"/>
  <c r="AA35" i="9"/>
  <c r="BZ37" i="9"/>
  <c r="BZ35" i="9"/>
  <c r="BJ8" i="9"/>
  <c r="BJ70" i="5"/>
  <c r="BK8" i="9"/>
  <c r="BK70" i="5"/>
  <c r="BH37" i="9"/>
  <c r="BH35" i="9"/>
  <c r="F8" i="9"/>
  <c r="F70" i="5"/>
  <c r="O8" i="9"/>
  <c r="O70" i="5"/>
  <c r="AY37" i="9"/>
  <c r="AY35" i="9"/>
  <c r="AL35" i="9"/>
  <c r="AL37" i="9"/>
  <c r="AH37" i="9"/>
  <c r="AH35" i="9"/>
  <c r="CI8" i="9"/>
  <c r="CI70" i="5"/>
  <c r="H8" i="9"/>
  <c r="H70" i="5"/>
  <c r="AT37" i="9"/>
  <c r="AT35" i="9"/>
  <c r="BO35" i="9"/>
  <c r="BO37" i="9"/>
  <c r="X8" i="9"/>
  <c r="X70" i="5"/>
  <c r="I8" i="9"/>
  <c r="I70" i="5"/>
  <c r="AX8" i="9"/>
  <c r="AX70" i="5"/>
  <c r="AT8" i="9"/>
  <c r="AT70" i="5"/>
  <c r="BF8" i="9"/>
  <c r="BF70" i="5"/>
  <c r="R37" i="9"/>
  <c r="R35" i="9"/>
  <c r="Y35" i="9"/>
  <c r="Y37" i="9"/>
  <c r="BQ35" i="9"/>
  <c r="BQ37" i="9"/>
  <c r="AM37" i="9"/>
  <c r="AM35" i="9"/>
  <c r="AR8" i="9"/>
  <c r="AR70" i="5"/>
  <c r="BF37" i="9"/>
  <c r="BF35" i="9"/>
  <c r="AZ37" i="9"/>
  <c r="AZ35" i="9"/>
  <c r="AE8" i="9"/>
  <c r="AE70" i="5"/>
  <c r="G37" i="9"/>
  <c r="G35" i="9"/>
  <c r="AL8" i="9"/>
  <c r="AL70" i="5"/>
  <c r="AI8" i="9"/>
  <c r="AI70" i="5"/>
  <c r="Q8" i="9"/>
  <c r="Q70" i="5"/>
  <c r="BL37" i="9"/>
  <c r="BL35" i="9"/>
  <c r="CE37" i="9"/>
  <c r="CE35" i="9"/>
  <c r="L37" i="9"/>
  <c r="L35" i="9"/>
  <c r="AN8" i="9"/>
  <c r="AN70" i="5"/>
  <c r="BX37" i="9"/>
  <c r="BX35" i="9"/>
  <c r="J8" i="9"/>
  <c r="J70" i="5"/>
  <c r="AK8" i="9"/>
  <c r="AK70" i="5"/>
  <c r="AO8" i="9"/>
  <c r="AO70" i="5"/>
  <c r="X35" i="9"/>
  <c r="X37" i="9"/>
  <c r="AQ35" i="9"/>
  <c r="AQ37" i="9"/>
  <c r="AU37" i="9"/>
  <c r="AU35" i="9"/>
  <c r="N8" i="9"/>
  <c r="N70" i="5"/>
  <c r="AF37" i="9"/>
  <c r="AF35" i="9"/>
  <c r="BG37" i="9"/>
  <c r="BG35" i="9"/>
  <c r="BM8" i="9"/>
  <c r="BM70" i="5"/>
  <c r="AV37" i="9"/>
  <c r="AV35" i="9"/>
  <c r="BX8" i="9"/>
  <c r="BX70" i="5"/>
  <c r="AP37" i="9"/>
  <c r="AP35" i="9"/>
  <c r="BQ8" i="9"/>
  <c r="BQ70" i="5"/>
  <c r="K37" i="9"/>
  <c r="K35" i="9"/>
  <c r="BJ37" i="9"/>
  <c r="BJ35" i="9"/>
  <c r="T8" i="9"/>
  <c r="T70" i="5"/>
  <c r="M8" i="9"/>
  <c r="M70" i="5"/>
  <c r="BR37" i="9"/>
  <c r="BR35" i="9"/>
  <c r="CG8" i="9"/>
  <c r="CG70" i="5"/>
  <c r="Y8" i="9"/>
  <c r="Y70" i="5"/>
  <c r="Q35" i="9"/>
  <c r="Q37" i="9"/>
  <c r="BI35" i="9"/>
  <c r="BI37" i="9"/>
  <c r="AE37" i="9"/>
  <c r="AE35" i="9"/>
  <c r="C19" i="13"/>
  <c r="D19" i="13" s="1"/>
  <c r="B5" i="13"/>
  <c r="B9" i="13" s="1"/>
  <c r="B11" i="13" s="1"/>
  <c r="B13" i="13" s="1"/>
  <c r="V9" i="11" l="1"/>
  <c r="V42" i="6"/>
  <c r="V43" i="6" s="1"/>
  <c r="N42" i="10"/>
  <c r="AD42" i="6"/>
  <c r="AD43" i="6" s="1"/>
  <c r="V41" i="10"/>
  <c r="AL42" i="10"/>
  <c r="F42" i="10"/>
  <c r="P31" i="10"/>
  <c r="P33" i="10"/>
  <c r="BX9" i="11"/>
  <c r="BX40" i="10"/>
  <c r="BX41" i="10" s="1"/>
  <c r="BX42" i="6"/>
  <c r="BX41" i="6"/>
  <c r="BS31" i="10"/>
  <c r="BS33" i="10"/>
  <c r="CH28" i="6"/>
  <c r="CH29" i="6" s="1"/>
  <c r="CH32" i="11" s="1"/>
  <c r="CH44" i="11" s="1"/>
  <c r="CH36" i="6"/>
  <c r="CH37" i="6" s="1"/>
  <c r="CH16" i="6"/>
  <c r="CH17" i="6" s="1"/>
  <c r="AA33" i="10"/>
  <c r="AA31" i="10"/>
  <c r="BM31" i="10"/>
  <c r="BM33" i="10"/>
  <c r="AJ9" i="11"/>
  <c r="AJ40" i="10"/>
  <c r="AJ41" i="10" s="1"/>
  <c r="AJ41" i="6"/>
  <c r="AJ42" i="6"/>
  <c r="AJ43" i="6" s="1"/>
  <c r="BR6" i="8"/>
  <c r="BR28" i="6"/>
  <c r="BR29" i="6" s="1"/>
  <c r="BR32" i="11" s="1"/>
  <c r="BR44" i="11" s="1"/>
  <c r="BR36" i="6"/>
  <c r="BR37" i="6" s="1"/>
  <c r="BR16" i="6"/>
  <c r="BR17" i="6" s="1"/>
  <c r="BL9" i="11"/>
  <c r="BL40" i="10"/>
  <c r="BL41" i="10" s="1"/>
  <c r="BL42" i="6"/>
  <c r="BL41" i="6"/>
  <c r="AB31" i="10"/>
  <c r="AB33" i="10"/>
  <c r="T31" i="10"/>
  <c r="T33" i="10"/>
  <c r="BW33" i="10"/>
  <c r="BW31" i="10"/>
  <c r="X31" i="10"/>
  <c r="X33" i="10"/>
  <c r="BO9" i="11"/>
  <c r="BO40" i="10"/>
  <c r="BO41" i="10" s="1"/>
  <c r="BO42" i="6"/>
  <c r="BO41" i="6"/>
  <c r="BV33" i="10"/>
  <c r="BV31" i="10"/>
  <c r="BS29" i="10"/>
  <c r="H9" i="11"/>
  <c r="H40" i="10"/>
  <c r="H41" i="10" s="1"/>
  <c r="H41" i="6"/>
  <c r="H42" i="6"/>
  <c r="H43" i="6" s="1"/>
  <c r="Y9" i="11"/>
  <c r="Y40" i="10"/>
  <c r="Y41" i="10" s="1"/>
  <c r="Y41" i="6"/>
  <c r="Y42" i="6"/>
  <c r="Y43" i="6" s="1"/>
  <c r="F6" i="8"/>
  <c r="F7" i="8" s="1"/>
  <c r="F28" i="6"/>
  <c r="F29" i="6" s="1"/>
  <c r="F32" i="11" s="1"/>
  <c r="F44" i="11" s="1"/>
  <c r="F36" i="6"/>
  <c r="F37" i="6" s="1"/>
  <c r="F16" i="6"/>
  <c r="F17" i="6" s="1"/>
  <c r="F18" i="6" s="1"/>
  <c r="W31" i="10"/>
  <c r="W33" i="10"/>
  <c r="AI9" i="11"/>
  <c r="AI40" i="10"/>
  <c r="AI41" i="10" s="1"/>
  <c r="AI42" i="6"/>
  <c r="AI43" i="6" s="1"/>
  <c r="AI41" i="6"/>
  <c r="AV31" i="10"/>
  <c r="AV33" i="10"/>
  <c r="I9" i="11"/>
  <c r="I40" i="10"/>
  <c r="I41" i="10" s="1"/>
  <c r="I41" i="6"/>
  <c r="I42" i="6"/>
  <c r="BX42" i="10"/>
  <c r="R33" i="10"/>
  <c r="R31" i="10"/>
  <c r="O40" i="10"/>
  <c r="O41" i="10" s="1"/>
  <c r="O9" i="11"/>
  <c r="O41" i="6"/>
  <c r="O42" i="6"/>
  <c r="O43" i="6" s="1"/>
  <c r="AJ31" i="10"/>
  <c r="AJ33" i="10"/>
  <c r="U9" i="11"/>
  <c r="U40" i="10"/>
  <c r="U41" i="10" s="1"/>
  <c r="U41" i="6"/>
  <c r="U42" i="6"/>
  <c r="U43" i="6" s="1"/>
  <c r="BJ17" i="12"/>
  <c r="BJ18" i="12" s="1"/>
  <c r="BJ2" i="11"/>
  <c r="BJ47" i="10"/>
  <c r="BJ48" i="10"/>
  <c r="BJ47" i="6"/>
  <c r="Q9" i="11"/>
  <c r="Q40" i="10"/>
  <c r="Q41" i="10" s="1"/>
  <c r="Q41" i="6"/>
  <c r="Q42" i="6"/>
  <c r="Q43" i="6" s="1"/>
  <c r="BO33" i="10"/>
  <c r="BO31" i="10"/>
  <c r="BC9" i="11"/>
  <c r="BC40" i="10"/>
  <c r="BC41" i="10" s="1"/>
  <c r="BC42" i="6"/>
  <c r="BC41" i="6"/>
  <c r="M9" i="11"/>
  <c r="M40" i="10"/>
  <c r="M41" i="10" s="1"/>
  <c r="M41" i="6"/>
  <c r="M42" i="6"/>
  <c r="AW31" i="10"/>
  <c r="AW33" i="10"/>
  <c r="W29" i="10"/>
  <c r="AN9" i="11"/>
  <c r="AN40" i="10"/>
  <c r="AN41" i="10" s="1"/>
  <c r="AN41" i="6"/>
  <c r="AN42" i="6"/>
  <c r="AN43" i="6" s="1"/>
  <c r="BZ28" i="6"/>
  <c r="BZ29" i="6" s="1"/>
  <c r="BZ32" i="11" s="1"/>
  <c r="BZ44" i="11" s="1"/>
  <c r="BZ36" i="6"/>
  <c r="BZ37" i="6" s="1"/>
  <c r="BZ16" i="6"/>
  <c r="BZ17" i="6" s="1"/>
  <c r="P29" i="10"/>
  <c r="AE9" i="11"/>
  <c r="AE40" i="10"/>
  <c r="AE41" i="10" s="1"/>
  <c r="AE41" i="6"/>
  <c r="AE42" i="6"/>
  <c r="AE43" i="6" s="1"/>
  <c r="BE9" i="11"/>
  <c r="BE40" i="10"/>
  <c r="BE41" i="10" s="1"/>
  <c r="BE42" i="6"/>
  <c r="BE41" i="6"/>
  <c r="AI33" i="10"/>
  <c r="AI31" i="10"/>
  <c r="BX31" i="10"/>
  <c r="BX33" i="10"/>
  <c r="BE31" i="10"/>
  <c r="BE33" i="10"/>
  <c r="CH17" i="12"/>
  <c r="CH18" i="12" s="1"/>
  <c r="CH2" i="11"/>
  <c r="CH47" i="10"/>
  <c r="CH49" i="10" s="1"/>
  <c r="CH48" i="10"/>
  <c r="CH47" i="6"/>
  <c r="O31" i="10"/>
  <c r="O33" i="10"/>
  <c r="U33" i="10"/>
  <c r="U31" i="10"/>
  <c r="CB9" i="11"/>
  <c r="CB40" i="10"/>
  <c r="CB41" i="10" s="1"/>
  <c r="CB42" i="6"/>
  <c r="CB41" i="6"/>
  <c r="BR17" i="12"/>
  <c r="BR18" i="12" s="1"/>
  <c r="BR2" i="11"/>
  <c r="BR47" i="10"/>
  <c r="BR48" i="10"/>
  <c r="BR47" i="6"/>
  <c r="BL42" i="10"/>
  <c r="AH9" i="11"/>
  <c r="AH40" i="10"/>
  <c r="AH41" i="10" s="1"/>
  <c r="AH41" i="6"/>
  <c r="AH42" i="6"/>
  <c r="AH43" i="6" s="1"/>
  <c r="AF31" i="10"/>
  <c r="AF33" i="10"/>
  <c r="BP9" i="11"/>
  <c r="BP40" i="10"/>
  <c r="BP41" i="10" s="1"/>
  <c r="BP42" i="6"/>
  <c r="BP41" i="6"/>
  <c r="BO42" i="10"/>
  <c r="AS9" i="11"/>
  <c r="AS40" i="10"/>
  <c r="AS41" i="10" s="1"/>
  <c r="AS41" i="6"/>
  <c r="AS42" i="6"/>
  <c r="AS43" i="6" s="1"/>
  <c r="CD9" i="11"/>
  <c r="CD40" i="10"/>
  <c r="CD41" i="10" s="1"/>
  <c r="CD42" i="6"/>
  <c r="CD41" i="6"/>
  <c r="BC31" i="10"/>
  <c r="BC33" i="10"/>
  <c r="Y31" i="10"/>
  <c r="Y33" i="10"/>
  <c r="BB6" i="8"/>
  <c r="BB7" i="8" s="1"/>
  <c r="BB13" i="8" s="1"/>
  <c r="BB28" i="6"/>
  <c r="BB29" i="6" s="1"/>
  <c r="BB32" i="11" s="1"/>
  <c r="BB44" i="11" s="1"/>
  <c r="BB36" i="6"/>
  <c r="BB37" i="6" s="1"/>
  <c r="BB16" i="6"/>
  <c r="BB17" i="6" s="1"/>
  <c r="AD42" i="10"/>
  <c r="M33" i="10"/>
  <c r="M31" i="10"/>
  <c r="CC31" i="10"/>
  <c r="CC33" i="10"/>
  <c r="CJ31" i="10"/>
  <c r="CJ33" i="10"/>
  <c r="AR9" i="11"/>
  <c r="AR40" i="10"/>
  <c r="AR41" i="10" s="1"/>
  <c r="AR42" i="6"/>
  <c r="AR43" i="6" s="1"/>
  <c r="AR41" i="6"/>
  <c r="AE31" i="10"/>
  <c r="AE33" i="10"/>
  <c r="AZ9" i="11"/>
  <c r="AZ40" i="10"/>
  <c r="AZ41" i="10" s="1"/>
  <c r="AZ42" i="6"/>
  <c r="AZ41" i="6"/>
  <c r="BT31" i="10"/>
  <c r="BT33" i="10"/>
  <c r="BF9" i="11"/>
  <c r="BF40" i="10"/>
  <c r="BF41" i="10" s="1"/>
  <c r="BF42" i="6"/>
  <c r="BF41" i="6"/>
  <c r="I31" i="10"/>
  <c r="I33" i="10"/>
  <c r="E9" i="11"/>
  <c r="E40" i="10"/>
  <c r="E41" i="10" s="1"/>
  <c r="E41" i="6"/>
  <c r="E6" i="8" s="1"/>
  <c r="E42" i="6"/>
  <c r="BN9" i="11"/>
  <c r="BN40" i="10"/>
  <c r="BN41" i="10" s="1"/>
  <c r="BN42" i="6"/>
  <c r="BN41" i="6"/>
  <c r="AB29" i="10"/>
  <c r="AP9" i="11"/>
  <c r="AP40" i="10"/>
  <c r="AP41" i="10" s="1"/>
  <c r="AP41" i="6"/>
  <c r="AP42" i="6"/>
  <c r="AP43" i="6" s="1"/>
  <c r="CI40" i="10"/>
  <c r="CI41" i="10" s="1"/>
  <c r="CI9" i="11"/>
  <c r="CI42" i="6"/>
  <c r="CI41" i="6"/>
  <c r="BL31" i="10"/>
  <c r="BL33" i="10"/>
  <c r="Q31" i="10"/>
  <c r="Q33" i="10"/>
  <c r="BU9" i="11"/>
  <c r="BU40" i="10"/>
  <c r="BU41" i="10" s="1"/>
  <c r="BU41" i="6"/>
  <c r="BU42" i="6"/>
  <c r="BP31" i="10"/>
  <c r="BP33" i="10"/>
  <c r="BQ9" i="11"/>
  <c r="BQ40" i="10"/>
  <c r="BQ41" i="10" s="1"/>
  <c r="BQ42" i="6"/>
  <c r="BQ41" i="6"/>
  <c r="AL17" i="12"/>
  <c r="AL18" i="12" s="1"/>
  <c r="AL2" i="11"/>
  <c r="AL47" i="10"/>
  <c r="AL48" i="10"/>
  <c r="AL47" i="6"/>
  <c r="AS31" i="10"/>
  <c r="AS33" i="10"/>
  <c r="L9" i="11"/>
  <c r="L40" i="10"/>
  <c r="L41" i="10" s="1"/>
  <c r="L41" i="6"/>
  <c r="L42" i="6"/>
  <c r="L43" i="6" s="1"/>
  <c r="BC42" i="10"/>
  <c r="BG9" i="11"/>
  <c r="BG40" i="10"/>
  <c r="BG41" i="10" s="1"/>
  <c r="BG42" i="6"/>
  <c r="BG41" i="6"/>
  <c r="H31" i="10"/>
  <c r="H33" i="10"/>
  <c r="AG9" i="11"/>
  <c r="AG40" i="10"/>
  <c r="AG41" i="10" s="1"/>
  <c r="AG41" i="6"/>
  <c r="AG42" i="6"/>
  <c r="AG43" i="6" s="1"/>
  <c r="CF9" i="11"/>
  <c r="CF40" i="10"/>
  <c r="CF41" i="10" s="1"/>
  <c r="CF42" i="6"/>
  <c r="CF41" i="6"/>
  <c r="AN42" i="10"/>
  <c r="BZ17" i="12"/>
  <c r="BZ18" i="12" s="1"/>
  <c r="BZ2" i="11"/>
  <c r="BZ47" i="10"/>
  <c r="BZ48" i="10"/>
  <c r="BZ47" i="6"/>
  <c r="AR31" i="10"/>
  <c r="AR33" i="10"/>
  <c r="AQ33" i="10"/>
  <c r="AQ31" i="10"/>
  <c r="AZ31" i="10"/>
  <c r="AZ33" i="10"/>
  <c r="AC9" i="11"/>
  <c r="AC40" i="10"/>
  <c r="AC41" i="10" s="1"/>
  <c r="AC41" i="6"/>
  <c r="AC42" i="6"/>
  <c r="AC43" i="6" s="1"/>
  <c r="BY9" i="11"/>
  <c r="BY40" i="10"/>
  <c r="BY41" i="10" s="1"/>
  <c r="BY42" i="6"/>
  <c r="BY41" i="6"/>
  <c r="E33" i="10"/>
  <c r="E31" i="10"/>
  <c r="BD9" i="11"/>
  <c r="BD40" i="10"/>
  <c r="BD41" i="10" s="1"/>
  <c r="BD42" i="6"/>
  <c r="BD41" i="6"/>
  <c r="CI31" i="10"/>
  <c r="CI33" i="10"/>
  <c r="CB42" i="10"/>
  <c r="AX9" i="11"/>
  <c r="AX40" i="10"/>
  <c r="AX41" i="10" s="1"/>
  <c r="AX41" i="6"/>
  <c r="AX42" i="6"/>
  <c r="AH31" i="10"/>
  <c r="AH33" i="10"/>
  <c r="AT17" i="12"/>
  <c r="AT18" i="12" s="1"/>
  <c r="AT2" i="11"/>
  <c r="AT47" i="10"/>
  <c r="AT48" i="10"/>
  <c r="AT47" i="6"/>
  <c r="BP42" i="10"/>
  <c r="BQ33" i="10"/>
  <c r="BQ31" i="10"/>
  <c r="AL6" i="8"/>
  <c r="AL7" i="8" s="1"/>
  <c r="AL28" i="6"/>
  <c r="AL29" i="6" s="1"/>
  <c r="AL32" i="11" s="1"/>
  <c r="AL44" i="11" s="1"/>
  <c r="AL36" i="6"/>
  <c r="AL37" i="6" s="1"/>
  <c r="AL16" i="6"/>
  <c r="AL17" i="6" s="1"/>
  <c r="AL18" i="6" s="1"/>
  <c r="AY9" i="11"/>
  <c r="AY40" i="10"/>
  <c r="AY41" i="10" s="1"/>
  <c r="AY42" i="6"/>
  <c r="AY41" i="6"/>
  <c r="L31" i="10"/>
  <c r="L33" i="10"/>
  <c r="Z9" i="11"/>
  <c r="Z40" i="10"/>
  <c r="Z41" i="10" s="1"/>
  <c r="Z41" i="6"/>
  <c r="Z42" i="6"/>
  <c r="Z43" i="6" s="1"/>
  <c r="CD42" i="10"/>
  <c r="BG33" i="10"/>
  <c r="BG31" i="10"/>
  <c r="BB17" i="12"/>
  <c r="BB18" i="12" s="1"/>
  <c r="BB2" i="11"/>
  <c r="BB47" i="10"/>
  <c r="BB48" i="10"/>
  <c r="BB47" i="6"/>
  <c r="G40" i="10"/>
  <c r="G41" i="10" s="1"/>
  <c r="G9" i="11"/>
  <c r="G41" i="6"/>
  <c r="G42" i="6"/>
  <c r="G43" i="6" s="1"/>
  <c r="AZ29" i="10"/>
  <c r="N17" i="12"/>
  <c r="N18" i="12" s="1"/>
  <c r="N2" i="11"/>
  <c r="N47" i="10"/>
  <c r="N48" i="10"/>
  <c r="N47" i="6"/>
  <c r="CF42" i="10"/>
  <c r="AN31" i="10"/>
  <c r="AN33" i="10"/>
  <c r="AU9" i="11"/>
  <c r="AU40" i="10"/>
  <c r="AU41" i="10" s="1"/>
  <c r="AU42" i="6"/>
  <c r="AU41" i="6"/>
  <c r="AR42" i="10"/>
  <c r="AA29" i="10"/>
  <c r="S9" i="11"/>
  <c r="S40" i="10"/>
  <c r="S41" i="10" s="1"/>
  <c r="S42" i="6"/>
  <c r="S43" i="6" s="1"/>
  <c r="S41" i="6"/>
  <c r="BT9" i="11"/>
  <c r="BT40" i="10"/>
  <c r="BT41" i="10" s="1"/>
  <c r="BT42" i="6"/>
  <c r="BT41" i="6"/>
  <c r="K9" i="11"/>
  <c r="K40" i="10"/>
  <c r="K41" i="10" s="1"/>
  <c r="K42" i="6"/>
  <c r="K43" i="6" s="1"/>
  <c r="K41" i="6"/>
  <c r="P9" i="11"/>
  <c r="P40" i="10"/>
  <c r="P41" i="10" s="1"/>
  <c r="P41" i="6"/>
  <c r="P42" i="6"/>
  <c r="P43" i="6" s="1"/>
  <c r="AZ42" i="10"/>
  <c r="BF33" i="10"/>
  <c r="BF31" i="10"/>
  <c r="AC33" i="10"/>
  <c r="AC31" i="10"/>
  <c r="BM29" i="10"/>
  <c r="BY33" i="10"/>
  <c r="BY31" i="10"/>
  <c r="J9" i="11"/>
  <c r="J40" i="10"/>
  <c r="J41" i="10" s="1"/>
  <c r="J41" i="6"/>
  <c r="J42" i="6"/>
  <c r="J43" i="6" s="1"/>
  <c r="BN33" i="10"/>
  <c r="BN31" i="10"/>
  <c r="T29" i="10"/>
  <c r="AP33" i="10"/>
  <c r="AP31" i="10"/>
  <c r="BW29" i="10"/>
  <c r="CI42" i="10"/>
  <c r="CB31" i="10"/>
  <c r="CB33" i="10"/>
  <c r="BV29" i="10"/>
  <c r="V42" i="10"/>
  <c r="BU31" i="10"/>
  <c r="BU33" i="10"/>
  <c r="AT6" i="8"/>
  <c r="AT28" i="6"/>
  <c r="AT29" i="6" s="1"/>
  <c r="AT32" i="11" s="1"/>
  <c r="AT44" i="11" s="1"/>
  <c r="AT36" i="6"/>
  <c r="AT37" i="6" s="1"/>
  <c r="AT16" i="6"/>
  <c r="AT17" i="6" s="1"/>
  <c r="X9" i="11"/>
  <c r="X40" i="10"/>
  <c r="X41" i="10" s="1"/>
  <c r="X41" i="6"/>
  <c r="X42" i="6"/>
  <c r="X43" i="6" s="1"/>
  <c r="BQ42" i="10"/>
  <c r="AY33" i="10"/>
  <c r="AY31" i="10"/>
  <c r="CA40" i="10"/>
  <c r="CA41" i="10" s="1"/>
  <c r="CA9" i="11"/>
  <c r="CA42" i="6"/>
  <c r="CA41" i="6"/>
  <c r="CD33" i="10"/>
  <c r="CD31" i="10"/>
  <c r="BG42" i="10"/>
  <c r="V17" i="12"/>
  <c r="V18" i="12" s="1"/>
  <c r="V2" i="11"/>
  <c r="V47" i="10"/>
  <c r="V48" i="10"/>
  <c r="V47" i="6"/>
  <c r="AG31" i="10"/>
  <c r="AG33" i="10"/>
  <c r="CG9" i="11"/>
  <c r="CG40" i="10"/>
  <c r="CG41" i="10" s="1"/>
  <c r="CG42" i="6"/>
  <c r="CG41" i="6"/>
  <c r="G31" i="10"/>
  <c r="G33" i="10"/>
  <c r="AO9" i="11"/>
  <c r="AO40" i="10"/>
  <c r="AO41" i="10" s="1"/>
  <c r="AO41" i="6"/>
  <c r="AO42" i="6"/>
  <c r="AO43" i="6" s="1"/>
  <c r="N6" i="8"/>
  <c r="N7" i="8" s="1"/>
  <c r="N28" i="6"/>
  <c r="N29" i="6" s="1"/>
  <c r="N32" i="11" s="1"/>
  <c r="N44" i="11" s="1"/>
  <c r="N36" i="6"/>
  <c r="N37" i="6" s="1"/>
  <c r="N16" i="6"/>
  <c r="N17" i="6" s="1"/>
  <c r="N18" i="6" s="1"/>
  <c r="CF31" i="10"/>
  <c r="CF33" i="10"/>
  <c r="BH9" i="11"/>
  <c r="BH40" i="10"/>
  <c r="BH41" i="10" s="1"/>
  <c r="BH42" i="6"/>
  <c r="BH41" i="6"/>
  <c r="AU31" i="10"/>
  <c r="AU33" i="10"/>
  <c r="AV29" i="10"/>
  <c r="AD17" i="12"/>
  <c r="AD18" i="12" s="1"/>
  <c r="AD2" i="11"/>
  <c r="AD47" i="10"/>
  <c r="AD48" i="10"/>
  <c r="AD47" i="6"/>
  <c r="S33" i="10"/>
  <c r="S31" i="10"/>
  <c r="AV42" i="10"/>
  <c r="K33" i="10"/>
  <c r="K31" i="10"/>
  <c r="BA9" i="11"/>
  <c r="BA40" i="10"/>
  <c r="BA41" i="10" s="1"/>
  <c r="BA42" i="6"/>
  <c r="BA41" i="6"/>
  <c r="BF42" i="10"/>
  <c r="AV9" i="11"/>
  <c r="AV40" i="10"/>
  <c r="AV41" i="10" s="1"/>
  <c r="AV41" i="6"/>
  <c r="AV42" i="6"/>
  <c r="BY42" i="10"/>
  <c r="BK9" i="11"/>
  <c r="BK40" i="10"/>
  <c r="BK41" i="10" s="1"/>
  <c r="BK42" i="6"/>
  <c r="BK41" i="6"/>
  <c r="BN42" i="10"/>
  <c r="AM9" i="11"/>
  <c r="AM40" i="10"/>
  <c r="AM41" i="10" s="1"/>
  <c r="AM41" i="6"/>
  <c r="AM42" i="6"/>
  <c r="AM43" i="6" s="1"/>
  <c r="AP42" i="10"/>
  <c r="BM9" i="11"/>
  <c r="BM40" i="10"/>
  <c r="BM41" i="10" s="1"/>
  <c r="BM41" i="6"/>
  <c r="BM42" i="6"/>
  <c r="BD42" i="10"/>
  <c r="CE9" i="11"/>
  <c r="CE40" i="10"/>
  <c r="CE41" i="10" s="1"/>
  <c r="CE42" i="6"/>
  <c r="CE41" i="6"/>
  <c r="B41" i="6"/>
  <c r="B42" i="6"/>
  <c r="B39" i="6"/>
  <c r="AX33" i="10"/>
  <c r="AX31" i="10"/>
  <c r="BU42" i="10"/>
  <c r="BV9" i="11"/>
  <c r="BV40" i="10"/>
  <c r="BV41" i="10" s="1"/>
  <c r="BV42" i="6"/>
  <c r="BV41" i="6"/>
  <c r="AY42" i="10"/>
  <c r="Y29" i="10"/>
  <c r="CA31" i="10"/>
  <c r="CA33" i="10"/>
  <c r="Z33" i="10"/>
  <c r="Z31" i="10"/>
  <c r="BI9" i="11"/>
  <c r="BI40" i="10"/>
  <c r="BI41" i="10" s="1"/>
  <c r="BI42" i="6"/>
  <c r="BI41" i="6"/>
  <c r="V6" i="8"/>
  <c r="V7" i="8" s="1"/>
  <c r="V28" i="6"/>
  <c r="V29" i="6" s="1"/>
  <c r="V32" i="11" s="1"/>
  <c r="V44" i="11" s="1"/>
  <c r="V36" i="6"/>
  <c r="V37" i="6" s="1"/>
  <c r="V16" i="6"/>
  <c r="V17" i="6" s="1"/>
  <c r="V18" i="6" s="1"/>
  <c r="AK9" i="11"/>
  <c r="AK40" i="10"/>
  <c r="AK41" i="10" s="1"/>
  <c r="AK41" i="6"/>
  <c r="AK42" i="6"/>
  <c r="AK43" i="6" s="1"/>
  <c r="CG33" i="10"/>
  <c r="CG31" i="10"/>
  <c r="D39" i="6"/>
  <c r="D41" i="6"/>
  <c r="D42" i="6"/>
  <c r="C42" i="6"/>
  <c r="C39" i="6"/>
  <c r="C41" i="6"/>
  <c r="AI29" i="10"/>
  <c r="BX29" i="10"/>
  <c r="K29" i="10"/>
  <c r="BH33" i="10"/>
  <c r="BH31" i="10"/>
  <c r="BN29" i="10"/>
  <c r="AD6" i="8"/>
  <c r="AD7" i="8" s="1"/>
  <c r="AD28" i="6"/>
  <c r="AD29" i="6" s="1"/>
  <c r="AD32" i="11" s="1"/>
  <c r="AD44" i="11" s="1"/>
  <c r="AD36" i="6"/>
  <c r="AD37" i="6" s="1"/>
  <c r="AD16" i="6"/>
  <c r="AD17" i="6" s="1"/>
  <c r="AD18" i="6" s="1"/>
  <c r="S42" i="10"/>
  <c r="BA42" i="10"/>
  <c r="BR7" i="8"/>
  <c r="BR13" i="8" s="1"/>
  <c r="AT7" i="8"/>
  <c r="AT13" i="8" s="1"/>
  <c r="BA31" i="10"/>
  <c r="BA33" i="10"/>
  <c r="AQ9" i="11"/>
  <c r="AQ40" i="10"/>
  <c r="AQ41" i="10" s="1"/>
  <c r="AQ42" i="6"/>
  <c r="AQ43" i="6" s="1"/>
  <c r="AQ41" i="6"/>
  <c r="BS40" i="10"/>
  <c r="BS41" i="10" s="1"/>
  <c r="BS9" i="11"/>
  <c r="BS42" i="6"/>
  <c r="BS41" i="6"/>
  <c r="BK31" i="10"/>
  <c r="BK33" i="10"/>
  <c r="R9" i="11"/>
  <c r="R40" i="10"/>
  <c r="R41" i="10" s="1"/>
  <c r="R41" i="6"/>
  <c r="R42" i="6"/>
  <c r="R43" i="6" s="1"/>
  <c r="J33" i="10"/>
  <c r="J31" i="10"/>
  <c r="AM31" i="10"/>
  <c r="AM33" i="10"/>
  <c r="AA9" i="11"/>
  <c r="AA40" i="10"/>
  <c r="AA41" i="10" s="1"/>
  <c r="AA42" i="6"/>
  <c r="AA43" i="6" s="1"/>
  <c r="AA41" i="6"/>
  <c r="BD31" i="10"/>
  <c r="BD33" i="10"/>
  <c r="CE33" i="10"/>
  <c r="CE31" i="10"/>
  <c r="X29" i="10"/>
  <c r="BJ6" i="8"/>
  <c r="BJ7" i="8" s="1"/>
  <c r="BJ13" i="8" s="1"/>
  <c r="BJ28" i="6"/>
  <c r="BJ29" i="6" s="1"/>
  <c r="BJ32" i="11" s="1"/>
  <c r="BJ44" i="11" s="1"/>
  <c r="BJ36" i="6"/>
  <c r="BJ37" i="6" s="1"/>
  <c r="BJ16" i="6"/>
  <c r="BJ17" i="6" s="1"/>
  <c r="AB9" i="11"/>
  <c r="AB40" i="10"/>
  <c r="AB41" i="10" s="1"/>
  <c r="AB41" i="6"/>
  <c r="AB42" i="6"/>
  <c r="AB43" i="6" s="1"/>
  <c r="AX42" i="10"/>
  <c r="T9" i="11"/>
  <c r="T40" i="10"/>
  <c r="T41" i="10" s="1"/>
  <c r="T41" i="6"/>
  <c r="T42" i="6"/>
  <c r="T43" i="6" s="1"/>
  <c r="AF9" i="11"/>
  <c r="AF40" i="10"/>
  <c r="AF41" i="10" s="1"/>
  <c r="AF41" i="6"/>
  <c r="AF42" i="6"/>
  <c r="AF43" i="6" s="1"/>
  <c r="BW9" i="11"/>
  <c r="BW40" i="10"/>
  <c r="BW41" i="10" s="1"/>
  <c r="BW42" i="6"/>
  <c r="BW41" i="6"/>
  <c r="X42" i="10"/>
  <c r="CA42" i="10"/>
  <c r="Z42" i="10"/>
  <c r="BI31" i="10"/>
  <c r="BI33" i="10"/>
  <c r="AK33" i="10"/>
  <c r="AK31" i="10"/>
  <c r="CG42" i="10"/>
  <c r="F17" i="12"/>
  <c r="F18" i="12" s="1"/>
  <c r="F2" i="11"/>
  <c r="F47" i="10"/>
  <c r="F48" i="10"/>
  <c r="F47" i="6"/>
  <c r="AW9" i="11"/>
  <c r="AW40" i="10"/>
  <c r="AW41" i="10" s="1"/>
  <c r="AW41" i="6"/>
  <c r="AW42" i="6"/>
  <c r="AO31" i="10"/>
  <c r="AO33" i="10"/>
  <c r="CC9" i="11"/>
  <c r="CC40" i="10"/>
  <c r="CC41" i="10" s="1"/>
  <c r="CC41" i="6"/>
  <c r="CC42" i="6"/>
  <c r="CJ9" i="11"/>
  <c r="CJ40" i="10"/>
  <c r="CJ41" i="10" s="1"/>
  <c r="CJ42" i="6"/>
  <c r="CJ41" i="6"/>
  <c r="BH42" i="10"/>
  <c r="CH42" i="10"/>
  <c r="W40" i="10"/>
  <c r="W41" i="10" s="1"/>
  <c r="W9" i="11"/>
  <c r="W41" i="6"/>
  <c r="W42" i="6"/>
  <c r="W43" i="6" s="1"/>
  <c r="BJ7" i="11"/>
  <c r="BJ10" i="11"/>
  <c r="BJ11" i="11" s="1"/>
  <c r="BJ8" i="11"/>
  <c r="BJ9" i="9"/>
  <c r="BJ10" i="8"/>
  <c r="U7" i="11"/>
  <c r="U10" i="11"/>
  <c r="U8" i="11"/>
  <c r="U9" i="9"/>
  <c r="U10" i="8"/>
  <c r="CB10" i="11"/>
  <c r="CB11" i="11" s="1"/>
  <c r="CB8" i="11"/>
  <c r="CB7" i="11"/>
  <c r="CB9" i="9"/>
  <c r="AF10" i="11"/>
  <c r="AF8" i="11"/>
  <c r="AF7" i="11"/>
  <c r="AF9" i="9"/>
  <c r="AF10" i="8"/>
  <c r="AQ10" i="11"/>
  <c r="AQ8" i="11"/>
  <c r="AQ7" i="11"/>
  <c r="AQ9" i="9"/>
  <c r="AQ10" i="8"/>
  <c r="BE10" i="11"/>
  <c r="BE11" i="11" s="1"/>
  <c r="BE8" i="11"/>
  <c r="BE7" i="11"/>
  <c r="BE9" i="9"/>
  <c r="BE10" i="8"/>
  <c r="S10" i="11"/>
  <c r="S8" i="11"/>
  <c r="S9" i="9"/>
  <c r="S7" i="11"/>
  <c r="S10" i="8"/>
  <c r="M7" i="11"/>
  <c r="M10" i="11"/>
  <c r="M9" i="9"/>
  <c r="M8" i="11"/>
  <c r="M10" i="8"/>
  <c r="CG7" i="11"/>
  <c r="CG10" i="11"/>
  <c r="CG11" i="11" s="1"/>
  <c r="CG8" i="11"/>
  <c r="CG9" i="9"/>
  <c r="BX7" i="11"/>
  <c r="BX10" i="11"/>
  <c r="BX11" i="11" s="1"/>
  <c r="BX8" i="11"/>
  <c r="BX9" i="9"/>
  <c r="N10" i="11"/>
  <c r="N11" i="11" s="1"/>
  <c r="N8" i="11"/>
  <c r="N7" i="11"/>
  <c r="N9" i="9"/>
  <c r="N10" i="8"/>
  <c r="AO10" i="11"/>
  <c r="AO8" i="11"/>
  <c r="AO7" i="11"/>
  <c r="AO9" i="9"/>
  <c r="AO10" i="8"/>
  <c r="F10" i="11"/>
  <c r="F11" i="11" s="1"/>
  <c r="F8" i="11"/>
  <c r="F9" i="9"/>
  <c r="F7" i="11"/>
  <c r="F10" i="8"/>
  <c r="L7" i="11"/>
  <c r="L10" i="11"/>
  <c r="L11" i="11" s="1"/>
  <c r="L8" i="11"/>
  <c r="L9" i="9"/>
  <c r="L10" i="8"/>
  <c r="CD10" i="11"/>
  <c r="CD11" i="11" s="1"/>
  <c r="CD8" i="11"/>
  <c r="CD7" i="11"/>
  <c r="CD9" i="9"/>
  <c r="BO10" i="11"/>
  <c r="BO11" i="11" s="1"/>
  <c r="BO8" i="11"/>
  <c r="BO7" i="11"/>
  <c r="BO9" i="9"/>
  <c r="BO10" i="8"/>
  <c r="AC7" i="11"/>
  <c r="AC10" i="11"/>
  <c r="AC8" i="11"/>
  <c r="AC9" i="9"/>
  <c r="AC10" i="8"/>
  <c r="AZ7" i="11"/>
  <c r="AZ10" i="11"/>
  <c r="AZ11" i="11" s="1"/>
  <c r="AZ8" i="11"/>
  <c r="AZ9" i="9"/>
  <c r="AZ10" i="8"/>
  <c r="CC10" i="11"/>
  <c r="CC11" i="11" s="1"/>
  <c r="CC8" i="11"/>
  <c r="CC7" i="11"/>
  <c r="CC9" i="9"/>
  <c r="AH10" i="11"/>
  <c r="AH11" i="11" s="1"/>
  <c r="AH8" i="11"/>
  <c r="AH7" i="11"/>
  <c r="AH9" i="9"/>
  <c r="AH10" i="8"/>
  <c r="AJ7" i="11"/>
  <c r="AJ10" i="11"/>
  <c r="AJ8" i="11"/>
  <c r="AJ9" i="9"/>
  <c r="AJ10" i="8"/>
  <c r="CJ10" i="11"/>
  <c r="CJ11" i="11" s="1"/>
  <c r="CJ8" i="11"/>
  <c r="CJ7" i="11"/>
  <c r="CJ9" i="9"/>
  <c r="AN10" i="11"/>
  <c r="AN11" i="11" s="1"/>
  <c r="AN8" i="11"/>
  <c r="AN7" i="11"/>
  <c r="AN9" i="9"/>
  <c r="AN10" i="8"/>
  <c r="I10" i="11"/>
  <c r="I8" i="11"/>
  <c r="I7" i="11"/>
  <c r="I9" i="9"/>
  <c r="I10" i="8"/>
  <c r="BS10" i="11"/>
  <c r="BS11" i="11" s="1"/>
  <c r="BS7" i="11"/>
  <c r="BS9" i="9"/>
  <c r="BS8" i="11"/>
  <c r="BS10" i="8"/>
  <c r="AG10" i="11"/>
  <c r="AG8" i="11"/>
  <c r="AG7" i="11"/>
  <c r="AG9" i="9"/>
  <c r="AG10" i="8"/>
  <c r="V7" i="11"/>
  <c r="V10" i="11"/>
  <c r="V11" i="11" s="1"/>
  <c r="V8" i="11"/>
  <c r="V9" i="9"/>
  <c r="V10" i="8"/>
  <c r="AB7" i="11"/>
  <c r="AB10" i="11"/>
  <c r="AB8" i="11"/>
  <c r="AB9" i="9"/>
  <c r="AB10" i="8"/>
  <c r="AU10" i="11"/>
  <c r="AU11" i="11" s="1"/>
  <c r="AU7" i="11"/>
  <c r="AU9" i="9"/>
  <c r="AU8" i="11"/>
  <c r="AU10" i="8"/>
  <c r="BR7" i="11"/>
  <c r="BR10" i="11"/>
  <c r="BR11" i="11" s="1"/>
  <c r="BR8" i="11"/>
  <c r="BR9" i="9"/>
  <c r="BR10" i="8"/>
  <c r="AK7" i="11"/>
  <c r="AK10" i="11"/>
  <c r="AK9" i="9"/>
  <c r="AK8" i="11"/>
  <c r="AK10" i="8"/>
  <c r="AR7" i="11"/>
  <c r="AR10" i="11"/>
  <c r="AR8" i="11"/>
  <c r="AR9" i="9"/>
  <c r="AR10" i="8"/>
  <c r="BF10" i="11"/>
  <c r="BF11" i="11" s="1"/>
  <c r="BF8" i="11"/>
  <c r="BF7" i="11"/>
  <c r="BF9" i="9"/>
  <c r="BF10" i="8"/>
  <c r="AT7" i="11"/>
  <c r="AT10" i="11"/>
  <c r="AT11" i="11" s="1"/>
  <c r="AT8" i="11"/>
  <c r="AT9" i="9"/>
  <c r="AT10" i="8"/>
  <c r="AM10" i="11"/>
  <c r="AM11" i="11" s="1"/>
  <c r="AM7" i="11"/>
  <c r="AM9" i="9"/>
  <c r="AM8" i="11"/>
  <c r="AM10" i="8"/>
  <c r="AD7" i="11"/>
  <c r="AD10" i="11"/>
  <c r="AD11" i="11" s="1"/>
  <c r="AD8" i="11"/>
  <c r="AD9" i="9"/>
  <c r="AD10" i="8"/>
  <c r="AD13" i="8" s="1"/>
  <c r="BY7" i="11"/>
  <c r="BY10" i="11"/>
  <c r="BY11" i="11" s="1"/>
  <c r="BY9" i="9"/>
  <c r="BY8" i="11"/>
  <c r="AP10" i="11"/>
  <c r="AP8" i="11"/>
  <c r="AP7" i="11"/>
  <c r="AP9" i="9"/>
  <c r="AP10" i="8"/>
  <c r="W7" i="11"/>
  <c r="W9" i="9"/>
  <c r="W8" i="11"/>
  <c r="W10" i="11"/>
  <c r="W10" i="8"/>
  <c r="AW10" i="11"/>
  <c r="AW11" i="11" s="1"/>
  <c r="AW8" i="11"/>
  <c r="AW7" i="11"/>
  <c r="AW9" i="9"/>
  <c r="AW10" i="8"/>
  <c r="BH7" i="11"/>
  <c r="BH10" i="11"/>
  <c r="BH11" i="11" s="1"/>
  <c r="BH8" i="11"/>
  <c r="BH9" i="9"/>
  <c r="BH10" i="8"/>
  <c r="AL7" i="11"/>
  <c r="AL10" i="11"/>
  <c r="AL11" i="11" s="1"/>
  <c r="AL8" i="11"/>
  <c r="AL9" i="9"/>
  <c r="AL10" i="8"/>
  <c r="AL13" i="8" s="1"/>
  <c r="X10" i="11"/>
  <c r="X8" i="11"/>
  <c r="X7" i="11"/>
  <c r="X9" i="9"/>
  <c r="X10" i="8"/>
  <c r="Z10" i="11"/>
  <c r="Z8" i="11"/>
  <c r="Z7" i="11"/>
  <c r="Z9" i="9"/>
  <c r="Z10" i="8"/>
  <c r="BD10" i="11"/>
  <c r="BD11" i="11" s="1"/>
  <c r="BD8" i="11"/>
  <c r="BD7" i="11"/>
  <c r="BD9" i="9"/>
  <c r="BD10" i="8"/>
  <c r="AV10" i="11"/>
  <c r="AV11" i="11" s="1"/>
  <c r="AV8" i="11"/>
  <c r="AV7" i="11"/>
  <c r="AV9" i="9"/>
  <c r="AV10" i="8"/>
  <c r="BG10" i="11"/>
  <c r="BG11" i="11" s="1"/>
  <c r="BG8" i="11"/>
  <c r="BG9" i="9"/>
  <c r="BG7" i="11"/>
  <c r="BG10" i="8"/>
  <c r="J10" i="11"/>
  <c r="J11" i="11" s="1"/>
  <c r="J8" i="11"/>
  <c r="J7" i="11"/>
  <c r="J9" i="9"/>
  <c r="J10" i="8"/>
  <c r="Q10" i="11"/>
  <c r="Q8" i="11"/>
  <c r="Q7" i="11"/>
  <c r="Q9" i="9"/>
  <c r="Q10" i="8"/>
  <c r="AX10" i="11"/>
  <c r="AX11" i="11" s="1"/>
  <c r="AX8" i="11"/>
  <c r="AX7" i="11"/>
  <c r="AX9" i="9"/>
  <c r="AX10" i="8"/>
  <c r="H10" i="11"/>
  <c r="H8" i="11"/>
  <c r="H7" i="11"/>
  <c r="H9" i="9"/>
  <c r="H10" i="8"/>
  <c r="E7" i="11"/>
  <c r="E10" i="11"/>
  <c r="E9" i="9"/>
  <c r="E8" i="11"/>
  <c r="E10" i="8"/>
  <c r="BL10" i="11"/>
  <c r="BL11" i="11" s="1"/>
  <c r="BL8" i="11"/>
  <c r="BL7" i="11"/>
  <c r="BL9" i="9"/>
  <c r="BL10" i="8"/>
  <c r="BI7" i="11"/>
  <c r="BI10" i="11"/>
  <c r="BI11" i="11" s="1"/>
  <c r="BI8" i="11"/>
  <c r="BI9" i="9"/>
  <c r="BI10" i="8"/>
  <c r="CK13" i="9"/>
  <c r="CK26" i="9"/>
  <c r="CK28" i="9"/>
  <c r="CK14" i="9"/>
  <c r="CK33" i="9"/>
  <c r="CF7" i="11"/>
  <c r="CF10" i="11"/>
  <c r="CF11" i="11" s="1"/>
  <c r="CF8" i="11"/>
  <c r="CF9" i="9"/>
  <c r="BA7" i="11"/>
  <c r="BA10" i="11"/>
  <c r="BA11" i="11" s="1"/>
  <c r="BA8" i="11"/>
  <c r="BA9" i="9"/>
  <c r="BA10" i="8"/>
  <c r="BZ7" i="11"/>
  <c r="BZ10" i="11"/>
  <c r="BZ11" i="11" s="1"/>
  <c r="BZ8" i="11"/>
  <c r="BZ9" i="9"/>
  <c r="BN10" i="11"/>
  <c r="BN11" i="11" s="1"/>
  <c r="BN8" i="11"/>
  <c r="BN7" i="11"/>
  <c r="BN9" i="9"/>
  <c r="BN10" i="8"/>
  <c r="AA10" i="11"/>
  <c r="AA11" i="11" s="1"/>
  <c r="AA8" i="11"/>
  <c r="AA9" i="9"/>
  <c r="AA7" i="11"/>
  <c r="AA10" i="8"/>
  <c r="K10" i="11"/>
  <c r="K8" i="11"/>
  <c r="K7" i="11"/>
  <c r="K9" i="9"/>
  <c r="K10" i="8"/>
  <c r="BQ7" i="11"/>
  <c r="BQ10" i="11"/>
  <c r="BQ11" i="11" s="1"/>
  <c r="BQ9" i="9"/>
  <c r="BQ8" i="11"/>
  <c r="BQ10" i="8"/>
  <c r="Y10" i="11"/>
  <c r="Y8" i="11"/>
  <c r="Y7" i="11"/>
  <c r="Y9" i="9"/>
  <c r="Y10" i="8"/>
  <c r="T7" i="11"/>
  <c r="T10" i="11"/>
  <c r="T8" i="11"/>
  <c r="T9" i="9"/>
  <c r="T10" i="8"/>
  <c r="AE7" i="11"/>
  <c r="AE9" i="9"/>
  <c r="AE10" i="11"/>
  <c r="AE8" i="11"/>
  <c r="AE10" i="8"/>
  <c r="BK10" i="11"/>
  <c r="BK11" i="11" s="1"/>
  <c r="BK7" i="11"/>
  <c r="BK9" i="9"/>
  <c r="BK8" i="11"/>
  <c r="BK10" i="8"/>
  <c r="BV10" i="11"/>
  <c r="BV11" i="11" s="1"/>
  <c r="BV8" i="11"/>
  <c r="BV7" i="11"/>
  <c r="BV9" i="9"/>
  <c r="BB7" i="11"/>
  <c r="BB10" i="11"/>
  <c r="BB11" i="11" s="1"/>
  <c r="BB8" i="11"/>
  <c r="BB9" i="9"/>
  <c r="BB10" i="8"/>
  <c r="R10" i="11"/>
  <c r="R8" i="11"/>
  <c r="R7" i="11"/>
  <c r="R9" i="9"/>
  <c r="R10" i="8"/>
  <c r="G9" i="9"/>
  <c r="G10" i="11"/>
  <c r="G11" i="11" s="1"/>
  <c r="G7" i="11"/>
  <c r="G8" i="11"/>
  <c r="G10" i="8"/>
  <c r="BC10" i="11"/>
  <c r="BC11" i="11" s="1"/>
  <c r="BC7" i="11"/>
  <c r="BC9" i="9"/>
  <c r="BC8" i="11"/>
  <c r="BC10" i="8"/>
  <c r="CA10" i="11"/>
  <c r="CA11" i="11" s="1"/>
  <c r="CA7" i="11"/>
  <c r="CA9" i="9"/>
  <c r="CA8" i="11"/>
  <c r="AY10" i="11"/>
  <c r="AY11" i="11" s="1"/>
  <c r="AY8" i="11"/>
  <c r="AY9" i="9"/>
  <c r="AY7" i="11"/>
  <c r="AY10" i="8"/>
  <c r="BM10" i="11"/>
  <c r="BM11" i="11" s="1"/>
  <c r="BM8" i="11"/>
  <c r="BM7" i="11"/>
  <c r="BM9" i="9"/>
  <c r="BM10" i="8"/>
  <c r="AI10" i="11"/>
  <c r="AI11" i="11" s="1"/>
  <c r="AI8" i="11"/>
  <c r="AI7" i="11"/>
  <c r="AI9" i="9"/>
  <c r="AI10" i="8"/>
  <c r="CI10" i="11"/>
  <c r="CI11" i="11" s="1"/>
  <c r="CI7" i="11"/>
  <c r="CI9" i="9"/>
  <c r="CI8" i="11"/>
  <c r="O7" i="11"/>
  <c r="O9" i="9"/>
  <c r="O10" i="11"/>
  <c r="O11" i="11" s="1"/>
  <c r="O8" i="11"/>
  <c r="O10" i="8"/>
  <c r="CH7" i="11"/>
  <c r="CH10" i="11"/>
  <c r="CH11" i="11" s="1"/>
  <c r="CH8" i="11"/>
  <c r="CH9" i="9"/>
  <c r="AS7" i="11"/>
  <c r="AS10" i="11"/>
  <c r="AS9" i="9"/>
  <c r="AS8" i="11"/>
  <c r="AS10" i="8"/>
  <c r="CE10" i="11"/>
  <c r="CE11" i="11" s="1"/>
  <c r="CE8" i="11"/>
  <c r="CE9" i="9"/>
  <c r="CE7" i="11"/>
  <c r="BW10" i="11"/>
  <c r="BW11" i="11" s="1"/>
  <c r="BW8" i="11"/>
  <c r="BW7" i="11"/>
  <c r="BW9" i="9"/>
  <c r="BP7" i="11"/>
  <c r="BP10" i="11"/>
  <c r="BP11" i="11" s="1"/>
  <c r="BP8" i="11"/>
  <c r="BP9" i="9"/>
  <c r="BP10" i="8"/>
  <c r="P10" i="11"/>
  <c r="P8" i="11"/>
  <c r="P7" i="11"/>
  <c r="P9" i="9"/>
  <c r="P10" i="8"/>
  <c r="BU10" i="11"/>
  <c r="BU11" i="11" s="1"/>
  <c r="BU8" i="11"/>
  <c r="BU7" i="11"/>
  <c r="BU9" i="9"/>
  <c r="BU10" i="8"/>
  <c r="BT10" i="11"/>
  <c r="BT11" i="11" s="1"/>
  <c r="BT8" i="11"/>
  <c r="BT7" i="11"/>
  <c r="BT9" i="9"/>
  <c r="BT10" i="8"/>
  <c r="E19" i="13"/>
  <c r="D21" i="13"/>
  <c r="H11" i="11" l="1"/>
  <c r="M11" i="11"/>
  <c r="F13" i="8"/>
  <c r="AJ11" i="11"/>
  <c r="AO11" i="11"/>
  <c r="AQ11" i="11"/>
  <c r="Q11" i="11"/>
  <c r="E64" i="13"/>
  <c r="M43" i="6"/>
  <c r="E65" i="13"/>
  <c r="I43" i="6"/>
  <c r="E66" i="13"/>
  <c r="E43" i="6"/>
  <c r="N13" i="8"/>
  <c r="V13" i="8"/>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F13" i="11"/>
  <c r="F12" i="11"/>
  <c r="F4" i="11"/>
  <c r="AF6" i="8"/>
  <c r="AF7" i="8" s="1"/>
  <c r="AF13" i="8" s="1"/>
  <c r="AF28" i="6"/>
  <c r="AF29" i="6" s="1"/>
  <c r="AF32" i="11" s="1"/>
  <c r="AF44" i="11" s="1"/>
  <c r="AF36" i="6"/>
  <c r="AF37" i="6" s="1"/>
  <c r="AF16" i="6"/>
  <c r="AF17" i="6" s="1"/>
  <c r="AF18" i="6" s="1"/>
  <c r="AA6" i="8"/>
  <c r="AA7" i="8" s="1"/>
  <c r="AA13" i="8" s="1"/>
  <c r="AA36" i="6"/>
  <c r="AA37" i="6" s="1"/>
  <c r="AA28" i="6"/>
  <c r="AA29" i="6" s="1"/>
  <c r="AA32" i="11" s="1"/>
  <c r="AA44" i="11" s="1"/>
  <c r="AA16" i="6"/>
  <c r="AA17" i="6" s="1"/>
  <c r="AA18" i="6" s="1"/>
  <c r="BS6" i="8"/>
  <c r="BS7" i="8" s="1"/>
  <c r="BS13" i="8" s="1"/>
  <c r="BS28" i="6"/>
  <c r="BS29" i="6" s="1"/>
  <c r="BS32" i="11" s="1"/>
  <c r="BS44" i="11" s="1"/>
  <c r="BS36" i="6"/>
  <c r="BS37" i="6" s="1"/>
  <c r="BS16" i="6"/>
  <c r="BS17" i="6" s="1"/>
  <c r="AK17" i="12"/>
  <c r="AK18" i="12" s="1"/>
  <c r="AK2" i="11"/>
  <c r="AK47" i="10"/>
  <c r="AK48" i="10"/>
  <c r="AK47" i="6"/>
  <c r="CE36" i="6"/>
  <c r="CE37" i="6" s="1"/>
  <c r="CE28" i="6"/>
  <c r="CE29" i="6" s="1"/>
  <c r="CE32" i="11" s="1"/>
  <c r="CE44" i="11" s="1"/>
  <c r="CE16" i="6"/>
  <c r="CE17" i="6" s="1"/>
  <c r="BM6" i="8"/>
  <c r="BM7" i="8" s="1"/>
  <c r="BM13" i="8" s="1"/>
  <c r="BM36" i="6"/>
  <c r="BM37" i="6" s="1"/>
  <c r="BM28" i="6"/>
  <c r="BM29" i="6" s="1"/>
  <c r="BM32" i="11" s="1"/>
  <c r="BM44" i="11" s="1"/>
  <c r="BM16" i="6"/>
  <c r="BM17" i="6" s="1"/>
  <c r="AO17" i="12"/>
  <c r="AO18" i="12" s="1"/>
  <c r="AO2" i="11"/>
  <c r="AO47" i="10"/>
  <c r="AO47" i="6"/>
  <c r="AO48" i="10"/>
  <c r="CG17" i="12"/>
  <c r="CG18" i="12" s="1"/>
  <c r="CG2" i="11"/>
  <c r="CG47" i="10"/>
  <c r="CG49" i="10" s="1"/>
  <c r="CG48" i="10"/>
  <c r="CG47" i="6"/>
  <c r="V13" i="11"/>
  <c r="V12" i="11"/>
  <c r="V14" i="11" s="1"/>
  <c r="V4" i="11"/>
  <c r="CA17" i="12"/>
  <c r="CA18" i="12" s="1"/>
  <c r="CA2" i="11"/>
  <c r="CA47" i="10"/>
  <c r="CA48" i="10"/>
  <c r="CA47" i="6"/>
  <c r="K36" i="6"/>
  <c r="K37" i="6" s="1"/>
  <c r="K6" i="8"/>
  <c r="K7" i="8" s="1"/>
  <c r="K13" i="8" s="1"/>
  <c r="K28" i="6"/>
  <c r="K29" i="6" s="1"/>
  <c r="K32" i="11" s="1"/>
  <c r="K44" i="11" s="1"/>
  <c r="K16" i="6"/>
  <c r="K17" i="6" s="1"/>
  <c r="K18" i="6" s="1"/>
  <c r="S17" i="12"/>
  <c r="S18" i="12" s="1"/>
  <c r="S2" i="11"/>
  <c r="S47" i="10"/>
  <c r="S47" i="6"/>
  <c r="S48" i="10"/>
  <c r="N13" i="11"/>
  <c r="N12" i="11"/>
  <c r="N14" i="11" s="1"/>
  <c r="N4" i="11"/>
  <c r="BB5" i="11"/>
  <c r="BB50" i="10"/>
  <c r="AY36" i="6"/>
  <c r="AY37" i="6" s="1"/>
  <c r="AY28" i="6"/>
  <c r="AY29" i="6" s="1"/>
  <c r="AY32" i="11" s="1"/>
  <c r="AY44" i="11" s="1"/>
  <c r="AY6" i="8"/>
  <c r="AY7" i="8" s="1"/>
  <c r="AY13" i="8" s="1"/>
  <c r="AY16" i="6"/>
  <c r="AY17" i="6" s="1"/>
  <c r="CF36" i="6"/>
  <c r="CF37" i="6" s="1"/>
  <c r="CF28" i="6"/>
  <c r="CF29" i="6" s="1"/>
  <c r="CF32" i="11" s="1"/>
  <c r="CF44" i="11" s="1"/>
  <c r="CF16" i="6"/>
  <c r="CF17" i="6" s="1"/>
  <c r="AG17" i="12"/>
  <c r="AG18" i="12" s="1"/>
  <c r="AG2" i="11"/>
  <c r="AG47" i="10"/>
  <c r="AG47" i="6"/>
  <c r="AG48" i="10"/>
  <c r="BG17" i="12"/>
  <c r="BG18" i="12" s="1"/>
  <c r="BG2" i="11"/>
  <c r="BG47" i="10"/>
  <c r="BG48" i="10"/>
  <c r="BG47" i="6"/>
  <c r="BQ6" i="8"/>
  <c r="BQ7" i="8" s="1"/>
  <c r="BQ13" i="8" s="1"/>
  <c r="BQ36" i="6"/>
  <c r="BQ37" i="6" s="1"/>
  <c r="BQ28" i="6"/>
  <c r="BQ29" i="6" s="1"/>
  <c r="BQ32" i="11" s="1"/>
  <c r="BQ44" i="11" s="1"/>
  <c r="BQ16" i="6"/>
  <c r="BQ17" i="6" s="1"/>
  <c r="BU17" i="12"/>
  <c r="BU18" i="12" s="1"/>
  <c r="BU2" i="11"/>
  <c r="BU47" i="10"/>
  <c r="BU47" i="6"/>
  <c r="BU48" i="10"/>
  <c r="AP17" i="12"/>
  <c r="AP18" i="12" s="1"/>
  <c r="AP2" i="11"/>
  <c r="AP47" i="10"/>
  <c r="AP49" i="10" s="1"/>
  <c r="AP47" i="6"/>
  <c r="AP48" i="10"/>
  <c r="CD36" i="6"/>
  <c r="CD37" i="6" s="1"/>
  <c r="CD28" i="6"/>
  <c r="CD29" i="6" s="1"/>
  <c r="CD32" i="11" s="1"/>
  <c r="CD44" i="11" s="1"/>
  <c r="CD16" i="6"/>
  <c r="CD17"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13" i="8" s="1"/>
  <c r="AK36" i="6"/>
  <c r="AK37" i="6" s="1"/>
  <c r="AK28" i="6"/>
  <c r="AK29" i="6" s="1"/>
  <c r="AK32" i="11" s="1"/>
  <c r="AK44" i="11" s="1"/>
  <c r="AK16" i="6"/>
  <c r="AK17" i="6" s="1"/>
  <c r="AK18" i="6" s="1"/>
  <c r="AV17" i="12"/>
  <c r="AV18" i="12" s="1"/>
  <c r="AV2" i="11"/>
  <c r="AV47" i="10"/>
  <c r="AV48" i="10"/>
  <c r="AV47" i="6"/>
  <c r="BA17" i="12"/>
  <c r="BA18" i="12" s="1"/>
  <c r="BA2" i="11"/>
  <c r="BA47" i="10"/>
  <c r="BA49" i="10" s="1"/>
  <c r="BA48" i="10"/>
  <c r="BA47" i="6"/>
  <c r="AO6" i="8"/>
  <c r="AO7" i="8" s="1"/>
  <c r="AO13" i="8" s="1"/>
  <c r="AO36" i="6"/>
  <c r="AO37" i="6" s="1"/>
  <c r="AO28" i="6"/>
  <c r="AO29" i="6" s="1"/>
  <c r="AO32" i="11" s="1"/>
  <c r="AO44" i="11" s="1"/>
  <c r="AO16" i="6"/>
  <c r="AO17" i="6" s="1"/>
  <c r="AO18" i="6" s="1"/>
  <c r="BT6" i="8"/>
  <c r="BT7" i="8" s="1"/>
  <c r="BT13" i="8" s="1"/>
  <c r="BT28" i="6"/>
  <c r="BT29" i="6" s="1"/>
  <c r="BT32" i="11" s="1"/>
  <c r="BT44" i="11" s="1"/>
  <c r="BT36" i="6"/>
  <c r="BT37" i="6" s="1"/>
  <c r="BT16" i="6"/>
  <c r="BT17" i="6" s="1"/>
  <c r="Z17" i="12"/>
  <c r="Z18" i="12" s="1"/>
  <c r="Z2" i="11"/>
  <c r="Z47" i="10"/>
  <c r="Z49" i="10" s="1"/>
  <c r="Z47" i="6"/>
  <c r="Z48" i="10"/>
  <c r="AC17" i="12"/>
  <c r="AC18" i="12" s="1"/>
  <c r="AC2" i="11"/>
  <c r="AC47" i="10"/>
  <c r="AC48" i="10"/>
  <c r="AC47" i="6"/>
  <c r="AG6" i="8"/>
  <c r="AG7" i="8" s="1"/>
  <c r="AG13" i="8" s="1"/>
  <c r="AG36" i="6"/>
  <c r="AG37" i="6" s="1"/>
  <c r="AG28" i="6"/>
  <c r="AG29" i="6" s="1"/>
  <c r="AG32" i="11" s="1"/>
  <c r="AG44" i="11" s="1"/>
  <c r="AG16" i="6"/>
  <c r="AG17" i="6" s="1"/>
  <c r="AG18" i="6" s="1"/>
  <c r="BU6" i="8"/>
  <c r="BU7" i="8" s="1"/>
  <c r="BU13" i="8" s="1"/>
  <c r="BU36" i="6"/>
  <c r="BU37" i="6" s="1"/>
  <c r="BU28" i="6"/>
  <c r="BU29" i="6" s="1"/>
  <c r="BU32" i="11" s="1"/>
  <c r="BU44" i="11" s="1"/>
  <c r="BU16" i="6"/>
  <c r="BU17" i="6" s="1"/>
  <c r="CI28" i="6"/>
  <c r="CI29" i="6" s="1"/>
  <c r="CI32" i="11" s="1"/>
  <c r="CI44" i="11" s="1"/>
  <c r="CI36" i="6"/>
  <c r="CI37" i="6" s="1"/>
  <c r="CI16" i="6"/>
  <c r="CI17" i="6" s="1"/>
  <c r="AP6" i="8"/>
  <c r="AP7" i="8" s="1"/>
  <c r="AP13" i="8" s="1"/>
  <c r="AP36" i="6"/>
  <c r="AP37" i="6" s="1"/>
  <c r="AP28" i="6"/>
  <c r="AP29" i="6" s="1"/>
  <c r="AP32" i="11" s="1"/>
  <c r="AP44" i="11" s="1"/>
  <c r="AP16" i="6"/>
  <c r="AP17" i="6" s="1"/>
  <c r="AP18" i="6" s="1"/>
  <c r="AZ6" i="8"/>
  <c r="AZ7" i="8" s="1"/>
  <c r="AZ13" i="8" s="1"/>
  <c r="AZ36" i="6"/>
  <c r="AZ37" i="6" s="1"/>
  <c r="AZ28" i="6"/>
  <c r="AZ29" i="6" s="1"/>
  <c r="AZ32" i="11" s="1"/>
  <c r="AZ44" i="11" s="1"/>
  <c r="AZ16" i="6"/>
  <c r="AZ17" i="6" s="1"/>
  <c r="AR6" i="8"/>
  <c r="AR7" i="8" s="1"/>
  <c r="AR13" i="8" s="1"/>
  <c r="AR36" i="6"/>
  <c r="AR37" i="6" s="1"/>
  <c r="AR28" i="6"/>
  <c r="AR29" i="6" s="1"/>
  <c r="AR32" i="11" s="1"/>
  <c r="AR44" i="11" s="1"/>
  <c r="AR16" i="6"/>
  <c r="AR17" i="6" s="1"/>
  <c r="AR18" i="6" s="1"/>
  <c r="CD17" i="12"/>
  <c r="CD18" i="12" s="1"/>
  <c r="CD2" i="11"/>
  <c r="CD47" i="10"/>
  <c r="CD49" i="10" s="1"/>
  <c r="CD47" i="6"/>
  <c r="CD48" i="10"/>
  <c r="AN6" i="8"/>
  <c r="AN7" i="8" s="1"/>
  <c r="AN13" i="8" s="1"/>
  <c r="AN28" i="6"/>
  <c r="AN29" i="6" s="1"/>
  <c r="AN32" i="11" s="1"/>
  <c r="AN44" i="11" s="1"/>
  <c r="AN36" i="6"/>
  <c r="AN37" i="6" s="1"/>
  <c r="AN16" i="6"/>
  <c r="AN17" i="6" s="1"/>
  <c r="AN18" i="6" s="1"/>
  <c r="M17" i="12"/>
  <c r="M18" i="12" s="1"/>
  <c r="M2" i="11"/>
  <c r="M47" i="10"/>
  <c r="M48" i="10"/>
  <c r="M47" i="6"/>
  <c r="H6" i="8"/>
  <c r="H7" i="8" s="1"/>
  <c r="H13" i="8" s="1"/>
  <c r="H28" i="6"/>
  <c r="H29" i="6" s="1"/>
  <c r="H32" i="11" s="1"/>
  <c r="H44" i="11" s="1"/>
  <c r="H36" i="6"/>
  <c r="H37" i="6" s="1"/>
  <c r="H16" i="6"/>
  <c r="H17" i="6" s="1"/>
  <c r="H18" i="6" s="1"/>
  <c r="BO36" i="6"/>
  <c r="BO37" i="6" s="1"/>
  <c r="BO6" i="8"/>
  <c r="BO7" i="8" s="1"/>
  <c r="BO13" i="8" s="1"/>
  <c r="BO28" i="6"/>
  <c r="BO29" i="6" s="1"/>
  <c r="BO32" i="11" s="1"/>
  <c r="BO44" i="11" s="1"/>
  <c r="BO16" i="6"/>
  <c r="BO17" i="6" s="1"/>
  <c r="AJ6" i="8"/>
  <c r="AJ7" i="8" s="1"/>
  <c r="AJ13" i="8" s="1"/>
  <c r="AJ36" i="6"/>
  <c r="AJ37" i="6" s="1"/>
  <c r="AJ28" i="6"/>
  <c r="AJ29" i="6" s="1"/>
  <c r="AJ32" i="11" s="1"/>
  <c r="AJ44" i="11" s="1"/>
  <c r="AJ16" i="6"/>
  <c r="AJ17" i="6" s="1"/>
  <c r="AJ18" i="6" s="1"/>
  <c r="AM42" i="10"/>
  <c r="BX17" i="12"/>
  <c r="BX18" i="12" s="1"/>
  <c r="BX2" i="11"/>
  <c r="BX47" i="10"/>
  <c r="BX48" i="10"/>
  <c r="BX47" i="6"/>
  <c r="W11" i="11"/>
  <c r="CC17" i="12"/>
  <c r="CC18" i="12" s="1"/>
  <c r="CC2" i="11"/>
  <c r="CC47" i="10"/>
  <c r="CC49" i="10" s="1"/>
  <c r="CC47" i="6"/>
  <c r="CC48" i="10"/>
  <c r="AW6" i="8"/>
  <c r="AW7" i="8" s="1"/>
  <c r="AW13" i="8" s="1"/>
  <c r="AW36" i="6"/>
  <c r="AW37" i="6" s="1"/>
  <c r="AW28" i="6"/>
  <c r="AW29" i="6" s="1"/>
  <c r="AW32" i="11" s="1"/>
  <c r="AW44" i="11" s="1"/>
  <c r="AW16" i="6"/>
  <c r="AW17" i="6" s="1"/>
  <c r="BW36" i="6"/>
  <c r="BW37" i="6" s="1"/>
  <c r="BW28" i="6"/>
  <c r="BW29" i="6" s="1"/>
  <c r="BW32" i="11" s="1"/>
  <c r="BW44" i="11" s="1"/>
  <c r="BW16" i="6"/>
  <c r="BW17" i="6" s="1"/>
  <c r="AB17" i="12"/>
  <c r="AB18" i="12" s="1"/>
  <c r="AB2" i="11"/>
  <c r="AB47" i="10"/>
  <c r="AB48" i="10"/>
  <c r="AB47" i="6"/>
  <c r="AA17" i="12"/>
  <c r="AA18" i="12" s="1"/>
  <c r="AA2" i="11"/>
  <c r="AA47" i="10"/>
  <c r="AA48" i="10"/>
  <c r="AA47" i="6"/>
  <c r="R17" i="12"/>
  <c r="R18" i="12" s="1"/>
  <c r="R2" i="11"/>
  <c r="R47" i="10"/>
  <c r="R49" i="10" s="1"/>
  <c r="R47" i="6"/>
  <c r="R48" i="10"/>
  <c r="BS17" i="12"/>
  <c r="BS18" i="12" s="1"/>
  <c r="BS2" i="11"/>
  <c r="BS47" i="10"/>
  <c r="BS48" i="10"/>
  <c r="BS47" i="6"/>
  <c r="D43" i="6"/>
  <c r="D47" i="6"/>
  <c r="BI6" i="8"/>
  <c r="BI7" i="8" s="1"/>
  <c r="BI13" i="8" s="1"/>
  <c r="BI36" i="6"/>
  <c r="BI37" i="6" s="1"/>
  <c r="BI28" i="6"/>
  <c r="BI29" i="6" s="1"/>
  <c r="BI32" i="11" s="1"/>
  <c r="BI44" i="11" s="1"/>
  <c r="BI16" i="6"/>
  <c r="BI17" i="6" s="1"/>
  <c r="CE17" i="12"/>
  <c r="CE18" i="12" s="1"/>
  <c r="CE2" i="11"/>
  <c r="CE47" i="10"/>
  <c r="CE47" i="6"/>
  <c r="CE48" i="10"/>
  <c r="BK6" i="8"/>
  <c r="BK7" i="8" s="1"/>
  <c r="BK13" i="8" s="1"/>
  <c r="BK28" i="6"/>
  <c r="BK29" i="6" s="1"/>
  <c r="BK32" i="11" s="1"/>
  <c r="BK44" i="11" s="1"/>
  <c r="BK36" i="6"/>
  <c r="BK37" i="6" s="1"/>
  <c r="BK16" i="6"/>
  <c r="BK17" i="6" s="1"/>
  <c r="AV6" i="8"/>
  <c r="AV7" i="8" s="1"/>
  <c r="AV13" i="8" s="1"/>
  <c r="AV28" i="6"/>
  <c r="AV29" i="6" s="1"/>
  <c r="AV32" i="11" s="1"/>
  <c r="AV44" i="11" s="1"/>
  <c r="AV36" i="6"/>
  <c r="AV37" i="6" s="1"/>
  <c r="AV16" i="6"/>
  <c r="AV17" i="6" s="1"/>
  <c r="K17" i="12"/>
  <c r="K18" i="12" s="1"/>
  <c r="K2" i="11"/>
  <c r="K47" i="10"/>
  <c r="K47" i="6"/>
  <c r="K48" i="10"/>
  <c r="Z6" i="8"/>
  <c r="Z7" i="8" s="1"/>
  <c r="Z13" i="8" s="1"/>
  <c r="Z36" i="6"/>
  <c r="Z37" i="6" s="1"/>
  <c r="Z28" i="6"/>
  <c r="Z29" i="6" s="1"/>
  <c r="Z32" i="11" s="1"/>
  <c r="Z44" i="11" s="1"/>
  <c r="Z16" i="6"/>
  <c r="Z17" i="6" s="1"/>
  <c r="Z18" i="6" s="1"/>
  <c r="AY17" i="12"/>
  <c r="AY18" i="12" s="1"/>
  <c r="AY2" i="11"/>
  <c r="AY47" i="10"/>
  <c r="AY49" i="10" s="1"/>
  <c r="AY47" i="6"/>
  <c r="AY48" i="10"/>
  <c r="AC6" i="8"/>
  <c r="AC7" i="8" s="1"/>
  <c r="AC13" i="8" s="1"/>
  <c r="AC36" i="6"/>
  <c r="AC37" i="6" s="1"/>
  <c r="AC28" i="6"/>
  <c r="AC29" i="6" s="1"/>
  <c r="AC32" i="11" s="1"/>
  <c r="AC44" i="11" s="1"/>
  <c r="AC16" i="6"/>
  <c r="AC17" i="6" s="1"/>
  <c r="AC18" i="6" s="1"/>
  <c r="BZ5" i="11"/>
  <c r="BZ50" i="10"/>
  <c r="CF17" i="12"/>
  <c r="CF18" i="12" s="1"/>
  <c r="CF2" i="11"/>
  <c r="CF47" i="10"/>
  <c r="CF48" i="10"/>
  <c r="CF47" i="6"/>
  <c r="BQ17" i="12"/>
  <c r="BQ18" i="12" s="1"/>
  <c r="BQ2" i="11"/>
  <c r="BQ47" i="10"/>
  <c r="BQ49" i="10" s="1"/>
  <c r="BQ48" i="10"/>
  <c r="BQ47" i="6"/>
  <c r="E17" i="12"/>
  <c r="E18" i="12" s="1"/>
  <c r="E2" i="11"/>
  <c r="E47" i="10"/>
  <c r="E48" i="10"/>
  <c r="E47" i="6"/>
  <c r="AW42" i="10"/>
  <c r="BP6" i="8"/>
  <c r="BP7" i="8" s="1"/>
  <c r="BP13" i="8" s="1"/>
  <c r="BP36" i="6"/>
  <c r="BP37" i="6" s="1"/>
  <c r="BP28" i="6"/>
  <c r="BP29" i="6" s="1"/>
  <c r="BP32" i="11" s="1"/>
  <c r="BP44" i="11" s="1"/>
  <c r="BP16" i="6"/>
  <c r="BP17" i="6" s="1"/>
  <c r="AH17" i="12"/>
  <c r="AH18" i="12" s="1"/>
  <c r="AH2" i="11"/>
  <c r="AH47" i="10"/>
  <c r="AH49" i="10" s="1"/>
  <c r="AH47" i="6"/>
  <c r="AH48" i="10"/>
  <c r="BR13" i="11"/>
  <c r="BR12" i="11"/>
  <c r="BR4" i="11"/>
  <c r="CH13" i="11"/>
  <c r="CH12" i="11"/>
  <c r="CH4" i="11"/>
  <c r="M6" i="8"/>
  <c r="M7" i="8" s="1"/>
  <c r="M13" i="8" s="1"/>
  <c r="M36" i="6"/>
  <c r="M37" i="6" s="1"/>
  <c r="M28" i="6"/>
  <c r="M29" i="6" s="1"/>
  <c r="M32" i="11" s="1"/>
  <c r="M44" i="11" s="1"/>
  <c r="M16" i="6"/>
  <c r="M17" i="6" s="1"/>
  <c r="M18" i="6" s="1"/>
  <c r="Q17" i="12"/>
  <c r="Q18" i="12" s="1"/>
  <c r="Q2" i="11"/>
  <c r="Q47" i="10"/>
  <c r="Q47" i="6"/>
  <c r="Q48" i="10"/>
  <c r="BJ13" i="11"/>
  <c r="BJ12" i="11"/>
  <c r="BJ4" i="11"/>
  <c r="AK42" i="10"/>
  <c r="BO17" i="12"/>
  <c r="BO18" i="12" s="1"/>
  <c r="BO2" i="11"/>
  <c r="BO47" i="10"/>
  <c r="BO49" i="10" s="1"/>
  <c r="BO48" i="10"/>
  <c r="BO47" i="6"/>
  <c r="CH15" i="12"/>
  <c r="CH16" i="12" s="1"/>
  <c r="CH23" i="10"/>
  <c r="CH24" i="10" s="1"/>
  <c r="CH33" i="6"/>
  <c r="F14" i="11"/>
  <c r="CC36" i="6"/>
  <c r="CC37" i="6" s="1"/>
  <c r="CC28" i="6"/>
  <c r="CC29" i="6" s="1"/>
  <c r="CC32" i="11" s="1"/>
  <c r="CC44" i="11" s="1"/>
  <c r="CC16" i="6"/>
  <c r="CC17" i="6" s="1"/>
  <c r="AB6" i="8"/>
  <c r="AB7" i="8" s="1"/>
  <c r="AB13" i="8" s="1"/>
  <c r="AB36" i="6"/>
  <c r="AB37" i="6" s="1"/>
  <c r="AB28" i="6"/>
  <c r="AB29" i="6" s="1"/>
  <c r="AB32" i="11" s="1"/>
  <c r="AB44" i="11" s="1"/>
  <c r="AB16" i="6"/>
  <c r="AB17" i="6" s="1"/>
  <c r="AB18" i="6" s="1"/>
  <c r="R6" i="8"/>
  <c r="R7" i="8" s="1"/>
  <c r="R13" i="8" s="1"/>
  <c r="R36" i="6"/>
  <c r="R37" i="6" s="1"/>
  <c r="R28" i="6"/>
  <c r="R29" i="6" s="1"/>
  <c r="R32" i="11" s="1"/>
  <c r="R44" i="11" s="1"/>
  <c r="R16" i="6"/>
  <c r="R17" i="6" s="1"/>
  <c r="R18" i="6" s="1"/>
  <c r="D36" i="6"/>
  <c r="D37" i="6" s="1"/>
  <c r="D28" i="6"/>
  <c r="D29" i="6" s="1"/>
  <c r="D16" i="6"/>
  <c r="D17" i="6" s="1"/>
  <c r="N15" i="12"/>
  <c r="N16" i="12" s="1"/>
  <c r="N23" i="10"/>
  <c r="N24" i="10" s="1"/>
  <c r="N33" i="6"/>
  <c r="N34" i="6" s="1"/>
  <c r="AT15" i="12"/>
  <c r="AT16" i="12" s="1"/>
  <c r="AT23" i="10"/>
  <c r="AT24" i="10" s="1"/>
  <c r="AT33" i="6"/>
  <c r="P17" i="12"/>
  <c r="P18" i="12" s="1"/>
  <c r="P2" i="11"/>
  <c r="P47" i="10"/>
  <c r="P48" i="10"/>
  <c r="P47" i="6"/>
  <c r="BT17" i="12"/>
  <c r="BT18" i="12" s="1"/>
  <c r="BT2" i="11"/>
  <c r="BT47" i="10"/>
  <c r="BT49" i="10" s="1"/>
  <c r="BT48" i="10"/>
  <c r="BT47" i="6"/>
  <c r="G17" i="12"/>
  <c r="G18" i="12" s="1"/>
  <c r="G2" i="11"/>
  <c r="G47" i="10"/>
  <c r="G48" i="10"/>
  <c r="G47" i="6"/>
  <c r="BB13" i="11"/>
  <c r="BB12" i="11"/>
  <c r="BB4" i="11"/>
  <c r="BY36" i="6"/>
  <c r="BY37" i="6" s="1"/>
  <c r="BY28" i="6"/>
  <c r="BY29" i="6" s="1"/>
  <c r="BY32" i="11" s="1"/>
  <c r="BY44" i="11" s="1"/>
  <c r="BY16" i="6"/>
  <c r="BY17" i="6" s="1"/>
  <c r="AL5" i="11"/>
  <c r="AL50" i="10"/>
  <c r="CI17" i="12"/>
  <c r="CI18" i="12" s="1"/>
  <c r="CI2" i="11"/>
  <c r="CI47" i="10"/>
  <c r="CI49" i="10" s="1"/>
  <c r="CI48" i="10"/>
  <c r="CI47" i="6"/>
  <c r="E7" i="8"/>
  <c r="E13" i="8" s="1"/>
  <c r="E36" i="6"/>
  <c r="E37" i="6" s="1"/>
  <c r="E28" i="6"/>
  <c r="E29" i="6" s="1"/>
  <c r="E32" i="11" s="1"/>
  <c r="E44" i="11" s="1"/>
  <c r="E16" i="6"/>
  <c r="E17" i="6" s="1"/>
  <c r="E18" i="6" s="1"/>
  <c r="BF6" i="8"/>
  <c r="BF7" i="8" s="1"/>
  <c r="BF13" i="8" s="1"/>
  <c r="BF36" i="6"/>
  <c r="BF37" i="6" s="1"/>
  <c r="BF28" i="6"/>
  <c r="BF29" i="6" s="1"/>
  <c r="BF32" i="11" s="1"/>
  <c r="BF44" i="11" s="1"/>
  <c r="BF16" i="6"/>
  <c r="BF17" i="6" s="1"/>
  <c r="AZ17" i="12"/>
  <c r="AZ18" i="12" s="1"/>
  <c r="AZ2" i="11"/>
  <c r="AZ47" i="10"/>
  <c r="AZ48" i="10"/>
  <c r="AZ47" i="6"/>
  <c r="AR17" i="12"/>
  <c r="AR18" i="12" s="1"/>
  <c r="AR2" i="11"/>
  <c r="AR47" i="10"/>
  <c r="AR49" i="10" s="1"/>
  <c r="AR48" i="10"/>
  <c r="AR47" i="6"/>
  <c r="AH6" i="8"/>
  <c r="AH7" i="8" s="1"/>
  <c r="AH13" i="8" s="1"/>
  <c r="AH36" i="6"/>
  <c r="AH37" i="6" s="1"/>
  <c r="AH28" i="6"/>
  <c r="AH29" i="6" s="1"/>
  <c r="AH32" i="11" s="1"/>
  <c r="AH44" i="11" s="1"/>
  <c r="AH16" i="6"/>
  <c r="AH17" i="6" s="1"/>
  <c r="AH18" i="6" s="1"/>
  <c r="AQ42" i="10"/>
  <c r="BV42" i="10"/>
  <c r="Q6" i="8"/>
  <c r="Q7" i="8" s="1"/>
  <c r="Q13" i="8" s="1"/>
  <c r="Q36" i="6"/>
  <c r="Q37" i="6" s="1"/>
  <c r="Q28" i="6"/>
  <c r="Q29" i="6" s="1"/>
  <c r="Q32" i="11" s="1"/>
  <c r="Q44" i="11" s="1"/>
  <c r="Q16" i="6"/>
  <c r="Q17" i="6" s="1"/>
  <c r="Q18" i="6" s="1"/>
  <c r="BM42" i="10"/>
  <c r="BS42" i="10"/>
  <c r="BR15" i="12"/>
  <c r="BR16" i="12" s="1"/>
  <c r="BR23" i="10"/>
  <c r="BR24" i="10" s="1"/>
  <c r="BR33" i="6"/>
  <c r="CJ28" i="6"/>
  <c r="CJ29" i="6" s="1"/>
  <c r="CJ32" i="11" s="1"/>
  <c r="CJ44" i="11" s="1"/>
  <c r="CJ36" i="6"/>
  <c r="CJ37" i="6" s="1"/>
  <c r="CJ16" i="6"/>
  <c r="CJ17" i="6" s="1"/>
  <c r="BW17" i="12"/>
  <c r="BW18" i="12" s="1"/>
  <c r="BW2" i="11"/>
  <c r="BW47" i="10"/>
  <c r="BW49" i="10" s="1"/>
  <c r="BW47" i="6"/>
  <c r="BW48" i="10"/>
  <c r="T17" i="12"/>
  <c r="T18" i="12" s="1"/>
  <c r="T2" i="11"/>
  <c r="T47" i="10"/>
  <c r="T48" i="10"/>
  <c r="T47" i="6"/>
  <c r="AD15" i="12"/>
  <c r="AD16" i="12" s="1"/>
  <c r="AD23" i="10"/>
  <c r="AD24" i="10" s="1"/>
  <c r="AD33" i="6"/>
  <c r="AD34" i="6" s="1"/>
  <c r="BI17" i="12"/>
  <c r="BI18" i="12" s="1"/>
  <c r="BI2" i="11"/>
  <c r="BI47" i="10"/>
  <c r="BI48" i="10"/>
  <c r="BI47" i="6"/>
  <c r="AM17" i="12"/>
  <c r="AM18" i="12" s="1"/>
  <c r="AM2" i="11"/>
  <c r="AM47" i="10"/>
  <c r="AM48" i="10"/>
  <c r="AM47" i="6"/>
  <c r="BK17" i="12"/>
  <c r="BK18" i="12" s="1"/>
  <c r="BK2" i="11"/>
  <c r="BK47" i="10"/>
  <c r="BK49" i="10" s="1"/>
  <c r="BK48" i="10"/>
  <c r="BK47" i="6"/>
  <c r="AD5" i="11"/>
  <c r="AD50" i="10"/>
  <c r="BH6" i="8"/>
  <c r="BH7" i="8" s="1"/>
  <c r="BH13" i="8" s="1"/>
  <c r="BH36" i="6"/>
  <c r="BH37" i="6" s="1"/>
  <c r="BH28" i="6"/>
  <c r="BH29" i="6" s="1"/>
  <c r="BH32" i="11" s="1"/>
  <c r="BH44" i="11" s="1"/>
  <c r="BH16" i="6"/>
  <c r="BH17" i="6" s="1"/>
  <c r="P6" i="8"/>
  <c r="P7" i="8" s="1"/>
  <c r="P13" i="8" s="1"/>
  <c r="P28" i="6"/>
  <c r="P29" i="6" s="1"/>
  <c r="P32" i="11" s="1"/>
  <c r="P44" i="11" s="1"/>
  <c r="P36" i="6"/>
  <c r="P37" i="6" s="1"/>
  <c r="P16" i="6"/>
  <c r="P17" i="6" s="1"/>
  <c r="P18" i="6" s="1"/>
  <c r="G6" i="8"/>
  <c r="G7" i="8" s="1"/>
  <c r="G13" i="8" s="1"/>
  <c r="G28" i="6"/>
  <c r="G29" i="6" s="1"/>
  <c r="G32" i="11" s="1"/>
  <c r="G44" i="11" s="1"/>
  <c r="G36" i="6"/>
  <c r="G37" i="6" s="1"/>
  <c r="G16" i="6"/>
  <c r="G17" i="6" s="1"/>
  <c r="G18" i="6" s="1"/>
  <c r="AT5" i="11"/>
  <c r="AT50" i="10"/>
  <c r="BD6" i="8"/>
  <c r="BD7" i="8" s="1"/>
  <c r="BD13" i="8" s="1"/>
  <c r="BD28" i="6"/>
  <c r="BD29" i="6" s="1"/>
  <c r="BD32" i="11" s="1"/>
  <c r="BD44" i="11" s="1"/>
  <c r="BD36" i="6"/>
  <c r="BD37" i="6" s="1"/>
  <c r="BD16" i="6"/>
  <c r="BD17" i="6" s="1"/>
  <c r="BZ49" i="10"/>
  <c r="L17" i="12"/>
  <c r="L18" i="12" s="1"/>
  <c r="L2" i="11"/>
  <c r="L47" i="10"/>
  <c r="L48" i="10"/>
  <c r="L47" i="6"/>
  <c r="BF17" i="12"/>
  <c r="BF18" i="12" s="1"/>
  <c r="BF2" i="11"/>
  <c r="BF47" i="10"/>
  <c r="BF49" i="10" s="1"/>
  <c r="BF47" i="6"/>
  <c r="BF48" i="10"/>
  <c r="AS17" i="12"/>
  <c r="AS18" i="12" s="1"/>
  <c r="AS2" i="11"/>
  <c r="AS47" i="10"/>
  <c r="AS49" i="10" s="1"/>
  <c r="AS48" i="10"/>
  <c r="AS47" i="6"/>
  <c r="BP17" i="12"/>
  <c r="BP18" i="12" s="1"/>
  <c r="BP2" i="11"/>
  <c r="BP47" i="10"/>
  <c r="BP49" i="10" s="1"/>
  <c r="BP48" i="10"/>
  <c r="BP47" i="6"/>
  <c r="CB28" i="6"/>
  <c r="CB29" i="6" s="1"/>
  <c r="CB32" i="11" s="1"/>
  <c r="CB44" i="11" s="1"/>
  <c r="CB36" i="6"/>
  <c r="CB37" i="6" s="1"/>
  <c r="CB16" i="6"/>
  <c r="CB17" i="6" s="1"/>
  <c r="R42" i="10"/>
  <c r="BT42" i="10"/>
  <c r="CJ42" i="10"/>
  <c r="U17" i="12"/>
  <c r="U18" i="12" s="1"/>
  <c r="U2" i="11"/>
  <c r="U47" i="10"/>
  <c r="U48" i="10"/>
  <c r="U47" i="6"/>
  <c r="O17" i="12"/>
  <c r="O18" i="12" s="1"/>
  <c r="O2" i="11"/>
  <c r="O47" i="10"/>
  <c r="O48" i="10"/>
  <c r="O47" i="6"/>
  <c r="AI6" i="8"/>
  <c r="AI7" i="8" s="1"/>
  <c r="AI13" i="8" s="1"/>
  <c r="AI36" i="6"/>
  <c r="AI37" i="6" s="1"/>
  <c r="AI28" i="6"/>
  <c r="AI29" i="6" s="1"/>
  <c r="AI32" i="11" s="1"/>
  <c r="AI44" i="11" s="1"/>
  <c r="AI16" i="6"/>
  <c r="AI17" i="6" s="1"/>
  <c r="AI18" i="6" s="1"/>
  <c r="Y17" i="12"/>
  <c r="Y18" i="12" s="1"/>
  <c r="Y2" i="11"/>
  <c r="Y47" i="10"/>
  <c r="Y47" i="6"/>
  <c r="Y48" i="10"/>
  <c r="W17" i="12"/>
  <c r="W18" i="12" s="1"/>
  <c r="W2" i="11"/>
  <c r="W47" i="10"/>
  <c r="W48" i="10"/>
  <c r="W47" i="6"/>
  <c r="F5" i="11"/>
  <c r="F50" i="10"/>
  <c r="T6" i="8"/>
  <c r="T7" i="8" s="1"/>
  <c r="T13" i="8" s="1"/>
  <c r="T36" i="6"/>
  <c r="T37" i="6" s="1"/>
  <c r="T28" i="6"/>
  <c r="T29" i="6" s="1"/>
  <c r="T32" i="11" s="1"/>
  <c r="T44" i="11" s="1"/>
  <c r="T16" i="6"/>
  <c r="T17" i="6" s="1"/>
  <c r="T18" i="6" s="1"/>
  <c r="AQ36" i="6"/>
  <c r="AQ37" i="6" s="1"/>
  <c r="AQ28" i="6"/>
  <c r="AQ29" i="6" s="1"/>
  <c r="AQ32" i="11" s="1"/>
  <c r="AQ44" i="11" s="1"/>
  <c r="AQ6" i="8"/>
  <c r="AQ7" i="8" s="1"/>
  <c r="AQ13" i="8" s="1"/>
  <c r="AQ16" i="6"/>
  <c r="AQ17" i="6" s="1"/>
  <c r="AQ18" i="6" s="1"/>
  <c r="AM6" i="8"/>
  <c r="AM7" i="8" s="1"/>
  <c r="AM13" i="8" s="1"/>
  <c r="AM28" i="6"/>
  <c r="AM29" i="6" s="1"/>
  <c r="AM32" i="11" s="1"/>
  <c r="AM44" i="11" s="1"/>
  <c r="AM36" i="6"/>
  <c r="AM37" i="6" s="1"/>
  <c r="AM16" i="6"/>
  <c r="AM17" i="6" s="1"/>
  <c r="AM18" i="6" s="1"/>
  <c r="V5" i="11"/>
  <c r="V50" i="10"/>
  <c r="AU6" i="8"/>
  <c r="AU7" i="8" s="1"/>
  <c r="AU13" i="8" s="1"/>
  <c r="AU28" i="6"/>
  <c r="AU29" i="6" s="1"/>
  <c r="AU32" i="11" s="1"/>
  <c r="AU44" i="11" s="1"/>
  <c r="AU36" i="6"/>
  <c r="AU37" i="6" s="1"/>
  <c r="AU16" i="6"/>
  <c r="AU17" i="6" s="1"/>
  <c r="N5" i="11"/>
  <c r="N50" i="10"/>
  <c r="AL15" i="12"/>
  <c r="AL16" i="12" s="1"/>
  <c r="AL23" i="10"/>
  <c r="AL24" i="10" s="1"/>
  <c r="AL33" i="6"/>
  <c r="AL34" i="6" s="1"/>
  <c r="AX17" i="12"/>
  <c r="AX18" i="12" s="1"/>
  <c r="AX2" i="11"/>
  <c r="AX47" i="10"/>
  <c r="AX49" i="10" s="1"/>
  <c r="AX47" i="6"/>
  <c r="AX48" i="10"/>
  <c r="BY17" i="12"/>
  <c r="BY18" i="12" s="1"/>
  <c r="BY2" i="11"/>
  <c r="BY47" i="10"/>
  <c r="BY49" i="10" s="1"/>
  <c r="BY48" i="10"/>
  <c r="BY47" i="6"/>
  <c r="BZ13" i="11"/>
  <c r="BZ12" i="11"/>
  <c r="BZ4" i="11"/>
  <c r="L6" i="8"/>
  <c r="L7" i="8" s="1"/>
  <c r="L13" i="8" s="1"/>
  <c r="L36" i="6"/>
  <c r="L37" i="6" s="1"/>
  <c r="L28" i="6"/>
  <c r="L29" i="6" s="1"/>
  <c r="L32" i="11" s="1"/>
  <c r="L44" i="11" s="1"/>
  <c r="L16" i="6"/>
  <c r="L17" i="6" s="1"/>
  <c r="L18" i="6" s="1"/>
  <c r="BK42" i="10"/>
  <c r="AS6" i="8"/>
  <c r="AS7" i="8" s="1"/>
  <c r="AS13" i="8" s="1"/>
  <c r="AS36" i="6"/>
  <c r="AS37" i="6" s="1"/>
  <c r="AS28" i="6"/>
  <c r="AS29" i="6" s="1"/>
  <c r="AS32" i="11" s="1"/>
  <c r="AS44" i="11" s="1"/>
  <c r="AS16" i="6"/>
  <c r="AS17" i="6" s="1"/>
  <c r="AS18" i="6" s="1"/>
  <c r="W42" i="10"/>
  <c r="BZ15" i="12"/>
  <c r="BZ16" i="12" s="1"/>
  <c r="BZ23" i="10"/>
  <c r="BZ24" i="10" s="1"/>
  <c r="BZ33" i="6"/>
  <c r="U6" i="8"/>
  <c r="U7" i="8" s="1"/>
  <c r="U13" i="8" s="1"/>
  <c r="U36" i="6"/>
  <c r="U37" i="6" s="1"/>
  <c r="U28" i="6"/>
  <c r="U29" i="6" s="1"/>
  <c r="U32" i="11" s="1"/>
  <c r="U44" i="11" s="1"/>
  <c r="U16" i="6"/>
  <c r="U17" i="6" s="1"/>
  <c r="U18" i="6" s="1"/>
  <c r="O6" i="8"/>
  <c r="O7" i="8" s="1"/>
  <c r="O13" i="8" s="1"/>
  <c r="O28" i="6"/>
  <c r="O29" i="6" s="1"/>
  <c r="O32" i="11" s="1"/>
  <c r="O44" i="11" s="1"/>
  <c r="O36" i="6"/>
  <c r="O37" i="6" s="1"/>
  <c r="O16" i="6"/>
  <c r="O17" i="6" s="1"/>
  <c r="O18" i="6" s="1"/>
  <c r="AO42" i="10"/>
  <c r="Y6" i="8"/>
  <c r="Y7" i="8" s="1"/>
  <c r="Y13" i="8" s="1"/>
  <c r="Y36" i="6"/>
  <c r="Y37" i="6" s="1"/>
  <c r="Y28" i="6"/>
  <c r="Y29" i="6" s="1"/>
  <c r="Y32" i="11" s="1"/>
  <c r="Y44" i="11" s="1"/>
  <c r="Y16" i="6"/>
  <c r="Y17" i="6" s="1"/>
  <c r="Y18" i="6" s="1"/>
  <c r="BI42" i="10"/>
  <c r="W6" i="8"/>
  <c r="W7" i="8" s="1"/>
  <c r="W13" i="8" s="1"/>
  <c r="W28" i="6"/>
  <c r="W29" i="6" s="1"/>
  <c r="W32" i="11" s="1"/>
  <c r="W44" i="11" s="1"/>
  <c r="W36" i="6"/>
  <c r="W37" i="6" s="1"/>
  <c r="W16" i="6"/>
  <c r="W17" i="6" s="1"/>
  <c r="W18" i="6" s="1"/>
  <c r="CJ17" i="12"/>
  <c r="CJ18" i="12" s="1"/>
  <c r="CJ2" i="11"/>
  <c r="CJ47" i="10"/>
  <c r="CJ49" i="10" s="1"/>
  <c r="CJ48" i="10"/>
  <c r="CJ47" i="6"/>
  <c r="V15" i="12"/>
  <c r="V16" i="12" s="1"/>
  <c r="V23" i="10"/>
  <c r="V24" i="10" s="1"/>
  <c r="V33" i="6"/>
  <c r="V34" i="6" s="1"/>
  <c r="BV36" i="6"/>
  <c r="BV37" i="6" s="1"/>
  <c r="BV28" i="6"/>
  <c r="BV29" i="6" s="1"/>
  <c r="BV32" i="11" s="1"/>
  <c r="BV44" i="11" s="1"/>
  <c r="BV16" i="6"/>
  <c r="BV17" i="6" s="1"/>
  <c r="B47" i="6"/>
  <c r="B43" i="6"/>
  <c r="BM17" i="12"/>
  <c r="BM18" i="12" s="1"/>
  <c r="BM2" i="11"/>
  <c r="BM47" i="10"/>
  <c r="BM49" i="10" s="1"/>
  <c r="BM47" i="6"/>
  <c r="BM48" i="10"/>
  <c r="BH17" i="12"/>
  <c r="BH18" i="12" s="1"/>
  <c r="BH2" i="11"/>
  <c r="BH47" i="10"/>
  <c r="BH49" i="10" s="1"/>
  <c r="BH48" i="10"/>
  <c r="BH47" i="6"/>
  <c r="CG36" i="6"/>
  <c r="CG37" i="6" s="1"/>
  <c r="CG28" i="6"/>
  <c r="CG29" i="6" s="1"/>
  <c r="CG32" i="11" s="1"/>
  <c r="CG44" i="11" s="1"/>
  <c r="CG16" i="6"/>
  <c r="CG17" i="6" s="1"/>
  <c r="CA28" i="6"/>
  <c r="CA29" i="6" s="1"/>
  <c r="CA32" i="11" s="1"/>
  <c r="CA44" i="11" s="1"/>
  <c r="CA36" i="6"/>
  <c r="CA37" i="6" s="1"/>
  <c r="CA16" i="6"/>
  <c r="CA17" i="6" s="1"/>
  <c r="X17" i="12"/>
  <c r="X18" i="12" s="1"/>
  <c r="X2" i="11"/>
  <c r="X47" i="10"/>
  <c r="X48" i="10"/>
  <c r="X47" i="6"/>
  <c r="J17" i="12"/>
  <c r="J18" i="12" s="1"/>
  <c r="J2" i="11"/>
  <c r="J47" i="10"/>
  <c r="J49" i="10" s="1"/>
  <c r="J47" i="6"/>
  <c r="J48" i="10"/>
  <c r="S6" i="8"/>
  <c r="S7" i="8" s="1"/>
  <c r="S13" i="8" s="1"/>
  <c r="S36" i="6"/>
  <c r="S37" i="6" s="1"/>
  <c r="S28" i="6"/>
  <c r="S29" i="6" s="1"/>
  <c r="S32" i="11" s="1"/>
  <c r="S44" i="11" s="1"/>
  <c r="S16" i="6"/>
  <c r="S17" i="6" s="1"/>
  <c r="S18" i="6" s="1"/>
  <c r="AT49" i="10"/>
  <c r="AX6" i="8"/>
  <c r="AX7" i="8" s="1"/>
  <c r="AX13" i="8" s="1"/>
  <c r="AX36" i="6"/>
  <c r="AX37" i="6" s="1"/>
  <c r="AX28" i="6"/>
  <c r="AX29" i="6" s="1"/>
  <c r="AX32" i="11" s="1"/>
  <c r="AX44" i="11" s="1"/>
  <c r="AX16" i="6"/>
  <c r="AX17" i="6" s="1"/>
  <c r="BD17" i="12"/>
  <c r="BD18" i="12" s="1"/>
  <c r="BD47" i="10"/>
  <c r="BD2" i="11"/>
  <c r="BD48" i="10"/>
  <c r="BD47" i="6"/>
  <c r="BG36" i="6"/>
  <c r="BG37" i="6" s="1"/>
  <c r="BG6" i="8"/>
  <c r="BG7" i="8" s="1"/>
  <c r="BG13" i="8" s="1"/>
  <c r="BG28" i="6"/>
  <c r="BG29" i="6" s="1"/>
  <c r="BG32" i="11" s="1"/>
  <c r="BG44" i="11" s="1"/>
  <c r="BG16" i="6"/>
  <c r="BG17" i="6" s="1"/>
  <c r="AL13" i="11"/>
  <c r="AL12" i="11"/>
  <c r="AL14" i="11" s="1"/>
  <c r="AL4" i="11"/>
  <c r="O42" i="10"/>
  <c r="BN6" i="8"/>
  <c r="BN7" i="8" s="1"/>
  <c r="BN13" i="8" s="1"/>
  <c r="BN36" i="6"/>
  <c r="BN37" i="6" s="1"/>
  <c r="BN28" i="6"/>
  <c r="BN29" i="6" s="1"/>
  <c r="BN32" i="11" s="1"/>
  <c r="BN44" i="11" s="1"/>
  <c r="BN16" i="6"/>
  <c r="BN17" i="6" s="1"/>
  <c r="BB15" i="12"/>
  <c r="BB16" i="12" s="1"/>
  <c r="BB23" i="10"/>
  <c r="BB24" i="10" s="1"/>
  <c r="BB33" i="6"/>
  <c r="CB17" i="12"/>
  <c r="CB18" i="12" s="1"/>
  <c r="CB2" i="11"/>
  <c r="CB47" i="10"/>
  <c r="CB49" i="10" s="1"/>
  <c r="CB48" i="10"/>
  <c r="CB47" i="6"/>
  <c r="AA42" i="10"/>
  <c r="AE17" i="12"/>
  <c r="AE18" i="12" s="1"/>
  <c r="AE2" i="11"/>
  <c r="AE47" i="10"/>
  <c r="AE48" i="10"/>
  <c r="AE47" i="6"/>
  <c r="CC42" i="10"/>
  <c r="BC6" i="8"/>
  <c r="BC7" i="8" s="1"/>
  <c r="BC13" i="8" s="1"/>
  <c r="BC28" i="6"/>
  <c r="BC29" i="6" s="1"/>
  <c r="BC32" i="11" s="1"/>
  <c r="BC44" i="11" s="1"/>
  <c r="BC36" i="6"/>
  <c r="BC37" i="6" s="1"/>
  <c r="BC16" i="6"/>
  <c r="BC17" i="6" s="1"/>
  <c r="BW42" i="10"/>
  <c r="AB42" i="10"/>
  <c r="I17" i="12"/>
  <c r="I18" i="12" s="1"/>
  <c r="I2" i="11"/>
  <c r="I47" i="10"/>
  <c r="I47" i="6"/>
  <c r="I48" i="10"/>
  <c r="AI17" i="12"/>
  <c r="AI18" i="12" s="1"/>
  <c r="AI2" i="11"/>
  <c r="AI47" i="10"/>
  <c r="AI48" i="10"/>
  <c r="AI47" i="6"/>
  <c r="F15" i="12"/>
  <c r="F16" i="12" s="1"/>
  <c r="F23" i="10"/>
  <c r="F24" i="10" s="1"/>
  <c r="F33" i="6"/>
  <c r="F34" i="6" s="1"/>
  <c r="BL6" i="8"/>
  <c r="BL7" i="8" s="1"/>
  <c r="BL13" i="8" s="1"/>
  <c r="BL28" i="6"/>
  <c r="BL29" i="6" s="1"/>
  <c r="BL32" i="11" s="1"/>
  <c r="BL44" i="11" s="1"/>
  <c r="BL36" i="6"/>
  <c r="BL37" i="6" s="1"/>
  <c r="BL16" i="6"/>
  <c r="BL17" i="6" s="1"/>
  <c r="CH14" i="11"/>
  <c r="AF17" i="12"/>
  <c r="AF18" i="12" s="1"/>
  <c r="AF2" i="11"/>
  <c r="AF47" i="10"/>
  <c r="AF48" i="10"/>
  <c r="AF47" i="6"/>
  <c r="BJ15" i="12"/>
  <c r="BJ16" i="12" s="1"/>
  <c r="BJ23" i="10"/>
  <c r="BJ24" i="10" s="1"/>
  <c r="BJ33" i="6"/>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13" i="8" s="1"/>
  <c r="BA36" i="6"/>
  <c r="BA37" i="6" s="1"/>
  <c r="BA28" i="6"/>
  <c r="BA29" i="6" s="1"/>
  <c r="BA32" i="11" s="1"/>
  <c r="BA44" i="11" s="1"/>
  <c r="BA16" i="6"/>
  <c r="BA17" i="6" s="1"/>
  <c r="AD13" i="11"/>
  <c r="AD12" i="11"/>
  <c r="AD14" i="11" s="1"/>
  <c r="AD4" i="11"/>
  <c r="X6" i="8"/>
  <c r="X7" i="8" s="1"/>
  <c r="X13" i="8" s="1"/>
  <c r="X28" i="6"/>
  <c r="X29" i="6" s="1"/>
  <c r="X32" i="11" s="1"/>
  <c r="X44" i="11" s="1"/>
  <c r="X36" i="6"/>
  <c r="X37" i="6" s="1"/>
  <c r="X16" i="6"/>
  <c r="X17" i="6" s="1"/>
  <c r="X18" i="6" s="1"/>
  <c r="J6" i="8"/>
  <c r="J7" i="8" s="1"/>
  <c r="J13" i="8" s="1"/>
  <c r="J36" i="6"/>
  <c r="J37" i="6" s="1"/>
  <c r="J28" i="6"/>
  <c r="J29" i="6" s="1"/>
  <c r="J32" i="11" s="1"/>
  <c r="J44" i="11" s="1"/>
  <c r="J16" i="6"/>
  <c r="J17" i="6" s="1"/>
  <c r="J18" i="6" s="1"/>
  <c r="AU17" i="12"/>
  <c r="AU18" i="12" s="1"/>
  <c r="AU2" i="11"/>
  <c r="AU47" i="10"/>
  <c r="AU49" i="10" s="1"/>
  <c r="AU48" i="10"/>
  <c r="AU47" i="6"/>
  <c r="AT13" i="11"/>
  <c r="AT12" i="11"/>
  <c r="AT14" i="11" s="1"/>
  <c r="AT4" i="11"/>
  <c r="BN17" i="12"/>
  <c r="BN18" i="12" s="1"/>
  <c r="BN2" i="11"/>
  <c r="BN47" i="10"/>
  <c r="BN49" i="10" s="1"/>
  <c r="BN47" i="6"/>
  <c r="BN48" i="10"/>
  <c r="BE42" i="10"/>
  <c r="BR5" i="11"/>
  <c r="BR50" i="10"/>
  <c r="CH5" i="11"/>
  <c r="CH50" i="10"/>
  <c r="BE6" i="8"/>
  <c r="BE7" i="8" s="1"/>
  <c r="BE13" i="8" s="1"/>
  <c r="BE36" i="6"/>
  <c r="BE37" i="6" s="1"/>
  <c r="BE28" i="6"/>
  <c r="BE29" i="6" s="1"/>
  <c r="BE32" i="11" s="1"/>
  <c r="BE44" i="11" s="1"/>
  <c r="BE16" i="6"/>
  <c r="BE17" i="6" s="1"/>
  <c r="AE6" i="8"/>
  <c r="AE7" i="8" s="1"/>
  <c r="AE13" i="8" s="1"/>
  <c r="AE28" i="6"/>
  <c r="AE29" i="6" s="1"/>
  <c r="AE32" i="11" s="1"/>
  <c r="AE44" i="11" s="1"/>
  <c r="AE36" i="6"/>
  <c r="AE37" i="6" s="1"/>
  <c r="AE16" i="6"/>
  <c r="AE17" i="6" s="1"/>
  <c r="AE18" i="6" s="1"/>
  <c r="AF42" i="10"/>
  <c r="BJ5" i="11"/>
  <c r="BJ50" i="10"/>
  <c r="I6" i="8"/>
  <c r="I7" i="8" s="1"/>
  <c r="I13" i="8" s="1"/>
  <c r="I36" i="6"/>
  <c r="I37" i="6" s="1"/>
  <c r="I28" i="6"/>
  <c r="I29" i="6" s="1"/>
  <c r="I32" i="11" s="1"/>
  <c r="I44" i="11" s="1"/>
  <c r="I16" i="6"/>
  <c r="I17" i="6" s="1"/>
  <c r="I18" i="6" s="1"/>
  <c r="CE42" i="10"/>
  <c r="BX36" i="6"/>
  <c r="BX37" i="6" s="1"/>
  <c r="BX28" i="6"/>
  <c r="BX29" i="6" s="1"/>
  <c r="BX32" i="11" s="1"/>
  <c r="BX44" i="11" s="1"/>
  <c r="BX16" i="6"/>
  <c r="BX17"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BB14" i="11"/>
  <c r="T14" i="9"/>
  <c r="T28" i="9"/>
  <c r="T13" i="9"/>
  <c r="T26" i="9"/>
  <c r="T33" i="9"/>
  <c r="BN12" i="8"/>
  <c r="BN11" i="8"/>
  <c r="BZ14" i="11"/>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BR14" i="11"/>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28" i="9"/>
  <c r="U14" i="9"/>
  <c r="U26" i="9"/>
  <c r="U33" i="9"/>
  <c r="BJ14" i="11"/>
  <c r="F19" i="13"/>
  <c r="E21" i="13"/>
  <c r="N49" i="10" l="1"/>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24" i="10" s="1"/>
  <c r="I33" i="6"/>
  <c r="I34" i="6" s="1"/>
  <c r="BV12" i="11"/>
  <c r="BV14" i="11" s="1"/>
  <c r="BV4" i="11"/>
  <c r="BV13" i="11"/>
  <c r="AE15" i="12"/>
  <c r="AE16" i="12" s="1"/>
  <c r="AE23" i="10"/>
  <c r="AE24" i="10" s="1"/>
  <c r="AE33" i="6"/>
  <c r="AE34" i="6" s="1"/>
  <c r="BN12" i="11"/>
  <c r="BN14" i="11" s="1"/>
  <c r="BN4" i="11"/>
  <c r="BN13" i="11"/>
  <c r="AQ49" i="10"/>
  <c r="BC15" i="12"/>
  <c r="BC16" i="12" s="1"/>
  <c r="BC23" i="10"/>
  <c r="BC24" i="10" s="1"/>
  <c r="BC33" i="6"/>
  <c r="AE12" i="11"/>
  <c r="AE14" i="11" s="1"/>
  <c r="AE13" i="11"/>
  <c r="AE4" i="11"/>
  <c r="BD50" i="10"/>
  <c r="BD5" i="11"/>
  <c r="CA15" i="12"/>
  <c r="CA16" i="12" s="1"/>
  <c r="CA23" i="10"/>
  <c r="CA24" i="10" s="1"/>
  <c r="CA33" i="6"/>
  <c r="W12" i="11"/>
  <c r="W14" i="11" s="1"/>
  <c r="W13" i="11"/>
  <c r="W4" i="11"/>
  <c r="AM5" i="11"/>
  <c r="AM50" i="10"/>
  <c r="BI13" i="11"/>
  <c r="BI12" i="11"/>
  <c r="BI14" i="11" s="1"/>
  <c r="BI4" i="11"/>
  <c r="T49" i="10"/>
  <c r="CJ15" i="12"/>
  <c r="CJ16" i="12" s="1"/>
  <c r="CJ23" i="10"/>
  <c r="CJ24" i="10" s="1"/>
  <c r="CJ33" i="6"/>
  <c r="AR13" i="11"/>
  <c r="AR12" i="11"/>
  <c r="AR14" i="11" s="1"/>
  <c r="AR4" i="11"/>
  <c r="P49" i="10"/>
  <c r="BO50" i="10"/>
  <c r="BO5" i="11"/>
  <c r="AY50" i="10"/>
  <c r="AY5" i="11"/>
  <c r="BB49" i="10"/>
  <c r="CE49" i="10"/>
  <c r="AB5" i="11"/>
  <c r="AB50" i="10"/>
  <c r="AW15" i="12"/>
  <c r="AW16" i="12" s="1"/>
  <c r="AW23" i="10"/>
  <c r="AW24" i="10" s="1"/>
  <c r="AW33" i="6"/>
  <c r="BX5" i="11"/>
  <c r="BX50" i="10"/>
  <c r="AN15" i="12"/>
  <c r="AN16" i="12" s="1"/>
  <c r="AN23" i="10"/>
  <c r="AN24" i="10" s="1"/>
  <c r="AN33" i="6"/>
  <c r="AN34" i="6" s="1"/>
  <c r="CD12" i="11"/>
  <c r="CD14" i="11" s="1"/>
  <c r="CD4" i="11"/>
  <c r="CD13" i="11"/>
  <c r="AV50" i="10"/>
  <c r="AV5" i="11"/>
  <c r="AN50" i="10"/>
  <c r="AN5" i="11"/>
  <c r="BE12" i="11"/>
  <c r="BE14" i="11" s="1"/>
  <c r="BE4" i="11"/>
  <c r="BE13" i="11"/>
  <c r="AP12" i="11"/>
  <c r="AP14" i="11" s="1"/>
  <c r="AP13" i="11"/>
  <c r="AP4" i="11"/>
  <c r="AY15" i="12"/>
  <c r="AY16" i="12" s="1"/>
  <c r="AY23" i="10"/>
  <c r="AY24" i="10" s="1"/>
  <c r="AY33" i="6"/>
  <c r="AO50" i="10"/>
  <c r="AO5" i="11"/>
  <c r="CE15" i="12"/>
  <c r="CE16" i="12" s="1"/>
  <c r="CE23" i="10"/>
  <c r="CE24" i="10" s="1"/>
  <c r="CE33" i="6"/>
  <c r="BS15" i="12"/>
  <c r="BS16" i="12" s="1"/>
  <c r="BS23" i="10"/>
  <c r="BS24" i="10" s="1"/>
  <c r="BS33" i="6"/>
  <c r="AF15" i="12"/>
  <c r="AF16" i="12" s="1"/>
  <c r="AF23" i="10"/>
  <c r="AF24" i="10" s="1"/>
  <c r="AF33" i="6"/>
  <c r="AF34" i="6" s="1"/>
  <c r="J12" i="11"/>
  <c r="J14" i="11" s="1"/>
  <c r="J13" i="11"/>
  <c r="J4" i="11"/>
  <c r="BH13" i="11"/>
  <c r="BH12" i="11"/>
  <c r="BH14" i="11" s="1"/>
  <c r="BH4" i="11"/>
  <c r="BY5" i="11"/>
  <c r="BY50" i="10"/>
  <c r="AX12" i="11"/>
  <c r="AX14" i="11" s="1"/>
  <c r="AX4" i="11"/>
  <c r="AX13" i="11"/>
  <c r="AU15" i="12"/>
  <c r="AU16" i="12" s="1"/>
  <c r="AU23" i="10"/>
  <c r="AU24" i="10" s="1"/>
  <c r="AU33" i="6"/>
  <c r="L5" i="11"/>
  <c r="L50" i="10"/>
  <c r="P15" i="12"/>
  <c r="P16" i="12" s="1"/>
  <c r="P23" i="10"/>
  <c r="P24" i="10" s="1"/>
  <c r="P33" i="6"/>
  <c r="P34" i="6" s="1"/>
  <c r="T13" i="11"/>
  <c r="T12" i="11"/>
  <c r="T14" i="11" s="1"/>
  <c r="T4" i="11"/>
  <c r="AH15" i="12"/>
  <c r="AH16" i="12" s="1"/>
  <c r="AH23" i="10"/>
  <c r="AH24" i="10" s="1"/>
  <c r="AH33" i="6"/>
  <c r="AH34" i="6" s="1"/>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S34" i="6" s="1"/>
  <c r="CJ50" i="10"/>
  <c r="CJ5" i="11"/>
  <c r="Y15" i="12"/>
  <c r="Y16" i="12" s="1"/>
  <c r="Y23" i="10"/>
  <c r="Y24" i="10" s="1"/>
  <c r="Y33" i="6"/>
  <c r="Y34" i="6" s="1"/>
  <c r="L15" i="12"/>
  <c r="L16" i="12" s="1"/>
  <c r="L23" i="10"/>
  <c r="L24" i="10" s="1"/>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33" i="6"/>
  <c r="AB34" i="6" s="1"/>
  <c r="Q50" i="10"/>
  <c r="Q5" i="11"/>
  <c r="E5" i="11"/>
  <c r="E50" i="10"/>
  <c r="BQ13" i="11"/>
  <c r="BQ12" i="11"/>
  <c r="BQ14" i="11" s="1"/>
  <c r="BQ4" i="11"/>
  <c r="AY4" i="11"/>
  <c r="AY13" i="11"/>
  <c r="AY12" i="11"/>
  <c r="AY14" i="11" s="1"/>
  <c r="K50" i="10"/>
  <c r="K5" i="11"/>
  <c r="BK15" i="12"/>
  <c r="BK16" i="12" s="1"/>
  <c r="BK23" i="10"/>
  <c r="BK24" i="10" s="1"/>
  <c r="BK33" i="6"/>
  <c r="AB49" i="10"/>
  <c r="BX49" i="10"/>
  <c r="BO15" i="12"/>
  <c r="BO16" i="12" s="1"/>
  <c r="BO23" i="10"/>
  <c r="BO24" i="10" s="1"/>
  <c r="BO33" i="6"/>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S50" i="10"/>
  <c r="S5" i="11"/>
  <c r="CA5" i="11"/>
  <c r="CA50" i="10"/>
  <c r="CG5" i="11"/>
  <c r="CG50" i="10"/>
  <c r="AO12" i="11"/>
  <c r="AO14" i="11" s="1"/>
  <c r="AO13" i="11"/>
  <c r="AO4" i="11"/>
  <c r="J15" i="12"/>
  <c r="J16" i="12" s="1"/>
  <c r="J23" i="10"/>
  <c r="J24" i="10" s="1"/>
  <c r="J33" i="6"/>
  <c r="J34" i="6" s="1"/>
  <c r="B33" i="6"/>
  <c r="B34" i="6" s="1"/>
  <c r="B18" i="6"/>
  <c r="C33" i="6"/>
  <c r="C34" i="6" s="1"/>
  <c r="C18" i="6"/>
  <c r="CB50" i="10"/>
  <c r="CB5" i="11"/>
  <c r="BD49" i="10"/>
  <c r="X50" i="10"/>
  <c r="X5" i="11"/>
  <c r="CG15" i="12"/>
  <c r="CG16" i="12" s="1"/>
  <c r="CG23" i="10"/>
  <c r="CG24" i="10" s="1"/>
  <c r="CG33" i="6"/>
  <c r="BV15" i="12"/>
  <c r="BV16" i="12" s="1"/>
  <c r="BV23" i="10"/>
  <c r="BV24" i="10" s="1"/>
  <c r="BV33" i="6"/>
  <c r="U15" i="12"/>
  <c r="U16" i="12" s="1"/>
  <c r="U23" i="10"/>
  <c r="U24" i="10" s="1"/>
  <c r="U33" i="6"/>
  <c r="U34" i="6" s="1"/>
  <c r="AQ15" i="12"/>
  <c r="AQ16" i="12" s="1"/>
  <c r="AQ23" i="10"/>
  <c r="AQ24" i="10" s="1"/>
  <c r="AQ33" i="6"/>
  <c r="AQ34" i="6" s="1"/>
  <c r="BK5" i="11"/>
  <c r="BK50" i="10"/>
  <c r="AM12" i="11"/>
  <c r="AM14" i="11" s="1"/>
  <c r="AM13" i="11"/>
  <c r="AM4" i="11"/>
  <c r="Q15" i="12"/>
  <c r="Q16" i="12" s="1"/>
  <c r="Q23" i="10"/>
  <c r="Q24" i="10" s="1"/>
  <c r="Q33" i="6"/>
  <c r="Q34" i="6" s="1"/>
  <c r="E15" i="12"/>
  <c r="E16" i="12" s="1"/>
  <c r="E23" i="10"/>
  <c r="E24" i="10" s="1"/>
  <c r="E33" i="6"/>
  <c r="E34" i="6" s="1"/>
  <c r="D18" i="6"/>
  <c r="D33" i="6"/>
  <c r="D34" i="6" s="1"/>
  <c r="BO4" i="11"/>
  <c r="BO13" i="11"/>
  <c r="BO12" i="11"/>
  <c r="BO14" i="11" s="1"/>
  <c r="Q49" i="10"/>
  <c r="AH12" i="11"/>
  <c r="AH14" i="11" s="1"/>
  <c r="AH13" i="11"/>
  <c r="AH4" i="11"/>
  <c r="AC15" i="12"/>
  <c r="AC16" i="12" s="1"/>
  <c r="AC23" i="10"/>
  <c r="AC24" i="10" s="1"/>
  <c r="AC33" i="6"/>
  <c r="AC34" i="6" s="1"/>
  <c r="K49" i="10"/>
  <c r="BI15" i="12"/>
  <c r="BI16" i="12" s="1"/>
  <c r="BI23" i="10"/>
  <c r="BI24" i="10" s="1"/>
  <c r="BI33" i="6"/>
  <c r="BS49" i="10"/>
  <c r="AA50" i="10"/>
  <c r="AA5" i="11"/>
  <c r="AB13" i="11"/>
  <c r="AB12" i="11"/>
  <c r="AB14" i="11" s="1"/>
  <c r="AB4" i="11"/>
  <c r="BX13" i="11"/>
  <c r="BX12" i="11"/>
  <c r="BX14" i="11" s="1"/>
  <c r="BX4" i="11"/>
  <c r="M5" i="11"/>
  <c r="M50" i="10"/>
  <c r="BT15" i="12"/>
  <c r="BT16" i="12" s="1"/>
  <c r="BT23" i="10"/>
  <c r="BT24" i="10" s="1"/>
  <c r="BT33" i="6"/>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L15" i="12"/>
  <c r="BL16" i="12" s="1"/>
  <c r="BL23" i="10"/>
  <c r="BL24" i="10" s="1"/>
  <c r="BL33" i="6"/>
  <c r="AI50" i="10"/>
  <c r="AI5" i="11"/>
  <c r="I12" i="11"/>
  <c r="I14" i="11" s="1"/>
  <c r="I13" i="11"/>
  <c r="I4" i="11"/>
  <c r="BN15" i="12"/>
  <c r="BN16" i="12" s="1"/>
  <c r="BN23" i="10"/>
  <c r="BN24" i="10" s="1"/>
  <c r="BN33" i="6"/>
  <c r="BG15" i="12"/>
  <c r="BG16" i="12" s="1"/>
  <c r="BG23" i="10"/>
  <c r="BG24" i="10" s="1"/>
  <c r="BG33" i="6"/>
  <c r="AS15" i="12"/>
  <c r="AS16" i="12" s="1"/>
  <c r="AS23" i="10"/>
  <c r="AS24" i="10" s="1"/>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Z34" i="6" s="1"/>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AA15" i="12"/>
  <c r="AA16" i="12" s="1"/>
  <c r="AA23" i="10"/>
  <c r="AA24" i="10" s="1"/>
  <c r="AA33" i="6"/>
  <c r="AA34" i="6" s="1"/>
  <c r="BX15" i="12"/>
  <c r="BX16" i="12" s="1"/>
  <c r="BX23" i="10"/>
  <c r="BX24" i="10" s="1"/>
  <c r="BX33" i="6"/>
  <c r="AE5" i="11"/>
  <c r="AE50" i="10"/>
  <c r="AX15" i="12"/>
  <c r="AX16" i="12" s="1"/>
  <c r="AX23" i="10"/>
  <c r="AX24" i="10" s="1"/>
  <c r="AX33" i="6"/>
  <c r="BM50" i="10"/>
  <c r="BM5" i="11"/>
  <c r="CJ12" i="11"/>
  <c r="CJ14" i="11" s="1"/>
  <c r="CJ4" i="11"/>
  <c r="CJ13" i="11"/>
  <c r="W5" i="11"/>
  <c r="W50" i="10"/>
  <c r="O12" i="11"/>
  <c r="O14" i="11" s="1"/>
  <c r="O13" i="11"/>
  <c r="O4" i="11"/>
  <c r="BP13" i="11"/>
  <c r="BP12" i="11"/>
  <c r="BP14" i="11" s="1"/>
  <c r="BP4" i="11"/>
  <c r="BF50" i="10"/>
  <c r="BF5" i="11"/>
  <c r="G15" i="12"/>
  <c r="G16" i="12" s="1"/>
  <c r="G23" i="10"/>
  <c r="G24" i="10" s="1"/>
  <c r="G33" i="6"/>
  <c r="G34" i="6" s="1"/>
  <c r="BH15" i="12"/>
  <c r="BH16" i="12" s="1"/>
  <c r="BH23" i="10"/>
  <c r="BH24" i="10" s="1"/>
  <c r="BH33" i="6"/>
  <c r="BI5" i="11"/>
  <c r="BI50" i="10"/>
  <c r="AR5" i="11"/>
  <c r="AR50" i="10"/>
  <c r="AZ13" i="11"/>
  <c r="AZ12" i="11"/>
  <c r="AZ14" i="11" s="1"/>
  <c r="AZ4" i="11"/>
  <c r="BP15" i="12"/>
  <c r="BP16" i="12" s="1"/>
  <c r="BP23" i="10"/>
  <c r="BP24" i="10" s="1"/>
  <c r="BP33" i="6"/>
  <c r="E13" i="11"/>
  <c r="E12" i="11"/>
  <c r="E14" i="11" s="1"/>
  <c r="E4" i="11"/>
  <c r="AA49" i="10"/>
  <c r="BW15" i="12"/>
  <c r="BW16" i="12" s="1"/>
  <c r="BW23" i="10"/>
  <c r="BW24" i="10" s="1"/>
  <c r="BW33" i="6"/>
  <c r="CC50" i="10"/>
  <c r="CC5" i="11"/>
  <c r="M49" i="10"/>
  <c r="AG15" i="12"/>
  <c r="AG16" i="12" s="1"/>
  <c r="AG23" i="10"/>
  <c r="AG24" i="10" s="1"/>
  <c r="AG33" i="6"/>
  <c r="AG34" i="6" s="1"/>
  <c r="AK15" i="12"/>
  <c r="AK16" i="12" s="1"/>
  <c r="AK23" i="10"/>
  <c r="AK24" i="10" s="1"/>
  <c r="AK33" i="6"/>
  <c r="AK34" i="6" s="1"/>
  <c r="AW50" i="10"/>
  <c r="AW5" i="11"/>
  <c r="AJ13" i="11"/>
  <c r="AJ12" i="11"/>
  <c r="AJ14" i="11" s="1"/>
  <c r="AJ4" i="11"/>
  <c r="BU12" i="11"/>
  <c r="BU14" i="11" s="1"/>
  <c r="BU4" i="11"/>
  <c r="BU13" i="11"/>
  <c r="BG49" i="10"/>
  <c r="CF15" i="12"/>
  <c r="CF16" i="12" s="1"/>
  <c r="CF23" i="10"/>
  <c r="CF24" i="10" s="1"/>
  <c r="CF33" i="6"/>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BK12" i="11"/>
  <c r="BK14" i="11" s="1"/>
  <c r="BK4" i="11"/>
  <c r="BK13" i="11"/>
  <c r="T5" i="11"/>
  <c r="T50" i="10"/>
  <c r="BW4" i="11"/>
  <c r="BW13" i="11"/>
  <c r="BW12" i="11"/>
  <c r="BW14" i="11" s="1"/>
  <c r="BY15" i="12"/>
  <c r="BY16" i="12" s="1"/>
  <c r="BY23" i="10"/>
  <c r="BY24" i="10" s="1"/>
  <c r="BY33" i="6"/>
  <c r="P50" i="10"/>
  <c r="P5" i="11"/>
  <c r="R15" i="12"/>
  <c r="R16" i="12" s="1"/>
  <c r="R23" i="10"/>
  <c r="R24" i="10" s="1"/>
  <c r="R33" i="6"/>
  <c r="R34" i="6" s="1"/>
  <c r="CC15" i="12"/>
  <c r="CC16" i="12" s="1"/>
  <c r="CC23" i="10"/>
  <c r="CC24" i="10" s="1"/>
  <c r="CC33" i="6"/>
  <c r="M15" i="12"/>
  <c r="M16" i="12" s="1"/>
  <c r="M23" i="10"/>
  <c r="M24" i="10" s="1"/>
  <c r="M33" i="6"/>
  <c r="M34" i="6" s="1"/>
  <c r="CF49" i="10"/>
  <c r="AV15" i="12"/>
  <c r="AV16" i="12" s="1"/>
  <c r="AV23" i="10"/>
  <c r="AV24" i="10" s="1"/>
  <c r="AV33" i="6"/>
  <c r="AA13" i="11"/>
  <c r="AA12" i="11"/>
  <c r="AA14" i="11" s="1"/>
  <c r="AA4" i="11"/>
  <c r="AJ15" i="12"/>
  <c r="AJ16" i="12" s="1"/>
  <c r="AJ23" i="10"/>
  <c r="AJ24" i="10" s="1"/>
  <c r="AJ33" i="6"/>
  <c r="AJ34" i="6" s="1"/>
  <c r="H15" i="12"/>
  <c r="H16" i="12" s="1"/>
  <c r="H23" i="10"/>
  <c r="H24" i="10" s="1"/>
  <c r="H33" i="6"/>
  <c r="H34" i="6" s="1"/>
  <c r="M13" i="11"/>
  <c r="M12" i="11"/>
  <c r="M14" i="11" s="1"/>
  <c r="M4" i="11"/>
  <c r="CD50" i="10"/>
  <c r="CD5" i="11"/>
  <c r="AZ15" i="12"/>
  <c r="AZ16" i="12" s="1"/>
  <c r="AZ23" i="10"/>
  <c r="AZ24" i="10" s="1"/>
  <c r="AZ33" i="6"/>
  <c r="CI15" i="12"/>
  <c r="CI16" i="12" s="1"/>
  <c r="CI23" i="10"/>
  <c r="CI24" i="10" s="1"/>
  <c r="CI33" i="6"/>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K34" i="6" s="1"/>
  <c r="AK13" i="11"/>
  <c r="AK12" i="11"/>
  <c r="AK14" i="11" s="1"/>
  <c r="AK4" i="11"/>
  <c r="X15" i="12"/>
  <c r="X16" i="12" s="1"/>
  <c r="X23" i="10"/>
  <c r="X24" i="10" s="1"/>
  <c r="X33" i="6"/>
  <c r="X34" i="6" s="1"/>
  <c r="BA15" i="12"/>
  <c r="BA16" i="12" s="1"/>
  <c r="BA23" i="10"/>
  <c r="BA24" i="10" s="1"/>
  <c r="BA33" i="6"/>
  <c r="BV50" i="10"/>
  <c r="BV5" i="11"/>
  <c r="AQ50" i="10"/>
  <c r="AQ5" i="11"/>
  <c r="AF50" i="10"/>
  <c r="AF5" i="11"/>
  <c r="AI13" i="11"/>
  <c r="AI12" i="11"/>
  <c r="AI14" i="11" s="1"/>
  <c r="AI4" i="11"/>
  <c r="AE49" i="10"/>
  <c r="J50" i="10"/>
  <c r="J5" i="11"/>
  <c r="BM12" i="11"/>
  <c r="BM14" i="11" s="1"/>
  <c r="BM4" i="11"/>
  <c r="BM13" i="11"/>
  <c r="W15" i="12"/>
  <c r="W16" i="12" s="1"/>
  <c r="W23" i="10"/>
  <c r="W24" i="10" s="1"/>
  <c r="W33" i="6"/>
  <c r="W34" i="6" s="1"/>
  <c r="O15" i="12"/>
  <c r="O16" i="12" s="1"/>
  <c r="O23" i="10"/>
  <c r="O24" i="10" s="1"/>
  <c r="O33" i="6"/>
  <c r="O34" i="6" s="1"/>
  <c r="AX50" i="10"/>
  <c r="AX5" i="11"/>
  <c r="AM15" i="12"/>
  <c r="AM16" i="12" s="1"/>
  <c r="AM23" i="10"/>
  <c r="AM24" i="10" s="1"/>
  <c r="AM33" i="6"/>
  <c r="AM34" i="6" s="1"/>
  <c r="T15" i="12"/>
  <c r="T16" i="12" s="1"/>
  <c r="T23" i="10"/>
  <c r="T24" i="10" s="1"/>
  <c r="T33" i="6"/>
  <c r="T34" i="6" s="1"/>
  <c r="U5" i="11"/>
  <c r="U50" i="10"/>
  <c r="CB15" i="12"/>
  <c r="CB16" i="12" s="1"/>
  <c r="CB23" i="10"/>
  <c r="CB24" i="10" s="1"/>
  <c r="CB33" i="6"/>
  <c r="AS5" i="11"/>
  <c r="AS50" i="10"/>
  <c r="BF12" i="11"/>
  <c r="BF14" i="11" s="1"/>
  <c r="BF4" i="11"/>
  <c r="BF13" i="11"/>
  <c r="BD15" i="12"/>
  <c r="BD16" i="12" s="1"/>
  <c r="BD23" i="10"/>
  <c r="BD24" i="10" s="1"/>
  <c r="BD33" i="6"/>
  <c r="BI49" i="10"/>
  <c r="BF15" i="12"/>
  <c r="BF16" i="12" s="1"/>
  <c r="BF23" i="10"/>
  <c r="BF24" i="10" s="1"/>
  <c r="BF33" i="6"/>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4" i="11"/>
  <c r="AW13" i="11"/>
  <c r="BL50" i="10"/>
  <c r="BL5" i="11"/>
  <c r="H12" i="11"/>
  <c r="H14" i="11" s="1"/>
  <c r="H13" i="11"/>
  <c r="H4" i="11"/>
  <c r="BE49" i="10"/>
  <c r="BQ15" i="12"/>
  <c r="BQ16" i="12" s="1"/>
  <c r="BQ23" i="10"/>
  <c r="BQ24" i="10" s="1"/>
  <c r="BQ33" i="6"/>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L66" i="13" l="1"/>
  <c r="L65" i="13"/>
  <c r="G21" i="13"/>
  <c r="H19" i="13"/>
  <c r="H21" i="13" l="1"/>
  <c r="I19" i="13"/>
  <c r="I21" i="13" s="1"/>
  <c r="I22" i="13" s="1"/>
  <c r="D22" i="13"/>
  <c r="B23" i="13" l="1"/>
  <c r="B24" i="13" s="1"/>
  <c r="B28" i="13" s="1"/>
  <c r="B30" i="13" s="1"/>
  <c r="B32" i="13" s="1"/>
  <c r="E31" i="13" l="1"/>
  <c r="D31" i="13"/>
  <c r="C31" i="13"/>
</calcChain>
</file>

<file path=xl/sharedStrings.xml><?xml version="1.0" encoding="utf-8"?>
<sst xmlns="http://schemas.openxmlformats.org/spreadsheetml/2006/main" count="757" uniqueCount="661">
  <si>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</si>
  <si>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</si>
  <si>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</si>
  <si>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</si>
  <si>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</si>
  <si>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</si>
  <si>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</si>
  <si>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</si>
  <si>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</si>
  <si>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</si>
  <si>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</si>
  <si>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</si>
  <si>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</si>
  <si>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</si>
  <si>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</si>
  <si>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</si>
  <si>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</si>
  <si>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</si>
  <si>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</si>
  <si>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</si>
  <si>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</si>
  <si>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</si>
  <si>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</si>
  <si>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</si>
  <si>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</si>
  <si>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</si>
  <si>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</si>
  <si>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</si>
  <si>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</si>
  <si>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</si>
  <si>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</si>
  <si>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</si>
  <si>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</si>
  <si>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</si>
  <si>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</si>
  <si>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</si>
  <si>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</si>
  <si>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</si>
  <si>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</si>
  <si>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</si>
  <si>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</si>
  <si>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</si>
  <si>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</si>
  <si>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</si>
  <si>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</si>
  <si>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</si>
  <si>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</si>
  <si>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</si>
  <si>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</si>
  <si>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</si>
  <si>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</si>
  <si>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</si>
  <si>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</si>
  <si>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</si>
  <si>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</si>
  <si>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</si>
  <si>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</si>
  <si>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</si>
  <si>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</si>
  <si>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</si>
  <si>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</si>
  <si>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</si>
  <si>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</si>
  <si>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</si>
  <si>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</si>
  <si>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</si>
  <si>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</si>
  <si>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</si>
  <si>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</si>
  <si>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</si>
  <si>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</si>
  <si>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</si>
  <si>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</si>
  <si>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</si>
  <si>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</si>
  <si>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</si>
  <si>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</si>
  <si>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</si>
  <si>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</si>
  <si>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</si>
  <si>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</si>
  <si>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</si>
  <si>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</si>
  <si>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</si>
  <si>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</si>
  <si>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</si>
  <si>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</si>
  <si>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</si>
  <si>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</si>
  <si>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</si>
  <si>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</si>
  <si>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</si>
  <si>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</si>
  <si>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</si>
  <si>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</si>
  <si>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</si>
  <si>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</si>
  <si>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</si>
  <si>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</si>
  <si>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</si>
  <si>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</si>
  <si>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</si>
  <si>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</si>
  <si>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</si>
  <si>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</si>
  <si>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</si>
  <si>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</si>
  <si>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</si>
  <si>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</si>
  <si>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</si>
  <si>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</si>
  <si>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</si>
  <si>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</si>
  <si>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</si>
  <si>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</si>
  <si>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</si>
  <si>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</si>
  <si>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</si>
  <si>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</si>
  <si>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</si>
  <si>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</si>
  <si>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</si>
  <si>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</si>
  <si>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</si>
  <si>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</si>
  <si>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</si>
  <si>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</si>
  <si>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</si>
  <si>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</si>
  <si>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</si>
  <si>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</si>
  <si>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</si>
  <si>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</si>
  <si>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</si>
  <si>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</si>
  <si>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</si>
  <si>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</si>
  <si>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</si>
  <si>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</si>
  <si>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</si>
  <si>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</si>
  <si>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</si>
  <si>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</si>
  <si>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</si>
  <si>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</si>
  <si>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</si>
  <si>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</si>
  <si>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</si>
  <si>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</si>
  <si>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</si>
  <si>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</si>
  <si>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</si>
  <si>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</si>
  <si>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</si>
  <si>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</si>
  <si>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</si>
  <si>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</si>
  <si>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</si>
  <si>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</si>
  <si>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</si>
  <si>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</si>
  <si>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</si>
  <si>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</si>
  <si>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</si>
  <si>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</si>
  <si>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</si>
  <si>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</si>
  <si>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</si>
  <si>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</si>
  <si>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</si>
  <si>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</si>
  <si>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</si>
  <si>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</si>
  <si>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</si>
  <si>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</si>
  <si>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</si>
  <si>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</si>
  <si>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</si>
  <si>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</si>
  <si>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</si>
  <si>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</si>
  <si>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</si>
  <si>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</si>
  <si>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</si>
  <si>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</si>
  <si>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</si>
  <si>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</si>
  <si>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</si>
  <si>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</si>
  <si>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</si>
  <si>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</si>
  <si>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</si>
  <si>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</si>
  <si>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</si>
  <si>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</si>
  <si>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</si>
  <si>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</si>
  <si>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</si>
  <si>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</si>
  <si>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</si>
  <si>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</si>
  <si>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</si>
  <si>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</si>
  <si>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</si>
  <si>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</si>
  <si>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</si>
  <si>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</si>
  <si>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</si>
  <si>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</si>
  <si>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</si>
  <si>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</si>
  <si>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</si>
  <si>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</si>
  <si>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</si>
  <si>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</si>
  <si>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</si>
  <si>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</si>
  <si>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</si>
  <si>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</si>
  <si>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</si>
  <si>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</si>
  <si>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</si>
  <si>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</si>
  <si>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</si>
  <si>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</si>
  <si>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</si>
  <si>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</si>
  <si>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</si>
  <si>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</si>
  <si>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</si>
  <si>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</si>
  <si>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</si>
  <si>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</si>
  <si>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</si>
  <si>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</si>
  <si>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</si>
  <si>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</si>
  <si>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</si>
  <si>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</si>
  <si>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</si>
  <si>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</si>
  <si>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</si>
  <si>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</si>
  <si>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</si>
  <si>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</si>
  <si>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</si>
  <si>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</si>
  <si>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</si>
  <si>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</si>
  <si>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</si>
  <si>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</si>
  <si>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</si>
  <si>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</si>
  <si>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</si>
  <si>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</si>
  <si>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</si>
  <si>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</si>
  <si>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</si>
  <si>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</si>
  <si>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</si>
  <si>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</si>
  <si>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</si>
  <si>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</si>
  <si>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</si>
  <si>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</si>
  <si>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</si>
  <si>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</si>
  <si>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</si>
  <si>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</si>
  <si>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</si>
  <si>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</si>
  <si>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</si>
  <si>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</si>
  <si>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</si>
  <si>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</si>
  <si>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</si>
  <si>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</si>
  <si>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</si>
  <si>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</si>
  <si>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</si>
  <si>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</si>
  <si>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</si>
  <si>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</si>
  <si>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</si>
  <si>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</si>
  <si>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</si>
  <si>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</si>
  <si>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</si>
  <si>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</si>
  <si>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</si>
  <si>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</si>
  <si>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</si>
  <si>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</si>
  <si>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</si>
  <si>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</si>
  <si>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</si>
  <si>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</si>
  <si>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</si>
  <si>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</si>
  <si>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</si>
  <si>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</si>
  <si>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</si>
  <si>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</si>
  <si>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</si>
  <si>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</si>
  <si>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</si>
  <si>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</si>
  <si>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</si>
  <si>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</si>
  <si>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</si>
  <si>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</si>
  <si>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</si>
  <si>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</si>
  <si>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</si>
  <si>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</si>
  <si>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</si>
  <si>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</si>
  <si>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</si>
  <si>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</si>
  <si>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</si>
  <si>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</si>
  <si>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</si>
  <si>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</si>
  <si>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</si>
  <si>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</si>
  <si>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</si>
  <si>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</si>
  <si>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</si>
  <si>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</si>
  <si>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</si>
  <si>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</si>
  <si>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</si>
  <si>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</si>
  <si>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</si>
  <si>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</si>
  <si>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</si>
  <si>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</si>
  <si>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</si>
  <si>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</si>
  <si>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</si>
  <si>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</si>
  <si>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</si>
  <si>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</si>
  <si>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</si>
  <si>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</si>
  <si>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</si>
  <si>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</si>
  <si>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</si>
  <si>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</si>
  <si>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</si>
  <si>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</si>
  <si>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</si>
  <si>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</si>
  <si>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</si>
  <si>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</si>
  <si>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</si>
  <si>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</si>
  <si>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</si>
  <si>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</si>
  <si>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</si>
  <si>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</si>
  <si>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</si>
  <si>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</si>
  <si>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</si>
  <si>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</si>
  <si>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</si>
  <si>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</si>
  <si>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</si>
  <si>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</si>
  <si>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</si>
  <si>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</si>
  <si>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</si>
  <si>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</si>
  <si>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</si>
  <si>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</si>
  <si>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</si>
  <si>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</si>
  <si>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</si>
  <si>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</si>
  <si>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</si>
  <si>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</si>
  <si>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</si>
  <si>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</si>
  <si>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</si>
  <si>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</si>
  <si>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</si>
  <si>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</si>
  <si>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</si>
  <si>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</si>
  <si>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</si>
  <si>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</si>
  <si>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</si>
  <si>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</si>
  <si>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</si>
  <si>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</si>
  <si>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</si>
  <si>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</si>
  <si>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</si>
  <si>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</si>
  <si>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</si>
  <si>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</si>
  <si>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</si>
  <si>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</si>
  <si>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</si>
  <si>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</si>
  <si>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</si>
  <si>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</si>
  <si>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</si>
  <si>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</si>
  <si>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</si>
  <si>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</si>
  <si>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</si>
  <si>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</si>
  <si>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</si>
  <si>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</si>
  <si>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</si>
  <si>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</si>
  <si>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</si>
  <si>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</si>
  <si>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</si>
  <si>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</si>
  <si>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</si>
  <si>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</si>
  <si>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</si>
  <si>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</si>
  <si>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</si>
  <si>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</si>
  <si>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</si>
  <si>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</si>
  <si>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</si>
  <si>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</si>
  <si>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</si>
  <si>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</si>
  <si>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</si>
  <si>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</si>
  <si>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</si>
  <si>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</si>
  <si>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</si>
  <si>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</si>
  <si>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</si>
  <si>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</si>
  <si>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</si>
  <si>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</si>
  <si>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</si>
  <si>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</si>
  <si>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</si>
  <si>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</si>
  <si>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</si>
  <si>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</si>
  <si>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</si>
  <si>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</si>
  <si>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</si>
  <si>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</si>
  <si>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</si>
  <si>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</si>
  <si>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</si>
  <si>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</si>
  <si>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</si>
  <si>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</si>
  <si>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</si>
  <si>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</si>
  <si>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</si>
  <si>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</si>
  <si>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</si>
  <si>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</si>
  <si>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</si>
  <si>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</si>
  <si>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</si>
  <si>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</si>
  <si>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</si>
  <si>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</si>
  <si>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</si>
  <si>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</si>
  <si>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</si>
  <si>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</si>
  <si>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</si>
  <si>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</si>
  <si>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</si>
  <si>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</si>
  <si>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</si>
  <si>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</si>
  <si>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</si>
  <si>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</si>
  <si>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</si>
  <si>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</si>
  <si>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</si>
  <si>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</si>
  <si>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</si>
  <si>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</si>
  <si>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</si>
  <si>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</si>
  <si>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</si>
  <si>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</si>
  <si>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</si>
  <si>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</si>
  <si>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</si>
  <si>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</si>
  <si>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</si>
  <si>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</si>
  <si>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</si>
  <si>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</si>
  <si>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</si>
  <si>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</si>
  <si>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</si>
  <si>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</si>
  <si>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</si>
  <si>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</si>
  <si>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</si>
  <si>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</si>
  <si>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</si>
  <si>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</si>
  <si>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</si>
  <si>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</si>
  <si>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</si>
  <si>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</si>
  <si>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</si>
  <si>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</si>
  <si>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</si>
  <si>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</si>
  <si>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</si>
  <si>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</si>
  <si>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</si>
  <si>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</si>
  <si>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</si>
  <si>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</si>
  <si>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</si>
  <si>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</si>
  <si>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</si>
  <si>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</si>
  <si>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</si>
  <si>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</si>
  <si>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</si>
  <si>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</si>
  <si>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</si>
  <si>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</si>
  <si>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</si>
  <si>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</si>
  <si>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</si>
  <si>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</si>
  <si>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</si>
  <si>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</si>
  <si>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</si>
  <si>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</si>
  <si>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</si>
  <si>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</si>
  <si>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</si>
  <si>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</si>
  <si>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</si>
  <si>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</si>
  <si>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</si>
  <si>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</si>
  <si>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</si>
  <si>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</si>
  <si>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</si>
  <si>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</si>
  <si>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</si>
  <si>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</si>
  <si>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</si>
  <si>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(17)现金自给率%=16/15</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</si>
  <si>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</si>
  <si>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</si>
  <si>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</si>
  <si>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</si>
  <si>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</si>
  <si>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</si>
  <si>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</si>
  <si>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</si>
  <si>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</si>
  <si>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</si>
  <si>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</si>
  <si>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</si>
  <si>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</si>
  <si>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</si>
  <si>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</si>
  <si>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</si>
  <si>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</si>
  <si>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</si>
  <si>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</si>
  <si>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</si>
  <si>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</si>
  <si>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</si>
  <si>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</si>
  <si>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</si>
  <si>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</si>
  <si>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</si>
  <si>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</si>
  <si>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</si>
  <si>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</si>
  <si>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</si>
  <si>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</si>
  <si>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</si>
  <si>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</si>
  <si>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</si>
  <si>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</si>
  <si>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</si>
  <si>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</si>
  <si>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</si>
  <si>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</si>
  <si>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</si>
  <si>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无形资产周转率</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</si>
  <si>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</si>
  <si>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</si>
  <si>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</si>
  <si>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</si>
  <si>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</si>
  <si>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</si>
  <si>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</si>
  <si>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</si>
  <si>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</si>
  <si>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</si>
  <si>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</si>
  <si>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</si>
  <si>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</si>
  <si>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</si>
  <si>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</si>
  <si>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</si>
  <si>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</si>
  <si>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</si>
  <si>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(4)运营资产总额</t>
    <phoneticPr fontId="1" type="noConversion"/>
  </si>
  <si>
    <t>(5)运营资产周转率=1/4</t>
    <phoneticPr fontId="1" type="noConversion"/>
  </si>
  <si>
    <t>(6)息税前营运资产回报率=3*5</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</si>
  <si>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</si>
  <si>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</si>
  <si>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</si>
  <si>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</si>
  <si>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</si>
  <si>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</si>
  <si>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</si>
  <si>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</si>
  <si>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</si>
  <si>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</si>
  <si>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</si>
  <si>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</si>
  <si>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</si>
  <si>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</si>
  <si>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</si>
  <si>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</si>
  <si>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</si>
  <si>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</si>
  <si>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</si>
  <si>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</si>
  <si>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</si>
  <si>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</si>
  <si>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</si>
  <si>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</si>
  <si>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 xml:space="preserve">公司每年长期资产净投资额、新投资每年都有增加，主要是土地使用权、电子设备、运输设备等固资产、购买软件使用权、专利著作权等无形资产等。净合并额基本没有，仅在2017年有较大增加，是因为存在收购了两个软件公司
——上海好学网络科有限公司和成都环博软件有限公司。
公司主要进行内生性增长，并有开始通过收购开始外延性增长的意图。
从现金自给率分析可以看出，该公司每年经营活动产生的现金流量净额均超过了现金需求两倍以上，即自身造血速度很强。加上期初金融资产，最终每年的筹资需求额为正数，不存在资金缺口，为满足那公司营运，在现有办法上，
基本不需要再想办法外援筹资解决。除2016年由于上市募集到的股本资金到账导致筹资活动产生的现金流量净额为正以外，筹资活动产生的现金流主要是用来分配股利一直为负
</t>
    <phoneticPr fontId="1" type="noConversion"/>
  </si>
  <si>
    <t>(2)分配股利、利润所支付的现金（当年所支付入现金：上一前的财报数据)</t>
    <phoneticPr fontId="1" type="noConversion"/>
  </si>
  <si>
    <t xml:space="preserve">公司有息负债为0，利息支出为0，主要的筹资活动在股本募集。
募股明细如下：
2016年上市募集股本到账。将于2019年11月1日大股东解禁。
2018年1月24日为首次授予日，向符合授予条件的65名激励对象授予163.40万股限制性股票。公司已收到65名激励对象缴纳的出资款人民币33,235,560.00元。首次授予部分限制性股票的授予价格为每股 20.34 元，即满足授予条件后， 激励对象可以每股 20.34 元（不复权）的价格购买公司向激励对象增发的公司限制性股票。2018年5月公积金转股本后，其复权后价格应该约为11元/每股左右。2019年2月1日解禁30%。2020年2月1日后解禁40%。2021年后解禁30%。
2018 年 7 月 2 日 预留部分限制性股票授予数量69.54 万股，预留部分限制性股票授予价格15.17 元/股的价格。公司因本次授予预留部分限制性股票所实际筹集资金将用于补充公司流动资金。将于2019年7月2日解禁50%，2020年7月2日解禁50%
</t>
    <phoneticPr fontId="1" type="noConversion"/>
  </si>
  <si>
    <t xml:space="preserve">公司目前享受高新技术企业所得税优惠政策和双软企业增值税退税优惠政，所得税税率相当低。没有负债，全是股东权益。假设股东要求回报率为8%，最后加权平均资金成本8%，即股东期望回报利率。
</t>
    <phoneticPr fontId="1" type="noConversion"/>
  </si>
  <si>
    <t xml:space="preserve">可以看出该公司的资产总额从2013年1.7亿元逐年增加至2017年6.8亿元，近5年复合增长率32%。其中，金融资产稳定从0.9亿增到2017年4.6亿，占比从52%变为68%，主要是因为上市募集资金到账所致。长期股权投资为0。近5年来，营运资产以5.98%的复合增长速度，营运负债以19.35%的速度增加，显而易见，近年来营运发展速度越来越快。由于负债增长速度远远大于资产增长，最后营运资本每年减少，说明自己需要拿出来的营运资本越来越少，更多的占用上下游资金来运营自己生意，并且占有的数额越来越大。长期经营资产近5年以42%的复合增长速度在增长，占比27%，其营运资产占比16%，其金融资产占比68%，可知其为软件信息行业，较少的长期经营资产可以理解，但拥有这么多金融资产可见其大部分资金多用于购买理财和现金投资，这上市两年来现金利用率不高。
没有债务，全部都是长期融资资本，用于长短期资产使用，资产资本结构十分稳健
</t>
    <phoneticPr fontId="1" type="noConversion"/>
  </si>
  <si>
    <t>百分比</t>
    <phoneticPr fontId="1" type="noConversion"/>
  </si>
  <si>
    <t>从上表可以看出，近5年来，营业收入处于周期波动，2013年最高之后逐年下降到2015年，之后开始大幅回升。主要由于2013年第一代考点业务已接近满负荷，2014年新开拓的身份认证和防作弊系统刚开始打开市场。营业成本稳中有降在41%左右，营业成本变动与营业收入同向，且低于营业收入变动。毛利率最低也有54%，最高达到59%，近年来毛利率有所提升，毛利率一直在50%以上，优秀，是具有强的核心竞争力的表现。
近5年来，销售费用率、管理费用逐年加大，总费用率也提升了4个点，在33%左右，三费的增速大过营业收入，该公司费用管控能力需有所加强。因此，息税前经营利润逐年下降，到37%，虽然如此但仍旧是个盈利能力很强的企业。需要注意的是，其营业外收支占比息税前经营利润28%，其营业外收入主要是税费返还（占比75%）和政府补助，其中由于其公司所处软件行业，只要税收政策不变，其税费返还部分收益可持续，政府补助部分不可持续，随着营业收入的扩大，税费返还就越多，相应的政府补助所占比例就会越少，因此无需太过担心营业外收入问题</t>
    <phoneticPr fontId="1" type="noConversion"/>
  </si>
  <si>
    <t xml:space="preserve">从上表可以看出，该公司息税前利润主要由经营利润为主，占比84%以上。近两年由于现金增多，其金融资产收益占比也有所提升
</t>
    <phoneticPr fontId="1" type="noConversion"/>
  </si>
  <si>
    <t xml:space="preserve">虽然息税前净利润率有所下降，但净利润率浮动较小，在37%~39%浮动，近两年还有所提升。股权价值增加值一直为正数，表示该公司一直为股东创造出超预期回报
</t>
    <phoneticPr fontId="1" type="noConversion"/>
  </si>
  <si>
    <t xml:space="preserve">该公司的ROE浮动较大，2016年下降至历史低点10.6%，主要是上市发行股票扩大了股本。2017年有所提升为11.21%左右，上市前ROE很高，近五年平均ROE能有25%。近几年ROE回报下降，
主要是因为资产周转率下降，营业收入增长未赶上股东权益增长的速度。也侧面说明了股本资金利用率不高。或者其正处于周期转折低谷
</t>
    <phoneticPr fontId="1" type="noConversion"/>
  </si>
  <si>
    <t>主要是因为近5年来，营运资产周转率有所提升，长期经营资产周转率和金融资产周转率下降比较厉害。</t>
    <phoneticPr fontId="1" type="noConversion"/>
  </si>
  <si>
    <t xml:space="preserve">从上表可见，应收数额逐年变大的同时，应收账款周转天数有所下降，说明应收款管控能力有所加强，回款变快。应付账款逐年增加，应付账款周转天数边长，说明占用下游金额越来越多，占用下游能力逐渐加强。存货周转率有所加快。营业周期缩短，现金周期缩短更多，说明公司生产、销售和收回现金速度加快。自己所需付出的营运成本越来越少，占用上下游资金逐年增多、占用时间逐年增长，说明该公司在上下游中越来越强势。
</t>
    <phoneticPr fontId="1" type="noConversion"/>
  </si>
  <si>
    <t>长期经营资产中，近5年，营业收入增速远低于在建工程和无形资产增速，从而大幅降低了其资产周转率。需要注意，2016年上市募集资金项目在2017年就变更了两个。2016年11月1日上市募集资金，为建设产业化基地（扩大办公楼等）、
运维服务体系建设，巡查指挥系统项目、高科技作弊防控项目。2017年，公司将“巡查指挥系统项目和高科技作弊防控项目“两个上市募集资金投资项目变更为“以 4836 万元增资及收购上海好学网络科技有限公司 62%股权项目”、 “以
 4080 万元增资及收购成都环博软件有限公司 51%股权项目”及“将 958.57 万元（含理财收益）永久补充流动资金”。而且其最大金额的产业化基地建设，从2015年建设了55%，2017年才完成到69%。办公大楼建得这么慢？作为一个软
件信息企业，需要花那么多钱建新办公大楼么？笔者认为，其募集资金所承包得项目多半只是个名目，其最需要钱的反而都不是这些硬件建设，而是招人招人招人、抢占市场。同时其在建工程每年新增额度也不少，但是转固的数额却很少，
感觉它家的在建工程也是个名目而已。用A名目找来钱，干B事。还需要注意的是，由于2017年并购了两家公司，产生了4450万元的商誉，同年净利润为7633万元。在年报里没找到并购附带的业绩条件，莫非没有业绩要求？
综上可知，佳发教育是一家有无负债、毛利高（60%）、有无对外股权投资，以长期经营资产内部增长为主，运营资本所需自由资金越来越少，具有较强把控上下游资源的能力。其成本费用控制能力有所不足，经营利润率稳中有降到37%，金
融资产收益有所上升，净利润稳定在37%以上。其营收额经过历史低点后已回到2013年高峰，形成拐点趋势。其ROE也有所回升，不过还在历史低点徘徊（高于8%），是由于其所持有的资产中金融资产过多，产生的回报率较低所导致。另外，
对其在建工程存疑，有24%股本质押。
今后三年，随着新高考智慧教育业务的市场提升，营收扩大，相信其ROE能较快提升</t>
    <phoneticPr fontId="1" type="noConversion"/>
  </si>
  <si>
    <t>营业收入现金含量逐年提升，到2017年已经达到1.01，说明截至报告期，1块钱营业收入对应1.01元现金。成本费用付现率较为稳定，远低于1，仅为营业收入现金含量的0.72。经营利润和净利润现金含量逐年提升，到2017年均远大于1，
其利润含金量十足。这倒是意想不到。
经营性现金流一直为正数，高于非付现成本，5年来复合增长率12%。自由现金流量净额均为正，数额每年高速增长，5年以来复合增长率达到12%</t>
    <phoneticPr fontId="1" type="noConversion"/>
  </si>
  <si>
    <t xml:space="preserve">从该公司的基本指标数据，明显可以归为初期成长股，目前处于拐头进入成长高速期。采用三段式DCF预测，根据公司发展风险来确定贴现率，其公司将来营收发展是有保障的，但因为存在商誉和在建工程问题，贴现率从8%略微提升为9%。
假设贴现率为9%，后五年为高速成长期，自由现金流以15%的复合增长率高增长，再后五年进入平稳过渡期，以9%的速度复合增长，之后进入缓慢增长期，以2%的速度增长。测算出来，每股价值为21.10元。20180704日收盘价为32.40元。有高估风险。
我来说说我为什么会关注到它吧。首先股价抗跌，六月底七月初，逆势上涨，有减持还上涨。其次，稀缺概念——新高考“选课走班”教育信息化，2018年一季报超预期，2018年第一季度，实现营业总收入3,997.63万元，较上年同期增长134.35%，营业利润766.48万元，较上年同期增长364.82%，利润总额766.48万元，较上年同期增长338.24%，归属于上市公司股东的净利润743.46万元，较上年同期增长321.63%。收入和利润增长的主要原因为公司加大市场营销力度，销售规模扩大所致。最后在看到其基本面毛利和净利润非常不错。分析下来，感觉它更像困境反转周期股，应用DCF测算明显高估。也算在测试DCF理论的适用性。
等待8月28日其中报，由于其应收款回款具有季节性，二季度和四季度是回款高峰期，若是中报继续大幅超预期。值得持续关注
</t>
    <phoneticPr fontId="1" type="noConversion"/>
  </si>
  <si>
    <t>后10年增长率g2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</si>
</sst>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0000000000_ "/>
  </numFmts>
  <fonts count="3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sz val="9"/>
      <color theme="1"/>
      <name val="宋体"/>
      <family val="2"/>
      <charset val="134"/>
      <scheme val="minor"/>
    </font>
    <font>
      <sz val="9"/>
      <color theme="1"/>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36">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265">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0" fillId="0" borderId="0" xfId="0" applyNumberFormat="1" applyAlignment="1">
      <alignment vertical="top"/>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0" fontId="0" fillId="0" borderId="1" xfId="0"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0" borderId="15" xfId="0" applyNumberFormat="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15" fillId="10" borderId="0" xfId="8" applyNumberFormat="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49" fontId="2" fillId="2" borderId="11" xfId="1" applyNumberFormat="1" applyBorder="1">
      <alignment vertical="center"/>
    </xf>
    <xf numFmtId="179" fontId="27" fillId="3" borderId="0" xfId="2" applyNumberFormat="1" applyFont="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0" xfId="0" applyNumberFormat="1" applyFon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2" fillId="2" borderId="18" xfId="1" applyNumberFormat="1" applyBorder="1">
      <alignment vertical="center"/>
    </xf>
    <xf numFmtId="179" fontId="15" fillId="10" borderId="0" xfId="8" applyNumberFormat="1" applyBorder="1">
      <alignment vertical="center"/>
    </xf>
    <xf numFmtId="179" fontId="15" fillId="10" borderId="18"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15" fillId="10" borderId="33"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15" fillId="10" borderId="35"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9" fontId="29"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0" fillId="6" borderId="1" xfId="0" applyNumberForma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13"/>
                <c:pt idx="0">
                  <c:v>0.59120100948687804</c:v>
                </c:pt>
                <c:pt idx="1">
                  <c:v>0.55349859906758725</c:v>
                </c:pt>
                <c:pt idx="2">
                  <c:v>0.54881606887972723</c:v>
                </c:pt>
                <c:pt idx="3">
                  <c:v>0.57281076753749771</c:v>
                </c:pt>
                <c:pt idx="4">
                  <c:v>0.54025318518950527</c:v>
                </c:pt>
                <c:pt idx="5">
                  <c:v>0.58725587060686724</c:v>
                </c:pt>
                <c:pt idx="6">
                  <c:v>0.53279020791160669</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223658496"/>
        <c:axId val="215801152"/>
      </c:lineChart>
      <c:catAx>
        <c:axId val="223658496"/>
        <c:scaling>
          <c:orientation val="minMax"/>
        </c:scaling>
        <c:delete val="0"/>
        <c:axPos val="b"/>
        <c:majorTickMark val="out"/>
        <c:minorTickMark val="none"/>
        <c:tickLblPos val="nextTo"/>
        <c:crossAx val="215801152"/>
        <c:crosses val="autoZero"/>
        <c:auto val="1"/>
        <c:lblAlgn val="ctr"/>
        <c:lblOffset val="100"/>
        <c:noMultiLvlLbl val="0"/>
      </c:catAx>
      <c:valAx>
        <c:axId val="215801152"/>
        <c:scaling>
          <c:orientation val="minMax"/>
        </c:scaling>
        <c:delete val="0"/>
        <c:axPos val="l"/>
        <c:majorGridlines/>
        <c:numFmt formatCode="0.00%" sourceLinked="1"/>
        <c:majorTickMark val="out"/>
        <c:minorTickMark val="none"/>
        <c:tickLblPos val="nextTo"/>
        <c:crossAx val="22365849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13"/>
                <c:pt idx="0">
                  <c:v>0.25234290266844261</c:v>
                </c:pt>
                <c:pt idx="1">
                  <c:v>0.36407519976534247</c:v>
                </c:pt>
                <c:pt idx="2">
                  <c:v>0.37550407017490434</c:v>
                </c:pt>
                <c:pt idx="3">
                  <c:v>0.39468271369391644</c:v>
                </c:pt>
                <c:pt idx="4">
                  <c:v>0.37973816940967353</c:v>
                </c:pt>
                <c:pt idx="5">
                  <c:v>0.35000599217463751</c:v>
                </c:pt>
                <c:pt idx="6">
                  <c:v>0.32469504059745619</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223659520"/>
        <c:axId val="222897280"/>
      </c:lineChart>
      <c:catAx>
        <c:axId val="223659520"/>
        <c:scaling>
          <c:orientation val="minMax"/>
        </c:scaling>
        <c:delete val="0"/>
        <c:axPos val="b"/>
        <c:majorTickMark val="out"/>
        <c:minorTickMark val="none"/>
        <c:tickLblPos val="nextTo"/>
        <c:crossAx val="222897280"/>
        <c:crosses val="autoZero"/>
        <c:auto val="1"/>
        <c:lblAlgn val="ctr"/>
        <c:lblOffset val="100"/>
        <c:noMultiLvlLbl val="0"/>
      </c:catAx>
      <c:valAx>
        <c:axId val="222897280"/>
        <c:scaling>
          <c:orientation val="minMax"/>
        </c:scaling>
        <c:delete val="0"/>
        <c:axPos val="l"/>
        <c:majorGridlines/>
        <c:numFmt formatCode="0.00%" sourceLinked="1"/>
        <c:majorTickMark val="out"/>
        <c:minorTickMark val="none"/>
        <c:tickLblPos val="nextTo"/>
        <c:crossAx val="22365952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13"/>
                <c:pt idx="0">
                  <c:v>0.35758165065667696</c:v>
                </c:pt>
                <c:pt idx="1">
                  <c:v>0.39435574367188536</c:v>
                </c:pt>
                <c:pt idx="2">
                  <c:v>0.43517617178796164</c:v>
                </c:pt>
                <c:pt idx="3">
                  <c:v>0.45050158343571989</c:v>
                </c:pt>
                <c:pt idx="4">
                  <c:v>0.43018055602324629</c:v>
                </c:pt>
                <c:pt idx="5">
                  <c:v>0.39846463785545594</c:v>
                </c:pt>
                <c:pt idx="6">
                  <c:v>0.37163480785464825</c:v>
                </c:pt>
                <c:pt idx="7">
                  <c:v>0</c:v>
                </c:pt>
                <c:pt idx="8">
                  <c:v>0</c:v>
                </c:pt>
                <c:pt idx="9">
                  <c:v>0</c:v>
                </c:pt>
                <c:pt idx="10">
                  <c:v>0</c:v>
                </c:pt>
                <c:pt idx="11">
                  <c:v>0</c:v>
                </c:pt>
                <c:pt idx="12">
                  <c:v>0</c:v>
                </c:pt>
              </c:numCache>
            </c:numRef>
          </c:val>
          <c:smooth val="0"/>
        </c:ser>
        <c:ser>
          <c:idx val="2"/>
          <c:order val="1"/>
          <c:tx>
            <c:strRef>
              <c:f>股权价值增加表!$A$34</c:f>
              <c:strCache>
                <c:ptCount val="1"/>
                <c:pt idx="0">
                  <c:v>    息前税后利润率=24/1*100%</c:v>
                </c:pt>
              </c:strCache>
            </c:strRef>
          </c:tx>
          <c:val>
            <c:numRef>
              <c:f>股权价值增加表!$B$34:$Y$34</c:f>
              <c:numCache>
                <c:formatCode>0.00%</c:formatCode>
                <c:ptCount val="13"/>
                <c:pt idx="0">
                  <c:v>0.31410845955861877</c:v>
                </c:pt>
                <c:pt idx="1">
                  <c:v>0.37273895080172864</c:v>
                </c:pt>
                <c:pt idx="2">
                  <c:v>0.38757831596832459</c:v>
                </c:pt>
                <c:pt idx="3">
                  <c:v>0.39468271369391644</c:v>
                </c:pt>
                <c:pt idx="4">
                  <c:v>0.37973816940967353</c:v>
                </c:pt>
                <c:pt idx="5">
                  <c:v>0.35000599217463751</c:v>
                </c:pt>
                <c:pt idx="6">
                  <c:v>0.32469504059745619</c:v>
                </c:pt>
                <c:pt idx="7">
                  <c:v>0</c:v>
                </c:pt>
                <c:pt idx="8">
                  <c:v>0</c:v>
                </c:pt>
                <c:pt idx="9">
                  <c:v>0</c:v>
                </c:pt>
                <c:pt idx="10">
                  <c:v>0</c:v>
                </c:pt>
                <c:pt idx="11">
                  <c:v>0</c:v>
                </c:pt>
                <c:pt idx="12">
                  <c:v>0</c:v>
                </c:pt>
              </c:numCache>
            </c:numRef>
          </c:val>
          <c:smooth val="0"/>
        </c:ser>
        <c:ser>
          <c:idx val="7"/>
          <c:order val="2"/>
          <c:tx>
            <c:strRef>
              <c:f>股权价值增加表!$A$39</c:f>
              <c:strCache>
                <c:ptCount val="1"/>
                <c:pt idx="0">
                  <c:v>    （息后）税前利润率=28/1*100%</c:v>
                </c:pt>
              </c:strCache>
            </c:strRef>
          </c:tx>
          <c:val>
            <c:numRef>
              <c:f>股权价值增加表!$B$39:$Y$39</c:f>
              <c:numCache>
                <c:formatCode>0.00%</c:formatCode>
                <c:ptCount val="13"/>
                <c:pt idx="0">
                  <c:v>0.35662034028229689</c:v>
                </c:pt>
                <c:pt idx="1">
                  <c:v>0.39423696440808759</c:v>
                </c:pt>
                <c:pt idx="2">
                  <c:v>0.43408480504537866</c:v>
                </c:pt>
                <c:pt idx="3">
                  <c:v>0.4585925966863495</c:v>
                </c:pt>
                <c:pt idx="4">
                  <c:v>0.4349898403514123</c:v>
                </c:pt>
                <c:pt idx="5">
                  <c:v>0.40065561349856144</c:v>
                </c:pt>
                <c:pt idx="6">
                  <c:v>0.3729315135930466</c:v>
                </c:pt>
                <c:pt idx="7">
                  <c:v>0</c:v>
                </c:pt>
                <c:pt idx="8">
                  <c:v>0</c:v>
                </c:pt>
                <c:pt idx="9">
                  <c:v>0</c:v>
                </c:pt>
                <c:pt idx="10">
                  <c:v>0</c:v>
                </c:pt>
                <c:pt idx="11">
                  <c:v>0</c:v>
                </c:pt>
                <c:pt idx="12">
                  <c:v>0</c:v>
                </c:pt>
              </c:numCache>
            </c:numRef>
          </c:val>
          <c:smooth val="0"/>
        </c:ser>
        <c:ser>
          <c:idx val="11"/>
          <c:order val="3"/>
          <c:tx>
            <c:strRef>
              <c:f>股权价值增加表!$A$43</c:f>
              <c:strCache>
                <c:ptCount val="1"/>
                <c:pt idx="0">
                  <c:v>    净利润率=30/1*100%</c:v>
                </c:pt>
              </c:strCache>
            </c:strRef>
          </c:tx>
          <c:val>
            <c:numRef>
              <c:f>股权价值增加表!$B$43:$Y$43</c:f>
              <c:numCache>
                <c:formatCode>0.00%</c:formatCode>
                <c:ptCount val="13"/>
                <c:pt idx="0">
                  <c:v>0.31326402103583739</c:v>
                </c:pt>
                <c:pt idx="1">
                  <c:v>0.37262668247832914</c:v>
                </c:pt>
                <c:pt idx="2">
                  <c:v>0.38660631862192524</c:v>
                </c:pt>
                <c:pt idx="3">
                  <c:v>0.40177121944774274</c:v>
                </c:pt>
                <c:pt idx="4">
                  <c:v>0.38398352360194837</c:v>
                </c:pt>
                <c:pt idx="5">
                  <c:v>0.35193051578587387</c:v>
                </c:pt>
                <c:pt idx="6">
                  <c:v>0.32582796440726486</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223660032"/>
        <c:axId val="222899008"/>
      </c:lineChart>
      <c:catAx>
        <c:axId val="223660032"/>
        <c:scaling>
          <c:orientation val="minMax"/>
        </c:scaling>
        <c:delete val="0"/>
        <c:axPos val="b"/>
        <c:majorTickMark val="out"/>
        <c:minorTickMark val="none"/>
        <c:tickLblPos val="nextTo"/>
        <c:crossAx val="222899008"/>
        <c:crosses val="autoZero"/>
        <c:auto val="1"/>
        <c:lblAlgn val="ctr"/>
        <c:lblOffset val="100"/>
        <c:noMultiLvlLbl val="0"/>
      </c:catAx>
      <c:valAx>
        <c:axId val="222899008"/>
        <c:scaling>
          <c:orientation val="minMax"/>
        </c:scaling>
        <c:delete val="0"/>
        <c:axPos val="l"/>
        <c:majorGridlines/>
        <c:numFmt formatCode="0.00%" sourceLinked="1"/>
        <c:majorTickMark val="out"/>
        <c:minorTickMark val="none"/>
        <c:tickLblPos val="nextTo"/>
        <c:crossAx val="22366003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ser>
        <c:ser>
          <c:idx val="1"/>
          <c:order val="1"/>
          <c:invertIfNegative val="0"/>
          <c:cat>
            <c:strRef>
              <c:f>股权价值增加表!$A$61</c:f>
              <c:strCache>
                <c:ptCount val="1"/>
                <c:pt idx="0">
                  <c:v>利润总额(万元)</c:v>
                </c:pt>
              </c:strCache>
            </c:strRef>
          </c:cat>
          <c:val>
            <c:numRef>
              <c:f>股权价值增加表!$C$61</c:f>
            </c:numRef>
          </c:val>
        </c:ser>
        <c:ser>
          <c:idx val="2"/>
          <c:order val="2"/>
          <c:invertIfNegative val="0"/>
          <c:cat>
            <c:strRef>
              <c:f>股权价值增加表!$A$61</c:f>
              <c:strCache>
                <c:ptCount val="1"/>
                <c:pt idx="0">
                  <c:v>利润总额(万元)</c:v>
                </c:pt>
              </c:strCache>
            </c:strRef>
          </c:cat>
          <c:val>
            <c:numRef>
              <c:f>股权价值增加表!$D$61</c:f>
            </c:numRef>
          </c:val>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84844910.959999993</c:v>
                </c:pt>
              </c:numCache>
            </c:numRef>
          </c:val>
        </c:ser>
        <c:ser>
          <c:idx val="4"/>
          <c:order val="4"/>
          <c:invertIfNegative val="0"/>
          <c:cat>
            <c:strRef>
              <c:f>股权价值增加表!$A$61</c:f>
              <c:strCache>
                <c:ptCount val="1"/>
                <c:pt idx="0">
                  <c:v>利润总额(万元)</c:v>
                </c:pt>
              </c:strCache>
            </c:strRef>
          </c:cat>
          <c:val>
            <c:numRef>
              <c:f>股权价值增加表!$F$61</c:f>
            </c:numRef>
          </c:val>
        </c:ser>
        <c:ser>
          <c:idx val="5"/>
          <c:order val="5"/>
          <c:invertIfNegative val="0"/>
          <c:cat>
            <c:strRef>
              <c:f>股权价值增加表!$A$61</c:f>
              <c:strCache>
                <c:ptCount val="1"/>
                <c:pt idx="0">
                  <c:v>利润总额(万元)</c:v>
                </c:pt>
              </c:strCache>
            </c:strRef>
          </c:cat>
          <c:val>
            <c:numRef>
              <c:f>股权价值增加表!$G$61</c:f>
            </c:numRef>
          </c:val>
        </c:ser>
        <c:ser>
          <c:idx val="6"/>
          <c:order val="6"/>
          <c:invertIfNegative val="0"/>
          <c:cat>
            <c:strRef>
              <c:f>股权价值增加表!$A$61</c:f>
              <c:strCache>
                <c:ptCount val="1"/>
                <c:pt idx="0">
                  <c:v>利润总额(万元)</c:v>
                </c:pt>
              </c:strCache>
            </c:strRef>
          </c:cat>
          <c:val>
            <c:numRef>
              <c:f>股权价值增加表!$H$61</c:f>
            </c:numRef>
          </c:val>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65358113.299999997</c:v>
                </c:pt>
              </c:numCache>
            </c:numRef>
          </c:val>
        </c:ser>
        <c:ser>
          <c:idx val="8"/>
          <c:order val="8"/>
          <c:invertIfNegative val="0"/>
          <c:cat>
            <c:strRef>
              <c:f>股权价值增加表!$A$61</c:f>
              <c:strCache>
                <c:ptCount val="1"/>
                <c:pt idx="0">
                  <c:v>利润总额(万元)</c:v>
                </c:pt>
              </c:strCache>
            </c:strRef>
          </c:cat>
          <c:val>
            <c:numRef>
              <c:f>股权价值增加表!$J$61</c:f>
            </c:numRef>
          </c:val>
        </c:ser>
        <c:ser>
          <c:idx val="9"/>
          <c:order val="9"/>
          <c:invertIfNegative val="0"/>
          <c:cat>
            <c:strRef>
              <c:f>股权价值增加表!$A$61</c:f>
              <c:strCache>
                <c:ptCount val="1"/>
                <c:pt idx="0">
                  <c:v>利润总额(万元)</c:v>
                </c:pt>
              </c:strCache>
            </c:strRef>
          </c:cat>
          <c:val>
            <c:numRef>
              <c:f>股权价值增加表!$K$61</c:f>
            </c:numRef>
          </c:val>
        </c:ser>
        <c:ser>
          <c:idx val="10"/>
          <c:order val="10"/>
          <c:invertIfNegative val="0"/>
          <c:cat>
            <c:strRef>
              <c:f>股权价值增加表!$A$61</c:f>
              <c:strCache>
                <c:ptCount val="1"/>
                <c:pt idx="0">
                  <c:v>利润总额(万元)</c:v>
                </c:pt>
              </c:strCache>
            </c:strRef>
          </c:cat>
          <c:val>
            <c:numRef>
              <c:f>股权价值增加表!$L$61</c:f>
            </c:numRef>
          </c:val>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64632457.299999997</c:v>
                </c:pt>
              </c:numCache>
            </c:numRef>
          </c:val>
        </c:ser>
        <c:ser>
          <c:idx val="12"/>
          <c:order val="12"/>
          <c:invertIfNegative val="0"/>
          <c:cat>
            <c:strRef>
              <c:f>股权价值增加表!$A$61</c:f>
              <c:strCache>
                <c:ptCount val="1"/>
                <c:pt idx="0">
                  <c:v>利润总额(万元)</c:v>
                </c:pt>
              </c:strCache>
            </c:strRef>
          </c:cat>
          <c:val>
            <c:numRef>
              <c:f>股权价值增加表!$N$61</c:f>
            </c:numRef>
          </c:val>
        </c:ser>
        <c:ser>
          <c:idx val="13"/>
          <c:order val="13"/>
          <c:invertIfNegative val="0"/>
          <c:cat>
            <c:strRef>
              <c:f>股权价值增加表!$A$61</c:f>
              <c:strCache>
                <c:ptCount val="1"/>
                <c:pt idx="0">
                  <c:v>利润总额(万元)</c:v>
                </c:pt>
              </c:strCache>
            </c:strRef>
          </c:cat>
          <c:val>
            <c:numRef>
              <c:f>股权价值增加表!$O$61</c:f>
              <c:numCache>
                <c:formatCode>General</c:formatCode>
                <c:ptCount val="1"/>
                <c:pt idx="0">
                  <c:v>82225209.590000004</c:v>
                </c:pt>
              </c:numCache>
            </c:numRef>
          </c:val>
        </c:ser>
        <c:ser>
          <c:idx val="14"/>
          <c:order val="14"/>
          <c:invertIfNegative val="0"/>
          <c:cat>
            <c:strRef>
              <c:f>股权价值增加表!$A$61</c:f>
              <c:strCache>
                <c:ptCount val="1"/>
                <c:pt idx="0">
                  <c:v>利润总额(万元)</c:v>
                </c:pt>
              </c:strCache>
            </c:strRef>
          </c:cat>
          <c:val>
            <c:numRef>
              <c:f>股权价值增加表!$P$61</c:f>
              <c:numCache>
                <c:formatCode>General</c:formatCode>
                <c:ptCount val="1"/>
                <c:pt idx="0">
                  <c:v>90820773.989999995</c:v>
                </c:pt>
              </c:numCache>
            </c:numRef>
          </c:val>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77524210.209999993</c:v>
                </c:pt>
              </c:numCache>
            </c:numRef>
          </c:val>
        </c:ser>
        <c:ser>
          <c:idx val="16"/>
          <c:order val="16"/>
          <c:invertIfNegative val="0"/>
          <c:cat>
            <c:strRef>
              <c:f>股权价值增加表!$A$61</c:f>
              <c:strCache>
                <c:ptCount val="1"/>
                <c:pt idx="0">
                  <c:v>利润总额(万元)</c:v>
                </c:pt>
              </c:strCache>
            </c:strRef>
          </c:cat>
          <c:val>
            <c:numRef>
              <c:f>股权价值增加表!$R$61</c:f>
              <c:numCache>
                <c:formatCode>General</c:formatCode>
                <c:ptCount val="1"/>
                <c:pt idx="0">
                  <c:v>30657610.09</c:v>
                </c:pt>
              </c:numCache>
            </c:numRef>
          </c:val>
        </c:ser>
        <c:ser>
          <c:idx val="17"/>
          <c:order val="17"/>
          <c:invertIfNegative val="0"/>
          <c:cat>
            <c:strRef>
              <c:f>股权价值增加表!$A$61</c:f>
              <c:strCache>
                <c:ptCount val="1"/>
                <c:pt idx="0">
                  <c:v>利润总额(万元)</c:v>
                </c:pt>
              </c:strCache>
            </c:strRef>
          </c:cat>
          <c:val>
            <c:numRef>
              <c:f>股权价值增加表!$S$61</c:f>
            </c:numRef>
          </c:val>
        </c:ser>
        <c:ser>
          <c:idx val="18"/>
          <c:order val="18"/>
          <c:invertIfNegative val="0"/>
          <c:cat>
            <c:strRef>
              <c:f>股权价值增加表!$A$61</c:f>
              <c:strCache>
                <c:ptCount val="1"/>
                <c:pt idx="0">
                  <c:v>利润总额(万元)</c:v>
                </c:pt>
              </c:strCache>
            </c:strRef>
          </c:cat>
          <c:val>
            <c:numRef>
              <c:f>股权价值增加表!$T$61</c:f>
              <c:numCache>
                <c:formatCode>General</c:formatCode>
                <c:ptCount val="1"/>
                <c:pt idx="0">
                  <c:v>66472408.719999999</c:v>
                </c:pt>
              </c:numCache>
            </c:numRef>
          </c:val>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418462444.42000002</c:v>
                </c:pt>
              </c:numCache>
            </c:numRef>
          </c:val>
        </c:ser>
        <c:ser>
          <c:idx val="20"/>
          <c:order val="20"/>
          <c:invertIfNegative val="0"/>
          <c:cat>
            <c:strRef>
              <c:f>股权价值增加表!$A$61</c:f>
              <c:strCache>
                <c:ptCount val="1"/>
                <c:pt idx="0">
                  <c:v>利润总额(万元)</c:v>
                </c:pt>
              </c:strCache>
            </c:strRef>
          </c:cat>
          <c:val>
            <c:numRef>
              <c:f>股权价值增加表!$V$61</c:f>
              <c:numCache>
                <c:formatCode>General</c:formatCode>
                <c:ptCount val="1"/>
                <c:pt idx="0">
                  <c:v>330872390.20999998</c:v>
                </c:pt>
              </c:numCache>
            </c:numRef>
          </c:val>
        </c:ser>
        <c:ser>
          <c:idx val="21"/>
          <c:order val="21"/>
          <c:invertIfNegative val="0"/>
          <c:cat>
            <c:strRef>
              <c:f>股权价值增加表!$A$61</c:f>
              <c:strCache>
                <c:ptCount val="1"/>
                <c:pt idx="0">
                  <c:v>利润总额(万元)</c:v>
                </c:pt>
              </c:strCache>
            </c:strRef>
          </c:cat>
          <c:val>
            <c:numRef>
              <c:f>股权价值增加表!$W$61</c:f>
              <c:numCache>
                <c:formatCode>General</c:formatCode>
                <c:ptCount val="1"/>
                <c:pt idx="0">
                  <c:v>179343967.02000001</c:v>
                </c:pt>
              </c:numCache>
            </c:numRef>
          </c:val>
        </c:ser>
        <c:ser>
          <c:idx val="22"/>
          <c:order val="22"/>
          <c:invertIfNegative val="0"/>
          <c:cat>
            <c:strRef>
              <c:f>股权价值增加表!$A$61</c:f>
              <c:strCache>
                <c:ptCount val="1"/>
                <c:pt idx="0">
                  <c:v>利润总额(万元)</c:v>
                </c:pt>
              </c:strCache>
            </c:strRef>
          </c:cat>
          <c:val>
            <c:numRef>
              <c:f>股权价值增加表!$X$61</c:f>
              <c:numCache>
                <c:formatCode>General</c:formatCode>
                <c:ptCount val="1"/>
                <c:pt idx="0">
                  <c:v>63616390.75</c:v>
                </c:pt>
              </c:numCache>
            </c:numRef>
          </c:val>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341199281.31</c:v>
                </c:pt>
              </c:numCache>
            </c:numRef>
          </c:val>
        </c:ser>
        <c:dLbls>
          <c:showLegendKey val="0"/>
          <c:showVal val="0"/>
          <c:showCatName val="0"/>
          <c:showSerName val="0"/>
          <c:showPercent val="0"/>
          <c:showBubbleSize val="0"/>
        </c:dLbls>
        <c:gapWidth val="150"/>
        <c:axId val="223661568"/>
        <c:axId val="222901312"/>
      </c:barChart>
      <c:catAx>
        <c:axId val="223661568"/>
        <c:scaling>
          <c:orientation val="minMax"/>
        </c:scaling>
        <c:delete val="0"/>
        <c:axPos val="b"/>
        <c:numFmt formatCode="@" sourceLinked="1"/>
        <c:majorTickMark val="out"/>
        <c:minorTickMark val="none"/>
        <c:tickLblPos val="nextTo"/>
        <c:crossAx val="222901312"/>
        <c:crosses val="autoZero"/>
        <c:auto val="1"/>
        <c:lblAlgn val="ctr"/>
        <c:lblOffset val="100"/>
        <c:noMultiLvlLbl val="0"/>
      </c:catAx>
      <c:valAx>
        <c:axId val="222901312"/>
        <c:scaling>
          <c:orientation val="minMax"/>
        </c:scaling>
        <c:delete val="0"/>
        <c:axPos val="l"/>
        <c:majorGridlines/>
        <c:numFmt formatCode="General" sourceLinked="1"/>
        <c:majorTickMark val="out"/>
        <c:minorTickMark val="none"/>
        <c:tickLblPos val="nextTo"/>
        <c:crossAx val="2236615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13"/>
                <c:pt idx="0">
                  <c:v>5755927.1176000014</c:v>
                </c:pt>
                <c:pt idx="1">
                  <c:v>15152286.341600001</c:v>
                </c:pt>
                <c:pt idx="2">
                  <c:v>40470986.770000011</c:v>
                </c:pt>
                <c:pt idx="3">
                  <c:v>63591340.971999988</c:v>
                </c:pt>
                <c:pt idx="4">
                  <c:v>75194476.568799987</c:v>
                </c:pt>
                <c:pt idx="5">
                  <c:v>68096226.200000018</c:v>
                </c:pt>
                <c:pt idx="6">
                  <c:v>26785364.940000001</c:v>
                </c:pt>
                <c:pt idx="7">
                  <c:v>-269710904.3624</c:v>
                </c:pt>
                <c:pt idx="8">
                  <c:v>-338622543.15400004</c:v>
                </c:pt>
                <c:pt idx="9">
                  <c:v>-313762176.04879999</c:v>
                </c:pt>
                <c:pt idx="10">
                  <c:v>-272983141.29040003</c:v>
                </c:pt>
                <c:pt idx="11">
                  <c:v>-250043489.63560003</c:v>
                </c:pt>
                <c:pt idx="12">
                  <c:v>-305136449.58360004</c:v>
                </c:pt>
              </c:numCache>
            </c:numRef>
          </c:val>
        </c:ser>
        <c:dLbls>
          <c:showLegendKey val="0"/>
          <c:showVal val="0"/>
          <c:showCatName val="0"/>
          <c:showSerName val="0"/>
          <c:showPercent val="0"/>
          <c:showBubbleSize val="0"/>
        </c:dLbls>
        <c:gapWidth val="150"/>
        <c:axId val="224650240"/>
        <c:axId val="224543296"/>
      </c:barChart>
      <c:catAx>
        <c:axId val="224650240"/>
        <c:scaling>
          <c:orientation val="minMax"/>
        </c:scaling>
        <c:delete val="0"/>
        <c:axPos val="b"/>
        <c:majorTickMark val="out"/>
        <c:minorTickMark val="none"/>
        <c:tickLblPos val="nextTo"/>
        <c:crossAx val="224543296"/>
        <c:crosses val="autoZero"/>
        <c:auto val="1"/>
        <c:lblAlgn val="ctr"/>
        <c:lblOffset val="100"/>
        <c:noMultiLvlLbl val="0"/>
      </c:catAx>
      <c:valAx>
        <c:axId val="224543296"/>
        <c:scaling>
          <c:orientation val="minMax"/>
        </c:scaling>
        <c:delete val="0"/>
        <c:axPos val="l"/>
        <c:majorGridlines/>
        <c:numFmt formatCode="#,##0.00_ " sourceLinked="1"/>
        <c:majorTickMark val="out"/>
        <c:minorTickMark val="none"/>
        <c:tickLblPos val="nextTo"/>
        <c:crossAx val="2246502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ser>
        <c:ser>
          <c:idx val="1"/>
          <c:order val="1"/>
          <c:invertIfNegative val="0"/>
          <c:cat>
            <c:strRef>
              <c:f>股权价值增加表!$A$70</c:f>
              <c:strCache>
                <c:ptCount val="1"/>
                <c:pt idx="0">
                  <c:v>所有者权益</c:v>
                </c:pt>
              </c:strCache>
            </c:strRef>
          </c:cat>
          <c:val>
            <c:numRef>
              <c:f>股权价值增加表!$C$70</c:f>
            </c:numRef>
          </c:val>
        </c:ser>
        <c:ser>
          <c:idx val="2"/>
          <c:order val="2"/>
          <c:invertIfNegative val="0"/>
          <c:cat>
            <c:strRef>
              <c:f>股权价值增加表!$A$70</c:f>
              <c:strCache>
                <c:ptCount val="1"/>
                <c:pt idx="0">
                  <c:v>所有者权益</c:v>
                </c:pt>
              </c:strCache>
            </c:strRef>
          </c:cat>
          <c:val>
            <c:numRef>
              <c:f>股权价值增加表!$D$70</c:f>
            </c:numRef>
          </c:val>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680780701.52999997</c:v>
                </c:pt>
              </c:numCache>
            </c:numRef>
          </c:val>
        </c:ser>
        <c:ser>
          <c:idx val="4"/>
          <c:order val="4"/>
          <c:invertIfNegative val="0"/>
          <c:cat>
            <c:strRef>
              <c:f>股权价值增加表!$A$70</c:f>
              <c:strCache>
                <c:ptCount val="1"/>
                <c:pt idx="0">
                  <c:v>所有者权益</c:v>
                </c:pt>
              </c:strCache>
            </c:strRef>
          </c:cat>
          <c:val>
            <c:numRef>
              <c:f>股权价值增加表!$F$70</c:f>
            </c:numRef>
          </c:val>
        </c:ser>
        <c:ser>
          <c:idx val="5"/>
          <c:order val="5"/>
          <c:invertIfNegative val="0"/>
          <c:cat>
            <c:strRef>
              <c:f>股权价值增加表!$A$70</c:f>
              <c:strCache>
                <c:ptCount val="1"/>
                <c:pt idx="0">
                  <c:v>所有者权益</c:v>
                </c:pt>
              </c:strCache>
            </c:strRef>
          </c:cat>
          <c:val>
            <c:numRef>
              <c:f>股权价值增加表!$G$70</c:f>
            </c:numRef>
          </c:val>
        </c:ser>
        <c:ser>
          <c:idx val="6"/>
          <c:order val="6"/>
          <c:invertIfNegative val="0"/>
          <c:cat>
            <c:strRef>
              <c:f>股权价值增加表!$A$70</c:f>
              <c:strCache>
                <c:ptCount val="1"/>
                <c:pt idx="0">
                  <c:v>所有者权益</c:v>
                </c:pt>
              </c:strCache>
            </c:strRef>
          </c:cat>
          <c:val>
            <c:numRef>
              <c:f>股权价值增加表!$H$70</c:f>
            </c:numRef>
          </c:val>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582557312.73000002</c:v>
                </c:pt>
              </c:numCache>
            </c:numRef>
          </c:val>
        </c:ser>
        <c:ser>
          <c:idx val="8"/>
          <c:order val="8"/>
          <c:invertIfNegative val="0"/>
          <c:cat>
            <c:strRef>
              <c:f>股权价值增加表!$A$70</c:f>
              <c:strCache>
                <c:ptCount val="1"/>
                <c:pt idx="0">
                  <c:v>所有者权益</c:v>
                </c:pt>
              </c:strCache>
            </c:strRef>
          </c:cat>
          <c:val>
            <c:numRef>
              <c:f>股权价值增加表!$J$70</c:f>
            </c:numRef>
          </c:val>
        </c:ser>
        <c:ser>
          <c:idx val="9"/>
          <c:order val="9"/>
          <c:invertIfNegative val="0"/>
          <c:cat>
            <c:strRef>
              <c:f>股权价值增加表!$A$70</c:f>
              <c:strCache>
                <c:ptCount val="1"/>
                <c:pt idx="0">
                  <c:v>所有者权益</c:v>
                </c:pt>
              </c:strCache>
            </c:strRef>
          </c:cat>
          <c:val>
            <c:numRef>
              <c:f>股权价值增加表!$K$70</c:f>
            </c:numRef>
          </c:val>
        </c:ser>
        <c:ser>
          <c:idx val="10"/>
          <c:order val="10"/>
          <c:invertIfNegative val="0"/>
          <c:cat>
            <c:strRef>
              <c:f>股权价值增加表!$A$70</c:f>
              <c:strCache>
                <c:ptCount val="1"/>
                <c:pt idx="0">
                  <c:v>所有者权益</c:v>
                </c:pt>
              </c:strCache>
            </c:strRef>
          </c:cat>
          <c:val>
            <c:numRef>
              <c:f>股权价值增加表!$L$70</c:f>
            </c:numRef>
          </c:val>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211848320.5</c:v>
                </c:pt>
              </c:numCache>
            </c:numRef>
          </c:val>
        </c:ser>
        <c:ser>
          <c:idx val="12"/>
          <c:order val="12"/>
          <c:invertIfNegative val="0"/>
          <c:cat>
            <c:strRef>
              <c:f>股权价值增加表!$A$70</c:f>
              <c:strCache>
                <c:ptCount val="1"/>
                <c:pt idx="0">
                  <c:v>所有者权益</c:v>
                </c:pt>
              </c:strCache>
            </c:strRef>
          </c:cat>
          <c:val>
            <c:numRef>
              <c:f>股权价值增加表!$N$70</c:f>
            </c:numRef>
          </c:val>
        </c:ser>
        <c:ser>
          <c:idx val="13"/>
          <c:order val="13"/>
          <c:invertIfNegative val="0"/>
          <c:cat>
            <c:strRef>
              <c:f>股权价值增加表!$A$70</c:f>
              <c:strCache>
                <c:ptCount val="1"/>
                <c:pt idx="0">
                  <c:v>所有者权益</c:v>
                </c:pt>
              </c:strCache>
            </c:strRef>
          </c:cat>
          <c:val>
            <c:numRef>
              <c:f>股权价值增加表!$O$70</c:f>
              <c:numCache>
                <c:formatCode>General</c:formatCode>
                <c:ptCount val="1"/>
                <c:pt idx="0">
                  <c:v>105573132.09999999</c:v>
                </c:pt>
              </c:numCache>
            </c:numRef>
          </c:val>
        </c:ser>
        <c:ser>
          <c:idx val="14"/>
          <c:order val="14"/>
          <c:invertIfNegative val="0"/>
          <c:cat>
            <c:strRef>
              <c:f>股权价值增加表!$A$70</c:f>
              <c:strCache>
                <c:ptCount val="1"/>
                <c:pt idx="0">
                  <c:v>所有者权益</c:v>
                </c:pt>
              </c:strCache>
            </c:strRef>
          </c:cat>
          <c:val>
            <c:numRef>
              <c:f>股权价值增加表!$P$70</c:f>
              <c:numCache>
                <c:formatCode>General</c:formatCode>
                <c:ptCount val="1"/>
                <c:pt idx="0">
                  <c:v>62209713.140000001</c:v>
                </c:pt>
              </c:numCache>
            </c:numRef>
          </c:val>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0</c:v>
                </c:pt>
              </c:numCache>
            </c:numRef>
          </c:val>
        </c:ser>
        <c:ser>
          <c:idx val="16"/>
          <c:order val="16"/>
          <c:invertIfNegative val="0"/>
          <c:cat>
            <c:strRef>
              <c:f>股权价值增加表!$A$70</c:f>
              <c:strCache>
                <c:ptCount val="1"/>
                <c:pt idx="0">
                  <c:v>所有者权益</c:v>
                </c:pt>
              </c:strCache>
            </c:strRef>
          </c:cat>
          <c:val>
            <c:numRef>
              <c:f>股权价值增加表!$R$70</c:f>
              <c:numCache>
                <c:formatCode>General</c:formatCode>
                <c:ptCount val="1"/>
              </c:numCache>
            </c:numRef>
          </c:val>
        </c:ser>
        <c:ser>
          <c:idx val="17"/>
          <c:order val="17"/>
          <c:invertIfNegative val="0"/>
          <c:cat>
            <c:strRef>
              <c:f>股权价值增加表!$A$70</c:f>
              <c:strCache>
                <c:ptCount val="1"/>
                <c:pt idx="0">
                  <c:v>所有者权益</c:v>
                </c:pt>
              </c:strCache>
            </c:strRef>
          </c:cat>
          <c:val>
            <c:numRef>
              <c:f>股权价值增加表!$S$70</c:f>
            </c:numRef>
          </c:val>
        </c:ser>
        <c:ser>
          <c:idx val="18"/>
          <c:order val="18"/>
          <c:invertIfNegative val="0"/>
          <c:cat>
            <c:strRef>
              <c:f>股权价值增加表!$A$70</c:f>
              <c:strCache>
                <c:ptCount val="1"/>
                <c:pt idx="0">
                  <c:v>所有者权益</c:v>
                </c:pt>
              </c:strCache>
            </c:strRef>
          </c:cat>
          <c:val>
            <c:numRef>
              <c:f>股权价值增加表!$T$70</c:f>
              <c:numCache>
                <c:formatCode>General</c:formatCode>
                <c:ptCount val="1"/>
                <c:pt idx="0">
                  <c:v>3233054321.5300002</c:v>
                </c:pt>
              </c:numCache>
            </c:numRef>
          </c:val>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3182351109.5500002</c:v>
                </c:pt>
              </c:numCache>
            </c:numRef>
          </c:val>
        </c:ser>
        <c:ser>
          <c:idx val="20"/>
          <c:order val="20"/>
          <c:invertIfNegative val="0"/>
          <c:cat>
            <c:strRef>
              <c:f>股权价值增加表!$A$70</c:f>
              <c:strCache>
                <c:ptCount val="1"/>
                <c:pt idx="0">
                  <c:v>所有者权益</c:v>
                </c:pt>
              </c:strCache>
            </c:strRef>
          </c:cat>
          <c:val>
            <c:numRef>
              <c:f>股权价值增加表!$V$70</c:f>
              <c:numCache>
                <c:formatCode>General</c:formatCode>
                <c:ptCount val="1"/>
                <c:pt idx="0">
                  <c:v>3123425916.3600001</c:v>
                </c:pt>
              </c:numCache>
            </c:numRef>
          </c:val>
        </c:ser>
        <c:ser>
          <c:idx val="21"/>
          <c:order val="21"/>
          <c:invertIfNegative val="0"/>
          <c:cat>
            <c:strRef>
              <c:f>股权价值增加表!$A$70</c:f>
              <c:strCache>
                <c:ptCount val="1"/>
                <c:pt idx="0">
                  <c:v>所有者权益</c:v>
                </c:pt>
              </c:strCache>
            </c:strRef>
          </c:cat>
          <c:val>
            <c:numRef>
              <c:f>股权价值增加表!$W$70</c:f>
              <c:numCache>
                <c:formatCode>General</c:formatCode>
                <c:ptCount val="1"/>
                <c:pt idx="0">
                  <c:v>3008332106.3800001</c:v>
                </c:pt>
              </c:numCache>
            </c:numRef>
          </c:val>
        </c:ser>
        <c:ser>
          <c:idx val="22"/>
          <c:order val="22"/>
          <c:invertIfNegative val="0"/>
          <c:cat>
            <c:strRef>
              <c:f>股权价值增加表!$A$70</c:f>
              <c:strCache>
                <c:ptCount val="1"/>
                <c:pt idx="0">
                  <c:v>所有者权益</c:v>
                </c:pt>
              </c:strCache>
            </c:strRef>
          </c:cat>
          <c:val>
            <c:numRef>
              <c:f>股权价值增加表!$X$70</c:f>
              <c:numCache>
                <c:formatCode>General</c:formatCode>
                <c:ptCount val="1"/>
                <c:pt idx="0">
                  <c:v>2979772636.0700002</c:v>
                </c:pt>
              </c:numCache>
            </c:numRef>
          </c:val>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2932489543.6700001</c:v>
                </c:pt>
              </c:numCache>
            </c:numRef>
          </c:val>
        </c:ser>
        <c:dLbls>
          <c:showLegendKey val="0"/>
          <c:showVal val="0"/>
          <c:showCatName val="0"/>
          <c:showSerName val="0"/>
          <c:showPercent val="0"/>
          <c:showBubbleSize val="0"/>
        </c:dLbls>
        <c:gapWidth val="150"/>
        <c:axId val="224650752"/>
        <c:axId val="224545024"/>
      </c:barChart>
      <c:catAx>
        <c:axId val="224650752"/>
        <c:scaling>
          <c:orientation val="minMax"/>
        </c:scaling>
        <c:delete val="0"/>
        <c:axPos val="b"/>
        <c:majorTickMark val="out"/>
        <c:minorTickMark val="none"/>
        <c:tickLblPos val="nextTo"/>
        <c:crossAx val="224545024"/>
        <c:crosses val="autoZero"/>
        <c:auto val="1"/>
        <c:lblAlgn val="ctr"/>
        <c:lblOffset val="100"/>
        <c:noMultiLvlLbl val="0"/>
      </c:catAx>
      <c:valAx>
        <c:axId val="224545024"/>
        <c:scaling>
          <c:orientation val="minMax"/>
        </c:scaling>
        <c:delete val="0"/>
        <c:axPos val="l"/>
        <c:majorGridlines/>
        <c:numFmt formatCode="General" sourceLinked="1"/>
        <c:majorTickMark val="out"/>
        <c:minorTickMark val="none"/>
        <c:tickLblPos val="nextTo"/>
        <c:crossAx val="2246507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8.740419013459616E-2"/>
          <c:y val="0.3901798201012201"/>
          <c:w val="0.53964207321059954"/>
          <c:h val="0.43463425236576925"/>
        </c:manualLayout>
      </c:layout>
      <c:lineChart>
        <c:grouping val="stacked"/>
        <c:varyColors val="0"/>
        <c:ser>
          <c:idx val="0"/>
          <c:order val="0"/>
          <c:tx>
            <c:strRef>
              <c:f>投资和筹资活动现金流表!$A$13</c:f>
              <c:strCache>
                <c:ptCount val="1"/>
                <c:pt idx="0">
                  <c:v>(11)长期资产扩张性资本支出比例%=9/10*100%</c:v>
                </c:pt>
              </c:strCache>
            </c:strRef>
          </c:tx>
          <c:val>
            <c:numRef>
              <c:f>投资和筹资活动现金流表!$B$13:$U$13</c:f>
              <c:numCache>
                <c:formatCode>0.00%</c:formatCode>
                <c:ptCount val="8"/>
                <c:pt idx="0">
                  <c:v>0.14738207871130743</c:v>
                </c:pt>
                <c:pt idx="1">
                  <c:v>0.90579157444484515</c:v>
                </c:pt>
                <c:pt idx="2">
                  <c:v>0</c:v>
                </c:pt>
                <c:pt idx="3">
                  <c:v>0</c:v>
                </c:pt>
                <c:pt idx="4">
                  <c:v>6.2212977568986503E-3</c:v>
                </c:pt>
                <c:pt idx="5">
                  <c:v>6.1563410449056201E-3</c:v>
                </c:pt>
                <c:pt idx="6">
                  <c:v>1.6692048871277418E-3</c:v>
                </c:pt>
                <c:pt idx="7">
                  <c:v>0.28880269641448825</c:v>
                </c:pt>
              </c:numCache>
            </c:numRef>
          </c:val>
          <c:smooth val="0"/>
        </c:ser>
        <c:dLbls>
          <c:showLegendKey val="0"/>
          <c:showVal val="0"/>
          <c:showCatName val="0"/>
          <c:showSerName val="0"/>
          <c:showPercent val="0"/>
          <c:showBubbleSize val="0"/>
        </c:dLbls>
        <c:marker val="1"/>
        <c:smooth val="0"/>
        <c:axId val="222785536"/>
        <c:axId val="224548480"/>
      </c:lineChart>
      <c:catAx>
        <c:axId val="222785536"/>
        <c:scaling>
          <c:orientation val="minMax"/>
        </c:scaling>
        <c:delete val="0"/>
        <c:axPos val="b"/>
        <c:majorTickMark val="out"/>
        <c:minorTickMark val="none"/>
        <c:tickLblPos val="nextTo"/>
        <c:crossAx val="224548480"/>
        <c:crosses val="autoZero"/>
        <c:auto val="1"/>
        <c:lblAlgn val="ctr"/>
        <c:lblOffset val="100"/>
        <c:noMultiLvlLbl val="0"/>
      </c:catAx>
      <c:valAx>
        <c:axId val="224548480"/>
        <c:scaling>
          <c:orientation val="minMax"/>
        </c:scaling>
        <c:delete val="0"/>
        <c:axPos val="l"/>
        <c:majorGridlines/>
        <c:numFmt formatCode="0.00%" sourceLinked="1"/>
        <c:majorTickMark val="out"/>
        <c:minorTickMark val="none"/>
        <c:tickLblPos val="nextTo"/>
        <c:crossAx val="2227855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c:formatCode>
                <c:ptCount val="9"/>
                <c:pt idx="0">
                  <c:v>2.130020384321051</c:v>
                </c:pt>
                <c:pt idx="1">
                  <c:v>2.0156005317721628</c:v>
                </c:pt>
                <c:pt idx="2">
                  <c:v>1.1634927085764943</c:v>
                </c:pt>
                <c:pt idx="3">
                  <c:v>13.004686565695431</c:v>
                </c:pt>
                <c:pt idx="4">
                  <c:v>3.0074495364463969</c:v>
                </c:pt>
                <c:pt idx="5">
                  <c:v>5.1013042685505914</c:v>
                </c:pt>
                <c:pt idx="6">
                  <c:v>1.5006991141617287</c:v>
                </c:pt>
                <c:pt idx="7">
                  <c:v>0.71231284409160012</c:v>
                </c:pt>
                <c:pt idx="8">
                  <c:v>0.58209126366438357</c:v>
                </c:pt>
              </c:numCache>
            </c:numRef>
          </c:val>
          <c:smooth val="0"/>
        </c:ser>
        <c:dLbls>
          <c:showLegendKey val="0"/>
          <c:showVal val="0"/>
          <c:showCatName val="0"/>
          <c:showSerName val="0"/>
          <c:showPercent val="0"/>
          <c:showBubbleSize val="0"/>
        </c:dLbls>
        <c:marker val="1"/>
        <c:smooth val="0"/>
        <c:axId val="219996672"/>
        <c:axId val="224550208"/>
      </c:lineChart>
      <c:catAx>
        <c:axId val="219996672"/>
        <c:scaling>
          <c:orientation val="minMax"/>
        </c:scaling>
        <c:delete val="0"/>
        <c:axPos val="b"/>
        <c:majorTickMark val="out"/>
        <c:minorTickMark val="none"/>
        <c:tickLblPos val="nextTo"/>
        <c:crossAx val="224550208"/>
        <c:crosses val="autoZero"/>
        <c:auto val="1"/>
        <c:lblAlgn val="ctr"/>
        <c:lblOffset val="100"/>
        <c:noMultiLvlLbl val="0"/>
      </c:catAx>
      <c:valAx>
        <c:axId val="224550208"/>
        <c:scaling>
          <c:orientation val="minMax"/>
        </c:scaling>
        <c:delete val="0"/>
        <c:axPos val="l"/>
        <c:majorGridlines/>
        <c:numFmt formatCode="0.00%" sourceLinked="1"/>
        <c:majorTickMark val="out"/>
        <c:minorTickMark val="none"/>
        <c:tickLblPos val="nextTo"/>
        <c:crossAx val="21999667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9"/>
                <c:pt idx="0">
                  <c:v>22695519.990000002</c:v>
                </c:pt>
                <c:pt idx="1">
                  <c:v>33328010.07</c:v>
                </c:pt>
                <c:pt idx="2">
                  <c:v>46721188.219999999</c:v>
                </c:pt>
                <c:pt idx="3">
                  <c:v>5066151.1100000003</c:v>
                </c:pt>
                <c:pt idx="4">
                  <c:v>16717932.84</c:v>
                </c:pt>
                <c:pt idx="5">
                  <c:v>14363942.91</c:v>
                </c:pt>
                <c:pt idx="6">
                  <c:v>3457449.21</c:v>
                </c:pt>
                <c:pt idx="7">
                  <c:v>602750132.04000008</c:v>
                </c:pt>
                <c:pt idx="8">
                  <c:v>503534216.37</c:v>
                </c:pt>
              </c:numCache>
            </c:numRef>
          </c:val>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9"/>
                <c:pt idx="0">
                  <c:v>18353956.120000001</c:v>
                </c:pt>
                <c:pt idx="1">
                  <c:v>0</c:v>
                </c:pt>
                <c:pt idx="2">
                  <c:v>0</c:v>
                </c:pt>
                <c:pt idx="3">
                  <c:v>0</c:v>
                </c:pt>
                <c:pt idx="4">
                  <c:v>0</c:v>
                </c:pt>
                <c:pt idx="5">
                  <c:v>0</c:v>
                </c:pt>
                <c:pt idx="6">
                  <c:v>8000000</c:v>
                </c:pt>
                <c:pt idx="7">
                  <c:v>0</c:v>
                </c:pt>
                <c:pt idx="8">
                  <c:v>176000000</c:v>
                </c:pt>
              </c:numCache>
            </c:numRef>
          </c:val>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9"/>
                <c:pt idx="0">
                  <c:v>87436220.879999995</c:v>
                </c:pt>
                <c:pt idx="1">
                  <c:v>67175954.819999993</c:v>
                </c:pt>
                <c:pt idx="2">
                  <c:v>54359761.829999998</c:v>
                </c:pt>
                <c:pt idx="3">
                  <c:v>65883707.280000001</c:v>
                </c:pt>
                <c:pt idx="4">
                  <c:v>50278339.369999997</c:v>
                </c:pt>
                <c:pt idx="5">
                  <c:v>73274843.280000001</c:v>
                </c:pt>
                <c:pt idx="6">
                  <c:v>17194183.879999999</c:v>
                </c:pt>
                <c:pt idx="7">
                  <c:v>429346660.82999998</c:v>
                </c:pt>
                <c:pt idx="8">
                  <c:v>395550930.70999998</c:v>
                </c:pt>
              </c:numCache>
            </c:numRef>
          </c:val>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9"/>
                <c:pt idx="0">
                  <c:v>-12924000</c:v>
                </c:pt>
                <c:pt idx="1">
                  <c:v>280858670.66000003</c:v>
                </c:pt>
                <c:pt idx="2">
                  <c:v>-29590000</c:v>
                </c:pt>
                <c:pt idx="3">
                  <c:v>-30128000</c:v>
                </c:pt>
                <c:pt idx="4">
                  <c:v>-16140000</c:v>
                </c:pt>
                <c:pt idx="5">
                  <c:v>-27200039.809999999</c:v>
                </c:pt>
                <c:pt idx="6">
                  <c:v>-1103105.19</c:v>
                </c:pt>
                <c:pt idx="7">
                  <c:v>-106203649.98999999</c:v>
                </c:pt>
                <c:pt idx="8">
                  <c:v>-247406413.22</c:v>
                </c:pt>
              </c:numCache>
            </c:numRef>
          </c:val>
        </c:ser>
        <c:dLbls>
          <c:showLegendKey val="0"/>
          <c:showVal val="0"/>
          <c:showCatName val="0"/>
          <c:showSerName val="0"/>
          <c:showPercent val="0"/>
          <c:showBubbleSize val="0"/>
        </c:dLbls>
        <c:gapWidth val="150"/>
        <c:axId val="222786560"/>
        <c:axId val="222692480"/>
      </c:barChart>
      <c:catAx>
        <c:axId val="222786560"/>
        <c:scaling>
          <c:orientation val="minMax"/>
        </c:scaling>
        <c:delete val="0"/>
        <c:axPos val="b"/>
        <c:majorTickMark val="none"/>
        <c:minorTickMark val="none"/>
        <c:tickLblPos val="nextTo"/>
        <c:crossAx val="222692480"/>
        <c:crosses val="autoZero"/>
        <c:auto val="1"/>
        <c:lblAlgn val="ctr"/>
        <c:lblOffset val="100"/>
        <c:noMultiLvlLbl val="0"/>
      </c:catAx>
      <c:valAx>
        <c:axId val="222692480"/>
        <c:scaling>
          <c:orientation val="minMax"/>
        </c:scaling>
        <c:delete val="0"/>
        <c:axPos val="l"/>
        <c:majorGridlines/>
        <c:numFmt formatCode="#,##0.00_ " sourceLinked="1"/>
        <c:majorTickMark val="none"/>
        <c:minorTickMark val="none"/>
        <c:tickLblPos val="nextTo"/>
        <c:crossAx val="222786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9"/>
                <c:pt idx="0">
                  <c:v>-12924000</c:v>
                </c:pt>
                <c:pt idx="1">
                  <c:v>290080000</c:v>
                </c:pt>
                <c:pt idx="2">
                  <c:v>0</c:v>
                </c:pt>
                <c:pt idx="3">
                  <c:v>0</c:v>
                </c:pt>
                <c:pt idx="4">
                  <c:v>0</c:v>
                </c:pt>
                <c:pt idx="5">
                  <c:v>0</c:v>
                </c:pt>
                <c:pt idx="6">
                  <c:v>12030900</c:v>
                </c:pt>
                <c:pt idx="7">
                  <c:v>20933950</c:v>
                </c:pt>
                <c:pt idx="8">
                  <c:v>0</c:v>
                </c:pt>
              </c:numCache>
            </c:numRef>
          </c:val>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9"/>
                <c:pt idx="0">
                  <c:v>0</c:v>
                </c:pt>
                <c:pt idx="1">
                  <c:v>0</c:v>
                </c:pt>
                <c:pt idx="2">
                  <c:v>0</c:v>
                </c:pt>
                <c:pt idx="3">
                  <c:v>0</c:v>
                </c:pt>
                <c:pt idx="4">
                  <c:v>0</c:v>
                </c:pt>
                <c:pt idx="5">
                  <c:v>0</c:v>
                </c:pt>
                <c:pt idx="6">
                  <c:v>-15000000</c:v>
                </c:pt>
                <c:pt idx="7">
                  <c:v>-40082133.729999997</c:v>
                </c:pt>
                <c:pt idx="8">
                  <c:v>-159664267.03</c:v>
                </c:pt>
              </c:numCache>
            </c:numRef>
          </c:val>
        </c:ser>
        <c:dLbls>
          <c:showLegendKey val="0"/>
          <c:showVal val="0"/>
          <c:showCatName val="0"/>
          <c:showSerName val="0"/>
          <c:showPercent val="0"/>
          <c:showBubbleSize val="0"/>
        </c:dLbls>
        <c:gapWidth val="150"/>
        <c:axId val="222787072"/>
        <c:axId val="222694784"/>
      </c:barChart>
      <c:catAx>
        <c:axId val="222787072"/>
        <c:scaling>
          <c:orientation val="minMax"/>
        </c:scaling>
        <c:delete val="0"/>
        <c:axPos val="b"/>
        <c:majorTickMark val="out"/>
        <c:minorTickMark val="none"/>
        <c:tickLblPos val="nextTo"/>
        <c:crossAx val="222694784"/>
        <c:crosses val="autoZero"/>
        <c:auto val="1"/>
        <c:lblAlgn val="ctr"/>
        <c:lblOffset val="100"/>
        <c:noMultiLvlLbl val="0"/>
      </c:catAx>
      <c:valAx>
        <c:axId val="222694784"/>
        <c:scaling>
          <c:orientation val="minMax"/>
        </c:scaling>
        <c:delete val="0"/>
        <c:axPos val="l"/>
        <c:majorGridlines/>
        <c:numFmt formatCode="#,##0.00_ " sourceLinked="1"/>
        <c:majorTickMark val="out"/>
        <c:minorTickMark val="none"/>
        <c:tickLblPos val="nextTo"/>
        <c:crossAx val="222787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9"/>
                <c:pt idx="0">
                  <c:v>0</c:v>
                </c:pt>
                <c:pt idx="1">
                  <c:v>0</c:v>
                </c:pt>
                <c:pt idx="2">
                  <c:v>0</c:v>
                </c:pt>
                <c:pt idx="3">
                  <c:v>0</c:v>
                </c:pt>
                <c:pt idx="4">
                  <c:v>0</c:v>
                </c:pt>
                <c:pt idx="5">
                  <c:v>0</c:v>
                </c:pt>
                <c:pt idx="6">
                  <c:v>0</c:v>
                </c:pt>
                <c:pt idx="7">
                  <c:v>0</c:v>
                </c:pt>
                <c:pt idx="8">
                  <c:v>0</c:v>
                </c:pt>
              </c:numCache>
            </c:numRef>
          </c:val>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9"/>
                <c:pt idx="0">
                  <c:v>0</c:v>
                </c:pt>
                <c:pt idx="1">
                  <c:v>0</c:v>
                </c:pt>
                <c:pt idx="2">
                  <c:v>0</c:v>
                </c:pt>
                <c:pt idx="3">
                  <c:v>0</c:v>
                </c:pt>
                <c:pt idx="4">
                  <c:v>0</c:v>
                </c:pt>
                <c:pt idx="5">
                  <c:v>0</c:v>
                </c:pt>
                <c:pt idx="6">
                  <c:v>0</c:v>
                </c:pt>
                <c:pt idx="7">
                  <c:v>0</c:v>
                </c:pt>
                <c:pt idx="8">
                  <c:v>0</c:v>
                </c:pt>
              </c:numCache>
            </c:numRef>
          </c:val>
        </c:ser>
        <c:dLbls>
          <c:showLegendKey val="0"/>
          <c:showVal val="0"/>
          <c:showCatName val="0"/>
          <c:showSerName val="0"/>
          <c:showPercent val="0"/>
          <c:showBubbleSize val="0"/>
        </c:dLbls>
        <c:gapWidth val="150"/>
        <c:axId val="222787584"/>
        <c:axId val="222696512"/>
      </c:barChart>
      <c:catAx>
        <c:axId val="222787584"/>
        <c:scaling>
          <c:orientation val="minMax"/>
        </c:scaling>
        <c:delete val="0"/>
        <c:axPos val="b"/>
        <c:majorTickMark val="out"/>
        <c:minorTickMark val="none"/>
        <c:tickLblPos val="nextTo"/>
        <c:crossAx val="222696512"/>
        <c:crosses val="autoZero"/>
        <c:auto val="1"/>
        <c:lblAlgn val="ctr"/>
        <c:lblOffset val="100"/>
        <c:noMultiLvlLbl val="0"/>
      </c:catAx>
      <c:valAx>
        <c:axId val="222696512"/>
        <c:scaling>
          <c:orientation val="minMax"/>
        </c:scaling>
        <c:delete val="0"/>
        <c:axPos val="l"/>
        <c:majorGridlines/>
        <c:numFmt formatCode="General" sourceLinked="1"/>
        <c:majorTickMark val="out"/>
        <c:minorTickMark val="none"/>
        <c:tickLblPos val="nextTo"/>
        <c:crossAx val="2227875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9"/>
                <c:pt idx="0">
                  <c:v>0</c:v>
                </c:pt>
                <c:pt idx="1">
                  <c:v>0</c:v>
                </c:pt>
                <c:pt idx="2">
                  <c:v>0</c:v>
                </c:pt>
                <c:pt idx="3">
                  <c:v>0</c:v>
                </c:pt>
                <c:pt idx="4">
                  <c:v>0</c:v>
                </c:pt>
                <c:pt idx="5">
                  <c:v>0</c:v>
                </c:pt>
                <c:pt idx="6">
                  <c:v>0</c:v>
                </c:pt>
                <c:pt idx="7">
                  <c:v>0</c:v>
                </c:pt>
                <c:pt idx="8">
                  <c:v>0</c:v>
                </c:pt>
              </c:numCache>
            </c:numRef>
          </c:val>
        </c:ser>
        <c:dLbls>
          <c:showLegendKey val="0"/>
          <c:showVal val="0"/>
          <c:showCatName val="0"/>
          <c:showSerName val="0"/>
          <c:showPercent val="0"/>
          <c:showBubbleSize val="0"/>
        </c:dLbls>
        <c:gapWidth val="150"/>
        <c:axId val="222788096"/>
        <c:axId val="222698240"/>
      </c:barChart>
      <c:catAx>
        <c:axId val="222788096"/>
        <c:scaling>
          <c:orientation val="minMax"/>
        </c:scaling>
        <c:delete val="0"/>
        <c:axPos val="b"/>
        <c:majorTickMark val="out"/>
        <c:minorTickMark val="none"/>
        <c:tickLblPos val="nextTo"/>
        <c:crossAx val="222698240"/>
        <c:crosses val="autoZero"/>
        <c:auto val="1"/>
        <c:lblAlgn val="ctr"/>
        <c:lblOffset val="100"/>
        <c:noMultiLvlLbl val="0"/>
      </c:catAx>
      <c:valAx>
        <c:axId val="222698240"/>
        <c:scaling>
          <c:orientation val="minMax"/>
        </c:scaling>
        <c:delete val="0"/>
        <c:axPos val="l"/>
        <c:majorGridlines/>
        <c:numFmt formatCode="#,##0.00_ " sourceLinked="1"/>
        <c:majorTickMark val="out"/>
        <c:minorTickMark val="none"/>
        <c:tickLblPos val="nextTo"/>
        <c:crossAx val="2227880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1"/>
          <c:order val="0"/>
          <c:tx>
            <c:strRef>
              <c:f>平均资本成本表!$A$6</c:f>
              <c:strCache>
                <c:ptCount val="1"/>
                <c:pt idx="0">
                  <c:v>企业实际所得税税率%</c:v>
                </c:pt>
              </c:strCache>
            </c:strRef>
          </c:tx>
          <c:val>
            <c:numRef>
              <c:f>平均资本成本表!$B$6:$Y$6</c:f>
              <c:numCache>
                <c:formatCode>0.00%</c:formatCode>
                <c:ptCount val="9"/>
                <c:pt idx="0">
                  <c:v>0.1215755646807445</c:v>
                </c:pt>
                <c:pt idx="1">
                  <c:v>5.4815463492126841E-2</c:v>
                </c:pt>
                <c:pt idx="2">
                  <c:v>0.10937606170870257</c:v>
                </c:pt>
                <c:pt idx="3">
                  <c:v>0.12390382585584847</c:v>
                </c:pt>
                <c:pt idx="4">
                  <c:v>0.11725863920926931</c:v>
                </c:pt>
                <c:pt idx="5">
                  <c:v>0.12161341578922481</c:v>
                </c:pt>
                <c:pt idx="6">
                  <c:v>0.12630616472166112</c:v>
                </c:pt>
                <c:pt idx="7">
                  <c:v>4.2741579921680088</c:v>
                </c:pt>
                <c:pt idx="8">
                  <c:v>5.9505360164341328</c:v>
                </c:pt>
              </c:numCache>
            </c:numRef>
          </c:val>
          <c:smooth val="0"/>
        </c:ser>
        <c:ser>
          <c:idx val="2"/>
          <c:order val="1"/>
          <c:tx>
            <c:strRef>
              <c:f>平均资本成本表!$A$7</c:f>
              <c:strCache>
                <c:ptCount val="1"/>
                <c:pt idx="0">
                  <c:v>(4)税后债务资金成本=3*（100%-企业实际所得税税率)</c:v>
                </c:pt>
              </c:strCache>
            </c:strRef>
          </c:tx>
          <c:val>
            <c:numRef>
              <c:f>平均资本成本表!$B$7:$Y$7</c:f>
              <c:numCache>
                <c:formatCode>0.00%</c:formatCode>
                <c:ptCount val="9"/>
                <c:pt idx="0">
                  <c:v>0</c:v>
                </c:pt>
                <c:pt idx="1">
                  <c:v>0</c:v>
                </c:pt>
                <c:pt idx="2">
                  <c:v>0</c:v>
                </c:pt>
                <c:pt idx="3">
                  <c:v>0</c:v>
                </c:pt>
                <c:pt idx="4">
                  <c:v>0</c:v>
                </c:pt>
                <c:pt idx="5">
                  <c:v>0</c:v>
                </c:pt>
                <c:pt idx="6">
                  <c:v>0</c:v>
                </c:pt>
                <c:pt idx="7">
                  <c:v>0</c:v>
                </c:pt>
                <c:pt idx="8">
                  <c:v>0</c:v>
                </c:pt>
              </c:numCache>
            </c:numRef>
          </c:val>
          <c:smooth val="0"/>
        </c:ser>
        <c:ser>
          <c:idx val="4"/>
          <c:order val="2"/>
          <c:tx>
            <c:strRef>
              <c:f>平均资本成本表!$A$9</c:f>
              <c:strCache>
                <c:ptCount val="1"/>
                <c:pt idx="0">
                  <c:v>(6)股权资金成本%，假设为8%</c:v>
                </c:pt>
              </c:strCache>
            </c:strRef>
          </c:tx>
          <c:val>
            <c:numRef>
              <c:f>平均资本成本表!$B$9:$Y$9</c:f>
              <c:numCache>
                <c:formatCode>0.00%</c:formatCode>
                <c:ptCount val="9"/>
                <c:pt idx="0">
                  <c:v>0.08</c:v>
                </c:pt>
                <c:pt idx="1">
                  <c:v>0.08</c:v>
                </c:pt>
                <c:pt idx="2">
                  <c:v>0.08</c:v>
                </c:pt>
                <c:pt idx="3">
                  <c:v>0.08</c:v>
                </c:pt>
                <c:pt idx="4">
                  <c:v>0.08</c:v>
                </c:pt>
                <c:pt idx="5">
                  <c:v>0.08</c:v>
                </c:pt>
                <c:pt idx="6">
                  <c:v>0.08</c:v>
                </c:pt>
                <c:pt idx="7">
                  <c:v>0.08</c:v>
                </c:pt>
                <c:pt idx="8">
                  <c:v>0.08</c:v>
                </c:pt>
              </c:numCache>
            </c:numRef>
          </c:val>
          <c:smooth val="0"/>
        </c:ser>
        <c:ser>
          <c:idx val="6"/>
          <c:order val="3"/>
          <c:tx>
            <c:strRef>
              <c:f>平均资本成本表!$A$11</c:f>
              <c:strCache>
                <c:ptCount val="1"/>
                <c:pt idx="0">
                  <c:v>(8)债务资金比例%=2/7</c:v>
                </c:pt>
              </c:strCache>
            </c:strRef>
          </c:tx>
          <c:val>
            <c:numRef>
              <c:f>平均资本成本表!$B$11:$Y$11</c:f>
              <c:numCache>
                <c:formatCode>0.00%</c:formatCode>
                <c:ptCount val="9"/>
                <c:pt idx="0">
                  <c:v>0</c:v>
                </c:pt>
                <c:pt idx="1">
                  <c:v>0</c:v>
                </c:pt>
                <c:pt idx="2">
                  <c:v>0</c:v>
                </c:pt>
                <c:pt idx="3">
                  <c:v>0</c:v>
                </c:pt>
                <c:pt idx="4">
                  <c:v>0</c:v>
                </c:pt>
                <c:pt idx="5">
                  <c:v>0</c:v>
                </c:pt>
                <c:pt idx="6">
                  <c:v>0</c:v>
                </c:pt>
                <c:pt idx="7">
                  <c:v>0</c:v>
                </c:pt>
                <c:pt idx="8">
                  <c:v>0</c:v>
                </c:pt>
              </c:numCache>
            </c:numRef>
          </c:val>
          <c:smooth val="0"/>
        </c:ser>
        <c:ser>
          <c:idx val="7"/>
          <c:order val="4"/>
          <c:tx>
            <c:strRef>
              <c:f>平均资本成本表!$A$12</c:f>
              <c:strCache>
                <c:ptCount val="1"/>
                <c:pt idx="0">
                  <c:v>(9)股权资金比例%=5/7</c:v>
                </c:pt>
              </c:strCache>
            </c:strRef>
          </c:tx>
          <c:val>
            <c:numRef>
              <c:f>平均资本成本表!$B$12:$Y$12</c:f>
              <c:numCache>
                <c:formatCode>0.00%</c:formatCode>
                <c:ptCount val="9"/>
                <c:pt idx="0">
                  <c:v>1</c:v>
                </c:pt>
                <c:pt idx="1">
                  <c:v>1</c:v>
                </c:pt>
                <c:pt idx="2">
                  <c:v>1</c:v>
                </c:pt>
                <c:pt idx="3">
                  <c:v>0.99999999999999989</c:v>
                </c:pt>
                <c:pt idx="4">
                  <c:v>1</c:v>
                </c:pt>
                <c:pt idx="5">
                  <c:v>0</c:v>
                </c:pt>
                <c:pt idx="6">
                  <c:v>0</c:v>
                </c:pt>
                <c:pt idx="7">
                  <c:v>0</c:v>
                </c:pt>
                <c:pt idx="8">
                  <c:v>0</c:v>
                </c:pt>
              </c:numCache>
            </c:numRef>
          </c:val>
          <c:smooth val="0"/>
        </c:ser>
        <c:ser>
          <c:idx val="8"/>
          <c:order val="5"/>
          <c:tx>
            <c:strRef>
              <c:f>平均资本成本表!$A$13</c:f>
              <c:strCache>
                <c:ptCount val="1"/>
                <c:pt idx="0">
                  <c:v>(10)加权平均资金成本(WACC)%</c:v>
                </c:pt>
              </c:strCache>
            </c:strRef>
          </c:tx>
          <c:val>
            <c:numRef>
              <c:f>平均资本成本表!$B$13:$Y$13</c:f>
              <c:numCache>
                <c:formatCode>0.00%</c:formatCode>
                <c:ptCount val="9"/>
                <c:pt idx="0">
                  <c:v>0.08</c:v>
                </c:pt>
                <c:pt idx="1">
                  <c:v>0.08</c:v>
                </c:pt>
                <c:pt idx="2">
                  <c:v>0.08</c:v>
                </c:pt>
                <c:pt idx="3">
                  <c:v>7.9999999999999988E-2</c:v>
                </c:pt>
                <c:pt idx="4">
                  <c:v>0.08</c:v>
                </c:pt>
                <c:pt idx="5">
                  <c:v>0</c:v>
                </c:pt>
                <c:pt idx="6">
                  <c:v>0</c:v>
                </c:pt>
                <c:pt idx="7">
                  <c:v>0</c:v>
                </c:pt>
                <c:pt idx="8">
                  <c:v>0</c:v>
                </c:pt>
              </c:numCache>
            </c:numRef>
          </c:val>
          <c:smooth val="0"/>
        </c:ser>
        <c:dLbls>
          <c:showLegendKey val="0"/>
          <c:showVal val="0"/>
          <c:showCatName val="0"/>
          <c:showSerName val="0"/>
          <c:showPercent val="0"/>
          <c:showBubbleSize val="0"/>
        </c:dLbls>
        <c:marker val="1"/>
        <c:smooth val="0"/>
        <c:axId val="225387520"/>
        <c:axId val="225182272"/>
      </c:lineChart>
      <c:catAx>
        <c:axId val="225387520"/>
        <c:scaling>
          <c:orientation val="minMax"/>
        </c:scaling>
        <c:delete val="0"/>
        <c:axPos val="b"/>
        <c:majorTickMark val="out"/>
        <c:minorTickMark val="none"/>
        <c:tickLblPos val="nextTo"/>
        <c:crossAx val="225182272"/>
        <c:crosses val="autoZero"/>
        <c:auto val="1"/>
        <c:lblAlgn val="ctr"/>
        <c:lblOffset val="100"/>
        <c:noMultiLvlLbl val="0"/>
      </c:catAx>
      <c:valAx>
        <c:axId val="225182272"/>
        <c:scaling>
          <c:orientation val="minMax"/>
        </c:scaling>
        <c:delete val="0"/>
        <c:axPos val="l"/>
        <c:majorGridlines/>
        <c:numFmt formatCode="0.00%" sourceLinked="1"/>
        <c:majorTickMark val="out"/>
        <c:minorTickMark val="none"/>
        <c:tickLblPos val="nextTo"/>
        <c:crossAx val="22538752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9"/>
                <c:pt idx="0">
                  <c:v>0</c:v>
                </c:pt>
                <c:pt idx="1">
                  <c:v>0</c:v>
                </c:pt>
                <c:pt idx="2">
                  <c:v>0</c:v>
                </c:pt>
                <c:pt idx="3">
                  <c:v>0</c:v>
                </c:pt>
                <c:pt idx="4">
                  <c:v>0</c:v>
                </c:pt>
                <c:pt idx="5">
                  <c:v>0</c:v>
                </c:pt>
                <c:pt idx="6">
                  <c:v>0</c:v>
                </c:pt>
                <c:pt idx="7">
                  <c:v>0</c:v>
                </c:pt>
                <c:pt idx="8">
                  <c:v>0</c:v>
                </c:pt>
              </c:numCache>
            </c:numRef>
          </c:val>
        </c:ser>
        <c:ser>
          <c:idx val="1"/>
          <c:order val="1"/>
          <c:tx>
            <c:strRef>
              <c:f>平均资本成本表!$A$4</c:f>
              <c:strCache>
                <c:ptCount val="1"/>
                <c:pt idx="0">
                  <c:v>(2)有息债务</c:v>
                </c:pt>
              </c:strCache>
            </c:strRef>
          </c:tx>
          <c:invertIfNegative val="0"/>
          <c:val>
            <c:numRef>
              <c:f>平均资本成本表!$B$4:$Y$4</c:f>
              <c:numCache>
                <c:formatCode>#,##0.00_ </c:formatCode>
                <c:ptCount val="9"/>
                <c:pt idx="0">
                  <c:v>0</c:v>
                </c:pt>
                <c:pt idx="1">
                  <c:v>0</c:v>
                </c:pt>
                <c:pt idx="2">
                  <c:v>0</c:v>
                </c:pt>
                <c:pt idx="3">
                  <c:v>0</c:v>
                </c:pt>
                <c:pt idx="4">
                  <c:v>0</c:v>
                </c:pt>
                <c:pt idx="5">
                  <c:v>0</c:v>
                </c:pt>
                <c:pt idx="6">
                  <c:v>0</c:v>
                </c:pt>
                <c:pt idx="7">
                  <c:v>0</c:v>
                </c:pt>
                <c:pt idx="8">
                  <c:v>0</c:v>
                </c:pt>
              </c:numCache>
            </c:numRef>
          </c:val>
        </c:ser>
        <c:ser>
          <c:idx val="5"/>
          <c:order val="2"/>
          <c:tx>
            <c:strRef>
              <c:f>平均资本成本表!$A$8</c:f>
              <c:strCache>
                <c:ptCount val="1"/>
                <c:pt idx="0">
                  <c:v>(5)股东权益</c:v>
                </c:pt>
              </c:strCache>
            </c:strRef>
          </c:tx>
          <c:invertIfNegative val="0"/>
          <c:val>
            <c:numRef>
              <c:f>平均资本成本表!$B$8:$Y$8</c:f>
              <c:numCache>
                <c:formatCode>#,##0.00_ </c:formatCode>
                <c:ptCount val="9"/>
                <c:pt idx="0">
                  <c:v>680780701.52999997</c:v>
                </c:pt>
                <c:pt idx="1">
                  <c:v>582557312.73000002</c:v>
                </c:pt>
                <c:pt idx="2">
                  <c:v>211848320.5</c:v>
                </c:pt>
                <c:pt idx="3">
                  <c:v>105573132.09999999</c:v>
                </c:pt>
                <c:pt idx="4">
                  <c:v>62209713.140000001</c:v>
                </c:pt>
                <c:pt idx="5">
                  <c:v>0</c:v>
                </c:pt>
                <c:pt idx="6">
                  <c:v>3468348851.6599998</c:v>
                </c:pt>
                <c:pt idx="7">
                  <c:v>3182351109.5500002</c:v>
                </c:pt>
                <c:pt idx="8">
                  <c:v>2932489543.6699996</c:v>
                </c:pt>
              </c:numCache>
            </c:numRef>
          </c:val>
        </c:ser>
        <c:ser>
          <c:idx val="7"/>
          <c:order val="3"/>
          <c:tx>
            <c:strRef>
              <c:f>平均资本成本表!$A$10</c:f>
              <c:strCache>
                <c:ptCount val="1"/>
                <c:pt idx="0">
                  <c:v>(7)资本总额</c:v>
                </c:pt>
              </c:strCache>
            </c:strRef>
          </c:tx>
          <c:invertIfNegative val="0"/>
          <c:val>
            <c:numRef>
              <c:f>平均资本成本表!$B$10:$Y$10</c:f>
              <c:numCache>
                <c:formatCode>#,##0.00_ </c:formatCode>
                <c:ptCount val="9"/>
                <c:pt idx="0">
                  <c:v>680780701.52999997</c:v>
                </c:pt>
                <c:pt idx="1">
                  <c:v>582557312.73000002</c:v>
                </c:pt>
                <c:pt idx="2">
                  <c:v>211848320.5</c:v>
                </c:pt>
                <c:pt idx="3">
                  <c:v>105573132.10000001</c:v>
                </c:pt>
                <c:pt idx="4">
                  <c:v>62209713.140000001</c:v>
                </c:pt>
                <c:pt idx="5">
                  <c:v>0</c:v>
                </c:pt>
                <c:pt idx="6">
                  <c:v>0</c:v>
                </c:pt>
                <c:pt idx="7">
                  <c:v>0</c:v>
                </c:pt>
                <c:pt idx="8">
                  <c:v>0</c:v>
                </c:pt>
              </c:numCache>
            </c:numRef>
          </c:val>
        </c:ser>
        <c:dLbls>
          <c:showLegendKey val="0"/>
          <c:showVal val="0"/>
          <c:showCatName val="0"/>
          <c:showSerName val="0"/>
          <c:showPercent val="0"/>
          <c:showBubbleSize val="0"/>
        </c:dLbls>
        <c:gapWidth val="150"/>
        <c:axId val="225165312"/>
        <c:axId val="225184576"/>
      </c:barChart>
      <c:catAx>
        <c:axId val="225165312"/>
        <c:scaling>
          <c:orientation val="minMax"/>
        </c:scaling>
        <c:delete val="0"/>
        <c:axPos val="b"/>
        <c:majorTickMark val="out"/>
        <c:minorTickMark val="none"/>
        <c:tickLblPos val="nextTo"/>
        <c:crossAx val="225184576"/>
        <c:crosses val="autoZero"/>
        <c:auto val="1"/>
        <c:lblAlgn val="ctr"/>
        <c:lblOffset val="100"/>
        <c:noMultiLvlLbl val="0"/>
      </c:catAx>
      <c:valAx>
        <c:axId val="225184576"/>
        <c:scaling>
          <c:orientation val="minMax"/>
        </c:scaling>
        <c:delete val="0"/>
        <c:axPos val="l"/>
        <c:majorGridlines/>
        <c:numFmt formatCode="#,##0.00_ " sourceLinked="1"/>
        <c:majorTickMark val="out"/>
        <c:minorTickMark val="none"/>
        <c:tickLblPos val="nextTo"/>
        <c:crossAx val="22516531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15"/>
                <c:pt idx="0">
                  <c:v>3.0841542589325774</c:v>
                </c:pt>
                <c:pt idx="1">
                  <c:v>-3.9072148299817415E-2</c:v>
                </c:pt>
                <c:pt idx="2">
                  <c:v>2.0017030523168557</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ser>
          <c:idx val="2"/>
          <c:order val="1"/>
          <c:tx>
            <c:strRef>
              <c:f>资产资本结构分析表!$A$27</c:f>
              <c:strCache>
                <c:ptCount val="1"/>
                <c:pt idx="0">
                  <c:v>长期股权投资变化率</c:v>
                </c:pt>
              </c:strCache>
            </c:strRef>
          </c:tx>
          <c:val>
            <c:numRef>
              <c:f>资产资本结构分析表!$B$27:$Y$27</c:f>
              <c:numCache>
                <c:formatCode>0.00%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ser>
          <c:idx val="4"/>
          <c:order val="2"/>
          <c:tx>
            <c:strRef>
              <c:f>资产资本结构分析表!$A$29</c:f>
              <c:strCache>
                <c:ptCount val="1"/>
                <c:pt idx="0">
                  <c:v>营运资本变化率</c:v>
                </c:pt>
              </c:strCache>
            </c:strRef>
          </c:tx>
          <c:val>
            <c:numRef>
              <c:f>资产资本结构分析表!$B$29:$Y$29</c:f>
              <c:numCache>
                <c:formatCode>0.00%</c:formatCode>
                <c:ptCount val="15"/>
                <c:pt idx="0">
                  <c:v>-0.9023455606103451</c:v>
                </c:pt>
                <c:pt idx="1">
                  <c:v>4.8330976459866823</c:v>
                </c:pt>
                <c:pt idx="2">
                  <c:v>0.75584844080285418</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ser>
          <c:idx val="5"/>
          <c:order val="3"/>
          <c:tx>
            <c:strRef>
              <c:f>资产资本结构分析表!$A$30</c:f>
              <c:strCache>
                <c:ptCount val="1"/>
                <c:pt idx="0">
                  <c:v>营运资产变化率</c:v>
                </c:pt>
              </c:strCache>
            </c:strRef>
          </c:tx>
          <c:val>
            <c:numRef>
              <c:f>资产资本结构分析表!$B$30:$Y$30</c:f>
              <c:numCache>
                <c:formatCode>0.00%</c:formatCode>
                <c:ptCount val="15"/>
                <c:pt idx="0">
                  <c:v>-0.73276844842469757</c:v>
                </c:pt>
                <c:pt idx="1">
                  <c:v>3.3190709302438375</c:v>
                </c:pt>
                <c:pt idx="2">
                  <c:v>1.5294308090947968</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ser>
          <c:idx val="6"/>
          <c:order val="4"/>
          <c:tx>
            <c:strRef>
              <c:f>资产资本结构分析表!$A$31</c:f>
              <c:strCache>
                <c:ptCount val="1"/>
                <c:pt idx="0">
                  <c:v>营运负责变化率</c:v>
                </c:pt>
              </c:strCache>
            </c:strRef>
          </c:tx>
          <c:val>
            <c:numRef>
              <c:f>资产资本结构分析表!$B$31:$Y$31</c:f>
              <c:numCache>
                <c:formatCode>0.00%</c:formatCode>
                <c:ptCount val="15"/>
                <c:pt idx="0">
                  <c:v>0.21211868705478709</c:v>
                </c:pt>
                <c:pt idx="1">
                  <c:v>0.76557982218691056</c:v>
                </c:pt>
                <c:pt idx="2">
                  <c:v>3.0018646611503437</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ser>
          <c:idx val="7"/>
          <c:order val="5"/>
          <c:tx>
            <c:strRef>
              <c:f>资产资本结构分析表!$A$32</c:f>
              <c:strCache>
                <c:ptCount val="1"/>
                <c:pt idx="0">
                  <c:v>长期经营资产变化率</c:v>
                </c:pt>
              </c:strCache>
            </c:strRef>
          </c:tx>
          <c:val>
            <c:numRef>
              <c:f>资产资本结构分析表!$B$32:$Y$32</c:f>
              <c:numCache>
                <c:formatCode>0.00%</c:formatCode>
                <c:ptCount val="15"/>
                <c:pt idx="0">
                  <c:v>0.50778203141332379</c:v>
                </c:pt>
                <c:pt idx="1">
                  <c:v>2.545446444253451</c:v>
                </c:pt>
                <c:pt idx="2">
                  <c:v>84.492476767403573</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ser>
          <c:idx val="9"/>
          <c:order val="6"/>
          <c:tx>
            <c:strRef>
              <c:f>资产资本结构分析表!$A$34</c:f>
              <c:strCache>
                <c:ptCount val="1"/>
                <c:pt idx="0">
                  <c:v>短期债务变化率</c:v>
                </c:pt>
              </c:strCache>
            </c:strRef>
          </c:tx>
          <c:val>
            <c:numRef>
              <c:f>资产资本结构分析表!$B$34:$Y$34</c:f>
              <c:numCache>
                <c:formatCode>0.00%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ser>
          <c:idx val="11"/>
          <c:order val="7"/>
          <c:tx>
            <c:strRef>
              <c:f>资产资本结构分析表!$A$36</c:f>
              <c:strCache>
                <c:ptCount val="1"/>
                <c:pt idx="0">
                  <c:v>长期债务变化率</c:v>
                </c:pt>
              </c:strCache>
            </c:strRef>
          </c:tx>
          <c:val>
            <c:numRef>
              <c:f>资产资本结构分析表!$B$36:$Y$36</c:f>
              <c:numCache>
                <c:formatCode>0.00%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dLbls>
          <c:showLegendKey val="0"/>
          <c:showVal val="0"/>
          <c:showCatName val="0"/>
          <c:showSerName val="0"/>
          <c:showPercent val="0"/>
          <c:showBubbleSize val="0"/>
        </c:dLbls>
        <c:marker val="1"/>
        <c:smooth val="0"/>
        <c:axId val="225167360"/>
        <c:axId val="225186880"/>
      </c:lineChart>
      <c:catAx>
        <c:axId val="225167360"/>
        <c:scaling>
          <c:orientation val="minMax"/>
        </c:scaling>
        <c:delete val="0"/>
        <c:axPos val="b"/>
        <c:majorTickMark val="out"/>
        <c:minorTickMark val="none"/>
        <c:tickLblPos val="nextTo"/>
        <c:crossAx val="225186880"/>
        <c:crosses val="autoZero"/>
        <c:auto val="1"/>
        <c:lblAlgn val="ctr"/>
        <c:lblOffset val="100"/>
        <c:noMultiLvlLbl val="0"/>
      </c:catAx>
      <c:valAx>
        <c:axId val="225186880"/>
        <c:scaling>
          <c:orientation val="minMax"/>
        </c:scaling>
        <c:delete val="0"/>
        <c:axPos val="l"/>
        <c:majorGridlines/>
        <c:numFmt formatCode="0.00%" sourceLinked="1"/>
        <c:majorTickMark val="out"/>
        <c:minorTickMark val="none"/>
        <c:tickLblPos val="nextTo"/>
        <c:crossAx val="225167360"/>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15"/>
                <c:pt idx="0">
                  <c:v>0.6795429508655273</c:v>
                </c:pt>
                <c:pt idx="1">
                  <c:v>0.194438988207326</c:v>
                </c:pt>
                <c:pt idx="2">
                  <c:v>0.42123861096966575</c:v>
                </c:pt>
                <c:pt idx="3">
                  <c:v>0.55642444868945751</c:v>
                </c:pt>
                <c:pt idx="4">
                  <c:v>0.51688036315918651</c:v>
                </c:pt>
                <c:pt idx="5">
                  <c:v>0.61925411740247116</c:v>
                </c:pt>
                <c:pt idx="6">
                  <c:v>0.54116526954941691</c:v>
                </c:pt>
                <c:pt idx="7">
                  <c:v>0</c:v>
                </c:pt>
                <c:pt idx="8">
                  <c:v>0</c:v>
                </c:pt>
                <c:pt idx="9">
                  <c:v>0</c:v>
                </c:pt>
                <c:pt idx="10">
                  <c:v>0</c:v>
                </c:pt>
                <c:pt idx="11">
                  <c:v>0</c:v>
                </c:pt>
                <c:pt idx="12">
                  <c:v>0</c:v>
                </c:pt>
                <c:pt idx="13">
                  <c:v>0</c:v>
                </c:pt>
                <c:pt idx="14">
                  <c:v>0</c:v>
                </c:pt>
              </c:numCache>
            </c:numRef>
          </c:val>
          <c:smooth val="0"/>
        </c:ser>
        <c:ser>
          <c:idx val="3"/>
          <c:order val="1"/>
          <c:tx>
            <c:strRef>
              <c:f>资产资本结构分析表!$A$28</c:f>
              <c:strCache>
                <c:ptCount val="1"/>
                <c:pt idx="0">
                  <c:v>长期股权投资占比</c:v>
                </c:pt>
              </c:strCache>
            </c:strRef>
          </c:tx>
          <c:val>
            <c:numRef>
              <c:f>资产资本结构分析表!$B$28:$Y$28</c:f>
              <c:numCache>
                <c:formatCode>0.00%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ser>
          <c:idx val="8"/>
          <c:order val="2"/>
          <c:tx>
            <c:strRef>
              <c:f>资产资本结构分析表!$A$33</c:f>
              <c:strCache>
                <c:ptCount val="1"/>
                <c:pt idx="0">
                  <c:v>长期经营资产占比</c:v>
                </c:pt>
              </c:strCache>
            </c:strRef>
          </c:tx>
          <c:val>
            <c:numRef>
              <c:f>资产资本结构分析表!$B$33:$Y$33</c:f>
              <c:numCache>
                <c:formatCode>0.00%</c:formatCode>
                <c:ptCount val="15"/>
                <c:pt idx="0">
                  <c:v>0.27067103552711369</c:v>
                </c:pt>
                <c:pt idx="1">
                  <c:v>0.20978372800315631</c:v>
                </c:pt>
                <c:pt idx="2">
                  <c:v>0.37759951797503011</c:v>
                </c:pt>
                <c:pt idx="3">
                  <c:v>0.16271009634933595</c:v>
                </c:pt>
                <c:pt idx="4">
                  <c:v>0.18903692398704308</c:v>
                </c:pt>
                <c:pt idx="5">
                  <c:v>0.15132040304409985</c:v>
                </c:pt>
                <c:pt idx="6">
                  <c:v>1.7032288472629342E-2</c:v>
                </c:pt>
                <c:pt idx="7">
                  <c:v>0</c:v>
                </c:pt>
                <c:pt idx="8">
                  <c:v>0</c:v>
                </c:pt>
                <c:pt idx="9">
                  <c:v>0</c:v>
                </c:pt>
                <c:pt idx="10">
                  <c:v>0</c:v>
                </c:pt>
                <c:pt idx="11">
                  <c:v>0</c:v>
                </c:pt>
                <c:pt idx="12">
                  <c:v>0</c:v>
                </c:pt>
                <c:pt idx="13">
                  <c:v>0</c:v>
                </c:pt>
                <c:pt idx="14">
                  <c:v>0</c:v>
                </c:pt>
              </c:numCache>
            </c:numRef>
          </c:val>
          <c:smooth val="0"/>
        </c:ser>
        <c:ser>
          <c:idx val="10"/>
          <c:order val="3"/>
          <c:tx>
            <c:strRef>
              <c:f>资产资本结构分析表!$A$35</c:f>
              <c:strCache>
                <c:ptCount val="1"/>
                <c:pt idx="0">
                  <c:v>短期债务占比</c:v>
                </c:pt>
              </c:strCache>
            </c:strRef>
          </c:tx>
          <c:val>
            <c:numRef>
              <c:f>资产资本结构分析表!$B$35:$Y$35</c:f>
              <c:numCache>
                <c:formatCode>0.00%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ser>
          <c:idx val="12"/>
          <c:order val="4"/>
          <c:tx>
            <c:strRef>
              <c:f>资产资本结构分析表!$A$37</c:f>
              <c:strCache>
                <c:ptCount val="1"/>
                <c:pt idx="0">
                  <c:v>长期债务占比</c:v>
                </c:pt>
              </c:strCache>
            </c:strRef>
          </c:tx>
          <c:val>
            <c:numRef>
              <c:f>资产资本结构分析表!$B$37:$Y$37</c:f>
              <c:numCache>
                <c:formatCode>0.00%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dLbls>
          <c:showLegendKey val="0"/>
          <c:showVal val="0"/>
          <c:showCatName val="0"/>
          <c:showSerName val="0"/>
          <c:showPercent val="0"/>
          <c:showBubbleSize val="0"/>
        </c:dLbls>
        <c:marker val="1"/>
        <c:smooth val="0"/>
        <c:axId val="225168384"/>
        <c:axId val="225189184"/>
      </c:lineChart>
      <c:catAx>
        <c:axId val="225168384"/>
        <c:scaling>
          <c:orientation val="minMax"/>
        </c:scaling>
        <c:delete val="0"/>
        <c:axPos val="b"/>
        <c:majorTickMark val="out"/>
        <c:minorTickMark val="none"/>
        <c:tickLblPos val="nextTo"/>
        <c:crossAx val="225189184"/>
        <c:crosses val="autoZero"/>
        <c:auto val="1"/>
        <c:lblAlgn val="ctr"/>
        <c:lblOffset val="100"/>
        <c:noMultiLvlLbl val="0"/>
      </c:catAx>
      <c:valAx>
        <c:axId val="225189184"/>
        <c:scaling>
          <c:orientation val="minMax"/>
        </c:scaling>
        <c:delete val="0"/>
        <c:axPos val="l"/>
        <c:majorGridlines/>
        <c:numFmt formatCode="0.00%" sourceLinked="1"/>
        <c:majorTickMark val="out"/>
        <c:minorTickMark val="none"/>
        <c:tickLblPos val="nextTo"/>
        <c:crossAx val="22516838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15"/>
                <c:pt idx="0">
                  <c:v>14.649274196259055</c:v>
                </c:pt>
                <c:pt idx="1">
                  <c:v>1.3263618696076693</c:v>
                </c:pt>
                <c:pt idx="2">
                  <c:v>3.0940281016468454</c:v>
                </c:pt>
                <c:pt idx="3">
                  <c:v>2.9811067500854156</c:v>
                </c:pt>
                <c:pt idx="4">
                  <c:v>2.7576019961982596</c:v>
                </c:pt>
                <c:pt idx="5">
                  <c:v>3.6991514569690955</c:v>
                </c:pt>
                <c:pt idx="6">
                  <c:v>2.2249033009564516</c:v>
                </c:pt>
                <c:pt idx="7">
                  <c:v>0</c:v>
                </c:pt>
                <c:pt idx="8">
                  <c:v>0</c:v>
                </c:pt>
                <c:pt idx="9">
                  <c:v>0</c:v>
                </c:pt>
                <c:pt idx="10">
                  <c:v>0</c:v>
                </c:pt>
                <c:pt idx="11">
                  <c:v>0</c:v>
                </c:pt>
                <c:pt idx="12">
                  <c:v>0</c:v>
                </c:pt>
                <c:pt idx="13">
                  <c:v>0</c:v>
                </c:pt>
                <c:pt idx="14">
                  <c:v>0</c:v>
                </c:pt>
              </c:numCache>
            </c:numRef>
          </c:val>
          <c:smooth val="0"/>
        </c:ser>
        <c:dLbls>
          <c:showLegendKey val="0"/>
          <c:showVal val="0"/>
          <c:showCatName val="0"/>
          <c:showSerName val="0"/>
          <c:showPercent val="0"/>
          <c:showBubbleSize val="0"/>
        </c:dLbls>
        <c:marker val="1"/>
        <c:smooth val="0"/>
        <c:axId val="225168896"/>
        <c:axId val="225470144"/>
      </c:lineChart>
      <c:catAx>
        <c:axId val="225168896"/>
        <c:scaling>
          <c:orientation val="minMax"/>
        </c:scaling>
        <c:delete val="0"/>
        <c:axPos val="b"/>
        <c:majorTickMark val="out"/>
        <c:minorTickMark val="none"/>
        <c:tickLblPos val="nextTo"/>
        <c:crossAx val="225470144"/>
        <c:crosses val="autoZero"/>
        <c:auto val="1"/>
        <c:lblAlgn val="ctr"/>
        <c:lblOffset val="100"/>
        <c:noMultiLvlLbl val="0"/>
      </c:catAx>
      <c:valAx>
        <c:axId val="225470144"/>
        <c:scaling>
          <c:orientation val="minMax"/>
        </c:scaling>
        <c:delete val="0"/>
        <c:axPos val="l"/>
        <c:majorGridlines/>
        <c:numFmt formatCode="0.00%" sourceLinked="1"/>
        <c:majorTickMark val="out"/>
        <c:minorTickMark val="none"/>
        <c:tickLblPos val="nextTo"/>
        <c:crossAx val="22516889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15"/>
                <c:pt idx="0">
                  <c:v>462619726.81</c:v>
                </c:pt>
                <c:pt idx="1">
                  <c:v>113271854.45999999</c:v>
                </c:pt>
                <c:pt idx="2">
                  <c:v>101054543.05</c:v>
                </c:pt>
                <c:pt idx="3">
                  <c:v>117877584.94</c:v>
                </c:pt>
                <c:pt idx="4">
                  <c:v>87797003.269999996</c:v>
                </c:pt>
                <c:pt idx="5">
                  <c:v>65376596.740000002</c:v>
                </c:pt>
                <c:pt idx="6">
                  <c:v>33665736.18</c:v>
                </c:pt>
                <c:pt idx="7">
                  <c:v>0</c:v>
                </c:pt>
                <c:pt idx="8">
                  <c:v>0</c:v>
                </c:pt>
                <c:pt idx="9">
                  <c:v>0</c:v>
                </c:pt>
                <c:pt idx="10">
                  <c:v>0</c:v>
                </c:pt>
                <c:pt idx="11">
                  <c:v>0</c:v>
                </c:pt>
                <c:pt idx="12">
                  <c:v>0</c:v>
                </c:pt>
                <c:pt idx="13">
                  <c:v>0</c:v>
                </c:pt>
                <c:pt idx="14">
                  <c:v>0</c:v>
                </c:pt>
              </c:numCache>
            </c:numRef>
          </c:val>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15"/>
                <c:pt idx="0">
                  <c:v>184267617.44999999</c:v>
                </c:pt>
                <c:pt idx="1">
                  <c:v>122211044.83999999</c:v>
                </c:pt>
                <c:pt idx="2">
                  <c:v>90585586.769999996</c:v>
                </c:pt>
                <c:pt idx="3">
                  <c:v>34469860.640000001</c:v>
                </c:pt>
                <c:pt idx="4">
                  <c:v>32109703.940000001</c:v>
                </c:pt>
                <c:pt idx="5">
                  <c:v>15975368.899999999</c:v>
                </c:pt>
                <c:pt idx="6">
                  <c:v>1059573.78</c:v>
                </c:pt>
                <c:pt idx="7">
                  <c:v>0</c:v>
                </c:pt>
                <c:pt idx="8">
                  <c:v>0</c:v>
                </c:pt>
                <c:pt idx="9">
                  <c:v>0</c:v>
                </c:pt>
                <c:pt idx="10">
                  <c:v>0</c:v>
                </c:pt>
                <c:pt idx="11">
                  <c:v>0</c:v>
                </c:pt>
                <c:pt idx="12">
                  <c:v>0</c:v>
                </c:pt>
                <c:pt idx="13">
                  <c:v>0</c:v>
                </c:pt>
                <c:pt idx="14">
                  <c:v>0</c:v>
                </c:pt>
              </c:numCache>
            </c:numRef>
          </c:val>
        </c:ser>
        <c:ser>
          <c:idx val="7"/>
          <c:order val="3"/>
          <c:tx>
            <c:strRef>
              <c:f>资产资本结构分析表!$A$9</c:f>
              <c:strCache>
                <c:ptCount val="1"/>
                <c:pt idx="0">
                  <c:v>(6)资产总额合计</c:v>
                </c:pt>
              </c:strCache>
            </c:strRef>
          </c:tx>
          <c:invertIfNegative val="0"/>
          <c:val>
            <c:numRef>
              <c:f>资产资本结构分析表!$B$9:$Y$9</c:f>
              <c:numCache>
                <c:formatCode>#,##0.00_ </c:formatCode>
                <c:ptCount val="15"/>
                <c:pt idx="0">
                  <c:v>680780701.52999997</c:v>
                </c:pt>
                <c:pt idx="1">
                  <c:v>582557312.73000002</c:v>
                </c:pt>
                <c:pt idx="2">
                  <c:v>239898576.29000002</c:v>
                </c:pt>
                <c:pt idx="3">
                  <c:v>211848320.5</c:v>
                </c:pt>
                <c:pt idx="4">
                  <c:v>169859428.84999999</c:v>
                </c:pt>
                <c:pt idx="5">
                  <c:v>105573132.10000001</c:v>
                </c:pt>
                <c:pt idx="6">
                  <c:v>62209713.140000001</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dLbls>
        <c:gapWidth val="150"/>
        <c:axId val="226533376"/>
        <c:axId val="225471872"/>
      </c:barChart>
      <c:catAx>
        <c:axId val="226533376"/>
        <c:scaling>
          <c:orientation val="minMax"/>
        </c:scaling>
        <c:delete val="0"/>
        <c:axPos val="b"/>
        <c:majorTickMark val="out"/>
        <c:minorTickMark val="none"/>
        <c:tickLblPos val="nextTo"/>
        <c:crossAx val="225471872"/>
        <c:crosses val="autoZero"/>
        <c:auto val="1"/>
        <c:lblAlgn val="ctr"/>
        <c:lblOffset val="100"/>
        <c:noMultiLvlLbl val="0"/>
      </c:catAx>
      <c:valAx>
        <c:axId val="225471872"/>
        <c:scaling>
          <c:orientation val="minMax"/>
        </c:scaling>
        <c:delete val="0"/>
        <c:axPos val="l"/>
        <c:majorGridlines/>
        <c:numFmt formatCode="#,##0.00_ " sourceLinked="1"/>
        <c:majorTickMark val="out"/>
        <c:minorTickMark val="none"/>
        <c:tickLblPos val="nextTo"/>
        <c:crossAx val="2265333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dLbls>
        <c:gapWidth val="150"/>
        <c:axId val="226534912"/>
        <c:axId val="225474176"/>
      </c:barChart>
      <c:catAx>
        <c:axId val="226534912"/>
        <c:scaling>
          <c:orientation val="minMax"/>
        </c:scaling>
        <c:delete val="0"/>
        <c:axPos val="b"/>
        <c:majorTickMark val="out"/>
        <c:minorTickMark val="none"/>
        <c:tickLblPos val="nextTo"/>
        <c:crossAx val="225474176"/>
        <c:crosses val="autoZero"/>
        <c:auto val="1"/>
        <c:lblAlgn val="ctr"/>
        <c:lblOffset val="100"/>
        <c:noMultiLvlLbl val="0"/>
      </c:catAx>
      <c:valAx>
        <c:axId val="225474176"/>
        <c:scaling>
          <c:orientation val="minMax"/>
        </c:scaling>
        <c:delete val="0"/>
        <c:axPos val="l"/>
        <c:majorGridlines/>
        <c:numFmt formatCode="#,##0.00_ " sourceLinked="1"/>
        <c:majorTickMark val="out"/>
        <c:minorTickMark val="none"/>
        <c:tickLblPos val="nextTo"/>
        <c:crossAx val="2265349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15"/>
                <c:pt idx="0">
                  <c:v>462619726.81</c:v>
                </c:pt>
                <c:pt idx="1">
                  <c:v>113271854.45999996</c:v>
                </c:pt>
                <c:pt idx="2">
                  <c:v>101054543.05</c:v>
                </c:pt>
                <c:pt idx="3">
                  <c:v>117877584.93999998</c:v>
                </c:pt>
                <c:pt idx="4">
                  <c:v>87797003.269999996</c:v>
                </c:pt>
                <c:pt idx="5">
                  <c:v>65376596.740000002</c:v>
                </c:pt>
                <c:pt idx="6">
                  <c:v>33665736.179999992</c:v>
                </c:pt>
                <c:pt idx="7">
                  <c:v>0</c:v>
                </c:pt>
                <c:pt idx="8">
                  <c:v>0</c:v>
                </c:pt>
                <c:pt idx="9">
                  <c:v>0</c:v>
                </c:pt>
                <c:pt idx="10">
                  <c:v>0</c:v>
                </c:pt>
                <c:pt idx="11">
                  <c:v>0</c:v>
                </c:pt>
                <c:pt idx="12">
                  <c:v>0</c:v>
                </c:pt>
                <c:pt idx="13">
                  <c:v>0</c:v>
                </c:pt>
                <c:pt idx="14">
                  <c:v>0</c:v>
                </c:pt>
              </c:numCache>
            </c:numRef>
          </c:val>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15"/>
                <c:pt idx="0">
                  <c:v>-462619726.81</c:v>
                </c:pt>
                <c:pt idx="1">
                  <c:v>-113271854.45999999</c:v>
                </c:pt>
                <c:pt idx="2">
                  <c:v>-101054543.05</c:v>
                </c:pt>
                <c:pt idx="3">
                  <c:v>-117877584.94</c:v>
                </c:pt>
                <c:pt idx="4">
                  <c:v>-87797003.269999996</c:v>
                </c:pt>
                <c:pt idx="5">
                  <c:v>-65376596.740000002</c:v>
                </c:pt>
                <c:pt idx="6">
                  <c:v>-33665736.18</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dLbls>
        <c:gapWidth val="150"/>
        <c:axId val="226535424"/>
        <c:axId val="225475904"/>
      </c:barChart>
      <c:catAx>
        <c:axId val="226535424"/>
        <c:scaling>
          <c:orientation val="minMax"/>
        </c:scaling>
        <c:delete val="0"/>
        <c:axPos val="b"/>
        <c:majorTickMark val="out"/>
        <c:minorTickMark val="none"/>
        <c:tickLblPos val="nextTo"/>
        <c:crossAx val="225475904"/>
        <c:crosses val="autoZero"/>
        <c:auto val="1"/>
        <c:lblAlgn val="ctr"/>
        <c:lblOffset val="100"/>
        <c:noMultiLvlLbl val="0"/>
      </c:catAx>
      <c:valAx>
        <c:axId val="225475904"/>
        <c:scaling>
          <c:orientation val="minMax"/>
        </c:scaling>
        <c:delete val="0"/>
        <c:axPos val="l"/>
        <c:majorGridlines/>
        <c:numFmt formatCode="#,##0.00_ " sourceLinked="1"/>
        <c:majorTickMark val="out"/>
        <c:minorTickMark val="none"/>
        <c:tickLblPos val="nextTo"/>
        <c:crossAx val="2265354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13"/>
                <c:pt idx="0">
                  <c:v>0.40879899051312196</c:v>
                </c:pt>
                <c:pt idx="1">
                  <c:v>0.44650140093241281</c:v>
                </c:pt>
                <c:pt idx="2">
                  <c:v>0.45118393112027283</c:v>
                </c:pt>
                <c:pt idx="3">
                  <c:v>0.42718923246250234</c:v>
                </c:pt>
                <c:pt idx="4">
                  <c:v>0.45974681481049473</c:v>
                </c:pt>
                <c:pt idx="5">
                  <c:v>0.41274412939313276</c:v>
                </c:pt>
                <c:pt idx="6">
                  <c:v>0.46720979208839331</c:v>
                </c:pt>
                <c:pt idx="7">
                  <c:v>0</c:v>
                </c:pt>
                <c:pt idx="8">
                  <c:v>0</c:v>
                </c:pt>
                <c:pt idx="9">
                  <c:v>0</c:v>
                </c:pt>
                <c:pt idx="10">
                  <c:v>0</c:v>
                </c:pt>
                <c:pt idx="11">
                  <c:v>0</c:v>
                </c:pt>
                <c:pt idx="12">
                  <c:v>0</c:v>
                </c:pt>
              </c:numCache>
            </c:numRef>
          </c:val>
          <c:smooth val="0"/>
        </c:ser>
        <c:ser>
          <c:idx val="6"/>
          <c:order val="1"/>
          <c:tx>
            <c:strRef>
              <c:f>股权价值增加分析表!$A$8</c:f>
              <c:strCache>
                <c:ptCount val="1"/>
                <c:pt idx="0">
                  <c:v>毛利率</c:v>
                </c:pt>
              </c:strCache>
            </c:strRef>
          </c:tx>
          <c:val>
            <c:numRef>
              <c:f>股权价值增加分析表!$B$8:$Y$8</c:f>
              <c:numCache>
                <c:formatCode>0.00%</c:formatCode>
                <c:ptCount val="13"/>
                <c:pt idx="0">
                  <c:v>0.59120100948687804</c:v>
                </c:pt>
                <c:pt idx="1">
                  <c:v>0.55349859906758725</c:v>
                </c:pt>
                <c:pt idx="2">
                  <c:v>0.54881606887972723</c:v>
                </c:pt>
                <c:pt idx="3">
                  <c:v>0.57281076753749771</c:v>
                </c:pt>
                <c:pt idx="4">
                  <c:v>0.54025318518950527</c:v>
                </c:pt>
                <c:pt idx="5">
                  <c:v>0.58725587060686724</c:v>
                </c:pt>
                <c:pt idx="6">
                  <c:v>0.53279020791160669</c:v>
                </c:pt>
                <c:pt idx="7">
                  <c:v>0</c:v>
                </c:pt>
                <c:pt idx="8">
                  <c:v>0</c:v>
                </c:pt>
                <c:pt idx="9">
                  <c:v>0</c:v>
                </c:pt>
                <c:pt idx="10">
                  <c:v>0</c:v>
                </c:pt>
                <c:pt idx="11">
                  <c:v>0</c:v>
                </c:pt>
                <c:pt idx="12">
                  <c:v>0</c:v>
                </c:pt>
              </c:numCache>
            </c:numRef>
          </c:val>
          <c:smooth val="0"/>
        </c:ser>
        <c:ser>
          <c:idx val="9"/>
          <c:order val="2"/>
          <c:tx>
            <c:strRef>
              <c:f>股权价值增加分析表!$A$11</c:f>
              <c:strCache>
                <c:ptCount val="1"/>
                <c:pt idx="0">
                  <c:v>税金及附加率</c:v>
                </c:pt>
              </c:strCache>
            </c:strRef>
          </c:tx>
          <c:val>
            <c:numRef>
              <c:f>股权价值增加分析表!$B$11:$Y$11</c:f>
              <c:numCache>
                <c:formatCode>0.00%</c:formatCode>
                <c:ptCount val="13"/>
                <c:pt idx="0">
                  <c:v>1.2469641476530371E-2</c:v>
                </c:pt>
                <c:pt idx="1">
                  <c:v>1.3248163411847452E-2</c:v>
                </c:pt>
                <c:pt idx="2">
                  <c:v>1.1763040910315554E-2</c:v>
                </c:pt>
                <c:pt idx="3">
                  <c:v>1.244521110958996E-2</c:v>
                </c:pt>
                <c:pt idx="4">
                  <c:v>1.664514015030118E-2</c:v>
                </c:pt>
                <c:pt idx="5">
                  <c:v>1.5125658663259177E-2</c:v>
                </c:pt>
                <c:pt idx="6">
                  <c:v>1.7927469176709215E-2</c:v>
                </c:pt>
                <c:pt idx="7">
                  <c:v>0</c:v>
                </c:pt>
                <c:pt idx="8">
                  <c:v>0</c:v>
                </c:pt>
                <c:pt idx="9">
                  <c:v>0</c:v>
                </c:pt>
                <c:pt idx="10">
                  <c:v>0</c:v>
                </c:pt>
                <c:pt idx="11">
                  <c:v>0</c:v>
                </c:pt>
                <c:pt idx="12">
                  <c:v>0</c:v>
                </c:pt>
              </c:numCache>
            </c:numRef>
          </c:val>
          <c:smooth val="0"/>
        </c:ser>
        <c:ser>
          <c:idx val="11"/>
          <c:order val="3"/>
          <c:tx>
            <c:strRef>
              <c:f>股权价值增加分析表!$A$13</c:f>
              <c:strCache>
                <c:ptCount val="1"/>
                <c:pt idx="0">
                  <c:v>销售费用率</c:v>
                </c:pt>
              </c:strCache>
            </c:strRef>
          </c:tx>
          <c:val>
            <c:numRef>
              <c:f>股权价值增加分析表!$B$13:$Y$13</c:f>
              <c:numCache>
                <c:formatCode>0.00%</c:formatCode>
                <c:ptCount val="13"/>
                <c:pt idx="0">
                  <c:v>0.10699126047266247</c:v>
                </c:pt>
                <c:pt idx="1">
                  <c:v>9.7253700808778862E-2</c:v>
                </c:pt>
                <c:pt idx="2">
                  <c:v>9.6317428284263762E-2</c:v>
                </c:pt>
                <c:pt idx="3">
                  <c:v>7.4364794677345289E-2</c:v>
                </c:pt>
                <c:pt idx="4">
                  <c:v>6.771528136810967E-2</c:v>
                </c:pt>
                <c:pt idx="5">
                  <c:v>8.5837523088917428E-2</c:v>
                </c:pt>
                <c:pt idx="6">
                  <c:v>5.4727958956237888E-2</c:v>
                </c:pt>
                <c:pt idx="7">
                  <c:v>0</c:v>
                </c:pt>
                <c:pt idx="8">
                  <c:v>0</c:v>
                </c:pt>
                <c:pt idx="9">
                  <c:v>0</c:v>
                </c:pt>
                <c:pt idx="10">
                  <c:v>0</c:v>
                </c:pt>
                <c:pt idx="11">
                  <c:v>0</c:v>
                </c:pt>
                <c:pt idx="12">
                  <c:v>0</c:v>
                </c:pt>
              </c:numCache>
            </c:numRef>
          </c:val>
          <c:smooth val="0"/>
        </c:ser>
        <c:ser>
          <c:idx val="13"/>
          <c:order val="4"/>
          <c:tx>
            <c:strRef>
              <c:f>股权价值增加分析表!$A$15</c:f>
              <c:strCache>
                <c:ptCount val="1"/>
                <c:pt idx="0">
                  <c:v>管理费用率</c:v>
                </c:pt>
              </c:strCache>
            </c:strRef>
          </c:tx>
          <c:val>
            <c:numRef>
              <c:f>股权价值增加分析表!$B$15:$Y$15</c:f>
              <c:numCache>
                <c:formatCode>0.00%</c:formatCode>
                <c:ptCount val="13"/>
                <c:pt idx="0">
                  <c:v>0.20040918292465776</c:v>
                </c:pt>
                <c:pt idx="1">
                  <c:v>0.13622701934028544</c:v>
                </c:pt>
                <c:pt idx="2">
                  <c:v>0.14852447575976735</c:v>
                </c:pt>
                <c:pt idx="3">
                  <c:v>0.12831706002786847</c:v>
                </c:pt>
                <c:pt idx="4">
                  <c:v>0.10010604880507518</c:v>
                </c:pt>
                <c:pt idx="5">
                  <c:v>0.11909475209034814</c:v>
                </c:pt>
                <c:pt idx="6">
                  <c:v>0.12212223464796085</c:v>
                </c:pt>
                <c:pt idx="7">
                  <c:v>0</c:v>
                </c:pt>
                <c:pt idx="8">
                  <c:v>0</c:v>
                </c:pt>
                <c:pt idx="9">
                  <c:v>0</c:v>
                </c:pt>
                <c:pt idx="10">
                  <c:v>0</c:v>
                </c:pt>
                <c:pt idx="11">
                  <c:v>0</c:v>
                </c:pt>
                <c:pt idx="12">
                  <c:v>0</c:v>
                </c:pt>
              </c:numCache>
            </c:numRef>
          </c:val>
          <c:smooth val="0"/>
        </c:ser>
        <c:ser>
          <c:idx val="15"/>
          <c:order val="5"/>
          <c:tx>
            <c:strRef>
              <c:f>股权价值增加分析表!$A$17</c:f>
              <c:strCache>
                <c:ptCount val="1"/>
                <c:pt idx="0">
                  <c:v>资产减值损失率</c:v>
                </c:pt>
              </c:strCache>
            </c:strRef>
          </c:tx>
          <c:val>
            <c:numRef>
              <c:f>股权价值增加分析表!$B$17:$Y$17</c:f>
              <c:numCache>
                <c:formatCode>0.00%</c:formatCode>
                <c:ptCount val="13"/>
                <c:pt idx="0">
                  <c:v>4.7618441711787954E-3</c:v>
                </c:pt>
                <c:pt idx="1">
                  <c:v>8.8342865082724504E-3</c:v>
                </c:pt>
                <c:pt idx="2">
                  <c:v>1.0167712255868889E-2</c:v>
                </c:pt>
                <c:pt idx="3">
                  <c:v>-1.6872054089434076E-4</c:v>
                </c:pt>
                <c:pt idx="4">
                  <c:v>1.1907298678425091E-2</c:v>
                </c:pt>
                <c:pt idx="5">
                  <c:v>2.3301806615668016E-3</c:v>
                </c:pt>
                <c:pt idx="6">
                  <c:v>9.1345223150630806E-3</c:v>
                </c:pt>
                <c:pt idx="7">
                  <c:v>0</c:v>
                </c:pt>
                <c:pt idx="8">
                  <c:v>0</c:v>
                </c:pt>
                <c:pt idx="9">
                  <c:v>0</c:v>
                </c:pt>
                <c:pt idx="10">
                  <c:v>0</c:v>
                </c:pt>
                <c:pt idx="11">
                  <c:v>0</c:v>
                </c:pt>
                <c:pt idx="12">
                  <c:v>0</c:v>
                </c:pt>
              </c:numCache>
            </c:numRef>
          </c:val>
          <c:smooth val="0"/>
        </c:ser>
        <c:ser>
          <c:idx val="17"/>
          <c:order val="6"/>
          <c:tx>
            <c:strRef>
              <c:f>股权价值增加分析表!$A$19</c:f>
              <c:strCache>
                <c:ptCount val="1"/>
                <c:pt idx="0">
                  <c:v>财务手续费率</c:v>
                </c:pt>
              </c:strCache>
            </c:strRef>
          </c:tx>
          <c:val>
            <c:numRef>
              <c:f>股权价值增加分析表!$B$19:$Y$19</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19"/>
          <c:order val="7"/>
          <c:tx>
            <c:strRef>
              <c:f>股权价值增加分析表!$A$21</c:f>
              <c:strCache>
                <c:ptCount val="1"/>
                <c:pt idx="0">
                  <c:v>营业外收支净额率</c:v>
                </c:pt>
              </c:strCache>
            </c:strRef>
          </c:tx>
          <c:val>
            <c:numRef>
              <c:f>股权价值增加分析表!$B$21:$Y$21</c:f>
              <c:numCache>
                <c:formatCode>0.00%</c:formatCode>
                <c:ptCount val="13"/>
                <c:pt idx="0">
                  <c:v>2.0698546143164187E-2</c:v>
                </c:pt>
                <c:pt idx="1">
                  <c:v>8.7254114104442504E-2</c:v>
                </c:pt>
                <c:pt idx="2">
                  <c:v>0.13957569604875383</c:v>
                </c:pt>
                <c:pt idx="3">
                  <c:v>9.2649161172131636E-2</c:v>
                </c:pt>
                <c:pt idx="4">
                  <c:v>8.6301139835652074E-2</c:v>
                </c:pt>
                <c:pt idx="5">
                  <c:v>3.3596881752680191E-2</c:v>
                </c:pt>
                <c:pt idx="6">
                  <c:v>4.275678503901266E-2</c:v>
                </c:pt>
                <c:pt idx="7">
                  <c:v>0</c:v>
                </c:pt>
                <c:pt idx="8">
                  <c:v>0</c:v>
                </c:pt>
                <c:pt idx="9">
                  <c:v>0</c:v>
                </c:pt>
                <c:pt idx="10">
                  <c:v>0</c:v>
                </c:pt>
                <c:pt idx="11">
                  <c:v>0</c:v>
                </c:pt>
                <c:pt idx="12">
                  <c:v>0</c:v>
                </c:pt>
              </c:numCache>
            </c:numRef>
          </c:val>
          <c:smooth val="0"/>
        </c:ser>
        <c:ser>
          <c:idx val="20"/>
          <c:order val="8"/>
          <c:tx>
            <c:strRef>
              <c:f>股权价值增加分析表!$A$22</c:f>
              <c:strCache>
                <c:ptCount val="1"/>
                <c:pt idx="0">
                  <c:v>总费用率</c:v>
                </c:pt>
              </c:strCache>
            </c:strRef>
          </c:tx>
          <c:val>
            <c:numRef>
              <c:f>股权价值增加分析表!$B$22:$Y$22</c:f>
              <c:numCache>
                <c:formatCode>0.00%</c:formatCode>
                <c:ptCount val="13"/>
                <c:pt idx="0">
                  <c:v>0.3453304751881936</c:v>
                </c:pt>
                <c:pt idx="1">
                  <c:v>0.34281728417362672</c:v>
                </c:pt>
                <c:pt idx="2">
                  <c:v>0.40634835325896934</c:v>
                </c:pt>
                <c:pt idx="3">
                  <c:v>0.30760750644604101</c:v>
                </c:pt>
                <c:pt idx="4">
                  <c:v>0.28267490883756319</c:v>
                </c:pt>
                <c:pt idx="5">
                  <c:v>0.25598499625677174</c:v>
                </c:pt>
                <c:pt idx="6">
                  <c:v>0.24666897013498373</c:v>
                </c:pt>
                <c:pt idx="7">
                  <c:v>0</c:v>
                </c:pt>
                <c:pt idx="8">
                  <c:v>0</c:v>
                </c:pt>
                <c:pt idx="9">
                  <c:v>0</c:v>
                </c:pt>
                <c:pt idx="10">
                  <c:v>0</c:v>
                </c:pt>
                <c:pt idx="11">
                  <c:v>0</c:v>
                </c:pt>
                <c:pt idx="12">
                  <c:v>0</c:v>
                </c:pt>
              </c:numCache>
            </c:numRef>
          </c:val>
          <c:smooth val="0"/>
        </c:ser>
        <c:ser>
          <c:idx val="22"/>
          <c:order val="9"/>
          <c:tx>
            <c:strRef>
              <c:f>股权价值增加分析表!$A$24</c:f>
              <c:strCache>
                <c:ptCount val="1"/>
                <c:pt idx="0">
                  <c:v>息前税后经营利润率</c:v>
                </c:pt>
              </c:strCache>
            </c:strRef>
          </c:tx>
          <c:val>
            <c:numRef>
              <c:f>股权价值增加分析表!$B$24:$Y$24</c:f>
              <c:numCache>
                <c:formatCode>0.00%</c:formatCode>
                <c:ptCount val="13"/>
                <c:pt idx="0">
                  <c:v>0.25234290266844261</c:v>
                </c:pt>
                <c:pt idx="1">
                  <c:v>0.36407519976534247</c:v>
                </c:pt>
                <c:pt idx="2">
                  <c:v>0.37550407017490434</c:v>
                </c:pt>
                <c:pt idx="3">
                  <c:v>0.39468271369391644</c:v>
                </c:pt>
                <c:pt idx="4">
                  <c:v>0.37973816940967353</c:v>
                </c:pt>
                <c:pt idx="5">
                  <c:v>0.35000599217463751</c:v>
                </c:pt>
                <c:pt idx="6">
                  <c:v>0.32469504059745619</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225648640"/>
        <c:axId val="226559104"/>
      </c:lineChart>
      <c:catAx>
        <c:axId val="225648640"/>
        <c:scaling>
          <c:orientation val="minMax"/>
        </c:scaling>
        <c:delete val="0"/>
        <c:axPos val="b"/>
        <c:majorTickMark val="out"/>
        <c:minorTickMark val="none"/>
        <c:tickLblPos val="nextTo"/>
        <c:crossAx val="226559104"/>
        <c:crosses val="autoZero"/>
        <c:auto val="1"/>
        <c:lblAlgn val="ctr"/>
        <c:lblOffset val="100"/>
        <c:noMultiLvlLbl val="0"/>
      </c:catAx>
      <c:valAx>
        <c:axId val="226559104"/>
        <c:scaling>
          <c:orientation val="minMax"/>
        </c:scaling>
        <c:delete val="0"/>
        <c:axPos val="l"/>
        <c:majorGridlines/>
        <c:numFmt formatCode="0.00%" sourceLinked="1"/>
        <c:majorTickMark val="out"/>
        <c:minorTickMark val="none"/>
        <c:tickLblPos val="nextTo"/>
        <c:crossAx val="22564864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13"/>
                <c:pt idx="0">
                  <c:v>0.80336232594000068</c:v>
                </c:pt>
                <c:pt idx="1">
                  <c:v>0.97675651815365361</c:v>
                </c:pt>
                <c:pt idx="2">
                  <c:v>0.96884695222627715</c:v>
                </c:pt>
                <c:pt idx="3">
                  <c:v>1</c:v>
                </c:pt>
                <c:pt idx="4">
                  <c:v>1</c:v>
                </c:pt>
                <c:pt idx="5">
                  <c:v>1</c:v>
                </c:pt>
                <c:pt idx="6">
                  <c:v>1</c:v>
                </c:pt>
                <c:pt idx="7">
                  <c:v>0</c:v>
                </c:pt>
                <c:pt idx="8">
                  <c:v>0</c:v>
                </c:pt>
                <c:pt idx="9">
                  <c:v>0</c:v>
                </c:pt>
                <c:pt idx="10">
                  <c:v>0</c:v>
                </c:pt>
                <c:pt idx="11">
                  <c:v>0</c:v>
                </c:pt>
                <c:pt idx="12">
                  <c:v>0</c:v>
                </c:pt>
              </c:numCache>
            </c:numRef>
          </c:val>
          <c:smooth val="0"/>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5"/>
          <c:order val="2"/>
          <c:tx>
            <c:strRef>
              <c:f>股权价值增加分析表!$A$33</c:f>
              <c:strCache>
                <c:ptCount val="1"/>
                <c:pt idx="0">
                  <c:v>息税前金融资产收益占比</c:v>
                </c:pt>
              </c:strCache>
            </c:strRef>
          </c:tx>
          <c:val>
            <c:numRef>
              <c:f>股权价值增加分析表!$B$33:$Y$33</c:f>
              <c:numCache>
                <c:formatCode>0.00%</c:formatCode>
                <c:ptCount val="13"/>
                <c:pt idx="0">
                  <c:v>0.19663767405999932</c:v>
                </c:pt>
                <c:pt idx="1">
                  <c:v>2.3243481846346382E-2</c:v>
                </c:pt>
                <c:pt idx="2">
                  <c:v>3.1153047773722808E-2</c:v>
                </c:pt>
                <c:pt idx="3">
                  <c:v>0</c:v>
                </c:pt>
                <c:pt idx="4">
                  <c:v>0</c:v>
                </c:pt>
                <c:pt idx="5">
                  <c:v>0</c:v>
                </c:pt>
                <c:pt idx="6">
                  <c:v>0</c:v>
                </c:pt>
                <c:pt idx="7">
                  <c:v>1</c:v>
                </c:pt>
                <c:pt idx="8">
                  <c:v>1</c:v>
                </c:pt>
                <c:pt idx="9">
                  <c:v>1</c:v>
                </c:pt>
                <c:pt idx="10">
                  <c:v>1</c:v>
                </c:pt>
                <c:pt idx="11">
                  <c:v>1</c:v>
                </c:pt>
                <c:pt idx="12">
                  <c:v>1</c:v>
                </c:pt>
              </c:numCache>
            </c:numRef>
          </c:val>
          <c:smooth val="0"/>
        </c:ser>
        <c:dLbls>
          <c:showLegendKey val="0"/>
          <c:showVal val="0"/>
          <c:showCatName val="0"/>
          <c:showSerName val="0"/>
          <c:showPercent val="0"/>
          <c:showBubbleSize val="0"/>
        </c:dLbls>
        <c:marker val="1"/>
        <c:smooth val="0"/>
        <c:axId val="225649664"/>
        <c:axId val="226561408"/>
      </c:lineChart>
      <c:catAx>
        <c:axId val="225649664"/>
        <c:scaling>
          <c:orientation val="minMax"/>
        </c:scaling>
        <c:delete val="0"/>
        <c:axPos val="b"/>
        <c:majorTickMark val="out"/>
        <c:minorTickMark val="none"/>
        <c:tickLblPos val="nextTo"/>
        <c:crossAx val="226561408"/>
        <c:crosses val="autoZero"/>
        <c:auto val="1"/>
        <c:lblAlgn val="ctr"/>
        <c:lblOffset val="100"/>
        <c:noMultiLvlLbl val="0"/>
      </c:catAx>
      <c:valAx>
        <c:axId val="226561408"/>
        <c:scaling>
          <c:orientation val="minMax"/>
        </c:scaling>
        <c:delete val="0"/>
        <c:axPos val="l"/>
        <c:majorGridlines/>
        <c:numFmt formatCode="0.00%" sourceLinked="1"/>
        <c:majorTickMark val="out"/>
        <c:minorTickMark val="none"/>
        <c:tickLblPos val="nextTo"/>
        <c:crossAx val="22564966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17"/>
                <c:pt idx="0">
                  <c:v>0.31326402103583739</c:v>
                </c:pt>
                <c:pt idx="1">
                  <c:v>0.37262668247832914</c:v>
                </c:pt>
                <c:pt idx="2">
                  <c:v>0.38660631862192524</c:v>
                </c:pt>
                <c:pt idx="3">
                  <c:v>0.40177121944774274</c:v>
                </c:pt>
                <c:pt idx="4">
                  <c:v>0.38398352360194837</c:v>
                </c:pt>
                <c:pt idx="5">
                  <c:v>0.35193051578587387</c:v>
                </c:pt>
                <c:pt idx="6">
                  <c:v>0.32582796440726486</c:v>
                </c:pt>
                <c:pt idx="7">
                  <c:v>0</c:v>
                </c:pt>
                <c:pt idx="8">
                  <c:v>0</c:v>
                </c:pt>
                <c:pt idx="9">
                  <c:v>0</c:v>
                </c:pt>
                <c:pt idx="10">
                  <c:v>0</c:v>
                </c:pt>
                <c:pt idx="11">
                  <c:v>0</c:v>
                </c:pt>
                <c:pt idx="12">
                  <c:v>0</c:v>
                </c:pt>
                <c:pt idx="13">
                  <c:v>0</c:v>
                </c:pt>
                <c:pt idx="14">
                  <c:v>0</c:v>
                </c:pt>
                <c:pt idx="15">
                  <c:v>0</c:v>
                </c:pt>
                <c:pt idx="16">
                  <c:v>0</c:v>
                </c:pt>
              </c:numCache>
            </c:numRef>
          </c:val>
          <c:smooth val="0"/>
        </c:ser>
        <c:dLbls>
          <c:showLegendKey val="0"/>
          <c:showVal val="0"/>
          <c:showCatName val="0"/>
          <c:showSerName val="0"/>
          <c:showPercent val="0"/>
          <c:showBubbleSize val="0"/>
        </c:dLbls>
        <c:marker val="1"/>
        <c:smooth val="0"/>
        <c:axId val="225650176"/>
        <c:axId val="226563712"/>
      </c:lineChart>
      <c:catAx>
        <c:axId val="225650176"/>
        <c:scaling>
          <c:orientation val="minMax"/>
        </c:scaling>
        <c:delete val="0"/>
        <c:axPos val="b"/>
        <c:majorTickMark val="out"/>
        <c:minorTickMark val="none"/>
        <c:tickLblPos val="nextTo"/>
        <c:crossAx val="226563712"/>
        <c:crosses val="autoZero"/>
        <c:auto val="1"/>
        <c:lblAlgn val="ctr"/>
        <c:lblOffset val="100"/>
        <c:noMultiLvlLbl val="0"/>
      </c:catAx>
      <c:valAx>
        <c:axId val="226563712"/>
        <c:scaling>
          <c:orientation val="minMax"/>
        </c:scaling>
        <c:delete val="0"/>
        <c:axPos val="l"/>
        <c:majorGridlines/>
        <c:numFmt formatCode="0.00%" sourceLinked="1"/>
        <c:majorTickMark val="out"/>
        <c:minorTickMark val="none"/>
        <c:tickLblPos val="nextTo"/>
        <c:crossAx val="2256501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股权价值增加分析表!$A$49</c:f>
              <c:strCache>
                <c:ptCount val="1"/>
                <c:pt idx="0">
                  <c:v>环比增长</c:v>
                </c:pt>
              </c:strCache>
            </c:strRef>
          </c:tx>
          <c:val>
            <c:numRef>
              <c:f>股权价值增加分析表!$B$49:$Y$49</c:f>
              <c:numCache>
                <c:formatCode>0.00%</c:formatCode>
                <c:ptCount val="13"/>
                <c:pt idx="0">
                  <c:v>-2.4912015231984132E-2</c:v>
                </c:pt>
                <c:pt idx="1">
                  <c:v>7.5550429308902212E-2</c:v>
                </c:pt>
                <c:pt idx="2">
                  <c:v>-0.15679831887659001</c:v>
                </c:pt>
                <c:pt idx="3">
                  <c:v>0</c:v>
                </c:pt>
                <c:pt idx="4">
                  <c:v>-8.2444611037636886</c:v>
                </c:pt>
                <c:pt idx="5">
                  <c:v>-1.8103369825425246</c:v>
                </c:pt>
                <c:pt idx="6">
                  <c:v>-1.4192543492644654</c:v>
                </c:pt>
                <c:pt idx="7">
                  <c:v>-5.103211319382292E-2</c:v>
                </c:pt>
                <c:pt idx="8">
                  <c:v>0.19134799548112316</c:v>
                </c:pt>
                <c:pt idx="9">
                  <c:v>1.2627544232658272E-2</c:v>
                </c:pt>
                <c:pt idx="10">
                  <c:v>-0.11758758361485265</c:v>
                </c:pt>
                <c:pt idx="11">
                  <c:v>9.5400147645258698E-2</c:v>
                </c:pt>
                <c:pt idx="12">
                  <c:v>0.13114344554334914</c:v>
                </c:pt>
              </c:numCache>
            </c:numRef>
          </c:val>
          <c:smooth val="0"/>
        </c:ser>
        <c:dLbls>
          <c:showLegendKey val="0"/>
          <c:showVal val="0"/>
          <c:showCatName val="0"/>
          <c:showSerName val="0"/>
          <c:showPercent val="0"/>
          <c:showBubbleSize val="0"/>
        </c:dLbls>
        <c:marker val="1"/>
        <c:smooth val="0"/>
        <c:axId val="225651200"/>
        <c:axId val="226565440"/>
      </c:lineChart>
      <c:catAx>
        <c:axId val="225651200"/>
        <c:scaling>
          <c:orientation val="minMax"/>
        </c:scaling>
        <c:delete val="0"/>
        <c:axPos val="b"/>
        <c:majorTickMark val="out"/>
        <c:minorTickMark val="none"/>
        <c:tickLblPos val="nextTo"/>
        <c:crossAx val="226565440"/>
        <c:crosses val="autoZero"/>
        <c:auto val="1"/>
        <c:lblAlgn val="ctr"/>
        <c:lblOffset val="100"/>
        <c:noMultiLvlLbl val="0"/>
      </c:catAx>
      <c:valAx>
        <c:axId val="226565440"/>
        <c:scaling>
          <c:orientation val="minMax"/>
        </c:scaling>
        <c:delete val="0"/>
        <c:axPos val="l"/>
        <c:majorGridlines/>
        <c:numFmt formatCode="0.00%" sourceLinked="1"/>
        <c:majorTickMark val="out"/>
        <c:minorTickMark val="none"/>
        <c:tickLblPos val="nextTo"/>
        <c:crossAx val="22565120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13"/>
                <c:pt idx="0">
                  <c:v>0.80336232594000068</c:v>
                </c:pt>
                <c:pt idx="1">
                  <c:v>0.97675651815365361</c:v>
                </c:pt>
                <c:pt idx="2">
                  <c:v>0.96884695222627715</c:v>
                </c:pt>
                <c:pt idx="3">
                  <c:v>1</c:v>
                </c:pt>
                <c:pt idx="4">
                  <c:v>1</c:v>
                </c:pt>
                <c:pt idx="5">
                  <c:v>1</c:v>
                </c:pt>
                <c:pt idx="6">
                  <c:v>1</c:v>
                </c:pt>
                <c:pt idx="7">
                  <c:v>0</c:v>
                </c:pt>
                <c:pt idx="8">
                  <c:v>0</c:v>
                </c:pt>
                <c:pt idx="9">
                  <c:v>0</c:v>
                </c:pt>
                <c:pt idx="10">
                  <c:v>0</c:v>
                </c:pt>
                <c:pt idx="11">
                  <c:v>0</c:v>
                </c:pt>
                <c:pt idx="12">
                  <c:v>0</c:v>
                </c:pt>
              </c:numCache>
            </c:numRef>
          </c:val>
          <c:smooth val="0"/>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4"/>
          <c:order val="2"/>
          <c:tx>
            <c:strRef>
              <c:f>股权价值增加分析表!$A$33</c:f>
              <c:strCache>
                <c:ptCount val="1"/>
                <c:pt idx="0">
                  <c:v>息税前金融资产收益占比</c:v>
                </c:pt>
              </c:strCache>
            </c:strRef>
          </c:tx>
          <c:val>
            <c:numRef>
              <c:f>股权价值增加分析表!$B$33:$Y$33</c:f>
              <c:numCache>
                <c:formatCode>0.00%</c:formatCode>
                <c:ptCount val="13"/>
                <c:pt idx="0">
                  <c:v>0.19663767405999932</c:v>
                </c:pt>
                <c:pt idx="1">
                  <c:v>2.3243481846346382E-2</c:v>
                </c:pt>
                <c:pt idx="2">
                  <c:v>3.1153047773722808E-2</c:v>
                </c:pt>
                <c:pt idx="3">
                  <c:v>0</c:v>
                </c:pt>
                <c:pt idx="4">
                  <c:v>0</c:v>
                </c:pt>
                <c:pt idx="5">
                  <c:v>0</c:v>
                </c:pt>
                <c:pt idx="6">
                  <c:v>0</c:v>
                </c:pt>
                <c:pt idx="7">
                  <c:v>1</c:v>
                </c:pt>
                <c:pt idx="8">
                  <c:v>1</c:v>
                </c:pt>
                <c:pt idx="9">
                  <c:v>1</c:v>
                </c:pt>
                <c:pt idx="10">
                  <c:v>1</c:v>
                </c:pt>
                <c:pt idx="11">
                  <c:v>1</c:v>
                </c:pt>
                <c:pt idx="12">
                  <c:v>1</c:v>
                </c:pt>
              </c:numCache>
            </c:numRef>
          </c:val>
          <c:smooth val="0"/>
        </c:ser>
        <c:dLbls>
          <c:showLegendKey val="0"/>
          <c:showVal val="0"/>
          <c:showCatName val="0"/>
          <c:showSerName val="0"/>
          <c:showPercent val="0"/>
          <c:showBubbleSize val="0"/>
        </c:dLbls>
        <c:marker val="1"/>
        <c:smooth val="0"/>
        <c:axId val="225651712"/>
        <c:axId val="227042432"/>
      </c:lineChart>
      <c:catAx>
        <c:axId val="225651712"/>
        <c:scaling>
          <c:orientation val="minMax"/>
        </c:scaling>
        <c:delete val="0"/>
        <c:axPos val="b"/>
        <c:majorTickMark val="out"/>
        <c:minorTickMark val="none"/>
        <c:tickLblPos val="nextTo"/>
        <c:crossAx val="227042432"/>
        <c:crosses val="autoZero"/>
        <c:auto val="1"/>
        <c:lblAlgn val="ctr"/>
        <c:lblOffset val="100"/>
        <c:noMultiLvlLbl val="0"/>
      </c:catAx>
      <c:valAx>
        <c:axId val="227042432"/>
        <c:scaling>
          <c:orientation val="minMax"/>
        </c:scaling>
        <c:delete val="0"/>
        <c:axPos val="l"/>
        <c:majorGridlines/>
        <c:numFmt formatCode="0.00%" sourceLinked="1"/>
        <c:majorTickMark val="out"/>
        <c:minorTickMark val="none"/>
        <c:tickLblPos val="nextTo"/>
        <c:crossAx val="22565171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13"/>
                <c:pt idx="0">
                  <c:v>2.688366063008818E-3</c:v>
                </c:pt>
                <c:pt idx="1">
                  <c:v>3.011982599565588E-4</c:v>
                </c:pt>
                <c:pt idx="2">
                  <c:v>2.5078733932030195E-3</c:v>
                </c:pt>
                <c:pt idx="3">
                  <c:v>-1.7960010681702832E-2</c:v>
                </c:pt>
                <c:pt idx="4">
                  <c:v>-1.1179687832999496E-2</c:v>
                </c:pt>
                <c:pt idx="5">
                  <c:v>-5.4985447514170893E-3</c:v>
                </c:pt>
                <c:pt idx="6">
                  <c:v>-3.4891934527980784E-3</c:v>
                </c:pt>
                <c:pt idx="7">
                  <c:v>-1.0956072862647894</c:v>
                </c:pt>
                <c:pt idx="8">
                  <c:v>-1.408443517702088</c:v>
                </c:pt>
                <c:pt idx="9">
                  <c:v>-1.7509276259212725</c:v>
                </c:pt>
                <c:pt idx="10">
                  <c:v>-2.0954169746717635</c:v>
                </c:pt>
                <c:pt idx="11">
                  <c:v>-10.790485595557858</c:v>
                </c:pt>
                <c:pt idx="12">
                  <c:v>-11.948972451906775</c:v>
                </c:pt>
              </c:numCache>
            </c:numRef>
          </c:val>
          <c:smooth val="0"/>
        </c:ser>
        <c:dLbls>
          <c:showLegendKey val="0"/>
          <c:showVal val="0"/>
          <c:showCatName val="0"/>
          <c:showSerName val="0"/>
          <c:showPercent val="0"/>
          <c:showBubbleSize val="0"/>
        </c:dLbls>
        <c:marker val="1"/>
        <c:smooth val="0"/>
        <c:axId val="225652224"/>
        <c:axId val="227044736"/>
      </c:lineChart>
      <c:catAx>
        <c:axId val="225652224"/>
        <c:scaling>
          <c:orientation val="minMax"/>
        </c:scaling>
        <c:delete val="0"/>
        <c:axPos val="b"/>
        <c:majorTickMark val="out"/>
        <c:minorTickMark val="none"/>
        <c:tickLblPos val="nextTo"/>
        <c:crossAx val="227044736"/>
        <c:crosses val="autoZero"/>
        <c:auto val="1"/>
        <c:lblAlgn val="ctr"/>
        <c:lblOffset val="100"/>
        <c:noMultiLvlLbl val="0"/>
      </c:catAx>
      <c:valAx>
        <c:axId val="227044736"/>
        <c:scaling>
          <c:orientation val="minMax"/>
        </c:scaling>
        <c:delete val="0"/>
        <c:axPos val="l"/>
        <c:majorGridlines/>
        <c:numFmt formatCode="0.00%" sourceLinked="1"/>
        <c:majorTickMark val="out"/>
        <c:minorTickMark val="none"/>
        <c:tickLblPos val="nextTo"/>
        <c:crossAx val="2256522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13"/>
                <c:pt idx="0">
                  <c:v>192228852.33000001</c:v>
                </c:pt>
                <c:pt idx="1">
                  <c:v>165733894.71000001</c:v>
                </c:pt>
                <c:pt idx="2">
                  <c:v>148520212.02000001</c:v>
                </c:pt>
                <c:pt idx="3">
                  <c:v>179299034.00999999</c:v>
                </c:pt>
                <c:pt idx="4">
                  <c:v>208788264.84</c:v>
                </c:pt>
                <c:pt idx="5">
                  <c:v>193493383.34</c:v>
                </c:pt>
                <c:pt idx="6">
                  <c:v>82207078.170000002</c:v>
                </c:pt>
                <c:pt idx="7">
                  <c:v>0</c:v>
                </c:pt>
                <c:pt idx="8">
                  <c:v>0</c:v>
                </c:pt>
                <c:pt idx="9">
                  <c:v>0</c:v>
                </c:pt>
                <c:pt idx="10">
                  <c:v>0</c:v>
                </c:pt>
                <c:pt idx="11">
                  <c:v>0</c:v>
                </c:pt>
                <c:pt idx="12">
                  <c:v>0</c:v>
                </c:pt>
              </c:numCache>
            </c:numRef>
          </c:val>
        </c:ser>
        <c:ser>
          <c:idx val="2"/>
          <c:order val="1"/>
          <c:tx>
            <c:strRef>
              <c:f>股权价值增加分析表!$A$4</c:f>
              <c:strCache>
                <c:ptCount val="1"/>
                <c:pt idx="0">
                  <c:v>营业成本</c:v>
                </c:pt>
              </c:strCache>
            </c:strRef>
          </c:tx>
          <c:invertIfNegative val="0"/>
          <c:val>
            <c:numRef>
              <c:f>股权价值增加分析表!$B$4:$Y$4</c:f>
              <c:numCache>
                <c:formatCode>#,##0.00_ </c:formatCode>
                <c:ptCount val="13"/>
                <c:pt idx="0">
                  <c:v>78582960.780000001</c:v>
                </c:pt>
                <c:pt idx="1">
                  <c:v>74000416.170000002</c:v>
                </c:pt>
                <c:pt idx="2">
                  <c:v>67009933.109999999</c:v>
                </c:pt>
                <c:pt idx="3">
                  <c:v>76594616.719999999</c:v>
                </c:pt>
                <c:pt idx="4">
                  <c:v>95989739.730000004</c:v>
                </c:pt>
                <c:pt idx="5">
                  <c:v>79863258.049999997</c:v>
                </c:pt>
                <c:pt idx="6">
                  <c:v>38407951.899999999</c:v>
                </c:pt>
                <c:pt idx="7">
                  <c:v>0</c:v>
                </c:pt>
                <c:pt idx="8">
                  <c:v>0</c:v>
                </c:pt>
                <c:pt idx="9">
                  <c:v>0</c:v>
                </c:pt>
                <c:pt idx="10">
                  <c:v>0</c:v>
                </c:pt>
                <c:pt idx="11">
                  <c:v>0</c:v>
                </c:pt>
                <c:pt idx="12">
                  <c:v>0</c:v>
                </c:pt>
              </c:numCache>
            </c:numRef>
          </c:val>
        </c:ser>
        <c:ser>
          <c:idx val="5"/>
          <c:order val="2"/>
          <c:tx>
            <c:strRef>
              <c:f>股权价值增加分析表!$A$7</c:f>
              <c:strCache>
                <c:ptCount val="1"/>
                <c:pt idx="0">
                  <c:v>毛利</c:v>
                </c:pt>
              </c:strCache>
            </c:strRef>
          </c:tx>
          <c:invertIfNegative val="0"/>
          <c:val>
            <c:numRef>
              <c:f>股权价值增加分析表!$B$7:$Y$7</c:f>
              <c:numCache>
                <c:formatCode>#,##0.00_ </c:formatCode>
                <c:ptCount val="13"/>
                <c:pt idx="0">
                  <c:v>113645891.55000001</c:v>
                </c:pt>
                <c:pt idx="1">
                  <c:v>91733478.540000007</c:v>
                </c:pt>
                <c:pt idx="2">
                  <c:v>81510278.910000011</c:v>
                </c:pt>
                <c:pt idx="3">
                  <c:v>102704417.28999999</c:v>
                </c:pt>
                <c:pt idx="4">
                  <c:v>112798525.11</c:v>
                </c:pt>
                <c:pt idx="5">
                  <c:v>113630125.29000001</c:v>
                </c:pt>
                <c:pt idx="6">
                  <c:v>43799126.270000003</c:v>
                </c:pt>
                <c:pt idx="7">
                  <c:v>0</c:v>
                </c:pt>
                <c:pt idx="8">
                  <c:v>0</c:v>
                </c:pt>
                <c:pt idx="9">
                  <c:v>0</c:v>
                </c:pt>
                <c:pt idx="10">
                  <c:v>0</c:v>
                </c:pt>
                <c:pt idx="11">
                  <c:v>0</c:v>
                </c:pt>
                <c:pt idx="12">
                  <c:v>0</c:v>
                </c:pt>
              </c:numCache>
            </c:numRef>
          </c:val>
        </c:ser>
        <c:dLbls>
          <c:showLegendKey val="0"/>
          <c:showVal val="0"/>
          <c:showCatName val="0"/>
          <c:showSerName val="0"/>
          <c:showPercent val="0"/>
          <c:showBubbleSize val="0"/>
        </c:dLbls>
        <c:gapWidth val="150"/>
        <c:axId val="227356672"/>
        <c:axId val="227046464"/>
      </c:barChart>
      <c:catAx>
        <c:axId val="227356672"/>
        <c:scaling>
          <c:orientation val="minMax"/>
        </c:scaling>
        <c:delete val="0"/>
        <c:axPos val="b"/>
        <c:majorTickMark val="out"/>
        <c:minorTickMark val="none"/>
        <c:tickLblPos val="nextTo"/>
        <c:crossAx val="227046464"/>
        <c:crosses val="autoZero"/>
        <c:auto val="1"/>
        <c:lblAlgn val="ctr"/>
        <c:lblOffset val="100"/>
        <c:noMultiLvlLbl val="0"/>
      </c:catAx>
      <c:valAx>
        <c:axId val="227046464"/>
        <c:scaling>
          <c:orientation val="minMax"/>
        </c:scaling>
        <c:delete val="0"/>
        <c:axPos val="l"/>
        <c:majorGridlines/>
        <c:numFmt formatCode="#,##0.00_ " sourceLinked="1"/>
        <c:majorTickMark val="out"/>
        <c:minorTickMark val="none"/>
        <c:tickLblPos val="nextTo"/>
        <c:crossAx val="2273566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1"/>
          <c:order val="0"/>
          <c:tx>
            <c:strRef>
              <c:f>股权价值增加分析表!$A$3</c:f>
              <c:strCache>
                <c:ptCount val="1"/>
                <c:pt idx="0">
                  <c:v>营业收入增长率%</c:v>
                </c:pt>
              </c:strCache>
            </c:strRef>
          </c:tx>
          <c:val>
            <c:numRef>
              <c:f>股权价值增加分析表!$B$3:$Y$3</c:f>
              <c:numCache>
                <c:formatCode>0.00%</c:formatCode>
                <c:ptCount val="13"/>
                <c:pt idx="0">
                  <c:v>0.15986444816469614</c:v>
                </c:pt>
                <c:pt idx="1">
                  <c:v>0.11590128007413544</c:v>
                </c:pt>
                <c:pt idx="2">
                  <c:v>-0.23242743779498995</c:v>
                </c:pt>
                <c:pt idx="3">
                  <c:v>0</c:v>
                </c:pt>
                <c:pt idx="4">
                  <c:v>0</c:v>
                </c:pt>
                <c:pt idx="5">
                  <c:v>0</c:v>
                </c:pt>
                <c:pt idx="6">
                  <c:v>0</c:v>
                </c:pt>
                <c:pt idx="7">
                  <c:v>0</c:v>
                </c:pt>
                <c:pt idx="8">
                  <c:v>0</c:v>
                </c:pt>
                <c:pt idx="9">
                  <c:v>0</c:v>
                </c:pt>
                <c:pt idx="10">
                  <c:v>0</c:v>
                </c:pt>
                <c:pt idx="11">
                  <c:v>0</c:v>
                </c:pt>
                <c:pt idx="12">
                  <c:v>0</c:v>
                </c:pt>
              </c:numCache>
            </c:numRef>
          </c:val>
          <c:smooth val="0"/>
        </c:ser>
        <c:ser>
          <c:idx val="4"/>
          <c:order val="1"/>
          <c:tx>
            <c:strRef>
              <c:f>股权价值增加分析表!$A$6</c:f>
              <c:strCache>
                <c:ptCount val="1"/>
                <c:pt idx="0">
                  <c:v>营业成本增长率</c:v>
                </c:pt>
              </c:strCache>
            </c:strRef>
          </c:tx>
          <c:val>
            <c:numRef>
              <c:f>股权价值增加分析表!$B$6:$Y$6</c:f>
              <c:numCache>
                <c:formatCode>0.00%</c:formatCode>
                <c:ptCount val="13"/>
                <c:pt idx="0">
                  <c:v>6.1925930247102814E-2</c:v>
                </c:pt>
                <c:pt idx="1">
                  <c:v>0.10432010204404758</c:v>
                </c:pt>
                <c:pt idx="2">
                  <c:v>-0.16094165519709847</c:v>
                </c:pt>
                <c:pt idx="3">
                  <c:v>0</c:v>
                </c:pt>
                <c:pt idx="4">
                  <c:v>0</c:v>
                </c:pt>
                <c:pt idx="5">
                  <c:v>0</c:v>
                </c:pt>
                <c:pt idx="6">
                  <c:v>0</c:v>
                </c:pt>
                <c:pt idx="7">
                  <c:v>0</c:v>
                </c:pt>
                <c:pt idx="8">
                  <c:v>0</c:v>
                </c:pt>
                <c:pt idx="9">
                  <c:v>0</c:v>
                </c:pt>
                <c:pt idx="10">
                  <c:v>0</c:v>
                </c:pt>
                <c:pt idx="11">
                  <c:v>0</c:v>
                </c:pt>
                <c:pt idx="12">
                  <c:v>0</c:v>
                </c:pt>
              </c:numCache>
            </c:numRef>
          </c:val>
          <c:smooth val="0"/>
        </c:ser>
        <c:ser>
          <c:idx val="7"/>
          <c:order val="2"/>
          <c:tx>
            <c:strRef>
              <c:f>股权价值增加分析表!$A$9</c:f>
              <c:strCache>
                <c:ptCount val="1"/>
                <c:pt idx="0">
                  <c:v>毛利增长率</c:v>
                </c:pt>
              </c:strCache>
            </c:strRef>
          </c:tx>
          <c:val>
            <c:numRef>
              <c:f>股权价值增加分析表!$B$9:$Y$9</c:f>
              <c:numCache>
                <c:formatCode>0.00%</c:formatCode>
                <c:ptCount val="13"/>
                <c:pt idx="0">
                  <c:v>0.23887040324591188</c:v>
                </c:pt>
                <c:pt idx="1">
                  <c:v>0.12542221382027158</c:v>
                </c:pt>
                <c:pt idx="2">
                  <c:v>-0.28267016601473988</c:v>
                </c:pt>
                <c:pt idx="3">
                  <c:v>0</c:v>
                </c:pt>
                <c:pt idx="4">
                  <c:v>0</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227357184"/>
        <c:axId val="227048768"/>
      </c:lineChart>
      <c:catAx>
        <c:axId val="227357184"/>
        <c:scaling>
          <c:orientation val="minMax"/>
        </c:scaling>
        <c:delete val="0"/>
        <c:axPos val="b"/>
        <c:majorTickMark val="out"/>
        <c:minorTickMark val="none"/>
        <c:tickLblPos val="nextTo"/>
        <c:crossAx val="227048768"/>
        <c:crosses val="autoZero"/>
        <c:auto val="1"/>
        <c:lblAlgn val="ctr"/>
        <c:lblOffset val="100"/>
        <c:noMultiLvlLbl val="0"/>
      </c:catAx>
      <c:valAx>
        <c:axId val="227048768"/>
        <c:scaling>
          <c:orientation val="minMax"/>
        </c:scaling>
        <c:delete val="0"/>
        <c:axPos val="l"/>
        <c:majorGridlines/>
        <c:numFmt formatCode="0.00%" sourceLinked="1"/>
        <c:majorTickMark val="out"/>
        <c:minorTickMark val="none"/>
        <c:tickLblPos val="nextTo"/>
        <c:crossAx val="227357184"/>
        <c:crosses val="autoZero"/>
        <c:crossBetween val="between"/>
      </c:valAx>
    </c:plotArea>
    <c:legend>
      <c:legendPos val="r"/>
      <c:layout>
        <c:manualLayout>
          <c:xMode val="edge"/>
          <c:yMode val="edge"/>
          <c:x val="0.70902919212491511"/>
          <c:y val="0.30236458864977628"/>
          <c:w val="0.2583484026522001"/>
          <c:h val="0.47901757313448401"/>
        </c:manualLayout>
      </c:layout>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227358720"/>
        <c:axId val="227337920"/>
      </c:lineChart>
      <c:catAx>
        <c:axId val="227358720"/>
        <c:scaling>
          <c:orientation val="minMax"/>
        </c:scaling>
        <c:delete val="0"/>
        <c:axPos val="b"/>
        <c:majorTickMark val="out"/>
        <c:minorTickMark val="none"/>
        <c:tickLblPos val="nextTo"/>
        <c:crossAx val="227337920"/>
        <c:crosses val="autoZero"/>
        <c:auto val="1"/>
        <c:lblAlgn val="ctr"/>
        <c:lblOffset val="100"/>
        <c:noMultiLvlLbl val="0"/>
      </c:catAx>
      <c:valAx>
        <c:axId val="227337920"/>
        <c:scaling>
          <c:orientation val="minMax"/>
        </c:scaling>
        <c:delete val="0"/>
        <c:axPos val="l"/>
        <c:majorGridlines/>
        <c:numFmt formatCode="0.00%" sourceLinked="1"/>
        <c:majorTickMark val="out"/>
        <c:minorTickMark val="none"/>
        <c:tickLblPos val="nextTo"/>
        <c:crossAx val="22735872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13"/>
                <c:pt idx="0">
                  <c:v>2.5664971522924768E-2</c:v>
                </c:pt>
                <c:pt idx="1">
                  <c:v>1.2676381161969371E-2</c:v>
                </c:pt>
                <c:pt idx="2">
                  <c:v>1.521298172280292E-2</c:v>
                </c:pt>
                <c:pt idx="3">
                  <c:v>0</c:v>
                </c:pt>
                <c:pt idx="4">
                  <c:v>0</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227360256"/>
        <c:axId val="227339648"/>
      </c:lineChart>
      <c:catAx>
        <c:axId val="227360256"/>
        <c:scaling>
          <c:orientation val="minMax"/>
        </c:scaling>
        <c:delete val="0"/>
        <c:axPos val="b"/>
        <c:majorTickMark val="out"/>
        <c:minorTickMark val="none"/>
        <c:tickLblPos val="nextTo"/>
        <c:crossAx val="227339648"/>
        <c:crosses val="autoZero"/>
        <c:auto val="1"/>
        <c:lblAlgn val="ctr"/>
        <c:lblOffset val="100"/>
        <c:noMultiLvlLbl val="0"/>
      </c:catAx>
      <c:valAx>
        <c:axId val="227339648"/>
        <c:scaling>
          <c:orientation val="minMax"/>
        </c:scaling>
        <c:delete val="0"/>
        <c:axPos val="l"/>
        <c:majorGridlines/>
        <c:numFmt formatCode="0.00%" sourceLinked="1"/>
        <c:majorTickMark val="out"/>
        <c:minorTickMark val="none"/>
        <c:tickLblPos val="nextTo"/>
        <c:crossAx val="2273602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13"/>
                <c:pt idx="0">
                  <c:v>5.6715789704358235</c:v>
                </c:pt>
                <c:pt idx="1">
                  <c:v>0.47751689060601454</c:v>
                </c:pt>
                <c:pt idx="2">
                  <c:v>2.496101313126708</c:v>
                </c:pt>
                <c:pt idx="3">
                  <c:v>7.4025763501565036</c:v>
                </c:pt>
                <c:pt idx="4">
                  <c:v>7.5966090103034203</c:v>
                </c:pt>
                <c:pt idx="5">
                  <c:v>0</c:v>
                </c:pt>
                <c:pt idx="6">
                  <c:v>0</c:v>
                </c:pt>
                <c:pt idx="7">
                  <c:v>0</c:v>
                </c:pt>
                <c:pt idx="8">
                  <c:v>0</c:v>
                </c:pt>
                <c:pt idx="9">
                  <c:v>0</c:v>
                </c:pt>
                <c:pt idx="10">
                  <c:v>0</c:v>
                </c:pt>
                <c:pt idx="11">
                  <c:v>0</c:v>
                </c:pt>
                <c:pt idx="12">
                  <c:v>0</c:v>
                </c:pt>
              </c:numCache>
            </c:numRef>
          </c:val>
          <c:smooth val="0"/>
        </c:ser>
        <c:ser>
          <c:idx val="2"/>
          <c:order val="1"/>
          <c:tx>
            <c:strRef>
              <c:f>股东权益回报率分析表!$A$53</c:f>
              <c:strCache>
                <c:ptCount val="1"/>
                <c:pt idx="0">
                  <c:v>长期经营资产周转率</c:v>
                </c:pt>
              </c:strCache>
            </c:strRef>
          </c:tx>
          <c:val>
            <c:numRef>
              <c:f>股东权益回报率分析表!$B$53:$Y$53</c:f>
              <c:numCache>
                <c:formatCode>#,##0.00_ </c:formatCode>
                <c:ptCount val="13"/>
                <c:pt idx="0">
                  <c:v>1.0432047420494828</c:v>
                </c:pt>
                <c:pt idx="1">
                  <c:v>1.3561286128187562</c:v>
                </c:pt>
                <c:pt idx="2">
                  <c:v>4.3086977801021948</c:v>
                </c:pt>
                <c:pt idx="3">
                  <c:v>11.223467522555927</c:v>
                </c:pt>
                <c:pt idx="4">
                  <c:v>197.04929357538461</c:v>
                </c:pt>
                <c:pt idx="5">
                  <c:v>0</c:v>
                </c:pt>
                <c:pt idx="6">
                  <c:v>0</c:v>
                </c:pt>
                <c:pt idx="7">
                  <c:v>0</c:v>
                </c:pt>
                <c:pt idx="8">
                  <c:v>0</c:v>
                </c:pt>
                <c:pt idx="9">
                  <c:v>0</c:v>
                </c:pt>
                <c:pt idx="10">
                  <c:v>0</c:v>
                </c:pt>
                <c:pt idx="11">
                  <c:v>0</c:v>
                </c:pt>
                <c:pt idx="12">
                  <c:v>0</c:v>
                </c:pt>
              </c:numCache>
            </c:numRef>
          </c:val>
          <c:smooth val="0"/>
        </c:ser>
        <c:ser>
          <c:idx val="4"/>
          <c:order val="2"/>
          <c:tx>
            <c:strRef>
              <c:f>股东权益回报率分析表!$A$55</c:f>
              <c:strCache>
                <c:ptCount val="1"/>
                <c:pt idx="0">
                  <c:v>金融资产周转率</c:v>
                </c:pt>
              </c:strCache>
            </c:strRef>
          </c:tx>
          <c:val>
            <c:numRef>
              <c:f>股东权益回报率分析表!$B$55:$Y$55</c:f>
              <c:numCache>
                <c:formatCode>#,##0.00_ </c:formatCode>
                <c:ptCount val="13"/>
                <c:pt idx="0">
                  <c:v>0.41552238521153523</c:v>
                </c:pt>
                <c:pt idx="1">
                  <c:v>1.4631515966618704</c:v>
                </c:pt>
                <c:pt idx="2">
                  <c:v>1.2599529596368741</c:v>
                </c:pt>
                <c:pt idx="3">
                  <c:v>2.742556862099518</c:v>
                </c:pt>
                <c:pt idx="4">
                  <c:v>6.2018030356940796</c:v>
                </c:pt>
                <c:pt idx="5">
                  <c:v>0</c:v>
                </c:pt>
                <c:pt idx="6">
                  <c:v>0</c:v>
                </c:pt>
                <c:pt idx="7">
                  <c:v>0</c:v>
                </c:pt>
                <c:pt idx="8">
                  <c:v>0</c:v>
                </c:pt>
                <c:pt idx="9">
                  <c:v>0</c:v>
                </c:pt>
                <c:pt idx="10">
                  <c:v>0</c:v>
                </c:pt>
                <c:pt idx="11">
                  <c:v>0</c:v>
                </c:pt>
                <c:pt idx="12">
                  <c:v>0</c:v>
                </c:pt>
              </c:numCache>
            </c:numRef>
          </c:val>
          <c:smooth val="0"/>
        </c:ser>
        <c:ser>
          <c:idx val="6"/>
          <c:order val="3"/>
          <c:tx>
            <c:strRef>
              <c:f>股东权益回报率分析表!$A$57</c:f>
              <c:strCache>
                <c:ptCount val="1"/>
                <c:pt idx="0">
                  <c:v>长期股权投资周转率</c:v>
                </c:pt>
              </c:strCache>
            </c:strRef>
          </c:tx>
          <c:val>
            <c:numRef>
              <c:f>股东权益回报率分析表!$B$57:$Y$57</c:f>
              <c:numCache>
                <c:formatCode>#,##0.00_ </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228130816"/>
        <c:axId val="227341376"/>
      </c:lineChart>
      <c:catAx>
        <c:axId val="228130816"/>
        <c:scaling>
          <c:orientation val="minMax"/>
        </c:scaling>
        <c:delete val="0"/>
        <c:axPos val="b"/>
        <c:majorTickMark val="out"/>
        <c:minorTickMark val="none"/>
        <c:tickLblPos val="nextTo"/>
        <c:crossAx val="227341376"/>
        <c:crosses val="autoZero"/>
        <c:auto val="1"/>
        <c:lblAlgn val="ctr"/>
        <c:lblOffset val="100"/>
        <c:noMultiLvlLbl val="0"/>
      </c:catAx>
      <c:valAx>
        <c:axId val="227341376"/>
        <c:scaling>
          <c:orientation val="minMax"/>
        </c:scaling>
        <c:delete val="0"/>
        <c:axPos val="l"/>
        <c:majorGridlines/>
        <c:numFmt formatCode="#,##0.00_ " sourceLinked="1"/>
        <c:majorTickMark val="out"/>
        <c:minorTickMark val="none"/>
        <c:tickLblPos val="nextTo"/>
        <c:crossAx val="2281308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13"/>
                <c:pt idx="0">
                  <c:v>1.3627620860383671</c:v>
                </c:pt>
                <c:pt idx="1">
                  <c:v>1.3561286128187562</c:v>
                </c:pt>
                <c:pt idx="2">
                  <c:v>4.3086977801021948</c:v>
                </c:pt>
                <c:pt idx="3">
                  <c:v>11.223467522555925</c:v>
                </c:pt>
                <c:pt idx="4">
                  <c:v>197.04929357538461</c:v>
                </c:pt>
                <c:pt idx="5">
                  <c:v>0</c:v>
                </c:pt>
                <c:pt idx="6">
                  <c:v>0</c:v>
                </c:pt>
                <c:pt idx="7">
                  <c:v>0</c:v>
                </c:pt>
                <c:pt idx="8">
                  <c:v>0</c:v>
                </c:pt>
                <c:pt idx="9">
                  <c:v>0</c:v>
                </c:pt>
                <c:pt idx="10">
                  <c:v>0</c:v>
                </c:pt>
                <c:pt idx="11">
                  <c:v>0</c:v>
                </c:pt>
                <c:pt idx="12">
                  <c:v>0</c:v>
                </c:pt>
              </c:numCache>
            </c:numRef>
          </c:val>
          <c:smooth val="0"/>
        </c:ser>
        <c:ser>
          <c:idx val="2"/>
          <c:order val="1"/>
          <c:tx>
            <c:strRef>
              <c:f>股东权益回报率分析表!$A$85</c:f>
              <c:strCache>
                <c:ptCount val="1"/>
                <c:pt idx="0">
                  <c:v>固定资产周转率</c:v>
                </c:pt>
              </c:strCache>
            </c:strRef>
          </c:tx>
          <c:val>
            <c:numRef>
              <c:f>股东权益回报率分析表!$B$85:$Y$85</c:f>
              <c:numCache>
                <c:formatCode>#,##0.00_ </c:formatCode>
                <c:ptCount val="13"/>
                <c:pt idx="0">
                  <c:v>13.392206786109051</c:v>
                </c:pt>
                <c:pt idx="1">
                  <c:v>13.828750910075513</c:v>
                </c:pt>
                <c:pt idx="2">
                  <c:v>9.9806799002551685</c:v>
                </c:pt>
                <c:pt idx="3">
                  <c:v>11.640648235965591</c:v>
                </c:pt>
                <c:pt idx="4">
                  <c:v>308.254315481861</c:v>
                </c:pt>
                <c:pt idx="5">
                  <c:v>0</c:v>
                </c:pt>
                <c:pt idx="6">
                  <c:v>0</c:v>
                </c:pt>
                <c:pt idx="7">
                  <c:v>0</c:v>
                </c:pt>
                <c:pt idx="8">
                  <c:v>0</c:v>
                </c:pt>
                <c:pt idx="9">
                  <c:v>0</c:v>
                </c:pt>
                <c:pt idx="10">
                  <c:v>0</c:v>
                </c:pt>
                <c:pt idx="11">
                  <c:v>0</c:v>
                </c:pt>
                <c:pt idx="12">
                  <c:v>0</c:v>
                </c:pt>
              </c:numCache>
            </c:numRef>
          </c:val>
          <c:smooth val="0"/>
        </c:ser>
        <c:ser>
          <c:idx val="4"/>
          <c:order val="2"/>
          <c:tx>
            <c:strRef>
              <c:f>股东权益回报率分析表!$A$87</c:f>
              <c:strCache>
                <c:ptCount val="1"/>
                <c:pt idx="0">
                  <c:v>在建工程周转率</c:v>
                </c:pt>
              </c:strCache>
            </c:strRef>
          </c:tx>
          <c:val>
            <c:numRef>
              <c:f>股东权益回报率分析表!$B$87:$Y$87</c:f>
              <c:numCache>
                <c:formatCode>#,##0.00_ </c:formatCode>
                <c:ptCount val="13"/>
                <c:pt idx="0">
                  <c:v>1.9701999908972794</c:v>
                </c:pt>
                <c:pt idx="1">
                  <c:v>1.8948191811409261</c:v>
                </c:pt>
                <c:pt idx="2">
                  <c:v>40.706111568824298</c:v>
                </c:pt>
                <c:pt idx="3">
                  <c:v>0</c:v>
                </c:pt>
                <c:pt idx="4">
                  <c:v>0</c:v>
                </c:pt>
                <c:pt idx="5">
                  <c:v>0</c:v>
                </c:pt>
                <c:pt idx="6">
                  <c:v>0</c:v>
                </c:pt>
                <c:pt idx="7">
                  <c:v>0</c:v>
                </c:pt>
                <c:pt idx="8">
                  <c:v>0</c:v>
                </c:pt>
                <c:pt idx="9">
                  <c:v>0</c:v>
                </c:pt>
                <c:pt idx="10">
                  <c:v>0</c:v>
                </c:pt>
                <c:pt idx="11">
                  <c:v>0</c:v>
                </c:pt>
                <c:pt idx="12">
                  <c:v>0</c:v>
                </c:pt>
              </c:numCache>
            </c:numRef>
          </c:val>
          <c:smooth val="0"/>
        </c:ser>
        <c:ser>
          <c:idx val="10"/>
          <c:order val="3"/>
          <c:tx>
            <c:strRef>
              <c:f>股东权益回报率分析表!$A$93</c:f>
              <c:strCache>
                <c:ptCount val="1"/>
                <c:pt idx="0">
                  <c:v>无形资产周转率</c:v>
                </c:pt>
              </c:strCache>
            </c:strRef>
          </c:tx>
          <c:val>
            <c:numRef>
              <c:f>股东权益回报率分析表!$B$93:$Y$93</c:f>
              <c:numCache>
                <c:formatCode>#,##0.00_ </c:formatCode>
                <c:ptCount val="13"/>
                <c:pt idx="0">
                  <c:v>6.9353356476312191</c:v>
                </c:pt>
                <c:pt idx="1">
                  <c:v>7.6139323201869926</c:v>
                </c:pt>
                <c:pt idx="2">
                  <c:v>9.80409377285714</c:v>
                </c:pt>
                <c:pt idx="3">
                  <c:v>1668.5394860182059</c:v>
                </c:pt>
                <c:pt idx="4">
                  <c:v>2498.5763996434302</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228131840"/>
        <c:axId val="227343680"/>
      </c:lineChart>
      <c:catAx>
        <c:axId val="228131840"/>
        <c:scaling>
          <c:orientation val="minMax"/>
        </c:scaling>
        <c:delete val="0"/>
        <c:axPos val="b"/>
        <c:majorTickMark val="out"/>
        <c:minorTickMark val="none"/>
        <c:tickLblPos val="nextTo"/>
        <c:crossAx val="227343680"/>
        <c:crosses val="autoZero"/>
        <c:auto val="1"/>
        <c:lblAlgn val="ctr"/>
        <c:lblOffset val="100"/>
        <c:noMultiLvlLbl val="0"/>
      </c:catAx>
      <c:valAx>
        <c:axId val="227343680"/>
        <c:scaling>
          <c:orientation val="minMax"/>
        </c:scaling>
        <c:delete val="0"/>
        <c:axPos val="l"/>
        <c:majorGridlines/>
        <c:numFmt formatCode="#,##0.00_ " sourceLinked="1"/>
        <c:majorTickMark val="out"/>
        <c:minorTickMark val="none"/>
        <c:tickLblPos val="nextTo"/>
        <c:crossAx val="2281318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股东权益回报率分析表!$A$4</c:f>
              <c:strCache>
                <c:ptCount val="1"/>
                <c:pt idx="0">
                  <c:v>股东权益回报率=净利润/股东权益</c:v>
                </c:pt>
              </c:strCache>
            </c:strRef>
          </c:tx>
          <c:val>
            <c:numRef>
              <c:f>股东权益回报率分析表!$B$4:$Y$4</c:f>
              <c:numCache>
                <c:formatCode>0.00%</c:formatCode>
                <c:ptCount val="13"/>
                <c:pt idx="0">
                  <c:v>8.8454891721613166E-2</c:v>
                </c:pt>
                <c:pt idx="1">
                  <c:v>0.10600994959722133</c:v>
                </c:pt>
                <c:pt idx="2">
                  <c:v>0.2710375625092577</c:v>
                </c:pt>
                <c:pt idx="3">
                  <c:v>0.6823439838060843</c:v>
                </c:pt>
                <c:pt idx="4">
                  <c:v>1.2887256599235299</c:v>
                </c:pt>
                <c:pt idx="5">
                  <c:v>0</c:v>
                </c:pt>
                <c:pt idx="6">
                  <c:v>7.7228001235170318E-3</c:v>
                </c:pt>
                <c:pt idx="7">
                  <c:v>-3.4229423756675075E-3</c:v>
                </c:pt>
                <c:pt idx="8">
                  <c:v>-2.6406405672151901E-2</c:v>
                </c:pt>
                <c:pt idx="9">
                  <c:v>-2.0454495944777957E-2</c:v>
                </c:pt>
                <c:pt idx="10">
                  <c:v>-1.0742355443889915E-2</c:v>
                </c:pt>
                <c:pt idx="11">
                  <c:v>-3.9136136122722778E-3</c:v>
                </c:pt>
                <c:pt idx="12">
                  <c:v>-2.4053721262965819E-2</c:v>
                </c:pt>
              </c:numCache>
            </c:numRef>
          </c:val>
          <c:smooth val="0"/>
        </c:ser>
        <c:ser>
          <c:idx val="2"/>
          <c:order val="1"/>
          <c:tx>
            <c:strRef>
              <c:f>股东权益回报率分析表!$A$6</c:f>
              <c:strCache>
                <c:ptCount val="1"/>
                <c:pt idx="0">
                  <c:v>(1)息税前利润率=息税前利润/营业收入%</c:v>
                </c:pt>
              </c:strCache>
            </c:strRef>
          </c:tx>
          <c:val>
            <c:numRef>
              <c:f>股东权益回报率分析表!$B$6:$Y$6</c:f>
              <c:numCache>
                <c:formatCode>0.00%</c:formatCode>
                <c:ptCount val="13"/>
                <c:pt idx="0">
                  <c:v>0.35758165065667696</c:v>
                </c:pt>
                <c:pt idx="1">
                  <c:v>0.39435574367188536</c:v>
                </c:pt>
                <c:pt idx="2">
                  <c:v>0.43517617178796164</c:v>
                </c:pt>
                <c:pt idx="3">
                  <c:v>0.45050158343571989</c:v>
                </c:pt>
                <c:pt idx="4">
                  <c:v>0.43018055602324629</c:v>
                </c:pt>
                <c:pt idx="5">
                  <c:v>0.39846463785545594</c:v>
                </c:pt>
                <c:pt idx="6">
                  <c:v>0.37163480785464825</c:v>
                </c:pt>
                <c:pt idx="7">
                  <c:v>0</c:v>
                </c:pt>
                <c:pt idx="8">
                  <c:v>0</c:v>
                </c:pt>
                <c:pt idx="9">
                  <c:v>0</c:v>
                </c:pt>
                <c:pt idx="10">
                  <c:v>0</c:v>
                </c:pt>
                <c:pt idx="11">
                  <c:v>0</c:v>
                </c:pt>
                <c:pt idx="12">
                  <c:v>0</c:v>
                </c:pt>
              </c:numCache>
            </c:numRef>
          </c:val>
          <c:smooth val="0"/>
        </c:ser>
        <c:ser>
          <c:idx val="3"/>
          <c:order val="2"/>
          <c:tx>
            <c:strRef>
              <c:f>股东权益回报率分析表!$A$7</c:f>
              <c:strCache>
                <c:ptCount val="1"/>
                <c:pt idx="0">
                  <c:v>(2)资产总额周转率=营业收入/资产总额</c:v>
                </c:pt>
              </c:strCache>
            </c:strRef>
          </c:tx>
          <c:val>
            <c:numRef>
              <c:f>股东权益回报率分析表!$B$7:$Y$7</c:f>
              <c:numCache>
                <c:formatCode>#,##0.00_ </c:formatCode>
                <c:ptCount val="13"/>
                <c:pt idx="0">
                  <c:v>0.28236530779732899</c:v>
                </c:pt>
                <c:pt idx="1">
                  <c:v>0.28449371604886764</c:v>
                </c:pt>
                <c:pt idx="2">
                  <c:v>0.7010686309405979</c:v>
                </c:pt>
                <c:pt idx="3">
                  <c:v>1.6983396290655279</c:v>
                </c:pt>
                <c:pt idx="4">
                  <c:v>3.3562004115037785</c:v>
                </c:pt>
                <c:pt idx="5">
                  <c:v>0</c:v>
                </c:pt>
                <c:pt idx="6">
                  <c:v>0</c:v>
                </c:pt>
                <c:pt idx="7">
                  <c:v>0</c:v>
                </c:pt>
                <c:pt idx="8">
                  <c:v>0</c:v>
                </c:pt>
                <c:pt idx="9">
                  <c:v>0</c:v>
                </c:pt>
                <c:pt idx="10">
                  <c:v>0</c:v>
                </c:pt>
                <c:pt idx="11">
                  <c:v>0</c:v>
                </c:pt>
                <c:pt idx="12">
                  <c:v>0</c:v>
                </c:pt>
              </c:numCache>
            </c:numRef>
          </c:val>
          <c:smooth val="0"/>
        </c:ser>
        <c:ser>
          <c:idx val="4"/>
          <c:order val="3"/>
          <c:tx>
            <c:strRef>
              <c:f>股东权益回报率分析表!$A$8</c:f>
              <c:strCache>
                <c:ptCount val="1"/>
                <c:pt idx="0">
                  <c:v>息税前资产回报率=息税前利润/资产总额</c:v>
                </c:pt>
              </c:strCache>
            </c:strRef>
          </c:tx>
          <c:val>
            <c:numRef>
              <c:f>股东权益回报率分析表!$B$8:$Y$8</c:f>
              <c:numCache>
                <c:formatCode>0.00%</c:formatCode>
                <c:ptCount val="13"/>
                <c:pt idx="0">
                  <c:v>0.10096865285034956</c:v>
                </c:pt>
                <c:pt idx="1">
                  <c:v>0.11219173096242939</c:v>
                </c:pt>
                <c:pt idx="2">
                  <c:v>0.30508836297335673</c:v>
                </c:pt>
                <c:pt idx="3">
                  <c:v>0.76510469210565346</c:v>
                </c:pt>
                <c:pt idx="4">
                  <c:v>1.4437721591461432</c:v>
                </c:pt>
                <c:pt idx="5">
                  <c:v>0</c:v>
                </c:pt>
                <c:pt idx="6">
                  <c:v>0</c:v>
                </c:pt>
                <c:pt idx="7">
                  <c:v>0</c:v>
                </c:pt>
                <c:pt idx="8">
                  <c:v>0</c:v>
                </c:pt>
                <c:pt idx="9">
                  <c:v>0</c:v>
                </c:pt>
                <c:pt idx="10">
                  <c:v>0</c:v>
                </c:pt>
                <c:pt idx="11">
                  <c:v>0</c:v>
                </c:pt>
                <c:pt idx="12">
                  <c:v>0</c:v>
                </c:pt>
              </c:numCache>
            </c:numRef>
          </c:val>
          <c:smooth val="0"/>
        </c:ser>
        <c:ser>
          <c:idx val="5"/>
          <c:order val="4"/>
          <c:tx>
            <c:strRef>
              <c:f>股东权益回报率分析表!$A$9</c:f>
              <c:strCache>
                <c:ptCount val="1"/>
                <c:pt idx="0">
                  <c:v>(3)财务成本效应比率=税前利润/息税前利润</c:v>
                </c:pt>
              </c:strCache>
            </c:strRef>
          </c:tx>
          <c:val>
            <c:numRef>
              <c:f>股东权益回报率分析表!$B$9:$Y$9</c:f>
              <c:numCache>
                <c:formatCode>0.00%</c:formatCode>
                <c:ptCount val="13"/>
                <c:pt idx="0">
                  <c:v>0.99731163393699118</c:v>
                </c:pt>
                <c:pt idx="1">
                  <c:v>0.99969880174004344</c:v>
                </c:pt>
                <c:pt idx="2">
                  <c:v>0.99749212660679698</c:v>
                </c:pt>
                <c:pt idx="3">
                  <c:v>1.0179600106817028</c:v>
                </c:pt>
                <c:pt idx="4">
                  <c:v>1.0111796878329995</c:v>
                </c:pt>
                <c:pt idx="5">
                  <c:v>1.0054985447514171</c:v>
                </c:pt>
                <c:pt idx="6">
                  <c:v>1.0034891934527981</c:v>
                </c:pt>
                <c:pt idx="7">
                  <c:v>2.0956072862647894</c:v>
                </c:pt>
                <c:pt idx="8">
                  <c:v>2.408443517702088</c:v>
                </c:pt>
                <c:pt idx="9">
                  <c:v>2.7509276259212725</c:v>
                </c:pt>
                <c:pt idx="10">
                  <c:v>3.0954169746717635</c:v>
                </c:pt>
                <c:pt idx="11">
                  <c:v>11.790485595557858</c:v>
                </c:pt>
                <c:pt idx="12">
                  <c:v>12.948972451906775</c:v>
                </c:pt>
              </c:numCache>
            </c:numRef>
          </c:val>
          <c:smooth val="0"/>
        </c:ser>
        <c:ser>
          <c:idx val="8"/>
          <c:order val="5"/>
          <c:tx>
            <c:strRef>
              <c:f>股东权益回报率分析表!$A$12</c:f>
              <c:strCache>
                <c:ptCount val="1"/>
                <c:pt idx="0">
                  <c:v>(5)企业所得税效应比率=净利润/税前利润</c:v>
                </c:pt>
              </c:strCache>
            </c:strRef>
          </c:tx>
          <c:val>
            <c:numRef>
              <c:f>股东权益回报率分析表!$B$12:$Y$12</c:f>
              <c:numCache>
                <c:formatCode>0.00%</c:formatCode>
                <c:ptCount val="13"/>
                <c:pt idx="0">
                  <c:v>0.87842443531925551</c:v>
                </c:pt>
                <c:pt idx="1">
                  <c:v>0.94518453650787315</c:v>
                </c:pt>
                <c:pt idx="2">
                  <c:v>0.89062393829129749</c:v>
                </c:pt>
                <c:pt idx="3">
                  <c:v>0.87609617414415153</c:v>
                </c:pt>
                <c:pt idx="4">
                  <c:v>0.88274136079073062</c:v>
                </c:pt>
                <c:pt idx="5">
                  <c:v>0.87838658421077509</c:v>
                </c:pt>
                <c:pt idx="6">
                  <c:v>0.87369383527833888</c:v>
                </c:pt>
                <c:pt idx="7">
                  <c:v>-2.0111369162890491</c:v>
                </c:pt>
                <c:pt idx="8">
                  <c:v>-3.2741579921680088</c:v>
                </c:pt>
                <c:pt idx="9">
                  <c:v>-3.434383586479361</c:v>
                </c:pt>
                <c:pt idx="10">
                  <c:v>-2.6175930956148687</c:v>
                </c:pt>
                <c:pt idx="11">
                  <c:v>-2.4962817499096026</c:v>
                </c:pt>
                <c:pt idx="12">
                  <c:v>-4.9505360164341328</c:v>
                </c:pt>
              </c:numCache>
            </c:numRef>
          </c:val>
          <c:smooth val="0"/>
        </c:ser>
        <c:ser>
          <c:idx val="9"/>
          <c:order val="6"/>
          <c:tx>
            <c:strRef>
              <c:f>股东权益回报率分析表!$A$13</c:f>
              <c:strCache>
                <c:ptCount val="1"/>
                <c:pt idx="0">
                  <c:v>实际所得税税率=1-净利润/税前利润</c:v>
                </c:pt>
              </c:strCache>
            </c:strRef>
          </c:tx>
          <c:val>
            <c:numRef>
              <c:f>股东权益回报率分析表!$B$13:$Y$13</c:f>
              <c:numCache>
                <c:formatCode>0.00%</c:formatCode>
                <c:ptCount val="13"/>
                <c:pt idx="0">
                  <c:v>0.12157556468074449</c:v>
                </c:pt>
                <c:pt idx="1">
                  <c:v>5.4815463492126848E-2</c:v>
                </c:pt>
                <c:pt idx="2">
                  <c:v>0.10937606170870251</c:v>
                </c:pt>
                <c:pt idx="3">
                  <c:v>0.12390382585584847</c:v>
                </c:pt>
                <c:pt idx="4">
                  <c:v>0.11725863920926938</c:v>
                </c:pt>
                <c:pt idx="5">
                  <c:v>0.12161341578922491</c:v>
                </c:pt>
                <c:pt idx="6">
                  <c:v>0.12630616472166112</c:v>
                </c:pt>
                <c:pt idx="7">
                  <c:v>3.0111369162890491</c:v>
                </c:pt>
                <c:pt idx="8">
                  <c:v>4.2741579921680088</c:v>
                </c:pt>
                <c:pt idx="9">
                  <c:v>4.4343835864793615</c:v>
                </c:pt>
                <c:pt idx="10">
                  <c:v>3.6175930956148687</c:v>
                </c:pt>
                <c:pt idx="11">
                  <c:v>3.4962817499096026</c:v>
                </c:pt>
                <c:pt idx="12">
                  <c:v>5.9505360164341328</c:v>
                </c:pt>
              </c:numCache>
            </c:numRef>
          </c:val>
          <c:smooth val="0"/>
        </c:ser>
        <c:ser>
          <c:idx val="10"/>
          <c:order val="7"/>
          <c:tx>
            <c:strRef>
              <c:f>股东权益回报率分析表!$A$14</c:f>
              <c:strCache>
                <c:ptCount val="1"/>
                <c:pt idx="0">
                  <c:v>股东权益回报率=1*2*3*4*5</c:v>
                </c:pt>
              </c:strCache>
            </c:strRef>
          </c:tx>
          <c:val>
            <c:numRef>
              <c:f>股东权益回报率分析表!$B$14:$Y$14</c:f>
              <c:numCache>
                <c:formatCode>0.00%</c:formatCode>
                <c:ptCount val="13"/>
                <c:pt idx="0">
                  <c:v>8.8454891721613166E-2</c:v>
                </c:pt>
                <c:pt idx="1">
                  <c:v>0.10600994959722132</c:v>
                </c:pt>
                <c:pt idx="2">
                  <c:v>0.2710375625092577</c:v>
                </c:pt>
                <c:pt idx="3">
                  <c:v>0.6823439838060843</c:v>
                </c:pt>
                <c:pt idx="4">
                  <c:v>1.2887256599235302</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228132864"/>
        <c:axId val="230753984"/>
      </c:lineChart>
      <c:catAx>
        <c:axId val="228132864"/>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22813286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(1)应收平均周转率=营业收入/平均应付额</c:v>
                </c:pt>
              </c:strCache>
            </c:strRef>
          </c:tx>
          <c:val>
            <c:numRef>
              <c:f>股东权益回报率分析表!$B$65:$Y$65</c:f>
              <c:numCache>
                <c:formatCode>#,##0.00_ </c:formatCode>
                <c:ptCount val="13"/>
                <c:pt idx="0">
                  <c:v>2.517418329606663</c:v>
                </c:pt>
                <c:pt idx="1">
                  <c:v>2.2198622118779849</c:v>
                </c:pt>
                <c:pt idx="2">
                  <c:v>4.0467057412867318</c:v>
                </c:pt>
                <c:pt idx="3">
                  <c:v>54.562820934220248</c:v>
                </c:pt>
                <c:pt idx="4">
                  <c:v>15.538586939226954</c:v>
                </c:pt>
                <c:pt idx="5">
                  <c:v>0</c:v>
                </c:pt>
                <c:pt idx="6">
                  <c:v>0</c:v>
                </c:pt>
                <c:pt idx="7">
                  <c:v>0</c:v>
                </c:pt>
                <c:pt idx="8">
                  <c:v>0</c:v>
                </c:pt>
                <c:pt idx="9">
                  <c:v>0</c:v>
                </c:pt>
                <c:pt idx="10">
                  <c:v>0</c:v>
                </c:pt>
                <c:pt idx="11">
                  <c:v>0</c:v>
                </c:pt>
                <c:pt idx="12">
                  <c:v>0</c:v>
                </c:pt>
              </c:numCache>
            </c:numRef>
          </c:val>
          <c:smooth val="0"/>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13"/>
                <c:pt idx="0">
                  <c:v>3.6062455913094458</c:v>
                </c:pt>
                <c:pt idx="1">
                  <c:v>3.7746692324986095</c:v>
                </c:pt>
                <c:pt idx="2">
                  <c:v>7.3792693340954747</c:v>
                </c:pt>
                <c:pt idx="3">
                  <c:v>4.8613541935594426</c:v>
                </c:pt>
                <c:pt idx="4">
                  <c:v>42.223742095821834</c:v>
                </c:pt>
                <c:pt idx="5">
                  <c:v>0</c:v>
                </c:pt>
                <c:pt idx="6">
                  <c:v>0</c:v>
                </c:pt>
                <c:pt idx="7">
                  <c:v>0</c:v>
                </c:pt>
                <c:pt idx="8">
                  <c:v>0</c:v>
                </c:pt>
                <c:pt idx="9">
                  <c:v>0</c:v>
                </c:pt>
                <c:pt idx="10">
                  <c:v>0</c:v>
                </c:pt>
                <c:pt idx="11">
                  <c:v>0</c:v>
                </c:pt>
                <c:pt idx="12">
                  <c:v>0</c:v>
                </c:pt>
              </c:numCache>
            </c:numRef>
          </c:val>
          <c:smooth val="0"/>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13"/>
                <c:pt idx="0">
                  <c:v>1.9545137322471526</c:v>
                </c:pt>
                <c:pt idx="1">
                  <c:v>2.7948071064376001</c:v>
                </c:pt>
                <c:pt idx="2">
                  <c:v>8.5200634082543996</c:v>
                </c:pt>
                <c:pt idx="3">
                  <c:v>10.469595633317917</c:v>
                </c:pt>
                <c:pt idx="4">
                  <c:v>46.921523705018217</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228133376"/>
        <c:axId val="230757440"/>
      </c:lineChart>
      <c:catAx>
        <c:axId val="228133376"/>
        <c:scaling>
          <c:orientation val="minMax"/>
        </c:scaling>
        <c:delete val="0"/>
        <c:axPos val="b"/>
        <c:majorTickMark val="out"/>
        <c:minorTickMark val="none"/>
        <c:tickLblPos val="nextTo"/>
        <c:crossAx val="230757440"/>
        <c:crosses val="autoZero"/>
        <c:auto val="1"/>
        <c:lblAlgn val="ctr"/>
        <c:lblOffset val="100"/>
        <c:noMultiLvlLbl val="0"/>
      </c:catAx>
      <c:valAx>
        <c:axId val="230757440"/>
        <c:scaling>
          <c:orientation val="minMax"/>
        </c:scaling>
        <c:delete val="0"/>
        <c:axPos val="l"/>
        <c:majorGridlines/>
        <c:numFmt formatCode="#,##0.00_ " sourceLinked="1"/>
        <c:majorTickMark val="out"/>
        <c:minorTickMark val="none"/>
        <c:tickLblPos val="nextTo"/>
        <c:crossAx val="228133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(6)息税前营运资产回报率=3*5</c:v>
                </c:pt>
              </c:strCache>
            </c:strRef>
          </c:tx>
          <c:val>
            <c:numRef>
              <c:f>股东权益回报率分析表!$B$24:$Y$24</c:f>
              <c:numCache>
                <c:formatCode>0.00%</c:formatCode>
                <c:ptCount val="13"/>
                <c:pt idx="0">
                  <c:v>1.6292610298265695</c:v>
                </c:pt>
                <c:pt idx="1">
                  <c:v>0.18393451291642221</c:v>
                </c:pt>
                <c:pt idx="2">
                  <c:v>1.0524040084148734</c:v>
                </c:pt>
                <c:pt idx="3">
                  <c:v>3.334872367249317</c:v>
                </c:pt>
                <c:pt idx="4">
                  <c:v>3.2679134879435279</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230944768"/>
        <c:axId val="230759744"/>
      </c:lineChart>
      <c:catAx>
        <c:axId val="230944768"/>
        <c:scaling>
          <c:orientation val="minMax"/>
        </c:scaling>
        <c:delete val="0"/>
        <c:axPos val="b"/>
        <c:majorTickMark val="out"/>
        <c:minorTickMark val="none"/>
        <c:tickLblPos val="nextTo"/>
        <c:crossAx val="230759744"/>
        <c:crosses val="autoZero"/>
        <c:auto val="1"/>
        <c:lblAlgn val="ctr"/>
        <c:lblOffset val="100"/>
        <c:noMultiLvlLbl val="0"/>
      </c:catAx>
      <c:valAx>
        <c:axId val="230759744"/>
        <c:scaling>
          <c:orientation val="minMax"/>
        </c:scaling>
        <c:delete val="0"/>
        <c:axPos val="l"/>
        <c:majorGridlines/>
        <c:numFmt formatCode="0.00%" sourceLinked="1"/>
        <c:majorTickMark val="out"/>
        <c:minorTickMark val="none"/>
        <c:tickLblPos val="nextTo"/>
        <c:crossAx val="23094476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13"/>
                <c:pt idx="0">
                  <c:v>0.28726762658501281</c:v>
                </c:pt>
                <c:pt idx="1">
                  <c:v>0.38518954310284553</c:v>
                </c:pt>
                <c:pt idx="2">
                  <c:v>0.4216191077182655</c:v>
                </c:pt>
                <c:pt idx="3">
                  <c:v>0.45050158343571989</c:v>
                </c:pt>
                <c:pt idx="4">
                  <c:v>0.43018055602324629</c:v>
                </c:pt>
                <c:pt idx="5">
                  <c:v>0.39846463785545594</c:v>
                </c:pt>
                <c:pt idx="6">
                  <c:v>0.37163480785464825</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230946304"/>
        <c:axId val="230982784"/>
      </c:lineChart>
      <c:catAx>
        <c:axId val="230946304"/>
        <c:scaling>
          <c:orientation val="minMax"/>
        </c:scaling>
        <c:delete val="0"/>
        <c:axPos val="b"/>
        <c:majorTickMark val="out"/>
        <c:minorTickMark val="none"/>
        <c:tickLblPos val="nextTo"/>
        <c:crossAx val="230982784"/>
        <c:crosses val="autoZero"/>
        <c:auto val="1"/>
        <c:lblAlgn val="ctr"/>
        <c:lblOffset val="100"/>
        <c:noMultiLvlLbl val="0"/>
      </c:catAx>
      <c:valAx>
        <c:axId val="230982784"/>
        <c:scaling>
          <c:orientation val="minMax"/>
        </c:scaling>
        <c:delete val="0"/>
        <c:axPos val="l"/>
        <c:majorGridlines/>
        <c:numFmt formatCode="0.00%" sourceLinked="1"/>
        <c:majorTickMark val="out"/>
        <c:minorTickMark val="none"/>
        <c:tickLblPos val="nextTo"/>
        <c:crossAx val="2309463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13"/>
                <c:pt idx="0">
                  <c:v>60218383.240000002</c:v>
                </c:pt>
                <c:pt idx="1">
                  <c:v>61756871.360000007</c:v>
                </c:pt>
                <c:pt idx="2">
                  <c:v>57418852.410000011</c:v>
                </c:pt>
                <c:pt idx="3">
                  <c:v>72037191.539999992</c:v>
                </c:pt>
                <c:pt idx="4">
                  <c:v>80171253.61999999</c:v>
                </c:pt>
                <c:pt idx="5">
                  <c:v>68096226.200000018</c:v>
                </c:pt>
                <c:pt idx="6">
                  <c:v>26785364.940000001</c:v>
                </c:pt>
                <c:pt idx="7">
                  <c:v>-11066558.640000001</c:v>
                </c:pt>
                <c:pt idx="8">
                  <c:v>-84034454.390000015</c:v>
                </c:pt>
                <c:pt idx="9">
                  <c:v>-63888102.739999995</c:v>
                </c:pt>
                <c:pt idx="10">
                  <c:v>-32316572.780000001</c:v>
                </c:pt>
                <c:pt idx="11">
                  <c:v>-11661678.75</c:v>
                </c:pt>
                <c:pt idx="12">
                  <c:v>-70537286.090000004</c:v>
                </c:pt>
              </c:numCache>
            </c:numRef>
          </c:val>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13"/>
                <c:pt idx="0">
                  <c:v>680780701.52999997</c:v>
                </c:pt>
                <c:pt idx="1">
                  <c:v>582557312.73000002</c:v>
                </c:pt>
                <c:pt idx="2">
                  <c:v>211848320.5</c:v>
                </c:pt>
                <c:pt idx="3">
                  <c:v>105573132.09999999</c:v>
                </c:pt>
                <c:pt idx="4">
                  <c:v>62209713.140000001</c:v>
                </c:pt>
                <c:pt idx="5">
                  <c:v>0</c:v>
                </c:pt>
                <c:pt idx="6">
                  <c:v>3468348851.6599998</c:v>
                </c:pt>
                <c:pt idx="7">
                  <c:v>3233054321.5300002</c:v>
                </c:pt>
                <c:pt idx="8">
                  <c:v>3182351109.5500002</c:v>
                </c:pt>
                <c:pt idx="9">
                  <c:v>3123425916.3600001</c:v>
                </c:pt>
                <c:pt idx="10">
                  <c:v>3008332106.3799996</c:v>
                </c:pt>
                <c:pt idx="11">
                  <c:v>2979772636.0699997</c:v>
                </c:pt>
                <c:pt idx="12">
                  <c:v>2932489543.6699996</c:v>
                </c:pt>
              </c:numCache>
            </c:numRef>
          </c:val>
        </c:ser>
        <c:dLbls>
          <c:showLegendKey val="0"/>
          <c:showVal val="0"/>
          <c:showCatName val="0"/>
          <c:showSerName val="0"/>
          <c:showPercent val="0"/>
          <c:showBubbleSize val="0"/>
        </c:dLbls>
        <c:gapWidth val="150"/>
        <c:axId val="230946816"/>
        <c:axId val="230984512"/>
      </c:barChart>
      <c:catAx>
        <c:axId val="230946816"/>
        <c:scaling>
          <c:orientation val="minMax"/>
        </c:scaling>
        <c:delete val="0"/>
        <c:axPos val="b"/>
        <c:majorTickMark val="out"/>
        <c:minorTickMark val="none"/>
        <c:tickLblPos val="nextTo"/>
        <c:crossAx val="230984512"/>
        <c:crosses val="autoZero"/>
        <c:auto val="1"/>
        <c:lblAlgn val="ctr"/>
        <c:lblOffset val="100"/>
        <c:noMultiLvlLbl val="0"/>
      </c:catAx>
      <c:valAx>
        <c:axId val="230984512"/>
        <c:scaling>
          <c:orientation val="minMax"/>
        </c:scaling>
        <c:delete val="0"/>
        <c:axPos val="l"/>
        <c:majorGridlines/>
        <c:numFmt formatCode="#,##0.00_ " sourceLinked="1"/>
        <c:majorTickMark val="out"/>
        <c:minorTickMark val="none"/>
        <c:tickLblPos val="nextTo"/>
        <c:crossAx val="230946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13"/>
                <c:pt idx="0">
                  <c:v>192228852.33000001</c:v>
                </c:pt>
                <c:pt idx="1">
                  <c:v>165733894.71000001</c:v>
                </c:pt>
                <c:pt idx="2">
                  <c:v>148520212.02000001</c:v>
                </c:pt>
                <c:pt idx="3">
                  <c:v>179299034.00999999</c:v>
                </c:pt>
                <c:pt idx="4">
                  <c:v>208788264.84</c:v>
                </c:pt>
                <c:pt idx="5">
                  <c:v>193493383.34</c:v>
                </c:pt>
                <c:pt idx="6">
                  <c:v>82207078.170000002</c:v>
                </c:pt>
                <c:pt idx="7">
                  <c:v>0</c:v>
                </c:pt>
                <c:pt idx="8">
                  <c:v>0</c:v>
                </c:pt>
                <c:pt idx="9">
                  <c:v>0</c:v>
                </c:pt>
                <c:pt idx="10">
                  <c:v>0</c:v>
                </c:pt>
                <c:pt idx="11">
                  <c:v>0</c:v>
                </c:pt>
                <c:pt idx="12">
                  <c:v>0</c:v>
                </c:pt>
              </c:numCache>
            </c:numRef>
          </c:val>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13"/>
                <c:pt idx="0">
                  <c:v>55221126.170000009</c:v>
                </c:pt>
                <c:pt idx="1">
                  <c:v>63838963.180000007</c:v>
                </c:pt>
                <c:pt idx="2">
                  <c:v>62618959.270000011</c:v>
                </c:pt>
                <c:pt idx="3">
                  <c:v>80774498.729999989</c:v>
                </c:pt>
                <c:pt idx="4">
                  <c:v>89816651.859999999</c:v>
                </c:pt>
                <c:pt idx="5">
                  <c:v>77100270.920000017</c:v>
                </c:pt>
                <c:pt idx="6">
                  <c:v>30551011.699999999</c:v>
                </c:pt>
                <c:pt idx="7">
                  <c:v>0</c:v>
                </c:pt>
                <c:pt idx="8">
                  <c:v>0</c:v>
                </c:pt>
                <c:pt idx="9">
                  <c:v>0</c:v>
                </c:pt>
                <c:pt idx="10">
                  <c:v>0</c:v>
                </c:pt>
                <c:pt idx="11">
                  <c:v>0</c:v>
                </c:pt>
                <c:pt idx="12">
                  <c:v>0</c:v>
                </c:pt>
              </c:numCache>
            </c:numRef>
          </c:val>
        </c:ser>
        <c:dLbls>
          <c:showLegendKey val="0"/>
          <c:showVal val="0"/>
          <c:showCatName val="0"/>
          <c:showSerName val="0"/>
          <c:showPercent val="0"/>
          <c:showBubbleSize val="0"/>
        </c:dLbls>
        <c:gapWidth val="150"/>
        <c:axId val="230947328"/>
        <c:axId val="230986240"/>
      </c:barChart>
      <c:catAx>
        <c:axId val="230947328"/>
        <c:scaling>
          <c:orientation val="minMax"/>
        </c:scaling>
        <c:delete val="0"/>
        <c:axPos val="b"/>
        <c:majorTickMark val="out"/>
        <c:minorTickMark val="none"/>
        <c:tickLblPos val="nextTo"/>
        <c:crossAx val="230986240"/>
        <c:crosses val="autoZero"/>
        <c:auto val="1"/>
        <c:lblAlgn val="ctr"/>
        <c:lblOffset val="100"/>
        <c:noMultiLvlLbl val="0"/>
      </c:catAx>
      <c:valAx>
        <c:axId val="230986240"/>
        <c:scaling>
          <c:orientation val="minMax"/>
        </c:scaling>
        <c:delete val="0"/>
        <c:axPos val="l"/>
        <c:majorGridlines/>
        <c:numFmt formatCode="#,##0.00_ " sourceLinked="1"/>
        <c:majorTickMark val="out"/>
        <c:minorTickMark val="none"/>
        <c:tickLblPos val="nextTo"/>
        <c:crossAx val="2309473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er>
        <c:dLbls>
          <c:showLegendKey val="0"/>
          <c:showVal val="0"/>
          <c:showCatName val="0"/>
          <c:showSerName val="0"/>
          <c:showPercent val="0"/>
          <c:showBubbleSize val="0"/>
        </c:dLbls>
        <c:gapWidth val="150"/>
        <c:axId val="230948352"/>
        <c:axId val="230987968"/>
      </c:barChart>
      <c:catAx>
        <c:axId val="230948352"/>
        <c:scaling>
          <c:orientation val="minMax"/>
        </c:scaling>
        <c:delete val="0"/>
        <c:axPos val="b"/>
        <c:majorTickMark val="out"/>
        <c:minorTickMark val="none"/>
        <c:tickLblPos val="nextTo"/>
        <c:crossAx val="230987968"/>
        <c:crosses val="autoZero"/>
        <c:auto val="1"/>
        <c:lblAlgn val="ctr"/>
        <c:lblOffset val="100"/>
        <c:noMultiLvlLbl val="0"/>
      </c:catAx>
      <c:valAx>
        <c:axId val="230987968"/>
        <c:scaling>
          <c:orientation val="minMax"/>
        </c:scaling>
        <c:delete val="0"/>
        <c:axPos val="l"/>
        <c:majorGridlines/>
        <c:numFmt formatCode="#,##0.00_ " sourceLinked="1"/>
        <c:majorTickMark val="out"/>
        <c:minorTickMark val="none"/>
        <c:tickLblPos val="nextTo"/>
        <c:crossAx val="2309483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9"/>
                <c:pt idx="0">
                  <c:v>1.0089195564823639</c:v>
                </c:pt>
                <c:pt idx="1">
                  <c:v>1.0025588072624545</c:v>
                </c:pt>
                <c:pt idx="2">
                  <c:v>0.9717834163524649</c:v>
                </c:pt>
                <c:pt idx="3">
                  <c:v>0.88879069109507558</c:v>
                </c:pt>
                <c:pt idx="4">
                  <c:v>0.80519453303128674</c:v>
                </c:pt>
                <c:pt idx="5">
                  <c:v>1.068414274700298</c:v>
                </c:pt>
                <c:pt idx="6">
                  <c:v>0.80849454588191616</c:v>
                </c:pt>
                <c:pt idx="7">
                  <c:v>0</c:v>
                </c:pt>
                <c:pt idx="8">
                  <c:v>0</c:v>
                </c:pt>
              </c:numCache>
            </c:numRef>
          </c:val>
          <c:smooth val="0"/>
        </c:ser>
        <c:ser>
          <c:idx val="8"/>
          <c:order val="1"/>
          <c:tx>
            <c:strRef>
              <c:f>自由现金流分析表!$A$13</c:f>
              <c:strCache>
                <c:ptCount val="1"/>
                <c:pt idx="0">
                  <c:v>成本费用付现率=((4)/(1+(3))+(5))/(10)</c:v>
                </c:pt>
              </c:strCache>
            </c:strRef>
          </c:tx>
          <c:val>
            <c:numRef>
              <c:f>自由现金流分析表!$B$13:$Y$13</c:f>
              <c:numCache>
                <c:formatCode>#,##0.00_ </c:formatCode>
                <c:ptCount val="9"/>
                <c:pt idx="0">
                  <c:v>0.72002641288439695</c:v>
                </c:pt>
                <c:pt idx="1">
                  <c:v>0.81954563691352345</c:v>
                </c:pt>
                <c:pt idx="2">
                  <c:v>0.85213363760176541</c:v>
                </c:pt>
                <c:pt idx="3">
                  <c:v>0.80833899648317886</c:v>
                </c:pt>
                <c:pt idx="4">
                  <c:v>0.75744734858856488</c:v>
                </c:pt>
                <c:pt idx="5">
                  <c:v>0.85968593594286391</c:v>
                </c:pt>
                <c:pt idx="6">
                  <c:v>0.68750656479774319</c:v>
                </c:pt>
                <c:pt idx="7">
                  <c:v>0</c:v>
                </c:pt>
                <c:pt idx="8">
                  <c:v>0</c:v>
                </c:pt>
              </c:numCache>
            </c:numRef>
          </c:val>
          <c:smooth val="0"/>
        </c:ser>
        <c:ser>
          <c:idx val="11"/>
          <c:order val="2"/>
          <c:tx>
            <c:strRef>
              <c:f>自由现金流分析表!$A$16</c:f>
              <c:strCache>
                <c:ptCount val="1"/>
                <c:pt idx="0">
                  <c:v>经营利润现金含量=11/12</c:v>
                </c:pt>
              </c:strCache>
            </c:strRef>
          </c:tx>
          <c:val>
            <c:numRef>
              <c:f>自由现金流分析表!$B$16:$Y$16</c:f>
              <c:numCache>
                <c:formatCode>#,##0.00_ </c:formatCode>
                <c:ptCount val="9"/>
                <c:pt idx="0">
                  <c:v>1.8025267191427463</c:v>
                </c:pt>
                <c:pt idx="1">
                  <c:v>1.1132979652195589</c:v>
                </c:pt>
                <c:pt idx="2">
                  <c:v>0.97471429622024264</c:v>
                </c:pt>
                <c:pt idx="3">
                  <c:v>0.93100491472184621</c:v>
                </c:pt>
                <c:pt idx="4">
                  <c:v>0.63414794222745263</c:v>
                </c:pt>
                <c:pt idx="5">
                  <c:v>1.0819652188732909</c:v>
                </c:pt>
                <c:pt idx="6">
                  <c:v>0.64416436932892884</c:v>
                </c:pt>
                <c:pt idx="7">
                  <c:v>0</c:v>
                </c:pt>
                <c:pt idx="8">
                  <c:v>0</c:v>
                </c:pt>
              </c:numCache>
            </c:numRef>
          </c:val>
          <c:smooth val="0"/>
        </c:ser>
        <c:ser>
          <c:idx val="13"/>
          <c:order val="3"/>
          <c:tx>
            <c:strRef>
              <c:f>自由现金流分析表!$A$18</c:f>
              <c:strCache>
                <c:ptCount val="1"/>
                <c:pt idx="0">
                  <c:v>净利润现金含量=11/13</c:v>
                </c:pt>
              </c:strCache>
            </c:strRef>
          </c:tx>
          <c:val>
            <c:numRef>
              <c:f>自由现金流分析表!$B$18:$Y$18</c:f>
              <c:numCache>
                <c:formatCode>#,##0.00_ </c:formatCode>
                <c:ptCount val="9"/>
                <c:pt idx="0">
                  <c:v>1.4519855262723256</c:v>
                </c:pt>
                <c:pt idx="1">
                  <c:v>1.0877486721827352</c:v>
                </c:pt>
                <c:pt idx="2">
                  <c:v>0.94672323720166784</c:v>
                </c:pt>
                <c:pt idx="3">
                  <c:v>0.91457906494615138</c:v>
                </c:pt>
                <c:pt idx="4">
                  <c:v>0.62713674914342699</c:v>
                </c:pt>
                <c:pt idx="5">
                  <c:v>1.0760485179426871</c:v>
                </c:pt>
                <c:pt idx="6">
                  <c:v>0.64192457032097461</c:v>
                </c:pt>
                <c:pt idx="7">
                  <c:v>0</c:v>
                </c:pt>
                <c:pt idx="8">
                  <c:v>0</c:v>
                </c:pt>
              </c:numCache>
            </c:numRef>
          </c:val>
          <c:smooth val="0"/>
        </c:ser>
        <c:dLbls>
          <c:showLegendKey val="0"/>
          <c:showVal val="0"/>
          <c:showCatName val="0"/>
          <c:showSerName val="0"/>
          <c:showPercent val="0"/>
          <c:showBubbleSize val="0"/>
        </c:dLbls>
        <c:marker val="1"/>
        <c:smooth val="0"/>
        <c:axId val="227357696"/>
        <c:axId val="231120896"/>
      </c:lineChart>
      <c:catAx>
        <c:axId val="227357696"/>
        <c:scaling>
          <c:orientation val="minMax"/>
        </c:scaling>
        <c:delete val="0"/>
        <c:axPos val="b"/>
        <c:majorTickMark val="out"/>
        <c:minorTickMark val="none"/>
        <c:tickLblPos val="nextTo"/>
        <c:crossAx val="231120896"/>
        <c:crosses val="autoZero"/>
        <c:auto val="1"/>
        <c:lblAlgn val="ctr"/>
        <c:lblOffset val="100"/>
        <c:noMultiLvlLbl val="0"/>
      </c:catAx>
      <c:valAx>
        <c:axId val="231120896"/>
        <c:scaling>
          <c:orientation val="minMax"/>
        </c:scaling>
        <c:delete val="0"/>
        <c:axPos val="l"/>
        <c:majorGridlines/>
        <c:numFmt formatCode="#,##0.00_ " sourceLinked="1"/>
        <c:majorTickMark val="out"/>
        <c:minorTickMark val="none"/>
        <c:tickLblPos val="nextTo"/>
        <c:crossAx val="22735769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9"/>
                <c:pt idx="0">
                  <c:v>0.28661842718481417</c:v>
                </c:pt>
                <c:pt idx="1">
                  <c:v>0.25091754357624019</c:v>
                </c:pt>
                <c:pt idx="2">
                  <c:v>-0.29330203271232863</c:v>
                </c:pt>
                <c:pt idx="3">
                  <c:v>0</c:v>
                </c:pt>
                <c:pt idx="4">
                  <c:v>0</c:v>
                </c:pt>
                <c:pt idx="5">
                  <c:v>0</c:v>
                </c:pt>
                <c:pt idx="6">
                  <c:v>0</c:v>
                </c:pt>
                <c:pt idx="7">
                  <c:v>0</c:v>
                </c:pt>
                <c:pt idx="8">
                  <c:v>0</c:v>
                </c:pt>
              </c:numCache>
            </c:numRef>
          </c:val>
          <c:smooth val="0"/>
        </c:ser>
        <c:dLbls>
          <c:showLegendKey val="0"/>
          <c:showVal val="0"/>
          <c:showCatName val="0"/>
          <c:showSerName val="0"/>
          <c:showPercent val="0"/>
          <c:showBubbleSize val="0"/>
        </c:dLbls>
        <c:marker val="1"/>
        <c:smooth val="0"/>
        <c:axId val="231188480"/>
        <c:axId val="231123200"/>
      </c:lineChart>
      <c:catAx>
        <c:axId val="231188480"/>
        <c:scaling>
          <c:orientation val="minMax"/>
        </c:scaling>
        <c:delete val="0"/>
        <c:axPos val="b"/>
        <c:majorTickMark val="out"/>
        <c:minorTickMark val="none"/>
        <c:tickLblPos val="nextTo"/>
        <c:crossAx val="231123200"/>
        <c:crosses val="autoZero"/>
        <c:auto val="1"/>
        <c:lblAlgn val="ctr"/>
        <c:lblOffset val="100"/>
        <c:noMultiLvlLbl val="0"/>
      </c:catAx>
      <c:valAx>
        <c:axId val="231123200"/>
        <c:scaling>
          <c:orientation val="minMax"/>
        </c:scaling>
        <c:delete val="0"/>
        <c:axPos val="l"/>
        <c:majorGridlines/>
        <c:numFmt formatCode="0.00%" sourceLinked="1"/>
        <c:majorTickMark val="out"/>
        <c:minorTickMark val="none"/>
        <c:tickLblPos val="nextTo"/>
        <c:crossAx val="23118848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9"/>
                <c:pt idx="0">
                  <c:v>87436220.879999995</c:v>
                </c:pt>
                <c:pt idx="1">
                  <c:v>67175954.819999993</c:v>
                </c:pt>
                <c:pt idx="2">
                  <c:v>54359761.829999998</c:v>
                </c:pt>
                <c:pt idx="3">
                  <c:v>65883707.280000001</c:v>
                </c:pt>
                <c:pt idx="4">
                  <c:v>50278339.369999997</c:v>
                </c:pt>
                <c:pt idx="5">
                  <c:v>73274843.280000001</c:v>
                </c:pt>
                <c:pt idx="6">
                  <c:v>17194183.879999999</c:v>
                </c:pt>
                <c:pt idx="7">
                  <c:v>0</c:v>
                </c:pt>
                <c:pt idx="8">
                  <c:v>0</c:v>
                </c:pt>
              </c:numCache>
            </c:numRef>
          </c:val>
          <c:smooth val="0"/>
        </c:ser>
        <c:ser>
          <c:idx val="1"/>
          <c:order val="1"/>
          <c:tx>
            <c:strRef>
              <c:f>自由现金流分析表!$A$15</c:f>
              <c:strCache>
                <c:ptCount val="1"/>
                <c:pt idx="0">
                  <c:v>(12)息前税后经营利润</c:v>
                </c:pt>
              </c:strCache>
            </c:strRef>
          </c:tx>
          <c:val>
            <c:numRef>
              <c:f>自由现金流分析表!$B$15:$Y$15</c:f>
              <c:numCache>
                <c:formatCode>#,##0.00_ </c:formatCode>
                <c:ptCount val="9"/>
                <c:pt idx="0">
                  <c:v>48507586.573575623</c:v>
                </c:pt>
                <c:pt idx="1">
                  <c:v>60339600.824431486</c:v>
                </c:pt>
                <c:pt idx="2">
                  <c:v>55769944.116749756</c:v>
                </c:pt>
                <c:pt idx="3">
                  <c:v>70766229.305764616</c:v>
                </c:pt>
                <c:pt idx="4">
                  <c:v>79284873.484563708</c:v>
                </c:pt>
                <c:pt idx="5">
                  <c:v>67723843.615144178</c:v>
                </c:pt>
                <c:pt idx="6">
                  <c:v>26692230.583806403</c:v>
                </c:pt>
                <c:pt idx="7">
                  <c:v>0</c:v>
                </c:pt>
                <c:pt idx="8">
                  <c:v>0</c:v>
                </c:pt>
              </c:numCache>
            </c:numRef>
          </c:val>
          <c:smooth val="0"/>
        </c:ser>
        <c:ser>
          <c:idx val="3"/>
          <c:order val="2"/>
          <c:tx>
            <c:strRef>
              <c:f>自由现金流分析表!$A$17</c:f>
              <c:strCache>
                <c:ptCount val="1"/>
                <c:pt idx="0">
                  <c:v>(13)净利润</c:v>
                </c:pt>
              </c:strCache>
            </c:strRef>
          </c:tx>
          <c:val>
            <c:numRef>
              <c:f>自由现金流分析表!$B$17:$Y$17</c:f>
              <c:numCache>
                <c:formatCode>#,##0.00_ </c:formatCode>
                <c:ptCount val="9"/>
                <c:pt idx="0">
                  <c:v>60218383.240000002</c:v>
                </c:pt>
                <c:pt idx="1">
                  <c:v>61756871.360000007</c:v>
                </c:pt>
                <c:pt idx="2">
                  <c:v>57418852.410000011</c:v>
                </c:pt>
                <c:pt idx="3">
                  <c:v>72037191.539999992</c:v>
                </c:pt>
                <c:pt idx="4">
                  <c:v>80171253.61999999</c:v>
                </c:pt>
                <c:pt idx="5">
                  <c:v>68096226.200000018</c:v>
                </c:pt>
                <c:pt idx="6">
                  <c:v>26785364.940000001</c:v>
                </c:pt>
                <c:pt idx="7">
                  <c:v>-84034454.390000015</c:v>
                </c:pt>
                <c:pt idx="8">
                  <c:v>-70537286.090000004</c:v>
                </c:pt>
              </c:numCache>
            </c:numRef>
          </c:val>
          <c:smooth val="0"/>
        </c:ser>
        <c:dLbls>
          <c:showLegendKey val="0"/>
          <c:showVal val="0"/>
          <c:showCatName val="0"/>
          <c:showSerName val="0"/>
          <c:showPercent val="0"/>
          <c:showBubbleSize val="0"/>
        </c:dLbls>
        <c:marker val="1"/>
        <c:smooth val="0"/>
        <c:axId val="231188992"/>
        <c:axId val="231124928"/>
      </c:lineChart>
      <c:catAx>
        <c:axId val="231188992"/>
        <c:scaling>
          <c:orientation val="minMax"/>
        </c:scaling>
        <c:delete val="0"/>
        <c:axPos val="b"/>
        <c:majorTickMark val="out"/>
        <c:minorTickMark val="none"/>
        <c:tickLblPos val="nextTo"/>
        <c:crossAx val="231124928"/>
        <c:crosses val="autoZero"/>
        <c:auto val="1"/>
        <c:lblAlgn val="ctr"/>
        <c:lblOffset val="100"/>
        <c:noMultiLvlLbl val="0"/>
      </c:catAx>
      <c:valAx>
        <c:axId val="231124928"/>
        <c:scaling>
          <c:orientation val="minMax"/>
        </c:scaling>
        <c:delete val="0"/>
        <c:axPos val="l"/>
        <c:majorGridlines/>
        <c:numFmt formatCode="#,##0.00_ " sourceLinked="1"/>
        <c:majorTickMark val="out"/>
        <c:minorTickMark val="none"/>
        <c:tickLblPos val="nextTo"/>
        <c:crossAx val="231188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6.xml.rels><?xml version="1.0" encoding="UTF-8" standalone="yes"?>
<Relationships xmlns="http://schemas.openxmlformats.org/package/2006/relationships"><Relationship Id="rId8" Type="http://schemas.openxmlformats.org/officeDocument/2006/relationships/chart" Target="../charts/chart36.xml"/><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11" Type="http://schemas.openxmlformats.org/officeDocument/2006/relationships/chart" Target="../charts/chart39.xml"/><Relationship Id="rId5" Type="http://schemas.openxmlformats.org/officeDocument/2006/relationships/chart" Target="../charts/chart33.xml"/><Relationship Id="rId10" Type="http://schemas.openxmlformats.org/officeDocument/2006/relationships/chart" Target="../charts/chart38.xml"/><Relationship Id="rId4" Type="http://schemas.openxmlformats.org/officeDocument/2006/relationships/chart" Target="../charts/chart32.xml"/><Relationship Id="rId9" Type="http://schemas.openxmlformats.org/officeDocument/2006/relationships/chart" Target="../charts/chart3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41.xml"/><Relationship Id="rId2" Type="http://schemas.openxmlformats.org/officeDocument/2006/relationships/chart" Target="../charts/chart40.xml"/><Relationship Id="rId1" Type="http://schemas.openxmlformats.org/officeDocument/2006/relationships/image" Target="../media/image1.png"/><Relationship Id="rId4" Type="http://schemas.openxmlformats.org/officeDocument/2006/relationships/chart" Target="../charts/chart42.xml"/></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28</xdr:col>
      <xdr:colOff>314325</xdr:colOff>
      <xdr:row>0</xdr:row>
      <xdr:rowOff>52387</xdr:rowOff>
    </xdr:from>
    <xdr:to>
      <xdr:col>33</xdr:col>
      <xdr:colOff>1009649</xdr:colOff>
      <xdr:row>9</xdr:row>
      <xdr:rowOff>9525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381000</xdr:colOff>
      <xdr:row>9</xdr:row>
      <xdr:rowOff>52387</xdr:rowOff>
    </xdr:from>
    <xdr:to>
      <xdr:col>34</xdr:col>
      <xdr:colOff>914400</xdr:colOff>
      <xdr:row>21</xdr:row>
      <xdr:rowOff>104775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133349</xdr:colOff>
      <xdr:row>23</xdr:row>
      <xdr:rowOff>42861</xdr:rowOff>
    </xdr:from>
    <xdr:to>
      <xdr:col>33</xdr:col>
      <xdr:colOff>1219200</xdr:colOff>
      <xdr:row>38</xdr:row>
      <xdr:rowOff>104774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9524</xdr:colOff>
      <xdr:row>56</xdr:row>
      <xdr:rowOff>23812</xdr:rowOff>
    </xdr:from>
    <xdr:to>
      <xdr:col>33</xdr:col>
      <xdr:colOff>1238249</xdr:colOff>
      <xdr:row>62</xdr:row>
      <xdr:rowOff>28575</xdr:rowOff>
    </xdr:to>
    <xdr:graphicFrame macro="">
      <xdr:nvGraphicFramePr>
        <xdr:cNvPr id="15" name="图表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1476375</xdr:colOff>
      <xdr:row>63</xdr:row>
      <xdr:rowOff>4762</xdr:rowOff>
    </xdr:from>
    <xdr:to>
      <xdr:col>33</xdr:col>
      <xdr:colOff>1114425</xdr:colOff>
      <xdr:row>70</xdr:row>
      <xdr:rowOff>85725</xdr:rowOff>
    </xdr:to>
    <xdr:graphicFrame macro="">
      <xdr:nvGraphicFramePr>
        <xdr:cNvPr id="17" name="图表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57150</xdr:colOff>
      <xdr:row>0</xdr:row>
      <xdr:rowOff>0</xdr:rowOff>
    </xdr:from>
    <xdr:to>
      <xdr:col>28</xdr:col>
      <xdr:colOff>85725</xdr:colOff>
      <xdr:row>11</xdr:row>
      <xdr:rowOff>42863</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828674</xdr:colOff>
      <xdr:row>11</xdr:row>
      <xdr:rowOff>4762</xdr:rowOff>
    </xdr:from>
    <xdr:to>
      <xdr:col>24</xdr:col>
      <xdr:colOff>1228725</xdr:colOff>
      <xdr:row>23</xdr:row>
      <xdr:rowOff>95250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257175</xdr:colOff>
      <xdr:row>24</xdr:row>
      <xdr:rowOff>61912</xdr:rowOff>
    </xdr:from>
    <xdr:to>
      <xdr:col>24</xdr:col>
      <xdr:colOff>1171575</xdr:colOff>
      <xdr:row>25</xdr:row>
      <xdr:rowOff>76200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1314450</xdr:colOff>
      <xdr:row>26</xdr:row>
      <xdr:rowOff>119061</xdr:rowOff>
    </xdr:from>
    <xdr:to>
      <xdr:col>24</xdr:col>
      <xdr:colOff>704850</xdr:colOff>
      <xdr:row>36</xdr:row>
      <xdr:rowOff>123824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xdr:colOff>
      <xdr:row>15</xdr:row>
      <xdr:rowOff>166686</xdr:rowOff>
    </xdr:from>
    <xdr:to>
      <xdr:col>8</xdr:col>
      <xdr:colOff>781050</xdr:colOff>
      <xdr:row>35</xdr:row>
      <xdr:rowOff>171449</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142874</xdr:colOff>
      <xdr:row>16</xdr:row>
      <xdr:rowOff>42862</xdr:rowOff>
    </xdr:from>
    <xdr:to>
      <xdr:col>24</xdr:col>
      <xdr:colOff>1171575</xdr:colOff>
      <xdr:row>35</xdr:row>
      <xdr:rowOff>95250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14</xdr:col>
      <xdr:colOff>123825</xdr:colOff>
      <xdr:row>17</xdr:row>
      <xdr:rowOff>1009651</xdr:rowOff>
    </xdr:from>
    <xdr:to>
      <xdr:col>22</xdr:col>
      <xdr:colOff>295274</xdr:colOff>
      <xdr:row>34</xdr:row>
      <xdr:rowOff>57151</xdr:rowOff>
    </xdr:to>
    <xdr:graphicFrame macro="">
      <xdr:nvGraphicFramePr>
        <xdr:cNvPr id="3" name="图表 2" title="变化率"/>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847725</xdr:colOff>
      <xdr:row>37</xdr:row>
      <xdr:rowOff>119061</xdr:rowOff>
    </xdr:from>
    <xdr:to>
      <xdr:col>20</xdr:col>
      <xdr:colOff>200025</xdr:colOff>
      <xdr:row>56</xdr:row>
      <xdr:rowOff>95250</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866775</xdr:colOff>
      <xdr:row>9</xdr:row>
      <xdr:rowOff>133350</xdr:rowOff>
    </xdr:from>
    <xdr:to>
      <xdr:col>40</xdr:col>
      <xdr:colOff>123825</xdr:colOff>
      <xdr:row>15</xdr:row>
      <xdr:rowOff>161925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876299</xdr:colOff>
      <xdr:row>16</xdr:row>
      <xdr:rowOff>9525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333375</xdr:colOff>
      <xdr:row>52</xdr:row>
      <xdr:rowOff>4762</xdr:rowOff>
    </xdr:from>
    <xdr:to>
      <xdr:col>24</xdr:col>
      <xdr:colOff>123825</xdr:colOff>
      <xdr:row>61</xdr:row>
      <xdr:rowOff>28575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52</xdr:row>
      <xdr:rowOff>4762</xdr:rowOff>
    </xdr:from>
    <xdr:to>
      <xdr:col>8</xdr:col>
      <xdr:colOff>304800</xdr:colOff>
      <xdr:row>61</xdr:row>
      <xdr:rowOff>28575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1457325</xdr:colOff>
      <xdr:row>28</xdr:row>
      <xdr:rowOff>109537</xdr:rowOff>
    </xdr:from>
    <xdr:to>
      <xdr:col>34</xdr:col>
      <xdr:colOff>733425</xdr:colOff>
      <xdr:row>37</xdr:row>
      <xdr:rowOff>85725</xdr:rowOff>
    </xdr:to>
    <xdr:graphicFrame macro="">
      <xdr:nvGraphicFramePr>
        <xdr:cNvPr id="8" name="图表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1466851</xdr:colOff>
      <xdr:row>38</xdr:row>
      <xdr:rowOff>71437</xdr:rowOff>
    </xdr:from>
    <xdr:to>
      <xdr:col>36</xdr:col>
      <xdr:colOff>104776</xdr:colOff>
      <xdr:row>46</xdr:row>
      <xdr:rowOff>76200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1047750</xdr:colOff>
      <xdr:row>2</xdr:row>
      <xdr:rowOff>90487</xdr:rowOff>
    </xdr:from>
    <xdr:to>
      <xdr:col>28</xdr:col>
      <xdr:colOff>447675</xdr:colOff>
      <xdr:row>18</xdr:row>
      <xdr:rowOff>66675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32</xdr:col>
      <xdr:colOff>761999</xdr:colOff>
      <xdr:row>24</xdr:row>
      <xdr:rowOff>314325</xdr:rowOff>
    </xdr:from>
    <xdr:to>
      <xdr:col>38</xdr:col>
      <xdr:colOff>762000</xdr:colOff>
      <xdr:row>28</xdr:row>
      <xdr:rowOff>47625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1066800</xdr:colOff>
      <xdr:row>23</xdr:row>
      <xdr:rowOff>161925</xdr:rowOff>
    </xdr:from>
    <xdr:to>
      <xdr:col>40</xdr:col>
      <xdr:colOff>1285875</xdr:colOff>
      <xdr:row>31</xdr:row>
      <xdr:rowOff>95250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819150</xdr:colOff>
      <xdr:row>79</xdr:row>
      <xdr:rowOff>42862</xdr:rowOff>
    </xdr:from>
    <xdr:to>
      <xdr:col>33</xdr:col>
      <xdr:colOff>962025</xdr:colOff>
      <xdr:row>95</xdr:row>
      <xdr:rowOff>42862</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1371600</xdr:colOff>
      <xdr:row>0</xdr:row>
      <xdr:rowOff>0</xdr:rowOff>
    </xdr:from>
    <xdr:to>
      <xdr:col>34</xdr:col>
      <xdr:colOff>742949</xdr:colOff>
      <xdr:row>13</xdr:row>
      <xdr:rowOff>123825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1104900</xdr:colOff>
      <xdr:row>14</xdr:row>
      <xdr:rowOff>109536</xdr:rowOff>
    </xdr:from>
    <xdr:to>
      <xdr:col>32</xdr:col>
      <xdr:colOff>657226</xdr:colOff>
      <xdr:row>23</xdr:row>
      <xdr:rowOff>161925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1343026</xdr:colOff>
      <xdr:row>0</xdr:row>
      <xdr:rowOff>0</xdr:rowOff>
    </xdr:from>
    <xdr:to>
      <xdr:col>24</xdr:col>
      <xdr:colOff>1400176</xdr:colOff>
      <xdr:row>13</xdr:row>
      <xdr:rowOff>142874</xdr:rowOff>
    </xdr:to>
    <xdr:graphicFrame macro="">
      <xdr:nvGraphicFramePr>
        <xdr:cNvPr id="10" name="图表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933450</xdr:colOff>
      <xdr:row>15</xdr:row>
      <xdr:rowOff>61912</xdr:rowOff>
    </xdr:from>
    <xdr:to>
      <xdr:col>24</xdr:col>
      <xdr:colOff>1123949</xdr:colOff>
      <xdr:row>23</xdr:row>
      <xdr:rowOff>95250</xdr:rowOff>
    </xdr:to>
    <xdr:graphicFrame macro="">
      <xdr:nvGraphicFramePr>
        <xdr:cNvPr id="11" name="图表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847725</xdr:colOff>
      <xdr:row>26</xdr:row>
      <xdr:rowOff>4762</xdr:rowOff>
    </xdr:from>
    <xdr:to>
      <xdr:col>21</xdr:col>
      <xdr:colOff>733426</xdr:colOff>
      <xdr:row>32</xdr:row>
      <xdr:rowOff>142875</xdr:rowOff>
    </xdr:to>
    <xdr:graphicFrame macro="">
      <xdr:nvGraphicFramePr>
        <xdr:cNvPr id="12" name="图表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381000</xdr:colOff>
      <xdr:row>32</xdr:row>
      <xdr:rowOff>90487</xdr:rowOff>
    </xdr:from>
    <xdr:to>
      <xdr:col>20</xdr:col>
      <xdr:colOff>495300</xdr:colOff>
      <xdr:row>46</xdr:row>
      <xdr:rowOff>90487</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771036</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5</xdr:col>
      <xdr:colOff>237530</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180" tableBorderDxfId="179" headerRowCellStyle="好" dataCellStyle="好">
  <tableColumns count="89">
    <tableColumn id="1" name="列1" headerRowDxfId="178" dataDxfId="177" headerRowCellStyle="好" dataCellStyle="好"/>
    <tableColumn id="2" name="列2" headerRowDxfId="176" headerRowCellStyle="好" dataCellStyle="好"/>
    <tableColumn id="3" name="列3" headerRowDxfId="175" headerRowCellStyle="好" dataCellStyle="好"/>
    <tableColumn id="4" name="列4" headerRowDxfId="174" headerRowCellStyle="好" dataCellStyle="好"/>
    <tableColumn id="5" name="列5" headerRowDxfId="173" headerRowCellStyle="好" dataCellStyle="好"/>
    <tableColumn id="6" name="列6" headerRowDxfId="172" headerRowCellStyle="好" dataCellStyle="好"/>
    <tableColumn id="7" name="列7" headerRowDxfId="171" headerRowCellStyle="好" dataCellStyle="好"/>
    <tableColumn id="8" name="列8" headerRowDxfId="170" headerRowCellStyle="好" dataCellStyle="好"/>
    <tableColumn id="9" name="列9" headerRowDxfId="169" headerRowCellStyle="好" dataCellStyle="好"/>
    <tableColumn id="10" name="列10" headerRowDxfId="168" headerRowCellStyle="好" dataCellStyle="好"/>
    <tableColumn id="11" name="列11" headerRowDxfId="167" headerRowCellStyle="好" dataCellStyle="好"/>
    <tableColumn id="12" name="列12" headerRowDxfId="166" headerRowCellStyle="好" dataCellStyle="好"/>
    <tableColumn id="13" name="列13" headerRowDxfId="165" headerRowCellStyle="好" dataCellStyle="好"/>
    <tableColumn id="14" name="列14" headerRowDxfId="164" headerRowCellStyle="好" dataCellStyle="好"/>
    <tableColumn id="15" name="列15" headerRowDxfId="163" headerRowCellStyle="好" dataCellStyle="好"/>
    <tableColumn id="16" name="列16" headerRowDxfId="162" headerRowCellStyle="好" dataCellStyle="好"/>
    <tableColumn id="17" name="列17" headerRowDxfId="161" headerRowCellStyle="好" dataCellStyle="好"/>
    <tableColumn id="18" name="列18" headerRowDxfId="160" headerRowCellStyle="好" dataCellStyle="好"/>
    <tableColumn id="19" name="列19" headerRowDxfId="159" headerRowCellStyle="好" dataCellStyle="好"/>
    <tableColumn id="20" name="列20" headerRowDxfId="158" headerRowCellStyle="好" dataCellStyle="好"/>
    <tableColumn id="21" name="列21" headerRowDxfId="157" headerRowCellStyle="好" dataCellStyle="好"/>
    <tableColumn id="22" name="列22" headerRowDxfId="156" headerRowCellStyle="好" dataCellStyle="好"/>
    <tableColumn id="23" name="列23" headerRowDxfId="155" headerRowCellStyle="好" dataCellStyle="好"/>
    <tableColumn id="24" name="列24" headerRowDxfId="154" headerRowCellStyle="好" dataCellStyle="好"/>
    <tableColumn id="25" name="列25" headerRowDxfId="153" headerRowCellStyle="好" dataCellStyle="好"/>
    <tableColumn id="26" name="列26" headerRowDxfId="152" headerRowCellStyle="好" dataCellStyle="好"/>
    <tableColumn id="27" name="列27" headerRowDxfId="151" headerRowCellStyle="好" dataCellStyle="好"/>
    <tableColumn id="28" name="列28" headerRowDxfId="150" headerRowCellStyle="好" dataCellStyle="好"/>
    <tableColumn id="29" name="列29" headerRowDxfId="149" headerRowCellStyle="好" dataCellStyle="好"/>
    <tableColumn id="30" name="列30" headerRowDxfId="148" headerRowCellStyle="好" dataCellStyle="好"/>
    <tableColumn id="31" name="列31" headerRowDxfId="147" headerRowCellStyle="好" dataCellStyle="好"/>
    <tableColumn id="32" name="列32" headerRowDxfId="146" headerRowCellStyle="好" dataCellStyle="好"/>
    <tableColumn id="33" name="列33" headerRowDxfId="145" headerRowCellStyle="好" dataCellStyle="好"/>
    <tableColumn id="34" name="列34" headerRowDxfId="144" headerRowCellStyle="好" dataCellStyle="好"/>
    <tableColumn id="35" name="列35" headerRowDxfId="143" headerRowCellStyle="好" dataCellStyle="好"/>
    <tableColumn id="36" name="列36" headerRowDxfId="142" headerRowCellStyle="好" dataCellStyle="好"/>
    <tableColumn id="37" name="列37" headerRowDxfId="141" headerRowCellStyle="好" dataCellStyle="好"/>
    <tableColumn id="38" name="列38" headerRowDxfId="140" headerRowCellStyle="好" dataCellStyle="好"/>
    <tableColumn id="39" name="列39" headerRowDxfId="139" headerRowCellStyle="好" dataCellStyle="好"/>
    <tableColumn id="40" name="列40" headerRowDxfId="138" headerRowCellStyle="好" dataCellStyle="好"/>
    <tableColumn id="41" name="列41" headerRowDxfId="137" headerRowCellStyle="好" dataCellStyle="好"/>
    <tableColumn id="42" name="列42" headerRowDxfId="136" headerRowCellStyle="好" dataCellStyle="好"/>
    <tableColumn id="43" name="列43" headerRowDxfId="135" headerRowCellStyle="好" dataCellStyle="好"/>
    <tableColumn id="44" name="列44" headerRowDxfId="134" headerRowCellStyle="好" dataCellStyle="好"/>
    <tableColumn id="45" name="列45" headerRowDxfId="133" headerRowCellStyle="好" dataCellStyle="好"/>
    <tableColumn id="46" name="列46" headerRowDxfId="132" headerRowCellStyle="好" dataCellStyle="好"/>
    <tableColumn id="47" name="列47" headerRowDxfId="131" headerRowCellStyle="好" dataCellStyle="好"/>
    <tableColumn id="48" name="列48" headerRowDxfId="130" headerRowCellStyle="好" dataCellStyle="好"/>
    <tableColumn id="49" name="列49" headerRowDxfId="129" headerRowCellStyle="好" dataCellStyle="好"/>
    <tableColumn id="50" name="列50" headerRowDxfId="128" headerRowCellStyle="好" dataCellStyle="好"/>
    <tableColumn id="51" name="列51" headerRowDxfId="127" headerRowCellStyle="好" dataCellStyle="好"/>
    <tableColumn id="52" name="列52" headerRowDxfId="126" headerRowCellStyle="好" dataCellStyle="好"/>
    <tableColumn id="53" name="列53" headerRowDxfId="125" headerRowCellStyle="好" dataCellStyle="好"/>
    <tableColumn id="54" name="列54" headerRowDxfId="124" headerRowCellStyle="好" dataCellStyle="好"/>
    <tableColumn id="55" name="列55" headerRowDxfId="123" headerRowCellStyle="好" dataCellStyle="好"/>
    <tableColumn id="56" name="列56" headerRowDxfId="122" headerRowCellStyle="好" dataCellStyle="好"/>
    <tableColumn id="57" name="列57" headerRowDxfId="121" headerRowCellStyle="好" dataCellStyle="好"/>
    <tableColumn id="58" name="列58" headerRowDxfId="120" headerRowCellStyle="好" dataCellStyle="好"/>
    <tableColumn id="59" name="列59" headerRowDxfId="119" headerRowCellStyle="好" dataCellStyle="好"/>
    <tableColumn id="60" name="列60" headerRowDxfId="118" headerRowCellStyle="好" dataCellStyle="好"/>
    <tableColumn id="61" name="列61" headerRowDxfId="117" headerRowCellStyle="好" dataCellStyle="好"/>
    <tableColumn id="62" name="列62" headerRowDxfId="116" headerRowCellStyle="好" dataCellStyle="好"/>
    <tableColumn id="63" name="列63" headerRowDxfId="115" headerRowCellStyle="好" dataCellStyle="好"/>
    <tableColumn id="64" name="列64" headerRowDxfId="114" headerRowCellStyle="好" dataCellStyle="好"/>
    <tableColumn id="65" name="列65" headerRowDxfId="113" headerRowCellStyle="好" dataCellStyle="好"/>
    <tableColumn id="66" name="列66" headerRowDxfId="112" headerRowCellStyle="好" dataCellStyle="好"/>
    <tableColumn id="67" name="列67" headerRowDxfId="111" headerRowCellStyle="好" dataCellStyle="好"/>
    <tableColumn id="68" name="列68" headerRowDxfId="110" headerRowCellStyle="好" dataCellStyle="好"/>
    <tableColumn id="69" name="列69" headerRowDxfId="109" headerRowCellStyle="好" dataCellStyle="好"/>
    <tableColumn id="70" name="列70" headerRowDxfId="108" headerRowCellStyle="好" dataCellStyle="好"/>
    <tableColumn id="71" name="列71" headerRowDxfId="107" headerRowCellStyle="好" dataCellStyle="好"/>
    <tableColumn id="72" name="列72" headerRowDxfId="106" headerRowCellStyle="好" dataCellStyle="好"/>
    <tableColumn id="73" name="列73" headerRowDxfId="105" headerRowCellStyle="好" dataCellStyle="好"/>
    <tableColumn id="74" name="列74" headerRowDxfId="104" headerRowCellStyle="好" dataCellStyle="好"/>
    <tableColumn id="75" name="列75" headerRowDxfId="103" headerRowCellStyle="好" dataCellStyle="好"/>
    <tableColumn id="76" name="列76" headerRowDxfId="102" headerRowCellStyle="好" dataCellStyle="好"/>
    <tableColumn id="77" name="列77" headerRowDxfId="101" headerRowCellStyle="好" dataCellStyle="好"/>
    <tableColumn id="78" name="列78" headerRowDxfId="100" headerRowCellStyle="好" dataCellStyle="好"/>
    <tableColumn id="79" name="列79" headerRowDxfId="99" headerRowCellStyle="好" dataCellStyle="好"/>
    <tableColumn id="80" name="列80" headerRowDxfId="98" headerRowCellStyle="好" dataCellStyle="好"/>
    <tableColumn id="81" name="列81" headerRowDxfId="97" headerRowCellStyle="好" dataCellStyle="好"/>
    <tableColumn id="82" name="列82" headerRowDxfId="96" headerRowCellStyle="好" dataCellStyle="好"/>
    <tableColumn id="83" name="列83" headerRowDxfId="95" headerRowCellStyle="好" dataCellStyle="好"/>
    <tableColumn id="84" name="列84" headerRowDxfId="94" headerRowCellStyle="好" dataCellStyle="好"/>
    <tableColumn id="85" name="列85" headerRowDxfId="93" headerRowCellStyle="好" dataCellStyle="好"/>
    <tableColumn id="86" name="列86" headerRowDxfId="92" headerRowCellStyle="好" dataCellStyle="好"/>
    <tableColumn id="87" name="列87" headerRowDxfId="91" headerRowCellStyle="好" dataCellStyle="好"/>
    <tableColumn id="88" name="列88" headerRowDxfId="90" headerRowCellStyle="好" dataCellStyle="好"/>
    <tableColumn id="89"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88" dataDxfId="87" dataCellStyle="好"/>
    <tableColumn id="2" name="列2" dataCellStyle="好"/>
    <tableColumn id="3" name="列3" dataCellStyle="好"/>
    <tableColumn id="4" name="列4" dataCellStyle="好"/>
    <tableColumn id="5" name="列5" dataDxfId="86" dataCellStyle="好"/>
    <tableColumn id="6" name="列6" dataDxfId="85" dataCellStyle="好"/>
    <tableColumn id="7" name="列7" dataDxfId="84" dataCellStyle="好"/>
    <tableColumn id="8" name="列8" dataDxfId="83" dataCellStyle="好"/>
    <tableColumn id="9" name="列9" dataDxfId="82" dataCellStyle="好"/>
    <tableColumn id="10" name="列10" dataDxfId="81" dataCellStyle="好"/>
    <tableColumn id="11" name="列11" dataDxfId="80" dataCellStyle="好"/>
    <tableColumn id="12" name="列12" dataDxfId="79" dataCellStyle="好"/>
    <tableColumn id="13" name="列13" dataDxfId="78" dataCellStyle="好"/>
    <tableColumn id="14" name="列14" dataDxfId="77" dataCellStyle="好"/>
    <tableColumn id="15" name="列15" dataDxfId="76" dataCellStyle="好"/>
    <tableColumn id="16" name="列16" dataDxfId="75" dataCellStyle="好"/>
    <tableColumn id="17" name="列17" dataDxfId="74" dataCellStyle="好"/>
    <tableColumn id="18" name="列18" dataDxfId="73" dataCellStyle="好"/>
    <tableColumn id="19" name="列19" dataDxfId="72" dataCellStyle="好"/>
    <tableColumn id="20" name="列20" dataDxfId="71" dataCellStyle="好"/>
    <tableColumn id="21" name="列21" dataDxfId="70" dataCellStyle="好"/>
    <tableColumn id="22" name="列22" dataDxfId="69" dataCellStyle="好"/>
    <tableColumn id="23" name="列23" dataDxfId="68" dataCellStyle="好"/>
    <tableColumn id="24" name="列24" dataDxfId="67" dataCellStyle="好"/>
    <tableColumn id="25" name="列25" dataDxfId="66" dataCellStyle="好"/>
    <tableColumn id="26" name="列26" dataDxfId="65" dataCellStyle="好"/>
    <tableColumn id="27" name="列27" dataDxfId="64" dataCellStyle="好"/>
    <tableColumn id="28" name="列28" dataDxfId="63" dataCellStyle="好"/>
    <tableColumn id="29" name="列29" dataDxfId="62" dataCellStyle="好"/>
    <tableColumn id="30" name="列30" dataDxfId="61" dataCellStyle="好"/>
    <tableColumn id="31" name="列31" dataDxfId="60" dataCellStyle="好"/>
    <tableColumn id="32" name="列32" dataDxfId="59" dataCellStyle="好"/>
    <tableColumn id="33" name="列33" dataDxfId="58" dataCellStyle="好"/>
    <tableColumn id="34" name="列34" dataDxfId="57" dataCellStyle="好"/>
    <tableColumn id="35" name="列35" dataDxfId="56" dataCellStyle="好"/>
    <tableColumn id="36" name="列36" dataDxfId="55" dataCellStyle="好"/>
    <tableColumn id="37" name="列37" dataDxfId="54" dataCellStyle="好"/>
    <tableColumn id="38" name="列38" dataDxfId="53" dataCellStyle="好"/>
    <tableColumn id="39" name="列39" dataDxfId="52" dataCellStyle="好"/>
    <tableColumn id="40" name="列40" dataDxfId="51" dataCellStyle="好"/>
    <tableColumn id="41" name="列41" dataDxfId="50" dataCellStyle="好"/>
    <tableColumn id="42" name="列42" dataDxfId="49" dataCellStyle="好"/>
    <tableColumn id="43" name="列43" dataDxfId="48" dataCellStyle="好"/>
    <tableColumn id="44" name="列44" dataDxfId="47" dataCellStyle="好"/>
    <tableColumn id="45" name="列45" dataDxfId="46" dataCellStyle="好"/>
    <tableColumn id="46" name="列46" dataDxfId="45" dataCellStyle="好"/>
    <tableColumn id="47" name="列47" dataDxfId="44" dataCellStyle="好"/>
    <tableColumn id="48" name="列48" dataDxfId="43" dataCellStyle="好"/>
    <tableColumn id="49" name="列49" dataDxfId="42" dataCellStyle="好"/>
    <tableColumn id="50" name="列50" dataDxfId="41" dataCellStyle="好"/>
    <tableColumn id="51" name="列51" dataDxfId="40" dataCellStyle="好"/>
    <tableColumn id="52" name="列52" dataDxfId="39" dataCellStyle="好"/>
    <tableColumn id="53" name="列53" dataDxfId="38" dataCellStyle="好"/>
    <tableColumn id="54" name="列54" dataDxfId="37" dataCellStyle="好"/>
    <tableColumn id="55" name="列55" dataDxfId="36" dataCellStyle="好"/>
    <tableColumn id="56" name="列56" dataDxfId="35" dataCellStyle="好"/>
    <tableColumn id="57" name="列57" dataDxfId="34" dataCellStyle="好"/>
    <tableColumn id="58" name="列58" dataDxfId="33" dataCellStyle="好"/>
    <tableColumn id="59" name="列59" dataDxfId="32" dataCellStyle="好"/>
    <tableColumn id="60" name="列60" dataDxfId="31" dataCellStyle="好"/>
    <tableColumn id="61" name="列61" dataDxfId="30" dataCellStyle="好"/>
    <tableColumn id="62" name="列62" dataDxfId="29" dataCellStyle="好"/>
    <tableColumn id="63" name="列63" dataDxfId="28" dataCellStyle="好"/>
    <tableColumn id="64" name="列64" dataDxfId="27" dataCellStyle="好"/>
    <tableColumn id="65" name="列65" dataDxfId="26" dataCellStyle="好"/>
    <tableColumn id="66" name="列66" dataDxfId="25" dataCellStyle="好"/>
    <tableColumn id="67" name="列67" dataDxfId="24" dataCellStyle="好"/>
    <tableColumn id="68" name="列68" dataDxfId="23" dataCellStyle="好"/>
    <tableColumn id="69" name="列69" dataDxfId="22" dataCellStyle="好"/>
    <tableColumn id="70" name="列70" dataDxfId="21" dataCellStyle="好"/>
    <tableColumn id="71" name="列71" dataDxfId="20" dataCellStyle="好"/>
    <tableColumn id="72" name="列72" dataDxfId="19" dataCellStyle="好"/>
    <tableColumn id="73" name="列73" dataDxfId="18" dataCellStyle="好"/>
    <tableColumn id="74" name="列74" dataDxfId="17" dataCellStyle="好"/>
    <tableColumn id="75" name="列75" dataDxfId="16" dataCellStyle="好"/>
    <tableColumn id="76" name="列76" dataDxfId="15" dataCellStyle="好"/>
    <tableColumn id="77" name="列77" dataDxfId="14" dataCellStyle="好"/>
    <tableColumn id="78" name="列78" dataDxfId="13" dataCellStyle="好"/>
    <tableColumn id="79" name="列79" dataDxfId="12" dataCellStyle="好"/>
    <tableColumn id="80" name="列80" dataDxfId="11" dataCellStyle="好"/>
    <tableColumn id="81" name="列81" dataDxfId="10" dataCellStyle="好"/>
    <tableColumn id="82" name="列82" dataDxfId="9" dataCellStyle="好"/>
    <tableColumn id="83" name="列83" dataDxfId="8" dataCellStyle="好"/>
    <tableColumn id="84" name="列84" dataDxfId="7" dataCellStyle="好"/>
    <tableColumn id="85" name="列85" dataDxfId="6" dataCellStyle="好"/>
    <tableColumn id="86" name="列86" dataDxfId="5" dataCellStyle="好"/>
    <tableColumn id="87" name="列87" dataDxfId="4" dataCellStyle="好"/>
    <tableColumn id="88" name="列88" dataDxfId="3" dataCellStyle="好"/>
    <tableColumn id="89"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Q85"/>
  <sheetViews>
    <sheetView workbookViewId="0">
      <selection activeCell="I4" sqref="I4"/>
    </sheetView>
  </sheetViews>
  <sheetFormatPr defaultRowHeight="13.5"/>
  <cols>
    <col min="1" max="1" width="34" style="40" bestFit="1" customWidth="1"/>
    <col min="2" max="4" width="12.75" style="40" hidden="1" customWidth="1"/>
    <col min="5" max="5" width="12.75" style="40" bestFit="1" customWidth="1"/>
    <col min="6" max="8" width="12.75" style="40" hidden="1" customWidth="1"/>
    <col min="9" max="9" width="12.75" style="40" bestFit="1" customWidth="1"/>
    <col min="10" max="11" width="12.75" style="40" hidden="1" customWidth="1"/>
    <col min="12" max="16" width="12.75" style="40" bestFit="1" customWidth="1"/>
    <col min="17" max="17" width="9.5" style="40" hidden="1" customWidth="1"/>
    <col min="18" max="16384" width="9" style="40"/>
  </cols>
  <sheetData>
    <row r="1" spans="1:17">
      <c r="A1" s="40">
        <v>300559</v>
      </c>
      <c r="B1" s="40">
        <v>20180930</v>
      </c>
      <c r="C1" s="40">
        <v>20180630</v>
      </c>
      <c r="D1" s="40">
        <v>20180331</v>
      </c>
      <c r="E1" s="40">
        <v>20171231</v>
      </c>
      <c r="F1" s="40">
        <v>20170930</v>
      </c>
      <c r="G1" s="40">
        <v>20170630</v>
      </c>
      <c r="H1" s="40">
        <v>20170331</v>
      </c>
      <c r="I1" s="40">
        <v>20161231</v>
      </c>
      <c r="J1" s="40">
        <v>20160930</v>
      </c>
      <c r="K1" s="40">
        <v>20160630</v>
      </c>
      <c r="L1" s="40">
        <v>20151231</v>
      </c>
      <c r="M1" s="40">
        <v>20141231</v>
      </c>
      <c r="N1" s="40">
        <v>20131231</v>
      </c>
      <c r="O1" s="40">
        <v>20121231</v>
      </c>
      <c r="P1" s="40">
        <v>20111231</v>
      </c>
      <c r="Q1" s="40">
        <v>19700101</v>
      </c>
    </row>
    <row r="2" spans="1:17">
      <c r="A2" s="40" t="s">
        <v>105</v>
      </c>
      <c r="B2" s="40" t="s">
        <v>106</v>
      </c>
      <c r="C2" s="40" t="s">
        <v>106</v>
      </c>
      <c r="D2" s="40" t="s">
        <v>106</v>
      </c>
      <c r="E2" s="40" t="s">
        <v>106</v>
      </c>
      <c r="F2" s="40" t="s">
        <v>106</v>
      </c>
      <c r="G2" s="40" t="s">
        <v>106</v>
      </c>
      <c r="H2" s="40" t="s">
        <v>106</v>
      </c>
      <c r="I2" s="40" t="s">
        <v>106</v>
      </c>
      <c r="J2" s="40" t="s">
        <v>106</v>
      </c>
      <c r="K2" s="40" t="s">
        <v>106</v>
      </c>
      <c r="L2" s="40" t="s">
        <v>106</v>
      </c>
      <c r="M2" s="40" t="s">
        <v>106</v>
      </c>
      <c r="N2" s="40" t="s">
        <v>106</v>
      </c>
      <c r="O2" s="40" t="s">
        <v>106</v>
      </c>
      <c r="P2" s="40" t="s">
        <v>106</v>
      </c>
    </row>
    <row r="3" spans="1:17">
      <c r="A3" s="40" t="s">
        <v>107</v>
      </c>
    </row>
    <row r="4" spans="1:17">
      <c r="A4" s="40" t="s">
        <v>108</v>
      </c>
      <c r="B4" s="40">
        <v>52473774.969999999</v>
      </c>
      <c r="C4" s="40">
        <v>41928092.789999999</v>
      </c>
      <c r="D4" s="40">
        <v>24115119.600000001</v>
      </c>
      <c r="E4" s="40">
        <v>462619726.81</v>
      </c>
      <c r="F4" s="40">
        <v>107296926.2</v>
      </c>
      <c r="G4" s="40">
        <v>59705580.670000002</v>
      </c>
      <c r="H4" s="40">
        <v>86686115.099999994</v>
      </c>
      <c r="I4" s="40">
        <v>113271854.45999999</v>
      </c>
      <c r="J4" s="40">
        <v>85346380.980000004</v>
      </c>
      <c r="K4" s="40">
        <v>83238034.700000003</v>
      </c>
      <c r="L4" s="40">
        <v>101054543.05</v>
      </c>
      <c r="M4" s="40">
        <v>117877584.94</v>
      </c>
      <c r="N4" s="40">
        <v>87797003.269999996</v>
      </c>
      <c r="O4" s="40">
        <v>65376596.740000002</v>
      </c>
      <c r="P4" s="40">
        <v>33665736.18</v>
      </c>
      <c r="Q4" s="40">
        <v>0</v>
      </c>
    </row>
    <row r="5" spans="1:17">
      <c r="A5" s="40" t="s">
        <v>109</v>
      </c>
      <c r="B5" s="40">
        <v>420108000</v>
      </c>
      <c r="C5" s="40">
        <v>379377900</v>
      </c>
      <c r="D5" s="40">
        <v>417000000</v>
      </c>
      <c r="E5" s="40">
        <v>0</v>
      </c>
      <c r="F5" s="40">
        <v>0</v>
      </c>
      <c r="G5" s="40">
        <v>0</v>
      </c>
      <c r="H5" s="40">
        <v>0</v>
      </c>
      <c r="I5" s="40">
        <v>0</v>
      </c>
      <c r="J5" s="40">
        <v>0</v>
      </c>
      <c r="K5" s="40">
        <v>0</v>
      </c>
      <c r="L5" s="40">
        <v>0</v>
      </c>
      <c r="M5" s="40">
        <v>0</v>
      </c>
      <c r="N5" s="40">
        <v>0</v>
      </c>
      <c r="O5" s="40">
        <v>0</v>
      </c>
      <c r="P5" s="40">
        <v>0</v>
      </c>
      <c r="Q5" s="40">
        <v>0</v>
      </c>
    </row>
    <row r="6" spans="1:17">
      <c r="A6" s="40" t="s">
        <v>110</v>
      </c>
      <c r="B6" s="40">
        <v>0</v>
      </c>
      <c r="C6" s="40">
        <v>0</v>
      </c>
      <c r="D6" s="40">
        <v>0</v>
      </c>
      <c r="E6" s="40">
        <v>0</v>
      </c>
      <c r="F6" s="40">
        <v>0</v>
      </c>
      <c r="G6" s="40">
        <v>0</v>
      </c>
      <c r="H6" s="40">
        <v>0</v>
      </c>
      <c r="I6" s="40">
        <v>0</v>
      </c>
      <c r="J6" s="40">
        <v>0</v>
      </c>
      <c r="K6" s="40">
        <v>0</v>
      </c>
      <c r="L6" s="40">
        <v>0</v>
      </c>
      <c r="M6" s="40">
        <v>0</v>
      </c>
      <c r="N6" s="40">
        <v>0</v>
      </c>
      <c r="O6" s="40">
        <v>0</v>
      </c>
      <c r="P6" s="40">
        <v>0</v>
      </c>
      <c r="Q6" s="40">
        <v>0</v>
      </c>
    </row>
    <row r="7" spans="1:17">
      <c r="A7" s="40" t="s">
        <v>111</v>
      </c>
      <c r="B7" s="40">
        <v>550000</v>
      </c>
      <c r="C7" s="40">
        <v>954000</v>
      </c>
      <c r="D7" s="40">
        <v>580000</v>
      </c>
      <c r="E7" s="40">
        <v>580000</v>
      </c>
      <c r="F7" s="40">
        <v>1000000</v>
      </c>
      <c r="G7" s="40">
        <v>1000000</v>
      </c>
      <c r="H7" s="40">
        <v>0</v>
      </c>
      <c r="I7" s="40">
        <v>443900</v>
      </c>
      <c r="J7" s="40">
        <v>1513530</v>
      </c>
      <c r="K7" s="40">
        <v>1718480</v>
      </c>
      <c r="L7" s="40">
        <v>1390489.98</v>
      </c>
      <c r="M7" s="40">
        <v>5843080</v>
      </c>
      <c r="N7" s="40">
        <v>600000</v>
      </c>
      <c r="O7" s="40">
        <v>0</v>
      </c>
      <c r="P7" s="40">
        <v>0</v>
      </c>
      <c r="Q7" s="40">
        <v>0</v>
      </c>
    </row>
    <row r="8" spans="1:17">
      <c r="A8" s="40" t="s">
        <v>112</v>
      </c>
      <c r="B8" s="40">
        <v>165392239.16999999</v>
      </c>
      <c r="C8" s="40">
        <v>150202198.28999999</v>
      </c>
      <c r="D8" s="40">
        <v>101469499.81</v>
      </c>
      <c r="E8" s="40">
        <v>77769001.579999998</v>
      </c>
      <c r="F8" s="40">
        <v>69127683.890000001</v>
      </c>
      <c r="G8" s="40">
        <v>83120652.140000001</v>
      </c>
      <c r="H8" s="40">
        <v>69956712.450000003</v>
      </c>
      <c r="I8" s="40">
        <v>78602010.909999996</v>
      </c>
      <c r="J8" s="40">
        <v>96621391.040000007</v>
      </c>
      <c r="K8" s="40">
        <v>92866714.290000007</v>
      </c>
      <c r="L8" s="40">
        <v>76757186.170000002</v>
      </c>
      <c r="M8" s="40">
        <v>70054234.390000001</v>
      </c>
      <c r="N8" s="40">
        <v>55199167.240000002</v>
      </c>
      <c r="O8" s="40">
        <v>33022927.43</v>
      </c>
      <c r="P8" s="40">
        <v>28417783.18</v>
      </c>
      <c r="Q8" s="40">
        <v>0</v>
      </c>
    </row>
    <row r="9" spans="1:17">
      <c r="A9" s="40" t="s">
        <v>113</v>
      </c>
      <c r="B9" s="40">
        <v>9571204.25</v>
      </c>
      <c r="C9" s="40">
        <v>8560136.2100000009</v>
      </c>
      <c r="D9" s="40">
        <v>7526863.4100000001</v>
      </c>
      <c r="E9" s="40">
        <v>2025954.91</v>
      </c>
      <c r="F9" s="40">
        <v>4917179.7</v>
      </c>
      <c r="G9" s="40">
        <v>1981939.71</v>
      </c>
      <c r="H9" s="40">
        <v>6272452.9000000004</v>
      </c>
      <c r="I9" s="40">
        <v>4317686.9000000004</v>
      </c>
      <c r="J9" s="40">
        <v>5650654.0999999996</v>
      </c>
      <c r="K9" s="40">
        <v>4283704.51</v>
      </c>
      <c r="L9" s="40">
        <v>627991.52</v>
      </c>
      <c r="M9" s="40">
        <v>100119</v>
      </c>
      <c r="N9" s="40">
        <v>1959152</v>
      </c>
      <c r="O9" s="40">
        <v>1698269.7</v>
      </c>
      <c r="P9" s="40">
        <v>2578282.2999999998</v>
      </c>
      <c r="Q9" s="40">
        <v>0</v>
      </c>
    </row>
    <row r="10" spans="1:17">
      <c r="A10" s="40" t="s">
        <v>114</v>
      </c>
      <c r="B10" s="40">
        <v>0</v>
      </c>
      <c r="C10" s="40">
        <v>0</v>
      </c>
      <c r="D10" s="40">
        <v>0</v>
      </c>
      <c r="E10" s="40">
        <v>0</v>
      </c>
      <c r="F10" s="40">
        <v>0</v>
      </c>
      <c r="G10" s="40">
        <v>0</v>
      </c>
      <c r="H10" s="40">
        <v>0</v>
      </c>
      <c r="I10" s="40">
        <v>0</v>
      </c>
      <c r="J10" s="40">
        <v>0</v>
      </c>
      <c r="K10" s="40">
        <v>0</v>
      </c>
      <c r="L10" s="40">
        <v>0</v>
      </c>
      <c r="M10" s="40">
        <v>0</v>
      </c>
      <c r="N10" s="40">
        <v>0</v>
      </c>
      <c r="O10" s="40">
        <v>0</v>
      </c>
      <c r="P10" s="40">
        <v>0</v>
      </c>
      <c r="Q10" s="40">
        <v>0</v>
      </c>
    </row>
    <row r="11" spans="1:17">
      <c r="A11" s="40" t="s">
        <v>115</v>
      </c>
      <c r="B11" s="40">
        <v>0</v>
      </c>
      <c r="C11" s="40">
        <v>0</v>
      </c>
      <c r="D11" s="40">
        <v>0</v>
      </c>
      <c r="E11" s="40">
        <v>0</v>
      </c>
      <c r="F11" s="40">
        <v>0</v>
      </c>
      <c r="G11" s="40">
        <v>0</v>
      </c>
      <c r="H11" s="40">
        <v>0</v>
      </c>
      <c r="I11" s="40">
        <v>0</v>
      </c>
      <c r="J11" s="40">
        <v>0</v>
      </c>
      <c r="K11" s="40">
        <v>0</v>
      </c>
      <c r="L11" s="40">
        <v>0</v>
      </c>
      <c r="M11" s="40">
        <v>0</v>
      </c>
      <c r="N11" s="40">
        <v>0</v>
      </c>
      <c r="O11" s="40">
        <v>0</v>
      </c>
      <c r="P11" s="40">
        <v>0</v>
      </c>
      <c r="Q11" s="40">
        <v>0</v>
      </c>
    </row>
    <row r="12" spans="1:17">
      <c r="A12" s="40" t="s">
        <v>116</v>
      </c>
      <c r="B12" s="40">
        <v>10840174.1</v>
      </c>
      <c r="C12" s="40">
        <v>9410115.9499999993</v>
      </c>
      <c r="D12" s="40">
        <v>10577231.890000001</v>
      </c>
      <c r="E12" s="40">
        <v>5538010.3399999999</v>
      </c>
      <c r="F12" s="40">
        <v>5831268.29</v>
      </c>
      <c r="G12" s="40">
        <v>4606675.87</v>
      </c>
      <c r="H12" s="40">
        <v>4919142.58</v>
      </c>
      <c r="I12" s="40">
        <v>4917323.6100000003</v>
      </c>
      <c r="J12" s="40">
        <v>4182442.04</v>
      </c>
      <c r="K12" s="40">
        <v>3408707.99</v>
      </c>
      <c r="L12" s="40">
        <v>946390.26</v>
      </c>
      <c r="M12" s="40">
        <v>621279.61</v>
      </c>
      <c r="N12" s="40">
        <v>6751873.1699999999</v>
      </c>
      <c r="O12" s="40">
        <v>8465502.9499999993</v>
      </c>
      <c r="P12" s="40">
        <v>6381282.7000000002</v>
      </c>
      <c r="Q12" s="40">
        <v>0</v>
      </c>
    </row>
    <row r="13" spans="1:17">
      <c r="A13" s="40" t="s">
        <v>117</v>
      </c>
      <c r="B13" s="40">
        <v>0</v>
      </c>
      <c r="C13" s="40">
        <v>0</v>
      </c>
      <c r="D13" s="40">
        <v>0</v>
      </c>
      <c r="E13" s="40">
        <v>0</v>
      </c>
      <c r="F13" s="40">
        <v>0</v>
      </c>
      <c r="G13" s="40">
        <v>0</v>
      </c>
      <c r="H13" s="40">
        <v>0</v>
      </c>
      <c r="I13" s="40">
        <v>0</v>
      </c>
      <c r="J13" s="40">
        <v>0</v>
      </c>
      <c r="K13" s="40">
        <v>0</v>
      </c>
      <c r="L13" s="40">
        <v>0</v>
      </c>
      <c r="M13" s="40">
        <v>0</v>
      </c>
      <c r="N13" s="40">
        <v>0</v>
      </c>
      <c r="O13" s="40">
        <v>0</v>
      </c>
      <c r="P13" s="40">
        <v>0</v>
      </c>
      <c r="Q13" s="40">
        <v>0</v>
      </c>
    </row>
    <row r="14" spans="1:17">
      <c r="A14" s="40" t="s">
        <v>118</v>
      </c>
      <c r="B14" s="40">
        <v>67728310.349999994</v>
      </c>
      <c r="C14" s="40">
        <v>51711961.07</v>
      </c>
      <c r="D14" s="40">
        <v>35893309.810000002</v>
      </c>
      <c r="E14" s="40">
        <v>22534308.899999999</v>
      </c>
      <c r="F14" s="40">
        <v>21500748.109999999</v>
      </c>
      <c r="G14" s="40">
        <v>18204653.09</v>
      </c>
      <c r="H14" s="40">
        <v>19175213.84</v>
      </c>
      <c r="I14" s="40">
        <v>21047282.420000002</v>
      </c>
      <c r="J14" s="40">
        <v>25415947.68</v>
      </c>
      <c r="K14" s="40">
        <v>29075881.34</v>
      </c>
      <c r="L14" s="40">
        <v>26321968.579999998</v>
      </c>
      <c r="M14" s="40">
        <v>18161671.59</v>
      </c>
      <c r="N14" s="40">
        <v>16617126.779999999</v>
      </c>
      <c r="O14" s="40">
        <v>31511637.98</v>
      </c>
      <c r="P14" s="40">
        <v>4546718.74</v>
      </c>
      <c r="Q14" s="40">
        <v>0</v>
      </c>
    </row>
    <row r="15" spans="1:17">
      <c r="A15" s="40" t="s">
        <v>119</v>
      </c>
      <c r="B15" s="40">
        <v>0</v>
      </c>
      <c r="C15" s="40">
        <v>0</v>
      </c>
      <c r="D15" s="40">
        <v>0</v>
      </c>
      <c r="E15" s="40">
        <v>0</v>
      </c>
      <c r="F15" s="40">
        <v>0</v>
      </c>
      <c r="G15" s="40">
        <v>0</v>
      </c>
      <c r="H15" s="40">
        <v>0</v>
      </c>
      <c r="I15" s="40">
        <v>0</v>
      </c>
      <c r="J15" s="40">
        <v>0</v>
      </c>
      <c r="K15" s="40">
        <v>0</v>
      </c>
      <c r="L15" s="40">
        <v>0</v>
      </c>
      <c r="M15" s="40">
        <v>0</v>
      </c>
      <c r="N15" s="40">
        <v>0</v>
      </c>
      <c r="O15" s="40">
        <v>0</v>
      </c>
      <c r="P15" s="40">
        <v>0</v>
      </c>
      <c r="Q15" s="40">
        <v>0</v>
      </c>
    </row>
    <row r="16" spans="1:17">
      <c r="A16" s="40" t="s">
        <v>120</v>
      </c>
      <c r="B16" s="40">
        <v>0</v>
      </c>
      <c r="C16" s="40">
        <v>0</v>
      </c>
      <c r="D16" s="40">
        <v>0</v>
      </c>
      <c r="E16" s="40">
        <v>0</v>
      </c>
      <c r="F16" s="40">
        <v>0</v>
      </c>
      <c r="G16" s="40">
        <v>0</v>
      </c>
      <c r="H16" s="40">
        <v>0</v>
      </c>
      <c r="I16" s="40">
        <v>0</v>
      </c>
      <c r="J16" s="40">
        <v>0</v>
      </c>
      <c r="K16" s="40">
        <v>0</v>
      </c>
      <c r="L16" s="40">
        <v>0</v>
      </c>
      <c r="M16" s="40">
        <v>0</v>
      </c>
      <c r="N16" s="40">
        <v>0</v>
      </c>
      <c r="O16" s="40">
        <v>0</v>
      </c>
      <c r="P16" s="40">
        <v>0</v>
      </c>
      <c r="Q16" s="40">
        <v>0</v>
      </c>
    </row>
    <row r="17" spans="1:17">
      <c r="A17" s="40" t="s">
        <v>121</v>
      </c>
      <c r="B17" s="40">
        <v>0</v>
      </c>
      <c r="C17" s="40">
        <v>0</v>
      </c>
      <c r="D17" s="40">
        <v>0</v>
      </c>
      <c r="E17" s="40">
        <v>0</v>
      </c>
      <c r="F17" s="40">
        <v>0</v>
      </c>
      <c r="G17" s="40">
        <v>0</v>
      </c>
      <c r="H17" s="40">
        <v>0</v>
      </c>
      <c r="I17" s="40">
        <v>0</v>
      </c>
      <c r="J17" s="40">
        <v>0</v>
      </c>
      <c r="K17" s="40">
        <v>0</v>
      </c>
      <c r="L17" s="40">
        <v>0</v>
      </c>
      <c r="M17" s="40">
        <v>0</v>
      </c>
      <c r="N17" s="40">
        <v>0</v>
      </c>
      <c r="O17" s="40">
        <v>0</v>
      </c>
      <c r="P17" s="40">
        <v>0</v>
      </c>
      <c r="Q17" s="40">
        <v>0</v>
      </c>
    </row>
    <row r="18" spans="1:17">
      <c r="A18" s="40" t="s">
        <v>122</v>
      </c>
      <c r="B18" s="40">
        <v>0</v>
      </c>
      <c r="C18" s="40">
        <v>0</v>
      </c>
      <c r="D18" s="40">
        <v>0</v>
      </c>
      <c r="E18" s="40">
        <v>0</v>
      </c>
      <c r="F18" s="40">
        <v>0</v>
      </c>
      <c r="G18" s="40">
        <v>0</v>
      </c>
      <c r="H18" s="40">
        <v>0</v>
      </c>
      <c r="I18" s="40">
        <v>0</v>
      </c>
      <c r="J18" s="40">
        <v>0</v>
      </c>
      <c r="K18" s="40">
        <v>0</v>
      </c>
      <c r="L18" s="40">
        <v>0</v>
      </c>
      <c r="M18" s="40">
        <v>0</v>
      </c>
      <c r="N18" s="40">
        <v>0</v>
      </c>
      <c r="O18" s="40">
        <v>0</v>
      </c>
      <c r="P18" s="40">
        <v>0</v>
      </c>
      <c r="Q18" s="40">
        <v>0</v>
      </c>
    </row>
    <row r="19" spans="1:17">
      <c r="A19" s="40" t="s">
        <v>123</v>
      </c>
      <c r="B19" s="40">
        <v>3356564.18</v>
      </c>
      <c r="C19" s="40">
        <v>1840276.45</v>
      </c>
      <c r="D19" s="40">
        <v>1011321.45</v>
      </c>
      <c r="E19" s="40">
        <v>947488.39</v>
      </c>
      <c r="F19" s="40">
        <v>320000320.82999998</v>
      </c>
      <c r="G19" s="40">
        <v>355805775</v>
      </c>
      <c r="H19" s="40">
        <v>320415133.32999998</v>
      </c>
      <c r="I19" s="40">
        <v>300035000</v>
      </c>
      <c r="J19" s="40">
        <v>0</v>
      </c>
      <c r="K19" s="40">
        <v>0</v>
      </c>
      <c r="L19" s="40">
        <v>0</v>
      </c>
      <c r="M19" s="40">
        <v>0</v>
      </c>
      <c r="N19" s="40">
        <v>0</v>
      </c>
      <c r="O19" s="40">
        <v>0</v>
      </c>
      <c r="P19" s="40">
        <v>0</v>
      </c>
      <c r="Q19" s="40">
        <v>0</v>
      </c>
    </row>
    <row r="20" spans="1:17">
      <c r="A20" s="40" t="s">
        <v>124</v>
      </c>
      <c r="B20" s="40">
        <v>730020267.01999998</v>
      </c>
      <c r="C20" s="40">
        <v>643984680.75999999</v>
      </c>
      <c r="D20" s="40">
        <v>598173345.97000003</v>
      </c>
      <c r="E20" s="40">
        <v>572014490.92999995</v>
      </c>
      <c r="F20" s="40">
        <v>529674127.01999998</v>
      </c>
      <c r="G20" s="40">
        <v>524425276.48000002</v>
      </c>
      <c r="H20" s="40">
        <v>507424770.19999999</v>
      </c>
      <c r="I20" s="40">
        <v>522635058.30000001</v>
      </c>
      <c r="J20" s="40">
        <v>218730345.84</v>
      </c>
      <c r="K20" s="40">
        <v>214591522.83000001</v>
      </c>
      <c r="L20" s="40">
        <v>207098569.56</v>
      </c>
      <c r="M20" s="40">
        <v>212657969.53</v>
      </c>
      <c r="N20" s="40">
        <v>168924322.46000001</v>
      </c>
      <c r="O20" s="40">
        <v>140074934.80000001</v>
      </c>
      <c r="P20" s="40">
        <v>75589803.099999994</v>
      </c>
      <c r="Q20" s="40">
        <v>0</v>
      </c>
    </row>
    <row r="21" spans="1:17">
      <c r="A21" s="40" t="s">
        <v>125</v>
      </c>
    </row>
    <row r="22" spans="1:17">
      <c r="A22" s="40" t="s">
        <v>126</v>
      </c>
      <c r="B22" s="40">
        <v>0</v>
      </c>
      <c r="C22" s="40">
        <v>0</v>
      </c>
      <c r="D22" s="40">
        <v>0</v>
      </c>
      <c r="E22" s="40">
        <v>0</v>
      </c>
      <c r="F22" s="40">
        <v>0</v>
      </c>
      <c r="G22" s="40">
        <v>0</v>
      </c>
      <c r="H22" s="40">
        <v>0</v>
      </c>
      <c r="I22" s="40">
        <v>0</v>
      </c>
      <c r="J22" s="40">
        <v>0</v>
      </c>
      <c r="K22" s="40">
        <v>0</v>
      </c>
      <c r="L22" s="40">
        <v>0</v>
      </c>
      <c r="M22" s="40">
        <v>0</v>
      </c>
      <c r="N22" s="40">
        <v>0</v>
      </c>
      <c r="O22" s="40">
        <v>0</v>
      </c>
      <c r="P22" s="40">
        <v>0</v>
      </c>
      <c r="Q22" s="40">
        <v>0</v>
      </c>
    </row>
    <row r="23" spans="1:17">
      <c r="A23" s="40" t="s">
        <v>127</v>
      </c>
      <c r="B23" s="40">
        <v>0</v>
      </c>
      <c r="C23" s="40">
        <v>20000000</v>
      </c>
      <c r="D23" s="40">
        <v>0</v>
      </c>
      <c r="E23" s="40">
        <v>0</v>
      </c>
      <c r="F23" s="40">
        <v>0</v>
      </c>
      <c r="G23" s="40">
        <v>0</v>
      </c>
      <c r="H23" s="40">
        <v>0</v>
      </c>
      <c r="I23" s="40">
        <v>0</v>
      </c>
      <c r="J23" s="40">
        <v>0</v>
      </c>
      <c r="K23" s="40">
        <v>0</v>
      </c>
      <c r="L23" s="40">
        <v>0</v>
      </c>
      <c r="M23" s="40">
        <v>0</v>
      </c>
      <c r="N23" s="40">
        <v>0</v>
      </c>
      <c r="O23" s="40">
        <v>0</v>
      </c>
      <c r="P23" s="40">
        <v>0</v>
      </c>
      <c r="Q23" s="40">
        <v>0</v>
      </c>
    </row>
    <row r="24" spans="1:17">
      <c r="A24" s="40" t="s">
        <v>128</v>
      </c>
      <c r="B24" s="40">
        <v>0</v>
      </c>
      <c r="C24" s="40">
        <v>0</v>
      </c>
      <c r="D24" s="40">
        <v>0</v>
      </c>
      <c r="E24" s="40">
        <v>0</v>
      </c>
      <c r="F24" s="40">
        <v>0</v>
      </c>
      <c r="G24" s="40">
        <v>0</v>
      </c>
      <c r="H24" s="40">
        <v>0</v>
      </c>
      <c r="I24" s="40">
        <v>0</v>
      </c>
      <c r="J24" s="40">
        <v>0</v>
      </c>
      <c r="K24" s="40">
        <v>0</v>
      </c>
      <c r="L24" s="40">
        <v>0</v>
      </c>
      <c r="M24" s="40">
        <v>0</v>
      </c>
      <c r="N24" s="40">
        <v>0</v>
      </c>
      <c r="O24" s="40">
        <v>0</v>
      </c>
      <c r="P24" s="40">
        <v>0</v>
      </c>
      <c r="Q24" s="40">
        <v>0</v>
      </c>
    </row>
    <row r="25" spans="1:17">
      <c r="A25" s="40" t="s">
        <v>129</v>
      </c>
      <c r="B25" s="40">
        <v>0</v>
      </c>
      <c r="C25" s="40">
        <v>0</v>
      </c>
      <c r="D25" s="40">
        <v>0</v>
      </c>
      <c r="E25" s="40">
        <v>0</v>
      </c>
      <c r="F25" s="40">
        <v>0</v>
      </c>
      <c r="G25" s="40">
        <v>0</v>
      </c>
      <c r="H25" s="40">
        <v>0</v>
      </c>
      <c r="I25" s="40">
        <v>0</v>
      </c>
      <c r="J25" s="40">
        <v>0</v>
      </c>
      <c r="K25" s="40">
        <v>0</v>
      </c>
      <c r="L25" s="40">
        <v>0</v>
      </c>
      <c r="M25" s="40">
        <v>0</v>
      </c>
      <c r="N25" s="40">
        <v>0</v>
      </c>
      <c r="O25" s="40">
        <v>0</v>
      </c>
      <c r="P25" s="40">
        <v>0</v>
      </c>
      <c r="Q25" s="40">
        <v>0</v>
      </c>
    </row>
    <row r="26" spans="1:17">
      <c r="A26" s="40" t="s">
        <v>130</v>
      </c>
      <c r="B26" s="40">
        <v>490000</v>
      </c>
      <c r="C26" s="40">
        <v>0</v>
      </c>
      <c r="D26" s="40">
        <v>0</v>
      </c>
      <c r="E26" s="40">
        <v>0</v>
      </c>
      <c r="F26" s="40">
        <v>0</v>
      </c>
      <c r="G26" s="40">
        <v>0</v>
      </c>
      <c r="H26" s="40">
        <v>0</v>
      </c>
      <c r="I26" s="40">
        <v>0</v>
      </c>
      <c r="J26" s="40">
        <v>0</v>
      </c>
      <c r="K26" s="40">
        <v>0</v>
      </c>
      <c r="L26" s="40">
        <v>0</v>
      </c>
      <c r="M26" s="40">
        <v>0</v>
      </c>
      <c r="N26" s="40">
        <v>0</v>
      </c>
      <c r="O26" s="40">
        <v>0</v>
      </c>
      <c r="P26" s="40">
        <v>0</v>
      </c>
      <c r="Q26" s="40">
        <v>0</v>
      </c>
    </row>
    <row r="27" spans="1:17">
      <c r="A27" s="40" t="s">
        <v>131</v>
      </c>
      <c r="B27" s="40">
        <v>0</v>
      </c>
      <c r="C27" s="40">
        <v>0</v>
      </c>
      <c r="D27" s="40">
        <v>0</v>
      </c>
      <c r="E27" s="40">
        <v>0</v>
      </c>
      <c r="F27" s="40">
        <v>0</v>
      </c>
      <c r="G27" s="40">
        <v>0</v>
      </c>
      <c r="H27" s="40">
        <v>0</v>
      </c>
      <c r="I27" s="40">
        <v>0</v>
      </c>
      <c r="J27" s="40">
        <v>0</v>
      </c>
      <c r="K27" s="40">
        <v>0</v>
      </c>
      <c r="L27" s="40">
        <v>0</v>
      </c>
      <c r="M27" s="40">
        <v>0</v>
      </c>
      <c r="N27" s="40">
        <v>0</v>
      </c>
      <c r="O27" s="40">
        <v>0</v>
      </c>
      <c r="P27" s="40">
        <v>0</v>
      </c>
      <c r="Q27" s="40">
        <v>0</v>
      </c>
    </row>
    <row r="28" spans="1:17">
      <c r="A28" s="40" t="s">
        <v>132</v>
      </c>
      <c r="B28" s="40">
        <v>86450004.219999999</v>
      </c>
      <c r="C28" s="40">
        <v>13980694.369999999</v>
      </c>
      <c r="D28" s="40">
        <v>14097881.1</v>
      </c>
      <c r="E28" s="40">
        <v>14353784.66</v>
      </c>
      <c r="F28" s="40">
        <v>11609021.5</v>
      </c>
      <c r="G28" s="40">
        <v>11534553.560000001</v>
      </c>
      <c r="H28" s="40">
        <v>11705890.439999999</v>
      </c>
      <c r="I28" s="40">
        <v>11984733.529999999</v>
      </c>
      <c r="J28" s="40">
        <v>12239249.52</v>
      </c>
      <c r="K28" s="40">
        <v>12616761.41</v>
      </c>
      <c r="L28" s="40">
        <v>13286209.310000001</v>
      </c>
      <c r="M28" s="40">
        <v>14880771</v>
      </c>
      <c r="N28" s="40">
        <v>15860142.1</v>
      </c>
      <c r="O28" s="40">
        <v>15402839.289999999</v>
      </c>
      <c r="P28" s="40">
        <v>677324.71</v>
      </c>
      <c r="Q28" s="40">
        <v>0</v>
      </c>
    </row>
    <row r="29" spans="1:17">
      <c r="A29" s="40" t="s">
        <v>133</v>
      </c>
      <c r="B29" s="40">
        <v>47117839.909999996</v>
      </c>
      <c r="C29" s="40">
        <v>112556712.69</v>
      </c>
      <c r="D29" s="40">
        <v>109746748.15000001</v>
      </c>
      <c r="E29" s="40">
        <v>97568192.680000007</v>
      </c>
      <c r="F29" s="40">
        <v>92627744.790000007</v>
      </c>
      <c r="G29" s="40">
        <v>92083473.989999995</v>
      </c>
      <c r="H29" s="40">
        <v>88049174.219999999</v>
      </c>
      <c r="I29" s="40">
        <v>87466865.629999995</v>
      </c>
      <c r="J29" s="40">
        <v>79183559.030000001</v>
      </c>
      <c r="K29" s="40">
        <v>74724642.560000002</v>
      </c>
      <c r="L29" s="40">
        <v>61562018.020000003</v>
      </c>
      <c r="M29" s="40">
        <v>3648597.38</v>
      </c>
      <c r="N29" s="40">
        <v>0</v>
      </c>
      <c r="O29" s="40">
        <v>0</v>
      </c>
      <c r="P29" s="40">
        <v>0</v>
      </c>
      <c r="Q29" s="40">
        <v>0</v>
      </c>
    </row>
    <row r="30" spans="1:17">
      <c r="A30" s="40" t="s">
        <v>134</v>
      </c>
      <c r="B30" s="40">
        <v>0</v>
      </c>
      <c r="C30" s="40">
        <v>0</v>
      </c>
      <c r="D30" s="40">
        <v>0</v>
      </c>
      <c r="E30" s="40">
        <v>0</v>
      </c>
      <c r="F30" s="40">
        <v>0</v>
      </c>
      <c r="G30" s="40">
        <v>0</v>
      </c>
      <c r="H30" s="40">
        <v>0</v>
      </c>
      <c r="I30" s="40">
        <v>0</v>
      </c>
      <c r="J30" s="40">
        <v>0</v>
      </c>
      <c r="K30" s="40">
        <v>0</v>
      </c>
      <c r="L30" s="40">
        <v>0</v>
      </c>
      <c r="M30" s="40">
        <v>0</v>
      </c>
      <c r="N30" s="40">
        <v>0</v>
      </c>
      <c r="O30" s="40">
        <v>0</v>
      </c>
      <c r="P30" s="40">
        <v>0</v>
      </c>
      <c r="Q30" s="40">
        <v>0</v>
      </c>
    </row>
    <row r="31" spans="1:17">
      <c r="A31" s="40" t="s">
        <v>135</v>
      </c>
      <c r="B31" s="40">
        <v>0</v>
      </c>
      <c r="C31" s="40">
        <v>0</v>
      </c>
      <c r="D31" s="40">
        <v>0</v>
      </c>
      <c r="E31" s="40">
        <v>0</v>
      </c>
      <c r="F31" s="40">
        <v>0</v>
      </c>
      <c r="G31" s="40">
        <v>0</v>
      </c>
      <c r="H31" s="40">
        <v>0</v>
      </c>
      <c r="I31" s="40">
        <v>0</v>
      </c>
      <c r="J31" s="40">
        <v>0</v>
      </c>
      <c r="K31" s="40">
        <v>0</v>
      </c>
      <c r="L31" s="40">
        <v>0</v>
      </c>
      <c r="M31" s="40">
        <v>0</v>
      </c>
      <c r="N31" s="40">
        <v>0</v>
      </c>
      <c r="O31" s="40">
        <v>0</v>
      </c>
      <c r="P31" s="40">
        <v>0</v>
      </c>
      <c r="Q31" s="40">
        <v>0</v>
      </c>
    </row>
    <row r="32" spans="1:17">
      <c r="A32" s="40" t="s">
        <v>136</v>
      </c>
      <c r="B32" s="40">
        <v>0</v>
      </c>
      <c r="C32" s="40">
        <v>0</v>
      </c>
      <c r="D32" s="40">
        <v>0</v>
      </c>
      <c r="E32" s="40">
        <v>0</v>
      </c>
      <c r="F32" s="40">
        <v>0</v>
      </c>
      <c r="G32" s="40">
        <v>0</v>
      </c>
      <c r="H32" s="40">
        <v>0</v>
      </c>
      <c r="I32" s="40">
        <v>0</v>
      </c>
      <c r="J32" s="40">
        <v>0</v>
      </c>
      <c r="K32" s="40">
        <v>0</v>
      </c>
      <c r="L32" s="40">
        <v>0</v>
      </c>
      <c r="M32" s="40">
        <v>0</v>
      </c>
      <c r="N32" s="40">
        <v>0</v>
      </c>
      <c r="O32" s="40">
        <v>0</v>
      </c>
      <c r="P32" s="40">
        <v>0</v>
      </c>
      <c r="Q32" s="40">
        <v>0</v>
      </c>
    </row>
    <row r="33" spans="1:17">
      <c r="A33" s="40" t="s">
        <v>137</v>
      </c>
      <c r="B33" s="40">
        <v>0</v>
      </c>
      <c r="C33" s="40">
        <v>0</v>
      </c>
      <c r="D33" s="40">
        <v>0</v>
      </c>
      <c r="E33" s="40">
        <v>0</v>
      </c>
      <c r="F33" s="40">
        <v>0</v>
      </c>
      <c r="G33" s="40">
        <v>0</v>
      </c>
      <c r="H33" s="40">
        <v>0</v>
      </c>
      <c r="I33" s="40">
        <v>0</v>
      </c>
      <c r="J33" s="40">
        <v>0</v>
      </c>
      <c r="K33" s="40">
        <v>0</v>
      </c>
      <c r="L33" s="40">
        <v>0</v>
      </c>
      <c r="M33" s="40">
        <v>0</v>
      </c>
      <c r="N33" s="40">
        <v>0</v>
      </c>
      <c r="O33" s="40">
        <v>0</v>
      </c>
      <c r="P33" s="40">
        <v>0</v>
      </c>
      <c r="Q33" s="40">
        <v>0</v>
      </c>
    </row>
    <row r="34" spans="1:17">
      <c r="A34" s="40" t="s">
        <v>138</v>
      </c>
      <c r="B34" s="40">
        <v>0</v>
      </c>
      <c r="C34" s="40">
        <v>0</v>
      </c>
      <c r="D34" s="40">
        <v>0</v>
      </c>
      <c r="E34" s="40">
        <v>0</v>
      </c>
      <c r="F34" s="40">
        <v>0</v>
      </c>
      <c r="G34" s="40">
        <v>0</v>
      </c>
      <c r="H34" s="40">
        <v>0</v>
      </c>
      <c r="I34" s="40">
        <v>0</v>
      </c>
      <c r="J34" s="40">
        <v>0</v>
      </c>
      <c r="K34" s="40">
        <v>0</v>
      </c>
      <c r="L34" s="40">
        <v>0</v>
      </c>
      <c r="M34" s="40">
        <v>0</v>
      </c>
      <c r="N34" s="40">
        <v>0</v>
      </c>
      <c r="O34" s="40">
        <v>0</v>
      </c>
      <c r="P34" s="40">
        <v>0</v>
      </c>
      <c r="Q34" s="40">
        <v>0</v>
      </c>
    </row>
    <row r="35" spans="1:17">
      <c r="A35" s="40" t="s">
        <v>139</v>
      </c>
      <c r="B35" s="40">
        <v>25069656.199999999</v>
      </c>
      <c r="C35" s="40">
        <v>26036436.359999999</v>
      </c>
      <c r="D35" s="40">
        <v>27003216.52</v>
      </c>
      <c r="E35" s="40">
        <v>27717310.609999999</v>
      </c>
      <c r="F35" s="40">
        <v>28671663.600000001</v>
      </c>
      <c r="G35" s="40">
        <v>20477017.260000002</v>
      </c>
      <c r="H35" s="40">
        <v>21046539.030000001</v>
      </c>
      <c r="I35" s="40">
        <v>21767187.800000001</v>
      </c>
      <c r="J35" s="40">
        <v>14564241.83</v>
      </c>
      <c r="K35" s="40">
        <v>14662126.970000001</v>
      </c>
      <c r="L35" s="40">
        <v>14766917.619999999</v>
      </c>
      <c r="M35" s="40">
        <v>15148795.539999999</v>
      </c>
      <c r="N35" s="40">
        <v>15450758.960000001</v>
      </c>
      <c r="O35" s="40">
        <v>107458.67</v>
      </c>
      <c r="P35" s="40">
        <v>83562.89</v>
      </c>
      <c r="Q35" s="40">
        <v>0</v>
      </c>
    </row>
    <row r="36" spans="1:17">
      <c r="A36" s="40" t="s">
        <v>140</v>
      </c>
      <c r="B36" s="40">
        <v>0</v>
      </c>
      <c r="C36" s="40">
        <v>0</v>
      </c>
      <c r="D36" s="40">
        <v>0</v>
      </c>
      <c r="E36" s="40">
        <v>0</v>
      </c>
      <c r="F36" s="40">
        <v>0</v>
      </c>
      <c r="G36" s="40">
        <v>0</v>
      </c>
      <c r="H36" s="40">
        <v>0</v>
      </c>
      <c r="I36" s="40">
        <v>0</v>
      </c>
      <c r="J36" s="40">
        <v>0</v>
      </c>
      <c r="K36" s="40">
        <v>0</v>
      </c>
      <c r="L36" s="40">
        <v>0</v>
      </c>
      <c r="M36" s="40">
        <v>0</v>
      </c>
      <c r="N36" s="40">
        <v>0</v>
      </c>
      <c r="O36" s="40">
        <v>0</v>
      </c>
      <c r="P36" s="40">
        <v>0</v>
      </c>
      <c r="Q36" s="40">
        <v>0</v>
      </c>
    </row>
    <row r="37" spans="1:17">
      <c r="A37" s="40" t="s">
        <v>141</v>
      </c>
      <c r="B37" s="40">
        <v>44500991.07</v>
      </c>
      <c r="C37" s="40">
        <v>44500991.07</v>
      </c>
      <c r="D37" s="40">
        <v>44500991.07</v>
      </c>
      <c r="E37" s="40">
        <v>44500991.07</v>
      </c>
      <c r="F37" s="40">
        <v>44855227.609999999</v>
      </c>
      <c r="G37" s="40">
        <v>0</v>
      </c>
      <c r="H37" s="40">
        <v>0</v>
      </c>
      <c r="I37" s="40">
        <v>0</v>
      </c>
      <c r="J37" s="40">
        <v>0</v>
      </c>
      <c r="K37" s="40">
        <v>0</v>
      </c>
      <c r="L37" s="40">
        <v>0</v>
      </c>
      <c r="M37" s="40">
        <v>0</v>
      </c>
      <c r="N37" s="40">
        <v>0</v>
      </c>
      <c r="O37" s="40">
        <v>0</v>
      </c>
      <c r="P37" s="40">
        <v>0</v>
      </c>
      <c r="Q37" s="40">
        <v>0</v>
      </c>
    </row>
    <row r="38" spans="1:17">
      <c r="A38" s="40" t="s">
        <v>142</v>
      </c>
      <c r="B38" s="40">
        <v>0</v>
      </c>
      <c r="C38" s="40">
        <v>0</v>
      </c>
      <c r="D38" s="40">
        <v>0</v>
      </c>
      <c r="E38" s="40">
        <v>0</v>
      </c>
      <c r="F38" s="40">
        <v>0</v>
      </c>
      <c r="G38" s="40">
        <v>0</v>
      </c>
      <c r="H38" s="40">
        <v>0</v>
      </c>
      <c r="I38" s="40">
        <v>0</v>
      </c>
      <c r="J38" s="40">
        <v>0</v>
      </c>
      <c r="K38" s="40">
        <v>0</v>
      </c>
      <c r="L38" s="40">
        <v>0</v>
      </c>
      <c r="M38" s="40">
        <v>0</v>
      </c>
      <c r="N38" s="40">
        <v>0</v>
      </c>
      <c r="O38" s="40">
        <v>0</v>
      </c>
      <c r="P38" s="40">
        <v>0</v>
      </c>
      <c r="Q38" s="40">
        <v>0</v>
      </c>
    </row>
    <row r="39" spans="1:17">
      <c r="A39" s="40" t="s">
        <v>143</v>
      </c>
      <c r="B39" s="40">
        <v>4461216.51</v>
      </c>
      <c r="C39" s="40">
        <v>3519418.07</v>
      </c>
      <c r="D39" s="40">
        <v>2307392.8199999998</v>
      </c>
      <c r="E39" s="40">
        <v>1418974.75</v>
      </c>
      <c r="F39" s="40">
        <v>1468934.77</v>
      </c>
      <c r="G39" s="40">
        <v>1407529.74</v>
      </c>
      <c r="H39" s="40">
        <v>1049019.19</v>
      </c>
      <c r="I39" s="40">
        <v>992257.88</v>
      </c>
      <c r="J39" s="40">
        <v>898615.53</v>
      </c>
      <c r="K39" s="40">
        <v>857343.94</v>
      </c>
      <c r="L39" s="40">
        <v>970441.82</v>
      </c>
      <c r="M39" s="40">
        <v>791696.72</v>
      </c>
      <c r="N39" s="40">
        <v>798802.88</v>
      </c>
      <c r="O39" s="40">
        <v>465070.94</v>
      </c>
      <c r="P39" s="40">
        <v>298686.18</v>
      </c>
      <c r="Q39" s="40">
        <v>0</v>
      </c>
    </row>
    <row r="40" spans="1:17">
      <c r="A40" s="40" t="s">
        <v>144</v>
      </c>
      <c r="B40" s="40">
        <v>0</v>
      </c>
      <c r="C40" s="40">
        <v>0</v>
      </c>
      <c r="D40" s="40">
        <v>0</v>
      </c>
      <c r="E40" s="40">
        <v>0</v>
      </c>
      <c r="F40" s="40">
        <v>0</v>
      </c>
      <c r="G40" s="40">
        <v>0</v>
      </c>
      <c r="H40" s="40">
        <v>0</v>
      </c>
      <c r="I40" s="40">
        <v>0</v>
      </c>
      <c r="J40" s="40">
        <v>0</v>
      </c>
      <c r="K40" s="40">
        <v>0</v>
      </c>
      <c r="L40" s="40">
        <v>0</v>
      </c>
      <c r="M40" s="40">
        <v>0</v>
      </c>
      <c r="N40" s="40">
        <v>0</v>
      </c>
      <c r="O40" s="40">
        <v>0</v>
      </c>
      <c r="P40" s="40">
        <v>0</v>
      </c>
      <c r="Q40" s="40">
        <v>0</v>
      </c>
    </row>
    <row r="41" spans="1:17">
      <c r="A41" s="40" t="s">
        <v>145</v>
      </c>
      <c r="B41" s="40">
        <v>208089707.91</v>
      </c>
      <c r="C41" s="40">
        <v>220594252.56</v>
      </c>
      <c r="D41" s="40">
        <v>197656229.66</v>
      </c>
      <c r="E41" s="40">
        <v>185559253.77000001</v>
      </c>
      <c r="F41" s="40">
        <v>179232592.27000001</v>
      </c>
      <c r="G41" s="40">
        <v>125502574.55</v>
      </c>
      <c r="H41" s="40">
        <v>121850622.88</v>
      </c>
      <c r="I41" s="40">
        <v>122211044.84</v>
      </c>
      <c r="J41" s="40">
        <v>106885665.91</v>
      </c>
      <c r="K41" s="40">
        <v>102860874.88</v>
      </c>
      <c r="L41" s="40">
        <v>90585586.769999996</v>
      </c>
      <c r="M41" s="40">
        <v>34469860.640000001</v>
      </c>
      <c r="N41" s="40">
        <v>32109703.940000001</v>
      </c>
      <c r="O41" s="40">
        <v>15975368.9</v>
      </c>
      <c r="P41" s="40">
        <v>1059573.78</v>
      </c>
      <c r="Q41" s="40">
        <v>0</v>
      </c>
    </row>
    <row r="42" spans="1:17">
      <c r="A42" s="40" t="s">
        <v>146</v>
      </c>
      <c r="B42" s="40">
        <v>938109974.92999995</v>
      </c>
      <c r="C42" s="40">
        <v>864578933.32000005</v>
      </c>
      <c r="D42" s="40">
        <v>795829575.63</v>
      </c>
      <c r="E42" s="40">
        <v>757573744.70000005</v>
      </c>
      <c r="F42" s="40">
        <v>708906719.28999996</v>
      </c>
      <c r="G42" s="40">
        <v>649927851.02999997</v>
      </c>
      <c r="H42" s="40">
        <v>629275393.08000004</v>
      </c>
      <c r="I42" s="40">
        <v>644846103.13999999</v>
      </c>
      <c r="J42" s="40">
        <v>325616011.75</v>
      </c>
      <c r="K42" s="40">
        <v>317452397.70999998</v>
      </c>
      <c r="L42" s="40">
        <v>297684156.32999998</v>
      </c>
      <c r="M42" s="40">
        <v>247127830.16999999</v>
      </c>
      <c r="N42" s="40">
        <v>201034026.40000001</v>
      </c>
      <c r="O42" s="40">
        <v>156050303.69999999</v>
      </c>
      <c r="P42" s="40">
        <v>76649376.879999995</v>
      </c>
      <c r="Q42" s="40">
        <v>0</v>
      </c>
    </row>
    <row r="43" spans="1:17">
      <c r="A43" s="40" t="s">
        <v>147</v>
      </c>
    </row>
    <row r="44" spans="1:17">
      <c r="A44" s="40" t="s">
        <v>148</v>
      </c>
      <c r="B44" s="40">
        <v>0</v>
      </c>
      <c r="C44" s="40">
        <v>0</v>
      </c>
      <c r="D44" s="40">
        <v>0</v>
      </c>
      <c r="E44" s="40">
        <v>0</v>
      </c>
      <c r="F44" s="40">
        <v>0</v>
      </c>
      <c r="G44" s="40">
        <v>0</v>
      </c>
      <c r="H44" s="40">
        <v>0</v>
      </c>
      <c r="I44" s="40">
        <v>0</v>
      </c>
      <c r="J44" s="40">
        <v>0</v>
      </c>
      <c r="K44" s="40">
        <v>0</v>
      </c>
      <c r="L44" s="40">
        <v>0</v>
      </c>
      <c r="M44" s="40">
        <v>0</v>
      </c>
      <c r="N44" s="40">
        <v>0</v>
      </c>
      <c r="O44" s="40">
        <v>0</v>
      </c>
      <c r="P44" s="40">
        <v>0</v>
      </c>
      <c r="Q44" s="40">
        <v>0</v>
      </c>
    </row>
    <row r="45" spans="1:17">
      <c r="A45" s="40" t="s">
        <v>149</v>
      </c>
      <c r="B45" s="40">
        <v>0</v>
      </c>
      <c r="C45" s="40">
        <v>0</v>
      </c>
      <c r="D45" s="40">
        <v>0</v>
      </c>
      <c r="E45" s="40">
        <v>0</v>
      </c>
      <c r="F45" s="40">
        <v>0</v>
      </c>
      <c r="G45" s="40">
        <v>0</v>
      </c>
      <c r="H45" s="40">
        <v>0</v>
      </c>
      <c r="I45" s="40">
        <v>0</v>
      </c>
      <c r="J45" s="40">
        <v>0</v>
      </c>
      <c r="K45" s="40">
        <v>0</v>
      </c>
      <c r="L45" s="40">
        <v>0</v>
      </c>
      <c r="M45" s="40">
        <v>0</v>
      </c>
      <c r="N45" s="40">
        <v>0</v>
      </c>
      <c r="O45" s="40">
        <v>0</v>
      </c>
      <c r="P45" s="40">
        <v>0</v>
      </c>
      <c r="Q45" s="40">
        <v>0</v>
      </c>
    </row>
    <row r="46" spans="1:17">
      <c r="A46" s="40" t="s">
        <v>150</v>
      </c>
      <c r="B46" s="40">
        <v>0</v>
      </c>
      <c r="C46" s="40">
        <v>27606322.940000001</v>
      </c>
      <c r="D46" s="40">
        <v>1657585</v>
      </c>
      <c r="E46" s="40">
        <v>10731381</v>
      </c>
      <c r="F46" s="40">
        <v>10859606</v>
      </c>
      <c r="G46" s="40">
        <v>4876914</v>
      </c>
      <c r="H46" s="40">
        <v>10156210</v>
      </c>
      <c r="I46" s="40">
        <v>8904368</v>
      </c>
      <c r="J46" s="40">
        <v>7598512</v>
      </c>
      <c r="K46" s="40">
        <v>6281712</v>
      </c>
      <c r="L46" s="40">
        <v>18413410</v>
      </c>
      <c r="M46" s="40">
        <v>6779477</v>
      </c>
      <c r="N46" s="40">
        <v>5000000</v>
      </c>
      <c r="O46" s="40">
        <v>0</v>
      </c>
      <c r="P46" s="40">
        <v>0</v>
      </c>
      <c r="Q46" s="40">
        <v>0</v>
      </c>
    </row>
    <row r="47" spans="1:17">
      <c r="A47" s="40" t="s">
        <v>151</v>
      </c>
      <c r="B47" s="40">
        <v>0</v>
      </c>
      <c r="C47" s="40">
        <v>60670015.100000001</v>
      </c>
      <c r="D47" s="40">
        <v>53526625.640000001</v>
      </c>
      <c r="E47" s="40">
        <v>34480612.740000002</v>
      </c>
      <c r="F47" s="40">
        <v>31244342.210000001</v>
      </c>
      <c r="G47" s="40">
        <v>36702178.409999996</v>
      </c>
      <c r="H47" s="40">
        <v>25804220.920000002</v>
      </c>
      <c r="I47" s="40">
        <v>32639056.649999999</v>
      </c>
      <c r="J47" s="40">
        <v>25355986.530000001</v>
      </c>
      <c r="K47" s="40">
        <v>28382335.25</v>
      </c>
      <c r="L47" s="40">
        <v>22392950.32</v>
      </c>
      <c r="M47" s="40">
        <v>9050556.1799999997</v>
      </c>
      <c r="N47" s="40">
        <v>8115608.7800000003</v>
      </c>
      <c r="O47" s="40">
        <v>16330089.189999999</v>
      </c>
      <c r="P47" s="40">
        <v>6669783.6900000004</v>
      </c>
      <c r="Q47" s="40">
        <v>0</v>
      </c>
    </row>
    <row r="48" spans="1:17">
      <c r="A48" s="40" t="s">
        <v>152</v>
      </c>
      <c r="B48" s="40">
        <v>4763080.59</v>
      </c>
      <c r="C48" s="40">
        <v>1663688.5</v>
      </c>
      <c r="D48" s="40">
        <v>1955698.34</v>
      </c>
      <c r="E48" s="40">
        <v>1546026.34</v>
      </c>
      <c r="F48" s="40">
        <v>3651324.2</v>
      </c>
      <c r="G48" s="40">
        <v>639518</v>
      </c>
      <c r="H48" s="40">
        <v>1153270</v>
      </c>
      <c r="I48" s="40">
        <v>3129848.5</v>
      </c>
      <c r="J48" s="40">
        <v>4544138.0999999996</v>
      </c>
      <c r="K48" s="40">
        <v>3172048.06</v>
      </c>
      <c r="L48" s="40">
        <v>1985036</v>
      </c>
      <c r="M48" s="40">
        <v>2494294</v>
      </c>
      <c r="N48" s="40">
        <v>5926220</v>
      </c>
      <c r="O48" s="40">
        <v>26450722</v>
      </c>
      <c r="P48" s="40">
        <v>1544263</v>
      </c>
      <c r="Q48" s="40">
        <v>0</v>
      </c>
    </row>
    <row r="49" spans="1:17">
      <c r="A49" s="40" t="s">
        <v>153</v>
      </c>
      <c r="B49" s="40">
        <v>0</v>
      </c>
      <c r="C49" s="40">
        <v>0</v>
      </c>
      <c r="D49" s="40">
        <v>0</v>
      </c>
      <c r="E49" s="40">
        <v>0</v>
      </c>
      <c r="F49" s="40">
        <v>0</v>
      </c>
      <c r="G49" s="40">
        <v>0</v>
      </c>
      <c r="H49" s="40">
        <v>0</v>
      </c>
      <c r="I49" s="40">
        <v>0</v>
      </c>
      <c r="J49" s="40">
        <v>0</v>
      </c>
      <c r="K49" s="40">
        <v>0</v>
      </c>
      <c r="L49" s="40">
        <v>0</v>
      </c>
      <c r="M49" s="40">
        <v>0</v>
      </c>
      <c r="N49" s="40">
        <v>0</v>
      </c>
      <c r="O49" s="40">
        <v>0</v>
      </c>
      <c r="P49" s="40">
        <v>0</v>
      </c>
      <c r="Q49" s="40">
        <v>0</v>
      </c>
    </row>
    <row r="50" spans="1:17">
      <c r="A50" s="40" t="s">
        <v>154</v>
      </c>
      <c r="B50" s="40">
        <v>10406747.439999999</v>
      </c>
      <c r="C50" s="40">
        <v>8936449.8699999992</v>
      </c>
      <c r="D50" s="40">
        <v>8422392.9399999995</v>
      </c>
      <c r="E50" s="40">
        <v>13700684.539999999</v>
      </c>
      <c r="F50" s="40">
        <v>7863358.4199999999</v>
      </c>
      <c r="G50" s="40">
        <v>6830528.7400000002</v>
      </c>
      <c r="H50" s="40">
        <v>5792345.2000000002</v>
      </c>
      <c r="I50" s="40">
        <v>9746195.0700000003</v>
      </c>
      <c r="J50" s="40">
        <v>6079876.3399999999</v>
      </c>
      <c r="K50" s="40">
        <v>5479373.6900000004</v>
      </c>
      <c r="L50" s="40">
        <v>10093271.199999999</v>
      </c>
      <c r="M50" s="40">
        <v>12041563.16</v>
      </c>
      <c r="N50" s="40">
        <v>10348318.779999999</v>
      </c>
      <c r="O50" s="40">
        <v>10947937.26</v>
      </c>
      <c r="P50" s="40">
        <v>1612911.41</v>
      </c>
      <c r="Q50" s="40">
        <v>0</v>
      </c>
    </row>
    <row r="51" spans="1:17">
      <c r="A51" s="40" t="s">
        <v>155</v>
      </c>
      <c r="B51" s="40">
        <v>9786820.7699999996</v>
      </c>
      <c r="C51" s="40">
        <v>10821412.98</v>
      </c>
      <c r="D51" s="40">
        <v>4939060.4800000004</v>
      </c>
      <c r="E51" s="40">
        <v>14585935.529999999</v>
      </c>
      <c r="F51" s="40">
        <v>8303490.3799999999</v>
      </c>
      <c r="G51" s="40">
        <v>6866764.6799999997</v>
      </c>
      <c r="H51" s="40">
        <v>1561424.79</v>
      </c>
      <c r="I51" s="40">
        <v>7558472.1100000003</v>
      </c>
      <c r="J51" s="40">
        <v>1927857.41</v>
      </c>
      <c r="K51" s="40">
        <v>4023566.92</v>
      </c>
      <c r="L51" s="40">
        <v>4895912.5199999996</v>
      </c>
      <c r="M51" s="40">
        <v>4913619.33</v>
      </c>
      <c r="N51" s="40">
        <v>1778218.99</v>
      </c>
      <c r="O51" s="40">
        <v>-3252468.11</v>
      </c>
      <c r="P51" s="40">
        <v>2228496.37</v>
      </c>
      <c r="Q51" s="40">
        <v>0</v>
      </c>
    </row>
    <row r="52" spans="1:17">
      <c r="A52" s="40" t="s">
        <v>156</v>
      </c>
      <c r="B52" s="40">
        <v>0</v>
      </c>
      <c r="C52" s="40">
        <v>0</v>
      </c>
      <c r="D52" s="40">
        <v>0</v>
      </c>
      <c r="E52" s="40">
        <v>0</v>
      </c>
      <c r="F52" s="40">
        <v>0</v>
      </c>
      <c r="G52" s="40">
        <v>0</v>
      </c>
      <c r="H52" s="40">
        <v>0</v>
      </c>
      <c r="I52" s="40">
        <v>0</v>
      </c>
      <c r="J52" s="40">
        <v>0</v>
      </c>
      <c r="K52" s="40">
        <v>0</v>
      </c>
      <c r="L52" s="40">
        <v>0</v>
      </c>
      <c r="M52" s="40">
        <v>0</v>
      </c>
      <c r="N52" s="40">
        <v>0</v>
      </c>
      <c r="O52" s="40">
        <v>0</v>
      </c>
      <c r="P52" s="40">
        <v>0</v>
      </c>
      <c r="Q52" s="40">
        <v>0</v>
      </c>
    </row>
    <row r="53" spans="1:17">
      <c r="A53" s="40" t="s">
        <v>157</v>
      </c>
      <c r="B53" s="40">
        <v>0</v>
      </c>
      <c r="C53" s="40">
        <v>0</v>
      </c>
      <c r="D53" s="40">
        <v>0</v>
      </c>
      <c r="E53" s="40">
        <v>0</v>
      </c>
      <c r="F53" s="40">
        <v>0</v>
      </c>
      <c r="G53" s="40">
        <v>0</v>
      </c>
      <c r="H53" s="40">
        <v>0</v>
      </c>
      <c r="I53" s="40">
        <v>0</v>
      </c>
      <c r="J53" s="40">
        <v>0</v>
      </c>
      <c r="K53" s="40">
        <v>0</v>
      </c>
      <c r="L53" s="40">
        <v>0</v>
      </c>
      <c r="M53" s="40">
        <v>0</v>
      </c>
      <c r="N53" s="40">
        <v>0</v>
      </c>
      <c r="O53" s="40">
        <v>0</v>
      </c>
      <c r="P53" s="40">
        <v>0</v>
      </c>
      <c r="Q53" s="40">
        <v>0</v>
      </c>
    </row>
    <row r="54" spans="1:17">
      <c r="A54" s="40" t="s">
        <v>158</v>
      </c>
      <c r="B54" s="40">
        <v>44290517.869999997</v>
      </c>
      <c r="C54" s="40">
        <v>33952160.219999999</v>
      </c>
      <c r="D54" s="40">
        <v>33789406.420000002</v>
      </c>
      <c r="E54" s="40">
        <v>456766.7</v>
      </c>
      <c r="F54" s="40">
        <v>1805199.81</v>
      </c>
      <c r="G54" s="40">
        <v>876844.55</v>
      </c>
      <c r="H54" s="40">
        <v>487325.35</v>
      </c>
      <c r="I54" s="40">
        <v>310850.08</v>
      </c>
      <c r="J54" s="40">
        <v>300516.15999999997</v>
      </c>
      <c r="K54" s="40">
        <v>543158.02</v>
      </c>
      <c r="L54" s="40">
        <v>5000</v>
      </c>
      <c r="M54" s="40">
        <v>0</v>
      </c>
      <c r="N54" s="40">
        <v>6231</v>
      </c>
      <c r="O54" s="40">
        <v>891.26</v>
      </c>
      <c r="P54" s="40">
        <v>2384209.27</v>
      </c>
      <c r="Q54" s="40">
        <v>0</v>
      </c>
    </row>
    <row r="55" spans="1:17">
      <c r="A55" s="40" t="s">
        <v>159</v>
      </c>
      <c r="B55" s="40">
        <v>0</v>
      </c>
      <c r="C55" s="40">
        <v>0</v>
      </c>
      <c r="D55" s="40">
        <v>0</v>
      </c>
      <c r="E55" s="40">
        <v>0</v>
      </c>
      <c r="F55" s="40">
        <v>0</v>
      </c>
      <c r="G55" s="40">
        <v>0</v>
      </c>
      <c r="H55" s="40">
        <v>0</v>
      </c>
      <c r="I55" s="40">
        <v>0</v>
      </c>
      <c r="J55" s="40">
        <v>0</v>
      </c>
      <c r="K55" s="40">
        <v>0</v>
      </c>
      <c r="L55" s="40">
        <v>0</v>
      </c>
      <c r="M55" s="40">
        <v>0</v>
      </c>
      <c r="N55" s="40">
        <v>0</v>
      </c>
      <c r="O55" s="40">
        <v>0</v>
      </c>
      <c r="P55" s="40">
        <v>0</v>
      </c>
      <c r="Q55" s="40">
        <v>0</v>
      </c>
    </row>
    <row r="56" spans="1:17">
      <c r="A56" s="40" t="s">
        <v>160</v>
      </c>
      <c r="B56" s="40">
        <v>0</v>
      </c>
      <c r="C56" s="40">
        <v>0</v>
      </c>
      <c r="D56" s="40">
        <v>0</v>
      </c>
      <c r="E56" s="40">
        <v>0</v>
      </c>
      <c r="F56" s="40">
        <v>0</v>
      </c>
      <c r="G56" s="40">
        <v>0</v>
      </c>
      <c r="H56" s="40">
        <v>0</v>
      </c>
      <c r="I56" s="40">
        <v>0</v>
      </c>
      <c r="J56" s="40">
        <v>0</v>
      </c>
      <c r="K56" s="40">
        <v>0</v>
      </c>
      <c r="L56" s="40">
        <v>0</v>
      </c>
      <c r="M56" s="40">
        <v>0</v>
      </c>
      <c r="N56" s="40">
        <v>0</v>
      </c>
      <c r="O56" s="40">
        <v>0</v>
      </c>
      <c r="P56" s="40">
        <v>0</v>
      </c>
      <c r="Q56" s="40">
        <v>0</v>
      </c>
    </row>
    <row r="57" spans="1:17">
      <c r="A57" s="40" t="s">
        <v>161</v>
      </c>
      <c r="B57" s="40">
        <v>0</v>
      </c>
      <c r="C57" s="40">
        <v>0</v>
      </c>
      <c r="D57" s="40">
        <v>0</v>
      </c>
      <c r="E57" s="40">
        <v>0</v>
      </c>
      <c r="F57" s="40">
        <v>0</v>
      </c>
      <c r="G57" s="40">
        <v>0</v>
      </c>
      <c r="H57" s="40">
        <v>0</v>
      </c>
      <c r="I57" s="40">
        <v>0</v>
      </c>
      <c r="J57" s="40">
        <v>0</v>
      </c>
      <c r="K57" s="40">
        <v>0</v>
      </c>
      <c r="L57" s="40">
        <v>0</v>
      </c>
      <c r="M57" s="40">
        <v>0</v>
      </c>
      <c r="N57" s="40">
        <v>0</v>
      </c>
      <c r="O57" s="40">
        <v>0</v>
      </c>
      <c r="P57" s="40">
        <v>0</v>
      </c>
      <c r="Q57" s="40">
        <v>0</v>
      </c>
    </row>
    <row r="58" spans="1:17">
      <c r="A58" s="40" t="s">
        <v>162</v>
      </c>
      <c r="B58" s="40">
        <v>0</v>
      </c>
      <c r="C58" s="40">
        <v>0</v>
      </c>
      <c r="D58" s="40">
        <v>0</v>
      </c>
      <c r="E58" s="40">
        <v>0</v>
      </c>
      <c r="F58" s="40">
        <v>0</v>
      </c>
      <c r="G58" s="40">
        <v>0</v>
      </c>
      <c r="H58" s="40">
        <v>0</v>
      </c>
      <c r="I58" s="40">
        <v>0</v>
      </c>
      <c r="J58" s="40">
        <v>0</v>
      </c>
      <c r="K58" s="40">
        <v>0</v>
      </c>
      <c r="L58" s="40">
        <v>0</v>
      </c>
      <c r="M58" s="40">
        <v>0</v>
      </c>
      <c r="N58" s="40">
        <v>0</v>
      </c>
      <c r="O58" s="40">
        <v>0</v>
      </c>
      <c r="P58" s="40">
        <v>0</v>
      </c>
      <c r="Q58" s="40">
        <v>0</v>
      </c>
    </row>
    <row r="59" spans="1:17">
      <c r="A59" s="40" t="s">
        <v>163</v>
      </c>
      <c r="B59" s="40">
        <v>0</v>
      </c>
      <c r="C59" s="40">
        <v>0</v>
      </c>
      <c r="D59" s="40">
        <v>0</v>
      </c>
      <c r="E59" s="40">
        <v>0</v>
      </c>
      <c r="F59" s="40">
        <v>0</v>
      </c>
      <c r="G59" s="40">
        <v>0</v>
      </c>
      <c r="H59" s="40">
        <v>0</v>
      </c>
      <c r="I59" s="40">
        <v>0</v>
      </c>
      <c r="J59" s="40">
        <v>0</v>
      </c>
      <c r="K59" s="40">
        <v>0</v>
      </c>
      <c r="L59" s="40">
        <v>0</v>
      </c>
      <c r="M59" s="40">
        <v>0</v>
      </c>
      <c r="N59" s="40">
        <v>0</v>
      </c>
      <c r="O59" s="40">
        <v>0</v>
      </c>
      <c r="P59" s="40">
        <v>0</v>
      </c>
      <c r="Q59" s="40">
        <v>0</v>
      </c>
    </row>
    <row r="60" spans="1:17">
      <c r="A60" s="40" t="s">
        <v>164</v>
      </c>
      <c r="B60" s="40">
        <v>186411786.11000001</v>
      </c>
      <c r="C60" s="40">
        <v>143650049.61000001</v>
      </c>
      <c r="D60" s="40">
        <v>104290768.81999999</v>
      </c>
      <c r="E60" s="40">
        <v>75501406.849999994</v>
      </c>
      <c r="F60" s="40">
        <v>63727321.020000003</v>
      </c>
      <c r="G60" s="40">
        <v>56792748.380000003</v>
      </c>
      <c r="H60" s="40">
        <v>44954796.259999998</v>
      </c>
      <c r="I60" s="40">
        <v>62288790.409999996</v>
      </c>
      <c r="J60" s="40">
        <v>45806886.539999999</v>
      </c>
      <c r="K60" s="40">
        <v>47882193.939999998</v>
      </c>
      <c r="L60" s="40">
        <v>57785580.039999999</v>
      </c>
      <c r="M60" s="40">
        <v>35279509.670000002</v>
      </c>
      <c r="N60" s="40">
        <v>31174597.550000001</v>
      </c>
      <c r="O60" s="40">
        <v>50477171.600000001</v>
      </c>
      <c r="P60" s="40">
        <v>14439663.74</v>
      </c>
      <c r="Q60" s="40">
        <v>0</v>
      </c>
    </row>
    <row r="61" spans="1:17">
      <c r="A61" s="40" t="s">
        <v>165</v>
      </c>
    </row>
    <row r="62" spans="1:17">
      <c r="A62" s="40" t="s">
        <v>166</v>
      </c>
      <c r="B62" s="40">
        <v>0</v>
      </c>
      <c r="C62" s="40">
        <v>0</v>
      </c>
      <c r="D62" s="40">
        <v>0</v>
      </c>
      <c r="E62" s="40">
        <v>0</v>
      </c>
      <c r="F62" s="40">
        <v>0</v>
      </c>
      <c r="G62" s="40">
        <v>0</v>
      </c>
      <c r="H62" s="40">
        <v>0</v>
      </c>
      <c r="I62" s="40">
        <v>0</v>
      </c>
      <c r="J62" s="40">
        <v>0</v>
      </c>
      <c r="K62" s="40">
        <v>0</v>
      </c>
      <c r="L62" s="40">
        <v>0</v>
      </c>
      <c r="M62" s="40">
        <v>0</v>
      </c>
      <c r="N62" s="40">
        <v>0</v>
      </c>
      <c r="O62" s="40">
        <v>0</v>
      </c>
      <c r="P62" s="40">
        <v>0</v>
      </c>
      <c r="Q62" s="40">
        <v>0</v>
      </c>
    </row>
    <row r="63" spans="1:17">
      <c r="A63" s="40" t="s">
        <v>167</v>
      </c>
      <c r="B63" s="40">
        <v>0</v>
      </c>
      <c r="C63" s="40">
        <v>0</v>
      </c>
      <c r="D63" s="40">
        <v>0</v>
      </c>
      <c r="E63" s="40">
        <v>0</v>
      </c>
      <c r="F63" s="40">
        <v>0</v>
      </c>
      <c r="G63" s="40">
        <v>0</v>
      </c>
      <c r="H63" s="40">
        <v>0</v>
      </c>
      <c r="I63" s="40">
        <v>0</v>
      </c>
      <c r="J63" s="40">
        <v>0</v>
      </c>
      <c r="K63" s="40">
        <v>0</v>
      </c>
      <c r="L63" s="40">
        <v>0</v>
      </c>
      <c r="M63" s="40">
        <v>0</v>
      </c>
      <c r="N63" s="40">
        <v>0</v>
      </c>
      <c r="O63" s="40">
        <v>0</v>
      </c>
      <c r="P63" s="40">
        <v>0</v>
      </c>
      <c r="Q63" s="40">
        <v>0</v>
      </c>
    </row>
    <row r="64" spans="1:17">
      <c r="A64" s="40" t="s">
        <v>168</v>
      </c>
      <c r="B64" s="40">
        <v>0</v>
      </c>
      <c r="C64" s="40">
        <v>0</v>
      </c>
      <c r="D64" s="40">
        <v>0</v>
      </c>
      <c r="E64" s="40">
        <v>0</v>
      </c>
      <c r="F64" s="40">
        <v>0</v>
      </c>
      <c r="G64" s="40">
        <v>0</v>
      </c>
      <c r="H64" s="40">
        <v>0</v>
      </c>
      <c r="I64" s="40">
        <v>0</v>
      </c>
      <c r="J64" s="40">
        <v>0</v>
      </c>
      <c r="K64" s="40">
        <v>0</v>
      </c>
      <c r="L64" s="40">
        <v>0</v>
      </c>
      <c r="M64" s="40">
        <v>0</v>
      </c>
      <c r="N64" s="40">
        <v>0</v>
      </c>
      <c r="O64" s="40">
        <v>0</v>
      </c>
      <c r="P64" s="40">
        <v>0</v>
      </c>
      <c r="Q64" s="40">
        <v>0</v>
      </c>
    </row>
    <row r="65" spans="1:17">
      <c r="A65" s="40" t="s">
        <v>169</v>
      </c>
      <c r="B65" s="40">
        <v>0</v>
      </c>
      <c r="C65" s="40">
        <v>0</v>
      </c>
      <c r="D65" s="40">
        <v>0</v>
      </c>
      <c r="E65" s="40">
        <v>0</v>
      </c>
      <c r="F65" s="40">
        <v>0</v>
      </c>
      <c r="G65" s="40">
        <v>0</v>
      </c>
      <c r="H65" s="40">
        <v>0</v>
      </c>
      <c r="I65" s="40">
        <v>0</v>
      </c>
      <c r="J65" s="40">
        <v>0</v>
      </c>
      <c r="K65" s="40">
        <v>0</v>
      </c>
      <c r="L65" s="40">
        <v>0</v>
      </c>
      <c r="M65" s="40">
        <v>0</v>
      </c>
      <c r="N65" s="40">
        <v>0</v>
      </c>
      <c r="O65" s="40">
        <v>0</v>
      </c>
      <c r="P65" s="40">
        <v>0</v>
      </c>
      <c r="Q65" s="40">
        <v>0</v>
      </c>
    </row>
    <row r="66" spans="1:17">
      <c r="A66" s="40" t="s">
        <v>170</v>
      </c>
      <c r="B66" s="40">
        <v>0</v>
      </c>
      <c r="C66" s="40">
        <v>0</v>
      </c>
      <c r="D66" s="40">
        <v>0</v>
      </c>
      <c r="E66" s="40">
        <v>0</v>
      </c>
      <c r="F66" s="40">
        <v>0</v>
      </c>
      <c r="G66" s="40">
        <v>0</v>
      </c>
      <c r="H66" s="40">
        <v>0</v>
      </c>
      <c r="I66" s="40">
        <v>0</v>
      </c>
      <c r="J66" s="40">
        <v>0</v>
      </c>
      <c r="K66" s="40">
        <v>0</v>
      </c>
      <c r="L66" s="40">
        <v>0</v>
      </c>
      <c r="M66" s="40">
        <v>0</v>
      </c>
      <c r="N66" s="40">
        <v>0</v>
      </c>
      <c r="O66" s="40">
        <v>0</v>
      </c>
      <c r="P66" s="40">
        <v>0</v>
      </c>
      <c r="Q66" s="40">
        <v>0</v>
      </c>
    </row>
    <row r="67" spans="1:17">
      <c r="A67" s="40" t="s">
        <v>171</v>
      </c>
      <c r="B67" s="40">
        <v>0</v>
      </c>
      <c r="C67" s="40">
        <v>0</v>
      </c>
      <c r="D67" s="40">
        <v>0</v>
      </c>
      <c r="E67" s="40">
        <v>0</v>
      </c>
      <c r="F67" s="40">
        <v>0</v>
      </c>
      <c r="G67" s="40">
        <v>0</v>
      </c>
      <c r="H67" s="40">
        <v>0</v>
      </c>
      <c r="I67" s="40">
        <v>0</v>
      </c>
      <c r="J67" s="40">
        <v>0</v>
      </c>
      <c r="K67" s="40">
        <v>0</v>
      </c>
      <c r="L67" s="40">
        <v>0</v>
      </c>
      <c r="M67" s="40">
        <v>0</v>
      </c>
      <c r="N67" s="40">
        <v>0</v>
      </c>
      <c r="O67" s="40">
        <v>0</v>
      </c>
      <c r="P67" s="40">
        <v>0</v>
      </c>
      <c r="Q67" s="40">
        <v>0</v>
      </c>
    </row>
    <row r="68" spans="1:17">
      <c r="A68" s="40" t="s">
        <v>172</v>
      </c>
      <c r="B68" s="40">
        <v>1198850.1499999999</v>
      </c>
      <c r="C68" s="40">
        <v>1229778.8799999999</v>
      </c>
      <c r="D68" s="40">
        <v>1260707.6000000001</v>
      </c>
      <c r="E68" s="40">
        <v>1291636.32</v>
      </c>
      <c r="F68" s="40">
        <v>1611232.15</v>
      </c>
      <c r="G68" s="40">
        <v>0</v>
      </c>
      <c r="H68" s="40">
        <v>0</v>
      </c>
      <c r="I68" s="40">
        <v>0</v>
      </c>
      <c r="J68" s="40">
        <v>0</v>
      </c>
      <c r="K68" s="40">
        <v>0</v>
      </c>
      <c r="L68" s="40">
        <v>0</v>
      </c>
      <c r="M68" s="40">
        <v>0</v>
      </c>
      <c r="N68" s="40">
        <v>0</v>
      </c>
      <c r="O68" s="40">
        <v>0</v>
      </c>
      <c r="P68" s="40">
        <v>0</v>
      </c>
      <c r="Q68" s="40">
        <v>0</v>
      </c>
    </row>
    <row r="69" spans="1:17">
      <c r="A69" s="40" t="s">
        <v>173</v>
      </c>
      <c r="B69" s="40">
        <v>0</v>
      </c>
      <c r="C69" s="40">
        <v>0</v>
      </c>
      <c r="D69" s="40">
        <v>0</v>
      </c>
      <c r="E69" s="40">
        <v>0</v>
      </c>
      <c r="F69" s="40">
        <v>0</v>
      </c>
      <c r="G69" s="40">
        <v>0</v>
      </c>
      <c r="H69" s="40">
        <v>0</v>
      </c>
      <c r="I69" s="40">
        <v>0</v>
      </c>
      <c r="J69" s="40">
        <v>0</v>
      </c>
      <c r="K69" s="40">
        <v>0</v>
      </c>
      <c r="L69" s="40">
        <v>0</v>
      </c>
      <c r="M69" s="40">
        <v>0</v>
      </c>
      <c r="N69" s="40">
        <v>0</v>
      </c>
      <c r="O69" s="40">
        <v>0</v>
      </c>
      <c r="P69" s="40">
        <v>0</v>
      </c>
      <c r="Q69" s="40">
        <v>0</v>
      </c>
    </row>
    <row r="70" spans="1:17">
      <c r="A70" s="40" t="s">
        <v>174</v>
      </c>
      <c r="B70" s="40">
        <v>0</v>
      </c>
      <c r="C70" s="40">
        <v>0</v>
      </c>
      <c r="D70" s="40">
        <v>0</v>
      </c>
      <c r="E70" s="40">
        <v>0</v>
      </c>
      <c r="F70" s="40">
        <v>0</v>
      </c>
      <c r="G70" s="40">
        <v>0</v>
      </c>
      <c r="H70" s="40">
        <v>0</v>
      </c>
      <c r="I70" s="40">
        <v>0</v>
      </c>
      <c r="J70" s="40">
        <v>0</v>
      </c>
      <c r="K70" s="40">
        <v>0</v>
      </c>
      <c r="L70" s="40">
        <v>0</v>
      </c>
      <c r="M70" s="40">
        <v>0</v>
      </c>
      <c r="N70" s="40">
        <v>0</v>
      </c>
      <c r="O70" s="40">
        <v>0</v>
      </c>
      <c r="P70" s="40">
        <v>0</v>
      </c>
      <c r="Q70" s="40">
        <v>0</v>
      </c>
    </row>
    <row r="71" spans="1:17">
      <c r="A71" s="40" t="s">
        <v>175</v>
      </c>
      <c r="B71" s="40">
        <v>1198850.1499999999</v>
      </c>
      <c r="C71" s="40">
        <v>1229778.8799999999</v>
      </c>
      <c r="D71" s="40">
        <v>1260707.6000000001</v>
      </c>
      <c r="E71" s="40">
        <v>1291636.32</v>
      </c>
      <c r="F71" s="40">
        <v>1611232.15</v>
      </c>
      <c r="G71" s="40">
        <v>0</v>
      </c>
      <c r="H71" s="40">
        <v>0</v>
      </c>
      <c r="I71" s="40">
        <v>0</v>
      </c>
      <c r="J71" s="40">
        <v>0</v>
      </c>
      <c r="K71" s="40">
        <v>0</v>
      </c>
      <c r="L71" s="40">
        <v>0</v>
      </c>
      <c r="M71" s="40">
        <v>0</v>
      </c>
      <c r="N71" s="40">
        <v>0</v>
      </c>
      <c r="O71" s="40">
        <v>0</v>
      </c>
      <c r="P71" s="40">
        <v>0</v>
      </c>
      <c r="Q71" s="40">
        <v>0</v>
      </c>
    </row>
    <row r="72" spans="1:17">
      <c r="A72" s="40" t="s">
        <v>176</v>
      </c>
      <c r="B72" s="40">
        <v>187610636.25999999</v>
      </c>
      <c r="C72" s="40">
        <v>144879828.49000001</v>
      </c>
      <c r="D72" s="40">
        <v>105551476.42</v>
      </c>
      <c r="E72" s="40">
        <v>76793043.170000002</v>
      </c>
      <c r="F72" s="40">
        <v>65338553.170000002</v>
      </c>
      <c r="G72" s="40">
        <v>56792748.380000003</v>
      </c>
      <c r="H72" s="40">
        <v>44954796.259999998</v>
      </c>
      <c r="I72" s="40">
        <v>62288790.409999996</v>
      </c>
      <c r="J72" s="40">
        <v>45806886.539999999</v>
      </c>
      <c r="K72" s="40">
        <v>47882193.939999998</v>
      </c>
      <c r="L72" s="40">
        <v>57785580.039999999</v>
      </c>
      <c r="M72" s="40">
        <v>35279509.670000002</v>
      </c>
      <c r="N72" s="40">
        <v>31174597.550000001</v>
      </c>
      <c r="O72" s="40">
        <v>50477171.600000001</v>
      </c>
      <c r="P72" s="40">
        <v>14439663.74</v>
      </c>
      <c r="Q72" s="40">
        <v>0</v>
      </c>
    </row>
    <row r="73" spans="1:17">
      <c r="A73" s="40" t="s">
        <v>177</v>
      </c>
    </row>
    <row r="74" spans="1:17">
      <c r="A74" s="40" t="s">
        <v>178</v>
      </c>
      <c r="B74" s="40">
        <v>139524600</v>
      </c>
      <c r="C74" s="40">
        <v>139524600</v>
      </c>
      <c r="D74" s="40">
        <v>73434000</v>
      </c>
      <c r="E74" s="40">
        <v>71800000</v>
      </c>
      <c r="F74" s="40">
        <v>71800000</v>
      </c>
      <c r="G74" s="40">
        <v>71800000</v>
      </c>
      <c r="H74" s="40">
        <v>71800000</v>
      </c>
      <c r="I74" s="40">
        <v>71800000</v>
      </c>
      <c r="J74" s="40">
        <v>53800000</v>
      </c>
      <c r="K74" s="40">
        <v>53800000</v>
      </c>
      <c r="L74" s="40">
        <v>53800000</v>
      </c>
      <c r="M74" s="40">
        <v>53800000</v>
      </c>
      <c r="N74" s="40">
        <v>53800000</v>
      </c>
      <c r="O74" s="40">
        <v>53800000</v>
      </c>
      <c r="P74" s="40">
        <v>12314000</v>
      </c>
      <c r="Q74" s="40">
        <v>0</v>
      </c>
    </row>
    <row r="75" spans="1:17">
      <c r="A75" s="40" t="s">
        <v>179</v>
      </c>
      <c r="B75" s="40">
        <v>256770866.40000001</v>
      </c>
      <c r="C75" s="40">
        <v>253400471.63999999</v>
      </c>
      <c r="D75" s="40">
        <v>317084189.63999999</v>
      </c>
      <c r="E75" s="40">
        <v>283668889.63999999</v>
      </c>
      <c r="F75" s="40">
        <v>283668889.63999999</v>
      </c>
      <c r="G75" s="40">
        <v>283668889.63999999</v>
      </c>
      <c r="H75" s="40">
        <v>283668889.63999999</v>
      </c>
      <c r="I75" s="40">
        <v>283668889.63999999</v>
      </c>
      <c r="J75" s="40">
        <v>20810218.98</v>
      </c>
      <c r="K75" s="40">
        <v>20810218.98</v>
      </c>
      <c r="L75" s="40">
        <v>20810218.98</v>
      </c>
      <c r="M75" s="40">
        <v>20810218.98</v>
      </c>
      <c r="N75" s="40">
        <v>20810218.98</v>
      </c>
      <c r="O75" s="40">
        <v>20810218.98</v>
      </c>
      <c r="P75" s="40">
        <v>9716900</v>
      </c>
      <c r="Q75" s="40">
        <v>0</v>
      </c>
    </row>
    <row r="76" spans="1:17">
      <c r="A76" s="40" t="s">
        <v>180</v>
      </c>
      <c r="B76" s="40">
        <v>33235560</v>
      </c>
      <c r="C76" s="40">
        <v>33235560</v>
      </c>
      <c r="D76" s="40">
        <v>33235560</v>
      </c>
      <c r="E76" s="40">
        <v>0</v>
      </c>
      <c r="F76" s="40">
        <v>0</v>
      </c>
      <c r="G76" s="40">
        <v>0</v>
      </c>
      <c r="H76" s="40">
        <v>0</v>
      </c>
      <c r="I76" s="40">
        <v>0</v>
      </c>
      <c r="J76" s="40">
        <v>0</v>
      </c>
      <c r="K76" s="40">
        <v>0</v>
      </c>
      <c r="L76" s="40">
        <v>0</v>
      </c>
      <c r="M76" s="40">
        <v>0</v>
      </c>
      <c r="N76" s="40">
        <v>0</v>
      </c>
      <c r="O76" s="40">
        <v>0</v>
      </c>
      <c r="P76" s="40">
        <v>0</v>
      </c>
      <c r="Q76" s="40">
        <v>0</v>
      </c>
    </row>
    <row r="77" spans="1:17">
      <c r="A77" s="40" t="s">
        <v>181</v>
      </c>
      <c r="B77" s="40">
        <v>0</v>
      </c>
      <c r="C77" s="40">
        <v>0</v>
      </c>
      <c r="D77" s="40">
        <v>0</v>
      </c>
      <c r="E77" s="40">
        <v>0</v>
      </c>
      <c r="F77" s="40">
        <v>0</v>
      </c>
      <c r="G77" s="40">
        <v>0</v>
      </c>
      <c r="H77" s="40">
        <v>0</v>
      </c>
      <c r="I77" s="40">
        <v>0</v>
      </c>
      <c r="J77" s="40">
        <v>0</v>
      </c>
      <c r="K77" s="40">
        <v>0</v>
      </c>
      <c r="L77" s="40">
        <v>0</v>
      </c>
      <c r="M77" s="40">
        <v>0</v>
      </c>
      <c r="N77" s="40">
        <v>0</v>
      </c>
      <c r="O77" s="40">
        <v>0</v>
      </c>
      <c r="P77" s="40">
        <v>0</v>
      </c>
      <c r="Q77" s="40">
        <v>0</v>
      </c>
    </row>
    <row r="78" spans="1:17">
      <c r="A78" s="40" t="s">
        <v>182</v>
      </c>
      <c r="B78" s="40">
        <v>685571.77</v>
      </c>
      <c r="C78" s="40">
        <v>685571.77</v>
      </c>
      <c r="D78" s="40">
        <v>685571.77</v>
      </c>
      <c r="E78" s="40">
        <v>685571.77</v>
      </c>
      <c r="F78" s="40">
        <v>684758.03</v>
      </c>
      <c r="G78" s="40">
        <v>684758.03</v>
      </c>
      <c r="H78" s="40">
        <v>684758.03</v>
      </c>
      <c r="I78" s="40">
        <v>684758.03</v>
      </c>
      <c r="J78" s="40">
        <v>682702.81</v>
      </c>
      <c r="K78" s="40">
        <v>680590.07</v>
      </c>
      <c r="L78" s="40">
        <v>661249.36</v>
      </c>
      <c r="M78" s="40">
        <v>601936</v>
      </c>
      <c r="N78" s="40">
        <v>522235.89</v>
      </c>
      <c r="O78" s="40">
        <v>267192.76</v>
      </c>
      <c r="P78" s="40">
        <v>0</v>
      </c>
      <c r="Q78" s="40">
        <v>0</v>
      </c>
    </row>
    <row r="79" spans="1:17">
      <c r="A79" s="40" t="s">
        <v>183</v>
      </c>
      <c r="B79" s="40">
        <v>40560349.729999997</v>
      </c>
      <c r="C79" s="40">
        <v>40560349.729999997</v>
      </c>
      <c r="D79" s="40">
        <v>40560349.729999997</v>
      </c>
      <c r="E79" s="40">
        <v>40560349.729999997</v>
      </c>
      <c r="F79" s="40">
        <v>33636683.439999998</v>
      </c>
      <c r="G79" s="40">
        <v>33636683.439999998</v>
      </c>
      <c r="H79" s="40">
        <v>33636683.439999998</v>
      </c>
      <c r="I79" s="40">
        <v>33636683.439999998</v>
      </c>
      <c r="J79" s="40">
        <v>27479075.350000001</v>
      </c>
      <c r="K79" s="40">
        <v>27479075.350000001</v>
      </c>
      <c r="L79" s="40">
        <v>27479075.350000001</v>
      </c>
      <c r="M79" s="40">
        <v>21809124.050000001</v>
      </c>
      <c r="N79" s="40">
        <v>14663307.470000001</v>
      </c>
      <c r="O79" s="40">
        <v>6794843.21</v>
      </c>
      <c r="P79" s="40">
        <v>4147422.84</v>
      </c>
      <c r="Q79" s="40">
        <v>0</v>
      </c>
    </row>
    <row r="80" spans="1:17">
      <c r="A80" s="40" t="s">
        <v>184</v>
      </c>
      <c r="B80" s="40">
        <v>0</v>
      </c>
      <c r="C80" s="40">
        <v>0</v>
      </c>
      <c r="D80" s="40">
        <v>0</v>
      </c>
      <c r="E80" s="40">
        <v>0</v>
      </c>
      <c r="F80" s="40">
        <v>0</v>
      </c>
      <c r="G80" s="40">
        <v>0</v>
      </c>
      <c r="H80" s="40">
        <v>0</v>
      </c>
      <c r="I80" s="40">
        <v>0</v>
      </c>
      <c r="J80" s="40">
        <v>0</v>
      </c>
      <c r="K80" s="40">
        <v>0</v>
      </c>
      <c r="L80" s="40">
        <v>0</v>
      </c>
      <c r="M80" s="40">
        <v>0</v>
      </c>
      <c r="N80" s="40">
        <v>0</v>
      </c>
      <c r="O80" s="40">
        <v>0</v>
      </c>
      <c r="P80" s="40">
        <v>0</v>
      </c>
      <c r="Q80" s="40">
        <v>0</v>
      </c>
    </row>
    <row r="81" spans="1:17">
      <c r="A81" s="40" t="s">
        <v>185</v>
      </c>
      <c r="B81" s="40">
        <v>308505657.23000002</v>
      </c>
      <c r="C81" s="40">
        <v>280638207</v>
      </c>
      <c r="D81" s="40">
        <v>253494229.03</v>
      </c>
      <c r="E81" s="40">
        <v>246059661.28</v>
      </c>
      <c r="F81" s="40">
        <v>219490749.97</v>
      </c>
      <c r="G81" s="40">
        <v>203344771.53999999</v>
      </c>
      <c r="H81" s="40">
        <v>194530265.71000001</v>
      </c>
      <c r="I81" s="40">
        <v>192766981.62</v>
      </c>
      <c r="J81" s="40">
        <v>177037128.06999999</v>
      </c>
      <c r="K81" s="40">
        <v>166800319.37</v>
      </c>
      <c r="L81" s="40">
        <v>137148032.59999999</v>
      </c>
      <c r="M81" s="40">
        <v>114827041.47</v>
      </c>
      <c r="N81" s="40">
        <v>80063666.510000005</v>
      </c>
      <c r="O81" s="40">
        <v>23900877.149999999</v>
      </c>
      <c r="P81" s="40">
        <v>36031390.299999997</v>
      </c>
      <c r="Q81" s="40">
        <v>0</v>
      </c>
    </row>
    <row r="82" spans="1:17">
      <c r="A82" s="40" t="s">
        <v>186</v>
      </c>
      <c r="B82" s="40">
        <v>712811485.13</v>
      </c>
      <c r="C82" s="40">
        <v>681573640.13999999</v>
      </c>
      <c r="D82" s="40">
        <v>652022780.16999996</v>
      </c>
      <c r="E82" s="40">
        <v>642774472.41999996</v>
      </c>
      <c r="F82" s="40">
        <v>609281081.08000004</v>
      </c>
      <c r="G82" s="40">
        <v>593135102.64999998</v>
      </c>
      <c r="H82" s="40">
        <v>584320596.82000005</v>
      </c>
      <c r="I82" s="40">
        <v>582557312.73000002</v>
      </c>
      <c r="J82" s="40">
        <v>279809125.20999998</v>
      </c>
      <c r="K82" s="40">
        <v>269570203.76999998</v>
      </c>
      <c r="L82" s="40">
        <v>239898576.28999999</v>
      </c>
      <c r="M82" s="40">
        <v>211848320.5</v>
      </c>
      <c r="N82" s="40">
        <v>169859428.84999999</v>
      </c>
      <c r="O82" s="40">
        <v>105573132.09999999</v>
      </c>
      <c r="P82" s="40">
        <v>62209713.140000001</v>
      </c>
      <c r="Q82" s="40">
        <v>0</v>
      </c>
    </row>
    <row r="83" spans="1:17">
      <c r="A83" s="40" t="s">
        <v>187</v>
      </c>
      <c r="B83" s="40">
        <v>37687853.539999999</v>
      </c>
      <c r="C83" s="40">
        <v>38125464.689999998</v>
      </c>
      <c r="D83" s="40">
        <v>38255319.039999999</v>
      </c>
      <c r="E83" s="40">
        <v>38006229.109999999</v>
      </c>
      <c r="F83" s="40">
        <v>34287085.039999999</v>
      </c>
      <c r="G83" s="40">
        <v>0</v>
      </c>
      <c r="H83" s="40">
        <v>0</v>
      </c>
      <c r="I83" s="40">
        <v>0</v>
      </c>
      <c r="J83" s="40">
        <v>0</v>
      </c>
      <c r="K83" s="40">
        <v>0</v>
      </c>
      <c r="L83" s="40">
        <v>0</v>
      </c>
      <c r="M83" s="40">
        <v>0</v>
      </c>
      <c r="N83" s="40">
        <v>0</v>
      </c>
      <c r="O83" s="40">
        <v>0</v>
      </c>
      <c r="P83" s="40">
        <v>0</v>
      </c>
      <c r="Q83" s="40">
        <v>0</v>
      </c>
    </row>
    <row r="84" spans="1:17">
      <c r="A84" s="40" t="s">
        <v>188</v>
      </c>
      <c r="B84" s="40">
        <v>750499338.66999996</v>
      </c>
      <c r="C84" s="40">
        <v>719699104.83000004</v>
      </c>
      <c r="D84" s="40">
        <v>690278099.21000004</v>
      </c>
      <c r="E84" s="40">
        <v>680780701.52999997</v>
      </c>
      <c r="F84" s="40">
        <v>643568166.12</v>
      </c>
      <c r="G84" s="40">
        <v>593135102.64999998</v>
      </c>
      <c r="H84" s="40">
        <v>584320596.82000005</v>
      </c>
      <c r="I84" s="40">
        <v>582557312.73000002</v>
      </c>
      <c r="J84" s="40">
        <v>279809125.20999998</v>
      </c>
      <c r="K84" s="40">
        <v>269570203.76999998</v>
      </c>
      <c r="L84" s="40">
        <v>239898576.28999999</v>
      </c>
      <c r="M84" s="40">
        <v>211848320.5</v>
      </c>
      <c r="N84" s="40">
        <v>169859428.84999999</v>
      </c>
      <c r="O84" s="40">
        <v>105573132.09999999</v>
      </c>
      <c r="P84" s="40">
        <v>62209713.140000001</v>
      </c>
      <c r="Q84" s="40">
        <v>0</v>
      </c>
    </row>
    <row r="85" spans="1:17">
      <c r="A85" s="40" t="s">
        <v>189</v>
      </c>
      <c r="B85" s="40">
        <v>938109974.92999995</v>
      </c>
      <c r="C85" s="40">
        <v>864578933.32000005</v>
      </c>
      <c r="D85" s="40">
        <v>795829575.63</v>
      </c>
      <c r="E85" s="40">
        <v>757573744.70000005</v>
      </c>
      <c r="F85" s="40">
        <v>708906719.28999996</v>
      </c>
      <c r="G85" s="40">
        <v>649927851.02999997</v>
      </c>
      <c r="H85" s="40">
        <v>629275393.08000004</v>
      </c>
      <c r="I85" s="40">
        <v>644846103.13999999</v>
      </c>
      <c r="J85" s="40">
        <v>325616011.75</v>
      </c>
      <c r="K85" s="40">
        <v>317452397.70999998</v>
      </c>
      <c r="L85" s="40">
        <v>297684156.32999998</v>
      </c>
      <c r="M85" s="40">
        <v>247127830.16999999</v>
      </c>
      <c r="N85" s="40">
        <v>201034026.40000001</v>
      </c>
      <c r="O85" s="40">
        <v>156050303.69999999</v>
      </c>
      <c r="P85" s="40">
        <v>76649376.879999995</v>
      </c>
      <c r="Q85" s="4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S31"/>
  <sheetViews>
    <sheetView workbookViewId="0">
      <selection activeCell="A2" sqref="A2"/>
    </sheetView>
  </sheetViews>
  <sheetFormatPr defaultRowHeight="13.5"/>
  <cols>
    <col min="1" max="1" width="37" style="40" bestFit="1" customWidth="1"/>
    <col min="2" max="4" width="12.75" style="40" hidden="1" customWidth="1"/>
    <col min="5" max="5" width="12.75" style="40" bestFit="1" customWidth="1"/>
    <col min="6" max="8" width="12.75" style="40" hidden="1" customWidth="1"/>
    <col min="9" max="9" width="12.75" style="40" bestFit="1" customWidth="1"/>
    <col min="10" max="12" width="12.75" style="40" hidden="1" customWidth="1"/>
    <col min="13" max="13" width="12.75" style="40" bestFit="1" customWidth="1"/>
    <col min="14" max="14" width="12.75" style="40" hidden="1" customWidth="1"/>
    <col min="15" max="18" width="12.75" style="40" bestFit="1" customWidth="1"/>
    <col min="19" max="19" width="9.5" style="40" hidden="1" customWidth="1"/>
    <col min="20" max="16384" width="9" style="40"/>
  </cols>
  <sheetData>
    <row r="1" spans="1:19">
      <c r="A1" s="40">
        <v>300559</v>
      </c>
      <c r="B1" s="40">
        <v>20180930</v>
      </c>
      <c r="C1" s="40">
        <v>20180630</v>
      </c>
      <c r="D1" s="40">
        <v>20180331</v>
      </c>
      <c r="E1" s="40">
        <v>20171231</v>
      </c>
      <c r="F1" s="40">
        <v>20170930</v>
      </c>
      <c r="G1" s="40">
        <v>20170630</v>
      </c>
      <c r="H1" s="40">
        <v>20170331</v>
      </c>
      <c r="I1" s="40">
        <v>20161231</v>
      </c>
      <c r="J1" s="40">
        <v>20160930</v>
      </c>
      <c r="K1" s="40">
        <v>20160630</v>
      </c>
      <c r="L1" s="40">
        <v>20160331</v>
      </c>
      <c r="M1" s="40">
        <v>20151231</v>
      </c>
      <c r="N1" s="40">
        <v>20150930</v>
      </c>
      <c r="O1" s="40">
        <v>20141231</v>
      </c>
      <c r="P1" s="40">
        <v>20131231</v>
      </c>
      <c r="Q1" s="40">
        <v>20121231</v>
      </c>
      <c r="R1" s="40">
        <v>20111231</v>
      </c>
      <c r="S1" s="40">
        <v>19700101</v>
      </c>
    </row>
    <row r="2" spans="1:19">
      <c r="A2" s="40" t="s">
        <v>105</v>
      </c>
      <c r="B2" s="40" t="s">
        <v>106</v>
      </c>
      <c r="C2" s="40" t="s">
        <v>106</v>
      </c>
      <c r="D2" s="40" t="s">
        <v>106</v>
      </c>
      <c r="E2" s="40" t="s">
        <v>106</v>
      </c>
      <c r="F2" s="40" t="s">
        <v>106</v>
      </c>
      <c r="G2" s="40" t="s">
        <v>106</v>
      </c>
      <c r="H2" s="40" t="s">
        <v>106</v>
      </c>
      <c r="I2" s="40" t="s">
        <v>106</v>
      </c>
      <c r="J2" s="40" t="s">
        <v>106</v>
      </c>
      <c r="K2" s="40" t="s">
        <v>106</v>
      </c>
      <c r="L2" s="40" t="s">
        <v>106</v>
      </c>
      <c r="M2" s="40" t="s">
        <v>106</v>
      </c>
      <c r="N2" s="40" t="s">
        <v>106</v>
      </c>
      <c r="O2" s="40" t="s">
        <v>106</v>
      </c>
      <c r="P2" s="40" t="s">
        <v>106</v>
      </c>
      <c r="Q2" s="40" t="s">
        <v>106</v>
      </c>
      <c r="R2" s="40" t="s">
        <v>106</v>
      </c>
    </row>
    <row r="3" spans="1:19">
      <c r="A3" s="40" t="s">
        <v>190</v>
      </c>
      <c r="B3" s="40">
        <v>243449470.71000001</v>
      </c>
      <c r="C3" s="40">
        <v>163612696.02000001</v>
      </c>
      <c r="D3" s="40">
        <v>39976252.350000001</v>
      </c>
      <c r="E3" s="40">
        <v>192228852.33000001</v>
      </c>
      <c r="F3" s="40">
        <v>102176580.98999999</v>
      </c>
      <c r="G3" s="40">
        <v>77918188.989999995</v>
      </c>
      <c r="H3" s="40">
        <v>17058644.949999999</v>
      </c>
      <c r="I3" s="40">
        <v>165733894.71000001</v>
      </c>
      <c r="J3" s="40">
        <v>108502593.70999999</v>
      </c>
      <c r="K3" s="40">
        <v>80972644.640000001</v>
      </c>
      <c r="L3" s="40">
        <v>14971904.439999999</v>
      </c>
      <c r="M3" s="40">
        <v>148520212.02000001</v>
      </c>
      <c r="N3" s="40">
        <v>87957669.829999998</v>
      </c>
      <c r="O3" s="40">
        <v>179299034.00999999</v>
      </c>
      <c r="P3" s="40">
        <v>208788264.84</v>
      </c>
      <c r="Q3" s="40">
        <v>193493383.34</v>
      </c>
      <c r="R3" s="40">
        <v>82207078.170000002</v>
      </c>
      <c r="S3" s="40">
        <v>0</v>
      </c>
    </row>
    <row r="4" spans="1:19">
      <c r="A4" s="40" t="s">
        <v>191</v>
      </c>
      <c r="B4" s="40">
        <v>243449470.71000001</v>
      </c>
      <c r="C4" s="40">
        <v>163612696.02000001</v>
      </c>
      <c r="D4" s="40">
        <v>39976252.350000001</v>
      </c>
      <c r="E4" s="40">
        <v>192228852.33000001</v>
      </c>
      <c r="F4" s="40">
        <v>102176580.98999999</v>
      </c>
      <c r="G4" s="40">
        <v>77918188.989999995</v>
      </c>
      <c r="H4" s="40">
        <v>17058644.949999999</v>
      </c>
      <c r="I4" s="40">
        <v>165733894.71000001</v>
      </c>
      <c r="J4" s="40">
        <v>108502593.70999999</v>
      </c>
      <c r="K4" s="40">
        <v>80972644.640000001</v>
      </c>
      <c r="L4" s="40">
        <v>14971904.439999999</v>
      </c>
      <c r="M4" s="40">
        <v>148520212.02000001</v>
      </c>
      <c r="N4" s="40">
        <v>87957669.829999998</v>
      </c>
      <c r="O4" s="40">
        <v>179299034.00999999</v>
      </c>
      <c r="P4" s="40">
        <v>208788264.84</v>
      </c>
      <c r="Q4" s="40">
        <v>193493383.34</v>
      </c>
      <c r="R4" s="40">
        <v>82207078.170000002</v>
      </c>
      <c r="S4" s="40">
        <v>0</v>
      </c>
    </row>
    <row r="5" spans="1:19">
      <c r="A5" s="40" t="s">
        <v>192</v>
      </c>
      <c r="B5" s="40">
        <v>187069041.43000001</v>
      </c>
      <c r="C5" s="40">
        <v>126674924.58</v>
      </c>
      <c r="D5" s="40">
        <v>37926094.899999999</v>
      </c>
      <c r="E5" s="40">
        <v>139654052.36000001</v>
      </c>
      <c r="F5" s="40">
        <v>72146467.120000005</v>
      </c>
      <c r="G5" s="40">
        <v>56930073.009999998</v>
      </c>
      <c r="H5" s="40">
        <v>15409661.51</v>
      </c>
      <c r="I5" s="40">
        <v>114836745.56999999</v>
      </c>
      <c r="J5" s="40">
        <v>78098529.129999995</v>
      </c>
      <c r="K5" s="40">
        <v>55484528.969999999</v>
      </c>
      <c r="L5" s="40">
        <v>12877969.08</v>
      </c>
      <c r="M5" s="40">
        <v>104617566.69</v>
      </c>
      <c r="N5" s="40">
        <v>54551103.689999998</v>
      </c>
      <c r="O5" s="40">
        <v>113685729.52</v>
      </c>
      <c r="P5" s="40">
        <v>135986156.09</v>
      </c>
      <c r="Q5" s="40">
        <v>122469947.45</v>
      </c>
      <c r="R5" s="40">
        <v>55064378.450000003</v>
      </c>
      <c r="S5" s="40">
        <v>0</v>
      </c>
    </row>
    <row r="6" spans="1:19">
      <c r="A6" s="40" t="s">
        <v>193</v>
      </c>
      <c r="B6" s="40">
        <v>106663834.09999999</v>
      </c>
      <c r="C6" s="40">
        <v>72690467.189999998</v>
      </c>
      <c r="D6" s="40">
        <v>16388201.970000001</v>
      </c>
      <c r="E6" s="40">
        <v>78582960.780000001</v>
      </c>
      <c r="F6" s="40">
        <v>45274024.810000002</v>
      </c>
      <c r="G6" s="40">
        <v>35685127.82</v>
      </c>
      <c r="H6" s="40">
        <v>9702084.75</v>
      </c>
      <c r="I6" s="40">
        <v>74000416.170000002</v>
      </c>
      <c r="J6" s="40">
        <v>51252469</v>
      </c>
      <c r="K6" s="40">
        <v>36953673.289999999</v>
      </c>
      <c r="L6" s="40">
        <v>6533298.6699999999</v>
      </c>
      <c r="M6" s="40">
        <v>67009933.109999999</v>
      </c>
      <c r="N6" s="40">
        <v>34125603.609999999</v>
      </c>
      <c r="O6" s="40">
        <v>76594616.719999999</v>
      </c>
      <c r="P6" s="40">
        <v>95989739.730000004</v>
      </c>
      <c r="Q6" s="40">
        <v>79863258.049999997</v>
      </c>
      <c r="R6" s="40">
        <v>38407951.899999999</v>
      </c>
      <c r="S6" s="40">
        <v>0</v>
      </c>
    </row>
    <row r="7" spans="1:19">
      <c r="A7" s="40" t="s">
        <v>194</v>
      </c>
      <c r="B7" s="40">
        <v>2536730.1800000002</v>
      </c>
      <c r="C7" s="40">
        <v>1782966.3</v>
      </c>
      <c r="D7" s="40">
        <v>495439.33</v>
      </c>
      <c r="E7" s="40">
        <v>2397024.87</v>
      </c>
      <c r="F7" s="40">
        <v>1266084.77</v>
      </c>
      <c r="G7" s="40">
        <v>984904.94</v>
      </c>
      <c r="H7" s="40">
        <v>139833.49</v>
      </c>
      <c r="I7" s="40">
        <v>2195669.7200000002</v>
      </c>
      <c r="J7" s="40">
        <v>1259674.06</v>
      </c>
      <c r="K7" s="40">
        <v>927673.42</v>
      </c>
      <c r="L7" s="40">
        <v>142314.60999999999</v>
      </c>
      <c r="M7" s="40">
        <v>1747049.33</v>
      </c>
      <c r="N7" s="40">
        <v>1136002.7</v>
      </c>
      <c r="O7" s="40">
        <v>2231414.33</v>
      </c>
      <c r="P7" s="40">
        <v>3475309.93</v>
      </c>
      <c r="Q7" s="40">
        <v>2926714.87</v>
      </c>
      <c r="R7" s="40">
        <v>1473764.86</v>
      </c>
      <c r="S7" s="40">
        <v>0</v>
      </c>
    </row>
    <row r="8" spans="1:19">
      <c r="A8" s="40" t="s">
        <v>195</v>
      </c>
      <c r="B8" s="40">
        <v>24835010.66</v>
      </c>
      <c r="C8" s="40">
        <v>16484593.699999999</v>
      </c>
      <c r="D8" s="40">
        <v>6331547.7599999998</v>
      </c>
      <c r="E8" s="40">
        <v>20566807.210000001</v>
      </c>
      <c r="F8" s="40">
        <v>13350279.67</v>
      </c>
      <c r="G8" s="40">
        <v>9627779.7100000009</v>
      </c>
      <c r="H8" s="40">
        <v>3370993.09</v>
      </c>
      <c r="I8" s="40">
        <v>16118234.609999999</v>
      </c>
      <c r="J8" s="40">
        <v>10352105.4</v>
      </c>
      <c r="K8" s="40">
        <v>7227577.8700000001</v>
      </c>
      <c r="L8" s="40">
        <v>2658685.62</v>
      </c>
      <c r="M8" s="40">
        <v>14305084.869999999</v>
      </c>
      <c r="N8" s="40">
        <v>8136169.1799999997</v>
      </c>
      <c r="O8" s="40">
        <v>13333535.85</v>
      </c>
      <c r="P8" s="40">
        <v>14138156.1</v>
      </c>
      <c r="Q8" s="40">
        <v>16608992.76</v>
      </c>
      <c r="R8" s="40">
        <v>4499025.5999999996</v>
      </c>
      <c r="S8" s="40">
        <v>0</v>
      </c>
    </row>
    <row r="9" spans="1:19">
      <c r="A9" s="40" t="s">
        <v>196</v>
      </c>
      <c r="B9" s="40">
        <v>23574813.949999999</v>
      </c>
      <c r="C9" s="40">
        <v>30577437.82</v>
      </c>
      <c r="D9" s="40">
        <v>13761193.039999999</v>
      </c>
      <c r="E9" s="40">
        <v>38524427.229999997</v>
      </c>
      <c r="F9" s="40">
        <v>22539345.670000002</v>
      </c>
      <c r="G9" s="40">
        <v>14877141.970000001</v>
      </c>
      <c r="H9" s="40">
        <v>5424224.0199999996</v>
      </c>
      <c r="I9" s="40">
        <v>22577434.48</v>
      </c>
      <c r="J9" s="40">
        <v>14471188.65</v>
      </c>
      <c r="K9" s="40">
        <v>9701188.6500000004</v>
      </c>
      <c r="L9" s="40">
        <v>4277425.83</v>
      </c>
      <c r="M9" s="40">
        <v>22058886.629999999</v>
      </c>
      <c r="N9" s="40">
        <v>11482716.140000001</v>
      </c>
      <c r="O9" s="40">
        <v>23007124.91</v>
      </c>
      <c r="P9" s="40">
        <v>20900968.23</v>
      </c>
      <c r="Q9" s="40">
        <v>23044046.52</v>
      </c>
      <c r="R9" s="40">
        <v>10039312.09</v>
      </c>
      <c r="S9" s="40">
        <v>0</v>
      </c>
    </row>
    <row r="10" spans="1:19">
      <c r="A10" s="40" t="s">
        <v>197</v>
      </c>
      <c r="B10" s="40">
        <v>-746834.93</v>
      </c>
      <c r="C10" s="40">
        <v>-582889.62</v>
      </c>
      <c r="D10" s="40">
        <v>-336392.76</v>
      </c>
      <c r="E10" s="40">
        <v>-1332531.57</v>
      </c>
      <c r="F10" s="40">
        <v>-9636823.1500000004</v>
      </c>
      <c r="G10" s="40">
        <v>-5075646.4800000004</v>
      </c>
      <c r="H10" s="40">
        <v>-2363752.36</v>
      </c>
      <c r="I10" s="40">
        <v>-1519150.12</v>
      </c>
      <c r="J10" s="40">
        <v>-1140260.3500000001</v>
      </c>
      <c r="K10" s="40">
        <v>-833885</v>
      </c>
      <c r="L10" s="40">
        <v>-639023.96</v>
      </c>
      <c r="M10" s="40">
        <v>-2013498.03</v>
      </c>
      <c r="N10" s="40">
        <v>-1865626.11</v>
      </c>
      <c r="O10" s="40">
        <v>-1450710.86</v>
      </c>
      <c r="P10" s="40">
        <v>-1004122.13</v>
      </c>
      <c r="Q10" s="40">
        <v>-423939.29</v>
      </c>
      <c r="R10" s="40">
        <v>-106598.39</v>
      </c>
      <c r="S10" s="40">
        <v>0</v>
      </c>
    </row>
    <row r="11" spans="1:19">
      <c r="A11" s="40" t="s">
        <v>198</v>
      </c>
      <c r="B11" s="40">
        <v>5797572.54</v>
      </c>
      <c r="C11" s="40">
        <v>5722349.1900000004</v>
      </c>
      <c r="D11" s="40">
        <v>1286105.56</v>
      </c>
      <c r="E11" s="40">
        <v>915363.83999999997</v>
      </c>
      <c r="F11" s="40">
        <v>-646444.65</v>
      </c>
      <c r="G11" s="40">
        <v>830765.05</v>
      </c>
      <c r="H11" s="40">
        <v>-863721.48</v>
      </c>
      <c r="I11" s="40">
        <v>1464140.71</v>
      </c>
      <c r="J11" s="40">
        <v>1903352.37</v>
      </c>
      <c r="K11" s="40">
        <v>1508300.74</v>
      </c>
      <c r="L11" s="40">
        <v>-94731.69</v>
      </c>
      <c r="M11" s="40">
        <v>1510110.78</v>
      </c>
      <c r="N11" s="40">
        <v>1536238.17</v>
      </c>
      <c r="O11" s="40">
        <v>-30251.43</v>
      </c>
      <c r="P11" s="40">
        <v>2486104.23</v>
      </c>
      <c r="Q11" s="40">
        <v>450874.54</v>
      </c>
      <c r="R11" s="40">
        <v>750922.39</v>
      </c>
      <c r="S11" s="40">
        <v>0</v>
      </c>
    </row>
    <row r="12" spans="1:19">
      <c r="A12" s="40" t="s">
        <v>199</v>
      </c>
      <c r="B12" s="40">
        <v>0</v>
      </c>
      <c r="C12" s="40">
        <v>0</v>
      </c>
      <c r="D12" s="40">
        <v>0</v>
      </c>
      <c r="E12" s="40">
        <v>0</v>
      </c>
      <c r="F12" s="40">
        <v>0</v>
      </c>
      <c r="G12" s="40">
        <v>0</v>
      </c>
      <c r="H12" s="40">
        <v>0</v>
      </c>
      <c r="I12" s="40">
        <v>0</v>
      </c>
      <c r="J12" s="40">
        <v>0</v>
      </c>
      <c r="K12" s="40">
        <v>0</v>
      </c>
      <c r="L12" s="40">
        <v>0</v>
      </c>
      <c r="M12" s="40">
        <v>0</v>
      </c>
      <c r="N12" s="40">
        <v>0</v>
      </c>
      <c r="O12" s="40">
        <v>0</v>
      </c>
      <c r="P12" s="40">
        <v>0</v>
      </c>
      <c r="Q12" s="40">
        <v>0</v>
      </c>
      <c r="R12" s="40">
        <v>0</v>
      </c>
      <c r="S12" s="40">
        <v>0</v>
      </c>
    </row>
    <row r="13" spans="1:19">
      <c r="A13" s="40" t="s">
        <v>200</v>
      </c>
      <c r="B13" s="40">
        <v>11492762.449999999</v>
      </c>
      <c r="C13" s="40">
        <v>7805487.79</v>
      </c>
      <c r="D13" s="40">
        <v>1095731.27</v>
      </c>
      <c r="E13" s="40">
        <v>12183852.58</v>
      </c>
      <c r="F13" s="40">
        <v>0</v>
      </c>
      <c r="G13" s="40">
        <v>0</v>
      </c>
      <c r="H13" s="40">
        <v>0</v>
      </c>
      <c r="I13" s="40">
        <v>0</v>
      </c>
      <c r="J13" s="40">
        <v>0</v>
      </c>
      <c r="K13" s="40">
        <v>0</v>
      </c>
      <c r="L13" s="40">
        <v>0</v>
      </c>
      <c r="M13" s="40">
        <v>0</v>
      </c>
      <c r="N13" s="40">
        <v>0</v>
      </c>
      <c r="O13" s="40">
        <v>0</v>
      </c>
      <c r="P13" s="40">
        <v>0</v>
      </c>
      <c r="Q13" s="40">
        <v>0</v>
      </c>
      <c r="R13" s="40">
        <v>0</v>
      </c>
      <c r="S13" s="40">
        <v>0</v>
      </c>
    </row>
    <row r="14" spans="1:19">
      <c r="A14" s="40" t="s">
        <v>201</v>
      </c>
      <c r="B14" s="40">
        <v>0</v>
      </c>
      <c r="C14" s="40">
        <v>0</v>
      </c>
      <c r="D14" s="40">
        <v>0</v>
      </c>
      <c r="E14" s="40">
        <v>0</v>
      </c>
      <c r="F14" s="40">
        <v>0</v>
      </c>
      <c r="G14" s="40">
        <v>0</v>
      </c>
      <c r="H14" s="40">
        <v>0</v>
      </c>
      <c r="I14" s="40">
        <v>0</v>
      </c>
      <c r="J14" s="40">
        <v>0</v>
      </c>
      <c r="K14" s="40">
        <v>0</v>
      </c>
      <c r="L14" s="40">
        <v>0</v>
      </c>
      <c r="M14" s="40">
        <v>0</v>
      </c>
      <c r="N14" s="40">
        <v>0</v>
      </c>
      <c r="O14" s="40">
        <v>0</v>
      </c>
      <c r="P14" s="40">
        <v>0</v>
      </c>
      <c r="Q14" s="40">
        <v>0</v>
      </c>
      <c r="R14" s="40">
        <v>0</v>
      </c>
      <c r="S14" s="40">
        <v>0</v>
      </c>
    </row>
    <row r="15" spans="1:19">
      <c r="A15" s="40" t="s">
        <v>202</v>
      </c>
      <c r="B15" s="40">
        <v>0</v>
      </c>
      <c r="C15" s="40">
        <v>0</v>
      </c>
      <c r="D15" s="40">
        <v>0</v>
      </c>
      <c r="E15" s="40">
        <v>0</v>
      </c>
      <c r="F15" s="40">
        <v>0</v>
      </c>
      <c r="G15" s="40">
        <v>0</v>
      </c>
      <c r="H15" s="40">
        <v>0</v>
      </c>
      <c r="I15" s="40">
        <v>0</v>
      </c>
      <c r="J15" s="40">
        <v>0</v>
      </c>
      <c r="K15" s="40">
        <v>0</v>
      </c>
      <c r="L15" s="40">
        <v>0</v>
      </c>
      <c r="M15" s="40">
        <v>0</v>
      </c>
      <c r="N15" s="40">
        <v>0</v>
      </c>
      <c r="O15" s="40">
        <v>0</v>
      </c>
      <c r="P15" s="40">
        <v>0</v>
      </c>
      <c r="Q15" s="40">
        <v>0</v>
      </c>
      <c r="R15" s="40">
        <v>0</v>
      </c>
      <c r="S15" s="40">
        <v>0</v>
      </c>
    </row>
    <row r="16" spans="1:19">
      <c r="A16" s="40" t="s">
        <v>203</v>
      </c>
      <c r="B16" s="40">
        <v>83322498.959999993</v>
      </c>
      <c r="C16" s="40">
        <v>53133452.880000003</v>
      </c>
      <c r="D16" s="40">
        <v>7664831.4100000001</v>
      </c>
      <c r="E16" s="40">
        <v>80866053.189999998</v>
      </c>
      <c r="F16" s="40">
        <v>37763407.75</v>
      </c>
      <c r="G16" s="40">
        <v>24732340.629999999</v>
      </c>
      <c r="H16" s="40">
        <v>1648983.44</v>
      </c>
      <c r="I16" s="40">
        <v>50897149.140000001</v>
      </c>
      <c r="J16" s="40">
        <v>30404064.579999998</v>
      </c>
      <c r="K16" s="40">
        <v>25488115.670000002</v>
      </c>
      <c r="L16" s="40">
        <v>2093935.36</v>
      </c>
      <c r="M16" s="40">
        <v>43902645.329999998</v>
      </c>
      <c r="N16" s="40">
        <v>33406566.140000001</v>
      </c>
      <c r="O16" s="40">
        <v>65613304.490000002</v>
      </c>
      <c r="P16" s="40">
        <v>72802108.75</v>
      </c>
      <c r="Q16" s="40">
        <v>71023435.890000001</v>
      </c>
      <c r="R16" s="40">
        <v>27142699.719999999</v>
      </c>
      <c r="S16" s="40">
        <v>0</v>
      </c>
    </row>
    <row r="17" spans="1:19">
      <c r="A17" s="40" t="s">
        <v>204</v>
      </c>
      <c r="B17" s="40">
        <v>0</v>
      </c>
      <c r="C17" s="40">
        <v>0</v>
      </c>
      <c r="D17" s="40">
        <v>0</v>
      </c>
      <c r="E17" s="40">
        <v>3978968.42</v>
      </c>
      <c r="F17" s="40">
        <v>4247859.51</v>
      </c>
      <c r="G17" s="40">
        <v>150000</v>
      </c>
      <c r="H17" s="40">
        <v>100000</v>
      </c>
      <c r="I17" s="40">
        <v>14460964.16</v>
      </c>
      <c r="J17" s="40">
        <v>10265785.880000001</v>
      </c>
      <c r="K17" s="40">
        <v>4531110.71</v>
      </c>
      <c r="L17" s="40">
        <v>4148365.5</v>
      </c>
      <c r="M17" s="40">
        <v>20796612.07</v>
      </c>
      <c r="N17" s="40">
        <v>13278646.119999999</v>
      </c>
      <c r="O17" s="40">
        <v>16615905.1</v>
      </c>
      <c r="P17" s="40">
        <v>18019955.239999998</v>
      </c>
      <c r="Q17" s="40">
        <v>6532034.7599999998</v>
      </c>
      <c r="R17" s="40">
        <v>3526428.31</v>
      </c>
      <c r="S17" s="40">
        <v>0</v>
      </c>
    </row>
    <row r="18" spans="1:19">
      <c r="A18" s="40" t="s">
        <v>205</v>
      </c>
      <c r="B18" s="40">
        <v>0</v>
      </c>
      <c r="C18" s="40">
        <v>0</v>
      </c>
      <c r="D18" s="40">
        <v>0</v>
      </c>
      <c r="E18" s="40">
        <v>110.65</v>
      </c>
      <c r="F18" s="40">
        <v>65.599999999999994</v>
      </c>
      <c r="G18" s="40">
        <v>65.599999999999994</v>
      </c>
      <c r="H18" s="40">
        <v>0</v>
      </c>
      <c r="I18" s="40">
        <v>0</v>
      </c>
      <c r="J18" s="40">
        <v>0</v>
      </c>
      <c r="K18" s="40">
        <v>0</v>
      </c>
      <c r="L18" s="40">
        <v>0</v>
      </c>
      <c r="M18" s="40">
        <v>66800.100000000006</v>
      </c>
      <c r="N18" s="40">
        <v>66800.100000000006</v>
      </c>
      <c r="O18" s="40">
        <v>4000</v>
      </c>
      <c r="P18" s="40">
        <v>1290</v>
      </c>
      <c r="Q18" s="40">
        <v>31260.44</v>
      </c>
      <c r="R18" s="40">
        <v>11517.94</v>
      </c>
      <c r="S18" s="40">
        <v>0</v>
      </c>
    </row>
    <row r="19" spans="1:19">
      <c r="A19" s="40" t="s">
        <v>206</v>
      </c>
      <c r="B19" s="40">
        <v>0</v>
      </c>
      <c r="C19" s="40">
        <v>0</v>
      </c>
      <c r="D19" s="40">
        <v>0</v>
      </c>
      <c r="E19" s="40">
        <v>0</v>
      </c>
      <c r="F19" s="40">
        <v>0</v>
      </c>
      <c r="G19" s="40">
        <v>0</v>
      </c>
      <c r="H19" s="40">
        <v>0</v>
      </c>
      <c r="I19" s="40">
        <v>0</v>
      </c>
      <c r="J19" s="40">
        <v>0</v>
      </c>
      <c r="K19" s="40">
        <v>0</v>
      </c>
      <c r="L19" s="40">
        <v>0</v>
      </c>
      <c r="M19" s="40">
        <v>62000.1</v>
      </c>
      <c r="N19" s="40">
        <v>0</v>
      </c>
      <c r="O19" s="40">
        <v>0</v>
      </c>
      <c r="P19" s="40">
        <v>0</v>
      </c>
      <c r="Q19" s="40">
        <v>642.9</v>
      </c>
      <c r="R19" s="40">
        <v>0</v>
      </c>
      <c r="S19" s="40">
        <v>0</v>
      </c>
    </row>
    <row r="20" spans="1:19">
      <c r="A20" s="40" t="s">
        <v>207</v>
      </c>
      <c r="B20" s="40">
        <v>83322498.959999993</v>
      </c>
      <c r="C20" s="40">
        <v>53133452.880000003</v>
      </c>
      <c r="D20" s="40">
        <v>7664831.4100000001</v>
      </c>
      <c r="E20" s="40">
        <v>84844910.959999993</v>
      </c>
      <c r="F20" s="40">
        <v>42011201.659999996</v>
      </c>
      <c r="G20" s="40">
        <v>24882275.030000001</v>
      </c>
      <c r="H20" s="40">
        <v>1748983.44</v>
      </c>
      <c r="I20" s="40">
        <v>65358113.299999997</v>
      </c>
      <c r="J20" s="40">
        <v>40669850.460000001</v>
      </c>
      <c r="K20" s="40">
        <v>30019226.379999999</v>
      </c>
      <c r="L20" s="40">
        <v>6242300.8600000003</v>
      </c>
      <c r="M20" s="40">
        <v>64632457.299999997</v>
      </c>
      <c r="N20" s="40">
        <v>46618412.159999996</v>
      </c>
      <c r="O20" s="40">
        <v>82225209.590000004</v>
      </c>
      <c r="P20" s="40">
        <v>90820773.989999995</v>
      </c>
      <c r="Q20" s="40">
        <v>77524210.209999993</v>
      </c>
      <c r="R20" s="40">
        <v>30657610.09</v>
      </c>
      <c r="S20" s="40">
        <v>0</v>
      </c>
    </row>
    <row r="21" spans="1:19">
      <c r="A21" s="40" t="s">
        <v>208</v>
      </c>
      <c r="B21" s="40">
        <v>6508078.5800000001</v>
      </c>
      <c r="C21" s="40">
        <v>3748871.58</v>
      </c>
      <c r="D21" s="40">
        <v>-18826.27</v>
      </c>
      <c r="E21" s="40">
        <v>8334335.4900000002</v>
      </c>
      <c r="F21" s="40">
        <v>2363433.31</v>
      </c>
      <c r="G21" s="40">
        <v>1380485.11</v>
      </c>
      <c r="H21" s="40">
        <v>-14300.65</v>
      </c>
      <c r="I21" s="40">
        <v>3581556.19</v>
      </c>
      <c r="J21" s="40">
        <v>780754.99</v>
      </c>
      <c r="K21" s="40">
        <v>366939.61</v>
      </c>
      <c r="L21" s="40">
        <v>269908.40000000002</v>
      </c>
      <c r="M21" s="40">
        <v>7051514.8700000001</v>
      </c>
      <c r="N21" s="40">
        <v>5313177.87</v>
      </c>
      <c r="O21" s="40">
        <v>10188018.050000001</v>
      </c>
      <c r="P21" s="40">
        <v>10649520.369999999</v>
      </c>
      <c r="Q21" s="40">
        <v>9427984.0099999998</v>
      </c>
      <c r="R21" s="40">
        <v>3872245.15</v>
      </c>
      <c r="S21" s="40">
        <v>0</v>
      </c>
    </row>
    <row r="22" spans="1:19">
      <c r="A22" s="40" t="s">
        <v>209</v>
      </c>
      <c r="B22" s="40">
        <v>76814420.379999995</v>
      </c>
      <c r="C22" s="40">
        <v>49384581.299999997</v>
      </c>
      <c r="D22" s="40">
        <v>7683657.6799999997</v>
      </c>
      <c r="E22" s="40">
        <v>76510575.469999999</v>
      </c>
      <c r="F22" s="40">
        <v>39647768.350000001</v>
      </c>
      <c r="G22" s="40">
        <v>23501789.920000002</v>
      </c>
      <c r="H22" s="40">
        <v>1763284.09</v>
      </c>
      <c r="I22" s="40">
        <v>61776557.109999999</v>
      </c>
      <c r="J22" s="40">
        <v>39889095.469999999</v>
      </c>
      <c r="K22" s="40">
        <v>29652286.77</v>
      </c>
      <c r="L22" s="40">
        <v>5972392.46</v>
      </c>
      <c r="M22" s="40">
        <v>57580942.43</v>
      </c>
      <c r="N22" s="40">
        <v>41305234.289999999</v>
      </c>
      <c r="O22" s="40">
        <v>72037191.540000007</v>
      </c>
      <c r="P22" s="40">
        <v>80171253.620000005</v>
      </c>
      <c r="Q22" s="40">
        <v>68096226.200000003</v>
      </c>
      <c r="R22" s="40">
        <v>26785364.940000001</v>
      </c>
      <c r="S22" s="40">
        <v>0</v>
      </c>
    </row>
    <row r="23" spans="1:19">
      <c r="A23" s="40" t="s">
        <v>210</v>
      </c>
      <c r="B23" s="40">
        <v>77132795.950000003</v>
      </c>
      <c r="C23" s="40">
        <v>49265345.719999999</v>
      </c>
      <c r="D23" s="40">
        <v>7434567.75</v>
      </c>
      <c r="E23" s="40">
        <v>73140345.950000003</v>
      </c>
      <c r="F23" s="40">
        <v>39647768.350000001</v>
      </c>
      <c r="G23" s="40">
        <v>23501789.920000002</v>
      </c>
      <c r="H23" s="40">
        <v>1763284.09</v>
      </c>
      <c r="I23" s="40">
        <v>61776557.109999999</v>
      </c>
      <c r="J23" s="40">
        <v>39889095.469999999</v>
      </c>
      <c r="K23" s="40">
        <v>29652286.77</v>
      </c>
      <c r="L23" s="40">
        <v>5972392.46</v>
      </c>
      <c r="M23" s="40">
        <v>57580942.43</v>
      </c>
      <c r="N23" s="40">
        <v>41305234.289999999</v>
      </c>
      <c r="O23" s="40">
        <v>72037191.540000007</v>
      </c>
      <c r="P23" s="40">
        <v>80171253.620000005</v>
      </c>
      <c r="Q23" s="40">
        <v>68096226.200000003</v>
      </c>
      <c r="R23" s="40">
        <v>26785364.940000001</v>
      </c>
      <c r="S23" s="40">
        <v>0</v>
      </c>
    </row>
    <row r="24" spans="1:19">
      <c r="A24" s="40" t="s">
        <v>211</v>
      </c>
      <c r="B24" s="40">
        <v>-318375.57</v>
      </c>
      <c r="C24" s="40">
        <v>119235.58</v>
      </c>
      <c r="D24" s="40">
        <v>249089.93</v>
      </c>
      <c r="E24" s="40">
        <v>3370229.52</v>
      </c>
      <c r="F24" s="40">
        <v>0</v>
      </c>
      <c r="G24" s="40">
        <v>0</v>
      </c>
      <c r="H24" s="40">
        <v>0</v>
      </c>
      <c r="I24" s="40">
        <v>0</v>
      </c>
      <c r="J24" s="40">
        <v>0</v>
      </c>
      <c r="K24" s="40">
        <v>0</v>
      </c>
      <c r="L24" s="40">
        <v>0</v>
      </c>
      <c r="M24" s="40">
        <v>0</v>
      </c>
      <c r="N24" s="40">
        <v>0</v>
      </c>
      <c r="O24" s="40">
        <v>0</v>
      </c>
      <c r="P24" s="40">
        <v>0</v>
      </c>
      <c r="Q24" s="40">
        <v>0</v>
      </c>
      <c r="R24" s="40">
        <v>0</v>
      </c>
      <c r="S24" s="40">
        <v>0</v>
      </c>
    </row>
    <row r="25" spans="1:19">
      <c r="A25" s="40" t="s">
        <v>212</v>
      </c>
    </row>
    <row r="26" spans="1:19">
      <c r="A26" s="40" t="s">
        <v>213</v>
      </c>
      <c r="B26" s="40">
        <v>0.55420000000000003</v>
      </c>
      <c r="C26" s="40">
        <v>0.3538</v>
      </c>
      <c r="D26" s="40">
        <v>0.10199999999999999</v>
      </c>
      <c r="E26" s="40">
        <v>1.02</v>
      </c>
      <c r="F26" s="40">
        <v>0.55220000000000002</v>
      </c>
      <c r="G26" s="40">
        <v>0.32729999999999998</v>
      </c>
      <c r="H26" s="40">
        <v>2.46E-2</v>
      </c>
      <c r="I26" s="40">
        <v>1.0875999999999999</v>
      </c>
      <c r="J26" s="40">
        <v>0.74</v>
      </c>
      <c r="K26" s="40">
        <v>0.55000000000000004</v>
      </c>
      <c r="L26" s="40">
        <v>0.111</v>
      </c>
      <c r="M26" s="40">
        <v>1.07</v>
      </c>
      <c r="N26" s="40">
        <v>0.77</v>
      </c>
      <c r="O26" s="40">
        <v>1.34</v>
      </c>
      <c r="P26" s="40">
        <v>1.49</v>
      </c>
      <c r="Q26" s="40">
        <v>1.27</v>
      </c>
      <c r="R26" s="40">
        <v>0</v>
      </c>
      <c r="S26" s="40">
        <v>0</v>
      </c>
    </row>
    <row r="27" spans="1:19">
      <c r="A27" s="40" t="s">
        <v>214</v>
      </c>
      <c r="B27" s="40">
        <v>0.55420000000000003</v>
      </c>
      <c r="C27" s="40">
        <v>0.3538</v>
      </c>
      <c r="D27" s="40">
        <v>0.10199999999999999</v>
      </c>
      <c r="E27" s="40">
        <v>1.02</v>
      </c>
      <c r="F27" s="40">
        <v>0.55220000000000002</v>
      </c>
      <c r="G27" s="40">
        <v>0.32729999999999998</v>
      </c>
      <c r="H27" s="40">
        <v>2.46E-2</v>
      </c>
      <c r="I27" s="40">
        <v>1.0875999999999999</v>
      </c>
      <c r="J27" s="40">
        <v>0.74</v>
      </c>
      <c r="K27" s="40">
        <v>0.55000000000000004</v>
      </c>
      <c r="L27" s="40">
        <v>0.111</v>
      </c>
      <c r="M27" s="40">
        <v>1.07</v>
      </c>
      <c r="N27" s="40">
        <v>0.77</v>
      </c>
      <c r="O27" s="40">
        <v>1.34</v>
      </c>
      <c r="P27" s="40">
        <v>1.49</v>
      </c>
      <c r="Q27" s="40">
        <v>1.27</v>
      </c>
      <c r="R27" s="40">
        <v>0</v>
      </c>
      <c r="S27" s="40">
        <v>0</v>
      </c>
    </row>
    <row r="28" spans="1:19">
      <c r="A28" s="40" t="s">
        <v>215</v>
      </c>
      <c r="B28" s="40">
        <v>0</v>
      </c>
      <c r="C28" s="40">
        <v>0</v>
      </c>
      <c r="D28" s="40">
        <v>0</v>
      </c>
      <c r="E28" s="40">
        <v>0</v>
      </c>
      <c r="F28" s="40">
        <v>0</v>
      </c>
      <c r="G28" s="40">
        <v>0</v>
      </c>
      <c r="H28" s="40">
        <v>0</v>
      </c>
      <c r="I28" s="40">
        <v>0</v>
      </c>
      <c r="J28" s="40">
        <v>0</v>
      </c>
      <c r="K28" s="40">
        <v>0</v>
      </c>
      <c r="L28" s="40">
        <v>0</v>
      </c>
      <c r="M28" s="40">
        <v>0</v>
      </c>
      <c r="N28" s="40">
        <v>0</v>
      </c>
      <c r="O28" s="40">
        <v>0</v>
      </c>
      <c r="P28" s="40">
        <v>0</v>
      </c>
      <c r="Q28" s="40">
        <v>0</v>
      </c>
      <c r="R28" s="40">
        <v>0</v>
      </c>
      <c r="S28" s="40">
        <v>0</v>
      </c>
    </row>
    <row r="29" spans="1:19">
      <c r="A29" s="40" t="s">
        <v>216</v>
      </c>
      <c r="B29" s="40">
        <v>76814420.379999995</v>
      </c>
      <c r="C29" s="40">
        <v>49384581.299999997</v>
      </c>
      <c r="D29" s="40">
        <v>7683657.6799999997</v>
      </c>
      <c r="E29" s="40">
        <v>76510575.469999999</v>
      </c>
      <c r="F29" s="40">
        <v>39647768.350000001</v>
      </c>
      <c r="G29" s="40">
        <v>23501789.920000002</v>
      </c>
      <c r="H29" s="40">
        <v>1763284.09</v>
      </c>
      <c r="I29" s="40">
        <v>61776557.109999999</v>
      </c>
      <c r="J29" s="40">
        <v>0</v>
      </c>
      <c r="K29" s="40">
        <v>29652286.77</v>
      </c>
      <c r="L29" s="40">
        <v>5972392.46</v>
      </c>
      <c r="M29" s="40">
        <v>57580942.43</v>
      </c>
      <c r="N29" s="40">
        <v>0</v>
      </c>
      <c r="O29" s="40">
        <v>72037191.540000007</v>
      </c>
      <c r="P29" s="40">
        <v>80171253.620000005</v>
      </c>
      <c r="Q29" s="40">
        <v>68096226.200000003</v>
      </c>
      <c r="R29" s="40">
        <v>26785364.940000001</v>
      </c>
      <c r="S29" s="40">
        <v>0</v>
      </c>
    </row>
    <row r="30" spans="1:19">
      <c r="A30" s="40" t="s">
        <v>217</v>
      </c>
      <c r="B30" s="40">
        <v>77132795.950000003</v>
      </c>
      <c r="C30" s="40">
        <v>49265345.719999999</v>
      </c>
      <c r="D30" s="40">
        <v>7434567.75</v>
      </c>
      <c r="E30" s="40">
        <v>73140345.950000003</v>
      </c>
      <c r="F30" s="40">
        <v>39647768.350000001</v>
      </c>
      <c r="G30" s="40">
        <v>23501789.920000002</v>
      </c>
      <c r="H30" s="40">
        <v>1763284.09</v>
      </c>
      <c r="I30" s="40">
        <v>61776557.109999999</v>
      </c>
      <c r="J30" s="40">
        <v>0</v>
      </c>
      <c r="K30" s="40">
        <v>29652286.77</v>
      </c>
      <c r="L30" s="40">
        <v>5972392.46</v>
      </c>
      <c r="M30" s="40">
        <v>57580942.43</v>
      </c>
      <c r="N30" s="40">
        <v>0</v>
      </c>
      <c r="O30" s="40">
        <v>72037191.540000007</v>
      </c>
      <c r="P30" s="40">
        <v>80171253.620000005</v>
      </c>
      <c r="Q30" s="40">
        <v>68096226.200000003</v>
      </c>
      <c r="R30" s="40">
        <v>26785364.940000001</v>
      </c>
      <c r="S30" s="40">
        <v>0</v>
      </c>
    </row>
    <row r="31" spans="1:19">
      <c r="A31" s="40" t="s">
        <v>218</v>
      </c>
      <c r="B31" s="40">
        <v>-318375.57</v>
      </c>
      <c r="C31" s="40">
        <v>119235.58</v>
      </c>
      <c r="D31" s="40">
        <v>249089.93</v>
      </c>
      <c r="E31" s="40">
        <v>3370229.52</v>
      </c>
      <c r="F31" s="40">
        <v>0</v>
      </c>
      <c r="G31" s="40">
        <v>0</v>
      </c>
      <c r="H31" s="40">
        <v>0</v>
      </c>
      <c r="I31" s="40">
        <v>0</v>
      </c>
      <c r="J31" s="40">
        <v>0</v>
      </c>
      <c r="K31" s="40">
        <v>0</v>
      </c>
      <c r="L31" s="40">
        <v>0</v>
      </c>
      <c r="M31" s="40">
        <v>0</v>
      </c>
      <c r="N31" s="40">
        <v>0</v>
      </c>
      <c r="O31" s="40">
        <v>0</v>
      </c>
      <c r="P31" s="40">
        <v>0</v>
      </c>
      <c r="Q31" s="40">
        <v>0</v>
      </c>
      <c r="R31" s="40">
        <v>0</v>
      </c>
      <c r="S31" s="4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S77"/>
  <sheetViews>
    <sheetView workbookViewId="0">
      <selection activeCell="A31" sqref="A31"/>
    </sheetView>
  </sheetViews>
  <sheetFormatPr defaultRowHeight="13.5"/>
  <cols>
    <col min="1" max="1" width="54.625" style="40" bestFit="1" customWidth="1"/>
    <col min="2" max="4" width="13.875" style="40" hidden="1" customWidth="1"/>
    <col min="5" max="5" width="13.875" style="40" bestFit="1" customWidth="1"/>
    <col min="6" max="8" width="13.875" style="40" hidden="1" customWidth="1"/>
    <col min="9" max="9" width="13.875" style="40" bestFit="1" customWidth="1"/>
    <col min="10" max="12" width="13.875" style="40" hidden="1" customWidth="1"/>
    <col min="13" max="13" width="13.875" style="40" bestFit="1" customWidth="1"/>
    <col min="14" max="14" width="13.875" style="40" hidden="1" customWidth="1"/>
    <col min="15" max="17" width="13.875" style="40" bestFit="1" customWidth="1"/>
    <col min="18" max="18" width="12.75" style="40" bestFit="1" customWidth="1"/>
    <col min="19" max="19" width="9.5" style="40" hidden="1" customWidth="1"/>
    <col min="20" max="16384" width="9" style="40"/>
  </cols>
  <sheetData>
    <row r="1" spans="1:19">
      <c r="A1" s="40">
        <v>300559</v>
      </c>
      <c r="B1" s="40">
        <v>20180930</v>
      </c>
      <c r="C1" s="40">
        <v>20180630</v>
      </c>
      <c r="D1" s="40">
        <v>20180331</v>
      </c>
      <c r="E1" s="40">
        <v>20171231</v>
      </c>
      <c r="F1" s="40">
        <v>20170930</v>
      </c>
      <c r="G1" s="40">
        <v>20170630</v>
      </c>
      <c r="H1" s="40">
        <v>20170331</v>
      </c>
      <c r="I1" s="40">
        <v>20161231</v>
      </c>
      <c r="J1" s="40">
        <v>20160930</v>
      </c>
      <c r="K1" s="40">
        <v>20160630</v>
      </c>
      <c r="L1" s="40">
        <v>20160331</v>
      </c>
      <c r="M1" s="40">
        <v>20151231</v>
      </c>
      <c r="N1" s="40">
        <v>20150930</v>
      </c>
      <c r="O1" s="40">
        <v>20141231</v>
      </c>
      <c r="P1" s="40">
        <v>20131231</v>
      </c>
      <c r="Q1" s="40">
        <v>20121231</v>
      </c>
      <c r="R1" s="40">
        <v>20111231</v>
      </c>
      <c r="S1" s="40">
        <v>19700101</v>
      </c>
    </row>
    <row r="2" spans="1:19">
      <c r="A2" s="40" t="s">
        <v>105</v>
      </c>
      <c r="B2" s="40" t="s">
        <v>106</v>
      </c>
      <c r="C2" s="40" t="s">
        <v>106</v>
      </c>
      <c r="D2" s="40" t="s">
        <v>106</v>
      </c>
      <c r="E2" s="40" t="s">
        <v>106</v>
      </c>
      <c r="F2" s="40" t="s">
        <v>106</v>
      </c>
      <c r="G2" s="40" t="s">
        <v>106</v>
      </c>
      <c r="H2" s="40" t="s">
        <v>106</v>
      </c>
      <c r="I2" s="40" t="s">
        <v>106</v>
      </c>
      <c r="J2" s="40" t="s">
        <v>106</v>
      </c>
      <c r="K2" s="40" t="s">
        <v>106</v>
      </c>
      <c r="L2" s="40" t="s">
        <v>106</v>
      </c>
      <c r="M2" s="40" t="s">
        <v>106</v>
      </c>
      <c r="N2" s="40" t="s">
        <v>106</v>
      </c>
      <c r="O2" s="40" t="s">
        <v>106</v>
      </c>
      <c r="P2" s="40" t="s">
        <v>106</v>
      </c>
      <c r="Q2" s="40" t="s">
        <v>106</v>
      </c>
      <c r="R2" s="40" t="s">
        <v>106</v>
      </c>
    </row>
    <row r="3" spans="1:19">
      <c r="A3" s="40" t="s">
        <v>219</v>
      </c>
    </row>
    <row r="4" spans="1:19">
      <c r="A4" s="40" t="s">
        <v>220</v>
      </c>
      <c r="B4" s="40">
        <v>201043237.44</v>
      </c>
      <c r="C4" s="40">
        <v>115200635.22</v>
      </c>
      <c r="D4" s="40">
        <v>26012766.469999999</v>
      </c>
      <c r="E4" s="40">
        <v>226913834.66999999</v>
      </c>
      <c r="F4" s="40">
        <v>136188223.49000001</v>
      </c>
      <c r="G4" s="40">
        <v>83431292.930000007</v>
      </c>
      <c r="H4" s="40">
        <v>27995837.739999998</v>
      </c>
      <c r="I4" s="40">
        <v>194404831.69</v>
      </c>
      <c r="J4" s="40">
        <v>107490544.98</v>
      </c>
      <c r="K4" s="40">
        <v>78071551.620000005</v>
      </c>
      <c r="L4" s="40">
        <v>18878180.190000001</v>
      </c>
      <c r="M4" s="40">
        <v>168865490.47</v>
      </c>
      <c r="N4" s="40">
        <v>125397172.45</v>
      </c>
      <c r="O4" s="40">
        <v>186450395.44999999</v>
      </c>
      <c r="P4" s="40">
        <v>196694748.21000001</v>
      </c>
      <c r="Q4" s="40">
        <v>241875378.59999999</v>
      </c>
      <c r="R4" s="40">
        <v>77762849.969999999</v>
      </c>
      <c r="S4" s="40">
        <v>0</v>
      </c>
    </row>
    <row r="5" spans="1:19">
      <c r="A5" s="40" t="s">
        <v>221</v>
      </c>
      <c r="B5" s="40">
        <v>14661075.029999999</v>
      </c>
      <c r="C5" s="40">
        <v>8101961.4500000002</v>
      </c>
      <c r="D5" s="40">
        <v>4356482.6900000004</v>
      </c>
      <c r="E5" s="40">
        <v>11018709.550000001</v>
      </c>
      <c r="F5" s="40">
        <v>7733293.8799999999</v>
      </c>
      <c r="G5" s="40">
        <v>3744224.65</v>
      </c>
      <c r="H5" s="40">
        <v>0</v>
      </c>
      <c r="I5" s="40">
        <v>10880311.6</v>
      </c>
      <c r="J5" s="40">
        <v>9621780.6699999999</v>
      </c>
      <c r="K5" s="40">
        <v>3947365.5</v>
      </c>
      <c r="L5" s="40">
        <v>3947365.5</v>
      </c>
      <c r="M5" s="40">
        <v>17461557.219999999</v>
      </c>
      <c r="N5" s="40">
        <v>12021422.199999999</v>
      </c>
      <c r="O5" s="40">
        <v>10768476.74</v>
      </c>
      <c r="P5" s="40">
        <v>17188456.710000001</v>
      </c>
      <c r="Q5" s="40">
        <v>5278951.72</v>
      </c>
      <c r="R5" s="40">
        <v>2288672.25</v>
      </c>
      <c r="S5" s="40">
        <v>0</v>
      </c>
    </row>
    <row r="6" spans="1:19">
      <c r="A6" s="40" t="s">
        <v>222</v>
      </c>
      <c r="B6" s="40">
        <v>7712140.7400000002</v>
      </c>
      <c r="C6" s="40">
        <v>5287161.41</v>
      </c>
      <c r="D6" s="40">
        <v>2464979.5299999998</v>
      </c>
      <c r="E6" s="40">
        <v>16820583.260000002</v>
      </c>
      <c r="F6" s="40">
        <v>10046777.050000001</v>
      </c>
      <c r="G6" s="40">
        <v>3653766.63</v>
      </c>
      <c r="H6" s="40">
        <v>1188016.74</v>
      </c>
      <c r="I6" s="40">
        <v>8801900.7300000004</v>
      </c>
      <c r="J6" s="40">
        <v>3565981.16</v>
      </c>
      <c r="K6" s="40">
        <v>3038978.62</v>
      </c>
      <c r="L6" s="40">
        <v>1341163.81</v>
      </c>
      <c r="M6" s="40">
        <v>7225519.8700000001</v>
      </c>
      <c r="N6" s="40">
        <v>5188895.93</v>
      </c>
      <c r="O6" s="40">
        <v>15684473.26</v>
      </c>
      <c r="P6" s="40">
        <v>4008717.77</v>
      </c>
      <c r="Q6" s="40">
        <v>7184767.3099999996</v>
      </c>
      <c r="R6" s="40">
        <v>7373482.4800000004</v>
      </c>
      <c r="S6" s="40">
        <v>0</v>
      </c>
    </row>
    <row r="7" spans="1:19">
      <c r="A7" s="40" t="s">
        <v>223</v>
      </c>
      <c r="B7" s="40">
        <v>223416453.21000001</v>
      </c>
      <c r="C7" s="40">
        <v>128589758.08</v>
      </c>
      <c r="D7" s="40">
        <v>32834228.690000001</v>
      </c>
      <c r="E7" s="40">
        <v>254753127.47999999</v>
      </c>
      <c r="F7" s="40">
        <v>153968294.41999999</v>
      </c>
      <c r="G7" s="40">
        <v>90829284.209999993</v>
      </c>
      <c r="H7" s="40">
        <v>29183854.48</v>
      </c>
      <c r="I7" s="40">
        <v>214087044.02000001</v>
      </c>
      <c r="J7" s="40">
        <v>120678306.81</v>
      </c>
      <c r="K7" s="40">
        <v>85057895.739999995</v>
      </c>
      <c r="L7" s="40">
        <v>24166709.5</v>
      </c>
      <c r="M7" s="40">
        <v>193552567.56</v>
      </c>
      <c r="N7" s="40">
        <v>142607490.58000001</v>
      </c>
      <c r="O7" s="40">
        <v>212903345.44999999</v>
      </c>
      <c r="P7" s="40">
        <v>217891922.69</v>
      </c>
      <c r="Q7" s="40">
        <v>254339097.63</v>
      </c>
      <c r="R7" s="40">
        <v>87425004.700000003</v>
      </c>
      <c r="S7" s="40">
        <v>0</v>
      </c>
    </row>
    <row r="8" spans="1:19">
      <c r="A8" s="40" t="s">
        <v>224</v>
      </c>
      <c r="B8" s="40">
        <v>102505290.36</v>
      </c>
      <c r="C8" s="40">
        <v>69012442.150000006</v>
      </c>
      <c r="D8" s="40">
        <v>22628533.120000001</v>
      </c>
      <c r="E8" s="40">
        <v>77444748.329999998</v>
      </c>
      <c r="F8" s="40">
        <v>49649763.090000004</v>
      </c>
      <c r="G8" s="40">
        <v>26988415.82</v>
      </c>
      <c r="H8" s="40">
        <v>13606254.75</v>
      </c>
      <c r="I8" s="40">
        <v>79007579.329999998</v>
      </c>
      <c r="J8" s="40">
        <v>61492974.009999998</v>
      </c>
      <c r="K8" s="40">
        <v>50576420.979999997</v>
      </c>
      <c r="L8" s="40">
        <v>9849661.1699999999</v>
      </c>
      <c r="M8" s="40">
        <v>74771909.349999994</v>
      </c>
      <c r="N8" s="40">
        <v>41906152.090000004</v>
      </c>
      <c r="O8" s="40">
        <v>83250053.530000001</v>
      </c>
      <c r="P8" s="40">
        <v>94579275.390000001</v>
      </c>
      <c r="Q8" s="40">
        <v>112427728.34999999</v>
      </c>
      <c r="R8" s="40">
        <v>38465265.899999999</v>
      </c>
      <c r="S8" s="40">
        <v>0</v>
      </c>
    </row>
    <row r="9" spans="1:19">
      <c r="A9" s="40" t="s">
        <v>225</v>
      </c>
      <c r="B9" s="40">
        <v>41785637.060000002</v>
      </c>
      <c r="C9" s="40">
        <v>30632949.530000001</v>
      </c>
      <c r="D9" s="40">
        <v>16697959.789999999</v>
      </c>
      <c r="E9" s="40">
        <v>34662885.560000002</v>
      </c>
      <c r="F9" s="40">
        <v>24514587.449999999</v>
      </c>
      <c r="G9" s="40">
        <v>16639117.6</v>
      </c>
      <c r="H9" s="40">
        <v>10644466.32</v>
      </c>
      <c r="I9" s="40">
        <v>26631190.93</v>
      </c>
      <c r="J9" s="40">
        <v>20426429.850000001</v>
      </c>
      <c r="K9" s="40">
        <v>15311871.24</v>
      </c>
      <c r="L9" s="40">
        <v>10489821.15</v>
      </c>
      <c r="M9" s="40">
        <v>25669486.039999999</v>
      </c>
      <c r="N9" s="40">
        <v>21366220.25</v>
      </c>
      <c r="O9" s="40">
        <v>21939836.18</v>
      </c>
      <c r="P9" s="40">
        <v>21042842.449999999</v>
      </c>
      <c r="Q9" s="40">
        <v>9170460.0299999993</v>
      </c>
      <c r="R9" s="40">
        <v>4537849.05</v>
      </c>
      <c r="S9" s="40">
        <v>0</v>
      </c>
    </row>
    <row r="10" spans="1:19">
      <c r="A10" s="40" t="s">
        <v>226</v>
      </c>
      <c r="B10" s="40">
        <v>32266709.550000001</v>
      </c>
      <c r="C10" s="40">
        <v>20315230.199999999</v>
      </c>
      <c r="D10" s="40">
        <v>10093875.550000001</v>
      </c>
      <c r="E10" s="40">
        <v>28236772.640000001</v>
      </c>
      <c r="F10" s="40">
        <v>18731579.149999999</v>
      </c>
      <c r="G10" s="40">
        <v>11365272.85</v>
      </c>
      <c r="H10" s="40">
        <v>7178704.8099999996</v>
      </c>
      <c r="I10" s="40">
        <v>19004189.109999999</v>
      </c>
      <c r="J10" s="40">
        <v>14436884.970000001</v>
      </c>
      <c r="K10" s="40">
        <v>8821649.1099999994</v>
      </c>
      <c r="L10" s="40">
        <v>4547494.7699999996</v>
      </c>
      <c r="M10" s="40">
        <v>21651956.640000001</v>
      </c>
      <c r="N10" s="40">
        <v>19086029.68</v>
      </c>
      <c r="O10" s="40">
        <v>26311773.16</v>
      </c>
      <c r="P10" s="40">
        <v>31875075.690000001</v>
      </c>
      <c r="Q10" s="40">
        <v>33518905.84</v>
      </c>
      <c r="R10" s="40">
        <v>15918867.57</v>
      </c>
      <c r="S10" s="40">
        <v>0</v>
      </c>
    </row>
    <row r="11" spans="1:19">
      <c r="A11" s="40" t="s">
        <v>227</v>
      </c>
      <c r="B11" s="40">
        <v>37502890.170000002</v>
      </c>
      <c r="C11" s="40">
        <v>24904832.550000001</v>
      </c>
      <c r="D11" s="40">
        <v>13412788.15</v>
      </c>
      <c r="E11" s="40">
        <v>26972500.07</v>
      </c>
      <c r="F11" s="40">
        <v>16642001.050000001</v>
      </c>
      <c r="G11" s="40">
        <v>11579529.039999999</v>
      </c>
      <c r="H11" s="40">
        <v>2558061.59</v>
      </c>
      <c r="I11" s="40">
        <v>22268129.829999998</v>
      </c>
      <c r="J11" s="40">
        <v>14441167.59</v>
      </c>
      <c r="K11" s="40">
        <v>10373576.029999999</v>
      </c>
      <c r="L11" s="40">
        <v>3117573.42</v>
      </c>
      <c r="M11" s="40">
        <v>17099453.699999999</v>
      </c>
      <c r="N11" s="40">
        <v>10827043.189999999</v>
      </c>
      <c r="O11" s="40">
        <v>15517975.300000001</v>
      </c>
      <c r="P11" s="40">
        <v>20116389.789999999</v>
      </c>
      <c r="Q11" s="40">
        <v>25947160.129999999</v>
      </c>
      <c r="R11" s="40">
        <v>11308838.300000001</v>
      </c>
      <c r="S11" s="40">
        <v>0</v>
      </c>
    </row>
    <row r="12" spans="1:19">
      <c r="A12" s="40" t="s">
        <v>228</v>
      </c>
      <c r="B12" s="40">
        <v>214060527.13999999</v>
      </c>
      <c r="C12" s="40">
        <v>144865454.43000001</v>
      </c>
      <c r="D12" s="40">
        <v>62833156.609999999</v>
      </c>
      <c r="E12" s="40">
        <v>167316906.59999999</v>
      </c>
      <c r="F12" s="40">
        <v>109537930.73999999</v>
      </c>
      <c r="G12" s="40">
        <v>66572335.310000002</v>
      </c>
      <c r="H12" s="40">
        <v>33987487.469999999</v>
      </c>
      <c r="I12" s="40">
        <v>146911089.19999999</v>
      </c>
      <c r="J12" s="40">
        <v>110797456.42</v>
      </c>
      <c r="K12" s="40">
        <v>85083517.359999999</v>
      </c>
      <c r="L12" s="40">
        <v>28004550.510000002</v>
      </c>
      <c r="M12" s="40">
        <v>139192805.72999999</v>
      </c>
      <c r="N12" s="40">
        <v>93185445.209999993</v>
      </c>
      <c r="O12" s="40">
        <v>147019638.16999999</v>
      </c>
      <c r="P12" s="40">
        <v>167613583.31999999</v>
      </c>
      <c r="Q12" s="40">
        <v>181064254.34999999</v>
      </c>
      <c r="R12" s="40">
        <v>70230820.819999993</v>
      </c>
      <c r="S12" s="40">
        <v>0</v>
      </c>
    </row>
    <row r="13" spans="1:19">
      <c r="A13" s="40" t="s">
        <v>229</v>
      </c>
      <c r="B13" s="40">
        <v>9355926.0700000003</v>
      </c>
      <c r="C13" s="40">
        <v>-16275696.35</v>
      </c>
      <c r="D13" s="40">
        <v>-29998927.920000002</v>
      </c>
      <c r="E13" s="40">
        <v>87436220.879999995</v>
      </c>
      <c r="F13" s="40">
        <v>44430363.68</v>
      </c>
      <c r="G13" s="40">
        <v>24256948.899999999</v>
      </c>
      <c r="H13" s="40">
        <v>-4803632.99</v>
      </c>
      <c r="I13" s="40">
        <v>67175954.819999993</v>
      </c>
      <c r="J13" s="40">
        <v>9880850.3900000006</v>
      </c>
      <c r="K13" s="40">
        <v>-25621.62</v>
      </c>
      <c r="L13" s="40">
        <v>-3837841.01</v>
      </c>
      <c r="M13" s="40">
        <v>54359761.829999998</v>
      </c>
      <c r="N13" s="40">
        <v>49422045.369999997</v>
      </c>
      <c r="O13" s="40">
        <v>65883707.280000001</v>
      </c>
      <c r="P13" s="40">
        <v>50278339.369999997</v>
      </c>
      <c r="Q13" s="40">
        <v>73274843.280000001</v>
      </c>
      <c r="R13" s="40">
        <v>17194183.879999999</v>
      </c>
      <c r="S13" s="40">
        <v>0</v>
      </c>
    </row>
    <row r="14" spans="1:19">
      <c r="A14" s="40" t="s">
        <v>230</v>
      </c>
    </row>
    <row r="15" spans="1:19">
      <c r="A15" s="40" t="s">
        <v>231</v>
      </c>
      <c r="B15" s="40">
        <v>20000000</v>
      </c>
      <c r="C15" s="40">
        <v>0</v>
      </c>
      <c r="D15" s="40">
        <v>0</v>
      </c>
      <c r="E15" s="40">
        <v>0</v>
      </c>
      <c r="F15" s="40">
        <v>0</v>
      </c>
      <c r="G15" s="40">
        <v>0</v>
      </c>
      <c r="H15" s="40">
        <v>0</v>
      </c>
      <c r="I15" s="40">
        <v>0</v>
      </c>
      <c r="J15" s="40">
        <v>0</v>
      </c>
      <c r="K15" s="40">
        <v>0</v>
      </c>
      <c r="L15" s="40">
        <v>0</v>
      </c>
      <c r="M15" s="40">
        <v>0</v>
      </c>
      <c r="N15" s="40">
        <v>0</v>
      </c>
      <c r="O15" s="40">
        <v>0</v>
      </c>
      <c r="P15" s="40">
        <v>0</v>
      </c>
      <c r="Q15" s="40">
        <v>0</v>
      </c>
      <c r="R15" s="40">
        <v>0</v>
      </c>
      <c r="S15" s="40">
        <v>0</v>
      </c>
    </row>
    <row r="16" spans="1:19">
      <c r="A16" s="40" t="s">
        <v>232</v>
      </c>
      <c r="B16" s="40">
        <v>11492762.449999999</v>
      </c>
      <c r="C16" s="40">
        <v>7805227.29</v>
      </c>
      <c r="D16" s="40">
        <v>1095731.27</v>
      </c>
      <c r="E16" s="40">
        <v>12183852.58</v>
      </c>
      <c r="F16" s="40">
        <v>0</v>
      </c>
      <c r="G16" s="40">
        <v>0</v>
      </c>
      <c r="H16" s="40">
        <v>0</v>
      </c>
      <c r="I16" s="40">
        <v>0</v>
      </c>
      <c r="J16" s="40">
        <v>0</v>
      </c>
      <c r="K16" s="40">
        <v>0</v>
      </c>
      <c r="L16" s="40">
        <v>0</v>
      </c>
      <c r="M16" s="40">
        <v>0</v>
      </c>
      <c r="N16" s="40">
        <v>0</v>
      </c>
      <c r="O16" s="40">
        <v>0</v>
      </c>
      <c r="P16" s="40">
        <v>0</v>
      </c>
      <c r="Q16" s="40">
        <v>0</v>
      </c>
      <c r="R16" s="40">
        <v>0</v>
      </c>
      <c r="S16" s="40">
        <v>0</v>
      </c>
    </row>
    <row r="17" spans="1:19">
      <c r="A17" s="40" t="s">
        <v>233</v>
      </c>
      <c r="B17" s="40">
        <v>0</v>
      </c>
      <c r="C17" s="40">
        <v>0</v>
      </c>
      <c r="D17" s="40">
        <v>0</v>
      </c>
      <c r="E17" s="40">
        <v>32359.22</v>
      </c>
      <c r="F17" s="40">
        <v>32359.22</v>
      </c>
      <c r="G17" s="40">
        <v>0</v>
      </c>
      <c r="H17" s="40">
        <v>0</v>
      </c>
      <c r="I17" s="40">
        <v>0</v>
      </c>
      <c r="J17" s="40">
        <v>0</v>
      </c>
      <c r="K17" s="40">
        <v>0</v>
      </c>
      <c r="L17" s="40">
        <v>0</v>
      </c>
      <c r="M17" s="40">
        <v>68492.320000000007</v>
      </c>
      <c r="N17" s="40">
        <v>68492.320000000007</v>
      </c>
      <c r="O17" s="40">
        <v>0</v>
      </c>
      <c r="P17" s="40">
        <v>0</v>
      </c>
      <c r="Q17" s="40">
        <v>4903.8500000000004</v>
      </c>
      <c r="R17" s="40">
        <v>0</v>
      </c>
      <c r="S17" s="40">
        <v>0</v>
      </c>
    </row>
    <row r="18" spans="1:19">
      <c r="A18" s="40" t="s">
        <v>234</v>
      </c>
      <c r="B18" s="40">
        <v>0</v>
      </c>
      <c r="C18" s="40">
        <v>0</v>
      </c>
      <c r="D18" s="40">
        <v>0</v>
      </c>
      <c r="E18" s="40">
        <v>0</v>
      </c>
      <c r="F18" s="40">
        <v>0</v>
      </c>
      <c r="G18" s="40">
        <v>0</v>
      </c>
      <c r="H18" s="40">
        <v>0</v>
      </c>
      <c r="I18" s="40">
        <v>0</v>
      </c>
      <c r="J18" s="40">
        <v>0</v>
      </c>
      <c r="K18" s="40">
        <v>0</v>
      </c>
      <c r="L18" s="40">
        <v>0</v>
      </c>
      <c r="M18" s="40">
        <v>0</v>
      </c>
      <c r="N18" s="40">
        <v>0</v>
      </c>
      <c r="O18" s="40">
        <v>0</v>
      </c>
      <c r="P18" s="40">
        <v>0</v>
      </c>
      <c r="Q18" s="40">
        <v>0</v>
      </c>
      <c r="R18" s="40">
        <v>0</v>
      </c>
      <c r="S18" s="40">
        <v>0</v>
      </c>
    </row>
    <row r="19" spans="1:19">
      <c r="A19" s="40" t="s">
        <v>235</v>
      </c>
      <c r="B19" s="40">
        <v>1338017000</v>
      </c>
      <c r="C19" s="40">
        <v>913599360.5</v>
      </c>
      <c r="D19" s="40">
        <v>209129000</v>
      </c>
      <c r="E19" s="40">
        <v>1558545000</v>
      </c>
      <c r="F19" s="40">
        <v>1036181811.16</v>
      </c>
      <c r="G19" s="40">
        <v>565005049.73000002</v>
      </c>
      <c r="H19" s="40">
        <v>302231839.62</v>
      </c>
      <c r="I19" s="40">
        <v>0</v>
      </c>
      <c r="J19" s="40">
        <v>0</v>
      </c>
      <c r="K19" s="40">
        <v>0</v>
      </c>
      <c r="L19" s="40">
        <v>0</v>
      </c>
      <c r="M19" s="40">
        <v>0</v>
      </c>
      <c r="N19" s="40">
        <v>0</v>
      </c>
      <c r="O19" s="40">
        <v>0</v>
      </c>
      <c r="P19" s="40">
        <v>0</v>
      </c>
      <c r="Q19" s="40">
        <v>300000</v>
      </c>
      <c r="R19" s="40">
        <v>17723907</v>
      </c>
      <c r="S19" s="40">
        <v>0</v>
      </c>
    </row>
    <row r="20" spans="1:19">
      <c r="A20" s="40" t="s">
        <v>236</v>
      </c>
      <c r="B20" s="40">
        <v>1369509762.45</v>
      </c>
      <c r="C20" s="40">
        <v>921404587.78999996</v>
      </c>
      <c r="D20" s="40">
        <v>210224731.27000001</v>
      </c>
      <c r="E20" s="40">
        <v>1570761211.8</v>
      </c>
      <c r="F20" s="40">
        <v>1036214170.38</v>
      </c>
      <c r="G20" s="40">
        <v>565005049.73000002</v>
      </c>
      <c r="H20" s="40">
        <v>302231839.62</v>
      </c>
      <c r="I20" s="40">
        <v>0</v>
      </c>
      <c r="J20" s="40">
        <v>0</v>
      </c>
      <c r="K20" s="40">
        <v>0</v>
      </c>
      <c r="L20" s="40">
        <v>0</v>
      </c>
      <c r="M20" s="40">
        <v>68492.320000000007</v>
      </c>
      <c r="N20" s="40">
        <v>68492.320000000007</v>
      </c>
      <c r="O20" s="40">
        <v>0</v>
      </c>
      <c r="P20" s="40">
        <v>0</v>
      </c>
      <c r="Q20" s="40">
        <v>304903.84999999998</v>
      </c>
      <c r="R20" s="40">
        <v>17723907</v>
      </c>
      <c r="S20" s="40">
        <v>0</v>
      </c>
    </row>
    <row r="21" spans="1:19">
      <c r="A21" s="40" t="s">
        <v>237</v>
      </c>
      <c r="B21" s="40">
        <v>24282494.16</v>
      </c>
      <c r="C21" s="40">
        <v>15609331.26</v>
      </c>
      <c r="D21" s="40">
        <v>11711601.359999999</v>
      </c>
      <c r="E21" s="40">
        <v>22727879.210000001</v>
      </c>
      <c r="F21" s="40">
        <v>10040196.199999999</v>
      </c>
      <c r="G21" s="40">
        <v>8404068.0899999999</v>
      </c>
      <c r="H21" s="40">
        <v>3594320.99</v>
      </c>
      <c r="I21" s="40">
        <v>33328010.07</v>
      </c>
      <c r="J21" s="40">
        <v>17908864.460000001</v>
      </c>
      <c r="K21" s="40">
        <v>14030726.73</v>
      </c>
      <c r="L21" s="40">
        <v>8410223.1300000008</v>
      </c>
      <c r="M21" s="40">
        <v>46789680.539999999</v>
      </c>
      <c r="N21" s="40">
        <v>39089576</v>
      </c>
      <c r="O21" s="40">
        <v>5066151.1100000003</v>
      </c>
      <c r="P21" s="40">
        <v>16717932.84</v>
      </c>
      <c r="Q21" s="40">
        <v>14368846.76</v>
      </c>
      <c r="R21" s="40">
        <v>3457449.21</v>
      </c>
      <c r="S21" s="40">
        <v>0</v>
      </c>
    </row>
    <row r="22" spans="1:19">
      <c r="A22" s="40" t="s">
        <v>238</v>
      </c>
      <c r="B22" s="40">
        <v>20490000</v>
      </c>
      <c r="C22" s="40">
        <v>20000000</v>
      </c>
      <c r="D22" s="40">
        <v>0</v>
      </c>
      <c r="E22" s="40">
        <v>0</v>
      </c>
      <c r="F22" s="40">
        <v>0</v>
      </c>
      <c r="G22" s="40">
        <v>0</v>
      </c>
      <c r="H22" s="40">
        <v>0</v>
      </c>
      <c r="I22" s="40">
        <v>0</v>
      </c>
      <c r="J22" s="40">
        <v>0</v>
      </c>
      <c r="K22" s="40">
        <v>0</v>
      </c>
      <c r="L22" s="40">
        <v>0</v>
      </c>
      <c r="M22" s="40">
        <v>0</v>
      </c>
      <c r="N22" s="40">
        <v>0</v>
      </c>
      <c r="O22" s="40">
        <v>0</v>
      </c>
      <c r="P22" s="40">
        <v>0</v>
      </c>
      <c r="Q22" s="40">
        <v>0</v>
      </c>
      <c r="R22" s="40">
        <v>0</v>
      </c>
      <c r="S22" s="40">
        <v>0</v>
      </c>
    </row>
    <row r="23" spans="1:19">
      <c r="A23" s="40" t="s">
        <v>239</v>
      </c>
      <c r="B23" s="40">
        <v>5051573.2</v>
      </c>
      <c r="C23" s="40">
        <v>5051573.2</v>
      </c>
      <c r="D23" s="40">
        <v>5051573.2</v>
      </c>
      <c r="E23" s="40">
        <v>18353956.120000001</v>
      </c>
      <c r="F23" s="40">
        <v>18353956.120000001</v>
      </c>
      <c r="G23" s="40">
        <v>0</v>
      </c>
      <c r="H23" s="40">
        <v>0</v>
      </c>
      <c r="I23" s="40">
        <v>0</v>
      </c>
      <c r="J23" s="40">
        <v>0</v>
      </c>
      <c r="K23" s="40">
        <v>0</v>
      </c>
      <c r="L23" s="40">
        <v>0</v>
      </c>
      <c r="M23" s="40">
        <v>0</v>
      </c>
      <c r="N23" s="40">
        <v>0</v>
      </c>
      <c r="O23" s="40">
        <v>0</v>
      </c>
      <c r="P23" s="40">
        <v>0</v>
      </c>
      <c r="Q23" s="40">
        <v>0</v>
      </c>
      <c r="R23" s="40">
        <v>8000000</v>
      </c>
      <c r="S23" s="40">
        <v>0</v>
      </c>
    </row>
    <row r="24" spans="1:19">
      <c r="A24" s="40" t="s">
        <v>240</v>
      </c>
      <c r="B24" s="40">
        <v>1758125000</v>
      </c>
      <c r="C24" s="40">
        <v>1292977000</v>
      </c>
      <c r="D24" s="40">
        <v>626129000</v>
      </c>
      <c r="E24" s="40">
        <v>1258510000</v>
      </c>
      <c r="F24" s="40">
        <v>1047310000</v>
      </c>
      <c r="G24" s="40">
        <v>616220908.33000004</v>
      </c>
      <c r="H24" s="40">
        <v>320419625</v>
      </c>
      <c r="I24" s="40">
        <v>300035000</v>
      </c>
      <c r="J24" s="40">
        <v>0</v>
      </c>
      <c r="K24" s="40">
        <v>0</v>
      </c>
      <c r="L24" s="40">
        <v>0</v>
      </c>
      <c r="M24" s="40">
        <v>0</v>
      </c>
      <c r="N24" s="40">
        <v>0</v>
      </c>
      <c r="O24" s="40">
        <v>0</v>
      </c>
      <c r="P24" s="40">
        <v>0</v>
      </c>
      <c r="Q24" s="40">
        <v>300000</v>
      </c>
      <c r="R24" s="40">
        <v>15170000</v>
      </c>
      <c r="S24" s="40">
        <v>0</v>
      </c>
    </row>
    <row r="25" spans="1:19">
      <c r="A25" s="40" t="s">
        <v>241</v>
      </c>
      <c r="B25" s="40">
        <v>1807949067.3599999</v>
      </c>
      <c r="C25" s="40">
        <v>1333637904.46</v>
      </c>
      <c r="D25" s="40">
        <v>642892174.55999994</v>
      </c>
      <c r="E25" s="40">
        <v>1299591835.3299999</v>
      </c>
      <c r="F25" s="40">
        <v>1075704152.3199999</v>
      </c>
      <c r="G25" s="40">
        <v>624624976.41999996</v>
      </c>
      <c r="H25" s="40">
        <v>324013945.99000001</v>
      </c>
      <c r="I25" s="40">
        <v>333363010.06999999</v>
      </c>
      <c r="J25" s="40">
        <v>17908864.460000001</v>
      </c>
      <c r="K25" s="40">
        <v>14030726.73</v>
      </c>
      <c r="L25" s="40">
        <v>8410223.1300000008</v>
      </c>
      <c r="M25" s="40">
        <v>46789680.539999999</v>
      </c>
      <c r="N25" s="40">
        <v>39089576</v>
      </c>
      <c r="O25" s="40">
        <v>5066151.1100000003</v>
      </c>
      <c r="P25" s="40">
        <v>16717932.84</v>
      </c>
      <c r="Q25" s="40">
        <v>14668846.76</v>
      </c>
      <c r="R25" s="40">
        <v>26627449.210000001</v>
      </c>
      <c r="S25" s="40">
        <v>0</v>
      </c>
    </row>
    <row r="26" spans="1:19">
      <c r="A26" s="40" t="s">
        <v>242</v>
      </c>
      <c r="B26" s="40">
        <v>-438439304.91000003</v>
      </c>
      <c r="C26" s="40">
        <v>-412233316.67000002</v>
      </c>
      <c r="D26" s="40">
        <v>-432667443.29000002</v>
      </c>
      <c r="E26" s="40">
        <v>271169376.47000003</v>
      </c>
      <c r="F26" s="40">
        <v>-39489981.939999998</v>
      </c>
      <c r="G26" s="40">
        <v>-59619926.689999998</v>
      </c>
      <c r="H26" s="40">
        <v>-21782106.370000001</v>
      </c>
      <c r="I26" s="40">
        <v>-333363010.06999999</v>
      </c>
      <c r="J26" s="40">
        <v>-17908864.460000001</v>
      </c>
      <c r="K26" s="40">
        <v>-14030726.73</v>
      </c>
      <c r="L26" s="40">
        <v>-8410223.1300000008</v>
      </c>
      <c r="M26" s="40">
        <v>-46721188.219999999</v>
      </c>
      <c r="N26" s="40">
        <v>-39021083.68</v>
      </c>
      <c r="O26" s="40">
        <v>-5066151.1100000003</v>
      </c>
      <c r="P26" s="40">
        <v>-16717932.84</v>
      </c>
      <c r="Q26" s="40">
        <v>-14363942.91</v>
      </c>
      <c r="R26" s="40">
        <v>-8903542.2100000009</v>
      </c>
      <c r="S26" s="40">
        <v>0</v>
      </c>
    </row>
    <row r="27" spans="1:19">
      <c r="A27" s="40" t="s">
        <v>243</v>
      </c>
    </row>
    <row r="28" spans="1:19">
      <c r="A28" s="40" t="s">
        <v>244</v>
      </c>
      <c r="B28" s="40">
        <v>43769608</v>
      </c>
      <c r="C28" s="40">
        <v>33235560</v>
      </c>
      <c r="D28" s="40">
        <v>33235560</v>
      </c>
      <c r="E28" s="40">
        <v>0</v>
      </c>
      <c r="F28" s="40">
        <v>0</v>
      </c>
      <c r="G28" s="40">
        <v>0</v>
      </c>
      <c r="H28" s="40">
        <v>0</v>
      </c>
      <c r="I28" s="40">
        <v>290080000</v>
      </c>
      <c r="J28" s="40">
        <v>0</v>
      </c>
      <c r="K28" s="40">
        <v>0</v>
      </c>
      <c r="L28" s="40">
        <v>0</v>
      </c>
      <c r="M28" s="40">
        <v>0</v>
      </c>
      <c r="N28" s="40">
        <v>0</v>
      </c>
      <c r="O28" s="40">
        <v>0</v>
      </c>
      <c r="P28" s="40">
        <v>0</v>
      </c>
      <c r="Q28" s="40">
        <v>0</v>
      </c>
      <c r="R28" s="40">
        <v>12030900</v>
      </c>
      <c r="S28" s="40">
        <v>0</v>
      </c>
    </row>
    <row r="29" spans="1:19">
      <c r="A29" s="40" t="s">
        <v>245</v>
      </c>
      <c r="B29" s="40">
        <v>0</v>
      </c>
      <c r="C29" s="40">
        <v>0</v>
      </c>
      <c r="D29" s="40">
        <v>0</v>
      </c>
      <c r="E29" s="40">
        <v>0</v>
      </c>
      <c r="F29" s="40">
        <v>0</v>
      </c>
      <c r="G29" s="40">
        <v>0</v>
      </c>
      <c r="H29" s="40">
        <v>0</v>
      </c>
      <c r="I29" s="40">
        <v>0</v>
      </c>
      <c r="J29" s="40">
        <v>0</v>
      </c>
      <c r="K29" s="40">
        <v>0</v>
      </c>
      <c r="L29" s="40">
        <v>0</v>
      </c>
      <c r="M29" s="40">
        <v>0</v>
      </c>
      <c r="N29" s="40">
        <v>0</v>
      </c>
      <c r="O29" s="40">
        <v>0</v>
      </c>
      <c r="P29" s="40">
        <v>0</v>
      </c>
      <c r="Q29" s="40">
        <v>0</v>
      </c>
      <c r="R29" s="40">
        <v>0</v>
      </c>
      <c r="S29" s="40">
        <v>0</v>
      </c>
    </row>
    <row r="30" spans="1:19">
      <c r="A30" s="40" t="s">
        <v>246</v>
      </c>
      <c r="B30" s="40">
        <v>0</v>
      </c>
      <c r="C30" s="40">
        <v>0</v>
      </c>
      <c r="D30" s="40">
        <v>0</v>
      </c>
      <c r="E30" s="40">
        <v>0</v>
      </c>
      <c r="F30" s="40">
        <v>0</v>
      </c>
      <c r="G30" s="40">
        <v>0</v>
      </c>
      <c r="H30" s="40">
        <v>0</v>
      </c>
      <c r="I30" s="40">
        <v>0</v>
      </c>
      <c r="J30" s="40">
        <v>0</v>
      </c>
      <c r="K30" s="40">
        <v>0</v>
      </c>
      <c r="L30" s="40">
        <v>0</v>
      </c>
      <c r="M30" s="40">
        <v>0</v>
      </c>
      <c r="N30" s="40">
        <v>0</v>
      </c>
      <c r="O30" s="40">
        <v>0</v>
      </c>
      <c r="P30" s="40">
        <v>0</v>
      </c>
      <c r="Q30" s="40">
        <v>0</v>
      </c>
      <c r="R30" s="40">
        <v>0</v>
      </c>
      <c r="S30" s="40">
        <v>0</v>
      </c>
    </row>
    <row r="31" spans="1:19">
      <c r="A31" s="40" t="s">
        <v>247</v>
      </c>
      <c r="B31" s="40">
        <v>0</v>
      </c>
      <c r="C31" s="40">
        <v>0</v>
      </c>
      <c r="D31" s="40">
        <v>0</v>
      </c>
      <c r="E31" s="40">
        <v>0</v>
      </c>
      <c r="F31" s="40">
        <v>0</v>
      </c>
      <c r="G31" s="40">
        <v>0</v>
      </c>
      <c r="H31" s="40">
        <v>0</v>
      </c>
      <c r="I31" s="40">
        <v>0</v>
      </c>
      <c r="J31" s="40">
        <v>0</v>
      </c>
      <c r="K31" s="40">
        <v>0</v>
      </c>
      <c r="L31" s="40">
        <v>0</v>
      </c>
      <c r="M31" s="40">
        <v>0</v>
      </c>
      <c r="N31" s="40">
        <v>0</v>
      </c>
      <c r="O31" s="40">
        <v>0</v>
      </c>
      <c r="P31" s="40">
        <v>0</v>
      </c>
      <c r="Q31" s="40">
        <v>0</v>
      </c>
      <c r="R31" s="40">
        <v>0</v>
      </c>
      <c r="S31" s="40">
        <v>0</v>
      </c>
    </row>
    <row r="32" spans="1:19">
      <c r="A32" s="40" t="s">
        <v>248</v>
      </c>
      <c r="B32" s="40">
        <v>0</v>
      </c>
      <c r="C32" s="40">
        <v>0</v>
      </c>
      <c r="D32" s="40">
        <v>0</v>
      </c>
      <c r="E32" s="40">
        <v>0</v>
      </c>
      <c r="F32" s="40">
        <v>0</v>
      </c>
      <c r="G32" s="40">
        <v>0</v>
      </c>
      <c r="H32" s="40">
        <v>0</v>
      </c>
      <c r="I32" s="40">
        <v>0</v>
      </c>
      <c r="J32" s="40">
        <v>0</v>
      </c>
      <c r="K32" s="40">
        <v>0</v>
      </c>
      <c r="L32" s="40">
        <v>0</v>
      </c>
      <c r="M32" s="40">
        <v>0</v>
      </c>
      <c r="N32" s="40">
        <v>0</v>
      </c>
      <c r="O32" s="40">
        <v>0</v>
      </c>
      <c r="P32" s="40">
        <v>0</v>
      </c>
      <c r="Q32" s="40">
        <v>1970000</v>
      </c>
      <c r="R32" s="40">
        <v>2200039.81</v>
      </c>
      <c r="S32" s="40">
        <v>0</v>
      </c>
    </row>
    <row r="33" spans="1:19">
      <c r="A33" s="40" t="s">
        <v>249</v>
      </c>
      <c r="B33" s="40">
        <v>43769608</v>
      </c>
      <c r="C33" s="40">
        <v>33235560</v>
      </c>
      <c r="D33" s="40">
        <v>33235560</v>
      </c>
      <c r="E33" s="40">
        <v>0</v>
      </c>
      <c r="F33" s="40">
        <v>0</v>
      </c>
      <c r="G33" s="40">
        <v>0</v>
      </c>
      <c r="H33" s="40">
        <v>0</v>
      </c>
      <c r="I33" s="40">
        <v>290080000</v>
      </c>
      <c r="J33" s="40">
        <v>0</v>
      </c>
      <c r="K33" s="40">
        <v>0</v>
      </c>
      <c r="L33" s="40">
        <v>0</v>
      </c>
      <c r="M33" s="40">
        <v>0</v>
      </c>
      <c r="N33" s="40">
        <v>0</v>
      </c>
      <c r="O33" s="40">
        <v>0</v>
      </c>
      <c r="P33" s="40">
        <v>0</v>
      </c>
      <c r="Q33" s="40">
        <v>1970000</v>
      </c>
      <c r="R33" s="40">
        <v>14230939.810000001</v>
      </c>
      <c r="S33" s="40">
        <v>0</v>
      </c>
    </row>
    <row r="34" spans="1:19">
      <c r="A34" s="40" t="s">
        <v>250</v>
      </c>
      <c r="B34" s="40">
        <v>0</v>
      </c>
      <c r="C34" s="40">
        <v>0</v>
      </c>
      <c r="D34" s="40">
        <v>0</v>
      </c>
      <c r="E34" s="40">
        <v>0</v>
      </c>
      <c r="F34" s="40">
        <v>0</v>
      </c>
      <c r="G34" s="40">
        <v>0</v>
      </c>
      <c r="H34" s="40">
        <v>0</v>
      </c>
      <c r="I34" s="40">
        <v>0</v>
      </c>
      <c r="J34" s="40">
        <v>0</v>
      </c>
      <c r="K34" s="40">
        <v>0</v>
      </c>
      <c r="L34" s="40">
        <v>0</v>
      </c>
      <c r="M34" s="40">
        <v>0</v>
      </c>
      <c r="N34" s="40">
        <v>0</v>
      </c>
      <c r="O34" s="40">
        <v>0</v>
      </c>
      <c r="P34" s="40">
        <v>0</v>
      </c>
      <c r="Q34" s="40">
        <v>0</v>
      </c>
      <c r="R34" s="40">
        <v>15000000</v>
      </c>
      <c r="S34" s="40">
        <v>0</v>
      </c>
    </row>
    <row r="35" spans="1:19">
      <c r="A35" s="40" t="s">
        <v>557</v>
      </c>
      <c r="B35" s="40">
        <v>14686800</v>
      </c>
      <c r="C35" s="40">
        <v>14686800</v>
      </c>
      <c r="D35" s="40">
        <v>0</v>
      </c>
      <c r="E35" s="40">
        <v>12924000</v>
      </c>
      <c r="F35" s="40">
        <v>12924000</v>
      </c>
      <c r="G35" s="40">
        <v>12924000</v>
      </c>
      <c r="H35" s="40">
        <v>0</v>
      </c>
      <c r="I35" s="40">
        <v>0</v>
      </c>
      <c r="J35" s="40">
        <v>0</v>
      </c>
      <c r="K35" s="40">
        <v>0</v>
      </c>
      <c r="L35" s="40">
        <v>0</v>
      </c>
      <c r="M35" s="40">
        <v>29590000</v>
      </c>
      <c r="N35" s="40">
        <v>29590000</v>
      </c>
      <c r="O35" s="40">
        <v>30128000</v>
      </c>
      <c r="P35" s="40">
        <v>16140000</v>
      </c>
      <c r="Q35" s="40">
        <v>25000000</v>
      </c>
      <c r="R35" s="40">
        <v>334045</v>
      </c>
      <c r="S35" s="40">
        <v>0</v>
      </c>
    </row>
    <row r="36" spans="1:19">
      <c r="A36" s="40" t="s">
        <v>251</v>
      </c>
      <c r="B36" s="40">
        <v>0</v>
      </c>
      <c r="C36" s="40">
        <v>0</v>
      </c>
      <c r="D36" s="40">
        <v>0</v>
      </c>
      <c r="E36" s="40">
        <v>0</v>
      </c>
      <c r="F36" s="40">
        <v>0</v>
      </c>
      <c r="G36" s="40">
        <v>0</v>
      </c>
      <c r="H36" s="40">
        <v>0</v>
      </c>
      <c r="I36" s="40">
        <v>0</v>
      </c>
      <c r="J36" s="40">
        <v>0</v>
      </c>
      <c r="K36" s="40">
        <v>0</v>
      </c>
      <c r="L36" s="40">
        <v>0</v>
      </c>
      <c r="M36" s="40">
        <v>0</v>
      </c>
      <c r="N36" s="40">
        <v>0</v>
      </c>
      <c r="O36" s="40">
        <v>0</v>
      </c>
      <c r="P36" s="40">
        <v>0</v>
      </c>
      <c r="Q36" s="40">
        <v>0</v>
      </c>
      <c r="R36" s="40">
        <v>0</v>
      </c>
      <c r="S36" s="40">
        <v>0</v>
      </c>
    </row>
    <row r="37" spans="1:19">
      <c r="A37" s="40" t="s">
        <v>252</v>
      </c>
      <c r="B37" s="40">
        <v>0</v>
      </c>
      <c r="C37" s="40">
        <v>0</v>
      </c>
      <c r="D37" s="40">
        <v>0</v>
      </c>
      <c r="E37" s="40">
        <v>0</v>
      </c>
      <c r="F37" s="40">
        <v>0</v>
      </c>
      <c r="G37" s="40">
        <v>0</v>
      </c>
      <c r="H37" s="40">
        <v>0</v>
      </c>
      <c r="I37" s="40">
        <v>9221329.3399999999</v>
      </c>
      <c r="J37" s="40">
        <v>0</v>
      </c>
      <c r="K37" s="40">
        <v>0</v>
      </c>
      <c r="L37" s="40">
        <v>0</v>
      </c>
      <c r="M37" s="40">
        <v>0</v>
      </c>
      <c r="N37" s="40">
        <v>0</v>
      </c>
      <c r="O37" s="40">
        <v>0</v>
      </c>
      <c r="P37" s="40">
        <v>0</v>
      </c>
      <c r="Q37" s="40">
        <v>4170039.81</v>
      </c>
      <c r="R37" s="40">
        <v>0</v>
      </c>
      <c r="S37" s="40">
        <v>0</v>
      </c>
    </row>
    <row r="38" spans="1:19">
      <c r="A38" s="40" t="s">
        <v>253</v>
      </c>
      <c r="B38" s="40">
        <v>14686800</v>
      </c>
      <c r="C38" s="40">
        <v>14686800</v>
      </c>
      <c r="D38" s="40">
        <v>0</v>
      </c>
      <c r="E38" s="40">
        <v>12924000</v>
      </c>
      <c r="F38" s="40">
        <v>12924000</v>
      </c>
      <c r="G38" s="40">
        <v>12924000</v>
      </c>
      <c r="H38" s="40">
        <v>0</v>
      </c>
      <c r="I38" s="40">
        <v>9221329.3399999999</v>
      </c>
      <c r="J38" s="40">
        <v>0</v>
      </c>
      <c r="K38" s="40">
        <v>0</v>
      </c>
      <c r="L38" s="40">
        <v>0</v>
      </c>
      <c r="M38" s="40">
        <v>29590000</v>
      </c>
      <c r="N38" s="40">
        <v>29590000</v>
      </c>
      <c r="O38" s="40">
        <v>30128000</v>
      </c>
      <c r="P38" s="40">
        <v>16140000</v>
      </c>
      <c r="Q38" s="40">
        <v>29170039.809999999</v>
      </c>
      <c r="R38" s="40">
        <v>15334045</v>
      </c>
      <c r="S38" s="40">
        <v>0</v>
      </c>
    </row>
    <row r="39" spans="1:19">
      <c r="A39" s="40" t="s">
        <v>254</v>
      </c>
      <c r="B39" s="40">
        <v>29082808</v>
      </c>
      <c r="C39" s="40">
        <v>18548760</v>
      </c>
      <c r="D39" s="40">
        <v>33235560</v>
      </c>
      <c r="E39" s="40">
        <v>-12924000</v>
      </c>
      <c r="F39" s="40">
        <v>-12924000</v>
      </c>
      <c r="G39" s="40">
        <v>-12924000</v>
      </c>
      <c r="H39" s="40">
        <v>0</v>
      </c>
      <c r="I39" s="40">
        <v>280858670.66000003</v>
      </c>
      <c r="J39" s="40">
        <v>0</v>
      </c>
      <c r="K39" s="40">
        <v>0</v>
      </c>
      <c r="L39" s="40">
        <v>0</v>
      </c>
      <c r="M39" s="40">
        <v>-29590000</v>
      </c>
      <c r="N39" s="40">
        <v>-29590000</v>
      </c>
      <c r="O39" s="40">
        <v>-30128000</v>
      </c>
      <c r="P39" s="40">
        <v>-16140000</v>
      </c>
      <c r="Q39" s="40">
        <v>-27200039.809999999</v>
      </c>
      <c r="R39" s="40">
        <v>-1103105.19</v>
      </c>
      <c r="S39" s="40">
        <v>0</v>
      </c>
    </row>
    <row r="40" spans="1:19">
      <c r="A40" s="40" t="s">
        <v>255</v>
      </c>
      <c r="B40" s="40">
        <v>0</v>
      </c>
      <c r="C40" s="40">
        <v>0</v>
      </c>
      <c r="D40" s="40">
        <v>0</v>
      </c>
      <c r="E40" s="40">
        <v>0</v>
      </c>
      <c r="F40" s="40">
        <v>0</v>
      </c>
      <c r="G40" s="40">
        <v>0</v>
      </c>
      <c r="H40" s="40">
        <v>0</v>
      </c>
      <c r="I40" s="40">
        <v>0</v>
      </c>
      <c r="J40" s="40">
        <v>0</v>
      </c>
      <c r="K40" s="40">
        <v>0</v>
      </c>
      <c r="L40" s="40">
        <v>0</v>
      </c>
      <c r="M40" s="40">
        <v>0</v>
      </c>
      <c r="N40" s="40">
        <v>0</v>
      </c>
      <c r="O40" s="40">
        <v>0</v>
      </c>
      <c r="P40" s="40">
        <v>0</v>
      </c>
      <c r="Q40" s="40">
        <v>0</v>
      </c>
      <c r="R40" s="40">
        <v>0</v>
      </c>
      <c r="S40" s="40">
        <v>0</v>
      </c>
    </row>
    <row r="41" spans="1:19">
      <c r="A41" s="40" t="s">
        <v>256</v>
      </c>
      <c r="B41" s="40">
        <v>-400000570.83999997</v>
      </c>
      <c r="C41" s="40">
        <v>-409960253.01999998</v>
      </c>
      <c r="D41" s="40">
        <v>-429430811.20999998</v>
      </c>
      <c r="E41" s="40">
        <v>345681597.35000002</v>
      </c>
      <c r="F41" s="40">
        <v>-7983618.2599999998</v>
      </c>
      <c r="G41" s="40">
        <v>-48286977.789999999</v>
      </c>
      <c r="H41" s="40">
        <v>-26585739.359999999</v>
      </c>
      <c r="I41" s="40">
        <v>14671615.41</v>
      </c>
      <c r="J41" s="40">
        <v>-8028014.0700000003</v>
      </c>
      <c r="K41" s="40">
        <v>-14056348.35</v>
      </c>
      <c r="L41" s="40">
        <v>-12248064.140000001</v>
      </c>
      <c r="M41" s="40">
        <v>-21951426.390000001</v>
      </c>
      <c r="N41" s="40">
        <v>-19189038.309999999</v>
      </c>
      <c r="O41" s="40">
        <v>30689556.170000002</v>
      </c>
      <c r="P41" s="40">
        <v>17420406.530000001</v>
      </c>
      <c r="Q41" s="40">
        <v>31710860.559999999</v>
      </c>
      <c r="R41" s="40">
        <v>7187536.4800000004</v>
      </c>
      <c r="S41" s="40">
        <v>0</v>
      </c>
    </row>
    <row r="42" spans="1:19">
      <c r="A42" s="40" t="s">
        <v>257</v>
      </c>
      <c r="B42" s="40">
        <v>451888345.81</v>
      </c>
      <c r="C42" s="40">
        <v>451888345.81</v>
      </c>
      <c r="D42" s="40">
        <v>451888345.81</v>
      </c>
      <c r="E42" s="40">
        <v>106206748.45999999</v>
      </c>
      <c r="F42" s="40">
        <v>106206748.45999999</v>
      </c>
      <c r="G42" s="40">
        <v>106206748.45999999</v>
      </c>
      <c r="H42" s="40">
        <v>106206748.45999999</v>
      </c>
      <c r="I42" s="40">
        <v>91535133.049999997</v>
      </c>
      <c r="J42" s="40">
        <v>91535133.049999997</v>
      </c>
      <c r="K42" s="40">
        <v>91535133.049999997</v>
      </c>
      <c r="L42" s="40">
        <v>91535133.049999997</v>
      </c>
      <c r="M42" s="40">
        <v>113486559.44</v>
      </c>
      <c r="N42" s="40">
        <v>113486559.44</v>
      </c>
      <c r="O42" s="40">
        <v>82797003.269999996</v>
      </c>
      <c r="P42" s="40">
        <v>65376596.740000002</v>
      </c>
      <c r="Q42" s="40">
        <v>33665736.18</v>
      </c>
      <c r="R42" s="40">
        <v>26478199.699999999</v>
      </c>
      <c r="S42" s="40">
        <v>0</v>
      </c>
    </row>
    <row r="43" spans="1:19">
      <c r="A43" s="40" t="s">
        <v>258</v>
      </c>
      <c r="B43" s="40">
        <v>51887774.969999999</v>
      </c>
      <c r="C43" s="40">
        <v>41928092.789999999</v>
      </c>
      <c r="D43" s="40">
        <v>22457534.600000001</v>
      </c>
      <c r="E43" s="40">
        <v>451888345.81</v>
      </c>
      <c r="F43" s="40">
        <v>98223130.200000003</v>
      </c>
      <c r="G43" s="40">
        <v>57919770.670000002</v>
      </c>
      <c r="H43" s="40">
        <v>79621009.099999994</v>
      </c>
      <c r="I43" s="40">
        <v>106206748.45999999</v>
      </c>
      <c r="J43" s="40">
        <v>83507118.980000004</v>
      </c>
      <c r="K43" s="40">
        <v>77478784.700000003</v>
      </c>
      <c r="L43" s="40">
        <v>79287068.909999996</v>
      </c>
      <c r="M43" s="40">
        <v>91535133.049999997</v>
      </c>
      <c r="N43" s="40">
        <v>94297521.129999995</v>
      </c>
      <c r="O43" s="40">
        <v>113486559.44</v>
      </c>
      <c r="P43" s="40">
        <v>82797003.269999996</v>
      </c>
      <c r="Q43" s="40">
        <v>65376596.740000002</v>
      </c>
      <c r="R43" s="40">
        <v>33665736.18</v>
      </c>
      <c r="S43" s="40">
        <v>0</v>
      </c>
    </row>
    <row r="44" spans="1:19">
      <c r="A44" s="40" t="s">
        <v>259</v>
      </c>
    </row>
    <row r="45" spans="1:19">
      <c r="A45" s="40" t="s">
        <v>260</v>
      </c>
      <c r="B45" s="40">
        <v>0</v>
      </c>
      <c r="C45" s="40">
        <v>49384581.299999997</v>
      </c>
      <c r="D45" s="40">
        <v>0</v>
      </c>
      <c r="E45" s="40">
        <v>76510575.469999999</v>
      </c>
      <c r="F45" s="40">
        <v>0</v>
      </c>
      <c r="G45" s="40">
        <v>23501789.920000002</v>
      </c>
      <c r="H45" s="40">
        <v>0</v>
      </c>
      <c r="I45" s="40">
        <v>61776557.109999999</v>
      </c>
      <c r="J45" s="40">
        <v>0</v>
      </c>
      <c r="K45" s="40">
        <v>29652286.77</v>
      </c>
      <c r="L45" s="40">
        <v>0</v>
      </c>
      <c r="M45" s="40">
        <v>57580942.43</v>
      </c>
      <c r="N45" s="40">
        <v>0</v>
      </c>
      <c r="O45" s="40">
        <v>72037191.540000007</v>
      </c>
      <c r="P45" s="40">
        <v>80171253.620000005</v>
      </c>
      <c r="Q45" s="40">
        <v>68096200</v>
      </c>
      <c r="R45" s="40">
        <v>0</v>
      </c>
      <c r="S45" s="40">
        <v>0</v>
      </c>
    </row>
    <row r="46" spans="1:19">
      <c r="A46" s="40" t="s">
        <v>187</v>
      </c>
      <c r="B46" s="40">
        <v>0</v>
      </c>
      <c r="C46" s="40">
        <v>0</v>
      </c>
      <c r="D46" s="40">
        <v>0</v>
      </c>
      <c r="E46" s="40">
        <v>0</v>
      </c>
      <c r="F46" s="40">
        <v>0</v>
      </c>
      <c r="G46" s="40">
        <v>0</v>
      </c>
      <c r="H46" s="40">
        <v>0</v>
      </c>
      <c r="I46" s="40">
        <v>0</v>
      </c>
      <c r="J46" s="40">
        <v>0</v>
      </c>
      <c r="K46" s="40">
        <v>0</v>
      </c>
      <c r="L46" s="40">
        <v>0</v>
      </c>
      <c r="M46" s="40">
        <v>0</v>
      </c>
      <c r="N46" s="40">
        <v>0</v>
      </c>
      <c r="O46" s="40">
        <v>0</v>
      </c>
      <c r="P46" s="40">
        <v>0</v>
      </c>
      <c r="Q46" s="40">
        <v>0</v>
      </c>
      <c r="R46" s="40">
        <v>0</v>
      </c>
      <c r="S46" s="40">
        <v>0</v>
      </c>
    </row>
    <row r="47" spans="1:19">
      <c r="A47" s="40" t="s">
        <v>261</v>
      </c>
      <c r="B47" s="40">
        <v>0</v>
      </c>
      <c r="C47" s="40">
        <v>0</v>
      </c>
      <c r="D47" s="40">
        <v>0</v>
      </c>
      <c r="E47" s="40">
        <v>0</v>
      </c>
      <c r="F47" s="40">
        <v>0</v>
      </c>
      <c r="G47" s="40">
        <v>0</v>
      </c>
      <c r="H47" s="40">
        <v>0</v>
      </c>
      <c r="I47" s="40">
        <v>0</v>
      </c>
      <c r="J47" s="40">
        <v>0</v>
      </c>
      <c r="K47" s="40">
        <v>0</v>
      </c>
      <c r="L47" s="40">
        <v>0</v>
      </c>
      <c r="M47" s="40">
        <v>0</v>
      </c>
      <c r="N47" s="40">
        <v>0</v>
      </c>
      <c r="O47" s="40">
        <v>0</v>
      </c>
      <c r="P47" s="40">
        <v>0</v>
      </c>
      <c r="Q47" s="40">
        <v>0</v>
      </c>
      <c r="R47" s="40">
        <v>0</v>
      </c>
      <c r="S47" s="40">
        <v>0</v>
      </c>
    </row>
    <row r="48" spans="1:19">
      <c r="A48" s="40" t="s">
        <v>262</v>
      </c>
      <c r="B48" s="40">
        <v>0</v>
      </c>
      <c r="C48" s="40">
        <v>5722349.1900000004</v>
      </c>
      <c r="D48" s="40">
        <v>0</v>
      </c>
      <c r="E48" s="40">
        <v>915363.83999999997</v>
      </c>
      <c r="F48" s="40">
        <v>0</v>
      </c>
      <c r="G48" s="40">
        <v>830765.05</v>
      </c>
      <c r="H48" s="40">
        <v>0</v>
      </c>
      <c r="I48" s="40">
        <v>1464140.71</v>
      </c>
      <c r="J48" s="40">
        <v>0</v>
      </c>
      <c r="K48" s="40">
        <v>1508300.74</v>
      </c>
      <c r="L48" s="40">
        <v>0</v>
      </c>
      <c r="M48" s="40">
        <v>1510110.78</v>
      </c>
      <c r="N48" s="40">
        <v>0</v>
      </c>
      <c r="O48" s="40">
        <v>-30251.43</v>
      </c>
      <c r="P48" s="40">
        <v>2486104.23</v>
      </c>
      <c r="Q48" s="40">
        <v>450900</v>
      </c>
      <c r="R48" s="40">
        <v>0</v>
      </c>
      <c r="S48" s="40">
        <v>0</v>
      </c>
    </row>
    <row r="49" spans="1:19">
      <c r="A49" s="40" t="s">
        <v>263</v>
      </c>
      <c r="B49" s="40">
        <v>0</v>
      </c>
      <c r="C49" s="40">
        <v>911764.39</v>
      </c>
      <c r="D49" s="40">
        <v>0</v>
      </c>
      <c r="E49" s="40">
        <v>1582152.92</v>
      </c>
      <c r="F49" s="40">
        <v>0</v>
      </c>
      <c r="G49" s="40">
        <v>759294.41</v>
      </c>
      <c r="H49" s="40">
        <v>0</v>
      </c>
      <c r="I49" s="40">
        <v>1494372.54</v>
      </c>
      <c r="J49" s="40">
        <v>0</v>
      </c>
      <c r="K49" s="40">
        <v>749552.73</v>
      </c>
      <c r="L49" s="40">
        <v>0</v>
      </c>
      <c r="M49" s="40">
        <v>1558046.33</v>
      </c>
      <c r="N49" s="40">
        <v>0</v>
      </c>
      <c r="O49" s="40">
        <v>1534397.08</v>
      </c>
      <c r="P49" s="40">
        <v>1385958.51</v>
      </c>
      <c r="Q49" s="40">
        <v>844800</v>
      </c>
      <c r="R49" s="40">
        <v>0</v>
      </c>
      <c r="S49" s="40">
        <v>0</v>
      </c>
    </row>
    <row r="50" spans="1:19">
      <c r="A50" s="40" t="s">
        <v>264</v>
      </c>
      <c r="B50" s="40">
        <v>0</v>
      </c>
      <c r="C50" s="40">
        <v>1929417.93</v>
      </c>
      <c r="D50" s="40">
        <v>0</v>
      </c>
      <c r="E50" s="40">
        <v>3124889.66</v>
      </c>
      <c r="F50" s="40">
        <v>0</v>
      </c>
      <c r="G50" s="40">
        <v>1442989.68</v>
      </c>
      <c r="H50" s="40">
        <v>0</v>
      </c>
      <c r="I50" s="40">
        <v>611128.18999999994</v>
      </c>
      <c r="J50" s="40">
        <v>0</v>
      </c>
      <c r="K50" s="40">
        <v>191744.36</v>
      </c>
      <c r="L50" s="40">
        <v>0</v>
      </c>
      <c r="M50" s="40">
        <v>381877.92</v>
      </c>
      <c r="N50" s="40">
        <v>0</v>
      </c>
      <c r="O50" s="40">
        <v>372476.24</v>
      </c>
      <c r="P50" s="40">
        <v>262583.09000000003</v>
      </c>
      <c r="Q50" s="40">
        <v>27400</v>
      </c>
      <c r="R50" s="40">
        <v>0</v>
      </c>
      <c r="S50" s="40">
        <v>0</v>
      </c>
    </row>
    <row r="51" spans="1:19">
      <c r="A51" s="40" t="s">
        <v>265</v>
      </c>
      <c r="B51" s="40">
        <v>0</v>
      </c>
      <c r="C51" s="40">
        <v>0</v>
      </c>
      <c r="D51" s="40">
        <v>0</v>
      </c>
      <c r="E51" s="40">
        <v>0</v>
      </c>
      <c r="F51" s="40">
        <v>0</v>
      </c>
      <c r="G51" s="40">
        <v>0</v>
      </c>
      <c r="H51" s="40">
        <v>0</v>
      </c>
      <c r="I51" s="40">
        <v>0</v>
      </c>
      <c r="J51" s="40">
        <v>0</v>
      </c>
      <c r="K51" s="40">
        <v>0</v>
      </c>
      <c r="L51" s="40">
        <v>0</v>
      </c>
      <c r="M51" s="40">
        <v>0</v>
      </c>
      <c r="N51" s="40">
        <v>0</v>
      </c>
      <c r="O51" s="40">
        <v>0</v>
      </c>
      <c r="P51" s="40">
        <v>0</v>
      </c>
      <c r="Q51" s="40">
        <v>0</v>
      </c>
      <c r="R51" s="40">
        <v>0</v>
      </c>
      <c r="S51" s="40">
        <v>0</v>
      </c>
    </row>
    <row r="52" spans="1:19">
      <c r="A52" s="40" t="s">
        <v>266</v>
      </c>
      <c r="B52" s="40">
        <v>0</v>
      </c>
      <c r="C52" s="40">
        <v>0</v>
      </c>
      <c r="D52" s="40">
        <v>0</v>
      </c>
      <c r="E52" s="40">
        <v>0</v>
      </c>
      <c r="F52" s="40">
        <v>0</v>
      </c>
      <c r="G52" s="40">
        <v>0</v>
      </c>
      <c r="H52" s="40">
        <v>0</v>
      </c>
      <c r="I52" s="40">
        <v>0</v>
      </c>
      <c r="J52" s="40">
        <v>0</v>
      </c>
      <c r="K52" s="40">
        <v>0</v>
      </c>
      <c r="L52" s="40">
        <v>0</v>
      </c>
      <c r="M52" s="40">
        <v>0</v>
      </c>
      <c r="N52" s="40">
        <v>0</v>
      </c>
      <c r="O52" s="40">
        <v>0</v>
      </c>
      <c r="P52" s="40">
        <v>0</v>
      </c>
      <c r="Q52" s="40">
        <v>0</v>
      </c>
      <c r="R52" s="40">
        <v>0</v>
      </c>
      <c r="S52" s="40">
        <v>0</v>
      </c>
    </row>
    <row r="53" spans="1:19">
      <c r="A53" s="40" t="s">
        <v>267</v>
      </c>
      <c r="B53" s="40">
        <v>0</v>
      </c>
      <c r="C53" s="40">
        <v>0</v>
      </c>
      <c r="D53" s="40">
        <v>0</v>
      </c>
      <c r="E53" s="40">
        <v>0</v>
      </c>
      <c r="F53" s="40">
        <v>0</v>
      </c>
      <c r="G53" s="40">
        <v>0</v>
      </c>
      <c r="H53" s="40">
        <v>0</v>
      </c>
      <c r="I53" s="40">
        <v>0</v>
      </c>
      <c r="J53" s="40">
        <v>0</v>
      </c>
      <c r="K53" s="40">
        <v>0</v>
      </c>
      <c r="L53" s="40">
        <v>0</v>
      </c>
      <c r="M53" s="40">
        <v>0</v>
      </c>
      <c r="N53" s="40">
        <v>0</v>
      </c>
      <c r="O53" s="40">
        <v>0</v>
      </c>
      <c r="P53" s="40">
        <v>0</v>
      </c>
      <c r="Q53" s="40">
        <v>0</v>
      </c>
      <c r="R53" s="40">
        <v>0</v>
      </c>
      <c r="S53" s="40">
        <v>0</v>
      </c>
    </row>
    <row r="54" spans="1:19">
      <c r="A54" s="40" t="s">
        <v>268</v>
      </c>
      <c r="B54" s="40">
        <v>0</v>
      </c>
      <c r="C54" s="40">
        <v>0</v>
      </c>
      <c r="D54" s="40">
        <v>0</v>
      </c>
      <c r="E54" s="40">
        <v>-23240.42</v>
      </c>
      <c r="F54" s="40">
        <v>0</v>
      </c>
      <c r="G54" s="40">
        <v>0</v>
      </c>
      <c r="H54" s="40">
        <v>0</v>
      </c>
      <c r="I54" s="40">
        <v>0</v>
      </c>
      <c r="J54" s="40">
        <v>0</v>
      </c>
      <c r="K54" s="40">
        <v>0</v>
      </c>
      <c r="L54" s="40">
        <v>0</v>
      </c>
      <c r="M54" s="40">
        <v>62000.1</v>
      </c>
      <c r="N54" s="40">
        <v>0</v>
      </c>
      <c r="O54" s="40">
        <v>0</v>
      </c>
      <c r="P54" s="40">
        <v>0</v>
      </c>
      <c r="Q54" s="40">
        <v>600</v>
      </c>
      <c r="R54" s="40">
        <v>0</v>
      </c>
      <c r="S54" s="40">
        <v>0</v>
      </c>
    </row>
    <row r="55" spans="1:19">
      <c r="A55" s="40" t="s">
        <v>269</v>
      </c>
      <c r="B55" s="40">
        <v>0</v>
      </c>
      <c r="C55" s="40">
        <v>0</v>
      </c>
      <c r="D55" s="40">
        <v>0</v>
      </c>
      <c r="E55" s="40">
        <v>0</v>
      </c>
      <c r="F55" s="40">
        <v>0</v>
      </c>
      <c r="G55" s="40">
        <v>0</v>
      </c>
      <c r="H55" s="40">
        <v>0</v>
      </c>
      <c r="I55" s="40">
        <v>0</v>
      </c>
      <c r="J55" s="40">
        <v>0</v>
      </c>
      <c r="K55" s="40">
        <v>0</v>
      </c>
      <c r="L55" s="40">
        <v>0</v>
      </c>
      <c r="M55" s="40">
        <v>0</v>
      </c>
      <c r="N55" s="40">
        <v>0</v>
      </c>
      <c r="O55" s="40">
        <v>0</v>
      </c>
      <c r="P55" s="40">
        <v>0</v>
      </c>
      <c r="Q55" s="40">
        <v>0</v>
      </c>
      <c r="R55" s="40">
        <v>0</v>
      </c>
      <c r="S55" s="40">
        <v>0</v>
      </c>
    </row>
    <row r="56" spans="1:19">
      <c r="A56" s="40" t="s">
        <v>270</v>
      </c>
      <c r="B56" s="40">
        <v>0</v>
      </c>
      <c r="C56" s="40">
        <v>0</v>
      </c>
      <c r="D56" s="40">
        <v>0</v>
      </c>
      <c r="E56" s="40">
        <v>0</v>
      </c>
      <c r="F56" s="40">
        <v>0</v>
      </c>
      <c r="G56" s="40">
        <v>0</v>
      </c>
      <c r="H56" s="40">
        <v>0</v>
      </c>
      <c r="I56" s="40">
        <v>0</v>
      </c>
      <c r="J56" s="40">
        <v>0</v>
      </c>
      <c r="K56" s="40">
        <v>0</v>
      </c>
      <c r="L56" s="40">
        <v>0</v>
      </c>
      <c r="M56" s="40">
        <v>0</v>
      </c>
      <c r="N56" s="40">
        <v>0</v>
      </c>
      <c r="O56" s="40">
        <v>0</v>
      </c>
      <c r="P56" s="40">
        <v>0</v>
      </c>
      <c r="Q56" s="40">
        <v>0</v>
      </c>
      <c r="R56" s="40">
        <v>0</v>
      </c>
      <c r="S56" s="40">
        <v>0</v>
      </c>
    </row>
    <row r="57" spans="1:19">
      <c r="A57" s="40" t="s">
        <v>271</v>
      </c>
      <c r="B57" s="40">
        <v>0</v>
      </c>
      <c r="C57" s="40">
        <v>0</v>
      </c>
      <c r="D57" s="40">
        <v>0</v>
      </c>
      <c r="E57" s="40">
        <v>0</v>
      </c>
      <c r="F57" s="40">
        <v>0</v>
      </c>
      <c r="G57" s="40">
        <v>0</v>
      </c>
      <c r="H57" s="40">
        <v>0</v>
      </c>
      <c r="I57" s="40">
        <v>0</v>
      </c>
      <c r="J57" s="40">
        <v>0</v>
      </c>
      <c r="K57" s="40">
        <v>0</v>
      </c>
      <c r="L57" s="40">
        <v>0</v>
      </c>
      <c r="M57" s="40">
        <v>0</v>
      </c>
      <c r="N57" s="40">
        <v>0</v>
      </c>
      <c r="O57" s="40">
        <v>0</v>
      </c>
      <c r="P57" s="40">
        <v>0</v>
      </c>
      <c r="Q57" s="40">
        <v>0</v>
      </c>
      <c r="R57" s="40">
        <v>0</v>
      </c>
      <c r="S57" s="40">
        <v>0</v>
      </c>
    </row>
    <row r="58" spans="1:19">
      <c r="A58" s="40" t="s">
        <v>272</v>
      </c>
      <c r="B58" s="40">
        <v>0</v>
      </c>
      <c r="C58" s="40">
        <v>0</v>
      </c>
      <c r="D58" s="40">
        <v>0</v>
      </c>
      <c r="E58" s="40">
        <v>0</v>
      </c>
      <c r="F58" s="40">
        <v>0</v>
      </c>
      <c r="G58" s="40">
        <v>0</v>
      </c>
      <c r="H58" s="40">
        <v>0</v>
      </c>
      <c r="I58" s="40">
        <v>0</v>
      </c>
      <c r="J58" s="40">
        <v>0</v>
      </c>
      <c r="K58" s="40">
        <v>0</v>
      </c>
      <c r="L58" s="40">
        <v>0</v>
      </c>
      <c r="M58" s="40">
        <v>0</v>
      </c>
      <c r="N58" s="40">
        <v>0</v>
      </c>
      <c r="O58" s="40">
        <v>0</v>
      </c>
      <c r="P58" s="40">
        <v>0</v>
      </c>
      <c r="Q58" s="40">
        <v>0</v>
      </c>
      <c r="R58" s="40">
        <v>0</v>
      </c>
      <c r="S58" s="40">
        <v>0</v>
      </c>
    </row>
    <row r="59" spans="1:19">
      <c r="A59" s="40" t="s">
        <v>197</v>
      </c>
      <c r="B59" s="40">
        <v>0</v>
      </c>
      <c r="C59" s="40">
        <v>-582889.62</v>
      </c>
      <c r="D59" s="40">
        <v>0</v>
      </c>
      <c r="E59" s="40">
        <v>0</v>
      </c>
      <c r="F59" s="40">
        <v>0</v>
      </c>
      <c r="G59" s="40">
        <v>-4545933.0599999996</v>
      </c>
      <c r="H59" s="40">
        <v>0</v>
      </c>
      <c r="I59" s="40">
        <v>0</v>
      </c>
      <c r="J59" s="40">
        <v>0</v>
      </c>
      <c r="K59" s="40">
        <v>0</v>
      </c>
      <c r="L59" s="40">
        <v>0</v>
      </c>
      <c r="M59" s="40">
        <v>0</v>
      </c>
      <c r="N59" s="40">
        <v>0</v>
      </c>
      <c r="O59" s="40">
        <v>0</v>
      </c>
      <c r="P59" s="40">
        <v>0</v>
      </c>
      <c r="Q59" s="40">
        <v>0</v>
      </c>
      <c r="R59" s="40">
        <v>0</v>
      </c>
      <c r="S59" s="40">
        <v>0</v>
      </c>
    </row>
    <row r="60" spans="1:19">
      <c r="A60" s="40" t="s">
        <v>273</v>
      </c>
      <c r="B60" s="40">
        <v>0</v>
      </c>
      <c r="C60" s="40">
        <v>0</v>
      </c>
      <c r="D60" s="40">
        <v>0</v>
      </c>
      <c r="E60" s="40">
        <v>-12183852.58</v>
      </c>
      <c r="F60" s="40">
        <v>0</v>
      </c>
      <c r="G60" s="40">
        <v>0</v>
      </c>
      <c r="H60" s="40">
        <v>0</v>
      </c>
      <c r="I60" s="40">
        <v>0</v>
      </c>
      <c r="J60" s="40">
        <v>0</v>
      </c>
      <c r="K60" s="40">
        <v>0</v>
      </c>
      <c r="L60" s="40">
        <v>0</v>
      </c>
      <c r="M60" s="40">
        <v>0</v>
      </c>
      <c r="N60" s="40">
        <v>0</v>
      </c>
      <c r="O60" s="40">
        <v>0</v>
      </c>
      <c r="P60" s="40">
        <v>0</v>
      </c>
      <c r="Q60" s="40">
        <v>0</v>
      </c>
      <c r="R60" s="40">
        <v>0</v>
      </c>
      <c r="S60" s="40">
        <v>0</v>
      </c>
    </row>
    <row r="61" spans="1:19">
      <c r="A61" s="40" t="s">
        <v>274</v>
      </c>
      <c r="B61" s="40">
        <v>0</v>
      </c>
      <c r="C61" s="40">
        <v>-2100443.3199999998</v>
      </c>
      <c r="D61" s="40">
        <v>0</v>
      </c>
      <c r="E61" s="40">
        <v>-371964.39</v>
      </c>
      <c r="F61" s="40">
        <v>0</v>
      </c>
      <c r="G61" s="40">
        <v>-415271.86</v>
      </c>
      <c r="H61" s="40">
        <v>0</v>
      </c>
      <c r="I61" s="40">
        <v>-21816.06</v>
      </c>
      <c r="J61" s="40">
        <v>0</v>
      </c>
      <c r="K61" s="40">
        <v>113097.88</v>
      </c>
      <c r="L61" s="40">
        <v>0</v>
      </c>
      <c r="M61" s="40">
        <v>-178745.1</v>
      </c>
      <c r="N61" s="40">
        <v>0</v>
      </c>
      <c r="O61" s="40">
        <v>7106.16</v>
      </c>
      <c r="P61" s="40">
        <v>-333731.94</v>
      </c>
      <c r="Q61" s="40">
        <v>-166400</v>
      </c>
      <c r="R61" s="40">
        <v>0</v>
      </c>
      <c r="S61" s="40">
        <v>0</v>
      </c>
    </row>
    <row r="62" spans="1:19">
      <c r="A62" s="40" t="s">
        <v>275</v>
      </c>
      <c r="B62" s="40">
        <v>0</v>
      </c>
      <c r="C62" s="40">
        <v>0</v>
      </c>
      <c r="D62" s="40">
        <v>0</v>
      </c>
      <c r="E62" s="40">
        <v>-30928.720000000001</v>
      </c>
      <c r="F62" s="40">
        <v>0</v>
      </c>
      <c r="G62" s="40">
        <v>0</v>
      </c>
      <c r="H62" s="40">
        <v>0</v>
      </c>
      <c r="I62" s="40">
        <v>0</v>
      </c>
      <c r="J62" s="40">
        <v>0</v>
      </c>
      <c r="K62" s="40">
        <v>0</v>
      </c>
      <c r="L62" s="40">
        <v>0</v>
      </c>
      <c r="M62" s="40">
        <v>0</v>
      </c>
      <c r="N62" s="40">
        <v>0</v>
      </c>
      <c r="O62" s="40">
        <v>0</v>
      </c>
      <c r="P62" s="40">
        <v>0</v>
      </c>
      <c r="Q62" s="40">
        <v>0</v>
      </c>
      <c r="R62" s="40">
        <v>0</v>
      </c>
      <c r="S62" s="40">
        <v>0</v>
      </c>
    </row>
    <row r="63" spans="1:19">
      <c r="A63" s="40" t="s">
        <v>276</v>
      </c>
      <c r="B63" s="40">
        <v>0</v>
      </c>
      <c r="C63" s="40">
        <v>-29177652.170000002</v>
      </c>
      <c r="D63" s="40">
        <v>0</v>
      </c>
      <c r="E63" s="40">
        <v>-1487026.48</v>
      </c>
      <c r="F63" s="40">
        <v>0</v>
      </c>
      <c r="G63" s="40">
        <v>2842629.33</v>
      </c>
      <c r="H63" s="40">
        <v>0</v>
      </c>
      <c r="I63" s="40">
        <v>5274686.16</v>
      </c>
      <c r="J63" s="40">
        <v>0</v>
      </c>
      <c r="K63" s="40">
        <v>-2753912.76</v>
      </c>
      <c r="L63" s="40">
        <v>0</v>
      </c>
      <c r="M63" s="40">
        <v>-8160296.9900000002</v>
      </c>
      <c r="N63" s="40">
        <v>0</v>
      </c>
      <c r="O63" s="40">
        <v>-1072557.97</v>
      </c>
      <c r="P63" s="40">
        <v>14422524.359999999</v>
      </c>
      <c r="Q63" s="40">
        <v>-26964900</v>
      </c>
      <c r="R63" s="40">
        <v>0</v>
      </c>
      <c r="S63" s="40">
        <v>0</v>
      </c>
    </row>
    <row r="64" spans="1:19">
      <c r="A64" s="40" t="s">
        <v>277</v>
      </c>
      <c r="B64" s="40">
        <v>0</v>
      </c>
      <c r="C64" s="40">
        <v>-84106271.680000007</v>
      </c>
      <c r="D64" s="40">
        <v>0</v>
      </c>
      <c r="E64" s="40">
        <v>4413372.08</v>
      </c>
      <c r="F64" s="40">
        <v>0</v>
      </c>
      <c r="G64" s="40">
        <v>2020184.65</v>
      </c>
      <c r="H64" s="40">
        <v>0</v>
      </c>
      <c r="I64" s="40">
        <v>-7568700.2000000002</v>
      </c>
      <c r="J64" s="40">
        <v>0</v>
      </c>
      <c r="K64" s="40">
        <v>-20303689.600000001</v>
      </c>
      <c r="L64" s="40">
        <v>0</v>
      </c>
      <c r="M64" s="40">
        <v>-9741840.2100000009</v>
      </c>
      <c r="N64" s="40">
        <v>0</v>
      </c>
      <c r="O64" s="40">
        <v>-11469294.66</v>
      </c>
      <c r="P64" s="40">
        <v>-23337609.719999999</v>
      </c>
      <c r="Q64" s="40">
        <v>-7527200</v>
      </c>
      <c r="R64" s="40">
        <v>0</v>
      </c>
      <c r="S64" s="40">
        <v>0</v>
      </c>
    </row>
    <row r="65" spans="1:19">
      <c r="A65" s="40" t="s">
        <v>278</v>
      </c>
      <c r="B65" s="40">
        <v>0</v>
      </c>
      <c r="C65" s="40">
        <v>41743447.630000003</v>
      </c>
      <c r="D65" s="40">
        <v>0</v>
      </c>
      <c r="E65" s="40">
        <v>14986879.5</v>
      </c>
      <c r="F65" s="40">
        <v>0</v>
      </c>
      <c r="G65" s="40">
        <v>-2179499.2200000002</v>
      </c>
      <c r="H65" s="40">
        <v>0</v>
      </c>
      <c r="I65" s="40">
        <v>4145586.37</v>
      </c>
      <c r="J65" s="40">
        <v>0</v>
      </c>
      <c r="K65" s="40">
        <v>-9183001.7400000002</v>
      </c>
      <c r="L65" s="40">
        <v>0</v>
      </c>
      <c r="M65" s="40">
        <v>11347666.57</v>
      </c>
      <c r="N65" s="40">
        <v>0</v>
      </c>
      <c r="O65" s="40">
        <v>4504640.32</v>
      </c>
      <c r="P65" s="40">
        <v>-24778742.780000001</v>
      </c>
      <c r="Q65" s="40">
        <v>38513500</v>
      </c>
      <c r="R65" s="40">
        <v>0</v>
      </c>
      <c r="S65" s="40">
        <v>0</v>
      </c>
    </row>
    <row r="66" spans="1:19">
      <c r="A66" s="40" t="s">
        <v>279</v>
      </c>
      <c r="B66" s="40">
        <v>0</v>
      </c>
      <c r="C66" s="40">
        <v>0</v>
      </c>
      <c r="D66" s="40">
        <v>0</v>
      </c>
      <c r="E66" s="40">
        <v>0</v>
      </c>
      <c r="F66" s="40">
        <v>0</v>
      </c>
      <c r="G66" s="40">
        <v>0</v>
      </c>
      <c r="H66" s="40">
        <v>0</v>
      </c>
      <c r="I66" s="40">
        <v>0</v>
      </c>
      <c r="J66" s="40">
        <v>0</v>
      </c>
      <c r="K66" s="40">
        <v>0</v>
      </c>
      <c r="L66" s="40">
        <v>0</v>
      </c>
      <c r="M66" s="40">
        <v>0</v>
      </c>
      <c r="N66" s="40">
        <v>0</v>
      </c>
      <c r="O66" s="40">
        <v>0</v>
      </c>
      <c r="P66" s="40">
        <v>0</v>
      </c>
      <c r="Q66" s="40">
        <v>0</v>
      </c>
      <c r="R66" s="40">
        <v>0</v>
      </c>
      <c r="S66" s="40">
        <v>0</v>
      </c>
    </row>
    <row r="67" spans="1:19">
      <c r="A67" s="40" t="s">
        <v>280</v>
      </c>
      <c r="B67" s="40">
        <v>0</v>
      </c>
      <c r="C67" s="40">
        <v>0</v>
      </c>
      <c r="D67" s="40">
        <v>0</v>
      </c>
      <c r="E67" s="40">
        <v>0</v>
      </c>
      <c r="F67" s="40">
        <v>0</v>
      </c>
      <c r="G67" s="40">
        <v>0</v>
      </c>
      <c r="H67" s="40">
        <v>0</v>
      </c>
      <c r="I67" s="40">
        <v>0</v>
      </c>
      <c r="J67" s="40">
        <v>0</v>
      </c>
      <c r="K67" s="40">
        <v>0</v>
      </c>
      <c r="L67" s="40">
        <v>0</v>
      </c>
      <c r="M67" s="40">
        <v>0</v>
      </c>
      <c r="N67" s="40">
        <v>0</v>
      </c>
      <c r="O67" s="40">
        <v>0</v>
      </c>
      <c r="P67" s="40">
        <v>0</v>
      </c>
      <c r="Q67" s="40">
        <v>0</v>
      </c>
      <c r="R67" s="40">
        <v>0</v>
      </c>
      <c r="S67" s="40">
        <v>0</v>
      </c>
    </row>
    <row r="68" spans="1:19">
      <c r="A68" s="40" t="s">
        <v>281</v>
      </c>
      <c r="B68" s="40">
        <v>0</v>
      </c>
      <c r="C68" s="40">
        <v>0</v>
      </c>
      <c r="D68" s="40">
        <v>0</v>
      </c>
      <c r="E68" s="40">
        <v>0</v>
      </c>
      <c r="F68" s="40">
        <v>0</v>
      </c>
      <c r="G68" s="40">
        <v>0</v>
      </c>
      <c r="H68" s="40">
        <v>0</v>
      </c>
      <c r="I68" s="40">
        <v>0</v>
      </c>
      <c r="J68" s="40">
        <v>0</v>
      </c>
      <c r="K68" s="40">
        <v>0</v>
      </c>
      <c r="L68" s="40">
        <v>0</v>
      </c>
      <c r="M68" s="40">
        <v>0</v>
      </c>
      <c r="N68" s="40">
        <v>0</v>
      </c>
      <c r="O68" s="40">
        <v>0</v>
      </c>
      <c r="P68" s="40">
        <v>0</v>
      </c>
      <c r="Q68" s="40">
        <v>0</v>
      </c>
      <c r="R68" s="40">
        <v>0</v>
      </c>
      <c r="S68" s="40">
        <v>0</v>
      </c>
    </row>
    <row r="69" spans="1:19">
      <c r="A69" s="40" t="s">
        <v>282</v>
      </c>
      <c r="B69" s="40">
        <v>0</v>
      </c>
      <c r="C69" s="40">
        <v>-16275696.35</v>
      </c>
      <c r="D69" s="40">
        <v>0</v>
      </c>
      <c r="E69" s="40">
        <v>87436220.879999995</v>
      </c>
      <c r="F69" s="40">
        <v>0</v>
      </c>
      <c r="G69" s="40">
        <v>24256948.899999999</v>
      </c>
      <c r="H69" s="40">
        <v>0</v>
      </c>
      <c r="I69" s="40">
        <v>67175954.819999993</v>
      </c>
      <c r="J69" s="40">
        <v>0</v>
      </c>
      <c r="K69" s="40">
        <v>-25621.62</v>
      </c>
      <c r="L69" s="40">
        <v>0</v>
      </c>
      <c r="M69" s="40">
        <v>54359761.829999998</v>
      </c>
      <c r="N69" s="40">
        <v>0</v>
      </c>
      <c r="O69" s="40">
        <v>65883707.280000001</v>
      </c>
      <c r="P69" s="40">
        <v>50278339.369999997</v>
      </c>
      <c r="Q69" s="40">
        <v>73274800</v>
      </c>
      <c r="R69" s="40">
        <v>0</v>
      </c>
      <c r="S69" s="40">
        <v>0</v>
      </c>
    </row>
    <row r="70" spans="1:19">
      <c r="A70" s="40" t="s">
        <v>283</v>
      </c>
      <c r="B70" s="40">
        <v>0</v>
      </c>
      <c r="C70" s="40">
        <v>0</v>
      </c>
      <c r="D70" s="40">
        <v>0</v>
      </c>
      <c r="E70" s="40">
        <v>0</v>
      </c>
      <c r="F70" s="40">
        <v>0</v>
      </c>
      <c r="G70" s="40">
        <v>0</v>
      </c>
      <c r="H70" s="40">
        <v>0</v>
      </c>
      <c r="I70" s="40">
        <v>0</v>
      </c>
      <c r="J70" s="40">
        <v>0</v>
      </c>
      <c r="K70" s="40">
        <v>0</v>
      </c>
      <c r="L70" s="40">
        <v>0</v>
      </c>
      <c r="M70" s="40">
        <v>0</v>
      </c>
      <c r="N70" s="40">
        <v>0</v>
      </c>
      <c r="O70" s="40">
        <v>0</v>
      </c>
      <c r="P70" s="40">
        <v>0</v>
      </c>
      <c r="Q70" s="40">
        <v>0</v>
      </c>
      <c r="R70" s="40">
        <v>0</v>
      </c>
      <c r="S70" s="40">
        <v>0</v>
      </c>
    </row>
    <row r="71" spans="1:19">
      <c r="A71" s="40" t="s">
        <v>284</v>
      </c>
      <c r="B71" s="40">
        <v>0</v>
      </c>
      <c r="C71" s="40">
        <v>0</v>
      </c>
      <c r="D71" s="40">
        <v>0</v>
      </c>
      <c r="E71" s="40">
        <v>0</v>
      </c>
      <c r="F71" s="40">
        <v>0</v>
      </c>
      <c r="G71" s="40">
        <v>0</v>
      </c>
      <c r="H71" s="40">
        <v>0</v>
      </c>
      <c r="I71" s="40">
        <v>0</v>
      </c>
      <c r="J71" s="40">
        <v>0</v>
      </c>
      <c r="K71" s="40">
        <v>0</v>
      </c>
      <c r="L71" s="40">
        <v>0</v>
      </c>
      <c r="M71" s="40">
        <v>0</v>
      </c>
      <c r="N71" s="40">
        <v>0</v>
      </c>
      <c r="O71" s="40">
        <v>0</v>
      </c>
      <c r="P71" s="40">
        <v>0</v>
      </c>
      <c r="Q71" s="40">
        <v>0</v>
      </c>
      <c r="R71" s="40">
        <v>0</v>
      </c>
      <c r="S71" s="40">
        <v>0</v>
      </c>
    </row>
    <row r="72" spans="1:19">
      <c r="A72" s="40" t="s">
        <v>285</v>
      </c>
      <c r="B72" s="40">
        <v>0</v>
      </c>
      <c r="C72" s="40">
        <v>0</v>
      </c>
      <c r="D72" s="40">
        <v>0</v>
      </c>
      <c r="E72" s="40">
        <v>0</v>
      </c>
      <c r="F72" s="40">
        <v>0</v>
      </c>
      <c r="G72" s="40">
        <v>0</v>
      </c>
      <c r="H72" s="40">
        <v>0</v>
      </c>
      <c r="I72" s="40">
        <v>0</v>
      </c>
      <c r="J72" s="40">
        <v>0</v>
      </c>
      <c r="K72" s="40">
        <v>0</v>
      </c>
      <c r="L72" s="40">
        <v>0</v>
      </c>
      <c r="M72" s="40">
        <v>0</v>
      </c>
      <c r="N72" s="40">
        <v>0</v>
      </c>
      <c r="O72" s="40">
        <v>0</v>
      </c>
      <c r="P72" s="40">
        <v>0</v>
      </c>
      <c r="Q72" s="40">
        <v>0</v>
      </c>
      <c r="R72" s="40">
        <v>0</v>
      </c>
      <c r="S72" s="40">
        <v>0</v>
      </c>
    </row>
    <row r="73" spans="1:19">
      <c r="A73" s="40" t="s">
        <v>286</v>
      </c>
      <c r="B73" s="40">
        <v>0</v>
      </c>
      <c r="C73" s="40">
        <v>41928092.789999999</v>
      </c>
      <c r="D73" s="40">
        <v>0</v>
      </c>
      <c r="E73" s="40">
        <v>451888345.81</v>
      </c>
      <c r="F73" s="40">
        <v>0</v>
      </c>
      <c r="G73" s="40">
        <v>57919770.670000002</v>
      </c>
      <c r="H73" s="40">
        <v>0</v>
      </c>
      <c r="I73" s="40">
        <v>106206748.45999999</v>
      </c>
      <c r="J73" s="40">
        <v>0</v>
      </c>
      <c r="K73" s="40">
        <v>77478784.700000003</v>
      </c>
      <c r="L73" s="40">
        <v>0</v>
      </c>
      <c r="M73" s="40">
        <v>91535133.049999997</v>
      </c>
      <c r="N73" s="40">
        <v>0</v>
      </c>
      <c r="O73" s="40">
        <v>113486559.44</v>
      </c>
      <c r="P73" s="40">
        <v>82797003.269999996</v>
      </c>
      <c r="Q73" s="40">
        <v>0</v>
      </c>
      <c r="R73" s="40">
        <v>0</v>
      </c>
      <c r="S73" s="40">
        <v>0</v>
      </c>
    </row>
    <row r="74" spans="1:19">
      <c r="A74" s="40" t="s">
        <v>287</v>
      </c>
      <c r="B74" s="40">
        <v>0</v>
      </c>
      <c r="C74" s="40">
        <v>451888345.81</v>
      </c>
      <c r="D74" s="40">
        <v>0</v>
      </c>
      <c r="E74" s="40">
        <v>106206748.45999999</v>
      </c>
      <c r="F74" s="40">
        <v>0</v>
      </c>
      <c r="G74" s="40">
        <v>106206748.45999999</v>
      </c>
      <c r="H74" s="40">
        <v>0</v>
      </c>
      <c r="I74" s="40">
        <v>91535133.049999997</v>
      </c>
      <c r="J74" s="40">
        <v>0</v>
      </c>
      <c r="K74" s="40">
        <v>91535133.049999997</v>
      </c>
      <c r="L74" s="40">
        <v>0</v>
      </c>
      <c r="M74" s="40">
        <v>113486559.44</v>
      </c>
      <c r="N74" s="40">
        <v>0</v>
      </c>
      <c r="O74" s="40">
        <v>82797003.269999996</v>
      </c>
      <c r="P74" s="40">
        <v>65376596.740000002</v>
      </c>
      <c r="Q74" s="40">
        <v>0</v>
      </c>
      <c r="R74" s="40">
        <v>0</v>
      </c>
      <c r="S74" s="40">
        <v>0</v>
      </c>
    </row>
    <row r="75" spans="1:19">
      <c r="A75" s="40" t="s">
        <v>288</v>
      </c>
      <c r="B75" s="40">
        <v>0</v>
      </c>
      <c r="C75" s="40">
        <v>0</v>
      </c>
      <c r="D75" s="40">
        <v>0</v>
      </c>
      <c r="E75" s="40">
        <v>0</v>
      </c>
      <c r="F75" s="40">
        <v>0</v>
      </c>
      <c r="G75" s="40">
        <v>0</v>
      </c>
      <c r="H75" s="40">
        <v>0</v>
      </c>
      <c r="I75" s="40">
        <v>0</v>
      </c>
      <c r="J75" s="40">
        <v>0</v>
      </c>
      <c r="K75" s="40">
        <v>0</v>
      </c>
      <c r="L75" s="40">
        <v>0</v>
      </c>
      <c r="M75" s="40">
        <v>0</v>
      </c>
      <c r="N75" s="40">
        <v>0</v>
      </c>
      <c r="O75" s="40">
        <v>0</v>
      </c>
      <c r="P75" s="40">
        <v>0</v>
      </c>
      <c r="Q75" s="40">
        <v>0</v>
      </c>
      <c r="R75" s="40">
        <v>0</v>
      </c>
      <c r="S75" s="40">
        <v>0</v>
      </c>
    </row>
    <row r="76" spans="1:19">
      <c r="A76" s="40" t="s">
        <v>289</v>
      </c>
      <c r="B76" s="40">
        <v>0</v>
      </c>
      <c r="C76" s="40">
        <v>0</v>
      </c>
      <c r="D76" s="40">
        <v>0</v>
      </c>
      <c r="E76" s="40">
        <v>0</v>
      </c>
      <c r="F76" s="40">
        <v>0</v>
      </c>
      <c r="G76" s="40">
        <v>0</v>
      </c>
      <c r="H76" s="40">
        <v>0</v>
      </c>
      <c r="I76" s="40">
        <v>0</v>
      </c>
      <c r="J76" s="40">
        <v>0</v>
      </c>
      <c r="K76" s="40">
        <v>0</v>
      </c>
      <c r="L76" s="40">
        <v>0</v>
      </c>
      <c r="M76" s="40">
        <v>0</v>
      </c>
      <c r="N76" s="40">
        <v>0</v>
      </c>
      <c r="O76" s="40">
        <v>0</v>
      </c>
      <c r="P76" s="40">
        <v>0</v>
      </c>
      <c r="Q76" s="40">
        <v>0</v>
      </c>
      <c r="R76" s="40">
        <v>0</v>
      </c>
      <c r="S76" s="40">
        <v>0</v>
      </c>
    </row>
    <row r="77" spans="1:19">
      <c r="A77" s="40" t="s">
        <v>290</v>
      </c>
      <c r="B77" s="40">
        <v>0</v>
      </c>
      <c r="C77" s="40">
        <v>-409960253.01999998</v>
      </c>
      <c r="D77" s="40">
        <v>0</v>
      </c>
      <c r="E77" s="40">
        <v>345681597.35000002</v>
      </c>
      <c r="F77" s="40">
        <v>0</v>
      </c>
      <c r="G77" s="40">
        <v>-48286977.789999999</v>
      </c>
      <c r="H77" s="40">
        <v>0</v>
      </c>
      <c r="I77" s="40">
        <v>14671615.41</v>
      </c>
      <c r="J77" s="40">
        <v>0</v>
      </c>
      <c r="K77" s="40">
        <v>-14056348.35</v>
      </c>
      <c r="L77" s="40">
        <v>0</v>
      </c>
      <c r="M77" s="40">
        <v>-21951426.390000001</v>
      </c>
      <c r="N77" s="40">
        <v>0</v>
      </c>
      <c r="O77" s="40">
        <v>30689556.170000002</v>
      </c>
      <c r="P77" s="40">
        <v>17420406.530000001</v>
      </c>
      <c r="Q77" s="40">
        <v>0</v>
      </c>
      <c r="R77" s="40">
        <v>0</v>
      </c>
      <c r="S77" s="4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I4" sqref="I4"/>
    </sheetView>
  </sheetViews>
  <sheetFormatPr defaultRowHeight="13.5"/>
  <cols>
    <col min="1" max="1" width="31.875" style="17" bestFit="1" customWidth="1"/>
    <col min="2" max="4" width="17.25" hidden="1" customWidth="1"/>
    <col min="5" max="5" width="17.25" bestFit="1" customWidth="1"/>
    <col min="6" max="8" width="17.25" hidden="1" customWidth="1"/>
    <col min="9" max="9" width="17.25" bestFit="1" customWidth="1"/>
    <col min="10" max="11" width="17.25" hidden="1" customWidth="1"/>
    <col min="12" max="15" width="17.25" bestFit="1" customWidth="1"/>
    <col min="16" max="16" width="16.125" bestFit="1" customWidth="1"/>
    <col min="17" max="17" width="9.5" hidden="1" customWidth="1"/>
    <col min="18" max="33" width="19.375" bestFit="1" customWidth="1"/>
    <col min="34" max="38" width="17.25" bestFit="1" customWidth="1"/>
    <col min="39" max="39" width="7.375" bestFit="1" customWidth="1"/>
    <col min="40" max="42" width="17.25" bestFit="1" customWidth="1"/>
    <col min="43" max="43" width="7.375" bestFit="1" customWidth="1"/>
    <col min="44" max="84" width="19.375" bestFit="1" customWidth="1"/>
    <col min="85" max="87" width="17.25" bestFit="1" customWidth="1"/>
    <col min="88" max="89" width="16.125" bestFit="1" customWidth="1"/>
    <col min="90" max="90" width="7.375" bestFit="1" customWidth="1"/>
  </cols>
  <sheetData>
    <row r="1" spans="1:90" s="41" customFormat="1">
      <c r="A1" s="41">
        <v>300559</v>
      </c>
      <c r="B1" s="40">
        <v>20180930</v>
      </c>
      <c r="C1" s="40">
        <v>20180630</v>
      </c>
      <c r="D1" s="40">
        <v>20180331</v>
      </c>
      <c r="E1" s="40">
        <v>20171231</v>
      </c>
      <c r="F1" s="40">
        <v>20170930</v>
      </c>
      <c r="G1" s="40">
        <v>20170630</v>
      </c>
      <c r="H1" s="40">
        <v>20170331</v>
      </c>
      <c r="I1" s="40">
        <v>20161231</v>
      </c>
      <c r="J1" s="40">
        <v>20160930</v>
      </c>
      <c r="K1" s="40">
        <v>20160630</v>
      </c>
      <c r="L1" s="40">
        <v>20151231</v>
      </c>
      <c r="M1" s="40">
        <v>20141231</v>
      </c>
      <c r="N1" s="40">
        <v>20131231</v>
      </c>
      <c r="O1" s="40">
        <v>20121231</v>
      </c>
      <c r="P1" s="40">
        <v>20111231</v>
      </c>
      <c r="Q1" s="40">
        <v>19700101</v>
      </c>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row>
    <row r="2" spans="1:90">
      <c r="A2" s="20" t="s">
        <v>0</v>
      </c>
      <c r="B2" s="26"/>
      <c r="C2" s="26"/>
      <c r="D2" s="26"/>
      <c r="E2" s="26"/>
      <c r="F2" s="26"/>
      <c r="G2" s="26"/>
      <c r="H2" s="26"/>
      <c r="I2" s="26"/>
      <c r="J2" s="26"/>
      <c r="K2" s="26"/>
      <c r="L2" s="23"/>
    </row>
    <row r="3" spans="1:90">
      <c r="A3" s="20" t="s">
        <v>316</v>
      </c>
      <c r="B3" s="26"/>
      <c r="C3" s="26"/>
      <c r="D3" s="26"/>
      <c r="E3" s="26"/>
      <c r="F3" s="26"/>
      <c r="G3" s="26"/>
      <c r="H3" s="26"/>
      <c r="I3" s="26"/>
      <c r="J3" s="26"/>
      <c r="K3" s="26"/>
      <c r="L3" s="23"/>
    </row>
    <row r="4" spans="1:90">
      <c r="A4" s="17" t="s">
        <v>1</v>
      </c>
      <c r="B4" s="40">
        <v>52473774.969999999</v>
      </c>
      <c r="C4" s="40">
        <v>41928092.789999999</v>
      </c>
      <c r="D4" s="40">
        <v>24115119.600000001</v>
      </c>
      <c r="E4" s="40">
        <v>462619726.81</v>
      </c>
      <c r="F4" s="40">
        <v>107296926.2</v>
      </c>
      <c r="G4" s="40">
        <v>59705580.670000002</v>
      </c>
      <c r="H4" s="40">
        <v>86686115.099999994</v>
      </c>
      <c r="I4" s="40">
        <v>113271854.45999999</v>
      </c>
      <c r="J4" s="40">
        <v>85346380.980000004</v>
      </c>
      <c r="K4" s="40">
        <v>83238034.700000003</v>
      </c>
      <c r="L4" s="40">
        <v>101054543.05</v>
      </c>
      <c r="M4" s="40">
        <v>117877584.94</v>
      </c>
      <c r="N4" s="40">
        <v>87797003.269999996</v>
      </c>
      <c r="O4" s="40">
        <v>65376596.740000002</v>
      </c>
      <c r="P4" s="40">
        <v>33665736.18</v>
      </c>
      <c r="Q4" s="40">
        <v>0</v>
      </c>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c r="CL4" s="40"/>
    </row>
    <row r="5" spans="1:90">
      <c r="A5" s="17" t="s">
        <v>2</v>
      </c>
      <c r="B5" s="40">
        <v>420108000</v>
      </c>
      <c r="C5" s="40">
        <v>379377900</v>
      </c>
      <c r="D5" s="40">
        <v>417000000</v>
      </c>
      <c r="E5" s="40">
        <v>0</v>
      </c>
      <c r="F5" s="40">
        <v>0</v>
      </c>
      <c r="G5" s="40">
        <v>0</v>
      </c>
      <c r="H5" s="40">
        <v>0</v>
      </c>
      <c r="I5" s="40">
        <v>0</v>
      </c>
      <c r="J5" s="40">
        <v>0</v>
      </c>
      <c r="K5" s="40">
        <v>0</v>
      </c>
      <c r="L5" s="40">
        <v>0</v>
      </c>
      <c r="M5" s="40">
        <v>0</v>
      </c>
      <c r="N5" s="40">
        <v>0</v>
      </c>
      <c r="O5" s="40">
        <v>0</v>
      </c>
      <c r="P5" s="40">
        <v>0</v>
      </c>
      <c r="Q5" s="40">
        <v>0</v>
      </c>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c r="CL5" s="40"/>
    </row>
    <row r="6" spans="1:90">
      <c r="A6" s="17" t="s">
        <v>13</v>
      </c>
      <c r="B6" s="40">
        <v>0</v>
      </c>
      <c r="C6" s="40">
        <v>0</v>
      </c>
      <c r="D6" s="40">
        <v>0</v>
      </c>
      <c r="E6" s="40">
        <v>0</v>
      </c>
      <c r="F6" s="40">
        <v>0</v>
      </c>
      <c r="G6" s="40">
        <v>0</v>
      </c>
      <c r="H6" s="40">
        <v>0</v>
      </c>
      <c r="I6" s="40">
        <v>0</v>
      </c>
      <c r="J6" s="40">
        <v>0</v>
      </c>
      <c r="K6" s="40">
        <v>0</v>
      </c>
      <c r="L6" s="40">
        <v>0</v>
      </c>
      <c r="M6" s="40">
        <v>0</v>
      </c>
      <c r="N6" s="40">
        <v>0</v>
      </c>
      <c r="O6" s="40">
        <v>0</v>
      </c>
      <c r="P6" s="40">
        <v>0</v>
      </c>
      <c r="Q6" s="40">
        <v>0</v>
      </c>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c r="CA6" s="40"/>
      <c r="CB6" s="40"/>
      <c r="CC6" s="40"/>
      <c r="CD6" s="40"/>
      <c r="CE6" s="40"/>
      <c r="CF6" s="40"/>
      <c r="CG6" s="40"/>
      <c r="CH6" s="40"/>
      <c r="CI6" s="40"/>
      <c r="CJ6" s="40"/>
      <c r="CK6" s="40"/>
      <c r="CL6" s="40"/>
    </row>
    <row r="7" spans="1:90">
      <c r="A7" s="17" t="s">
        <v>4</v>
      </c>
      <c r="B7" s="40">
        <v>0</v>
      </c>
      <c r="C7" s="40">
        <v>0</v>
      </c>
      <c r="D7" s="40">
        <v>0</v>
      </c>
      <c r="E7" s="40">
        <v>0</v>
      </c>
      <c r="F7" s="40">
        <v>0</v>
      </c>
      <c r="G7" s="40">
        <v>0</v>
      </c>
      <c r="H7" s="40">
        <v>0</v>
      </c>
      <c r="I7" s="40">
        <v>0</v>
      </c>
      <c r="J7" s="40">
        <v>0</v>
      </c>
      <c r="K7" s="40">
        <v>0</v>
      </c>
      <c r="L7" s="40">
        <v>0</v>
      </c>
      <c r="M7" s="40">
        <v>0</v>
      </c>
      <c r="N7" s="40">
        <v>0</v>
      </c>
      <c r="O7" s="40">
        <v>0</v>
      </c>
      <c r="P7" s="40">
        <v>0</v>
      </c>
      <c r="Q7" s="40">
        <v>0</v>
      </c>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c r="CA7" s="40"/>
      <c r="CB7" s="40"/>
      <c r="CC7" s="40"/>
      <c r="CD7" s="40"/>
      <c r="CE7" s="40"/>
      <c r="CF7" s="40"/>
      <c r="CG7" s="40"/>
      <c r="CH7" s="40"/>
      <c r="CI7" s="40"/>
      <c r="CJ7" s="40"/>
      <c r="CK7" s="40"/>
      <c r="CL7" s="40"/>
    </row>
    <row r="8" spans="1:90">
      <c r="A8" s="17" t="s">
        <v>5</v>
      </c>
      <c r="B8" s="40">
        <v>0</v>
      </c>
      <c r="C8" s="40">
        <v>20000000</v>
      </c>
      <c r="D8" s="40">
        <v>0</v>
      </c>
      <c r="E8" s="40">
        <v>0</v>
      </c>
      <c r="F8" s="40">
        <v>0</v>
      </c>
      <c r="G8" s="40">
        <v>0</v>
      </c>
      <c r="H8" s="40">
        <v>0</v>
      </c>
      <c r="I8" s="40">
        <v>0</v>
      </c>
      <c r="J8" s="40">
        <v>0</v>
      </c>
      <c r="K8" s="40">
        <v>0</v>
      </c>
      <c r="L8" s="40">
        <v>0</v>
      </c>
      <c r="M8" s="40">
        <v>0</v>
      </c>
      <c r="N8" s="40">
        <v>0</v>
      </c>
      <c r="O8" s="40">
        <v>0</v>
      </c>
      <c r="P8" s="40">
        <v>0</v>
      </c>
      <c r="Q8" s="40">
        <v>0</v>
      </c>
      <c r="R8" s="40"/>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row>
    <row r="9" spans="1:90">
      <c r="A9" s="17" t="s">
        <v>6</v>
      </c>
      <c r="B9" s="40">
        <v>0</v>
      </c>
      <c r="C9" s="40">
        <v>0</v>
      </c>
      <c r="D9" s="40">
        <v>0</v>
      </c>
      <c r="E9" s="40">
        <v>0</v>
      </c>
      <c r="F9" s="40">
        <v>0</v>
      </c>
      <c r="G9" s="40">
        <v>0</v>
      </c>
      <c r="H9" s="40">
        <v>0</v>
      </c>
      <c r="I9" s="40">
        <v>0</v>
      </c>
      <c r="J9" s="40">
        <v>0</v>
      </c>
      <c r="K9" s="40">
        <v>0</v>
      </c>
      <c r="L9" s="40">
        <v>0</v>
      </c>
      <c r="M9" s="40">
        <v>0</v>
      </c>
      <c r="N9" s="40">
        <v>0</v>
      </c>
      <c r="O9" s="40">
        <v>0</v>
      </c>
      <c r="P9" s="40">
        <v>0</v>
      </c>
      <c r="Q9" s="40">
        <v>0</v>
      </c>
      <c r="R9" s="40"/>
      <c r="S9" s="40"/>
      <c r="T9" s="40"/>
      <c r="U9" s="40"/>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row>
    <row r="10" spans="1:90">
      <c r="A10" s="19" t="s">
        <v>7</v>
      </c>
      <c r="B10" s="40">
        <v>0</v>
      </c>
      <c r="C10" s="40">
        <v>0</v>
      </c>
      <c r="D10" s="40">
        <v>0</v>
      </c>
      <c r="E10" s="40">
        <v>0</v>
      </c>
      <c r="F10" s="40">
        <v>0</v>
      </c>
      <c r="G10" s="40">
        <v>0</v>
      </c>
      <c r="H10" s="40">
        <v>0</v>
      </c>
      <c r="I10" s="40">
        <v>0</v>
      </c>
      <c r="J10" s="40">
        <v>0</v>
      </c>
      <c r="K10" s="40">
        <v>0</v>
      </c>
      <c r="L10" s="40">
        <v>0</v>
      </c>
      <c r="M10" s="40">
        <v>0</v>
      </c>
      <c r="N10" s="40">
        <v>0</v>
      </c>
      <c r="O10" s="40">
        <v>0</v>
      </c>
      <c r="P10" s="40">
        <v>0</v>
      </c>
      <c r="Q10" s="40">
        <v>0</v>
      </c>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c r="CL10" s="40"/>
    </row>
    <row r="11" spans="1:90">
      <c r="A11" s="17" t="s">
        <v>8</v>
      </c>
      <c r="B11" s="40">
        <v>0</v>
      </c>
      <c r="C11" s="40">
        <v>0</v>
      </c>
      <c r="D11" s="40">
        <v>0</v>
      </c>
      <c r="E11" s="40">
        <v>0</v>
      </c>
      <c r="F11" s="40">
        <v>0</v>
      </c>
      <c r="G11" s="40">
        <v>0</v>
      </c>
      <c r="H11" s="40">
        <v>0</v>
      </c>
      <c r="I11" s="40">
        <v>0</v>
      </c>
      <c r="J11" s="40">
        <v>0</v>
      </c>
      <c r="K11" s="40">
        <v>0</v>
      </c>
      <c r="L11" s="40">
        <v>0</v>
      </c>
      <c r="M11" s="40">
        <v>0</v>
      </c>
      <c r="N11" s="40">
        <v>0</v>
      </c>
      <c r="O11" s="40">
        <v>0</v>
      </c>
      <c r="P11" s="40">
        <v>0</v>
      </c>
      <c r="Q11" s="40">
        <v>0</v>
      </c>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c r="CL11" s="40"/>
    </row>
    <row r="12" spans="1:90">
      <c r="A12" s="17" t="s">
        <v>9</v>
      </c>
      <c r="B12" s="40">
        <v>0</v>
      </c>
      <c r="C12" s="40">
        <v>0</v>
      </c>
      <c r="D12" s="40">
        <v>0</v>
      </c>
      <c r="E12" s="40">
        <v>0</v>
      </c>
      <c r="F12" s="40">
        <v>0</v>
      </c>
      <c r="G12" s="40">
        <v>0</v>
      </c>
      <c r="H12" s="40">
        <v>0</v>
      </c>
      <c r="I12" s="40">
        <v>0</v>
      </c>
      <c r="J12" s="40">
        <v>0</v>
      </c>
      <c r="K12" s="40">
        <v>0</v>
      </c>
      <c r="L12" s="40">
        <v>0</v>
      </c>
      <c r="M12" s="40">
        <v>0</v>
      </c>
      <c r="N12" s="40">
        <v>0</v>
      </c>
      <c r="O12" s="40">
        <v>0</v>
      </c>
      <c r="P12" s="40">
        <v>0</v>
      </c>
      <c r="Q12" s="40">
        <v>0</v>
      </c>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c r="CA12" s="40"/>
      <c r="CB12" s="40"/>
      <c r="CC12" s="40"/>
      <c r="CD12" s="40"/>
      <c r="CE12" s="40"/>
      <c r="CF12" s="40"/>
      <c r="CG12" s="40"/>
      <c r="CH12" s="40"/>
      <c r="CI12" s="40"/>
      <c r="CJ12" s="40"/>
      <c r="CK12" s="40"/>
      <c r="CL12" s="40"/>
    </row>
    <row r="13" spans="1:90">
      <c r="A13" s="17" t="s">
        <v>10</v>
      </c>
      <c r="B13" s="40">
        <v>0</v>
      </c>
      <c r="C13" s="40">
        <v>0</v>
      </c>
      <c r="D13" s="40">
        <v>0</v>
      </c>
      <c r="E13" s="40">
        <v>0</v>
      </c>
      <c r="F13" s="40">
        <v>0</v>
      </c>
      <c r="G13" s="40">
        <v>0</v>
      </c>
      <c r="H13" s="40">
        <v>0</v>
      </c>
      <c r="I13" s="40">
        <v>0</v>
      </c>
      <c r="J13" s="40">
        <v>0</v>
      </c>
      <c r="K13" s="40">
        <v>0</v>
      </c>
      <c r="L13" s="40">
        <v>0</v>
      </c>
      <c r="M13" s="40">
        <v>0</v>
      </c>
      <c r="N13" s="40">
        <v>0</v>
      </c>
      <c r="O13" s="40">
        <v>0</v>
      </c>
      <c r="P13" s="40">
        <v>0</v>
      </c>
      <c r="Q13" s="40">
        <v>0</v>
      </c>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row>
    <row r="14" spans="1:90" hidden="1">
      <c r="B14" s="26"/>
      <c r="C14" s="26"/>
      <c r="D14" s="26"/>
      <c r="E14" s="26"/>
      <c r="F14" s="26"/>
      <c r="G14" s="26"/>
      <c r="H14" s="26"/>
      <c r="I14" s="26"/>
      <c r="J14" s="26"/>
      <c r="K14" s="26"/>
      <c r="L14" s="23"/>
    </row>
    <row r="15" spans="1:90" hidden="1">
      <c r="B15" s="26"/>
      <c r="C15" s="26"/>
      <c r="D15" s="26"/>
      <c r="E15" s="26"/>
      <c r="F15" s="26"/>
      <c r="G15" s="26"/>
      <c r="H15" s="26"/>
      <c r="I15" s="26"/>
      <c r="J15" s="26"/>
      <c r="K15" s="26"/>
      <c r="L15" s="23"/>
    </row>
    <row r="16" spans="1:90" hidden="1">
      <c r="B16" s="26"/>
      <c r="C16" s="26"/>
      <c r="D16" s="26"/>
      <c r="E16" s="26"/>
      <c r="F16" s="26"/>
      <c r="G16" s="26"/>
      <c r="H16" s="26"/>
      <c r="I16" s="26"/>
      <c r="J16" s="26"/>
      <c r="K16" s="26"/>
      <c r="L16" s="23"/>
    </row>
    <row r="17" spans="1:90" s="5" customFormat="1">
      <c r="A17" s="125" t="s">
        <v>11</v>
      </c>
      <c r="B17" s="33">
        <f>SUM(B4:B13)</f>
        <v>472581774.97000003</v>
      </c>
      <c r="C17" s="33">
        <f t="shared" ref="C17:BN17" si="0">SUM(C4:C13)</f>
        <v>441305992.79000002</v>
      </c>
      <c r="D17" s="33">
        <f t="shared" si="0"/>
        <v>441115119.60000002</v>
      </c>
      <c r="E17" s="33">
        <f t="shared" si="0"/>
        <v>462619726.81</v>
      </c>
      <c r="F17" s="33">
        <f t="shared" si="0"/>
        <v>107296926.2</v>
      </c>
      <c r="G17" s="33">
        <f t="shared" si="0"/>
        <v>59705580.670000002</v>
      </c>
      <c r="H17" s="33">
        <f t="shared" si="0"/>
        <v>86686115.099999994</v>
      </c>
      <c r="I17" s="33">
        <f t="shared" si="0"/>
        <v>113271854.45999999</v>
      </c>
      <c r="J17" s="33">
        <f t="shared" si="0"/>
        <v>85346380.980000004</v>
      </c>
      <c r="K17" s="33">
        <f t="shared" si="0"/>
        <v>83238034.700000003</v>
      </c>
      <c r="L17" s="33">
        <f t="shared" si="0"/>
        <v>101054543.05</v>
      </c>
      <c r="M17" s="33">
        <f t="shared" si="0"/>
        <v>117877584.94</v>
      </c>
      <c r="N17" s="33">
        <f t="shared" si="0"/>
        <v>87797003.269999996</v>
      </c>
      <c r="O17" s="33">
        <f t="shared" si="0"/>
        <v>65376596.740000002</v>
      </c>
      <c r="P17" s="33">
        <f t="shared" si="0"/>
        <v>33665736.18</v>
      </c>
      <c r="Q17" s="33">
        <f t="shared" si="0"/>
        <v>0</v>
      </c>
      <c r="R17" s="33">
        <f t="shared" si="0"/>
        <v>0</v>
      </c>
      <c r="S17" s="33">
        <f t="shared" si="0"/>
        <v>0</v>
      </c>
      <c r="T17" s="33">
        <f t="shared" si="0"/>
        <v>0</v>
      </c>
      <c r="U17" s="33">
        <f t="shared" si="0"/>
        <v>0</v>
      </c>
      <c r="V17" s="33">
        <f t="shared" si="0"/>
        <v>0</v>
      </c>
      <c r="W17" s="33">
        <f t="shared" si="0"/>
        <v>0</v>
      </c>
      <c r="X17" s="33">
        <f t="shared" si="0"/>
        <v>0</v>
      </c>
      <c r="Y17" s="33">
        <f t="shared" si="0"/>
        <v>0</v>
      </c>
      <c r="Z17" s="33">
        <f t="shared" si="0"/>
        <v>0</v>
      </c>
      <c r="AA17" s="33">
        <f t="shared" si="0"/>
        <v>0</v>
      </c>
      <c r="AB17" s="33">
        <f t="shared" si="0"/>
        <v>0</v>
      </c>
      <c r="AC17" s="33">
        <f t="shared" si="0"/>
        <v>0</v>
      </c>
      <c r="AD17" s="33">
        <f t="shared" si="0"/>
        <v>0</v>
      </c>
      <c r="AE17" s="33">
        <f t="shared" si="0"/>
        <v>0</v>
      </c>
      <c r="AF17" s="33">
        <f t="shared" si="0"/>
        <v>0</v>
      </c>
      <c r="AG17" s="33">
        <f t="shared" si="0"/>
        <v>0</v>
      </c>
      <c r="AH17" s="33">
        <f t="shared" si="0"/>
        <v>0</v>
      </c>
      <c r="AI17" s="33">
        <f t="shared" si="0"/>
        <v>0</v>
      </c>
      <c r="AJ17" s="33">
        <f t="shared" si="0"/>
        <v>0</v>
      </c>
      <c r="AK17" s="33">
        <f t="shared" si="0"/>
        <v>0</v>
      </c>
      <c r="AL17" s="33">
        <f t="shared" si="0"/>
        <v>0</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c r="A18" s="126" t="s">
        <v>79</v>
      </c>
      <c r="B18" s="34"/>
      <c r="C18" s="34"/>
      <c r="D18" s="34"/>
      <c r="E18" s="34"/>
      <c r="F18" s="34"/>
      <c r="G18" s="34"/>
      <c r="H18" s="34"/>
      <c r="I18" s="34"/>
      <c r="J18" s="34"/>
      <c r="K18" s="34"/>
      <c r="L18" s="32"/>
      <c r="M18" s="14"/>
      <c r="N18" s="14"/>
    </row>
    <row r="19" spans="1:90" s="5" customFormat="1">
      <c r="A19" s="125" t="s">
        <v>78</v>
      </c>
      <c r="B19" s="40">
        <v>490000</v>
      </c>
      <c r="C19" s="40">
        <v>0</v>
      </c>
      <c r="D19" s="40">
        <v>0</v>
      </c>
      <c r="E19" s="40">
        <v>0</v>
      </c>
      <c r="F19" s="40">
        <v>0</v>
      </c>
      <c r="G19" s="40">
        <v>0</v>
      </c>
      <c r="H19" s="40">
        <v>0</v>
      </c>
      <c r="I19" s="40">
        <v>0</v>
      </c>
      <c r="J19" s="40">
        <v>0</v>
      </c>
      <c r="K19" s="40">
        <v>0</v>
      </c>
      <c r="L19" s="40">
        <v>0</v>
      </c>
      <c r="M19" s="40">
        <v>0</v>
      </c>
      <c r="N19" s="40">
        <v>0</v>
      </c>
      <c r="O19" s="40">
        <v>0</v>
      </c>
      <c r="P19" s="40">
        <v>0</v>
      </c>
      <c r="Q19" s="40">
        <v>0</v>
      </c>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40">
        <v>550000</v>
      </c>
      <c r="C22" s="40">
        <v>954000</v>
      </c>
      <c r="D22" s="40">
        <v>580000</v>
      </c>
      <c r="E22" s="40">
        <v>580000</v>
      </c>
      <c r="F22" s="40">
        <v>1000000</v>
      </c>
      <c r="G22" s="40">
        <v>1000000</v>
      </c>
      <c r="H22" s="40">
        <v>0</v>
      </c>
      <c r="I22" s="40">
        <v>443900</v>
      </c>
      <c r="J22" s="40">
        <v>1513530</v>
      </c>
      <c r="K22" s="40">
        <v>1718480</v>
      </c>
      <c r="L22" s="40">
        <v>1390489.98</v>
      </c>
      <c r="M22" s="40">
        <v>5843080</v>
      </c>
      <c r="N22" s="40">
        <v>600000</v>
      </c>
      <c r="O22" s="40">
        <v>0</v>
      </c>
      <c r="P22" s="40">
        <v>0</v>
      </c>
      <c r="Q22" s="40">
        <v>0</v>
      </c>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c r="CL22" s="40"/>
    </row>
    <row r="23" spans="1:90">
      <c r="A23" s="17" t="s">
        <v>15</v>
      </c>
      <c r="B23" s="40">
        <v>165392239.16999999</v>
      </c>
      <c r="C23" s="40">
        <v>150202198.28999999</v>
      </c>
      <c r="D23" s="40">
        <v>101469499.81</v>
      </c>
      <c r="E23" s="40">
        <v>77769001.579999998</v>
      </c>
      <c r="F23" s="40">
        <v>69127683.890000001</v>
      </c>
      <c r="G23" s="40">
        <v>83120652.140000001</v>
      </c>
      <c r="H23" s="40">
        <v>69956712.450000003</v>
      </c>
      <c r="I23" s="40">
        <v>78602010.909999996</v>
      </c>
      <c r="J23" s="40">
        <v>96621391.040000007</v>
      </c>
      <c r="K23" s="40">
        <v>92866714.290000007</v>
      </c>
      <c r="L23" s="40">
        <v>76757186.170000002</v>
      </c>
      <c r="M23" s="40">
        <v>70054234.390000001</v>
      </c>
      <c r="N23" s="40">
        <v>55199167.240000002</v>
      </c>
      <c r="O23" s="40">
        <v>33022927.43</v>
      </c>
      <c r="P23" s="40">
        <v>28417783.18</v>
      </c>
      <c r="Q23" s="40">
        <v>0</v>
      </c>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row>
    <row r="24" spans="1:90">
      <c r="A24" s="17" t="s">
        <v>16</v>
      </c>
      <c r="B24" s="40">
        <v>9571204.25</v>
      </c>
      <c r="C24" s="40">
        <v>8560136.2100000009</v>
      </c>
      <c r="D24" s="40">
        <v>7526863.4100000001</v>
      </c>
      <c r="E24" s="40">
        <v>2025954.91</v>
      </c>
      <c r="F24" s="40">
        <v>4917179.7</v>
      </c>
      <c r="G24" s="40">
        <v>1981939.71</v>
      </c>
      <c r="H24" s="40">
        <v>6272452.9000000004</v>
      </c>
      <c r="I24" s="40">
        <v>4317686.9000000004</v>
      </c>
      <c r="J24" s="40">
        <v>5650654.0999999996</v>
      </c>
      <c r="K24" s="40">
        <v>4283704.51</v>
      </c>
      <c r="L24" s="40">
        <v>627991.52</v>
      </c>
      <c r="M24" s="40">
        <v>100119</v>
      </c>
      <c r="N24" s="40">
        <v>1959152</v>
      </c>
      <c r="O24" s="40">
        <v>1698269.7</v>
      </c>
      <c r="P24" s="40">
        <v>2578282.2999999998</v>
      </c>
      <c r="Q24" s="40">
        <v>0</v>
      </c>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row>
    <row r="25" spans="1:90">
      <c r="A25" s="17" t="s">
        <v>17</v>
      </c>
      <c r="B25" s="40">
        <v>10840174.1</v>
      </c>
      <c r="C25" s="40">
        <v>9410115.9499999993</v>
      </c>
      <c r="D25" s="40">
        <v>10577231.890000001</v>
      </c>
      <c r="E25" s="40">
        <v>5538010.3399999999</v>
      </c>
      <c r="F25" s="40">
        <v>5831268.29</v>
      </c>
      <c r="G25" s="40">
        <v>4606675.87</v>
      </c>
      <c r="H25" s="40">
        <v>4919142.58</v>
      </c>
      <c r="I25" s="40">
        <v>4917323.6100000003</v>
      </c>
      <c r="J25" s="40">
        <v>4182442.04</v>
      </c>
      <c r="K25" s="40">
        <v>3408707.99</v>
      </c>
      <c r="L25" s="40">
        <v>946390.26</v>
      </c>
      <c r="M25" s="40">
        <v>621279.61</v>
      </c>
      <c r="N25" s="40">
        <v>6751873.1699999999</v>
      </c>
      <c r="O25" s="40">
        <v>8465502.9499999993</v>
      </c>
      <c r="P25" s="40">
        <v>6381282.7000000002</v>
      </c>
      <c r="Q25" s="40">
        <v>0</v>
      </c>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c r="CA25" s="40"/>
      <c r="CB25" s="40"/>
      <c r="CC25" s="40"/>
      <c r="CD25" s="40"/>
      <c r="CE25" s="40"/>
      <c r="CF25" s="40"/>
      <c r="CG25" s="40"/>
      <c r="CH25" s="40"/>
      <c r="CI25" s="40"/>
      <c r="CJ25" s="40"/>
      <c r="CK25" s="40"/>
      <c r="CL25" s="40"/>
    </row>
    <row r="26" spans="1:90">
      <c r="A26" s="17" t="s">
        <v>18</v>
      </c>
      <c r="B26" s="40">
        <v>67728310.349999994</v>
      </c>
      <c r="C26" s="40">
        <v>51711961.07</v>
      </c>
      <c r="D26" s="40">
        <v>35893309.810000002</v>
      </c>
      <c r="E26" s="40">
        <v>22534308.899999999</v>
      </c>
      <c r="F26" s="40">
        <v>21500748.109999999</v>
      </c>
      <c r="G26" s="40">
        <v>18204653.09</v>
      </c>
      <c r="H26" s="40">
        <v>19175213.84</v>
      </c>
      <c r="I26" s="40">
        <v>21047282.420000002</v>
      </c>
      <c r="J26" s="40">
        <v>25415947.68</v>
      </c>
      <c r="K26" s="40">
        <v>29075881.34</v>
      </c>
      <c r="L26" s="40">
        <v>26321968.579999998</v>
      </c>
      <c r="M26" s="40">
        <v>18161671.59</v>
      </c>
      <c r="N26" s="40">
        <v>16617126.779999999</v>
      </c>
      <c r="O26" s="40">
        <v>31511637.98</v>
      </c>
      <c r="P26" s="40">
        <v>4546718.74</v>
      </c>
      <c r="Q26" s="40">
        <v>0</v>
      </c>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c r="CL26" s="40"/>
    </row>
    <row r="27" spans="1:90">
      <c r="A27" s="17" t="s">
        <v>19</v>
      </c>
      <c r="B27" s="40">
        <v>3356564.18</v>
      </c>
      <c r="C27" s="40">
        <v>1840276.45</v>
      </c>
      <c r="D27" s="40">
        <v>1011321.45</v>
      </c>
      <c r="E27" s="40">
        <v>947488.39</v>
      </c>
      <c r="F27" s="40">
        <v>320000320.82999998</v>
      </c>
      <c r="G27" s="40">
        <v>355805775</v>
      </c>
      <c r="H27" s="40">
        <v>320415133.32999998</v>
      </c>
      <c r="I27" s="40">
        <v>300035000</v>
      </c>
      <c r="J27" s="40">
        <v>0</v>
      </c>
      <c r="K27" s="40">
        <v>0</v>
      </c>
      <c r="L27" s="40">
        <v>0</v>
      </c>
      <c r="M27" s="40">
        <v>0</v>
      </c>
      <c r="N27" s="40">
        <v>0</v>
      </c>
      <c r="O27" s="40">
        <v>0</v>
      </c>
      <c r="P27" s="40">
        <v>0</v>
      </c>
      <c r="Q27" s="40">
        <v>0</v>
      </c>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c r="CA27" s="40"/>
      <c r="CB27" s="40"/>
      <c r="CC27" s="40"/>
      <c r="CD27" s="40"/>
      <c r="CE27" s="40"/>
      <c r="CF27" s="40"/>
      <c r="CG27" s="40"/>
      <c r="CH27" s="40"/>
      <c r="CI27" s="40"/>
      <c r="CJ27" s="40"/>
      <c r="CK27" s="40"/>
      <c r="CL27" s="40"/>
    </row>
    <row r="28" spans="1:90">
      <c r="A28" s="17" t="s">
        <v>76</v>
      </c>
      <c r="B28" s="40">
        <v>0</v>
      </c>
      <c r="C28" s="40">
        <v>0</v>
      </c>
      <c r="D28" s="40">
        <v>0</v>
      </c>
      <c r="E28" s="40">
        <v>0</v>
      </c>
      <c r="F28" s="40">
        <v>0</v>
      </c>
      <c r="G28" s="40">
        <v>0</v>
      </c>
      <c r="H28" s="40">
        <v>0</v>
      </c>
      <c r="I28" s="40">
        <v>0</v>
      </c>
      <c r="J28" s="40">
        <v>0</v>
      </c>
      <c r="K28" s="40">
        <v>0</v>
      </c>
      <c r="L28" s="40">
        <v>0</v>
      </c>
      <c r="M28" s="40">
        <v>0</v>
      </c>
      <c r="N28" s="40">
        <v>0</v>
      </c>
      <c r="O28" s="40">
        <v>0</v>
      </c>
      <c r="P28" s="40">
        <v>0</v>
      </c>
      <c r="Q28" s="40">
        <v>0</v>
      </c>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row>
    <row r="29" spans="1:90">
      <c r="A29" s="17" t="s">
        <v>3</v>
      </c>
      <c r="B29" s="40">
        <v>0</v>
      </c>
      <c r="C29" s="40">
        <v>0</v>
      </c>
      <c r="D29" s="40">
        <v>0</v>
      </c>
      <c r="E29" s="40">
        <v>0</v>
      </c>
      <c r="F29" s="40">
        <v>0</v>
      </c>
      <c r="G29" s="40">
        <v>0</v>
      </c>
      <c r="H29" s="40">
        <v>0</v>
      </c>
      <c r="I29" s="40">
        <v>0</v>
      </c>
      <c r="J29" s="40">
        <v>0</v>
      </c>
      <c r="K29" s="40">
        <v>0</v>
      </c>
      <c r="L29" s="40">
        <v>0</v>
      </c>
      <c r="M29" s="40">
        <v>0</v>
      </c>
      <c r="N29" s="40">
        <v>0</v>
      </c>
      <c r="O29" s="40">
        <v>0</v>
      </c>
      <c r="P29" s="40">
        <v>0</v>
      </c>
      <c r="Q29" s="40">
        <v>0</v>
      </c>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row>
    <row r="30" spans="1:90" hidden="1">
      <c r="B30" s="26"/>
      <c r="C30" s="26"/>
      <c r="D30" s="26"/>
      <c r="E30" s="26"/>
      <c r="F30" s="26"/>
      <c r="G30" s="26"/>
      <c r="H30" s="26"/>
      <c r="I30" s="26"/>
      <c r="J30" s="26"/>
      <c r="K30" s="26"/>
      <c r="L30" s="23"/>
    </row>
    <row r="31" spans="1:90" hidden="1">
      <c r="B31" s="26"/>
      <c r="C31" s="26"/>
      <c r="D31" s="26"/>
      <c r="E31" s="26"/>
      <c r="F31" s="26"/>
      <c r="G31" s="26"/>
      <c r="H31" s="26"/>
      <c r="I31" s="26"/>
      <c r="J31" s="26"/>
      <c r="K31" s="26"/>
      <c r="L31" s="23"/>
    </row>
    <row r="32" spans="1:90" hidden="1">
      <c r="B32" s="26"/>
      <c r="C32" s="26"/>
      <c r="D32" s="26"/>
      <c r="E32" s="26"/>
      <c r="F32" s="26"/>
      <c r="G32" s="26"/>
      <c r="H32" s="26"/>
      <c r="I32" s="26"/>
      <c r="J32" s="26"/>
      <c r="K32" s="26"/>
      <c r="L32" s="23"/>
    </row>
    <row r="33" spans="1:90" s="10" customFormat="1">
      <c r="A33" s="127" t="s">
        <v>20</v>
      </c>
      <c r="B33" s="35">
        <f>SUM(B22:B29)</f>
        <v>257438492.04999998</v>
      </c>
      <c r="C33" s="35">
        <f t="shared" ref="C33:BN33" si="2">SUM(C22:C29)</f>
        <v>222678687.96999997</v>
      </c>
      <c r="D33" s="35">
        <f t="shared" si="2"/>
        <v>157058226.37</v>
      </c>
      <c r="E33" s="35">
        <f t="shared" si="2"/>
        <v>109394764.11999999</v>
      </c>
      <c r="F33" s="35">
        <f t="shared" si="2"/>
        <v>422377200.81999999</v>
      </c>
      <c r="G33" s="35">
        <f t="shared" si="2"/>
        <v>464719695.81</v>
      </c>
      <c r="H33" s="35">
        <f t="shared" si="2"/>
        <v>420738655.10000002</v>
      </c>
      <c r="I33" s="35">
        <f t="shared" si="2"/>
        <v>409363203.84000003</v>
      </c>
      <c r="J33" s="35">
        <f t="shared" si="2"/>
        <v>133383964.86000001</v>
      </c>
      <c r="K33" s="35">
        <f t="shared" si="2"/>
        <v>131353488.13000001</v>
      </c>
      <c r="L33" s="35">
        <f t="shared" si="2"/>
        <v>106044026.51000001</v>
      </c>
      <c r="M33" s="35">
        <f t="shared" si="2"/>
        <v>94780384.590000004</v>
      </c>
      <c r="N33" s="35">
        <f t="shared" si="2"/>
        <v>81127319.189999998</v>
      </c>
      <c r="O33" s="35">
        <f t="shared" si="2"/>
        <v>74698338.060000002</v>
      </c>
      <c r="P33" s="35">
        <f t="shared" si="2"/>
        <v>41924066.920000002</v>
      </c>
      <c r="Q33" s="35">
        <f t="shared" si="2"/>
        <v>0</v>
      </c>
      <c r="R33" s="35">
        <f t="shared" si="2"/>
        <v>0</v>
      </c>
      <c r="S33" s="35">
        <f t="shared" si="2"/>
        <v>0</v>
      </c>
      <c r="T33" s="35">
        <f t="shared" si="2"/>
        <v>0</v>
      </c>
      <c r="U33" s="35">
        <f t="shared" si="2"/>
        <v>0</v>
      </c>
      <c r="V33" s="35">
        <f t="shared" si="2"/>
        <v>0</v>
      </c>
      <c r="W33" s="35">
        <f t="shared" si="2"/>
        <v>0</v>
      </c>
      <c r="X33" s="35">
        <f t="shared" si="2"/>
        <v>0</v>
      </c>
      <c r="Y33" s="35">
        <f t="shared" si="2"/>
        <v>0</v>
      </c>
      <c r="Z33" s="35">
        <f t="shared" si="2"/>
        <v>0</v>
      </c>
      <c r="AA33" s="35">
        <f t="shared" si="2"/>
        <v>0</v>
      </c>
      <c r="AB33" s="35">
        <f t="shared" si="2"/>
        <v>0</v>
      </c>
      <c r="AC33" s="35">
        <f t="shared" si="2"/>
        <v>0</v>
      </c>
      <c r="AD33" s="35">
        <f t="shared" si="2"/>
        <v>0</v>
      </c>
      <c r="AE33" s="35">
        <f t="shared" si="2"/>
        <v>0</v>
      </c>
      <c r="AF33" s="35">
        <f t="shared" si="2"/>
        <v>0</v>
      </c>
      <c r="AG33" s="35">
        <f t="shared" si="2"/>
        <v>0</v>
      </c>
      <c r="AH33" s="35">
        <f t="shared" si="2"/>
        <v>0</v>
      </c>
      <c r="AI33" s="35">
        <f t="shared" si="2"/>
        <v>0</v>
      </c>
      <c r="AJ33" s="35">
        <f t="shared" si="2"/>
        <v>0</v>
      </c>
      <c r="AK33" s="35">
        <f t="shared" si="2"/>
        <v>0</v>
      </c>
      <c r="AL33" s="35">
        <f t="shared" si="2"/>
        <v>0</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c r="A34" s="126" t="s">
        <v>82</v>
      </c>
      <c r="B34" s="34"/>
      <c r="C34" s="34"/>
      <c r="D34" s="34"/>
      <c r="E34" s="34"/>
      <c r="F34" s="34"/>
      <c r="G34" s="34"/>
      <c r="H34" s="34"/>
      <c r="I34" s="34"/>
      <c r="J34" s="34"/>
      <c r="K34" s="34"/>
      <c r="L34" s="32"/>
      <c r="M34" s="14"/>
      <c r="N34" s="14"/>
    </row>
    <row r="35" spans="1:90">
      <c r="A35" s="17" t="s">
        <v>21</v>
      </c>
      <c r="B35" s="40">
        <v>0</v>
      </c>
      <c r="C35" s="40">
        <v>27606322.940000001</v>
      </c>
      <c r="D35" s="40">
        <v>1657585</v>
      </c>
      <c r="E35" s="40">
        <v>10731381</v>
      </c>
      <c r="F35" s="40">
        <v>10859606</v>
      </c>
      <c r="G35" s="40">
        <v>4876914</v>
      </c>
      <c r="H35" s="40">
        <v>10156210</v>
      </c>
      <c r="I35" s="40">
        <v>8904368</v>
      </c>
      <c r="J35" s="40">
        <v>7598512</v>
      </c>
      <c r="K35" s="40">
        <v>6281712</v>
      </c>
      <c r="L35" s="40">
        <v>18413410</v>
      </c>
      <c r="M35" s="40">
        <v>6779477</v>
      </c>
      <c r="N35" s="40">
        <v>5000000</v>
      </c>
      <c r="O35" s="40">
        <v>0</v>
      </c>
      <c r="P35" s="40">
        <v>0</v>
      </c>
      <c r="Q35" s="40">
        <v>0</v>
      </c>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0"/>
      <c r="BL35" s="40"/>
      <c r="BM35" s="40"/>
      <c r="BN35" s="40"/>
      <c r="BO35" s="40"/>
      <c r="BP35" s="40"/>
      <c r="BQ35" s="40"/>
      <c r="BR35" s="40"/>
      <c r="BS35" s="40"/>
      <c r="BT35" s="40"/>
      <c r="BU35" s="40"/>
      <c r="BV35" s="40"/>
      <c r="BW35" s="40"/>
      <c r="BX35" s="40"/>
      <c r="BY35" s="40"/>
      <c r="BZ35" s="40"/>
      <c r="CA35" s="40"/>
      <c r="CB35" s="40"/>
      <c r="CC35" s="40"/>
      <c r="CD35" s="40"/>
      <c r="CE35" s="40"/>
      <c r="CF35" s="40"/>
      <c r="CG35" s="40"/>
      <c r="CH35" s="40"/>
      <c r="CI35" s="40"/>
      <c r="CJ35" s="40"/>
      <c r="CK35" s="40"/>
      <c r="CL35" s="40"/>
    </row>
    <row r="36" spans="1:90">
      <c r="A36" s="17" t="s">
        <v>22</v>
      </c>
      <c r="B36" s="40">
        <v>0</v>
      </c>
      <c r="C36" s="40">
        <v>60670015.100000001</v>
      </c>
      <c r="D36" s="40">
        <v>53526625.640000001</v>
      </c>
      <c r="E36" s="40">
        <v>34480612.740000002</v>
      </c>
      <c r="F36" s="40">
        <v>31244342.210000001</v>
      </c>
      <c r="G36" s="40">
        <v>36702178.409999996</v>
      </c>
      <c r="H36" s="40">
        <v>25804220.920000002</v>
      </c>
      <c r="I36" s="40">
        <v>32639056.649999999</v>
      </c>
      <c r="J36" s="40">
        <v>25355986.530000001</v>
      </c>
      <c r="K36" s="40">
        <v>28382335.25</v>
      </c>
      <c r="L36" s="40">
        <v>22392950.32</v>
      </c>
      <c r="M36" s="40">
        <v>9050556.1799999997</v>
      </c>
      <c r="N36" s="40">
        <v>8115608.7800000003</v>
      </c>
      <c r="O36" s="40">
        <v>16330089.189999999</v>
      </c>
      <c r="P36" s="40">
        <v>6669783.6900000004</v>
      </c>
      <c r="Q36" s="40">
        <v>0</v>
      </c>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40"/>
      <c r="AT36" s="40"/>
      <c r="AU36" s="40"/>
      <c r="AV36" s="40"/>
      <c r="AW36" s="40"/>
      <c r="AX36" s="40"/>
      <c r="AY36" s="40"/>
      <c r="AZ36" s="40"/>
      <c r="BA36" s="40"/>
      <c r="BB36" s="40"/>
      <c r="BC36" s="40"/>
      <c r="BD36" s="40"/>
      <c r="BE36" s="40"/>
      <c r="BF36" s="40"/>
      <c r="BG36" s="40"/>
      <c r="BH36" s="40"/>
      <c r="BI36" s="40"/>
      <c r="BJ36" s="40"/>
      <c r="BK36" s="40"/>
      <c r="BL36" s="40"/>
      <c r="BM36" s="40"/>
      <c r="BN36" s="40"/>
      <c r="BO36" s="40"/>
      <c r="BP36" s="40"/>
      <c r="BQ36" s="40"/>
      <c r="BR36" s="40"/>
      <c r="BS36" s="40"/>
      <c r="BT36" s="40"/>
      <c r="BU36" s="40"/>
      <c r="BV36" s="40"/>
      <c r="BW36" s="40"/>
      <c r="BX36" s="40"/>
      <c r="BY36" s="40"/>
      <c r="BZ36" s="40"/>
      <c r="CA36" s="40"/>
      <c r="CB36" s="40"/>
      <c r="CC36" s="40"/>
      <c r="CD36" s="40"/>
      <c r="CE36" s="40"/>
      <c r="CF36" s="40"/>
      <c r="CG36" s="40"/>
      <c r="CH36" s="40"/>
      <c r="CI36" s="40"/>
      <c r="CJ36" s="40"/>
      <c r="CK36" s="40"/>
      <c r="CL36" s="40"/>
    </row>
    <row r="37" spans="1:90">
      <c r="A37" s="17" t="s">
        <v>23</v>
      </c>
      <c r="B37" s="40">
        <v>4763080.59</v>
      </c>
      <c r="C37" s="40">
        <v>1663688.5</v>
      </c>
      <c r="D37" s="40">
        <v>1955698.34</v>
      </c>
      <c r="E37" s="40">
        <v>1546026.34</v>
      </c>
      <c r="F37" s="40">
        <v>3651324.2</v>
      </c>
      <c r="G37" s="40">
        <v>639518</v>
      </c>
      <c r="H37" s="40">
        <v>1153270</v>
      </c>
      <c r="I37" s="40">
        <v>3129848.5</v>
      </c>
      <c r="J37" s="40">
        <v>4544138.0999999996</v>
      </c>
      <c r="K37" s="40">
        <v>3172048.06</v>
      </c>
      <c r="L37" s="40">
        <v>1985036</v>
      </c>
      <c r="M37" s="40">
        <v>2494294</v>
      </c>
      <c r="N37" s="40">
        <v>5926220</v>
      </c>
      <c r="O37" s="40">
        <v>26450722</v>
      </c>
      <c r="P37" s="40">
        <v>1544263</v>
      </c>
      <c r="Q37" s="40">
        <v>0</v>
      </c>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c r="AZ37" s="40"/>
      <c r="BA37" s="40"/>
      <c r="BB37" s="40"/>
      <c r="BC37" s="40"/>
      <c r="BD37" s="40"/>
      <c r="BE37" s="40"/>
      <c r="BF37" s="40"/>
      <c r="BG37" s="40"/>
      <c r="BH37" s="40"/>
      <c r="BI37" s="40"/>
      <c r="BJ37" s="40"/>
      <c r="BK37" s="40"/>
      <c r="BL37" s="40"/>
      <c r="BM37" s="40"/>
      <c r="BN37" s="40"/>
      <c r="BO37" s="40"/>
      <c r="BP37" s="40"/>
      <c r="BQ37" s="40"/>
      <c r="BR37" s="40"/>
      <c r="BS37" s="40"/>
      <c r="BT37" s="40"/>
      <c r="BU37" s="40"/>
      <c r="BV37" s="40"/>
      <c r="BW37" s="40"/>
      <c r="BX37" s="40"/>
      <c r="BY37" s="40"/>
      <c r="BZ37" s="40"/>
      <c r="CA37" s="40"/>
      <c r="CB37" s="40"/>
      <c r="CC37" s="40"/>
      <c r="CD37" s="40"/>
      <c r="CE37" s="40"/>
      <c r="CF37" s="40"/>
      <c r="CG37" s="40"/>
      <c r="CH37" s="40"/>
      <c r="CI37" s="40"/>
      <c r="CJ37" s="40"/>
      <c r="CK37" s="40"/>
      <c r="CL37" s="40"/>
    </row>
    <row r="38" spans="1:90">
      <c r="A38" s="17" t="s">
        <v>24</v>
      </c>
      <c r="B38" s="40">
        <v>0</v>
      </c>
      <c r="C38" s="40">
        <v>0</v>
      </c>
      <c r="D38" s="40">
        <v>0</v>
      </c>
      <c r="E38" s="40">
        <v>0</v>
      </c>
      <c r="F38" s="40">
        <v>0</v>
      </c>
      <c r="G38" s="40">
        <v>0</v>
      </c>
      <c r="H38" s="40">
        <v>0</v>
      </c>
      <c r="I38" s="40">
        <v>0</v>
      </c>
      <c r="J38" s="40">
        <v>0</v>
      </c>
      <c r="K38" s="40">
        <v>0</v>
      </c>
      <c r="L38" s="40">
        <v>0</v>
      </c>
      <c r="M38" s="40">
        <v>0</v>
      </c>
      <c r="N38" s="40">
        <v>0</v>
      </c>
      <c r="O38" s="40">
        <v>0</v>
      </c>
      <c r="P38" s="40">
        <v>0</v>
      </c>
      <c r="Q38" s="40">
        <v>0</v>
      </c>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row>
    <row r="39" spans="1:90">
      <c r="A39" s="17" t="s">
        <v>25</v>
      </c>
      <c r="B39" s="40">
        <v>10406747.439999999</v>
      </c>
      <c r="C39" s="40">
        <v>8936449.8699999992</v>
      </c>
      <c r="D39" s="40">
        <v>8422392.9399999995</v>
      </c>
      <c r="E39" s="40">
        <v>13700684.539999999</v>
      </c>
      <c r="F39" s="40">
        <v>7863358.4199999999</v>
      </c>
      <c r="G39" s="40">
        <v>6830528.7400000002</v>
      </c>
      <c r="H39" s="40">
        <v>5792345.2000000002</v>
      </c>
      <c r="I39" s="40">
        <v>9746195.0700000003</v>
      </c>
      <c r="J39" s="40">
        <v>6079876.3399999999</v>
      </c>
      <c r="K39" s="40">
        <v>5479373.6900000004</v>
      </c>
      <c r="L39" s="40">
        <v>10093271.199999999</v>
      </c>
      <c r="M39" s="40">
        <v>12041563.16</v>
      </c>
      <c r="N39" s="40">
        <v>10348318.779999999</v>
      </c>
      <c r="O39" s="40">
        <v>10947937.26</v>
      </c>
      <c r="P39" s="40">
        <v>1612911.41</v>
      </c>
      <c r="Q39" s="40">
        <v>0</v>
      </c>
      <c r="R39" s="40"/>
      <c r="S39" s="40"/>
      <c r="T39" s="40"/>
      <c r="U39" s="40"/>
      <c r="V39" s="40"/>
      <c r="W39" s="40"/>
      <c r="X39" s="40"/>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row>
    <row r="40" spans="1:90">
      <c r="A40" s="17" t="s">
        <v>26</v>
      </c>
      <c r="B40" s="40">
        <v>9786820.7699999996</v>
      </c>
      <c r="C40" s="40">
        <v>10821412.98</v>
      </c>
      <c r="D40" s="40">
        <v>4939060.4800000004</v>
      </c>
      <c r="E40" s="40">
        <v>14585935.529999999</v>
      </c>
      <c r="F40" s="40">
        <v>8303490.3799999999</v>
      </c>
      <c r="G40" s="40">
        <v>6866764.6799999997</v>
      </c>
      <c r="H40" s="40">
        <v>1561424.79</v>
      </c>
      <c r="I40" s="40">
        <v>7558472.1100000003</v>
      </c>
      <c r="J40" s="40">
        <v>1927857.41</v>
      </c>
      <c r="K40" s="40">
        <v>4023566.92</v>
      </c>
      <c r="L40" s="40">
        <v>4895912.5199999996</v>
      </c>
      <c r="M40" s="40">
        <v>4913619.33</v>
      </c>
      <c r="N40" s="40">
        <v>1778218.99</v>
      </c>
      <c r="O40" s="40">
        <v>-3252468.11</v>
      </c>
      <c r="P40" s="40">
        <v>2228496.37</v>
      </c>
      <c r="Q40" s="40">
        <v>0</v>
      </c>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c r="BW40" s="40"/>
      <c r="BX40" s="40"/>
      <c r="BY40" s="40"/>
      <c r="BZ40" s="40"/>
      <c r="CA40" s="40"/>
      <c r="CB40" s="40"/>
      <c r="CC40" s="40"/>
      <c r="CD40" s="40"/>
      <c r="CE40" s="40"/>
      <c r="CF40" s="40"/>
      <c r="CG40" s="40"/>
      <c r="CH40" s="40"/>
      <c r="CI40" s="40"/>
      <c r="CJ40" s="40"/>
      <c r="CK40" s="40"/>
      <c r="CL40" s="40"/>
    </row>
    <row r="41" spans="1:90">
      <c r="A41" s="17" t="s">
        <v>27</v>
      </c>
      <c r="B41" s="40">
        <v>44290517.869999997</v>
      </c>
      <c r="C41" s="40">
        <v>33952160.219999999</v>
      </c>
      <c r="D41" s="40">
        <v>33789406.420000002</v>
      </c>
      <c r="E41" s="40">
        <v>456766.7</v>
      </c>
      <c r="F41" s="40">
        <v>1805199.81</v>
      </c>
      <c r="G41" s="40">
        <v>876844.55</v>
      </c>
      <c r="H41" s="40">
        <v>487325.35</v>
      </c>
      <c r="I41" s="40">
        <v>310850.08</v>
      </c>
      <c r="J41" s="40">
        <v>300516.15999999997</v>
      </c>
      <c r="K41" s="40">
        <v>543158.02</v>
      </c>
      <c r="L41" s="40">
        <v>5000</v>
      </c>
      <c r="M41" s="40">
        <v>0</v>
      </c>
      <c r="N41" s="40">
        <v>6231</v>
      </c>
      <c r="O41" s="40">
        <v>891.26</v>
      </c>
      <c r="P41" s="40">
        <v>2384209.27</v>
      </c>
      <c r="Q41" s="40">
        <v>0</v>
      </c>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0"/>
      <c r="BL41" s="40"/>
      <c r="BM41" s="40"/>
      <c r="BN41" s="40"/>
      <c r="BO41" s="40"/>
      <c r="BP41" s="40"/>
      <c r="BQ41" s="40"/>
      <c r="BR41" s="40"/>
      <c r="BS41" s="40"/>
      <c r="BT41" s="40"/>
      <c r="BU41" s="40"/>
      <c r="BV41" s="40"/>
      <c r="BW41" s="40"/>
      <c r="BX41" s="40"/>
      <c r="BY41" s="40"/>
      <c r="BZ41" s="40"/>
      <c r="CA41" s="40"/>
      <c r="CB41" s="40"/>
      <c r="CC41" s="40"/>
      <c r="CD41" s="40"/>
      <c r="CE41" s="40"/>
      <c r="CF41" s="40"/>
      <c r="CG41" s="40"/>
      <c r="CH41" s="40"/>
      <c r="CI41" s="40"/>
      <c r="CJ41" s="40"/>
      <c r="CK41" s="40"/>
      <c r="CL41" s="40"/>
    </row>
    <row r="42" spans="1:90" s="39" customFormat="1">
      <c r="A42" s="128" t="s">
        <v>28</v>
      </c>
      <c r="B42" s="40">
        <v>0</v>
      </c>
      <c r="C42" s="40">
        <v>0</v>
      </c>
      <c r="D42" s="40">
        <v>0</v>
      </c>
      <c r="E42" s="40">
        <v>0</v>
      </c>
      <c r="F42" s="40">
        <v>0</v>
      </c>
      <c r="G42" s="40">
        <v>0</v>
      </c>
      <c r="H42" s="40">
        <v>0</v>
      </c>
      <c r="I42" s="40">
        <v>0</v>
      </c>
      <c r="J42" s="40">
        <v>0</v>
      </c>
      <c r="K42" s="40">
        <v>0</v>
      </c>
      <c r="L42" s="40">
        <v>0</v>
      </c>
      <c r="M42" s="40">
        <v>0</v>
      </c>
      <c r="N42" s="40">
        <v>0</v>
      </c>
      <c r="O42" s="40">
        <v>0</v>
      </c>
      <c r="P42" s="40">
        <v>0</v>
      </c>
      <c r="Q42" s="40">
        <v>0</v>
      </c>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BG42" s="40"/>
      <c r="BH42" s="40"/>
      <c r="BI42" s="40"/>
      <c r="BJ42" s="40"/>
      <c r="BK42" s="40"/>
      <c r="BL42" s="40"/>
      <c r="BM42" s="40"/>
      <c r="BN42" s="40"/>
      <c r="BO42" s="40"/>
      <c r="BP42" s="40"/>
      <c r="BQ42" s="40"/>
      <c r="BR42" s="40"/>
      <c r="BS42" s="40"/>
      <c r="BT42" s="40"/>
      <c r="BU42" s="40"/>
      <c r="BV42" s="40"/>
      <c r="BW42" s="40"/>
      <c r="BX42" s="40"/>
      <c r="BY42" s="40"/>
      <c r="BZ42" s="40"/>
      <c r="CA42" s="40"/>
      <c r="CB42" s="40"/>
      <c r="CC42" s="40"/>
      <c r="CD42" s="40"/>
      <c r="CE42" s="40"/>
      <c r="CF42" s="40"/>
      <c r="CG42" s="40"/>
      <c r="CH42" s="40"/>
      <c r="CI42" s="40"/>
      <c r="CJ42" s="40"/>
      <c r="CK42" s="40"/>
      <c r="CL42" s="40"/>
    </row>
    <row r="43" spans="1:90">
      <c r="A43" s="17" t="s">
        <v>29</v>
      </c>
      <c r="B43" s="40">
        <v>0</v>
      </c>
      <c r="C43" s="40">
        <v>0</v>
      </c>
      <c r="D43" s="40">
        <v>0</v>
      </c>
      <c r="E43" s="40">
        <v>0</v>
      </c>
      <c r="F43" s="40">
        <v>0</v>
      </c>
      <c r="G43" s="40">
        <v>0</v>
      </c>
      <c r="H43" s="40">
        <v>0</v>
      </c>
      <c r="I43" s="40">
        <v>0</v>
      </c>
      <c r="J43" s="40">
        <v>0</v>
      </c>
      <c r="K43" s="40">
        <v>0</v>
      </c>
      <c r="L43" s="40">
        <v>0</v>
      </c>
      <c r="M43" s="40">
        <v>0</v>
      </c>
      <c r="N43" s="40">
        <v>0</v>
      </c>
      <c r="O43" s="40">
        <v>0</v>
      </c>
      <c r="P43" s="40">
        <v>0</v>
      </c>
      <c r="Q43" s="40">
        <v>0</v>
      </c>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row>
    <row r="44" spans="1:90">
      <c r="A44" s="17" t="s">
        <v>30</v>
      </c>
      <c r="B44" s="40">
        <v>0</v>
      </c>
      <c r="C44" s="40">
        <v>0</v>
      </c>
      <c r="D44" s="40">
        <v>0</v>
      </c>
      <c r="E44" s="40">
        <v>0</v>
      </c>
      <c r="F44" s="40">
        <v>0</v>
      </c>
      <c r="G44" s="40">
        <v>0</v>
      </c>
      <c r="H44" s="40">
        <v>0</v>
      </c>
      <c r="I44" s="40">
        <v>0</v>
      </c>
      <c r="J44" s="40">
        <v>0</v>
      </c>
      <c r="K44" s="40">
        <v>0</v>
      </c>
      <c r="L44" s="40">
        <v>0</v>
      </c>
      <c r="M44" s="40">
        <v>0</v>
      </c>
      <c r="N44" s="40">
        <v>0</v>
      </c>
      <c r="O44" s="40">
        <v>0</v>
      </c>
      <c r="P44" s="40">
        <v>0</v>
      </c>
      <c r="Q44" s="40">
        <v>0</v>
      </c>
      <c r="R44" s="40"/>
      <c r="S44" s="40"/>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row>
    <row r="45" spans="1:90">
      <c r="A45" s="17" t="s">
        <v>31</v>
      </c>
      <c r="B45" s="40">
        <v>0</v>
      </c>
      <c r="C45" s="40">
        <v>0</v>
      </c>
      <c r="D45" s="40">
        <v>0</v>
      </c>
      <c r="E45" s="40">
        <v>0</v>
      </c>
      <c r="F45" s="40">
        <v>0</v>
      </c>
      <c r="G45" s="40">
        <v>0</v>
      </c>
      <c r="H45" s="40">
        <v>0</v>
      </c>
      <c r="I45" s="40">
        <v>0</v>
      </c>
      <c r="J45" s="40">
        <v>0</v>
      </c>
      <c r="K45" s="40">
        <v>0</v>
      </c>
      <c r="L45" s="40">
        <v>0</v>
      </c>
      <c r="M45" s="40">
        <v>0</v>
      </c>
      <c r="N45" s="40">
        <v>0</v>
      </c>
      <c r="O45" s="40">
        <v>0</v>
      </c>
      <c r="P45" s="40">
        <v>0</v>
      </c>
      <c r="Q45" s="40">
        <v>0</v>
      </c>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c r="CL45" s="40"/>
    </row>
    <row r="46" spans="1:90" hidden="1">
      <c r="B46" s="26"/>
      <c r="C46" s="26"/>
      <c r="D46" s="26"/>
      <c r="E46" s="26"/>
      <c r="F46" s="26"/>
      <c r="G46" s="26"/>
      <c r="H46" s="26"/>
      <c r="I46" s="26"/>
      <c r="J46" s="26"/>
      <c r="K46" s="26"/>
      <c r="L46" s="23"/>
    </row>
    <row r="47" spans="1:90" hidden="1">
      <c r="B47" s="26"/>
      <c r="C47" s="26"/>
      <c r="D47" s="26"/>
      <c r="E47" s="26"/>
      <c r="F47" s="26"/>
      <c r="G47" s="26"/>
      <c r="H47" s="26"/>
      <c r="I47" s="26"/>
      <c r="J47" s="26"/>
      <c r="K47" s="26"/>
      <c r="L47" s="23"/>
    </row>
    <row r="48" spans="1:90" hidden="1">
      <c r="B48" s="26"/>
      <c r="C48" s="26"/>
      <c r="D48" s="26"/>
      <c r="E48" s="26"/>
      <c r="F48" s="26"/>
      <c r="G48" s="26"/>
      <c r="H48" s="26"/>
      <c r="I48" s="26"/>
      <c r="J48" s="26"/>
      <c r="K48" s="26"/>
      <c r="L48" s="23"/>
    </row>
    <row r="49" spans="1:90" s="10" customFormat="1">
      <c r="A49" s="127" t="s">
        <v>32</v>
      </c>
      <c r="B49" s="35">
        <f>SUM(B35:B41)+SUM(B43:B45)</f>
        <v>69247166.669999987</v>
      </c>
      <c r="C49" s="35">
        <f>SUM(C35:C41)+SUM(C43:C45)</f>
        <v>143650049.61000001</v>
      </c>
      <c r="D49" s="35">
        <f>SUM(D35:D41)+SUM(D43:D45)</f>
        <v>104290768.82000001</v>
      </c>
      <c r="E49" s="35">
        <f>SUM(E35:E45)</f>
        <v>75501406.850000009</v>
      </c>
      <c r="F49" s="35">
        <f t="shared" ref="F49:BQ49" si="4">SUM(F35:F45)</f>
        <v>63727321.020000011</v>
      </c>
      <c r="G49" s="35">
        <f t="shared" si="4"/>
        <v>56792748.379999995</v>
      </c>
      <c r="H49" s="35">
        <f t="shared" si="4"/>
        <v>44954796.260000005</v>
      </c>
      <c r="I49" s="35">
        <f t="shared" si="4"/>
        <v>62288790.409999996</v>
      </c>
      <c r="J49" s="35">
        <f t="shared" si="4"/>
        <v>45806886.539999992</v>
      </c>
      <c r="K49" s="35">
        <f t="shared" si="4"/>
        <v>47882193.940000005</v>
      </c>
      <c r="L49" s="35">
        <f t="shared" si="4"/>
        <v>57785580.039999992</v>
      </c>
      <c r="M49" s="35">
        <f t="shared" si="4"/>
        <v>35279509.670000002</v>
      </c>
      <c r="N49" s="35">
        <f t="shared" si="4"/>
        <v>31174597.550000001</v>
      </c>
      <c r="O49" s="35">
        <f t="shared" si="4"/>
        <v>50477171.599999994</v>
      </c>
      <c r="P49" s="35">
        <f t="shared" si="4"/>
        <v>14439663.739999998</v>
      </c>
      <c r="Q49" s="35">
        <f t="shared" si="4"/>
        <v>0</v>
      </c>
      <c r="R49" s="35">
        <f t="shared" si="4"/>
        <v>0</v>
      </c>
      <c r="S49" s="35">
        <f t="shared" si="4"/>
        <v>0</v>
      </c>
      <c r="T49" s="35">
        <f t="shared" si="4"/>
        <v>0</v>
      </c>
      <c r="U49" s="35">
        <f t="shared" si="4"/>
        <v>0</v>
      </c>
      <c r="V49" s="35">
        <f t="shared" si="4"/>
        <v>0</v>
      </c>
      <c r="W49" s="35">
        <f t="shared" si="4"/>
        <v>0</v>
      </c>
      <c r="X49" s="35">
        <f t="shared" si="4"/>
        <v>0</v>
      </c>
      <c r="Y49" s="35">
        <f t="shared" si="4"/>
        <v>0</v>
      </c>
      <c r="Z49" s="35">
        <f t="shared" si="4"/>
        <v>0</v>
      </c>
      <c r="AA49" s="35">
        <f t="shared" si="4"/>
        <v>0</v>
      </c>
      <c r="AB49" s="35">
        <f t="shared" si="4"/>
        <v>0</v>
      </c>
      <c r="AC49" s="35">
        <f t="shared" si="4"/>
        <v>0</v>
      </c>
      <c r="AD49" s="35">
        <f t="shared" si="4"/>
        <v>0</v>
      </c>
      <c r="AE49" s="35">
        <f t="shared" si="4"/>
        <v>0</v>
      </c>
      <c r="AF49" s="35">
        <f t="shared" si="4"/>
        <v>0</v>
      </c>
      <c r="AG49" s="35">
        <f t="shared" si="4"/>
        <v>0</v>
      </c>
      <c r="AH49" s="35">
        <f t="shared" si="4"/>
        <v>0</v>
      </c>
      <c r="AI49" s="35">
        <f t="shared" si="4"/>
        <v>0</v>
      </c>
      <c r="AJ49" s="35">
        <f t="shared" si="4"/>
        <v>0</v>
      </c>
      <c r="AK49" s="35">
        <f t="shared" si="4"/>
        <v>0</v>
      </c>
      <c r="AL49" s="35">
        <f t="shared" si="4"/>
        <v>0</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c r="A50" s="129" t="s">
        <v>81</v>
      </c>
      <c r="B50" s="36">
        <f>B33-B49</f>
        <v>188191325.38</v>
      </c>
      <c r="C50" s="36">
        <f t="shared" ref="C50:BN50" si="6">C33-C49</f>
        <v>79028638.359999955</v>
      </c>
      <c r="D50" s="36">
        <f t="shared" si="6"/>
        <v>52767457.549999997</v>
      </c>
      <c r="E50" s="36">
        <f t="shared" si="6"/>
        <v>33893357.269999981</v>
      </c>
      <c r="F50" s="36">
        <f t="shared" si="6"/>
        <v>358649879.79999995</v>
      </c>
      <c r="G50" s="36">
        <f t="shared" si="6"/>
        <v>407926947.43000001</v>
      </c>
      <c r="H50" s="36">
        <f t="shared" si="6"/>
        <v>375783858.84000003</v>
      </c>
      <c r="I50" s="36">
        <f t="shared" si="6"/>
        <v>347074413.43000007</v>
      </c>
      <c r="J50" s="36">
        <f t="shared" si="6"/>
        <v>87577078.320000023</v>
      </c>
      <c r="K50" s="36">
        <f t="shared" si="6"/>
        <v>83471294.189999998</v>
      </c>
      <c r="L50" s="36">
        <f t="shared" si="6"/>
        <v>48258446.470000014</v>
      </c>
      <c r="M50" s="36">
        <f t="shared" si="6"/>
        <v>59500874.920000002</v>
      </c>
      <c r="N50" s="36">
        <f t="shared" si="6"/>
        <v>49952721.640000001</v>
      </c>
      <c r="O50" s="36">
        <f t="shared" si="6"/>
        <v>24221166.460000008</v>
      </c>
      <c r="P50" s="36">
        <f t="shared" si="6"/>
        <v>27484403.180000003</v>
      </c>
      <c r="Q50" s="36">
        <f t="shared" si="6"/>
        <v>0</v>
      </c>
      <c r="R50" s="36">
        <f t="shared" si="6"/>
        <v>0</v>
      </c>
      <c r="S50" s="36">
        <f t="shared" si="6"/>
        <v>0</v>
      </c>
      <c r="T50" s="36">
        <f t="shared" si="6"/>
        <v>0</v>
      </c>
      <c r="U50" s="36">
        <f t="shared" si="6"/>
        <v>0</v>
      </c>
      <c r="V50" s="36">
        <f t="shared" si="6"/>
        <v>0</v>
      </c>
      <c r="W50" s="36">
        <f t="shared" si="6"/>
        <v>0</v>
      </c>
      <c r="X50" s="36">
        <f t="shared" si="6"/>
        <v>0</v>
      </c>
      <c r="Y50" s="36">
        <f t="shared" si="6"/>
        <v>0</v>
      </c>
      <c r="Z50" s="36">
        <f t="shared" si="6"/>
        <v>0</v>
      </c>
      <c r="AA50" s="36">
        <f t="shared" si="6"/>
        <v>0</v>
      </c>
      <c r="AB50" s="36">
        <f t="shared" si="6"/>
        <v>0</v>
      </c>
      <c r="AC50" s="36">
        <f t="shared" si="6"/>
        <v>0</v>
      </c>
      <c r="AD50" s="36">
        <f t="shared" si="6"/>
        <v>0</v>
      </c>
      <c r="AE50" s="36">
        <f t="shared" si="6"/>
        <v>0</v>
      </c>
      <c r="AF50" s="36">
        <f t="shared" si="6"/>
        <v>0</v>
      </c>
      <c r="AG50" s="36">
        <f t="shared" si="6"/>
        <v>0</v>
      </c>
      <c r="AH50" s="36">
        <f t="shared" si="6"/>
        <v>0</v>
      </c>
      <c r="AI50" s="36">
        <f t="shared" si="6"/>
        <v>0</v>
      </c>
      <c r="AJ50" s="36">
        <f t="shared" si="6"/>
        <v>0</v>
      </c>
      <c r="AK50" s="36">
        <f t="shared" si="6"/>
        <v>0</v>
      </c>
      <c r="AL50" s="36">
        <f t="shared" si="6"/>
        <v>0</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c r="A51" s="17" t="s">
        <v>33</v>
      </c>
      <c r="B51" s="26"/>
      <c r="C51" s="26"/>
      <c r="D51" s="26"/>
      <c r="E51" s="26"/>
      <c r="F51" s="26"/>
      <c r="G51" s="26"/>
      <c r="H51" s="26"/>
      <c r="I51" s="26"/>
      <c r="J51" s="26"/>
      <c r="K51" s="26"/>
      <c r="L51" s="23"/>
      <c r="M51" s="13"/>
      <c r="N51" s="13"/>
    </row>
    <row r="52" spans="1:90">
      <c r="A52" s="17" t="s">
        <v>34</v>
      </c>
      <c r="B52" s="40">
        <v>86450004.219999999</v>
      </c>
      <c r="C52" s="40">
        <v>13980694.369999999</v>
      </c>
      <c r="D52" s="40">
        <v>14097881.1</v>
      </c>
      <c r="E52" s="40">
        <v>14353784.66</v>
      </c>
      <c r="F52" s="40">
        <v>11609021.5</v>
      </c>
      <c r="G52" s="40">
        <v>11534553.560000001</v>
      </c>
      <c r="H52" s="40">
        <v>11705890.439999999</v>
      </c>
      <c r="I52" s="40">
        <v>11984733.529999999</v>
      </c>
      <c r="J52" s="40">
        <v>12239249.52</v>
      </c>
      <c r="K52" s="40">
        <v>12616761.41</v>
      </c>
      <c r="L52" s="40">
        <v>13286209.310000001</v>
      </c>
      <c r="M52" s="40">
        <v>14880771</v>
      </c>
      <c r="N52" s="40">
        <v>15860142.1</v>
      </c>
      <c r="O52" s="40">
        <v>15402839.289999999</v>
      </c>
      <c r="P52" s="40">
        <v>677324.71</v>
      </c>
      <c r="Q52" s="40">
        <v>0</v>
      </c>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c r="AQ52" s="40"/>
      <c r="AR52" s="40"/>
      <c r="AS52" s="40"/>
      <c r="AT52" s="40"/>
      <c r="AU52" s="40"/>
      <c r="AV52" s="40"/>
      <c r="AW52" s="40"/>
      <c r="AX52" s="40"/>
      <c r="AY52" s="40"/>
      <c r="AZ52" s="40"/>
      <c r="BA52" s="40"/>
      <c r="BB52" s="40"/>
      <c r="BC52" s="40"/>
      <c r="BD52" s="40"/>
      <c r="BE52" s="40"/>
      <c r="BF52" s="40"/>
      <c r="BG52" s="40"/>
      <c r="BH52" s="40"/>
      <c r="BI52" s="40"/>
      <c r="BJ52" s="40"/>
      <c r="BK52" s="40"/>
      <c r="BL52" s="40"/>
      <c r="BM52" s="40"/>
      <c r="BN52" s="40"/>
      <c r="BO52" s="40"/>
      <c r="BP52" s="40"/>
      <c r="BQ52" s="40"/>
      <c r="BR52" s="40"/>
      <c r="BS52" s="40"/>
      <c r="BT52" s="40"/>
      <c r="BU52" s="40"/>
      <c r="BV52" s="40"/>
      <c r="BW52" s="40"/>
      <c r="BX52" s="40"/>
      <c r="BY52" s="40"/>
      <c r="BZ52" s="40"/>
      <c r="CA52" s="40"/>
      <c r="CB52" s="40"/>
      <c r="CC52" s="40"/>
      <c r="CD52" s="40"/>
      <c r="CE52" s="40"/>
      <c r="CF52" s="40"/>
      <c r="CG52" s="40"/>
      <c r="CH52" s="40"/>
      <c r="CI52" s="40"/>
      <c r="CJ52" s="40"/>
      <c r="CK52" s="40"/>
      <c r="CL52" s="40"/>
    </row>
    <row r="53" spans="1:90">
      <c r="A53" s="17" t="s">
        <v>35</v>
      </c>
      <c r="B53" s="40">
        <v>47117839.909999996</v>
      </c>
      <c r="C53" s="40">
        <v>112556712.69</v>
      </c>
      <c r="D53" s="40">
        <v>109746748.15000001</v>
      </c>
      <c r="E53" s="40">
        <v>97568192.680000007</v>
      </c>
      <c r="F53" s="40">
        <v>92627744.790000007</v>
      </c>
      <c r="G53" s="40">
        <v>92083473.989999995</v>
      </c>
      <c r="H53" s="40">
        <v>88049174.219999999</v>
      </c>
      <c r="I53" s="40">
        <v>87466865.629999995</v>
      </c>
      <c r="J53" s="40">
        <v>79183559.030000001</v>
      </c>
      <c r="K53" s="40">
        <v>74724642.560000002</v>
      </c>
      <c r="L53" s="40">
        <v>61562018.020000003</v>
      </c>
      <c r="M53" s="40">
        <v>3648597.38</v>
      </c>
      <c r="N53" s="40">
        <v>0</v>
      </c>
      <c r="O53" s="40">
        <v>0</v>
      </c>
      <c r="P53" s="40">
        <v>0</v>
      </c>
      <c r="Q53" s="40">
        <v>0</v>
      </c>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row>
    <row r="54" spans="1:90">
      <c r="A54" s="17" t="s">
        <v>36</v>
      </c>
      <c r="B54" s="40">
        <v>0</v>
      </c>
      <c r="C54" s="40">
        <v>0</v>
      </c>
      <c r="D54" s="40">
        <v>0</v>
      </c>
      <c r="E54" s="40">
        <v>0</v>
      </c>
      <c r="F54" s="40">
        <v>0</v>
      </c>
      <c r="G54" s="40">
        <v>0</v>
      </c>
      <c r="H54" s="40">
        <v>0</v>
      </c>
      <c r="I54" s="40">
        <v>0</v>
      </c>
      <c r="J54" s="40">
        <v>0</v>
      </c>
      <c r="K54" s="40">
        <v>0</v>
      </c>
      <c r="L54" s="40">
        <v>0</v>
      </c>
      <c r="M54" s="40">
        <v>0</v>
      </c>
      <c r="N54" s="40">
        <v>0</v>
      </c>
      <c r="O54" s="40">
        <v>0</v>
      </c>
      <c r="P54" s="40">
        <v>0</v>
      </c>
      <c r="Q54" s="40">
        <v>0</v>
      </c>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row>
    <row r="55" spans="1:90">
      <c r="A55" s="17" t="s">
        <v>37</v>
      </c>
      <c r="B55" s="40">
        <v>0</v>
      </c>
      <c r="C55" s="40">
        <v>0</v>
      </c>
      <c r="D55" s="40">
        <v>0</v>
      </c>
      <c r="E55" s="40">
        <v>0</v>
      </c>
      <c r="F55" s="40">
        <v>0</v>
      </c>
      <c r="G55" s="40">
        <v>0</v>
      </c>
      <c r="H55" s="40">
        <v>0</v>
      </c>
      <c r="I55" s="40">
        <v>0</v>
      </c>
      <c r="J55" s="40">
        <v>0</v>
      </c>
      <c r="K55" s="40">
        <v>0</v>
      </c>
      <c r="L55" s="40">
        <v>0</v>
      </c>
      <c r="M55" s="40">
        <v>0</v>
      </c>
      <c r="N55" s="40">
        <v>0</v>
      </c>
      <c r="O55" s="40">
        <v>0</v>
      </c>
      <c r="P55" s="40">
        <v>0</v>
      </c>
      <c r="Q55" s="40">
        <v>0</v>
      </c>
      <c r="R55" s="40"/>
      <c r="S55" s="40"/>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c r="AW55" s="40"/>
      <c r="AX55" s="40"/>
      <c r="AY55" s="40"/>
      <c r="AZ55" s="40"/>
      <c r="BA55" s="40"/>
      <c r="BB55" s="40"/>
      <c r="BC55" s="40"/>
      <c r="BD55" s="40"/>
      <c r="BE55" s="40"/>
      <c r="BF55" s="40"/>
      <c r="BG55" s="40"/>
      <c r="BH55" s="40"/>
      <c r="BI55" s="40"/>
      <c r="BJ55" s="40"/>
      <c r="BK55" s="40"/>
      <c r="BL55" s="40"/>
      <c r="BM55" s="40"/>
      <c r="BN55" s="40"/>
      <c r="BO55" s="40"/>
      <c r="BP55" s="40"/>
      <c r="BQ55" s="40"/>
      <c r="BR55" s="40"/>
      <c r="BS55" s="40"/>
      <c r="BT55" s="40"/>
      <c r="BU55" s="40"/>
      <c r="BV55" s="40"/>
      <c r="BW55" s="40"/>
      <c r="BX55" s="40"/>
      <c r="BY55" s="40"/>
      <c r="BZ55" s="40"/>
      <c r="CA55" s="40"/>
      <c r="CB55" s="40"/>
      <c r="CC55" s="40"/>
      <c r="CD55" s="40"/>
      <c r="CE55" s="40"/>
      <c r="CF55" s="40"/>
      <c r="CG55" s="40"/>
      <c r="CH55" s="40"/>
      <c r="CI55" s="40"/>
      <c r="CJ55" s="40"/>
      <c r="CK55" s="40"/>
      <c r="CL55" s="40"/>
    </row>
    <row r="56" spans="1:90">
      <c r="A56" s="17" t="s">
        <v>38</v>
      </c>
      <c r="B56" s="40">
        <v>0</v>
      </c>
      <c r="C56" s="40">
        <v>0</v>
      </c>
      <c r="D56" s="40">
        <v>0</v>
      </c>
      <c r="E56" s="40">
        <v>0</v>
      </c>
      <c r="F56" s="40">
        <v>0</v>
      </c>
      <c r="G56" s="40">
        <v>0</v>
      </c>
      <c r="H56" s="40">
        <v>0</v>
      </c>
      <c r="I56" s="40">
        <v>0</v>
      </c>
      <c r="J56" s="40">
        <v>0</v>
      </c>
      <c r="K56" s="40">
        <v>0</v>
      </c>
      <c r="L56" s="40">
        <v>0</v>
      </c>
      <c r="M56" s="40">
        <v>0</v>
      </c>
      <c r="N56" s="40">
        <v>0</v>
      </c>
      <c r="O56" s="40">
        <v>0</v>
      </c>
      <c r="P56" s="40">
        <v>0</v>
      </c>
      <c r="Q56" s="40">
        <v>0</v>
      </c>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J56" s="40"/>
      <c r="BK56" s="40"/>
      <c r="BL56" s="40"/>
      <c r="BM56" s="40"/>
      <c r="BN56" s="40"/>
      <c r="BO56" s="40"/>
      <c r="BP56" s="40"/>
      <c r="BQ56" s="40"/>
      <c r="BR56" s="40"/>
      <c r="BS56" s="40"/>
      <c r="BT56" s="40"/>
      <c r="BU56" s="40"/>
      <c r="BV56" s="40"/>
      <c r="BW56" s="40"/>
      <c r="BX56" s="40"/>
      <c r="BY56" s="40"/>
      <c r="BZ56" s="40"/>
      <c r="CA56" s="40"/>
      <c r="CB56" s="40"/>
      <c r="CC56" s="40"/>
      <c r="CD56" s="40"/>
      <c r="CE56" s="40"/>
      <c r="CF56" s="40"/>
      <c r="CG56" s="40"/>
      <c r="CH56" s="40"/>
      <c r="CI56" s="40"/>
      <c r="CJ56" s="40"/>
      <c r="CK56" s="40"/>
      <c r="CL56" s="40"/>
    </row>
    <row r="57" spans="1:90">
      <c r="A57" s="17" t="s">
        <v>39</v>
      </c>
      <c r="B57" s="40">
        <v>0</v>
      </c>
      <c r="C57" s="40">
        <v>0</v>
      </c>
      <c r="D57" s="40">
        <v>0</v>
      </c>
      <c r="E57" s="40">
        <v>0</v>
      </c>
      <c r="F57" s="40">
        <v>0</v>
      </c>
      <c r="G57" s="40">
        <v>0</v>
      </c>
      <c r="H57" s="40">
        <v>0</v>
      </c>
      <c r="I57" s="40">
        <v>0</v>
      </c>
      <c r="J57" s="40">
        <v>0</v>
      </c>
      <c r="K57" s="40">
        <v>0</v>
      </c>
      <c r="L57" s="40">
        <v>0</v>
      </c>
      <c r="M57" s="40">
        <v>0</v>
      </c>
      <c r="N57" s="40">
        <v>0</v>
      </c>
      <c r="O57" s="40">
        <v>0</v>
      </c>
      <c r="P57" s="40">
        <v>0</v>
      </c>
      <c r="Q57" s="40">
        <v>0</v>
      </c>
      <c r="R57" s="40"/>
      <c r="S57" s="40"/>
      <c r="T57" s="40"/>
      <c r="U57" s="40"/>
      <c r="V57" s="40"/>
      <c r="W57" s="40"/>
      <c r="X57" s="40"/>
      <c r="Y57" s="40"/>
      <c r="Z57" s="40"/>
      <c r="AA57" s="40"/>
      <c r="AB57" s="40"/>
      <c r="AC57" s="40"/>
      <c r="AD57" s="40"/>
      <c r="AE57" s="40"/>
      <c r="AF57" s="40"/>
      <c r="AG57" s="40"/>
      <c r="AH57" s="40"/>
      <c r="AI57" s="40"/>
      <c r="AJ57" s="40"/>
      <c r="AK57" s="40"/>
      <c r="AL57" s="40"/>
      <c r="AM57" s="40"/>
      <c r="AN57" s="40"/>
      <c r="AO57" s="40"/>
      <c r="AP57" s="40"/>
      <c r="AQ57" s="40"/>
      <c r="AR57" s="40"/>
      <c r="AS57" s="40"/>
      <c r="AT57" s="40"/>
      <c r="AU57" s="40"/>
      <c r="AV57" s="40"/>
      <c r="AW57" s="40"/>
      <c r="AX57" s="40"/>
      <c r="AY57" s="40"/>
      <c r="AZ57" s="40"/>
      <c r="BA57" s="40"/>
      <c r="BB57" s="40"/>
      <c r="BC57" s="40"/>
      <c r="BD57" s="40"/>
      <c r="BE57" s="40"/>
      <c r="BF57" s="40"/>
      <c r="BG57" s="40"/>
      <c r="BH57" s="40"/>
      <c r="BI57" s="40"/>
      <c r="BJ57" s="40"/>
      <c r="BK57" s="40"/>
      <c r="BL57" s="40"/>
      <c r="BM57" s="40"/>
      <c r="BN57" s="40"/>
      <c r="BO57" s="40"/>
      <c r="BP57" s="40"/>
      <c r="BQ57" s="40"/>
      <c r="BR57" s="40"/>
      <c r="BS57" s="40"/>
      <c r="BT57" s="40"/>
      <c r="BU57" s="40"/>
      <c r="BV57" s="40"/>
      <c r="BW57" s="40"/>
      <c r="BX57" s="40"/>
      <c r="BY57" s="40"/>
      <c r="BZ57" s="40"/>
      <c r="CA57" s="40"/>
      <c r="CB57" s="40"/>
      <c r="CC57" s="40"/>
      <c r="CD57" s="40"/>
      <c r="CE57" s="40"/>
      <c r="CF57" s="40"/>
      <c r="CG57" s="40"/>
      <c r="CH57" s="40"/>
      <c r="CI57" s="40"/>
      <c r="CJ57" s="40"/>
      <c r="CK57" s="40"/>
      <c r="CL57" s="40"/>
    </row>
    <row r="58" spans="1:90">
      <c r="A58" s="17" t="s">
        <v>40</v>
      </c>
      <c r="B58" s="40">
        <v>25069656.199999999</v>
      </c>
      <c r="C58" s="40">
        <v>26036436.359999999</v>
      </c>
      <c r="D58" s="40">
        <v>27003216.52</v>
      </c>
      <c r="E58" s="40">
        <v>27717310.609999999</v>
      </c>
      <c r="F58" s="40">
        <v>28671663.600000001</v>
      </c>
      <c r="G58" s="40">
        <v>20477017.260000002</v>
      </c>
      <c r="H58" s="40">
        <v>21046539.030000001</v>
      </c>
      <c r="I58" s="40">
        <v>21767187.800000001</v>
      </c>
      <c r="J58" s="40">
        <v>14564241.83</v>
      </c>
      <c r="K58" s="40">
        <v>14662126.970000001</v>
      </c>
      <c r="L58" s="40">
        <v>14766917.619999999</v>
      </c>
      <c r="M58" s="40">
        <v>15148795.539999999</v>
      </c>
      <c r="N58" s="40">
        <v>15450758.960000001</v>
      </c>
      <c r="O58" s="40">
        <v>107458.67</v>
      </c>
      <c r="P58" s="40">
        <v>83562.89</v>
      </c>
      <c r="Q58" s="40">
        <v>0</v>
      </c>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row>
    <row r="59" spans="1:90">
      <c r="A59" s="17" t="s">
        <v>41</v>
      </c>
      <c r="B59" s="40">
        <v>0</v>
      </c>
      <c r="C59" s="40">
        <v>0</v>
      </c>
      <c r="D59" s="40">
        <v>0</v>
      </c>
      <c r="E59" s="40">
        <v>0</v>
      </c>
      <c r="F59" s="40">
        <v>0</v>
      </c>
      <c r="G59" s="40">
        <v>0</v>
      </c>
      <c r="H59" s="40">
        <v>0</v>
      </c>
      <c r="I59" s="40">
        <v>0</v>
      </c>
      <c r="J59" s="40">
        <v>0</v>
      </c>
      <c r="K59" s="40">
        <v>0</v>
      </c>
      <c r="L59" s="40">
        <v>0</v>
      </c>
      <c r="M59" s="40">
        <v>0</v>
      </c>
      <c r="N59" s="40">
        <v>0</v>
      </c>
      <c r="O59" s="40">
        <v>0</v>
      </c>
      <c r="P59" s="40">
        <v>0</v>
      </c>
      <c r="Q59" s="40">
        <v>0</v>
      </c>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row>
    <row r="60" spans="1:90">
      <c r="A60" s="17" t="s">
        <v>42</v>
      </c>
      <c r="B60" s="40">
        <v>44500991.07</v>
      </c>
      <c r="C60" s="40">
        <v>44500991.07</v>
      </c>
      <c r="D60" s="40">
        <v>44500991.07</v>
      </c>
      <c r="E60" s="40">
        <v>44500991.07</v>
      </c>
      <c r="F60" s="40">
        <v>44855227.609999999</v>
      </c>
      <c r="G60" s="40">
        <v>0</v>
      </c>
      <c r="H60" s="40">
        <v>0</v>
      </c>
      <c r="I60" s="40">
        <v>0</v>
      </c>
      <c r="J60" s="40">
        <v>0</v>
      </c>
      <c r="K60" s="40">
        <v>0</v>
      </c>
      <c r="L60" s="40">
        <v>0</v>
      </c>
      <c r="M60" s="40">
        <v>0</v>
      </c>
      <c r="N60" s="40">
        <v>0</v>
      </c>
      <c r="O60" s="40">
        <v>0</v>
      </c>
      <c r="P60" s="40">
        <v>0</v>
      </c>
      <c r="Q60" s="40">
        <v>0</v>
      </c>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c r="AW60" s="40"/>
      <c r="AX60" s="40"/>
      <c r="AY60" s="40"/>
      <c r="AZ60" s="40"/>
      <c r="BA60" s="40"/>
      <c r="BB60" s="40"/>
      <c r="BC60" s="40"/>
      <c r="BD60" s="40"/>
      <c r="BE60" s="40"/>
      <c r="BF60" s="40"/>
      <c r="BG60" s="40"/>
      <c r="BH60" s="40"/>
      <c r="BI60" s="40"/>
      <c r="BJ60" s="40"/>
      <c r="BK60" s="40"/>
      <c r="BL60" s="40"/>
      <c r="BM60" s="40"/>
      <c r="BN60" s="40"/>
      <c r="BO60" s="40"/>
      <c r="BP60" s="40"/>
      <c r="BQ60" s="40"/>
      <c r="BR60" s="40"/>
      <c r="BS60" s="40"/>
      <c r="BT60" s="40"/>
      <c r="BU60" s="40"/>
      <c r="BV60" s="40"/>
      <c r="BW60" s="40"/>
      <c r="BX60" s="40"/>
      <c r="BY60" s="40"/>
      <c r="BZ60" s="40"/>
      <c r="CA60" s="40"/>
      <c r="CB60" s="40"/>
      <c r="CC60" s="40"/>
      <c r="CD60" s="40"/>
      <c r="CE60" s="40"/>
      <c r="CF60" s="40"/>
      <c r="CG60" s="40"/>
      <c r="CH60" s="40"/>
      <c r="CI60" s="40"/>
      <c r="CJ60" s="40"/>
      <c r="CK60" s="40"/>
      <c r="CL60" s="40"/>
    </row>
    <row r="61" spans="1:90">
      <c r="A61" s="17" t="s">
        <v>43</v>
      </c>
      <c r="B61" s="40">
        <v>0</v>
      </c>
      <c r="C61" s="40">
        <v>0</v>
      </c>
      <c r="D61" s="40">
        <v>0</v>
      </c>
      <c r="E61" s="40">
        <v>0</v>
      </c>
      <c r="F61" s="40">
        <v>0</v>
      </c>
      <c r="G61" s="40">
        <v>0</v>
      </c>
      <c r="H61" s="40">
        <v>0</v>
      </c>
      <c r="I61" s="40">
        <v>0</v>
      </c>
      <c r="J61" s="40">
        <v>0</v>
      </c>
      <c r="K61" s="40">
        <v>0</v>
      </c>
      <c r="L61" s="40">
        <v>0</v>
      </c>
      <c r="M61" s="40">
        <v>0</v>
      </c>
      <c r="N61" s="40">
        <v>0</v>
      </c>
      <c r="O61" s="40">
        <v>0</v>
      </c>
      <c r="P61" s="40">
        <v>0</v>
      </c>
      <c r="Q61" s="40">
        <v>0</v>
      </c>
      <c r="R61" s="40"/>
      <c r="S61" s="40"/>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c r="AR61" s="40"/>
      <c r="AS61" s="40"/>
      <c r="AT61" s="40"/>
      <c r="AU61" s="40"/>
      <c r="AV61" s="40"/>
      <c r="AW61" s="40"/>
      <c r="AX61" s="40"/>
      <c r="AY61" s="40"/>
      <c r="AZ61" s="40"/>
      <c r="BA61" s="40"/>
      <c r="BB61" s="40"/>
      <c r="BC61" s="40"/>
      <c r="BD61" s="40"/>
      <c r="BE61" s="40"/>
      <c r="BF61" s="40"/>
      <c r="BG61" s="40"/>
      <c r="BH61" s="40"/>
      <c r="BI61" s="40"/>
      <c r="BJ61" s="40"/>
      <c r="BK61" s="40"/>
      <c r="BL61" s="40"/>
      <c r="BM61" s="40"/>
      <c r="BN61" s="40"/>
      <c r="BO61" s="40"/>
      <c r="BP61" s="40"/>
      <c r="BQ61" s="40"/>
      <c r="BR61" s="40"/>
      <c r="BS61" s="40"/>
      <c r="BT61" s="40"/>
      <c r="BU61" s="40"/>
      <c r="BV61" s="40"/>
      <c r="BW61" s="40"/>
      <c r="BX61" s="40"/>
      <c r="BY61" s="40"/>
      <c r="BZ61" s="40"/>
      <c r="CA61" s="40"/>
      <c r="CB61" s="40"/>
      <c r="CC61" s="40"/>
      <c r="CD61" s="40"/>
      <c r="CE61" s="40"/>
      <c r="CF61" s="40"/>
      <c r="CG61" s="40"/>
      <c r="CH61" s="40"/>
      <c r="CI61" s="40"/>
      <c r="CJ61" s="40"/>
      <c r="CK61" s="40"/>
      <c r="CL61" s="40"/>
    </row>
    <row r="62" spans="1:90">
      <c r="A62" s="17" t="s">
        <v>44</v>
      </c>
      <c r="B62" s="40">
        <v>4461216.51</v>
      </c>
      <c r="C62" s="40">
        <v>3519418.07</v>
      </c>
      <c r="D62" s="40">
        <v>2307392.8199999998</v>
      </c>
      <c r="E62" s="40">
        <v>1418974.75</v>
      </c>
      <c r="F62" s="40">
        <v>1468934.77</v>
      </c>
      <c r="G62" s="40">
        <v>1407529.74</v>
      </c>
      <c r="H62" s="40">
        <v>1049019.19</v>
      </c>
      <c r="I62" s="40">
        <v>992257.88</v>
      </c>
      <c r="J62" s="40">
        <v>898615.53</v>
      </c>
      <c r="K62" s="40">
        <v>857343.94</v>
      </c>
      <c r="L62" s="40">
        <v>970441.82</v>
      </c>
      <c r="M62" s="40">
        <v>791696.72</v>
      </c>
      <c r="N62" s="40">
        <v>798802.88</v>
      </c>
      <c r="O62" s="40">
        <v>465070.94</v>
      </c>
      <c r="P62" s="40">
        <v>298686.18</v>
      </c>
      <c r="Q62" s="40">
        <v>0</v>
      </c>
      <c r="R62" s="40"/>
      <c r="S62" s="40"/>
      <c r="T62" s="40"/>
      <c r="U62" s="40"/>
      <c r="V62" s="40"/>
      <c r="W62" s="40"/>
      <c r="X62" s="40"/>
      <c r="Y62" s="40"/>
      <c r="Z62" s="40"/>
      <c r="AA62" s="40"/>
      <c r="AB62" s="40"/>
      <c r="AC62" s="40"/>
      <c r="AD62" s="40"/>
      <c r="AE62" s="40"/>
      <c r="AF62" s="40"/>
      <c r="AG62" s="40"/>
      <c r="AH62" s="40"/>
      <c r="AI62" s="40"/>
      <c r="AJ62" s="40"/>
      <c r="AK62" s="40"/>
      <c r="AL62" s="40"/>
      <c r="AM62" s="40"/>
      <c r="AN62" s="40"/>
      <c r="AO62" s="40"/>
      <c r="AP62" s="40"/>
      <c r="AQ62" s="40"/>
      <c r="AR62" s="40"/>
      <c r="AS62" s="40"/>
      <c r="AT62" s="40"/>
      <c r="AU62" s="40"/>
      <c r="AV62" s="40"/>
      <c r="AW62" s="40"/>
      <c r="AX62" s="40"/>
      <c r="AY62" s="40"/>
      <c r="AZ62" s="40"/>
      <c r="BA62" s="40"/>
      <c r="BB62" s="40"/>
      <c r="BC62" s="40"/>
      <c r="BD62" s="40"/>
      <c r="BE62" s="40"/>
      <c r="BF62" s="40"/>
      <c r="BG62" s="40"/>
      <c r="BH62" s="40"/>
      <c r="BI62" s="40"/>
      <c r="BJ62" s="40"/>
      <c r="BK62" s="40"/>
      <c r="BL62" s="40"/>
      <c r="BM62" s="40"/>
      <c r="BN62" s="40"/>
      <c r="BO62" s="40"/>
      <c r="BP62" s="40"/>
      <c r="BQ62" s="40"/>
      <c r="BR62" s="40"/>
      <c r="BS62" s="40"/>
      <c r="BT62" s="40"/>
      <c r="BU62" s="40"/>
      <c r="BV62" s="40"/>
      <c r="BW62" s="40"/>
      <c r="BX62" s="40"/>
      <c r="BY62" s="40"/>
      <c r="BZ62" s="40"/>
      <c r="CA62" s="40"/>
      <c r="CB62" s="40"/>
      <c r="CC62" s="40"/>
      <c r="CD62" s="40"/>
      <c r="CE62" s="40"/>
      <c r="CF62" s="40"/>
      <c r="CG62" s="40"/>
      <c r="CH62" s="40"/>
      <c r="CI62" s="40"/>
      <c r="CJ62" s="40"/>
      <c r="CK62" s="40"/>
      <c r="CL62" s="40"/>
    </row>
    <row r="63" spans="1:90">
      <c r="A63" s="17" t="s">
        <v>45</v>
      </c>
      <c r="B63" s="40">
        <v>1198850.1499999999</v>
      </c>
      <c r="C63" s="40">
        <v>1229778.8799999999</v>
      </c>
      <c r="D63" s="40">
        <v>1260707.6000000001</v>
      </c>
      <c r="E63" s="40">
        <v>1291636.32</v>
      </c>
      <c r="F63" s="40">
        <v>1611232.15</v>
      </c>
      <c r="G63" s="40">
        <v>0</v>
      </c>
      <c r="H63" s="40">
        <v>0</v>
      </c>
      <c r="I63" s="40">
        <v>0</v>
      </c>
      <c r="J63" s="40">
        <v>0</v>
      </c>
      <c r="K63" s="40">
        <v>0</v>
      </c>
      <c r="L63" s="40">
        <v>0</v>
      </c>
      <c r="M63" s="40">
        <v>0</v>
      </c>
      <c r="N63" s="40">
        <v>0</v>
      </c>
      <c r="O63" s="40">
        <v>0</v>
      </c>
      <c r="P63" s="40">
        <v>0</v>
      </c>
      <c r="Q63" s="40">
        <v>0</v>
      </c>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row>
    <row r="64" spans="1:90">
      <c r="A64" s="17" t="s">
        <v>46</v>
      </c>
      <c r="B64" s="40">
        <v>0</v>
      </c>
      <c r="C64" s="40">
        <v>0</v>
      </c>
      <c r="D64" s="40">
        <v>0</v>
      </c>
      <c r="E64" s="40">
        <v>0</v>
      </c>
      <c r="F64" s="40">
        <v>0</v>
      </c>
      <c r="G64" s="40">
        <v>0</v>
      </c>
      <c r="H64" s="40">
        <v>0</v>
      </c>
      <c r="I64" s="40">
        <v>0</v>
      </c>
      <c r="J64" s="40">
        <v>0</v>
      </c>
      <c r="K64" s="40">
        <v>0</v>
      </c>
      <c r="L64" s="40">
        <v>0</v>
      </c>
      <c r="M64" s="40">
        <v>0</v>
      </c>
      <c r="N64" s="40">
        <v>0</v>
      </c>
      <c r="O64" s="40">
        <v>0</v>
      </c>
      <c r="P64" s="40">
        <v>0</v>
      </c>
      <c r="Q64" s="40">
        <v>0</v>
      </c>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row>
    <row r="65" spans="1:90" hidden="1">
      <c r="B65" s="26"/>
      <c r="C65" s="26"/>
      <c r="D65" s="26"/>
      <c r="E65" s="26"/>
      <c r="F65" s="26"/>
      <c r="G65" s="26"/>
      <c r="H65" s="26"/>
      <c r="I65" s="26"/>
      <c r="J65" s="26"/>
      <c r="K65" s="26"/>
      <c r="L65" s="23"/>
    </row>
    <row r="66" spans="1:90" hidden="1">
      <c r="B66" s="26"/>
      <c r="C66" s="26"/>
      <c r="D66" s="26"/>
      <c r="E66" s="26"/>
      <c r="F66" s="26"/>
      <c r="G66" s="26"/>
      <c r="H66" s="26"/>
      <c r="I66" s="26"/>
      <c r="J66" s="26"/>
      <c r="K66" s="26"/>
      <c r="L66" s="23"/>
    </row>
    <row r="67" spans="1:90" hidden="1">
      <c r="B67" s="26"/>
      <c r="C67" s="26"/>
      <c r="D67" s="26"/>
      <c r="E67" s="26"/>
      <c r="F67" s="26"/>
      <c r="G67" s="26"/>
      <c r="H67" s="26"/>
      <c r="I67" s="26"/>
      <c r="J67" s="26"/>
      <c r="K67" s="26"/>
      <c r="L67" s="23"/>
    </row>
    <row r="68" spans="1:90" s="12" customFormat="1">
      <c r="A68" s="129" t="s">
        <v>47</v>
      </c>
      <c r="B68" s="36">
        <f>SUM(B52:B64)-2*B63</f>
        <v>206400857.75999996</v>
      </c>
      <c r="C68" s="36">
        <f t="shared" ref="C68:BN68" si="8">SUM(C52:C64)-2*C63</f>
        <v>199364473.68000001</v>
      </c>
      <c r="D68" s="36">
        <f t="shared" si="8"/>
        <v>196395522.06</v>
      </c>
      <c r="E68" s="36">
        <f t="shared" si="8"/>
        <v>184267617.44999999</v>
      </c>
      <c r="F68" s="36">
        <f t="shared" si="8"/>
        <v>177621360.12</v>
      </c>
      <c r="G68" s="36">
        <f t="shared" si="8"/>
        <v>125502574.55</v>
      </c>
      <c r="H68" s="36">
        <f t="shared" si="8"/>
        <v>121850622.88</v>
      </c>
      <c r="I68" s="36">
        <f t="shared" si="8"/>
        <v>122211044.83999999</v>
      </c>
      <c r="J68" s="36">
        <f t="shared" si="8"/>
        <v>106885665.91</v>
      </c>
      <c r="K68" s="36">
        <f t="shared" si="8"/>
        <v>102860874.88</v>
      </c>
      <c r="L68" s="36">
        <f t="shared" si="8"/>
        <v>90585586.769999996</v>
      </c>
      <c r="M68" s="36">
        <f t="shared" si="8"/>
        <v>34469860.640000001</v>
      </c>
      <c r="N68" s="36">
        <f t="shared" si="8"/>
        <v>32109703.940000001</v>
      </c>
      <c r="O68" s="36">
        <f t="shared" si="8"/>
        <v>15975368.899999999</v>
      </c>
      <c r="P68" s="36">
        <f t="shared" si="8"/>
        <v>1059573.78</v>
      </c>
      <c r="Q68" s="36">
        <f t="shared" si="8"/>
        <v>0</v>
      </c>
      <c r="R68" s="36">
        <f t="shared" si="8"/>
        <v>0</v>
      </c>
      <c r="S68" s="36">
        <f t="shared" si="8"/>
        <v>0</v>
      </c>
      <c r="T68" s="36">
        <f t="shared" si="8"/>
        <v>0</v>
      </c>
      <c r="U68" s="36">
        <f t="shared" si="8"/>
        <v>0</v>
      </c>
      <c r="V68" s="36">
        <f t="shared" si="8"/>
        <v>0</v>
      </c>
      <c r="W68" s="36">
        <f t="shared" si="8"/>
        <v>0</v>
      </c>
      <c r="X68" s="36">
        <f t="shared" si="8"/>
        <v>0</v>
      </c>
      <c r="Y68" s="36">
        <f t="shared" si="8"/>
        <v>0</v>
      </c>
      <c r="Z68" s="36">
        <f t="shared" si="8"/>
        <v>0</v>
      </c>
      <c r="AA68" s="36">
        <f t="shared" si="8"/>
        <v>0</v>
      </c>
      <c r="AB68" s="36">
        <f t="shared" si="8"/>
        <v>0</v>
      </c>
      <c r="AC68" s="36">
        <f t="shared" si="8"/>
        <v>0</v>
      </c>
      <c r="AD68" s="36">
        <f t="shared" si="8"/>
        <v>0</v>
      </c>
      <c r="AE68" s="36">
        <f t="shared" si="8"/>
        <v>0</v>
      </c>
      <c r="AF68" s="36">
        <f t="shared" si="8"/>
        <v>0</v>
      </c>
      <c r="AG68" s="36">
        <f t="shared" si="8"/>
        <v>0</v>
      </c>
      <c r="AH68" s="36">
        <f t="shared" si="8"/>
        <v>0</v>
      </c>
      <c r="AI68" s="36">
        <f t="shared" si="8"/>
        <v>0</v>
      </c>
      <c r="AJ68" s="36">
        <f t="shared" si="8"/>
        <v>0</v>
      </c>
      <c r="AK68" s="36">
        <f t="shared" si="8"/>
        <v>0</v>
      </c>
      <c r="AL68" s="36">
        <f t="shared" si="8"/>
        <v>0</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c r="A69" s="130" t="s">
        <v>48</v>
      </c>
      <c r="B69" s="33">
        <f>B50+B68</f>
        <v>394592183.13999999</v>
      </c>
      <c r="C69" s="33">
        <f t="shared" ref="C69:BN69" si="10">C50+C68</f>
        <v>278393112.03999996</v>
      </c>
      <c r="D69" s="33">
        <f t="shared" si="10"/>
        <v>249162979.61000001</v>
      </c>
      <c r="E69" s="33">
        <f t="shared" si="10"/>
        <v>218160974.71999997</v>
      </c>
      <c r="F69" s="33">
        <f t="shared" si="10"/>
        <v>536271239.91999996</v>
      </c>
      <c r="G69" s="33">
        <f t="shared" si="10"/>
        <v>533429521.98000002</v>
      </c>
      <c r="H69" s="33">
        <f t="shared" si="10"/>
        <v>497634481.72000003</v>
      </c>
      <c r="I69" s="33">
        <f t="shared" si="10"/>
        <v>469285458.27000004</v>
      </c>
      <c r="J69" s="33">
        <f t="shared" si="10"/>
        <v>194462744.23000002</v>
      </c>
      <c r="K69" s="33">
        <f t="shared" si="10"/>
        <v>186332169.06999999</v>
      </c>
      <c r="L69" s="33">
        <f t="shared" si="10"/>
        <v>138844033.24000001</v>
      </c>
      <c r="M69" s="33">
        <f t="shared" si="10"/>
        <v>93970735.560000002</v>
      </c>
      <c r="N69" s="33">
        <f t="shared" si="10"/>
        <v>82062425.579999998</v>
      </c>
      <c r="O69" s="33">
        <f t="shared" si="10"/>
        <v>40196535.360000007</v>
      </c>
      <c r="P69" s="33">
        <f t="shared" si="10"/>
        <v>28543976.960000005</v>
      </c>
      <c r="Q69" s="33">
        <f t="shared" si="10"/>
        <v>0</v>
      </c>
      <c r="R69" s="33">
        <f t="shared" si="10"/>
        <v>0</v>
      </c>
      <c r="S69" s="33">
        <f t="shared" si="10"/>
        <v>0</v>
      </c>
      <c r="T69" s="33">
        <f t="shared" si="10"/>
        <v>0</v>
      </c>
      <c r="U69" s="33">
        <f t="shared" si="10"/>
        <v>0</v>
      </c>
      <c r="V69" s="33">
        <f t="shared" si="10"/>
        <v>0</v>
      </c>
      <c r="W69" s="33">
        <f t="shared" si="10"/>
        <v>0</v>
      </c>
      <c r="X69" s="33">
        <f t="shared" si="10"/>
        <v>0</v>
      </c>
      <c r="Y69" s="33">
        <f t="shared" si="10"/>
        <v>0</v>
      </c>
      <c r="Z69" s="33">
        <f t="shared" si="10"/>
        <v>0</v>
      </c>
      <c r="AA69" s="33">
        <f t="shared" si="10"/>
        <v>0</v>
      </c>
      <c r="AB69" s="33">
        <f t="shared" si="10"/>
        <v>0</v>
      </c>
      <c r="AC69" s="33">
        <f t="shared" si="10"/>
        <v>0</v>
      </c>
      <c r="AD69" s="33">
        <f t="shared" si="10"/>
        <v>0</v>
      </c>
      <c r="AE69" s="33">
        <f t="shared" si="10"/>
        <v>0</v>
      </c>
      <c r="AF69" s="33">
        <f t="shared" si="10"/>
        <v>0</v>
      </c>
      <c r="AG69" s="33">
        <f t="shared" si="10"/>
        <v>0</v>
      </c>
      <c r="AH69" s="33">
        <f t="shared" si="10"/>
        <v>0</v>
      </c>
      <c r="AI69" s="33">
        <f t="shared" si="10"/>
        <v>0</v>
      </c>
      <c r="AJ69" s="33">
        <f t="shared" si="10"/>
        <v>0</v>
      </c>
      <c r="AK69" s="33">
        <f t="shared" si="10"/>
        <v>0</v>
      </c>
      <c r="AL69" s="33">
        <f t="shared" si="10"/>
        <v>0</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c r="A70" s="131" t="s">
        <v>49</v>
      </c>
      <c r="B70" s="37">
        <f>B17+B19+B69</f>
        <v>867663958.11000001</v>
      </c>
      <c r="C70" s="37">
        <f t="shared" ref="C70:BN70" si="12">C17+C19+C69</f>
        <v>719699104.82999992</v>
      </c>
      <c r="D70" s="37">
        <f t="shared" si="12"/>
        <v>690278099.21000004</v>
      </c>
      <c r="E70" s="37">
        <f t="shared" si="12"/>
        <v>680780701.52999997</v>
      </c>
      <c r="F70" s="37">
        <f t="shared" si="12"/>
        <v>643568166.12</v>
      </c>
      <c r="G70" s="37">
        <f t="shared" si="12"/>
        <v>593135102.64999998</v>
      </c>
      <c r="H70" s="37">
        <f t="shared" si="12"/>
        <v>584320596.82000005</v>
      </c>
      <c r="I70" s="37">
        <f t="shared" si="12"/>
        <v>582557312.73000002</v>
      </c>
      <c r="J70" s="37">
        <f t="shared" si="12"/>
        <v>279809125.21000004</v>
      </c>
      <c r="K70" s="37">
        <f t="shared" si="12"/>
        <v>269570203.76999998</v>
      </c>
      <c r="L70" s="37">
        <f t="shared" si="12"/>
        <v>239898576.29000002</v>
      </c>
      <c r="M70" s="37">
        <f t="shared" si="12"/>
        <v>211848320.5</v>
      </c>
      <c r="N70" s="37">
        <f t="shared" si="12"/>
        <v>169859428.84999999</v>
      </c>
      <c r="O70" s="37">
        <f t="shared" si="12"/>
        <v>105573132.10000001</v>
      </c>
      <c r="P70" s="37">
        <f t="shared" si="12"/>
        <v>62209713.140000001</v>
      </c>
      <c r="Q70" s="37">
        <f t="shared" si="12"/>
        <v>0</v>
      </c>
      <c r="R70" s="37">
        <f t="shared" si="12"/>
        <v>0</v>
      </c>
      <c r="S70" s="37">
        <f t="shared" si="12"/>
        <v>0</v>
      </c>
      <c r="T70" s="37">
        <f t="shared" si="12"/>
        <v>0</v>
      </c>
      <c r="U70" s="37">
        <f t="shared" si="12"/>
        <v>0</v>
      </c>
      <c r="V70" s="37">
        <f t="shared" si="12"/>
        <v>0</v>
      </c>
      <c r="W70" s="37">
        <f t="shared" si="12"/>
        <v>0</v>
      </c>
      <c r="X70" s="37">
        <f t="shared" si="12"/>
        <v>0</v>
      </c>
      <c r="Y70" s="37">
        <f t="shared" si="12"/>
        <v>0</v>
      </c>
      <c r="Z70" s="37">
        <f t="shared" si="12"/>
        <v>0</v>
      </c>
      <c r="AA70" s="37">
        <f t="shared" si="12"/>
        <v>0</v>
      </c>
      <c r="AB70" s="37">
        <f t="shared" si="12"/>
        <v>0</v>
      </c>
      <c r="AC70" s="37">
        <f t="shared" si="12"/>
        <v>0</v>
      </c>
      <c r="AD70" s="37">
        <f t="shared" si="12"/>
        <v>0</v>
      </c>
      <c r="AE70" s="37">
        <f t="shared" si="12"/>
        <v>0</v>
      </c>
      <c r="AF70" s="37">
        <f t="shared" si="12"/>
        <v>0</v>
      </c>
      <c r="AG70" s="37">
        <f t="shared" si="12"/>
        <v>0</v>
      </c>
      <c r="AH70" s="37">
        <f t="shared" si="12"/>
        <v>0</v>
      </c>
      <c r="AI70" s="37">
        <f t="shared" si="12"/>
        <v>0</v>
      </c>
      <c r="AJ70" s="37">
        <f t="shared" si="12"/>
        <v>0</v>
      </c>
      <c r="AK70" s="37">
        <f t="shared" si="12"/>
        <v>0</v>
      </c>
      <c r="AL70" s="37">
        <f t="shared" si="12"/>
        <v>0</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c r="A71" s="20" t="s">
        <v>50</v>
      </c>
      <c r="B71" s="26"/>
      <c r="C71" s="26"/>
      <c r="D71" s="26"/>
      <c r="E71" s="26"/>
      <c r="F71" s="26"/>
      <c r="G71" s="26"/>
      <c r="H71" s="26"/>
      <c r="I71" s="26"/>
      <c r="J71" s="26"/>
      <c r="K71" s="26"/>
      <c r="L71" s="23"/>
      <c r="M71" s="13"/>
      <c r="N71" s="13"/>
    </row>
    <row r="72" spans="1:90" s="2" customFormat="1">
      <c r="A72" s="20" t="s">
        <v>51</v>
      </c>
      <c r="B72" s="28"/>
      <c r="C72" s="28"/>
      <c r="D72" s="28"/>
      <c r="E72" s="28">
        <f>SUM(E73:E77)</f>
        <v>0</v>
      </c>
      <c r="F72" s="28">
        <f t="shared" ref="F72:BQ72" si="14">SUM(F73:F77)</f>
        <v>0</v>
      </c>
      <c r="G72" s="28">
        <f t="shared" si="14"/>
        <v>0</v>
      </c>
      <c r="H72" s="28">
        <f t="shared" si="14"/>
        <v>0</v>
      </c>
      <c r="I72" s="28">
        <f t="shared" si="14"/>
        <v>0</v>
      </c>
      <c r="J72" s="28">
        <f t="shared" si="14"/>
        <v>0</v>
      </c>
      <c r="K72" s="28">
        <f t="shared" si="14"/>
        <v>0</v>
      </c>
      <c r="L72" s="28">
        <f t="shared" si="14"/>
        <v>0</v>
      </c>
      <c r="M72" s="28">
        <f t="shared" si="14"/>
        <v>0</v>
      </c>
      <c r="N72" s="28">
        <f t="shared" si="14"/>
        <v>0</v>
      </c>
      <c r="O72" s="28">
        <f t="shared" si="14"/>
        <v>0</v>
      </c>
      <c r="P72" s="28">
        <f t="shared" si="14"/>
        <v>0</v>
      </c>
      <c r="Q72" s="28">
        <f t="shared" si="14"/>
        <v>0</v>
      </c>
      <c r="R72" s="28">
        <f t="shared" si="14"/>
        <v>0</v>
      </c>
      <c r="S72" s="28">
        <f t="shared" si="14"/>
        <v>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c r="A73" s="132" t="s">
        <v>52</v>
      </c>
      <c r="B73" s="40">
        <v>0</v>
      </c>
      <c r="C73" s="40">
        <v>0</v>
      </c>
      <c r="D73" s="40">
        <v>0</v>
      </c>
      <c r="E73" s="40">
        <v>0</v>
      </c>
      <c r="F73" s="40">
        <v>0</v>
      </c>
      <c r="G73" s="40">
        <v>0</v>
      </c>
      <c r="H73" s="40">
        <v>0</v>
      </c>
      <c r="I73" s="40">
        <v>0</v>
      </c>
      <c r="J73" s="40">
        <v>0</v>
      </c>
      <c r="K73" s="40">
        <v>0</v>
      </c>
      <c r="L73" s="40">
        <v>0</v>
      </c>
      <c r="M73" s="40">
        <v>0</v>
      </c>
      <c r="N73" s="40">
        <v>0</v>
      </c>
      <c r="O73" s="40">
        <v>0</v>
      </c>
      <c r="P73" s="40">
        <v>0</v>
      </c>
      <c r="Q73" s="40">
        <v>0</v>
      </c>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row>
    <row r="74" spans="1:90">
      <c r="A74" s="132" t="s">
        <v>77</v>
      </c>
      <c r="B74" s="40">
        <v>0</v>
      </c>
      <c r="C74" s="40">
        <v>0</v>
      </c>
      <c r="D74" s="40">
        <v>0</v>
      </c>
      <c r="E74" s="40">
        <v>0</v>
      </c>
      <c r="F74" s="40">
        <v>0</v>
      </c>
      <c r="G74" s="40">
        <v>0</v>
      </c>
      <c r="H74" s="40">
        <v>0</v>
      </c>
      <c r="I74" s="40">
        <v>0</v>
      </c>
      <c r="J74" s="40">
        <v>0</v>
      </c>
      <c r="K74" s="40">
        <v>0</v>
      </c>
      <c r="L74" s="40">
        <v>0</v>
      </c>
      <c r="M74" s="40">
        <v>0</v>
      </c>
      <c r="N74" s="40">
        <v>0</v>
      </c>
      <c r="O74" s="40">
        <v>0</v>
      </c>
      <c r="P74" s="40">
        <v>0</v>
      </c>
      <c r="Q74" s="40">
        <v>0</v>
      </c>
      <c r="R74" s="40"/>
      <c r="S74" s="40"/>
      <c r="T74" s="40"/>
      <c r="U74" s="40"/>
      <c r="V74" s="40"/>
      <c r="W74" s="40"/>
      <c r="X74" s="40"/>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row>
    <row r="75" spans="1:90">
      <c r="A75" s="132" t="s">
        <v>53</v>
      </c>
      <c r="B75" s="40">
        <v>0</v>
      </c>
      <c r="C75" s="40">
        <v>0</v>
      </c>
      <c r="D75" s="40">
        <v>0</v>
      </c>
      <c r="E75" s="40">
        <v>0</v>
      </c>
      <c r="F75" s="40">
        <v>0</v>
      </c>
      <c r="G75" s="40">
        <v>0</v>
      </c>
      <c r="H75" s="40">
        <v>0</v>
      </c>
      <c r="I75" s="40">
        <v>0</v>
      </c>
      <c r="J75" s="40">
        <v>0</v>
      </c>
      <c r="K75" s="40">
        <v>0</v>
      </c>
      <c r="L75" s="40">
        <v>0</v>
      </c>
      <c r="M75" s="40">
        <v>0</v>
      </c>
      <c r="N75" s="40">
        <v>0</v>
      </c>
      <c r="O75" s="40">
        <v>0</v>
      </c>
      <c r="P75" s="40">
        <v>0</v>
      </c>
      <c r="Q75" s="40">
        <v>0</v>
      </c>
      <c r="R75" s="40"/>
      <c r="S75" s="40"/>
      <c r="T75" s="40"/>
      <c r="U75" s="40"/>
      <c r="V75" s="40"/>
      <c r="W75" s="40"/>
      <c r="X75" s="40"/>
      <c r="Y75" s="40"/>
      <c r="Z75" s="40"/>
      <c r="AA75" s="40"/>
      <c r="AB75" s="40"/>
      <c r="AC75" s="40"/>
      <c r="AD75" s="40"/>
      <c r="AE75" s="40"/>
      <c r="AF75" s="40"/>
      <c r="AG75" s="40"/>
      <c r="AH75" s="40"/>
      <c r="AI75" s="40"/>
      <c r="AJ75" s="40"/>
      <c r="AK75" s="40"/>
      <c r="AL75" s="40"/>
      <c r="AM75" s="40"/>
      <c r="AN75" s="40"/>
      <c r="AO75" s="40"/>
      <c r="AP75" s="40"/>
      <c r="AQ75" s="40"/>
      <c r="AR75" s="40"/>
      <c r="AS75" s="40"/>
      <c r="AT75" s="40"/>
      <c r="AU75" s="40"/>
      <c r="AV75" s="40"/>
      <c r="AW75" s="40"/>
      <c r="AX75" s="40"/>
      <c r="AY75" s="40"/>
      <c r="AZ75" s="40"/>
      <c r="BA75" s="40"/>
      <c r="BB75" s="40"/>
      <c r="BC75" s="40"/>
      <c r="BD75" s="40"/>
      <c r="BE75" s="40"/>
      <c r="BF75" s="40"/>
      <c r="BG75" s="40"/>
      <c r="BH75" s="40"/>
      <c r="BI75" s="40"/>
      <c r="BJ75" s="40"/>
      <c r="BK75" s="40"/>
      <c r="BL75" s="40"/>
      <c r="BM75" s="40"/>
      <c r="BN75" s="40"/>
      <c r="BO75" s="40"/>
      <c r="BP75" s="40"/>
      <c r="BQ75" s="40"/>
      <c r="BR75" s="40"/>
      <c r="BS75" s="40"/>
      <c r="BT75" s="40"/>
      <c r="BU75" s="40"/>
      <c r="BV75" s="40"/>
      <c r="BW75" s="40"/>
      <c r="BX75" s="40"/>
      <c r="BY75" s="40"/>
      <c r="BZ75" s="40"/>
      <c r="CA75" s="40"/>
      <c r="CB75" s="40"/>
      <c r="CC75" s="40"/>
      <c r="CD75" s="40"/>
      <c r="CE75" s="40"/>
      <c r="CF75" s="40"/>
      <c r="CG75" s="40"/>
      <c r="CH75" s="40"/>
      <c r="CI75" s="40"/>
      <c r="CJ75" s="40"/>
      <c r="CK75" s="40"/>
      <c r="CL75" s="40"/>
    </row>
    <row r="76" spans="1:90">
      <c r="A76" s="132" t="s">
        <v>54</v>
      </c>
      <c r="B76" s="40">
        <v>0</v>
      </c>
      <c r="C76" s="40">
        <v>0</v>
      </c>
      <c r="D76" s="40">
        <v>0</v>
      </c>
      <c r="E76" s="40">
        <v>0</v>
      </c>
      <c r="F76" s="40">
        <v>0</v>
      </c>
      <c r="G76" s="40">
        <v>0</v>
      </c>
      <c r="H76" s="40">
        <v>0</v>
      </c>
      <c r="I76" s="40">
        <v>0</v>
      </c>
      <c r="J76" s="40">
        <v>0</v>
      </c>
      <c r="K76" s="40">
        <v>0</v>
      </c>
      <c r="L76" s="40">
        <v>0</v>
      </c>
      <c r="M76" s="40">
        <v>0</v>
      </c>
      <c r="N76" s="40">
        <v>0</v>
      </c>
      <c r="O76" s="40">
        <v>0</v>
      </c>
      <c r="P76" s="40">
        <v>0</v>
      </c>
      <c r="Q76" s="40">
        <v>0</v>
      </c>
      <c r="R76" s="40"/>
      <c r="S76" s="40"/>
      <c r="T76" s="40"/>
      <c r="U76" s="40"/>
      <c r="V76" s="40"/>
      <c r="W76" s="40"/>
      <c r="X76" s="40"/>
      <c r="Y76" s="40"/>
      <c r="Z76" s="40"/>
      <c r="AA76" s="40"/>
      <c r="AB76" s="40"/>
      <c r="AC76" s="40"/>
      <c r="AD76" s="40"/>
      <c r="AE76" s="40"/>
      <c r="AF76" s="40"/>
      <c r="AG76" s="40"/>
      <c r="AH76" s="40"/>
      <c r="AI76" s="40"/>
      <c r="AJ76" s="40"/>
      <c r="AK76" s="40"/>
      <c r="AL76" s="40"/>
      <c r="AM76" s="40"/>
      <c r="AN76" s="40"/>
      <c r="AO76" s="40"/>
      <c r="AP76" s="40"/>
      <c r="AQ76" s="40"/>
      <c r="AR76" s="40"/>
      <c r="AS76" s="40"/>
      <c r="AT76" s="40"/>
      <c r="AU76" s="40"/>
      <c r="AV76" s="40"/>
      <c r="AW76" s="40"/>
      <c r="AX76" s="40"/>
      <c r="AY76" s="40"/>
      <c r="AZ76" s="40"/>
      <c r="BA76" s="40"/>
      <c r="BB76" s="40"/>
      <c r="BC76" s="40"/>
      <c r="BD76" s="40"/>
      <c r="BE76" s="40"/>
      <c r="BF76" s="40"/>
      <c r="BG76" s="40"/>
      <c r="BH76" s="40"/>
      <c r="BI76" s="40"/>
      <c r="BJ76" s="40"/>
      <c r="BK76" s="40"/>
      <c r="BL76" s="40"/>
      <c r="BM76" s="40"/>
      <c r="BN76" s="40"/>
      <c r="BO76" s="40"/>
      <c r="BP76" s="40"/>
      <c r="BQ76" s="40"/>
      <c r="BR76" s="40"/>
      <c r="BS76" s="40"/>
      <c r="BT76" s="40"/>
      <c r="BU76" s="40"/>
      <c r="BV76" s="40"/>
      <c r="BW76" s="40"/>
      <c r="BX76" s="40"/>
      <c r="BY76" s="40"/>
      <c r="BZ76" s="40"/>
      <c r="CA76" s="40"/>
      <c r="CB76" s="40"/>
      <c r="CC76" s="40"/>
      <c r="CD76" s="40"/>
      <c r="CE76" s="40"/>
      <c r="CF76" s="40"/>
      <c r="CG76" s="40"/>
      <c r="CH76" s="40"/>
      <c r="CI76" s="40"/>
      <c r="CJ76" s="40"/>
      <c r="CK76" s="40"/>
      <c r="CL76" s="40"/>
    </row>
    <row r="77" spans="1:90">
      <c r="A77" s="132" t="s">
        <v>55</v>
      </c>
      <c r="B77" s="40">
        <v>0</v>
      </c>
      <c r="C77" s="40">
        <v>0</v>
      </c>
      <c r="D77" s="40">
        <v>0</v>
      </c>
      <c r="E77" s="40">
        <v>0</v>
      </c>
      <c r="F77" s="40">
        <v>0</v>
      </c>
      <c r="G77" s="40">
        <v>0</v>
      </c>
      <c r="H77" s="40">
        <v>0</v>
      </c>
      <c r="I77" s="40">
        <v>0</v>
      </c>
      <c r="J77" s="40">
        <v>0</v>
      </c>
      <c r="K77" s="40">
        <v>0</v>
      </c>
      <c r="L77" s="40">
        <v>0</v>
      </c>
      <c r="M77" s="40">
        <v>0</v>
      </c>
      <c r="N77" s="40">
        <v>0</v>
      </c>
      <c r="O77" s="40">
        <v>0</v>
      </c>
      <c r="P77" s="40">
        <v>0</v>
      </c>
      <c r="Q77" s="40">
        <v>0</v>
      </c>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c r="BJ77" s="40"/>
      <c r="BK77" s="40"/>
      <c r="BL77" s="40"/>
      <c r="BM77" s="40"/>
      <c r="BN77" s="40"/>
      <c r="BO77" s="40"/>
      <c r="BP77" s="40"/>
      <c r="BQ77" s="40"/>
      <c r="BR77" s="40"/>
      <c r="BS77" s="40"/>
      <c r="BT77" s="40"/>
      <c r="BU77" s="40"/>
      <c r="BV77" s="40"/>
      <c r="BW77" s="40"/>
      <c r="BX77" s="40"/>
      <c r="BY77" s="40"/>
      <c r="BZ77" s="40"/>
      <c r="CA77" s="40"/>
      <c r="CB77" s="40"/>
      <c r="CC77" s="40"/>
      <c r="CD77" s="40"/>
      <c r="CE77" s="40"/>
      <c r="CF77" s="40"/>
      <c r="CG77" s="40"/>
      <c r="CH77" s="40"/>
      <c r="CI77" s="40"/>
      <c r="CJ77" s="40"/>
      <c r="CK77" s="40"/>
      <c r="CL77" s="40"/>
    </row>
    <row r="78" spans="1:90" hidden="1">
      <c r="A78" s="132"/>
      <c r="B78" s="26"/>
      <c r="C78" s="26"/>
      <c r="D78" s="26"/>
      <c r="E78" s="26"/>
      <c r="F78" s="26"/>
      <c r="G78" s="26"/>
      <c r="H78" s="26"/>
      <c r="I78" s="26"/>
      <c r="J78" s="26"/>
      <c r="K78" s="26"/>
      <c r="L78" s="23"/>
    </row>
    <row r="79" spans="1:90" hidden="1">
      <c r="A79" s="132"/>
      <c r="B79" s="26"/>
      <c r="C79" s="26"/>
      <c r="D79" s="26"/>
      <c r="E79" s="26"/>
      <c r="F79" s="26"/>
      <c r="G79" s="26"/>
      <c r="H79" s="26"/>
      <c r="I79" s="26"/>
      <c r="J79" s="26"/>
      <c r="K79" s="26"/>
      <c r="L79" s="23"/>
    </row>
    <row r="80" spans="1:90" hidden="1">
      <c r="A80" s="132"/>
      <c r="B80" s="26"/>
      <c r="C80" s="26"/>
      <c r="D80" s="26"/>
      <c r="E80" s="26"/>
      <c r="F80" s="26"/>
      <c r="G80" s="26"/>
      <c r="H80" s="26"/>
      <c r="I80" s="26"/>
      <c r="J80" s="26"/>
      <c r="K80" s="26"/>
      <c r="L80" s="23"/>
    </row>
    <row r="81" spans="1:90" s="2" customFormat="1">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c r="A82" s="132" t="s">
        <v>57</v>
      </c>
      <c r="B82" s="40">
        <v>0</v>
      </c>
      <c r="C82" s="40">
        <v>0</v>
      </c>
      <c r="D82" s="40">
        <v>0</v>
      </c>
      <c r="E82" s="40">
        <v>0</v>
      </c>
      <c r="F82" s="40">
        <v>0</v>
      </c>
      <c r="G82" s="40">
        <v>0</v>
      </c>
      <c r="H82" s="40">
        <v>0</v>
      </c>
      <c r="I82" s="40">
        <v>0</v>
      </c>
      <c r="J82" s="40">
        <v>0</v>
      </c>
      <c r="K82" s="40">
        <v>0</v>
      </c>
      <c r="L82" s="40">
        <v>0</v>
      </c>
      <c r="M82" s="40">
        <v>0</v>
      </c>
      <c r="N82" s="40">
        <v>0</v>
      </c>
      <c r="O82" s="40">
        <v>0</v>
      </c>
      <c r="P82" s="40">
        <v>0</v>
      </c>
      <c r="Q82" s="40">
        <v>0</v>
      </c>
      <c r="R82" s="40"/>
      <c r="S82" s="40"/>
      <c r="T82" s="40"/>
      <c r="U82" s="40"/>
      <c r="V82" s="40"/>
      <c r="W82" s="40"/>
      <c r="X82" s="40"/>
      <c r="Y82" s="40"/>
      <c r="Z82" s="40"/>
      <c r="AA82" s="40"/>
      <c r="AB82" s="40"/>
      <c r="AC82" s="40"/>
      <c r="AD82" s="40"/>
      <c r="AE82" s="40"/>
      <c r="AF82" s="40"/>
      <c r="AG82" s="40"/>
      <c r="AH82" s="40"/>
      <c r="AI82" s="40"/>
      <c r="AJ82" s="40"/>
      <c r="AK82" s="40"/>
      <c r="AL82" s="40"/>
      <c r="AM82" s="40"/>
      <c r="AN82" s="40"/>
      <c r="AO82" s="40"/>
      <c r="AP82" s="40"/>
      <c r="AQ82" s="40"/>
      <c r="AR82" s="40"/>
      <c r="AS82" s="40"/>
      <c r="AT82" s="40"/>
      <c r="AU82" s="40"/>
      <c r="AV82" s="40"/>
      <c r="AW82" s="40"/>
      <c r="AX82" s="40"/>
      <c r="AY82" s="40"/>
      <c r="AZ82" s="40"/>
      <c r="BA82" s="40"/>
      <c r="BB82" s="40"/>
      <c r="BC82" s="40"/>
      <c r="BD82" s="40"/>
      <c r="BE82" s="40"/>
      <c r="BF82" s="40"/>
      <c r="BG82" s="40"/>
      <c r="BH82" s="40"/>
      <c r="BI82" s="40"/>
      <c r="BJ82" s="40"/>
      <c r="BK82" s="40"/>
      <c r="BL82" s="40"/>
      <c r="BM82" s="40"/>
      <c r="BN82" s="40"/>
      <c r="BO82" s="40"/>
      <c r="BP82" s="40"/>
      <c r="BQ82" s="40"/>
      <c r="BR82" s="40"/>
      <c r="BS82" s="40"/>
      <c r="BT82" s="40"/>
      <c r="BU82" s="40"/>
      <c r="BV82" s="40"/>
      <c r="BW82" s="40"/>
      <c r="BX82" s="40"/>
      <c r="BY82" s="40"/>
      <c r="BZ82" s="40"/>
      <c r="CA82" s="40"/>
      <c r="CB82" s="40"/>
      <c r="CC82" s="40"/>
      <c r="CD82" s="40"/>
      <c r="CE82" s="40"/>
      <c r="CF82" s="40"/>
      <c r="CG82" s="40"/>
      <c r="CH82" s="40"/>
      <c r="CI82" s="40"/>
      <c r="CJ82" s="40"/>
      <c r="CK82" s="40"/>
      <c r="CL82" s="40"/>
    </row>
    <row r="83" spans="1:90">
      <c r="A83" s="132" t="s">
        <v>58</v>
      </c>
      <c r="B83" s="40">
        <v>0</v>
      </c>
      <c r="C83" s="40">
        <v>0</v>
      </c>
      <c r="D83" s="40">
        <v>0</v>
      </c>
      <c r="E83" s="40">
        <v>0</v>
      </c>
      <c r="F83" s="40">
        <v>0</v>
      </c>
      <c r="G83" s="40">
        <v>0</v>
      </c>
      <c r="H83" s="40">
        <v>0</v>
      </c>
      <c r="I83" s="40">
        <v>0</v>
      </c>
      <c r="J83" s="40">
        <v>0</v>
      </c>
      <c r="K83" s="40">
        <v>0</v>
      </c>
      <c r="L83" s="40">
        <v>0</v>
      </c>
      <c r="M83" s="40">
        <v>0</v>
      </c>
      <c r="N83" s="40">
        <v>0</v>
      </c>
      <c r="O83" s="40">
        <v>0</v>
      </c>
      <c r="P83" s="40">
        <v>0</v>
      </c>
      <c r="Q83" s="40">
        <v>0</v>
      </c>
      <c r="R83" s="40"/>
      <c r="S83" s="40"/>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row>
    <row r="84" spans="1:90">
      <c r="A84" s="132" t="s">
        <v>59</v>
      </c>
      <c r="B84" s="40">
        <v>0</v>
      </c>
      <c r="C84" s="40">
        <v>0</v>
      </c>
      <c r="D84" s="40">
        <v>0</v>
      </c>
      <c r="E84" s="40">
        <v>0</v>
      </c>
      <c r="F84" s="40">
        <v>0</v>
      </c>
      <c r="G84" s="40">
        <v>0</v>
      </c>
      <c r="H84" s="40">
        <v>0</v>
      </c>
      <c r="I84" s="40">
        <v>0</v>
      </c>
      <c r="J84" s="40">
        <v>0</v>
      </c>
      <c r="K84" s="40">
        <v>0</v>
      </c>
      <c r="L84" s="40">
        <v>0</v>
      </c>
      <c r="M84" s="40">
        <v>0</v>
      </c>
      <c r="N84" s="40">
        <v>0</v>
      </c>
      <c r="O84" s="40">
        <v>0</v>
      </c>
      <c r="P84" s="40">
        <v>0</v>
      </c>
      <c r="Q84" s="40">
        <v>0</v>
      </c>
      <c r="R84" s="40"/>
      <c r="S84" s="40"/>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row>
    <row r="85" spans="1:90">
      <c r="A85" s="132" t="s">
        <v>83</v>
      </c>
      <c r="B85" s="40">
        <v>0</v>
      </c>
      <c r="C85" s="40">
        <v>0</v>
      </c>
      <c r="D85" s="40">
        <v>0</v>
      </c>
      <c r="E85" s="40">
        <v>0</v>
      </c>
      <c r="F85" s="40">
        <v>0</v>
      </c>
      <c r="G85" s="40">
        <v>0</v>
      </c>
      <c r="H85" s="40">
        <v>0</v>
      </c>
      <c r="I85" s="40">
        <v>0</v>
      </c>
      <c r="J85" s="40">
        <v>0</v>
      </c>
      <c r="K85" s="40">
        <v>0</v>
      </c>
      <c r="L85" s="40">
        <v>0</v>
      </c>
      <c r="M85" s="40">
        <v>0</v>
      </c>
      <c r="N85" s="40">
        <v>0</v>
      </c>
      <c r="O85" s="40">
        <v>0</v>
      </c>
      <c r="P85" s="40">
        <v>0</v>
      </c>
      <c r="Q85" s="40">
        <v>0</v>
      </c>
      <c r="R85" s="40"/>
      <c r="S85" s="40"/>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row>
    <row r="86" spans="1:90" hidden="1">
      <c r="A86" s="132"/>
      <c r="B86" s="26"/>
      <c r="C86" s="26"/>
      <c r="D86" s="26"/>
      <c r="E86" s="26"/>
      <c r="F86" s="26"/>
      <c r="G86" s="26"/>
      <c r="H86" s="26"/>
      <c r="I86" s="26"/>
      <c r="J86" s="26"/>
      <c r="K86" s="26"/>
      <c r="L86" s="23"/>
    </row>
    <row r="87" spans="1:90" hidden="1">
      <c r="A87" s="132"/>
      <c r="B87" s="26"/>
      <c r="C87" s="26"/>
      <c r="D87" s="26"/>
      <c r="E87" s="26"/>
      <c r="F87" s="26"/>
      <c r="G87" s="26"/>
      <c r="H87" s="26"/>
      <c r="I87" s="26"/>
      <c r="J87" s="26"/>
      <c r="K87" s="26"/>
      <c r="L87" s="23"/>
    </row>
    <row r="88" spans="1:90" hidden="1">
      <c r="A88" s="132"/>
      <c r="B88" s="26"/>
      <c r="C88" s="26"/>
      <c r="D88" s="26"/>
      <c r="E88" s="26"/>
      <c r="F88" s="26"/>
      <c r="G88" s="26"/>
      <c r="H88" s="26"/>
      <c r="I88" s="26"/>
      <c r="J88" s="26"/>
      <c r="K88" s="26"/>
      <c r="L88" s="23"/>
    </row>
    <row r="89" spans="1:90" s="5" customFormat="1">
      <c r="A89" s="133" t="s">
        <v>60</v>
      </c>
      <c r="B89" s="33">
        <f>SUM(B73:B85)</f>
        <v>0</v>
      </c>
      <c r="C89" s="33">
        <f>SUM(C73:C85)</f>
        <v>0</v>
      </c>
      <c r="D89" s="33">
        <f>SUM(D73:D85)</f>
        <v>0</v>
      </c>
      <c r="E89" s="33">
        <f>E72+E81</f>
        <v>0</v>
      </c>
      <c r="F89" s="33">
        <f t="shared" ref="F89:BQ89" si="18">F72+F81</f>
        <v>0</v>
      </c>
      <c r="G89" s="33">
        <f t="shared" si="18"/>
        <v>0</v>
      </c>
      <c r="H89" s="33">
        <f t="shared" si="18"/>
        <v>0</v>
      </c>
      <c r="I89" s="33">
        <f t="shared" si="18"/>
        <v>0</v>
      </c>
      <c r="J89" s="33">
        <f t="shared" si="18"/>
        <v>0</v>
      </c>
      <c r="K89" s="33">
        <f t="shared" si="18"/>
        <v>0</v>
      </c>
      <c r="L89" s="33">
        <f t="shared" si="18"/>
        <v>0</v>
      </c>
      <c r="M89" s="33">
        <f t="shared" si="18"/>
        <v>0</v>
      </c>
      <c r="N89" s="33">
        <f t="shared" si="18"/>
        <v>0</v>
      </c>
      <c r="O89" s="33">
        <f t="shared" si="18"/>
        <v>0</v>
      </c>
      <c r="P89" s="33">
        <f t="shared" si="18"/>
        <v>0</v>
      </c>
      <c r="Q89" s="33">
        <f t="shared" si="18"/>
        <v>0</v>
      </c>
      <c r="R89" s="33">
        <f t="shared" si="18"/>
        <v>0</v>
      </c>
      <c r="S89" s="33">
        <f t="shared" si="18"/>
        <v>0</v>
      </c>
      <c r="T89" s="33">
        <f t="shared" si="18"/>
        <v>0</v>
      </c>
      <c r="U89" s="33">
        <f t="shared" si="18"/>
        <v>0</v>
      </c>
      <c r="V89" s="33">
        <f t="shared" si="18"/>
        <v>0</v>
      </c>
      <c r="W89" s="33">
        <f t="shared" si="18"/>
        <v>0</v>
      </c>
      <c r="X89" s="33">
        <f t="shared" si="18"/>
        <v>0</v>
      </c>
      <c r="Y89" s="33">
        <f t="shared" si="18"/>
        <v>0</v>
      </c>
      <c r="Z89" s="33">
        <f t="shared" si="18"/>
        <v>0</v>
      </c>
      <c r="AA89" s="33">
        <f t="shared" si="18"/>
        <v>0</v>
      </c>
      <c r="AB89" s="33">
        <f t="shared" si="18"/>
        <v>0</v>
      </c>
      <c r="AC89" s="33">
        <f t="shared" si="18"/>
        <v>0</v>
      </c>
      <c r="AD89" s="33">
        <f t="shared" si="18"/>
        <v>0</v>
      </c>
      <c r="AE89" s="33">
        <f t="shared" si="18"/>
        <v>0</v>
      </c>
      <c r="AF89" s="33">
        <f t="shared" si="18"/>
        <v>0</v>
      </c>
      <c r="AG89" s="33">
        <f t="shared" si="18"/>
        <v>0</v>
      </c>
      <c r="AH89" s="33">
        <f t="shared" si="18"/>
        <v>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c r="A90" s="20" t="s">
        <v>61</v>
      </c>
      <c r="B90" s="26"/>
      <c r="C90" s="26"/>
      <c r="D90" s="26"/>
      <c r="E90" s="26"/>
      <c r="F90" s="26"/>
      <c r="G90" s="26"/>
      <c r="H90" s="26"/>
      <c r="I90" s="26"/>
      <c r="J90" s="26"/>
      <c r="K90" s="26"/>
      <c r="L90" s="23"/>
      <c r="M90" s="13"/>
      <c r="N90" s="13"/>
    </row>
    <row r="91" spans="1:90">
      <c r="A91" s="132" t="s">
        <v>62</v>
      </c>
      <c r="B91" s="40">
        <v>139524600</v>
      </c>
      <c r="C91" s="40">
        <v>139524600</v>
      </c>
      <c r="D91" s="40">
        <v>73434000</v>
      </c>
      <c r="E91" s="40">
        <v>71800000</v>
      </c>
      <c r="F91" s="40">
        <v>71800000</v>
      </c>
      <c r="G91" s="40">
        <v>71800000</v>
      </c>
      <c r="H91" s="40">
        <v>71800000</v>
      </c>
      <c r="I91" s="40">
        <v>71800000</v>
      </c>
      <c r="J91" s="40">
        <v>53800000</v>
      </c>
      <c r="K91" s="40">
        <v>53800000</v>
      </c>
      <c r="L91" s="40">
        <v>53800000</v>
      </c>
      <c r="M91" s="40">
        <v>53800000</v>
      </c>
      <c r="N91" s="40">
        <v>53800000</v>
      </c>
      <c r="O91" s="40">
        <v>53800000</v>
      </c>
      <c r="P91" s="40">
        <v>12314000</v>
      </c>
      <c r="Q91" s="40">
        <v>0</v>
      </c>
      <c r="R91" s="40"/>
      <c r="S91" s="40"/>
      <c r="T91" s="40"/>
      <c r="U91" s="40"/>
      <c r="V91" s="40"/>
      <c r="W91" s="40"/>
      <c r="X91" s="40"/>
      <c r="Y91" s="40"/>
      <c r="Z91" s="40"/>
      <c r="AA91" s="40"/>
      <c r="AB91" s="40"/>
      <c r="AC91" s="40"/>
      <c r="AD91" s="40"/>
      <c r="AE91" s="40"/>
      <c r="AF91" s="40"/>
      <c r="AG91" s="40"/>
      <c r="AH91" s="40"/>
      <c r="AI91" s="40"/>
      <c r="AJ91" s="40"/>
      <c r="AK91" s="40"/>
      <c r="AL91" s="40"/>
      <c r="AM91" s="40"/>
      <c r="AN91" s="40"/>
      <c r="AO91" s="40"/>
      <c r="AP91" s="40"/>
      <c r="AQ91" s="40"/>
      <c r="AR91" s="40"/>
      <c r="AS91" s="40"/>
      <c r="AT91" s="40"/>
      <c r="AU91" s="40"/>
      <c r="AV91" s="40"/>
      <c r="AW91" s="40"/>
      <c r="AX91" s="40"/>
      <c r="AY91" s="40"/>
      <c r="AZ91" s="40"/>
      <c r="BA91" s="40"/>
      <c r="BB91" s="40"/>
      <c r="BC91" s="40"/>
      <c r="BD91" s="40"/>
      <c r="BE91" s="40"/>
      <c r="BF91" s="40"/>
      <c r="BG91" s="40"/>
      <c r="BH91" s="40"/>
      <c r="BI91" s="40"/>
      <c r="BJ91" s="40"/>
      <c r="BK91" s="40"/>
      <c r="BL91" s="40"/>
      <c r="BM91" s="40"/>
      <c r="BN91" s="40"/>
      <c r="BO91" s="40"/>
      <c r="BP91" s="40"/>
      <c r="BQ91" s="40"/>
      <c r="BR91" s="40"/>
      <c r="BS91" s="40"/>
      <c r="BT91" s="40"/>
      <c r="BU91" s="40"/>
      <c r="BV91" s="40"/>
      <c r="BW91" s="40"/>
      <c r="BX91" s="40"/>
      <c r="BY91" s="40"/>
      <c r="BZ91" s="40"/>
      <c r="CA91" s="40"/>
      <c r="CB91" s="40"/>
      <c r="CC91" s="40"/>
      <c r="CD91" s="40"/>
      <c r="CE91" s="40"/>
      <c r="CF91" s="40"/>
      <c r="CG91" s="40"/>
      <c r="CH91" s="40"/>
      <c r="CI91" s="40"/>
      <c r="CJ91" s="40"/>
      <c r="CK91" s="40"/>
      <c r="CL91" s="40"/>
    </row>
    <row r="92" spans="1:90">
      <c r="A92" s="132" t="s">
        <v>63</v>
      </c>
      <c r="B92" s="40">
        <v>256770866.40000001</v>
      </c>
      <c r="C92" s="40">
        <v>253400471.63999999</v>
      </c>
      <c r="D92" s="40">
        <v>317084189.63999999</v>
      </c>
      <c r="E92" s="40">
        <v>283668889.63999999</v>
      </c>
      <c r="F92" s="40">
        <v>283668889.63999999</v>
      </c>
      <c r="G92" s="40">
        <v>283668889.63999999</v>
      </c>
      <c r="H92" s="40">
        <v>283668889.63999999</v>
      </c>
      <c r="I92" s="40">
        <v>283668889.63999999</v>
      </c>
      <c r="J92" s="40">
        <v>20810218.98</v>
      </c>
      <c r="K92" s="40">
        <v>20810218.98</v>
      </c>
      <c r="L92" s="40">
        <v>20810218.98</v>
      </c>
      <c r="M92" s="40">
        <v>20810218.98</v>
      </c>
      <c r="N92" s="40">
        <v>20810218.98</v>
      </c>
      <c r="O92" s="40">
        <v>20810218.98</v>
      </c>
      <c r="P92" s="40">
        <v>9716900</v>
      </c>
      <c r="Q92" s="40">
        <v>0</v>
      </c>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c r="BJ92" s="40"/>
      <c r="BK92" s="40"/>
      <c r="BL92" s="40"/>
      <c r="BM92" s="40"/>
      <c r="BN92" s="40"/>
      <c r="BO92" s="40"/>
      <c r="BP92" s="40"/>
      <c r="BQ92" s="40"/>
      <c r="BR92" s="40"/>
      <c r="BS92" s="40"/>
      <c r="BT92" s="40"/>
      <c r="BU92" s="40"/>
      <c r="BV92" s="40"/>
      <c r="BW92" s="40"/>
      <c r="BX92" s="40"/>
      <c r="BY92" s="40"/>
      <c r="BZ92" s="40"/>
      <c r="CA92" s="40"/>
      <c r="CB92" s="40"/>
      <c r="CC92" s="40"/>
      <c r="CD92" s="40"/>
      <c r="CE92" s="40"/>
      <c r="CF92" s="40"/>
      <c r="CG92" s="40"/>
      <c r="CH92" s="40"/>
      <c r="CI92" s="40"/>
      <c r="CJ92" s="40"/>
      <c r="CK92" s="40"/>
      <c r="CL92" s="40"/>
    </row>
    <row r="93" spans="1:90">
      <c r="A93" s="132" t="s">
        <v>64</v>
      </c>
      <c r="B93" s="40">
        <v>33235560</v>
      </c>
      <c r="C93" s="40">
        <v>33235560</v>
      </c>
      <c r="D93" s="40">
        <v>33235560</v>
      </c>
      <c r="E93" s="40">
        <v>0</v>
      </c>
      <c r="F93" s="40">
        <v>0</v>
      </c>
      <c r="G93" s="40">
        <v>0</v>
      </c>
      <c r="H93" s="40">
        <v>0</v>
      </c>
      <c r="I93" s="40">
        <v>0</v>
      </c>
      <c r="J93" s="40">
        <v>0</v>
      </c>
      <c r="K93" s="40">
        <v>0</v>
      </c>
      <c r="L93" s="40">
        <v>0</v>
      </c>
      <c r="M93" s="40">
        <v>0</v>
      </c>
      <c r="N93" s="40">
        <v>0</v>
      </c>
      <c r="O93" s="40">
        <v>0</v>
      </c>
      <c r="P93" s="40">
        <v>0</v>
      </c>
      <c r="Q93" s="40">
        <v>0</v>
      </c>
      <c r="R93" s="40">
        <v>0</v>
      </c>
      <c r="S93" s="40">
        <v>0</v>
      </c>
      <c r="T93" s="40">
        <v>0</v>
      </c>
      <c r="U93" s="40">
        <v>0</v>
      </c>
      <c r="V93" s="40">
        <v>0</v>
      </c>
      <c r="W93" s="40">
        <v>0</v>
      </c>
      <c r="X93" s="40">
        <v>0</v>
      </c>
      <c r="Y93" s="40">
        <v>0</v>
      </c>
      <c r="Z93" s="40">
        <v>0</v>
      </c>
      <c r="AA93" s="40">
        <v>0</v>
      </c>
      <c r="AB93" s="40">
        <v>0</v>
      </c>
      <c r="AC93" s="40">
        <v>0</v>
      </c>
      <c r="AD93" s="40">
        <v>0</v>
      </c>
      <c r="AE93" s="40">
        <v>0</v>
      </c>
      <c r="AF93" s="40">
        <v>0</v>
      </c>
      <c r="AG93" s="40">
        <v>0</v>
      </c>
      <c r="AH93" s="40">
        <v>0</v>
      </c>
      <c r="AI93" s="40">
        <v>0</v>
      </c>
      <c r="AJ93" s="40">
        <v>0</v>
      </c>
      <c r="AK93" s="40">
        <v>0</v>
      </c>
      <c r="AL93" s="40">
        <v>0</v>
      </c>
      <c r="AM93" s="40">
        <v>0</v>
      </c>
      <c r="AN93" s="40">
        <v>0</v>
      </c>
      <c r="AO93" s="40">
        <v>0</v>
      </c>
      <c r="AP93" s="40">
        <v>0</v>
      </c>
      <c r="AQ93" s="40">
        <v>0</v>
      </c>
      <c r="AR93" s="40">
        <v>0</v>
      </c>
      <c r="AS93" s="40">
        <v>0</v>
      </c>
      <c r="AT93" s="40">
        <v>0</v>
      </c>
      <c r="AU93" s="40">
        <v>0</v>
      </c>
      <c r="AV93" s="40">
        <v>0</v>
      </c>
      <c r="AW93" s="40">
        <v>0</v>
      </c>
      <c r="AX93" s="40">
        <v>0</v>
      </c>
      <c r="AY93" s="40">
        <v>0</v>
      </c>
      <c r="AZ93" s="40">
        <v>0</v>
      </c>
      <c r="BA93" s="40">
        <v>0</v>
      </c>
      <c r="BB93" s="40">
        <v>0</v>
      </c>
      <c r="BC93" s="40">
        <v>0</v>
      </c>
      <c r="BD93" s="40">
        <v>0</v>
      </c>
      <c r="BE93" s="40">
        <v>0</v>
      </c>
      <c r="BF93" s="40">
        <v>0</v>
      </c>
      <c r="BG93" s="40">
        <v>0</v>
      </c>
      <c r="BH93" s="40">
        <v>0</v>
      </c>
      <c r="BI93" s="40">
        <v>0</v>
      </c>
      <c r="BJ93" s="40">
        <v>0</v>
      </c>
      <c r="BK93" s="40">
        <v>0</v>
      </c>
      <c r="BL93" s="40">
        <v>0</v>
      </c>
      <c r="BM93" s="40">
        <v>0</v>
      </c>
      <c r="BN93" s="40">
        <v>0</v>
      </c>
      <c r="BO93" s="40">
        <v>0</v>
      </c>
      <c r="BP93" s="40">
        <v>0</v>
      </c>
      <c r="BQ93" s="40">
        <v>0</v>
      </c>
      <c r="BR93" s="40">
        <v>0</v>
      </c>
      <c r="BS93" s="40">
        <v>0</v>
      </c>
      <c r="BT93" s="40">
        <v>0</v>
      </c>
      <c r="BU93" s="40">
        <v>0</v>
      </c>
      <c r="BV93" s="40">
        <v>0</v>
      </c>
      <c r="BW93" s="40">
        <v>0</v>
      </c>
      <c r="BX93" s="40">
        <v>0</v>
      </c>
      <c r="BY93" s="40">
        <v>0</v>
      </c>
      <c r="BZ93" s="40">
        <v>0</v>
      </c>
      <c r="CA93" s="40">
        <v>0</v>
      </c>
      <c r="CB93" s="40">
        <v>0</v>
      </c>
      <c r="CC93" s="40">
        <v>0</v>
      </c>
      <c r="CD93" s="40">
        <v>0</v>
      </c>
      <c r="CE93" s="40">
        <v>0</v>
      </c>
      <c r="CF93" s="40">
        <v>0</v>
      </c>
      <c r="CG93" s="40">
        <v>0</v>
      </c>
      <c r="CH93" s="40">
        <v>0</v>
      </c>
      <c r="CI93" s="40">
        <v>0</v>
      </c>
      <c r="CJ93" s="40">
        <v>0</v>
      </c>
      <c r="CK93" s="40">
        <v>0</v>
      </c>
      <c r="CL93" s="40">
        <v>0</v>
      </c>
    </row>
    <row r="94" spans="1:90">
      <c r="A94" s="132" t="s">
        <v>65</v>
      </c>
      <c r="B94" s="40">
        <v>0</v>
      </c>
      <c r="C94" s="40">
        <v>0</v>
      </c>
      <c r="D94" s="40">
        <v>0</v>
      </c>
      <c r="E94" s="40">
        <v>0</v>
      </c>
      <c r="F94" s="40">
        <v>0</v>
      </c>
      <c r="G94" s="40">
        <v>0</v>
      </c>
      <c r="H94" s="40">
        <v>0</v>
      </c>
      <c r="I94" s="40">
        <v>0</v>
      </c>
      <c r="J94" s="40">
        <v>0</v>
      </c>
      <c r="K94" s="40">
        <v>0</v>
      </c>
      <c r="L94" s="40">
        <v>0</v>
      </c>
      <c r="M94" s="40">
        <v>0</v>
      </c>
      <c r="N94" s="40">
        <v>0</v>
      </c>
      <c r="O94" s="40">
        <v>0</v>
      </c>
      <c r="P94" s="40">
        <v>0</v>
      </c>
      <c r="Q94" s="40">
        <v>0</v>
      </c>
      <c r="R94" s="40">
        <v>0</v>
      </c>
      <c r="S94" s="40">
        <v>0</v>
      </c>
      <c r="T94" s="40">
        <v>0</v>
      </c>
      <c r="U94" s="40">
        <v>0</v>
      </c>
      <c r="V94" s="40">
        <v>0</v>
      </c>
      <c r="W94" s="40">
        <v>0</v>
      </c>
      <c r="X94" s="40">
        <v>0</v>
      </c>
      <c r="Y94" s="40">
        <v>0</v>
      </c>
      <c r="Z94" s="40">
        <v>0</v>
      </c>
      <c r="AA94" s="40">
        <v>0</v>
      </c>
      <c r="AB94" s="40">
        <v>0</v>
      </c>
      <c r="AC94" s="40">
        <v>0</v>
      </c>
      <c r="AD94" s="40">
        <v>0</v>
      </c>
      <c r="AE94" s="40">
        <v>0</v>
      </c>
      <c r="AF94" s="40">
        <v>0</v>
      </c>
      <c r="AG94" s="40">
        <v>0</v>
      </c>
      <c r="AH94" s="40">
        <v>0</v>
      </c>
      <c r="AI94" s="40">
        <v>0</v>
      </c>
      <c r="AJ94" s="40">
        <v>0</v>
      </c>
      <c r="AK94" s="40">
        <v>0</v>
      </c>
      <c r="AL94" s="40">
        <v>0</v>
      </c>
      <c r="AM94" s="40">
        <v>0</v>
      </c>
      <c r="AN94" s="40">
        <v>0</v>
      </c>
      <c r="AO94" s="40">
        <v>0</v>
      </c>
      <c r="AP94" s="40">
        <v>0</v>
      </c>
      <c r="AQ94" s="40">
        <v>0</v>
      </c>
      <c r="AR94" s="40">
        <v>0</v>
      </c>
      <c r="AS94" s="40">
        <v>0</v>
      </c>
      <c r="AT94" s="40">
        <v>0</v>
      </c>
      <c r="AU94" s="40">
        <v>0</v>
      </c>
      <c r="AV94" s="40">
        <v>0</v>
      </c>
      <c r="AW94" s="40">
        <v>0</v>
      </c>
      <c r="AX94" s="40">
        <v>0</v>
      </c>
      <c r="AY94" s="40">
        <v>0</v>
      </c>
      <c r="AZ94" s="40">
        <v>0</v>
      </c>
      <c r="BA94" s="40">
        <v>0</v>
      </c>
      <c r="BB94" s="40">
        <v>0</v>
      </c>
      <c r="BC94" s="40">
        <v>0</v>
      </c>
      <c r="BD94" s="40">
        <v>0</v>
      </c>
      <c r="BE94" s="40">
        <v>0</v>
      </c>
      <c r="BF94" s="40">
        <v>0</v>
      </c>
      <c r="BG94" s="40">
        <v>0</v>
      </c>
      <c r="BH94" s="40">
        <v>0</v>
      </c>
      <c r="BI94" s="40">
        <v>0</v>
      </c>
      <c r="BJ94" s="40">
        <v>0</v>
      </c>
      <c r="BK94" s="40">
        <v>0</v>
      </c>
      <c r="BL94" s="40">
        <v>0</v>
      </c>
      <c r="BM94" s="40">
        <v>0</v>
      </c>
      <c r="BN94" s="40">
        <v>0</v>
      </c>
      <c r="BO94" s="40">
        <v>0</v>
      </c>
      <c r="BP94" s="40">
        <v>0</v>
      </c>
      <c r="BQ94" s="40">
        <v>0</v>
      </c>
      <c r="BR94" s="40">
        <v>0</v>
      </c>
      <c r="BS94" s="40">
        <v>0</v>
      </c>
      <c r="BT94" s="40">
        <v>0</v>
      </c>
      <c r="BU94" s="40">
        <v>0</v>
      </c>
      <c r="BV94" s="40">
        <v>0</v>
      </c>
      <c r="BW94" s="40">
        <v>0</v>
      </c>
      <c r="BX94" s="40">
        <v>0</v>
      </c>
      <c r="BY94" s="40">
        <v>0</v>
      </c>
      <c r="BZ94" s="40">
        <v>0</v>
      </c>
      <c r="CA94" s="40">
        <v>0</v>
      </c>
      <c r="CB94" s="40">
        <v>0</v>
      </c>
      <c r="CC94" s="40">
        <v>0</v>
      </c>
      <c r="CD94" s="40">
        <v>0</v>
      </c>
      <c r="CE94" s="40">
        <v>0</v>
      </c>
      <c r="CF94" s="40">
        <v>0</v>
      </c>
      <c r="CG94" s="40">
        <v>0</v>
      </c>
      <c r="CH94" s="40">
        <v>0</v>
      </c>
      <c r="CI94" s="40">
        <v>0</v>
      </c>
      <c r="CJ94" s="40">
        <v>0</v>
      </c>
      <c r="CK94" s="40">
        <v>0</v>
      </c>
      <c r="CL94" s="40">
        <v>0</v>
      </c>
    </row>
    <row r="95" spans="1:90">
      <c r="A95" s="132" t="s">
        <v>66</v>
      </c>
      <c r="B95" s="40">
        <v>685571.77</v>
      </c>
      <c r="C95" s="40">
        <v>685571.77</v>
      </c>
      <c r="D95" s="40">
        <v>685571.77</v>
      </c>
      <c r="E95" s="40">
        <v>685571.77</v>
      </c>
      <c r="F95" s="40">
        <v>684758.03</v>
      </c>
      <c r="G95" s="40">
        <v>684758.03</v>
      </c>
      <c r="H95" s="40">
        <v>684758.03</v>
      </c>
      <c r="I95" s="40">
        <v>684758.03</v>
      </c>
      <c r="J95" s="40">
        <v>682702.81</v>
      </c>
      <c r="K95" s="40">
        <v>680590.07</v>
      </c>
      <c r="L95" s="40">
        <v>661249.36</v>
      </c>
      <c r="M95" s="40">
        <v>601936</v>
      </c>
      <c r="N95" s="40">
        <v>522235.89</v>
      </c>
      <c r="O95" s="40">
        <v>267192.76</v>
      </c>
      <c r="P95" s="40">
        <v>0</v>
      </c>
      <c r="Q95" s="40">
        <v>0</v>
      </c>
      <c r="R95" s="40">
        <v>0</v>
      </c>
      <c r="S95" s="40">
        <v>0</v>
      </c>
      <c r="T95" s="40">
        <v>0</v>
      </c>
      <c r="U95" s="40">
        <v>0</v>
      </c>
      <c r="V95" s="40">
        <v>0</v>
      </c>
      <c r="W95" s="40">
        <v>0</v>
      </c>
      <c r="X95" s="40">
        <v>0</v>
      </c>
      <c r="Y95" s="40">
        <v>0</v>
      </c>
      <c r="Z95" s="40">
        <v>0</v>
      </c>
      <c r="AA95" s="40">
        <v>0</v>
      </c>
      <c r="AB95" s="40">
        <v>0</v>
      </c>
      <c r="AC95" s="40">
        <v>0</v>
      </c>
      <c r="AD95" s="40">
        <v>0</v>
      </c>
      <c r="AE95" s="40">
        <v>0</v>
      </c>
      <c r="AF95" s="40">
        <v>0</v>
      </c>
      <c r="AG95" s="40">
        <v>0</v>
      </c>
      <c r="AH95" s="40">
        <v>0</v>
      </c>
      <c r="AI95" s="40">
        <v>0</v>
      </c>
      <c r="AJ95" s="40">
        <v>0</v>
      </c>
      <c r="AK95" s="40">
        <v>0</v>
      </c>
      <c r="AL95" s="40">
        <v>0</v>
      </c>
      <c r="AM95" s="40">
        <v>0</v>
      </c>
      <c r="AN95" s="40">
        <v>0</v>
      </c>
      <c r="AO95" s="40">
        <v>0</v>
      </c>
      <c r="AP95" s="40">
        <v>0</v>
      </c>
      <c r="AQ95" s="40">
        <v>0</v>
      </c>
      <c r="AR95" s="40">
        <v>0</v>
      </c>
      <c r="AS95" s="40">
        <v>0</v>
      </c>
      <c r="AT95" s="40">
        <v>0</v>
      </c>
      <c r="AU95" s="40">
        <v>0</v>
      </c>
      <c r="AV95" s="40">
        <v>0</v>
      </c>
      <c r="AW95" s="40">
        <v>0</v>
      </c>
      <c r="AX95" s="40">
        <v>0</v>
      </c>
      <c r="AY95" s="40">
        <v>0</v>
      </c>
      <c r="AZ95" s="40">
        <v>0</v>
      </c>
      <c r="BA95" s="40">
        <v>0</v>
      </c>
      <c r="BB95" s="40">
        <v>0</v>
      </c>
      <c r="BC95" s="40">
        <v>0</v>
      </c>
      <c r="BD95" s="40">
        <v>0</v>
      </c>
      <c r="BE95" s="40">
        <v>0</v>
      </c>
      <c r="BF95" s="40">
        <v>0</v>
      </c>
      <c r="BG95" s="40">
        <v>0</v>
      </c>
      <c r="BH95" s="40">
        <v>0</v>
      </c>
      <c r="BI95" s="40">
        <v>0</v>
      </c>
      <c r="BJ95" s="40">
        <v>0</v>
      </c>
      <c r="BK95" s="40">
        <v>0</v>
      </c>
      <c r="BL95" s="40">
        <v>0</v>
      </c>
      <c r="BM95" s="40">
        <v>0</v>
      </c>
      <c r="BN95" s="40">
        <v>0</v>
      </c>
      <c r="BO95" s="40">
        <v>0</v>
      </c>
      <c r="BP95" s="40">
        <v>0</v>
      </c>
      <c r="BQ95" s="40">
        <v>0</v>
      </c>
      <c r="BR95" s="40">
        <v>0</v>
      </c>
      <c r="BS95" s="40">
        <v>0</v>
      </c>
      <c r="BT95" s="40">
        <v>0</v>
      </c>
      <c r="BU95" s="40">
        <v>0</v>
      </c>
      <c r="BV95" s="40">
        <v>0</v>
      </c>
      <c r="BW95" s="40">
        <v>0</v>
      </c>
      <c r="BX95" s="40">
        <v>0</v>
      </c>
      <c r="BY95" s="40">
        <v>0</v>
      </c>
      <c r="BZ95" s="40">
        <v>0</v>
      </c>
      <c r="CA95" s="40">
        <v>0</v>
      </c>
      <c r="CB95" s="40">
        <v>0</v>
      </c>
      <c r="CC95" s="40">
        <v>0</v>
      </c>
      <c r="CD95" s="40">
        <v>0</v>
      </c>
      <c r="CE95" s="40">
        <v>0</v>
      </c>
      <c r="CF95" s="40">
        <v>0</v>
      </c>
      <c r="CG95" s="40">
        <v>0</v>
      </c>
      <c r="CH95" s="40">
        <v>0</v>
      </c>
      <c r="CI95" s="40">
        <v>0</v>
      </c>
      <c r="CJ95" s="40">
        <v>0</v>
      </c>
      <c r="CK95" s="40">
        <v>0</v>
      </c>
      <c r="CL95" s="40">
        <v>0</v>
      </c>
    </row>
    <row r="96" spans="1:90">
      <c r="A96" s="132" t="s">
        <v>67</v>
      </c>
      <c r="B96" s="40">
        <v>40560349.729999997</v>
      </c>
      <c r="C96" s="40">
        <v>40560349.729999997</v>
      </c>
      <c r="D96" s="40">
        <v>40560349.729999997</v>
      </c>
      <c r="E96" s="40">
        <v>40560349.729999997</v>
      </c>
      <c r="F96" s="40">
        <v>33636683.439999998</v>
      </c>
      <c r="G96" s="40">
        <v>33636683.439999998</v>
      </c>
      <c r="H96" s="40">
        <v>33636683.439999998</v>
      </c>
      <c r="I96" s="40">
        <v>33636683.439999998</v>
      </c>
      <c r="J96" s="40">
        <v>27479075.350000001</v>
      </c>
      <c r="K96" s="40">
        <v>27479075.350000001</v>
      </c>
      <c r="L96" s="40">
        <v>27479075.350000001</v>
      </c>
      <c r="M96" s="40">
        <v>21809124.050000001</v>
      </c>
      <c r="N96" s="40">
        <v>14663307.470000001</v>
      </c>
      <c r="O96" s="40">
        <v>6794843.21</v>
      </c>
      <c r="P96" s="40">
        <v>4147422.84</v>
      </c>
      <c r="Q96" s="40">
        <v>0</v>
      </c>
      <c r="R96" s="40">
        <v>99557973.579999998</v>
      </c>
      <c r="S96" s="40">
        <v>99557973.579999998</v>
      </c>
      <c r="T96" s="40">
        <v>99557973.579999998</v>
      </c>
      <c r="U96" s="40">
        <v>99557973.579999998</v>
      </c>
      <c r="V96" s="40">
        <v>74491263.400000006</v>
      </c>
      <c r="W96" s="40">
        <v>74491263.400000006</v>
      </c>
      <c r="X96" s="40">
        <v>74491263.400000006</v>
      </c>
      <c r="Y96" s="40">
        <v>74491263.400000006</v>
      </c>
      <c r="Z96" s="40">
        <v>49635944.340000004</v>
      </c>
      <c r="AA96" s="40">
        <v>49635944.340000004</v>
      </c>
      <c r="AB96" s="40">
        <v>49635944.340000004</v>
      </c>
      <c r="AC96" s="40">
        <v>49635944.340000004</v>
      </c>
      <c r="AD96" s="40">
        <v>31244114.469999999</v>
      </c>
      <c r="AE96" s="40">
        <v>31244114.469999999</v>
      </c>
      <c r="AF96" s="40">
        <v>31244114.469999999</v>
      </c>
      <c r="AG96" s="40">
        <v>31244114.469999999</v>
      </c>
      <c r="AH96" s="40">
        <v>19739193.870000001</v>
      </c>
      <c r="AI96" s="40">
        <v>19739193.870000001</v>
      </c>
      <c r="AJ96" s="40">
        <v>19739193.870000001</v>
      </c>
      <c r="AK96" s="40">
        <v>13375640.85</v>
      </c>
      <c r="AL96" s="40">
        <v>10051039.23</v>
      </c>
      <c r="AM96" s="40">
        <v>0</v>
      </c>
      <c r="AN96" s="40">
        <v>13520932.119999999</v>
      </c>
      <c r="AO96" s="40">
        <v>5003489.68</v>
      </c>
      <c r="AP96" s="40">
        <v>24758542.620000001</v>
      </c>
      <c r="AQ96" s="40">
        <v>0</v>
      </c>
      <c r="AR96" s="40">
        <v>747153162.12</v>
      </c>
      <c r="AS96" s="40">
        <v>747153162.12</v>
      </c>
      <c r="AT96" s="40">
        <v>396808306.86000001</v>
      </c>
      <c r="AU96" s="40">
        <v>826758649.22000003</v>
      </c>
      <c r="AV96" s="40">
        <v>826864618.09000003</v>
      </c>
      <c r="AW96" s="40">
        <v>838333509.35000002</v>
      </c>
      <c r="AX96" s="40">
        <v>748346692.34000003</v>
      </c>
      <c r="AY96" s="40">
        <v>748346692.34000003</v>
      </c>
      <c r="AZ96" s="40">
        <v>748197550.34000003</v>
      </c>
      <c r="BA96" s="40">
        <v>748197550.34000003</v>
      </c>
      <c r="BB96" s="40">
        <v>668527882.49000001</v>
      </c>
      <c r="BC96" s="40">
        <v>668527882.49000001</v>
      </c>
      <c r="BD96" s="40">
        <v>665605093.65999997</v>
      </c>
      <c r="BE96" s="40">
        <v>666815227.25</v>
      </c>
      <c r="BF96" s="40">
        <v>567984565.92999995</v>
      </c>
      <c r="BG96" s="40">
        <v>567984565.92999995</v>
      </c>
      <c r="BH96" s="40">
        <v>567984565.94000006</v>
      </c>
      <c r="BI96" s="40">
        <v>567244885.92999995</v>
      </c>
      <c r="BJ96" s="40">
        <v>419337334.51999998</v>
      </c>
      <c r="BK96" s="40">
        <v>418925284.51999998</v>
      </c>
      <c r="BL96" s="40">
        <v>417678847.70999998</v>
      </c>
      <c r="BM96" s="40">
        <v>417678847.70999998</v>
      </c>
      <c r="BN96" s="40">
        <v>284703861.92000002</v>
      </c>
      <c r="BO96" s="40">
        <v>284703861.92000002</v>
      </c>
      <c r="BP96" s="40">
        <v>284703861.92000002</v>
      </c>
      <c r="BQ96" s="40">
        <v>284703861.92000002</v>
      </c>
      <c r="BR96" s="40">
        <v>176995325.03999999</v>
      </c>
      <c r="BS96" s="40">
        <v>175028150.86000001</v>
      </c>
      <c r="BT96" s="40">
        <v>166077140.02000001</v>
      </c>
      <c r="BU96" s="40">
        <v>163213138.47</v>
      </c>
      <c r="BV96" s="40">
        <v>163539774.94999999</v>
      </c>
      <c r="BW96" s="40">
        <v>143804245.41</v>
      </c>
      <c r="BX96" s="40">
        <v>143505737.25</v>
      </c>
      <c r="BY96" s="40">
        <v>144024016.50999999</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c r="A97" s="132" t="s">
        <v>68</v>
      </c>
      <c r="B97" s="40">
        <v>0</v>
      </c>
      <c r="C97" s="40">
        <v>0</v>
      </c>
      <c r="D97" s="40">
        <v>0</v>
      </c>
      <c r="E97" s="40">
        <v>0</v>
      </c>
      <c r="F97" s="40">
        <v>0</v>
      </c>
      <c r="G97" s="40">
        <v>0</v>
      </c>
      <c r="H97" s="40">
        <v>0</v>
      </c>
      <c r="I97" s="40">
        <v>0</v>
      </c>
      <c r="J97" s="40">
        <v>0</v>
      </c>
      <c r="K97" s="40">
        <v>0</v>
      </c>
      <c r="L97" s="40">
        <v>0</v>
      </c>
      <c r="M97" s="40">
        <v>0</v>
      </c>
      <c r="N97" s="40">
        <v>0</v>
      </c>
      <c r="O97" s="40">
        <v>0</v>
      </c>
      <c r="P97" s="40">
        <v>0</v>
      </c>
      <c r="Q97" s="40">
        <v>0</v>
      </c>
      <c r="R97" s="40">
        <v>0</v>
      </c>
      <c r="S97" s="40">
        <v>0</v>
      </c>
      <c r="T97" s="40">
        <v>0</v>
      </c>
      <c r="U97" s="40">
        <v>0</v>
      </c>
      <c r="V97" s="40">
        <v>0</v>
      </c>
      <c r="W97" s="40">
        <v>0</v>
      </c>
      <c r="X97" s="40">
        <v>0</v>
      </c>
      <c r="Y97" s="40">
        <v>0</v>
      </c>
      <c r="Z97" s="40">
        <v>0</v>
      </c>
      <c r="AA97" s="40">
        <v>0</v>
      </c>
      <c r="AB97" s="40">
        <v>0</v>
      </c>
      <c r="AC97" s="40">
        <v>0</v>
      </c>
      <c r="AD97" s="40">
        <v>0</v>
      </c>
      <c r="AE97" s="40">
        <v>0</v>
      </c>
      <c r="AF97" s="40">
        <v>0</v>
      </c>
      <c r="AG97" s="40">
        <v>0</v>
      </c>
      <c r="AH97" s="40">
        <v>0</v>
      </c>
      <c r="AI97" s="40">
        <v>0</v>
      </c>
      <c r="AJ97" s="40">
        <v>0</v>
      </c>
      <c r="AK97" s="40">
        <v>0</v>
      </c>
      <c r="AL97" s="40">
        <v>0</v>
      </c>
      <c r="AM97" s="40">
        <v>0</v>
      </c>
      <c r="AN97" s="40">
        <v>0</v>
      </c>
      <c r="AO97" s="40">
        <v>0</v>
      </c>
      <c r="AP97" s="40">
        <v>0</v>
      </c>
      <c r="AQ97" s="40">
        <v>0</v>
      </c>
      <c r="AR97" s="40">
        <v>0</v>
      </c>
      <c r="AS97" s="40">
        <v>0</v>
      </c>
      <c r="AT97" s="40">
        <v>0</v>
      </c>
      <c r="AU97" s="40">
        <v>0</v>
      </c>
      <c r="AV97" s="40">
        <v>0</v>
      </c>
      <c r="AW97" s="40">
        <v>0</v>
      </c>
      <c r="AX97" s="40">
        <v>0</v>
      </c>
      <c r="AY97" s="40">
        <v>0</v>
      </c>
      <c r="AZ97" s="40">
        <v>0</v>
      </c>
      <c r="BA97" s="40">
        <v>0</v>
      </c>
      <c r="BB97" s="40">
        <v>0</v>
      </c>
      <c r="BC97" s="40">
        <v>0</v>
      </c>
      <c r="BD97" s="40">
        <v>0</v>
      </c>
      <c r="BE97" s="40">
        <v>0</v>
      </c>
      <c r="BF97" s="40">
        <v>0</v>
      </c>
      <c r="BG97" s="40">
        <v>0</v>
      </c>
      <c r="BH97" s="40">
        <v>0</v>
      </c>
      <c r="BI97" s="40">
        <v>0</v>
      </c>
      <c r="BJ97" s="40">
        <v>0</v>
      </c>
      <c r="BK97" s="40">
        <v>0</v>
      </c>
      <c r="BL97" s="40">
        <v>0</v>
      </c>
      <c r="BM97" s="40">
        <v>0</v>
      </c>
      <c r="BN97" s="40">
        <v>0</v>
      </c>
      <c r="BO97" s="40">
        <v>0</v>
      </c>
      <c r="BP97" s="40">
        <v>0</v>
      </c>
      <c r="BQ97" s="40">
        <v>0</v>
      </c>
      <c r="BR97" s="40">
        <v>0</v>
      </c>
      <c r="BS97" s="40">
        <v>0</v>
      </c>
      <c r="BT97" s="40">
        <v>0</v>
      </c>
      <c r="BU97" s="40">
        <v>0</v>
      </c>
      <c r="BV97" s="40">
        <v>0</v>
      </c>
      <c r="BW97" s="40">
        <v>0</v>
      </c>
      <c r="BX97" s="40">
        <v>0</v>
      </c>
      <c r="BY97" s="40">
        <v>0</v>
      </c>
      <c r="BZ97" s="40">
        <v>0</v>
      </c>
      <c r="CA97" s="40">
        <v>0</v>
      </c>
      <c r="CB97" s="40">
        <v>0</v>
      </c>
      <c r="CC97" s="40">
        <v>0</v>
      </c>
      <c r="CD97" s="40">
        <v>0</v>
      </c>
      <c r="CE97" s="40">
        <v>0</v>
      </c>
      <c r="CF97" s="40">
        <v>0</v>
      </c>
      <c r="CG97" s="40">
        <v>0</v>
      </c>
      <c r="CH97" s="40">
        <v>0</v>
      </c>
      <c r="CI97" s="40">
        <v>0</v>
      </c>
      <c r="CJ97" s="40">
        <v>0</v>
      </c>
      <c r="CK97" s="40">
        <v>0</v>
      </c>
      <c r="CL97" s="40">
        <v>0</v>
      </c>
    </row>
    <row r="98" spans="1:90">
      <c r="A98" s="132" t="s">
        <v>69</v>
      </c>
      <c r="B98" s="40">
        <v>308505657.23000002</v>
      </c>
      <c r="C98" s="40">
        <v>280638207</v>
      </c>
      <c r="D98" s="40">
        <v>253494229.03</v>
      </c>
      <c r="E98" s="40">
        <v>246059661.28</v>
      </c>
      <c r="F98" s="40">
        <v>219490749.97</v>
      </c>
      <c r="G98" s="40">
        <v>203344771.53999999</v>
      </c>
      <c r="H98" s="40">
        <v>194530265.71000001</v>
      </c>
      <c r="I98" s="40">
        <v>192766981.62</v>
      </c>
      <c r="J98" s="40">
        <v>177037128.06999999</v>
      </c>
      <c r="K98" s="40">
        <v>166800319.37</v>
      </c>
      <c r="L98" s="40">
        <v>137148032.59999999</v>
      </c>
      <c r="M98" s="40">
        <v>114827041.47</v>
      </c>
      <c r="N98" s="40">
        <v>80063666.510000005</v>
      </c>
      <c r="O98" s="40">
        <v>23900877.149999999</v>
      </c>
      <c r="P98" s="40">
        <v>36031390.299999997</v>
      </c>
      <c r="Q98" s="40">
        <v>0</v>
      </c>
      <c r="R98" s="40">
        <v>994597147.72000003</v>
      </c>
      <c r="S98" s="40">
        <v>851189355.33000004</v>
      </c>
      <c r="T98" s="40">
        <v>783979856.85000002</v>
      </c>
      <c r="U98" s="40">
        <v>734040194.26999998</v>
      </c>
      <c r="V98" s="40">
        <v>698777688.49000001</v>
      </c>
      <c r="W98" s="40">
        <v>585048847.23000002</v>
      </c>
      <c r="X98" s="40">
        <v>581226766.09000003</v>
      </c>
      <c r="Y98" s="40">
        <v>533843042.73000002</v>
      </c>
      <c r="Z98" s="40">
        <v>519742937.47000003</v>
      </c>
      <c r="AA98" s="40">
        <v>429492483.57999998</v>
      </c>
      <c r="AB98" s="40">
        <v>416974547.32999998</v>
      </c>
      <c r="AC98" s="40">
        <v>376072495.81</v>
      </c>
      <c r="AD98" s="40">
        <v>362662819.63</v>
      </c>
      <c r="AE98" s="40">
        <v>276617074.88999999</v>
      </c>
      <c r="AF98" s="40">
        <v>249227422.28999999</v>
      </c>
      <c r="AG98" s="40">
        <v>222645755.86000001</v>
      </c>
      <c r="AH98" s="40">
        <v>214374800.87</v>
      </c>
      <c r="AI98" s="40">
        <v>141896554.81</v>
      </c>
      <c r="AJ98" s="40">
        <v>96012747.620000005</v>
      </c>
      <c r="AK98" s="40">
        <v>90381231.090000004</v>
      </c>
      <c r="AL98" s="40">
        <v>50541111.759999998</v>
      </c>
      <c r="AM98" s="40">
        <v>0</v>
      </c>
      <c r="AN98" s="40">
        <v>112038259.65000001</v>
      </c>
      <c r="AO98" s="40">
        <v>54339534.890000001</v>
      </c>
      <c r="AP98" s="40">
        <v>62410895.600000001</v>
      </c>
      <c r="AQ98" s="40">
        <v>0</v>
      </c>
      <c r="AR98" s="40">
        <v>980521327.10000002</v>
      </c>
      <c r="AS98" s="40">
        <v>848115182.62</v>
      </c>
      <c r="AT98" s="40">
        <v>1118613055.72</v>
      </c>
      <c r="AU98" s="40">
        <v>525357157.43000001</v>
      </c>
      <c r="AV98" s="40">
        <v>403461761.73000002</v>
      </c>
      <c r="AW98" s="40">
        <v>371544386</v>
      </c>
      <c r="AX98" s="40">
        <v>363429189.26999998</v>
      </c>
      <c r="AY98" s="40">
        <v>244467864.97999999</v>
      </c>
      <c r="AZ98" s="40">
        <v>254618309.40000001</v>
      </c>
      <c r="BA98" s="40">
        <v>192812684.94999999</v>
      </c>
      <c r="BB98" s="40">
        <v>292526515.91000003</v>
      </c>
      <c r="BC98" s="40">
        <v>281230052.56999999</v>
      </c>
      <c r="BD98" s="40">
        <v>406650004.85000002</v>
      </c>
      <c r="BE98" s="40">
        <v>334116866.01999998</v>
      </c>
      <c r="BF98" s="40">
        <v>445681844.19</v>
      </c>
      <c r="BG98" s="40">
        <v>455559933.64999998</v>
      </c>
      <c r="BH98" s="40">
        <v>344656493.63999999</v>
      </c>
      <c r="BI98" s="40">
        <v>264614110.94</v>
      </c>
      <c r="BJ98" s="40">
        <v>363358290.55000001</v>
      </c>
      <c r="BK98" s="40">
        <v>278089580.66000003</v>
      </c>
      <c r="BL98" s="40">
        <v>133770782.09999999</v>
      </c>
      <c r="BM98" s="40">
        <v>119842474.04000001</v>
      </c>
      <c r="BN98" s="40">
        <v>257284974.88</v>
      </c>
      <c r="BO98" s="40">
        <v>170190260.5</v>
      </c>
      <c r="BP98" s="40">
        <v>105853126.12</v>
      </c>
      <c r="BQ98" s="40">
        <v>36818416.619999997</v>
      </c>
      <c r="BR98" s="40">
        <v>164751884.61000001</v>
      </c>
      <c r="BS98" s="40">
        <v>24363807.969999999</v>
      </c>
      <c r="BT98" s="40">
        <v>241854991.44</v>
      </c>
      <c r="BU98" s="40">
        <v>99358862.480000004</v>
      </c>
      <c r="BV98" s="40">
        <v>189774679.28999999</v>
      </c>
      <c r="BW98" s="40">
        <v>110559227.73</v>
      </c>
      <c r="BX98" s="40">
        <v>92578090.409999996</v>
      </c>
      <c r="BY98" s="40">
        <v>105677677.75</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c r="A99" s="132" t="s">
        <v>70</v>
      </c>
      <c r="B99" s="40">
        <v>0</v>
      </c>
      <c r="C99" s="40">
        <v>0</v>
      </c>
      <c r="D99" s="40">
        <v>0</v>
      </c>
      <c r="E99" s="40">
        <v>0</v>
      </c>
      <c r="F99" s="40">
        <v>0</v>
      </c>
      <c r="G99" s="40">
        <v>0</v>
      </c>
      <c r="H99" s="40">
        <v>0</v>
      </c>
      <c r="I99" s="40">
        <v>0</v>
      </c>
      <c r="J99" s="40">
        <v>0</v>
      </c>
      <c r="K99" s="40">
        <v>0</v>
      </c>
      <c r="L99" s="40">
        <v>0</v>
      </c>
      <c r="M99" s="40">
        <v>0</v>
      </c>
      <c r="N99" s="40">
        <v>0</v>
      </c>
      <c r="O99" s="40">
        <v>0</v>
      </c>
      <c r="P99" s="40">
        <v>0</v>
      </c>
      <c r="Q99" s="40">
        <v>0</v>
      </c>
      <c r="R99" s="40">
        <v>0</v>
      </c>
      <c r="S99" s="40">
        <v>0</v>
      </c>
      <c r="T99" s="40">
        <v>0</v>
      </c>
      <c r="U99" s="40">
        <v>0</v>
      </c>
      <c r="V99" s="40">
        <v>0</v>
      </c>
      <c r="W99" s="40">
        <v>0</v>
      </c>
      <c r="X99" s="40">
        <v>0</v>
      </c>
      <c r="Y99" s="40">
        <v>0</v>
      </c>
      <c r="Z99" s="40">
        <v>0</v>
      </c>
      <c r="AA99" s="40">
        <v>0</v>
      </c>
      <c r="AB99" s="40">
        <v>0</v>
      </c>
      <c r="AC99" s="40">
        <v>0</v>
      </c>
      <c r="AD99" s="40">
        <v>0</v>
      </c>
      <c r="AE99" s="40">
        <v>0</v>
      </c>
      <c r="AF99" s="40">
        <v>0</v>
      </c>
      <c r="AG99" s="40">
        <v>0</v>
      </c>
      <c r="AH99" s="40">
        <v>0</v>
      </c>
      <c r="AI99" s="40">
        <v>0</v>
      </c>
      <c r="AJ99" s="40">
        <v>0</v>
      </c>
      <c r="AK99" s="40">
        <v>3150000</v>
      </c>
      <c r="AL99" s="40">
        <v>7287500</v>
      </c>
      <c r="AM99" s="40">
        <v>0</v>
      </c>
      <c r="AN99" s="40">
        <v>4131556.94</v>
      </c>
      <c r="AO99" s="40">
        <v>0</v>
      </c>
      <c r="AP99" s="40">
        <v>0</v>
      </c>
      <c r="AQ99" s="40">
        <v>0</v>
      </c>
      <c r="AR99" s="40">
        <v>43213634.93</v>
      </c>
      <c r="AS99" s="40">
        <v>44288109.770000003</v>
      </c>
      <c r="AT99" s="40">
        <v>54341932.829999998</v>
      </c>
      <c r="AU99" s="40">
        <v>319264432.52999997</v>
      </c>
      <c r="AV99" s="40">
        <v>33902616.829999998</v>
      </c>
      <c r="AW99" s="40">
        <v>33902616.829999998</v>
      </c>
      <c r="AX99" s="40">
        <v>179475468.03</v>
      </c>
      <c r="AY99" s="40">
        <v>299373482.26999998</v>
      </c>
      <c r="AZ99" s="40">
        <v>15082286.01</v>
      </c>
      <c r="BA99" s="40">
        <v>10591636.66</v>
      </c>
      <c r="BB99" s="40">
        <v>27228651.460000001</v>
      </c>
      <c r="BC99" s="40">
        <v>215651038.53999999</v>
      </c>
      <c r="BD99" s="40">
        <v>25537143.440000001</v>
      </c>
      <c r="BE99" s="40">
        <v>19472806.489999998</v>
      </c>
      <c r="BF99" s="40">
        <v>19698608.93</v>
      </c>
      <c r="BG99" s="40">
        <v>232494010.44</v>
      </c>
      <c r="BH99" s="40">
        <v>19179643.98</v>
      </c>
      <c r="BI99" s="40">
        <v>16065471.57</v>
      </c>
      <c r="BJ99" s="40">
        <v>43569214.75</v>
      </c>
      <c r="BK99" s="40">
        <v>246368290.06999999</v>
      </c>
      <c r="BL99" s="40">
        <v>91578714.030000001</v>
      </c>
      <c r="BM99" s="40">
        <v>27851089.530000001</v>
      </c>
      <c r="BN99" s="40">
        <v>39662609.43</v>
      </c>
      <c r="BO99" s="40">
        <v>283532691.08999997</v>
      </c>
      <c r="BP99" s="40">
        <v>82394943.739999995</v>
      </c>
      <c r="BQ99" s="40">
        <v>94133175.359999999</v>
      </c>
      <c r="BR99" s="40">
        <v>262523853.59999999</v>
      </c>
      <c r="BS99" s="40">
        <v>175655544.66</v>
      </c>
      <c r="BT99" s="40">
        <v>172517845.40000001</v>
      </c>
      <c r="BU99" s="40">
        <v>67785291.349999994</v>
      </c>
      <c r="BV99" s="40">
        <v>51135992.259999998</v>
      </c>
      <c r="BW99" s="40">
        <v>13917863.050000001</v>
      </c>
      <c r="BX99" s="40">
        <v>0</v>
      </c>
      <c r="BY99" s="40">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c r="A100" s="132"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c r="A101" s="132" t="s">
        <v>71</v>
      </c>
      <c r="B101" s="40">
        <v>0</v>
      </c>
      <c r="C101" s="40">
        <v>0</v>
      </c>
      <c r="D101" s="40">
        <v>0</v>
      </c>
      <c r="E101" s="40">
        <v>0</v>
      </c>
      <c r="F101" s="40">
        <v>0</v>
      </c>
      <c r="G101" s="40">
        <v>0</v>
      </c>
      <c r="H101" s="40">
        <v>0</v>
      </c>
      <c r="I101" s="40">
        <v>0</v>
      </c>
      <c r="J101" s="40">
        <v>0</v>
      </c>
      <c r="K101" s="40">
        <v>0</v>
      </c>
      <c r="L101" s="40">
        <v>0</v>
      </c>
      <c r="M101" s="40">
        <v>0</v>
      </c>
      <c r="N101" s="40">
        <v>0</v>
      </c>
      <c r="O101" s="40">
        <v>0</v>
      </c>
      <c r="P101" s="40">
        <v>0</v>
      </c>
      <c r="Q101" s="40">
        <v>0</v>
      </c>
      <c r="R101" s="40">
        <v>0</v>
      </c>
      <c r="S101" s="40">
        <v>0</v>
      </c>
      <c r="T101" s="40">
        <v>0</v>
      </c>
      <c r="U101" s="40">
        <v>0</v>
      </c>
      <c r="V101" s="40">
        <v>0</v>
      </c>
      <c r="W101" s="40">
        <v>0</v>
      </c>
      <c r="X101" s="40">
        <v>0</v>
      </c>
      <c r="Y101" s="40">
        <v>0</v>
      </c>
      <c r="Z101" s="40">
        <v>0</v>
      </c>
      <c r="AA101" s="40">
        <v>0</v>
      </c>
      <c r="AB101" s="40">
        <v>0</v>
      </c>
      <c r="AC101" s="40">
        <v>0</v>
      </c>
      <c r="AD101" s="40">
        <v>0</v>
      </c>
      <c r="AE101" s="40">
        <v>0</v>
      </c>
      <c r="AF101" s="40">
        <v>0</v>
      </c>
      <c r="AG101" s="40">
        <v>0</v>
      </c>
      <c r="AH101" s="40">
        <v>0</v>
      </c>
      <c r="AI101" s="40">
        <v>0</v>
      </c>
      <c r="AJ101" s="40">
        <v>0</v>
      </c>
      <c r="AK101" s="40">
        <v>0</v>
      </c>
      <c r="AL101" s="40">
        <v>0</v>
      </c>
      <c r="AM101" s="40">
        <v>0</v>
      </c>
      <c r="AN101" s="40">
        <v>0</v>
      </c>
      <c r="AO101" s="40">
        <v>0</v>
      </c>
      <c r="AP101" s="40">
        <v>0</v>
      </c>
      <c r="AQ101" s="40">
        <v>0</v>
      </c>
      <c r="AR101" s="40">
        <v>0</v>
      </c>
      <c r="AS101" s="40">
        <v>0</v>
      </c>
      <c r="AT101" s="40">
        <v>0</v>
      </c>
      <c r="AU101" s="40">
        <v>0</v>
      </c>
      <c r="AV101" s="40">
        <v>0</v>
      </c>
      <c r="AW101" s="40">
        <v>0</v>
      </c>
      <c r="AX101" s="40">
        <v>0</v>
      </c>
      <c r="AY101" s="40">
        <v>0</v>
      </c>
      <c r="AZ101" s="40">
        <v>0</v>
      </c>
      <c r="BA101" s="40">
        <v>0</v>
      </c>
      <c r="BB101" s="40">
        <v>0</v>
      </c>
      <c r="BC101" s="40">
        <v>0</v>
      </c>
      <c r="BD101" s="40">
        <v>0</v>
      </c>
      <c r="BE101" s="40">
        <v>0</v>
      </c>
      <c r="BF101" s="40">
        <v>0</v>
      </c>
      <c r="BG101" s="40">
        <v>0</v>
      </c>
      <c r="BH101" s="40">
        <v>0</v>
      </c>
      <c r="BI101" s="40">
        <v>0</v>
      </c>
      <c r="BJ101" s="40">
        <v>0</v>
      </c>
      <c r="BK101" s="40">
        <v>0</v>
      </c>
      <c r="BL101" s="40">
        <v>0</v>
      </c>
      <c r="BM101" s="40">
        <v>0</v>
      </c>
      <c r="BN101" s="40">
        <v>0</v>
      </c>
      <c r="BO101" s="40">
        <v>0</v>
      </c>
      <c r="BP101" s="40">
        <v>0</v>
      </c>
      <c r="BQ101" s="40">
        <v>0</v>
      </c>
      <c r="BR101" s="40">
        <v>0</v>
      </c>
      <c r="BS101" s="40">
        <v>0</v>
      </c>
      <c r="BT101" s="40">
        <v>0</v>
      </c>
      <c r="BU101" s="40">
        <v>0</v>
      </c>
      <c r="BV101" s="40">
        <v>0</v>
      </c>
      <c r="BW101" s="40"/>
      <c r="BX101" s="40"/>
      <c r="BY101" s="40"/>
      <c r="BZ101" s="40"/>
      <c r="CA101" s="40"/>
      <c r="CB101" s="40"/>
      <c r="CC101" s="40"/>
      <c r="CD101" s="40"/>
      <c r="CE101" s="40"/>
      <c r="CF101" s="40"/>
      <c r="CG101" s="40"/>
      <c r="CH101" s="40"/>
      <c r="CI101" s="40"/>
      <c r="CJ101" s="40"/>
      <c r="CK101" s="40"/>
      <c r="CL101" s="40"/>
    </row>
    <row r="102" spans="1:90">
      <c r="A102" s="132" t="s">
        <v>72</v>
      </c>
      <c r="B102" s="40">
        <v>712811485.13</v>
      </c>
      <c r="C102" s="40">
        <v>681573640.13999999</v>
      </c>
      <c r="D102" s="40">
        <v>652022780.16999996</v>
      </c>
      <c r="E102" s="40">
        <v>642774472.41999996</v>
      </c>
      <c r="F102" s="40">
        <v>609281081.08000004</v>
      </c>
      <c r="G102" s="40">
        <v>593135102.64999998</v>
      </c>
      <c r="H102" s="40">
        <v>584320596.82000005</v>
      </c>
      <c r="I102" s="40">
        <v>582557312.73000002</v>
      </c>
      <c r="J102" s="40">
        <v>279809125.20999998</v>
      </c>
      <c r="K102" s="40">
        <v>269570203.76999998</v>
      </c>
      <c r="L102" s="40">
        <v>239898576.28999999</v>
      </c>
      <c r="M102" s="40">
        <v>211848320.5</v>
      </c>
      <c r="N102" s="40">
        <v>169859428.84999999</v>
      </c>
      <c r="O102" s="40">
        <v>105573132.09999999</v>
      </c>
      <c r="P102" s="40">
        <v>62209713.140000001</v>
      </c>
      <c r="Q102" s="40">
        <v>0</v>
      </c>
      <c r="R102" s="40">
        <v>3399319323.4200001</v>
      </c>
      <c r="S102" s="40">
        <v>3255111531.02</v>
      </c>
      <c r="T102" s="40">
        <v>3187347232.5300002</v>
      </c>
      <c r="U102" s="40">
        <v>3136607569.9400001</v>
      </c>
      <c r="V102" s="40">
        <v>3077733383.98</v>
      </c>
      <c r="W102" s="40">
        <v>2962611042.7199998</v>
      </c>
      <c r="X102" s="40">
        <v>2934467881.5799999</v>
      </c>
      <c r="Y102" s="40">
        <v>2887084158.2199998</v>
      </c>
      <c r="Z102" s="40">
        <v>2848128733.9000001</v>
      </c>
      <c r="AA102" s="40">
        <v>2757878280.0100002</v>
      </c>
      <c r="AB102" s="40">
        <v>2745360343.7600002</v>
      </c>
      <c r="AC102" s="40">
        <v>2704458292.2399998</v>
      </c>
      <c r="AD102" s="40">
        <v>2672656786.1900001</v>
      </c>
      <c r="AE102" s="40">
        <v>2586611041.4499998</v>
      </c>
      <c r="AF102" s="40">
        <v>2559221388.8499999</v>
      </c>
      <c r="AG102" s="40">
        <v>2532639722.4200001</v>
      </c>
      <c r="AH102" s="40">
        <v>384442846.82999998</v>
      </c>
      <c r="AI102" s="40">
        <v>311964600.76999998</v>
      </c>
      <c r="AJ102" s="40">
        <v>266080793.58000001</v>
      </c>
      <c r="AK102" s="40">
        <v>164106871.94</v>
      </c>
      <c r="AL102" s="40">
        <v>120942150.98999999</v>
      </c>
      <c r="AM102" s="40">
        <v>0</v>
      </c>
      <c r="AN102" s="40">
        <v>233767245.90000001</v>
      </c>
      <c r="AO102" s="40">
        <v>156685426.28</v>
      </c>
      <c r="AP102" s="40">
        <v>104809883.55</v>
      </c>
      <c r="AQ102" s="40">
        <v>0</v>
      </c>
      <c r="AR102" s="40">
        <v>4190628054.0300002</v>
      </c>
      <c r="AS102" s="40">
        <v>4064286599.1199999</v>
      </c>
      <c r="AT102" s="40">
        <v>3989341897.48</v>
      </c>
      <c r="AU102" s="40">
        <v>3813591525.6199999</v>
      </c>
      <c r="AV102" s="40">
        <v>3659883322.9499998</v>
      </c>
      <c r="AW102" s="40">
        <v>3638341267.0599999</v>
      </c>
      <c r="AX102" s="40">
        <v>3539015570.1799998</v>
      </c>
      <c r="AY102" s="40">
        <v>3421458575.0700002</v>
      </c>
      <c r="AZ102" s="40">
        <v>3431964940.5599999</v>
      </c>
      <c r="BA102" s="40">
        <v>3370999396.0100002</v>
      </c>
      <c r="BB102" s="40">
        <v>3396914722.2199998</v>
      </c>
      <c r="BC102" s="40">
        <v>3385596561.1399999</v>
      </c>
      <c r="BD102" s="40">
        <v>3507956785.8600001</v>
      </c>
      <c r="BE102" s="40">
        <v>3436633780.6199999</v>
      </c>
      <c r="BF102" s="40">
        <v>3437811344.4899998</v>
      </c>
      <c r="BG102" s="40">
        <v>3446282917.3200002</v>
      </c>
      <c r="BH102" s="40">
        <v>3334183281.0999999</v>
      </c>
      <c r="BI102" s="40">
        <v>3253401218.4899998</v>
      </c>
      <c r="BJ102" s="40">
        <v>3188136701.4200001</v>
      </c>
      <c r="BK102" s="40">
        <v>3102411840.3600001</v>
      </c>
      <c r="BL102" s="40">
        <v>2956796260.9899998</v>
      </c>
      <c r="BM102" s="40">
        <v>2939782965.54</v>
      </c>
      <c r="BN102" s="40">
        <v>2938700204.0999999</v>
      </c>
      <c r="BO102" s="40">
        <v>2850988639.3499999</v>
      </c>
      <c r="BP102" s="40">
        <v>2784318534.5599999</v>
      </c>
      <c r="BQ102" s="40">
        <v>2714715040.6300001</v>
      </c>
      <c r="BR102" s="40">
        <v>2728596644.7199998</v>
      </c>
      <c r="BS102" s="40">
        <v>2591080115.2800002</v>
      </c>
      <c r="BT102" s="40">
        <v>2791716742.6399999</v>
      </c>
      <c r="BU102" s="40">
        <v>2645724841.4299998</v>
      </c>
      <c r="BV102" s="40">
        <v>1347281958.8599999</v>
      </c>
      <c r="BW102" s="40">
        <v>1248311269.76</v>
      </c>
      <c r="BX102" s="40">
        <v>1229599139.29</v>
      </c>
      <c r="BY102" s="40">
        <v>1243135953.28</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c r="A103" s="132" t="s">
        <v>73</v>
      </c>
      <c r="B103" s="40">
        <v>37687853.539999999</v>
      </c>
      <c r="C103" s="40">
        <v>38125464.689999998</v>
      </c>
      <c r="D103" s="40">
        <v>38255319.039999999</v>
      </c>
      <c r="E103" s="40">
        <v>38006229.109999999</v>
      </c>
      <c r="F103" s="40">
        <v>34287085.039999999</v>
      </c>
      <c r="G103" s="40">
        <v>0</v>
      </c>
      <c r="H103" s="40">
        <v>0</v>
      </c>
      <c r="I103" s="40">
        <v>0</v>
      </c>
      <c r="J103" s="40">
        <v>0</v>
      </c>
      <c r="K103" s="40">
        <v>0</v>
      </c>
      <c r="L103" s="40">
        <v>0</v>
      </c>
      <c r="M103" s="40">
        <v>0</v>
      </c>
      <c r="N103" s="40">
        <v>0</v>
      </c>
      <c r="O103" s="40">
        <v>0</v>
      </c>
      <c r="P103" s="40">
        <v>0</v>
      </c>
      <c r="Q103" s="40">
        <v>0</v>
      </c>
      <c r="R103" s="40">
        <v>69029528.239999995</v>
      </c>
      <c r="S103" s="40">
        <v>46585081.670000002</v>
      </c>
      <c r="T103" s="40">
        <v>45707089</v>
      </c>
      <c r="U103" s="40">
        <v>45743539.609999999</v>
      </c>
      <c r="V103" s="40">
        <v>45692532.380000003</v>
      </c>
      <c r="W103" s="40">
        <v>45721063.659999996</v>
      </c>
      <c r="X103" s="40">
        <v>45304754.490000002</v>
      </c>
      <c r="Y103" s="40">
        <v>45405385.450000003</v>
      </c>
      <c r="Z103" s="40">
        <v>0</v>
      </c>
      <c r="AA103" s="40">
        <v>0</v>
      </c>
      <c r="AB103" s="40">
        <v>0</v>
      </c>
      <c r="AC103" s="40">
        <v>0</v>
      </c>
      <c r="AD103" s="40">
        <v>0</v>
      </c>
      <c r="AE103" s="40">
        <v>0</v>
      </c>
      <c r="AF103" s="40">
        <v>0</v>
      </c>
      <c r="AG103" s="40">
        <v>0</v>
      </c>
      <c r="AH103" s="40">
        <v>0</v>
      </c>
      <c r="AI103" s="40">
        <v>0</v>
      </c>
      <c r="AJ103" s="40">
        <v>0</v>
      </c>
      <c r="AK103" s="40">
        <v>11453094.58</v>
      </c>
      <c r="AL103" s="40">
        <v>8587693.6500000004</v>
      </c>
      <c r="AM103" s="40">
        <v>0</v>
      </c>
      <c r="AN103" s="40">
        <v>4969470.03</v>
      </c>
      <c r="AO103" s="40">
        <v>17453819.5</v>
      </c>
      <c r="AP103" s="40">
        <v>1702092.78</v>
      </c>
      <c r="AQ103" s="40">
        <v>0</v>
      </c>
      <c r="AR103" s="40">
        <v>1665777839.47</v>
      </c>
      <c r="AS103" s="40">
        <v>1594466336.1900001</v>
      </c>
      <c r="AT103" s="40">
        <v>1568055288.3199999</v>
      </c>
      <c r="AU103" s="40">
        <v>1480593596.3399999</v>
      </c>
      <c r="AV103" s="40">
        <v>1616917142.97</v>
      </c>
      <c r="AW103" s="40">
        <v>1543511977.0999999</v>
      </c>
      <c r="AX103" s="40">
        <v>1472896083.49</v>
      </c>
      <c r="AY103" s="40">
        <v>1398817616.9100001</v>
      </c>
      <c r="AZ103" s="40">
        <v>1578373162.75</v>
      </c>
      <c r="BA103" s="40">
        <v>1524310184.53</v>
      </c>
      <c r="BB103" s="40">
        <v>1491655606.1900001</v>
      </c>
      <c r="BC103" s="40">
        <v>1422004901.4200001</v>
      </c>
      <c r="BD103" s="40">
        <v>1560864241.5899999</v>
      </c>
      <c r="BE103" s="40">
        <v>1490119769.49</v>
      </c>
      <c r="BF103" s="40">
        <v>1370488198.45</v>
      </c>
      <c r="BG103" s="40">
        <v>1305115860.6900001</v>
      </c>
      <c r="BH103" s="40">
        <v>1471670374.79</v>
      </c>
      <c r="BI103" s="40">
        <v>1394732453.79</v>
      </c>
      <c r="BJ103" s="40">
        <v>1300805778.96</v>
      </c>
      <c r="BK103" s="40">
        <v>1190501693.0799999</v>
      </c>
      <c r="BL103" s="40">
        <v>1333793293.0699999</v>
      </c>
      <c r="BM103" s="40">
        <v>1265998167.1800001</v>
      </c>
      <c r="BN103" s="40">
        <v>1186619907.7</v>
      </c>
      <c r="BO103" s="40">
        <v>1103039324.54</v>
      </c>
      <c r="BP103" s="40">
        <v>1204158783.23</v>
      </c>
      <c r="BQ103" s="40">
        <v>1161214127.53</v>
      </c>
      <c r="BR103" s="40">
        <v>1066774809.54</v>
      </c>
      <c r="BS103" s="40">
        <v>1008461505.29</v>
      </c>
      <c r="BT103" s="40">
        <v>938966019.15999997</v>
      </c>
      <c r="BU103" s="40">
        <v>952340253.22000003</v>
      </c>
      <c r="BV103" s="40">
        <v>843905400.62</v>
      </c>
      <c r="BW103" s="40">
        <v>860297515.53999996</v>
      </c>
      <c r="BX103" s="40">
        <v>0</v>
      </c>
      <c r="BY103" s="40">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c r="A104" s="132"/>
      <c r="B104" s="26"/>
      <c r="C104" s="26"/>
      <c r="D104" s="26"/>
      <c r="E104" s="26"/>
      <c r="F104" s="26"/>
      <c r="G104" s="26"/>
      <c r="H104" s="26"/>
      <c r="I104" s="26"/>
      <c r="J104" s="26"/>
      <c r="K104" s="26"/>
      <c r="L104" s="23"/>
    </row>
    <row r="105" spans="1:90" hidden="1">
      <c r="A105" s="132"/>
      <c r="B105" s="26"/>
      <c r="C105" s="26"/>
      <c r="D105" s="26"/>
      <c r="E105" s="26"/>
      <c r="F105" s="26"/>
      <c r="G105" s="26"/>
      <c r="H105" s="26"/>
      <c r="I105" s="26"/>
      <c r="J105" s="26"/>
      <c r="K105" s="26"/>
      <c r="L105" s="23"/>
    </row>
    <row r="106" spans="1:90" hidden="1">
      <c r="A106" s="132"/>
      <c r="B106" s="26"/>
      <c r="C106" s="26"/>
      <c r="D106" s="26"/>
      <c r="E106" s="26"/>
      <c r="F106" s="26"/>
      <c r="G106" s="26"/>
      <c r="H106" s="26"/>
      <c r="I106" s="26"/>
      <c r="J106" s="26"/>
      <c r="K106" s="26"/>
      <c r="L106" s="23"/>
    </row>
    <row r="107" spans="1:90" s="5" customFormat="1">
      <c r="A107" s="133" t="s">
        <v>74</v>
      </c>
      <c r="B107" s="33">
        <f>B102+B103</f>
        <v>750499338.66999996</v>
      </c>
      <c r="C107" s="33">
        <f>C102+C103</f>
        <v>719699104.82999992</v>
      </c>
      <c r="D107" s="33">
        <f>D102+D103</f>
        <v>690278099.20999992</v>
      </c>
      <c r="E107" s="33">
        <f>E102+E103</f>
        <v>680780701.52999997</v>
      </c>
      <c r="F107" s="33">
        <f t="shared" ref="F107:BQ107" si="20">F102+F103</f>
        <v>643568166.12</v>
      </c>
      <c r="G107" s="33">
        <f t="shared" si="20"/>
        <v>593135102.64999998</v>
      </c>
      <c r="H107" s="33">
        <f t="shared" si="20"/>
        <v>584320596.82000005</v>
      </c>
      <c r="I107" s="33">
        <f t="shared" si="20"/>
        <v>582557312.73000002</v>
      </c>
      <c r="J107" s="33">
        <f t="shared" si="20"/>
        <v>279809125.20999998</v>
      </c>
      <c r="K107" s="33">
        <f t="shared" si="20"/>
        <v>269570203.76999998</v>
      </c>
      <c r="L107" s="33">
        <f t="shared" si="20"/>
        <v>239898576.28999999</v>
      </c>
      <c r="M107" s="33">
        <f t="shared" si="20"/>
        <v>211848320.5</v>
      </c>
      <c r="N107" s="33">
        <f t="shared" si="20"/>
        <v>169859428.84999999</v>
      </c>
      <c r="O107" s="33">
        <f t="shared" si="20"/>
        <v>105573132.09999999</v>
      </c>
      <c r="P107" s="33">
        <f t="shared" si="20"/>
        <v>62209713.140000001</v>
      </c>
      <c r="Q107" s="33">
        <f t="shared" si="20"/>
        <v>0</v>
      </c>
      <c r="R107" s="33">
        <f t="shared" si="20"/>
        <v>3468348851.6599998</v>
      </c>
      <c r="S107" s="33">
        <f t="shared" si="20"/>
        <v>3301696612.6900001</v>
      </c>
      <c r="T107" s="33">
        <f t="shared" si="20"/>
        <v>3233054321.5300002</v>
      </c>
      <c r="U107" s="33">
        <f t="shared" si="20"/>
        <v>3182351109.5500002</v>
      </c>
      <c r="V107" s="33">
        <f t="shared" si="20"/>
        <v>3123425916.3600001</v>
      </c>
      <c r="W107" s="33">
        <f t="shared" si="20"/>
        <v>3008332106.3799996</v>
      </c>
      <c r="X107" s="33">
        <f t="shared" si="20"/>
        <v>2979772636.0699997</v>
      </c>
      <c r="Y107" s="33">
        <f t="shared" si="20"/>
        <v>2932489543.6699996</v>
      </c>
      <c r="Z107" s="33">
        <f t="shared" si="20"/>
        <v>2848128733.9000001</v>
      </c>
      <c r="AA107" s="33">
        <f t="shared" si="20"/>
        <v>2757878280.0100002</v>
      </c>
      <c r="AB107" s="33">
        <f t="shared" si="20"/>
        <v>2745360343.7600002</v>
      </c>
      <c r="AC107" s="33">
        <f t="shared" si="20"/>
        <v>2704458292.2399998</v>
      </c>
      <c r="AD107" s="33">
        <f t="shared" si="20"/>
        <v>2672656786.1900001</v>
      </c>
      <c r="AE107" s="33">
        <f t="shared" si="20"/>
        <v>2586611041.4499998</v>
      </c>
      <c r="AF107" s="33">
        <f t="shared" si="20"/>
        <v>2559221388.8499999</v>
      </c>
      <c r="AG107" s="33">
        <f t="shared" si="20"/>
        <v>2532639722.4200001</v>
      </c>
      <c r="AH107" s="33">
        <f t="shared" si="20"/>
        <v>384442846.82999998</v>
      </c>
      <c r="AI107" s="33">
        <f t="shared" si="20"/>
        <v>311964600.76999998</v>
      </c>
      <c r="AJ107" s="33">
        <f t="shared" si="20"/>
        <v>266080793.58000001</v>
      </c>
      <c r="AK107" s="33">
        <f t="shared" si="20"/>
        <v>175559966.52000001</v>
      </c>
      <c r="AL107" s="33">
        <f t="shared" si="20"/>
        <v>129529844.64</v>
      </c>
      <c r="AM107" s="33">
        <f t="shared" si="20"/>
        <v>0</v>
      </c>
      <c r="AN107" s="33">
        <f t="shared" si="20"/>
        <v>238736715.93000001</v>
      </c>
      <c r="AO107" s="33">
        <f t="shared" si="20"/>
        <v>174139245.78</v>
      </c>
      <c r="AP107" s="33">
        <f t="shared" si="20"/>
        <v>106511976.33</v>
      </c>
      <c r="AQ107" s="33">
        <f t="shared" si="20"/>
        <v>0</v>
      </c>
      <c r="AR107" s="33">
        <f t="shared" si="20"/>
        <v>5856405893.5</v>
      </c>
      <c r="AS107" s="33">
        <f t="shared" si="20"/>
        <v>5658752935.3099995</v>
      </c>
      <c r="AT107" s="33">
        <f t="shared" si="20"/>
        <v>5557397185.8000002</v>
      </c>
      <c r="AU107" s="33">
        <f t="shared" si="20"/>
        <v>5294185121.96</v>
      </c>
      <c r="AV107" s="33">
        <f t="shared" si="20"/>
        <v>5276800465.9200001</v>
      </c>
      <c r="AW107" s="33">
        <f t="shared" si="20"/>
        <v>5181853244.1599998</v>
      </c>
      <c r="AX107" s="33">
        <f t="shared" si="20"/>
        <v>5011911653.6700001</v>
      </c>
      <c r="AY107" s="33">
        <f t="shared" si="20"/>
        <v>4820276191.9800005</v>
      </c>
      <c r="AZ107" s="33">
        <f t="shared" si="20"/>
        <v>5010338103.3099995</v>
      </c>
      <c r="BA107" s="33">
        <f t="shared" si="20"/>
        <v>4895309580.54</v>
      </c>
      <c r="BB107" s="33">
        <f t="shared" si="20"/>
        <v>4888570328.4099998</v>
      </c>
      <c r="BC107" s="33">
        <f t="shared" si="20"/>
        <v>4807601462.5599995</v>
      </c>
      <c r="BD107" s="33">
        <f t="shared" si="20"/>
        <v>5068821027.4499998</v>
      </c>
      <c r="BE107" s="33">
        <f t="shared" si="20"/>
        <v>4926753550.1099997</v>
      </c>
      <c r="BF107" s="33">
        <f t="shared" si="20"/>
        <v>4808299542.9399996</v>
      </c>
      <c r="BG107" s="33">
        <f t="shared" si="20"/>
        <v>4751398778.0100002</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c r="A108" s="134" t="s">
        <v>75</v>
      </c>
      <c r="B108" s="38">
        <f>SUM(B89+B107)</f>
        <v>750499338.66999996</v>
      </c>
      <c r="C108" s="38">
        <f t="shared" ref="C108:BN108" si="22">SUM(C89+C107)</f>
        <v>719699104.82999992</v>
      </c>
      <c r="D108" s="38">
        <f t="shared" si="22"/>
        <v>690278099.20999992</v>
      </c>
      <c r="E108" s="38">
        <f>E107-E89</f>
        <v>680780701.52999997</v>
      </c>
      <c r="F108" s="38">
        <f t="shared" si="22"/>
        <v>643568166.12</v>
      </c>
      <c r="G108" s="38">
        <f t="shared" si="22"/>
        <v>593135102.64999998</v>
      </c>
      <c r="H108" s="38">
        <f t="shared" si="22"/>
        <v>584320596.82000005</v>
      </c>
      <c r="I108" s="38">
        <f t="shared" si="22"/>
        <v>582557312.73000002</v>
      </c>
      <c r="J108" s="38">
        <f t="shared" si="22"/>
        <v>279809125.20999998</v>
      </c>
      <c r="K108" s="38">
        <f t="shared" si="22"/>
        <v>269570203.76999998</v>
      </c>
      <c r="L108" s="38">
        <f t="shared" si="22"/>
        <v>239898576.28999999</v>
      </c>
      <c r="M108" s="38">
        <f t="shared" si="22"/>
        <v>211848320.5</v>
      </c>
      <c r="N108" s="38">
        <f t="shared" si="22"/>
        <v>169859428.84999999</v>
      </c>
      <c r="O108" s="38">
        <f t="shared" si="22"/>
        <v>105573132.09999999</v>
      </c>
      <c r="P108" s="38">
        <f t="shared" si="22"/>
        <v>62209713.140000001</v>
      </c>
      <c r="Q108" s="38">
        <f t="shared" si="22"/>
        <v>0</v>
      </c>
      <c r="R108" s="38">
        <f t="shared" si="22"/>
        <v>3468348851.6599998</v>
      </c>
      <c r="S108" s="38">
        <f t="shared" si="22"/>
        <v>3301696612.6900001</v>
      </c>
      <c r="T108" s="38">
        <f t="shared" si="22"/>
        <v>3233054321.5300002</v>
      </c>
      <c r="U108" s="38">
        <f t="shared" si="22"/>
        <v>3182351109.5500002</v>
      </c>
      <c r="V108" s="38">
        <f t="shared" si="22"/>
        <v>3123425916.3600001</v>
      </c>
      <c r="W108" s="38">
        <f t="shared" si="22"/>
        <v>3008332106.3799996</v>
      </c>
      <c r="X108" s="38">
        <f t="shared" si="22"/>
        <v>2979772636.0699997</v>
      </c>
      <c r="Y108" s="38">
        <f t="shared" si="22"/>
        <v>2932489543.6699996</v>
      </c>
      <c r="Z108" s="38">
        <f t="shared" si="22"/>
        <v>2848128733.9000001</v>
      </c>
      <c r="AA108" s="38">
        <f t="shared" si="22"/>
        <v>2757878280.0100002</v>
      </c>
      <c r="AB108" s="38">
        <f t="shared" si="22"/>
        <v>2745360343.7600002</v>
      </c>
      <c r="AC108" s="38">
        <f t="shared" si="22"/>
        <v>2704458292.2399998</v>
      </c>
      <c r="AD108" s="38">
        <f t="shared" si="22"/>
        <v>2672656786.1900001</v>
      </c>
      <c r="AE108" s="38">
        <f t="shared" si="22"/>
        <v>2586611041.4499998</v>
      </c>
      <c r="AF108" s="38">
        <f t="shared" si="22"/>
        <v>2559221388.8499999</v>
      </c>
      <c r="AG108" s="38">
        <f t="shared" si="22"/>
        <v>2532639722.4200001</v>
      </c>
      <c r="AH108" s="38">
        <f t="shared" si="22"/>
        <v>384442846.82999998</v>
      </c>
      <c r="AI108" s="38">
        <f t="shared" si="22"/>
        <v>311964600.76999998</v>
      </c>
      <c r="AJ108" s="38">
        <f t="shared" si="22"/>
        <v>266080793.58000001</v>
      </c>
      <c r="AK108" s="38">
        <f t="shared" si="22"/>
        <v>175559966.52000001</v>
      </c>
      <c r="AL108" s="38">
        <f t="shared" si="22"/>
        <v>129529844.64</v>
      </c>
      <c r="AM108" s="38">
        <f t="shared" si="22"/>
        <v>0</v>
      </c>
      <c r="AN108" s="38">
        <f t="shared" si="22"/>
        <v>238736715.93000001</v>
      </c>
      <c r="AO108" s="38">
        <f t="shared" si="22"/>
        <v>174139245.78</v>
      </c>
      <c r="AP108" s="38">
        <f t="shared" si="22"/>
        <v>106511976.33</v>
      </c>
      <c r="AQ108" s="38">
        <f t="shared" si="22"/>
        <v>0</v>
      </c>
      <c r="AR108" s="38">
        <f t="shared" si="22"/>
        <v>5856405893.5</v>
      </c>
      <c r="AS108" s="38">
        <f t="shared" si="22"/>
        <v>5658752935.3099995</v>
      </c>
      <c r="AT108" s="38">
        <f t="shared" si="22"/>
        <v>5557397185.8000002</v>
      </c>
      <c r="AU108" s="38">
        <f t="shared" si="22"/>
        <v>5294185121.96</v>
      </c>
      <c r="AV108" s="38">
        <f t="shared" si="22"/>
        <v>5276800465.9200001</v>
      </c>
      <c r="AW108" s="38">
        <f t="shared" si="22"/>
        <v>5181853244.1599998</v>
      </c>
      <c r="AX108" s="38">
        <f t="shared" si="22"/>
        <v>5011911653.6700001</v>
      </c>
      <c r="AY108" s="38">
        <f t="shared" si="22"/>
        <v>4820276191.9800005</v>
      </c>
      <c r="AZ108" s="38">
        <f t="shared" si="22"/>
        <v>5010338103.3099995</v>
      </c>
      <c r="BA108" s="38">
        <f t="shared" si="22"/>
        <v>4895309580.54</v>
      </c>
      <c r="BB108" s="38">
        <f t="shared" si="22"/>
        <v>4888570328.4099998</v>
      </c>
      <c r="BC108" s="38">
        <f t="shared" si="22"/>
        <v>4807601462.5599995</v>
      </c>
      <c r="BD108" s="38">
        <f t="shared" si="22"/>
        <v>5068821027.4499998</v>
      </c>
      <c r="BE108" s="38">
        <f t="shared" si="22"/>
        <v>4926753550.1099997</v>
      </c>
      <c r="BF108" s="38">
        <f t="shared" si="22"/>
        <v>4808299542.9399996</v>
      </c>
      <c r="BG108" s="38">
        <f t="shared" si="22"/>
        <v>4751398778.0100002</v>
      </c>
      <c r="BH108" s="38">
        <f t="shared" si="22"/>
        <v>4805853655.8899994</v>
      </c>
      <c r="BI108" s="38">
        <f t="shared" si="22"/>
        <v>4648133672.2799997</v>
      </c>
      <c r="BJ108" s="38">
        <f t="shared" si="22"/>
        <v>4488942480.3800001</v>
      </c>
      <c r="BK108" s="38">
        <f t="shared" si="22"/>
        <v>4292913533.4400001</v>
      </c>
      <c r="BL108" s="38">
        <f t="shared" si="22"/>
        <v>4290589554.0599995</v>
      </c>
      <c r="BM108" s="38">
        <f t="shared" si="22"/>
        <v>4205781132.7200003</v>
      </c>
      <c r="BN108" s="38">
        <f t="shared" si="22"/>
        <v>4125320111.8000002</v>
      </c>
      <c r="BO108" s="38">
        <f t="shared" ref="BO108:CK108" si="23">SUM(BO89+BO107)</f>
        <v>3954027963.8899999</v>
      </c>
      <c r="BP108" s="38">
        <f t="shared" si="23"/>
        <v>3988477317.79</v>
      </c>
      <c r="BQ108" s="38">
        <f t="shared" si="23"/>
        <v>3875929168.1599998</v>
      </c>
      <c r="BR108" s="38">
        <f t="shared" si="23"/>
        <v>3795371454.2599998</v>
      </c>
      <c r="BS108" s="38">
        <f t="shared" si="23"/>
        <v>3599541620.5700002</v>
      </c>
      <c r="BT108" s="38">
        <f t="shared" si="23"/>
        <v>3730682761.7999997</v>
      </c>
      <c r="BU108" s="38">
        <f t="shared" si="23"/>
        <v>3598065094.6499996</v>
      </c>
      <c r="BV108" s="38">
        <f t="shared" si="23"/>
        <v>2191187359.48</v>
      </c>
      <c r="BW108" s="38">
        <f t="shared" si="23"/>
        <v>2108608785.3</v>
      </c>
      <c r="BX108" s="38">
        <f t="shared" si="23"/>
        <v>1229599139.29</v>
      </c>
      <c r="BY108" s="38">
        <f t="shared" si="23"/>
        <v>1243135953.28</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topLeftCell="A34" workbookViewId="0">
      <selection activeCell="M58" sqref="M58"/>
    </sheetView>
  </sheetViews>
  <sheetFormatPr defaultRowHeight="13.5"/>
  <cols>
    <col min="1" max="1" width="56" style="17" bestFit="1" customWidth="1"/>
    <col min="2" max="2" width="18.25" hidden="1" customWidth="1"/>
    <col min="3" max="4" width="19.5" hidden="1" customWidth="1"/>
    <col min="5" max="5" width="18.25" bestFit="1" customWidth="1"/>
    <col min="6" max="8" width="19.5" hidden="1" customWidth="1"/>
    <col min="9" max="9" width="18.25" bestFit="1" customWidth="1"/>
    <col min="10" max="11" width="18.25" hidden="1" customWidth="1"/>
    <col min="12" max="12" width="19.5" hidden="1" customWidth="1"/>
    <col min="13" max="13" width="18.25" bestFit="1" customWidth="1"/>
    <col min="14" max="14" width="18.25" hidden="1" customWidth="1"/>
    <col min="15" max="18" width="18.25" bestFit="1" customWidth="1"/>
    <col min="19" max="19" width="9.625" hidden="1" customWidth="1"/>
    <col min="20" max="33" width="20.75" bestFit="1" customWidth="1"/>
    <col min="34" max="40" width="19.5" bestFit="1" customWidth="1"/>
    <col min="41" max="41" width="17" bestFit="1" customWidth="1"/>
    <col min="42" max="44" width="19.5" bestFit="1" customWidth="1"/>
    <col min="45" max="45" width="9.625" bestFit="1" customWidth="1"/>
    <col min="46" max="76" width="20.75" bestFit="1" customWidth="1"/>
    <col min="77" max="78" width="19.5" bestFit="1" customWidth="1"/>
    <col min="79"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c r="A1" s="17">
        <v>300559</v>
      </c>
      <c r="B1" s="1">
        <v>43373</v>
      </c>
      <c r="C1" s="1">
        <v>43281</v>
      </c>
      <c r="D1" s="1">
        <v>43190</v>
      </c>
      <c r="E1" s="1">
        <v>43100</v>
      </c>
      <c r="F1" s="1">
        <v>43008</v>
      </c>
      <c r="G1" s="1">
        <v>42916</v>
      </c>
      <c r="H1" s="1">
        <v>42825</v>
      </c>
      <c r="I1" s="1">
        <v>42735</v>
      </c>
      <c r="J1" s="1">
        <v>42643</v>
      </c>
      <c r="K1" s="1">
        <v>42551</v>
      </c>
      <c r="L1" s="1">
        <v>42460</v>
      </c>
      <c r="M1" s="1">
        <v>42369</v>
      </c>
      <c r="N1" s="1">
        <v>42277</v>
      </c>
      <c r="O1" s="1">
        <v>42004</v>
      </c>
      <c r="P1" s="1">
        <v>41639</v>
      </c>
      <c r="Q1" s="1">
        <v>41274</v>
      </c>
      <c r="R1" s="1">
        <v>40908</v>
      </c>
      <c r="S1" s="1">
        <v>25569</v>
      </c>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c r="A2" s="17" t="s">
        <v>84</v>
      </c>
    </row>
    <row r="3" spans="1:89" s="6" customFormat="1">
      <c r="A3" s="18" t="s">
        <v>85</v>
      </c>
    </row>
    <row r="4" spans="1:89">
      <c r="A4" s="17" t="s">
        <v>389</v>
      </c>
      <c r="B4" s="40">
        <v>243449470.71000001</v>
      </c>
      <c r="C4" s="40">
        <v>163612696.02000001</v>
      </c>
      <c r="D4" s="40">
        <v>39976252.350000001</v>
      </c>
      <c r="E4" s="40">
        <v>192228852.33000001</v>
      </c>
      <c r="F4" s="40">
        <v>102176580.98999999</v>
      </c>
      <c r="G4" s="40">
        <v>77918188.989999995</v>
      </c>
      <c r="H4" s="40">
        <v>17058644.949999999</v>
      </c>
      <c r="I4" s="40">
        <v>165733894.71000001</v>
      </c>
      <c r="J4" s="40">
        <v>108502593.70999999</v>
      </c>
      <c r="K4" s="40">
        <v>80972644.640000001</v>
      </c>
      <c r="L4" s="40">
        <v>14971904.439999999</v>
      </c>
      <c r="M4" s="40">
        <v>148520212.02000001</v>
      </c>
      <c r="N4" s="40">
        <v>87957669.829999998</v>
      </c>
      <c r="O4" s="40">
        <v>179299034.00999999</v>
      </c>
      <c r="P4" s="40">
        <v>208788264.84</v>
      </c>
      <c r="Q4" s="40">
        <v>193493383.34</v>
      </c>
      <c r="R4" s="40">
        <v>82207078.170000002</v>
      </c>
      <c r="S4" s="40">
        <v>0</v>
      </c>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row>
    <row r="5" spans="1:89">
      <c r="A5" s="19" t="s">
        <v>390</v>
      </c>
      <c r="B5" s="40">
        <v>106663834.09999999</v>
      </c>
      <c r="C5" s="40">
        <v>72690467.189999998</v>
      </c>
      <c r="D5" s="40">
        <v>16388201.970000001</v>
      </c>
      <c r="E5" s="40">
        <v>78582960.780000001</v>
      </c>
      <c r="F5" s="40">
        <v>45274024.810000002</v>
      </c>
      <c r="G5" s="40">
        <v>35685127.82</v>
      </c>
      <c r="H5" s="40">
        <v>9702084.75</v>
      </c>
      <c r="I5" s="40">
        <v>74000416.170000002</v>
      </c>
      <c r="J5" s="40">
        <v>51252469</v>
      </c>
      <c r="K5" s="40">
        <v>36953673.289999999</v>
      </c>
      <c r="L5" s="40">
        <v>6533298.6699999999</v>
      </c>
      <c r="M5" s="40">
        <v>67009933.109999999</v>
      </c>
      <c r="N5" s="40">
        <v>34125603.609999999</v>
      </c>
      <c r="O5" s="40">
        <v>76594616.719999999</v>
      </c>
      <c r="P5" s="40">
        <v>95989739.730000004</v>
      </c>
      <c r="Q5" s="40">
        <v>79863258.049999997</v>
      </c>
      <c r="R5" s="40">
        <v>38407951.899999999</v>
      </c>
      <c r="S5" s="40">
        <v>0</v>
      </c>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row>
    <row r="6" spans="1:89" s="3" customFormat="1">
      <c r="A6" s="20" t="s">
        <v>391</v>
      </c>
      <c r="B6" s="27">
        <f>B4-B5</f>
        <v>136785636.61000001</v>
      </c>
      <c r="C6" s="27">
        <f t="shared" ref="C6:BN6" si="0">C4-C5</f>
        <v>90922228.830000013</v>
      </c>
      <c r="D6" s="27">
        <f t="shared" si="0"/>
        <v>23588050.380000003</v>
      </c>
      <c r="E6" s="27">
        <f t="shared" si="0"/>
        <v>113645891.55000001</v>
      </c>
      <c r="F6" s="27">
        <f t="shared" si="0"/>
        <v>56902556.179999992</v>
      </c>
      <c r="G6" s="27">
        <f t="shared" si="0"/>
        <v>42233061.169999994</v>
      </c>
      <c r="H6" s="27">
        <f t="shared" si="0"/>
        <v>7356560.1999999993</v>
      </c>
      <c r="I6" s="27">
        <f t="shared" si="0"/>
        <v>91733478.540000007</v>
      </c>
      <c r="J6" s="27">
        <f t="shared" si="0"/>
        <v>57250124.709999993</v>
      </c>
      <c r="K6" s="27">
        <f t="shared" si="0"/>
        <v>44018971.350000001</v>
      </c>
      <c r="L6" s="27">
        <f t="shared" si="0"/>
        <v>8438605.7699999996</v>
      </c>
      <c r="M6" s="27">
        <f t="shared" si="0"/>
        <v>81510278.910000011</v>
      </c>
      <c r="N6" s="27">
        <f t="shared" si="0"/>
        <v>53832066.219999999</v>
      </c>
      <c r="O6" s="27">
        <f t="shared" si="0"/>
        <v>102704417.28999999</v>
      </c>
      <c r="P6" s="27">
        <f t="shared" si="0"/>
        <v>112798525.11</v>
      </c>
      <c r="Q6" s="27">
        <f t="shared" si="0"/>
        <v>113630125.29000001</v>
      </c>
      <c r="R6" s="27">
        <f t="shared" si="0"/>
        <v>43799126.270000003</v>
      </c>
      <c r="S6" s="27">
        <f t="shared" si="0"/>
        <v>0</v>
      </c>
      <c r="T6" s="27">
        <f t="shared" si="0"/>
        <v>0</v>
      </c>
      <c r="U6" s="27">
        <f t="shared" si="0"/>
        <v>0</v>
      </c>
      <c r="V6" s="27">
        <f t="shared" si="0"/>
        <v>0</v>
      </c>
      <c r="W6" s="27">
        <f t="shared" si="0"/>
        <v>0</v>
      </c>
      <c r="X6" s="27">
        <f t="shared" si="0"/>
        <v>0</v>
      </c>
      <c r="Y6" s="27">
        <f t="shared" si="0"/>
        <v>0</v>
      </c>
      <c r="Z6" s="27">
        <f t="shared" si="0"/>
        <v>0</v>
      </c>
      <c r="AA6" s="27">
        <f t="shared" si="0"/>
        <v>0</v>
      </c>
      <c r="AB6" s="27">
        <f t="shared" si="0"/>
        <v>0</v>
      </c>
      <c r="AC6" s="27">
        <f t="shared" si="0"/>
        <v>0</v>
      </c>
      <c r="AD6" s="27">
        <f t="shared" si="0"/>
        <v>0</v>
      </c>
      <c r="AE6" s="27">
        <f t="shared" si="0"/>
        <v>0</v>
      </c>
      <c r="AF6" s="27">
        <f t="shared" si="0"/>
        <v>0</v>
      </c>
      <c r="AG6" s="27">
        <f t="shared" si="0"/>
        <v>0</v>
      </c>
      <c r="AH6" s="27">
        <f t="shared" si="0"/>
        <v>0</v>
      </c>
      <c r="AI6" s="27">
        <f t="shared" si="0"/>
        <v>0</v>
      </c>
      <c r="AJ6" s="27">
        <f t="shared" si="0"/>
        <v>0</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c r="A7" s="57" t="s">
        <v>392</v>
      </c>
      <c r="B7" s="57">
        <f>B6/B4*100</f>
        <v>56.186458820828875</v>
      </c>
      <c r="C7" s="57">
        <f t="shared" ref="C7:D7" si="2">C6/C4*100</f>
        <v>55.571621910616088</v>
      </c>
      <c r="D7" s="57">
        <f t="shared" si="2"/>
        <v>59.005156795294248</v>
      </c>
      <c r="E7" s="57">
        <f>E6/E4</f>
        <v>0.59120100948687804</v>
      </c>
      <c r="F7" s="57">
        <f t="shared" ref="F7:BQ7" si="3">F6/F4</f>
        <v>0.55690409317541201</v>
      </c>
      <c r="G7" s="57">
        <f t="shared" si="3"/>
        <v>0.54201800269536782</v>
      </c>
      <c r="H7" s="57">
        <f t="shared" si="3"/>
        <v>0.43125114694411876</v>
      </c>
      <c r="I7" s="57">
        <f t="shared" si="3"/>
        <v>0.55349859906758725</v>
      </c>
      <c r="J7" s="57">
        <f t="shared" si="3"/>
        <v>0.52763830570737424</v>
      </c>
      <c r="K7" s="57">
        <f t="shared" si="3"/>
        <v>0.54362768495096048</v>
      </c>
      <c r="L7" s="57">
        <f t="shared" si="3"/>
        <v>0.56362941694009372</v>
      </c>
      <c r="M7" s="57">
        <f t="shared" si="3"/>
        <v>0.54881606887972723</v>
      </c>
      <c r="N7" s="57">
        <f t="shared" si="3"/>
        <v>0.61202242310470267</v>
      </c>
      <c r="O7" s="57">
        <f t="shared" si="3"/>
        <v>0.57281076753749771</v>
      </c>
      <c r="P7" s="57">
        <f t="shared" si="3"/>
        <v>0.54025318518950527</v>
      </c>
      <c r="Q7" s="57">
        <f t="shared" si="3"/>
        <v>0.58725587060686724</v>
      </c>
      <c r="R7" s="57">
        <f t="shared" si="3"/>
        <v>0.53279020791160669</v>
      </c>
      <c r="S7" s="57" t="e">
        <f t="shared" si="3"/>
        <v>#DIV/0!</v>
      </c>
      <c r="T7" s="57" t="e">
        <f t="shared" si="3"/>
        <v>#DIV/0!</v>
      </c>
      <c r="U7" s="57" t="e">
        <f t="shared" si="3"/>
        <v>#DIV/0!</v>
      </c>
      <c r="V7" s="57" t="e">
        <f t="shared" si="3"/>
        <v>#DIV/0!</v>
      </c>
      <c r="W7" s="57" t="e">
        <f t="shared" si="3"/>
        <v>#DIV/0!</v>
      </c>
      <c r="X7" s="57" t="e">
        <f t="shared" si="3"/>
        <v>#DIV/0!</v>
      </c>
      <c r="Y7" s="57" t="e">
        <f t="shared" si="3"/>
        <v>#DIV/0!</v>
      </c>
      <c r="Z7" s="57" t="e">
        <f t="shared" si="3"/>
        <v>#DIV/0!</v>
      </c>
      <c r="AA7" s="57" t="e">
        <f t="shared" si="3"/>
        <v>#DIV/0!</v>
      </c>
      <c r="AB7" s="57" t="e">
        <f t="shared" si="3"/>
        <v>#DIV/0!</v>
      </c>
      <c r="AC7" s="57" t="e">
        <f t="shared" si="3"/>
        <v>#DIV/0!</v>
      </c>
      <c r="AD7" s="57" t="e">
        <f t="shared" si="3"/>
        <v>#DIV/0!</v>
      </c>
      <c r="AE7" s="57" t="e">
        <f t="shared" si="3"/>
        <v>#DIV/0!</v>
      </c>
      <c r="AF7" s="57" t="e">
        <f t="shared" si="3"/>
        <v>#DIV/0!</v>
      </c>
      <c r="AG7" s="57" t="e">
        <f t="shared" si="3"/>
        <v>#DIV/0!</v>
      </c>
      <c r="AH7" s="57" t="e">
        <f t="shared" si="3"/>
        <v>#DIV/0!</v>
      </c>
      <c r="AI7" s="57" t="e">
        <f t="shared" si="3"/>
        <v>#DIV/0!</v>
      </c>
      <c r="AJ7" s="57" t="e">
        <f t="shared" si="3"/>
        <v>#DIV/0!</v>
      </c>
      <c r="AK7" s="57" t="e">
        <f t="shared" si="3"/>
        <v>#DIV/0!</v>
      </c>
      <c r="AL7" s="57" t="e">
        <f t="shared" si="3"/>
        <v>#DIV/0!</v>
      </c>
      <c r="AM7" s="57" t="e">
        <f t="shared" si="3"/>
        <v>#DIV/0!</v>
      </c>
      <c r="AN7" s="57" t="e">
        <f t="shared" si="3"/>
        <v>#DIV/0!</v>
      </c>
      <c r="AO7" s="57" t="e">
        <f t="shared" si="3"/>
        <v>#DIV/0!</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c r="A8" s="17" t="s">
        <v>393</v>
      </c>
      <c r="B8" s="40">
        <v>2536730.1800000002</v>
      </c>
      <c r="C8" s="40">
        <v>1782966.3</v>
      </c>
      <c r="D8" s="40">
        <v>495439.33</v>
      </c>
      <c r="E8" s="40">
        <v>2397024.87</v>
      </c>
      <c r="F8" s="40">
        <v>1266084.77</v>
      </c>
      <c r="G8" s="40">
        <v>984904.94</v>
      </c>
      <c r="H8" s="40">
        <v>139833.49</v>
      </c>
      <c r="I8" s="40">
        <v>2195669.7200000002</v>
      </c>
      <c r="J8" s="40">
        <v>1259674.06</v>
      </c>
      <c r="K8" s="40">
        <v>927673.42</v>
      </c>
      <c r="L8" s="40">
        <v>142314.60999999999</v>
      </c>
      <c r="M8" s="40">
        <v>1747049.33</v>
      </c>
      <c r="N8" s="40">
        <v>1136002.7</v>
      </c>
      <c r="O8" s="40">
        <v>2231414.33</v>
      </c>
      <c r="P8" s="40">
        <v>3475309.93</v>
      </c>
      <c r="Q8" s="40">
        <v>2926714.87</v>
      </c>
      <c r="R8" s="40">
        <v>1473764.86</v>
      </c>
      <c r="S8" s="40">
        <v>0</v>
      </c>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row>
    <row r="9" spans="1:89">
      <c r="A9" s="17" t="s">
        <v>394</v>
      </c>
      <c r="B9" s="40">
        <v>24835010.66</v>
      </c>
      <c r="C9" s="40">
        <v>16484593.699999999</v>
      </c>
      <c r="D9" s="40">
        <v>6331547.7599999998</v>
      </c>
      <c r="E9" s="40">
        <v>20566807.210000001</v>
      </c>
      <c r="F9" s="40">
        <v>13350279.67</v>
      </c>
      <c r="G9" s="40">
        <v>9627779.7100000009</v>
      </c>
      <c r="H9" s="40">
        <v>3370993.09</v>
      </c>
      <c r="I9" s="40">
        <v>16118234.609999999</v>
      </c>
      <c r="J9" s="40">
        <v>10352105.4</v>
      </c>
      <c r="K9" s="40">
        <v>7227577.8700000001</v>
      </c>
      <c r="L9" s="40">
        <v>2658685.62</v>
      </c>
      <c r="M9" s="40">
        <v>14305084.869999999</v>
      </c>
      <c r="N9" s="40">
        <v>8136169.1799999997</v>
      </c>
      <c r="O9" s="40">
        <v>13333535.85</v>
      </c>
      <c r="P9" s="40">
        <v>14138156.1</v>
      </c>
      <c r="Q9" s="40">
        <v>16608992.76</v>
      </c>
      <c r="R9" s="40">
        <v>4499025.5999999996</v>
      </c>
      <c r="S9" s="40">
        <v>0</v>
      </c>
      <c r="T9" s="40"/>
      <c r="U9" s="40"/>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row>
    <row r="10" spans="1:89">
      <c r="A10" s="17" t="s">
        <v>395</v>
      </c>
      <c r="B10" s="40">
        <v>23574813.949999999</v>
      </c>
      <c r="C10" s="40">
        <v>30577437.82</v>
      </c>
      <c r="D10" s="40">
        <v>13761193.039999999</v>
      </c>
      <c r="E10" s="40">
        <v>38524427.229999997</v>
      </c>
      <c r="F10" s="40">
        <v>22539345.670000002</v>
      </c>
      <c r="G10" s="40">
        <v>14877141.970000001</v>
      </c>
      <c r="H10" s="40">
        <v>5424224.0199999996</v>
      </c>
      <c r="I10" s="40">
        <v>22577434.48</v>
      </c>
      <c r="J10" s="40">
        <v>14471188.65</v>
      </c>
      <c r="K10" s="40">
        <v>9701188.6500000004</v>
      </c>
      <c r="L10" s="40">
        <v>4277425.83</v>
      </c>
      <c r="M10" s="40">
        <v>22058886.629999999</v>
      </c>
      <c r="N10" s="40">
        <v>11482716.140000001</v>
      </c>
      <c r="O10" s="40">
        <v>23007124.91</v>
      </c>
      <c r="P10" s="40">
        <v>20900968.23</v>
      </c>
      <c r="Q10" s="40">
        <v>23044046.52</v>
      </c>
      <c r="R10" s="40">
        <v>10039312.09</v>
      </c>
      <c r="S10" s="40">
        <v>0</v>
      </c>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row>
    <row r="11" spans="1:89">
      <c r="A11" s="17" t="s">
        <v>396</v>
      </c>
      <c r="B11" s="40">
        <v>5797572.54</v>
      </c>
      <c r="C11" s="40">
        <v>5722349.1900000004</v>
      </c>
      <c r="D11" s="40">
        <v>1286105.56</v>
      </c>
      <c r="E11" s="40">
        <v>915363.83999999997</v>
      </c>
      <c r="F11" s="40">
        <v>-646444.65</v>
      </c>
      <c r="G11" s="40">
        <v>830765.05</v>
      </c>
      <c r="H11" s="40">
        <v>-863721.48</v>
      </c>
      <c r="I11" s="40">
        <v>1464140.71</v>
      </c>
      <c r="J11" s="40">
        <v>1903352.37</v>
      </c>
      <c r="K11" s="40">
        <v>1508300.74</v>
      </c>
      <c r="L11" s="40">
        <v>-94731.69</v>
      </c>
      <c r="M11" s="40">
        <v>1510110.78</v>
      </c>
      <c r="N11" s="40">
        <v>1536238.17</v>
      </c>
      <c r="O11" s="40">
        <v>-30251.43</v>
      </c>
      <c r="P11" s="40">
        <v>2486104.23</v>
      </c>
      <c r="Q11" s="40">
        <v>450874.54</v>
      </c>
      <c r="R11" s="40">
        <v>750922.39</v>
      </c>
      <c r="S11" s="40">
        <v>0</v>
      </c>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row>
    <row r="12" spans="1:89" s="7" customFormat="1">
      <c r="A12" s="21" t="s">
        <v>397</v>
      </c>
      <c r="B12" s="29">
        <f>B55</f>
        <v>463</v>
      </c>
      <c r="C12" s="29">
        <f t="shared" ref="C12:BN12" si="5">C55</f>
        <v>603</v>
      </c>
      <c r="D12" s="29">
        <f t="shared" si="5"/>
        <v>653</v>
      </c>
      <c r="E12" s="29">
        <f t="shared" si="5"/>
        <v>0</v>
      </c>
      <c r="F12" s="29">
        <f t="shared" si="5"/>
        <v>1204</v>
      </c>
      <c r="G12" s="29">
        <f t="shared" si="5"/>
        <v>868</v>
      </c>
      <c r="H12" s="29">
        <f t="shared" si="5"/>
        <v>644</v>
      </c>
      <c r="I12" s="29">
        <f t="shared" si="5"/>
        <v>0</v>
      </c>
      <c r="J12" s="29">
        <f t="shared" si="5"/>
        <v>0</v>
      </c>
      <c r="K12" s="29">
        <f t="shared" si="5"/>
        <v>0</v>
      </c>
      <c r="L12" s="29">
        <f t="shared" si="5"/>
        <v>0</v>
      </c>
      <c r="M12" s="29">
        <f t="shared" si="5"/>
        <v>0</v>
      </c>
      <c r="N12" s="29">
        <f t="shared" si="5"/>
        <v>0</v>
      </c>
      <c r="O12" s="29">
        <f t="shared" si="5"/>
        <v>0</v>
      </c>
      <c r="P12" s="29">
        <f t="shared" si="5"/>
        <v>0</v>
      </c>
      <c r="Q12" s="29">
        <f t="shared" si="5"/>
        <v>0</v>
      </c>
      <c r="R12" s="29">
        <f t="shared" si="5"/>
        <v>0</v>
      </c>
      <c r="S12" s="29">
        <f t="shared" si="5"/>
        <v>0</v>
      </c>
      <c r="T12" s="29">
        <f t="shared" si="5"/>
        <v>0</v>
      </c>
      <c r="U12" s="29">
        <f t="shared" si="5"/>
        <v>0</v>
      </c>
      <c r="V12" s="29">
        <f t="shared" si="5"/>
        <v>0</v>
      </c>
      <c r="W12" s="29">
        <f t="shared" si="5"/>
        <v>0</v>
      </c>
      <c r="X12" s="29">
        <f t="shared" si="5"/>
        <v>0</v>
      </c>
      <c r="Y12" s="29">
        <f t="shared" si="5"/>
        <v>0</v>
      </c>
      <c r="Z12" s="29">
        <f t="shared" si="5"/>
        <v>0</v>
      </c>
      <c r="AA12" s="29">
        <f t="shared" si="5"/>
        <v>0</v>
      </c>
      <c r="AB12" s="29">
        <f t="shared" si="5"/>
        <v>0</v>
      </c>
      <c r="AC12" s="29">
        <f t="shared" si="5"/>
        <v>331430.78000000003</v>
      </c>
      <c r="AD12" s="29">
        <f t="shared" si="5"/>
        <v>0</v>
      </c>
      <c r="AE12" s="29">
        <f t="shared" si="5"/>
        <v>0</v>
      </c>
      <c r="AF12" s="29">
        <f t="shared" si="5"/>
        <v>0</v>
      </c>
      <c r="AG12" s="29">
        <f t="shared" si="5"/>
        <v>66967.98</v>
      </c>
      <c r="AH12" s="29">
        <f t="shared" si="5"/>
        <v>0</v>
      </c>
      <c r="AI12" s="29">
        <f t="shared" si="5"/>
        <v>0</v>
      </c>
      <c r="AJ12" s="29">
        <f t="shared" si="5"/>
        <v>0</v>
      </c>
      <c r="AK12" s="29">
        <f t="shared" si="5"/>
        <v>350489.64</v>
      </c>
      <c r="AL12" s="29">
        <f t="shared" si="5"/>
        <v>0</v>
      </c>
      <c r="AM12" s="29">
        <f t="shared" si="5"/>
        <v>0</v>
      </c>
      <c r="AN12" s="29">
        <f t="shared" si="5"/>
        <v>0</v>
      </c>
      <c r="AO12" s="29">
        <f t="shared" si="5"/>
        <v>286174.01</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c r="A13" s="17" t="s">
        <v>398</v>
      </c>
      <c r="B13" s="40">
        <v>0</v>
      </c>
      <c r="C13" s="40">
        <v>0</v>
      </c>
      <c r="D13" s="40">
        <v>0</v>
      </c>
      <c r="E13" s="40">
        <v>3978968.42</v>
      </c>
      <c r="F13" s="40">
        <v>4247859.51</v>
      </c>
      <c r="G13" s="40">
        <v>150000</v>
      </c>
      <c r="H13" s="40">
        <v>100000</v>
      </c>
      <c r="I13" s="40">
        <v>14460964.16</v>
      </c>
      <c r="J13" s="40">
        <v>10265785.880000001</v>
      </c>
      <c r="K13" s="40">
        <v>4531110.71</v>
      </c>
      <c r="L13" s="40">
        <v>4148365.5</v>
      </c>
      <c r="M13" s="40">
        <v>20796612.07</v>
      </c>
      <c r="N13" s="40">
        <v>13278646.119999999</v>
      </c>
      <c r="O13" s="40">
        <v>16615905.1</v>
      </c>
      <c r="P13" s="40">
        <v>18019955.239999998</v>
      </c>
      <c r="Q13" s="40">
        <v>6532034.7599999998</v>
      </c>
      <c r="R13" s="40">
        <v>3526428.31</v>
      </c>
      <c r="S13" s="40">
        <v>0</v>
      </c>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row>
    <row r="14" spans="1:89">
      <c r="A14" s="17" t="s">
        <v>399</v>
      </c>
      <c r="B14" s="40">
        <v>0</v>
      </c>
      <c r="C14" s="40">
        <v>0</v>
      </c>
      <c r="D14" s="40">
        <v>0</v>
      </c>
      <c r="E14" s="40">
        <v>110.65</v>
      </c>
      <c r="F14" s="40">
        <v>65.599999999999994</v>
      </c>
      <c r="G14" s="40">
        <v>65.599999999999994</v>
      </c>
      <c r="H14" s="40">
        <v>0</v>
      </c>
      <c r="I14" s="40">
        <v>0</v>
      </c>
      <c r="J14" s="40">
        <v>0</v>
      </c>
      <c r="K14" s="40">
        <v>0</v>
      </c>
      <c r="L14" s="40">
        <v>0</v>
      </c>
      <c r="M14" s="40">
        <v>66800.100000000006</v>
      </c>
      <c r="N14" s="40">
        <v>66800.100000000006</v>
      </c>
      <c r="O14" s="40">
        <v>4000</v>
      </c>
      <c r="P14" s="40">
        <v>1290</v>
      </c>
      <c r="Q14" s="40">
        <v>31260.44</v>
      </c>
      <c r="R14" s="40">
        <v>11517.94</v>
      </c>
      <c r="S14" s="40">
        <v>0</v>
      </c>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row>
    <row r="15" spans="1:89" s="2" customFormat="1">
      <c r="A15" s="20" t="s">
        <v>402</v>
      </c>
      <c r="B15" s="28">
        <f>B6-(B8+B9+B10+B11+B12)+B13-B14</f>
        <v>80041046.280000016</v>
      </c>
      <c r="C15" s="28">
        <f t="shared" ref="C15:BN15" si="7">C6-(C8+C9+C10+C11+C12)+C13-C14</f>
        <v>36354278.820000015</v>
      </c>
      <c r="D15" s="28">
        <f t="shared" si="7"/>
        <v>1713111.6900000051</v>
      </c>
      <c r="E15" s="28">
        <f t="shared" si="7"/>
        <v>55221126.170000009</v>
      </c>
      <c r="F15" s="28">
        <f t="shared" si="7"/>
        <v>24639880.629999988</v>
      </c>
      <c r="G15" s="28">
        <f t="shared" si="7"/>
        <v>16061535.899999993</v>
      </c>
      <c r="H15" s="28">
        <f t="shared" si="7"/>
        <v>-615412.91999999993</v>
      </c>
      <c r="I15" s="28">
        <f t="shared" si="7"/>
        <v>63838963.180000007</v>
      </c>
      <c r="J15" s="28">
        <f t="shared" si="7"/>
        <v>39529590.109999992</v>
      </c>
      <c r="K15" s="28">
        <f t="shared" si="7"/>
        <v>29185341.380000003</v>
      </c>
      <c r="L15" s="28">
        <f t="shared" si="7"/>
        <v>5603276.8999999994</v>
      </c>
      <c r="M15" s="28">
        <f t="shared" si="7"/>
        <v>62618959.270000011</v>
      </c>
      <c r="N15" s="28">
        <f t="shared" si="7"/>
        <v>44752786.049999997</v>
      </c>
      <c r="O15" s="28">
        <f t="shared" si="7"/>
        <v>80774498.729999989</v>
      </c>
      <c r="P15" s="28">
        <f t="shared" si="7"/>
        <v>89816651.859999999</v>
      </c>
      <c r="Q15" s="28">
        <f t="shared" si="7"/>
        <v>77100270.920000017</v>
      </c>
      <c r="R15" s="28">
        <f t="shared" si="7"/>
        <v>30551011.699999999</v>
      </c>
      <c r="S15" s="28">
        <f t="shared" si="7"/>
        <v>0</v>
      </c>
      <c r="T15" s="28">
        <f t="shared" si="7"/>
        <v>0</v>
      </c>
      <c r="U15" s="28">
        <f t="shared" si="7"/>
        <v>0</v>
      </c>
      <c r="V15" s="28">
        <f t="shared" si="7"/>
        <v>0</v>
      </c>
      <c r="W15" s="28">
        <f t="shared" si="7"/>
        <v>0</v>
      </c>
      <c r="X15" s="28">
        <f t="shared" si="7"/>
        <v>0</v>
      </c>
      <c r="Y15" s="28">
        <f t="shared" si="7"/>
        <v>0</v>
      </c>
      <c r="Z15" s="28">
        <f t="shared" si="7"/>
        <v>0</v>
      </c>
      <c r="AA15" s="28">
        <f t="shared" si="7"/>
        <v>0</v>
      </c>
      <c r="AB15" s="28">
        <f t="shared" si="7"/>
        <v>0</v>
      </c>
      <c r="AC15" s="28">
        <f t="shared" si="7"/>
        <v>-331430.78000000003</v>
      </c>
      <c r="AD15" s="28">
        <f t="shared" si="7"/>
        <v>0</v>
      </c>
      <c r="AE15" s="28">
        <f t="shared" si="7"/>
        <v>0</v>
      </c>
      <c r="AF15" s="28">
        <f t="shared" si="7"/>
        <v>0</v>
      </c>
      <c r="AG15" s="28">
        <f t="shared" si="7"/>
        <v>-66967.98</v>
      </c>
      <c r="AH15" s="28">
        <f t="shared" si="7"/>
        <v>0</v>
      </c>
      <c r="AI15" s="28">
        <f t="shared" si="7"/>
        <v>0</v>
      </c>
      <c r="AJ15" s="28">
        <f t="shared" si="7"/>
        <v>0</v>
      </c>
      <c r="AK15" s="28">
        <f t="shared" si="7"/>
        <v>-350489.64</v>
      </c>
      <c r="AL15" s="28">
        <f t="shared" si="7"/>
        <v>0</v>
      </c>
      <c r="AM15" s="28">
        <f t="shared" si="7"/>
        <v>0</v>
      </c>
      <c r="AN15" s="28">
        <f t="shared" si="7"/>
        <v>0</v>
      </c>
      <c r="AO15" s="28">
        <f t="shared" si="7"/>
        <v>-286174.01</v>
      </c>
      <c r="AP15" s="28">
        <f t="shared" si="7"/>
        <v>0</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c r="A16" s="17" t="s">
        <v>400</v>
      </c>
      <c r="B16" s="26">
        <f>B15*B41</f>
        <v>5645072.6876223758</v>
      </c>
      <c r="C16" s="26">
        <f t="shared" ref="C16:BN16" si="9">C15*C41</f>
        <v>3045934.1655729455</v>
      </c>
      <c r="D16" s="26">
        <f t="shared" si="9"/>
        <v>-10252.973092027916</v>
      </c>
      <c r="E16" s="26">
        <f t="shared" si="9"/>
        <v>6713539.5964243887</v>
      </c>
      <c r="F16" s="26">
        <f t="shared" si="9"/>
        <v>1699092.0530817811</v>
      </c>
      <c r="G16" s="26">
        <f t="shared" si="9"/>
        <v>1048972.1521331309</v>
      </c>
      <c r="H16" s="26">
        <f t="shared" si="9"/>
        <v>5036.7117382137876</v>
      </c>
      <c r="I16" s="26">
        <f t="shared" si="9"/>
        <v>3499362.3555685198</v>
      </c>
      <c r="J16" s="26">
        <f t="shared" si="9"/>
        <v>758864.96709378727</v>
      </c>
      <c r="K16" s="26">
        <f t="shared" si="9"/>
        <v>356746.62791540136</v>
      </c>
      <c r="L16" s="26">
        <f t="shared" si="9"/>
        <v>242277.89348108417</v>
      </c>
      <c r="M16" s="26">
        <f t="shared" si="9"/>
        <v>6849015.1532502538</v>
      </c>
      <c r="N16" s="26">
        <f t="shared" si="9"/>
        <v>5100549.3633205872</v>
      </c>
      <c r="O16" s="26">
        <f t="shared" si="9"/>
        <v>10008269.424235372</v>
      </c>
      <c r="P16" s="26">
        <f t="shared" si="9"/>
        <v>10531778.375436287</v>
      </c>
      <c r="Q16" s="26">
        <f t="shared" si="9"/>
        <v>9376427.3048558403</v>
      </c>
      <c r="R16" s="26">
        <f t="shared" si="9"/>
        <v>3858781.1161935958</v>
      </c>
      <c r="S16" s="26" t="e">
        <f t="shared" si="9"/>
        <v>#DIV/0!</v>
      </c>
      <c r="T16" s="26">
        <f t="shared" si="9"/>
        <v>0</v>
      </c>
      <c r="U16" s="26">
        <f t="shared" si="9"/>
        <v>0</v>
      </c>
      <c r="V16" s="26">
        <f t="shared" si="9"/>
        <v>0</v>
      </c>
      <c r="W16" s="26">
        <f t="shared" si="9"/>
        <v>0</v>
      </c>
      <c r="X16" s="26">
        <f t="shared" si="9"/>
        <v>0</v>
      </c>
      <c r="Y16" s="26">
        <f t="shared" si="9"/>
        <v>0</v>
      </c>
      <c r="Z16" s="26">
        <f t="shared" si="9"/>
        <v>0</v>
      </c>
      <c r="AA16" s="26">
        <f t="shared" si="9"/>
        <v>0</v>
      </c>
      <c r="AB16" s="26">
        <f t="shared" si="9"/>
        <v>0</v>
      </c>
      <c r="AC16" s="26">
        <f t="shared" si="9"/>
        <v>-1941844.7097069919</v>
      </c>
      <c r="AD16" s="26">
        <f t="shared" si="9"/>
        <v>0</v>
      </c>
      <c r="AE16" s="26">
        <f t="shared" si="9"/>
        <v>0</v>
      </c>
      <c r="AF16" s="26">
        <f t="shared" si="9"/>
        <v>0</v>
      </c>
      <c r="AG16" s="26">
        <f t="shared" si="9"/>
        <v>152749.2602685086</v>
      </c>
      <c r="AH16" s="26">
        <f t="shared" si="9"/>
        <v>0</v>
      </c>
      <c r="AI16" s="26">
        <f t="shared" si="9"/>
        <v>0</v>
      </c>
      <c r="AJ16" s="26">
        <f t="shared" si="9"/>
        <v>0</v>
      </c>
      <c r="AK16" s="26">
        <f t="shared" si="9"/>
        <v>595347.25967821584</v>
      </c>
      <c r="AL16" s="26">
        <f t="shared" si="9"/>
        <v>0</v>
      </c>
      <c r="AM16" s="26">
        <f t="shared" si="9"/>
        <v>0</v>
      </c>
      <c r="AN16" s="26">
        <f t="shared" si="9"/>
        <v>0</v>
      </c>
      <c r="AO16" s="26">
        <f t="shared" si="9"/>
        <v>0</v>
      </c>
      <c r="AP16" s="26">
        <f t="shared" si="9"/>
        <v>0</v>
      </c>
      <c r="AQ16" s="26">
        <f t="shared" si="9"/>
        <v>0</v>
      </c>
      <c r="AR16" s="26">
        <f t="shared" si="9"/>
        <v>0</v>
      </c>
      <c r="AS16" s="26" t="e">
        <f t="shared" si="9"/>
        <v>#DIV/0!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c r="A17" s="20" t="s">
        <v>401</v>
      </c>
      <c r="B17" s="27">
        <f>B15-B16</f>
        <v>74395973.592377633</v>
      </c>
      <c r="C17" s="27">
        <f t="shared" ref="C17:BN17" si="11">C15-C16</f>
        <v>33308344.65442707</v>
      </c>
      <c r="D17" s="27">
        <f t="shared" si="11"/>
        <v>1723364.663092033</v>
      </c>
      <c r="E17" s="27">
        <f t="shared" si="11"/>
        <v>48507586.573575623</v>
      </c>
      <c r="F17" s="27">
        <f t="shared" si="11"/>
        <v>22940788.576918207</v>
      </c>
      <c r="G17" s="27">
        <f t="shared" si="11"/>
        <v>15012563.747866862</v>
      </c>
      <c r="H17" s="27">
        <f t="shared" si="11"/>
        <v>-620449.63173821371</v>
      </c>
      <c r="I17" s="27">
        <f t="shared" si="11"/>
        <v>60339600.824431486</v>
      </c>
      <c r="J17" s="27">
        <f t="shared" si="11"/>
        <v>38770725.142906204</v>
      </c>
      <c r="K17" s="27">
        <f t="shared" si="11"/>
        <v>28828594.752084602</v>
      </c>
      <c r="L17" s="27">
        <f t="shared" si="11"/>
        <v>5360999.0065189153</v>
      </c>
      <c r="M17" s="27">
        <f t="shared" si="11"/>
        <v>55769944.116749756</v>
      </c>
      <c r="N17" s="27">
        <f t="shared" si="11"/>
        <v>39652236.686679408</v>
      </c>
      <c r="O17" s="27">
        <f t="shared" si="11"/>
        <v>70766229.305764616</v>
      </c>
      <c r="P17" s="27">
        <f t="shared" si="11"/>
        <v>79284873.484563708</v>
      </c>
      <c r="Q17" s="27">
        <f t="shared" si="11"/>
        <v>67723843.615144178</v>
      </c>
      <c r="R17" s="27">
        <f t="shared" si="11"/>
        <v>26692230.583806403</v>
      </c>
      <c r="S17" s="27" t="e">
        <f t="shared" si="11"/>
        <v>#DIV/0!</v>
      </c>
      <c r="T17" s="27">
        <f t="shared" si="11"/>
        <v>0</v>
      </c>
      <c r="U17" s="27">
        <f t="shared" si="11"/>
        <v>0</v>
      </c>
      <c r="V17" s="27">
        <f t="shared" si="11"/>
        <v>0</v>
      </c>
      <c r="W17" s="27">
        <f t="shared" si="11"/>
        <v>0</v>
      </c>
      <c r="X17" s="27">
        <f t="shared" si="11"/>
        <v>0</v>
      </c>
      <c r="Y17" s="27">
        <f t="shared" si="11"/>
        <v>0</v>
      </c>
      <c r="Z17" s="27">
        <f t="shared" si="11"/>
        <v>0</v>
      </c>
      <c r="AA17" s="27">
        <f t="shared" si="11"/>
        <v>0</v>
      </c>
      <c r="AB17" s="27">
        <f t="shared" si="11"/>
        <v>0</v>
      </c>
      <c r="AC17" s="27">
        <f t="shared" si="11"/>
        <v>1610413.9297069919</v>
      </c>
      <c r="AD17" s="27">
        <f t="shared" si="11"/>
        <v>0</v>
      </c>
      <c r="AE17" s="27">
        <f t="shared" si="11"/>
        <v>0</v>
      </c>
      <c r="AF17" s="27">
        <f t="shared" si="11"/>
        <v>0</v>
      </c>
      <c r="AG17" s="27">
        <f t="shared" si="11"/>
        <v>-219717.24026850861</v>
      </c>
      <c r="AH17" s="27">
        <f t="shared" si="11"/>
        <v>0</v>
      </c>
      <c r="AI17" s="27">
        <f t="shared" si="11"/>
        <v>0</v>
      </c>
      <c r="AJ17" s="27">
        <f t="shared" si="11"/>
        <v>0</v>
      </c>
      <c r="AK17" s="27">
        <f t="shared" si="11"/>
        <v>-945836.89967821585</v>
      </c>
      <c r="AL17" s="27">
        <f t="shared" si="11"/>
        <v>0</v>
      </c>
      <c r="AM17" s="27">
        <f t="shared" si="11"/>
        <v>0</v>
      </c>
      <c r="AN17" s="27">
        <f t="shared" si="11"/>
        <v>0</v>
      </c>
      <c r="AO17" s="27">
        <f t="shared" si="11"/>
        <v>-286174.01</v>
      </c>
      <c r="AP17" s="27">
        <f t="shared" si="11"/>
        <v>0</v>
      </c>
      <c r="AQ17" s="27">
        <f t="shared" si="11"/>
        <v>0</v>
      </c>
      <c r="AR17" s="27">
        <f t="shared" si="11"/>
        <v>0</v>
      </c>
      <c r="AS17" s="27" t="e">
        <f t="shared" si="11"/>
        <v>#DIV/0!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c r="A18" s="57" t="s">
        <v>403</v>
      </c>
      <c r="B18" s="57">
        <f>B17/B4*100</f>
        <v>30.5591026242152</v>
      </c>
      <c r="C18" s="57">
        <f t="shared" ref="C18:D18" si="13">C17/C4*100</f>
        <v>20.358044005555325</v>
      </c>
      <c r="D18" s="57">
        <f t="shared" si="13"/>
        <v>4.3109710435176227</v>
      </c>
      <c r="E18" s="57">
        <f>E17/E4</f>
        <v>0.25234290266844261</v>
      </c>
      <c r="F18" s="57">
        <f t="shared" ref="F18:BQ18" si="14">F17/F4</f>
        <v>0.22452100427164831</v>
      </c>
      <c r="G18" s="57">
        <f t="shared" si="14"/>
        <v>0.19267085057371611</v>
      </c>
      <c r="H18" s="57">
        <f t="shared" si="14"/>
        <v>-3.6371566062649879E-2</v>
      </c>
      <c r="I18" s="57">
        <f t="shared" si="14"/>
        <v>0.36407519976534247</v>
      </c>
      <c r="J18" s="57">
        <f t="shared" si="14"/>
        <v>0.35732533036519432</v>
      </c>
      <c r="K18" s="57">
        <f t="shared" si="14"/>
        <v>0.35602881541358783</v>
      </c>
      <c r="L18" s="57">
        <f t="shared" si="14"/>
        <v>0.35807061339478569</v>
      </c>
      <c r="M18" s="57">
        <f t="shared" si="14"/>
        <v>0.37550407017490434</v>
      </c>
      <c r="N18" s="57">
        <f t="shared" si="14"/>
        <v>0.45081044965512601</v>
      </c>
      <c r="O18" s="57">
        <f t="shared" si="14"/>
        <v>0.39468271369391644</v>
      </c>
      <c r="P18" s="57">
        <f t="shared" si="14"/>
        <v>0.37973816940967353</v>
      </c>
      <c r="Q18" s="57">
        <f t="shared" si="14"/>
        <v>0.35000599217463751</v>
      </c>
      <c r="R18" s="57">
        <f t="shared" si="14"/>
        <v>0.32469504059745619</v>
      </c>
      <c r="S18" s="57" t="e">
        <f t="shared" si="14"/>
        <v>#DIV/0!</v>
      </c>
      <c r="T18" s="57" t="e">
        <f t="shared" si="14"/>
        <v>#DIV/0!</v>
      </c>
      <c r="U18" s="57" t="e">
        <f t="shared" si="14"/>
        <v>#DIV/0!</v>
      </c>
      <c r="V18" s="57" t="e">
        <f t="shared" si="14"/>
        <v>#DIV/0!</v>
      </c>
      <c r="W18" s="57" t="e">
        <f t="shared" si="14"/>
        <v>#DIV/0!</v>
      </c>
      <c r="X18" s="57" t="e">
        <f t="shared" si="14"/>
        <v>#DIV/0!</v>
      </c>
      <c r="Y18" s="57" t="e">
        <f t="shared" si="14"/>
        <v>#DIV/0!</v>
      </c>
      <c r="Z18" s="57" t="e">
        <f t="shared" si="14"/>
        <v>#DIV/0!</v>
      </c>
      <c r="AA18" s="57" t="e">
        <f t="shared" si="14"/>
        <v>#DIV/0!</v>
      </c>
      <c r="AB18" s="57" t="e">
        <f t="shared" si="14"/>
        <v>#DIV/0!</v>
      </c>
      <c r="AC18" s="57" t="e">
        <f t="shared" si="14"/>
        <v>#DIV/0!</v>
      </c>
      <c r="AD18" s="57" t="e">
        <f t="shared" si="14"/>
        <v>#DIV/0!</v>
      </c>
      <c r="AE18" s="57" t="e">
        <f t="shared" si="14"/>
        <v>#DIV/0!</v>
      </c>
      <c r="AF18" s="57" t="e">
        <f t="shared" si="14"/>
        <v>#DIV/0!</v>
      </c>
      <c r="AG18" s="57" t="e">
        <f t="shared" si="14"/>
        <v>#DIV/0!</v>
      </c>
      <c r="AH18" s="57" t="e">
        <f t="shared" si="14"/>
        <v>#DIV/0!</v>
      </c>
      <c r="AI18" s="57" t="e">
        <f t="shared" si="14"/>
        <v>#DIV/0!</v>
      </c>
      <c r="AJ18" s="57" t="e">
        <f t="shared" si="14"/>
        <v>#DIV/0!</v>
      </c>
      <c r="AK18" s="57" t="e">
        <f t="shared" si="14"/>
        <v>#DIV/0!</v>
      </c>
      <c r="AL18" s="57" t="e">
        <f t="shared" si="14"/>
        <v>#DIV/0!</v>
      </c>
      <c r="AM18" s="57" t="e">
        <f t="shared" si="14"/>
        <v>#DIV/0!</v>
      </c>
      <c r="AN18" s="57" t="e">
        <f t="shared" si="14"/>
        <v>#DIV/0!</v>
      </c>
      <c r="AO18" s="57" t="e">
        <f t="shared" si="14"/>
        <v>#DIV/0!</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c r="A19" s="18" t="s">
        <v>86</v>
      </c>
      <c r="B19" s="30"/>
      <c r="C19" s="30"/>
      <c r="D19" s="30"/>
      <c r="E19" s="30"/>
      <c r="F19" s="30"/>
      <c r="G19" s="30"/>
      <c r="H19" s="30"/>
      <c r="I19" s="30"/>
      <c r="J19" s="30"/>
      <c r="K19" s="30"/>
    </row>
    <row r="20" spans="1:89">
      <c r="A20" s="17" t="s">
        <v>404</v>
      </c>
      <c r="B20" s="40">
        <v>0</v>
      </c>
      <c r="C20" s="40">
        <v>0</v>
      </c>
      <c r="D20" s="40">
        <v>0</v>
      </c>
      <c r="E20" s="40">
        <v>0</v>
      </c>
      <c r="F20" s="40">
        <v>0</v>
      </c>
      <c r="G20" s="40">
        <v>0</v>
      </c>
      <c r="H20" s="40">
        <v>0</v>
      </c>
      <c r="I20" s="40">
        <v>0</v>
      </c>
      <c r="J20" s="40">
        <v>0</v>
      </c>
      <c r="K20" s="40">
        <v>0</v>
      </c>
      <c r="L20" s="40">
        <v>0</v>
      </c>
      <c r="M20" s="40">
        <v>0</v>
      </c>
      <c r="N20" s="40">
        <v>0</v>
      </c>
      <c r="O20" s="40">
        <v>0</v>
      </c>
      <c r="P20" s="40">
        <v>0</v>
      </c>
      <c r="Q20" s="40">
        <v>0</v>
      </c>
      <c r="R20" s="40">
        <v>0</v>
      </c>
      <c r="S20" s="40">
        <v>0</v>
      </c>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c r="CA20" s="40"/>
      <c r="CB20" s="40"/>
      <c r="CC20" s="40"/>
      <c r="CD20" s="40"/>
      <c r="CE20" s="40"/>
      <c r="CF20" s="40"/>
      <c r="CG20" s="40"/>
      <c r="CH20" s="40"/>
      <c r="CI20" s="40"/>
      <c r="CJ20" s="40"/>
      <c r="CK20" s="40"/>
    </row>
    <row r="21" spans="1:89" s="16" customFormat="1">
      <c r="A21" s="18" t="s">
        <v>87</v>
      </c>
      <c r="B21" s="30"/>
      <c r="C21" s="30"/>
      <c r="D21" s="30"/>
      <c r="E21" s="30"/>
      <c r="F21" s="30"/>
      <c r="G21" s="30"/>
      <c r="H21" s="30"/>
      <c r="I21" s="30"/>
      <c r="J21" s="30"/>
      <c r="K21" s="30"/>
    </row>
    <row r="22" spans="1:89">
      <c r="A22" s="17" t="s">
        <v>405</v>
      </c>
      <c r="B22" s="40">
        <v>0</v>
      </c>
      <c r="C22" s="40">
        <v>0</v>
      </c>
      <c r="D22" s="40">
        <v>0</v>
      </c>
      <c r="E22" s="40">
        <v>0</v>
      </c>
      <c r="F22" s="40">
        <v>0</v>
      </c>
      <c r="G22" s="40">
        <v>0</v>
      </c>
      <c r="H22" s="40">
        <v>0</v>
      </c>
      <c r="I22" s="40">
        <v>0</v>
      </c>
      <c r="J22" s="40">
        <v>0</v>
      </c>
      <c r="K22" s="40">
        <v>0</v>
      </c>
      <c r="L22" s="40">
        <v>0</v>
      </c>
      <c r="M22" s="40">
        <v>0</v>
      </c>
      <c r="N22" s="40">
        <v>0</v>
      </c>
      <c r="O22" s="40">
        <v>0</v>
      </c>
      <c r="P22" s="40">
        <v>0</v>
      </c>
      <c r="Q22" s="40">
        <v>0</v>
      </c>
      <c r="R22" s="40">
        <v>0</v>
      </c>
      <c r="S22" s="40">
        <v>0</v>
      </c>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row>
    <row r="23" spans="1:89" s="7" customFormat="1">
      <c r="A23" s="21" t="s">
        <v>406</v>
      </c>
      <c r="B23" s="29">
        <f>-B52</f>
        <v>25636</v>
      </c>
      <c r="C23" s="29">
        <f t="shared" ref="C23:BN23" si="16">-C52</f>
        <v>27718</v>
      </c>
      <c r="D23" s="29">
        <f t="shared" si="16"/>
        <v>35317</v>
      </c>
      <c r="E23" s="29">
        <f t="shared" si="16"/>
        <v>1517323.16</v>
      </c>
      <c r="F23" s="29">
        <f t="shared" si="16"/>
        <v>34414</v>
      </c>
      <c r="G23" s="29">
        <f t="shared" si="16"/>
        <v>23309</v>
      </c>
      <c r="H23" s="29">
        <f t="shared" si="16"/>
        <v>16814</v>
      </c>
      <c r="I23" s="29">
        <f t="shared" si="16"/>
        <v>1538835.87</v>
      </c>
      <c r="J23" s="29">
        <f t="shared" si="16"/>
        <v>0</v>
      </c>
      <c r="K23" s="29">
        <f t="shared" si="16"/>
        <v>0</v>
      </c>
      <c r="L23" s="29">
        <f t="shared" si="16"/>
        <v>0</v>
      </c>
      <c r="M23" s="29">
        <f t="shared" si="16"/>
        <v>2175588.0499999998</v>
      </c>
      <c r="N23" s="29">
        <f t="shared" si="16"/>
        <v>0</v>
      </c>
      <c r="O23" s="29">
        <f t="shared" si="16"/>
        <v>0</v>
      </c>
      <c r="P23" s="29">
        <f t="shared" si="16"/>
        <v>0</v>
      </c>
      <c r="Q23" s="29">
        <f t="shared" si="16"/>
        <v>0</v>
      </c>
      <c r="R23" s="29">
        <f t="shared" si="16"/>
        <v>0</v>
      </c>
      <c r="S23" s="29">
        <f t="shared" si="16"/>
        <v>0</v>
      </c>
      <c r="T23" s="29">
        <f t="shared" si="16"/>
        <v>0</v>
      </c>
      <c r="U23" s="29">
        <f t="shared" si="16"/>
        <v>0</v>
      </c>
      <c r="V23" s="29">
        <f t="shared" si="16"/>
        <v>0</v>
      </c>
      <c r="W23" s="29">
        <f t="shared" si="16"/>
        <v>0</v>
      </c>
      <c r="X23" s="29">
        <f t="shared" si="16"/>
        <v>0</v>
      </c>
      <c r="Y23" s="29">
        <f t="shared" si="16"/>
        <v>0</v>
      </c>
      <c r="Z23" s="29">
        <f t="shared" si="16"/>
        <v>0</v>
      </c>
      <c r="AA23" s="29">
        <f t="shared" si="16"/>
        <v>0</v>
      </c>
      <c r="AB23" s="29">
        <f t="shared" si="16"/>
        <v>0</v>
      </c>
      <c r="AC23" s="29">
        <f t="shared" si="16"/>
        <v>33478269.789999999</v>
      </c>
      <c r="AD23" s="29">
        <f t="shared" si="16"/>
        <v>0</v>
      </c>
      <c r="AE23" s="29">
        <f t="shared" si="16"/>
        <v>0</v>
      </c>
      <c r="AF23" s="29">
        <f t="shared" si="16"/>
        <v>0</v>
      </c>
      <c r="AG23" s="29">
        <f t="shared" si="16"/>
        <v>1072131.49</v>
      </c>
      <c r="AH23" s="29">
        <f t="shared" si="16"/>
        <v>0</v>
      </c>
      <c r="AI23" s="29">
        <f t="shared" si="16"/>
        <v>0</v>
      </c>
      <c r="AJ23" s="29">
        <f t="shared" si="16"/>
        <v>0</v>
      </c>
      <c r="AK23" s="29">
        <f t="shared" si="16"/>
        <v>3365474.92</v>
      </c>
      <c r="AL23" s="29">
        <f t="shared" si="16"/>
        <v>0</v>
      </c>
      <c r="AM23" s="29">
        <f t="shared" si="16"/>
        <v>0</v>
      </c>
      <c r="AN23" s="29">
        <f t="shared" si="16"/>
        <v>0</v>
      </c>
      <c r="AO23" s="29">
        <f t="shared" si="16"/>
        <v>1255234.32</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c r="A24" s="17" t="s">
        <v>407</v>
      </c>
      <c r="B24" s="26">
        <f>B67</f>
        <v>11492762.449999999</v>
      </c>
      <c r="C24" s="26">
        <f t="shared" ref="C24:BN24" si="18">C67</f>
        <v>7805487.79</v>
      </c>
      <c r="D24" s="26">
        <f t="shared" si="18"/>
        <v>1095731.27</v>
      </c>
      <c r="E24" s="26">
        <f>E67</f>
        <v>12183852.58</v>
      </c>
      <c r="F24" s="26">
        <f t="shared" si="18"/>
        <v>0</v>
      </c>
      <c r="G24" s="26">
        <f t="shared" si="18"/>
        <v>0</v>
      </c>
      <c r="H24" s="26">
        <f t="shared" si="18"/>
        <v>0</v>
      </c>
      <c r="I24" s="26">
        <f t="shared" si="18"/>
        <v>0</v>
      </c>
      <c r="J24" s="26">
        <f t="shared" si="18"/>
        <v>0</v>
      </c>
      <c r="K24" s="26">
        <f t="shared" si="18"/>
        <v>0</v>
      </c>
      <c r="L24" s="26">
        <f t="shared" si="18"/>
        <v>0</v>
      </c>
      <c r="M24" s="26">
        <f t="shared" si="18"/>
        <v>0</v>
      </c>
      <c r="N24" s="26">
        <f t="shared" si="18"/>
        <v>0</v>
      </c>
      <c r="O24" s="26">
        <f t="shared" si="18"/>
        <v>0</v>
      </c>
      <c r="P24" s="26">
        <f t="shared" si="18"/>
        <v>0</v>
      </c>
      <c r="Q24" s="26">
        <f t="shared" si="18"/>
        <v>0</v>
      </c>
      <c r="R24" s="26">
        <f t="shared" si="18"/>
        <v>0</v>
      </c>
      <c r="S24" s="26">
        <f t="shared" si="18"/>
        <v>0</v>
      </c>
      <c r="T24" s="26">
        <f t="shared" si="18"/>
        <v>2625796.42</v>
      </c>
      <c r="U24" s="26">
        <f t="shared" si="18"/>
        <v>10656664.34</v>
      </c>
      <c r="V24" s="26">
        <f t="shared" si="18"/>
        <v>6762262.5199999996</v>
      </c>
      <c r="W24" s="26">
        <f t="shared" si="18"/>
        <v>3988448.61</v>
      </c>
      <c r="X24" s="26">
        <f t="shared" si="18"/>
        <v>396219.44</v>
      </c>
      <c r="Y24" s="26">
        <f t="shared" si="18"/>
        <v>1100350.93</v>
      </c>
      <c r="Z24" s="26">
        <f t="shared" si="18"/>
        <v>0</v>
      </c>
      <c r="AA24" s="26">
        <f t="shared" si="18"/>
        <v>0</v>
      </c>
      <c r="AB24" s="26">
        <f t="shared" si="18"/>
        <v>0</v>
      </c>
      <c r="AC24" s="26">
        <f t="shared" si="18"/>
        <v>0</v>
      </c>
      <c r="AD24" s="26">
        <f t="shared" si="18"/>
        <v>0</v>
      </c>
      <c r="AE24" s="26">
        <f t="shared" si="18"/>
        <v>0</v>
      </c>
      <c r="AF24" s="26">
        <f t="shared" si="18"/>
        <v>0</v>
      </c>
      <c r="AG24" s="26">
        <f t="shared" si="18"/>
        <v>0</v>
      </c>
      <c r="AH24" s="26">
        <f t="shared" si="18"/>
        <v>0</v>
      </c>
      <c r="AI24" s="26">
        <f t="shared" si="18"/>
        <v>0</v>
      </c>
      <c r="AJ24" s="26">
        <f t="shared" si="18"/>
        <v>0</v>
      </c>
      <c r="AK24" s="26">
        <f t="shared" si="18"/>
        <v>666438.85</v>
      </c>
      <c r="AL24" s="26">
        <f t="shared" si="18"/>
        <v>666438.85</v>
      </c>
      <c r="AM24" s="26">
        <f t="shared" si="18"/>
        <v>0</v>
      </c>
      <c r="AN24" s="26">
        <f t="shared" si="18"/>
        <v>987723.72</v>
      </c>
      <c r="AO24" s="26">
        <f t="shared" si="18"/>
        <v>0</v>
      </c>
      <c r="AP24" s="26">
        <f t="shared" si="18"/>
        <v>0</v>
      </c>
      <c r="AQ24" s="26">
        <f t="shared" si="18"/>
        <v>0</v>
      </c>
      <c r="AR24" s="26">
        <f t="shared" si="18"/>
        <v>0</v>
      </c>
      <c r="AS24" s="26">
        <f t="shared" si="18"/>
        <v>0</v>
      </c>
      <c r="AT24" s="26">
        <f t="shared" si="18"/>
        <v>3145948.9100000262</v>
      </c>
      <c r="AU24" s="26">
        <f t="shared" si="18"/>
        <v>3221938.3999999762</v>
      </c>
      <c r="AV24" s="26">
        <f t="shared" si="18"/>
        <v>0</v>
      </c>
      <c r="AW24" s="26">
        <f t="shared" si="18"/>
        <v>106002085.7</v>
      </c>
      <c r="AX24" s="26">
        <f t="shared" si="18"/>
        <v>78146813.989999995</v>
      </c>
      <c r="AY24" s="26">
        <f t="shared" si="18"/>
        <v>31508275.550000001</v>
      </c>
      <c r="AZ24" s="26">
        <f t="shared" si="18"/>
        <v>6818330.1399999997</v>
      </c>
      <c r="BA24" s="26">
        <f t="shared" si="18"/>
        <v>-52414533.450000003</v>
      </c>
      <c r="BB24" s="26">
        <f t="shared" si="18"/>
        <v>-47415743.689999998</v>
      </c>
      <c r="BC24" s="26">
        <f t="shared" si="18"/>
        <v>-4476487.08</v>
      </c>
      <c r="BD24" s="26">
        <f t="shared" si="18"/>
        <v>13731417.210000001</v>
      </c>
      <c r="BE24" s="26">
        <f t="shared" si="18"/>
        <v>74080792.579999998</v>
      </c>
      <c r="BF24" s="26">
        <f t="shared" si="18"/>
        <v>53634658.140000001</v>
      </c>
      <c r="BG24" s="26">
        <f t="shared" si="18"/>
        <v>44718368.039999999</v>
      </c>
      <c r="BH24" s="26">
        <f t="shared" si="18"/>
        <v>13012623.23</v>
      </c>
      <c r="BI24" s="26">
        <f t="shared" si="18"/>
        <v>129351232.81999999</v>
      </c>
      <c r="BJ24" s="26">
        <f t="shared" si="18"/>
        <v>126231548.87</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c r="A25" s="21" t="s">
        <v>408</v>
      </c>
      <c r="B25" s="29">
        <f>-B54</f>
        <v>-3104</v>
      </c>
      <c r="C25" s="29">
        <f t="shared" ref="C25:BN25" si="20">-C54</f>
        <v>1424</v>
      </c>
      <c r="D25" s="29">
        <f t="shared" si="20"/>
        <v>340</v>
      </c>
      <c r="E25" s="29">
        <f t="shared" si="20"/>
        <v>-184791.59</v>
      </c>
      <c r="F25" s="29">
        <f t="shared" si="20"/>
        <v>-2684</v>
      </c>
      <c r="G25" s="29">
        <f t="shared" si="20"/>
        <v>377</v>
      </c>
      <c r="H25" s="29">
        <f t="shared" si="20"/>
        <v>-1008</v>
      </c>
      <c r="I25" s="29">
        <f t="shared" si="20"/>
        <v>-19685.75</v>
      </c>
      <c r="J25" s="29">
        <f t="shared" si="20"/>
        <v>0</v>
      </c>
      <c r="K25" s="29">
        <f t="shared" si="20"/>
        <v>0</v>
      </c>
      <c r="L25" s="29">
        <f t="shared" si="20"/>
        <v>0</v>
      </c>
      <c r="M25" s="29">
        <f t="shared" si="20"/>
        <v>-162090.01999999999</v>
      </c>
      <c r="N25" s="29">
        <f t="shared" si="20"/>
        <v>0</v>
      </c>
      <c r="O25" s="29">
        <f t="shared" si="20"/>
        <v>0</v>
      </c>
      <c r="P25" s="29">
        <f t="shared" si="20"/>
        <v>0</v>
      </c>
      <c r="Q25" s="29">
        <f t="shared" si="20"/>
        <v>0</v>
      </c>
      <c r="R25" s="29">
        <f t="shared" si="20"/>
        <v>0</v>
      </c>
      <c r="S25" s="29">
        <f t="shared" si="20"/>
        <v>0</v>
      </c>
      <c r="T25" s="29">
        <f t="shared" si="20"/>
        <v>0</v>
      </c>
      <c r="U25" s="29">
        <f t="shared" si="20"/>
        <v>0</v>
      </c>
      <c r="V25" s="29">
        <f t="shared" si="20"/>
        <v>0</v>
      </c>
      <c r="W25" s="29">
        <f t="shared" si="20"/>
        <v>0</v>
      </c>
      <c r="X25" s="29">
        <f t="shared" si="20"/>
        <v>0</v>
      </c>
      <c r="Y25" s="29">
        <f t="shared" si="20"/>
        <v>0</v>
      </c>
      <c r="Z25" s="29">
        <f t="shared" si="20"/>
        <v>0</v>
      </c>
      <c r="AA25" s="29">
        <f t="shared" si="20"/>
        <v>0</v>
      </c>
      <c r="AB25" s="29">
        <f t="shared" si="20"/>
        <v>0</v>
      </c>
      <c r="AC25" s="29">
        <f t="shared" si="20"/>
        <v>0</v>
      </c>
      <c r="AD25" s="29">
        <f t="shared" si="20"/>
        <v>0</v>
      </c>
      <c r="AE25" s="29">
        <f t="shared" si="20"/>
        <v>0</v>
      </c>
      <c r="AF25" s="29">
        <f t="shared" si="20"/>
        <v>0</v>
      </c>
      <c r="AG25" s="29">
        <f t="shared" si="20"/>
        <v>0</v>
      </c>
      <c r="AH25" s="29">
        <f t="shared" si="20"/>
        <v>0</v>
      </c>
      <c r="AI25" s="29">
        <f t="shared" si="20"/>
        <v>0</v>
      </c>
      <c r="AJ25" s="29">
        <f t="shared" si="20"/>
        <v>0</v>
      </c>
      <c r="AK25" s="29">
        <f t="shared" si="20"/>
        <v>72.72</v>
      </c>
      <c r="AL25" s="29">
        <f t="shared" si="20"/>
        <v>0</v>
      </c>
      <c r="AM25" s="29">
        <f t="shared" si="20"/>
        <v>0</v>
      </c>
      <c r="AN25" s="29">
        <f t="shared" si="20"/>
        <v>0</v>
      </c>
      <c r="AO25" s="29">
        <f t="shared" si="20"/>
        <v>-1003.32</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c r="A26" s="17" t="s">
        <v>409</v>
      </c>
      <c r="B26" s="40">
        <v>0</v>
      </c>
      <c r="C26" s="40">
        <v>0</v>
      </c>
      <c r="D26" s="40">
        <v>0</v>
      </c>
      <c r="E26" s="40">
        <v>0</v>
      </c>
      <c r="F26" s="40">
        <v>0</v>
      </c>
      <c r="G26" s="40">
        <v>0</v>
      </c>
      <c r="H26" s="40">
        <v>0</v>
      </c>
      <c r="I26" s="40">
        <v>0</v>
      </c>
      <c r="J26" s="40">
        <v>0</v>
      </c>
      <c r="K26" s="40">
        <v>0</v>
      </c>
      <c r="L26" s="40">
        <v>0</v>
      </c>
      <c r="M26" s="40">
        <v>0</v>
      </c>
      <c r="N26" s="40">
        <v>0</v>
      </c>
      <c r="O26" s="40">
        <v>0</v>
      </c>
      <c r="P26" s="40">
        <v>0</v>
      </c>
      <c r="Q26" s="40">
        <v>0</v>
      </c>
      <c r="R26" s="40">
        <v>0</v>
      </c>
      <c r="S26" s="40">
        <v>0</v>
      </c>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row>
    <row r="27" spans="1:89">
      <c r="A27" s="17" t="s">
        <v>410</v>
      </c>
      <c r="B27" s="26">
        <f>SUM(B22:B26)</f>
        <v>11515294.449999999</v>
      </c>
      <c r="C27" s="26">
        <f t="shared" ref="C27:BN27" si="22">SUM(C22:C26)</f>
        <v>7834629.79</v>
      </c>
      <c r="D27" s="26">
        <f t="shared" si="22"/>
        <v>1131388.27</v>
      </c>
      <c r="E27" s="26">
        <f t="shared" si="22"/>
        <v>13516384.15</v>
      </c>
      <c r="F27" s="26">
        <f t="shared" si="22"/>
        <v>31730</v>
      </c>
      <c r="G27" s="26">
        <f t="shared" si="22"/>
        <v>23686</v>
      </c>
      <c r="H27" s="26">
        <f t="shared" si="22"/>
        <v>15806</v>
      </c>
      <c r="I27" s="26">
        <f t="shared" si="22"/>
        <v>1519150.12</v>
      </c>
      <c r="J27" s="26">
        <f t="shared" si="22"/>
        <v>0</v>
      </c>
      <c r="K27" s="26">
        <f t="shared" si="22"/>
        <v>0</v>
      </c>
      <c r="L27" s="26">
        <f t="shared" si="22"/>
        <v>0</v>
      </c>
      <c r="M27" s="26">
        <f t="shared" si="22"/>
        <v>2013498.0299999998</v>
      </c>
      <c r="N27" s="26">
        <f t="shared" si="22"/>
        <v>0</v>
      </c>
      <c r="O27" s="26">
        <f t="shared" si="22"/>
        <v>0</v>
      </c>
      <c r="P27" s="26">
        <f t="shared" si="22"/>
        <v>0</v>
      </c>
      <c r="Q27" s="26">
        <f t="shared" si="22"/>
        <v>0</v>
      </c>
      <c r="R27" s="26">
        <f t="shared" si="22"/>
        <v>0</v>
      </c>
      <c r="S27" s="26">
        <f t="shared" si="22"/>
        <v>0</v>
      </c>
      <c r="T27" s="26">
        <f t="shared" si="22"/>
        <v>2625796.42</v>
      </c>
      <c r="U27" s="26">
        <f t="shared" si="22"/>
        <v>10656664.34</v>
      </c>
      <c r="V27" s="26">
        <f t="shared" si="22"/>
        <v>6762262.5199999996</v>
      </c>
      <c r="W27" s="26">
        <f t="shared" si="22"/>
        <v>3988448.61</v>
      </c>
      <c r="X27" s="26">
        <f t="shared" si="22"/>
        <v>396219.44</v>
      </c>
      <c r="Y27" s="26">
        <f t="shared" si="22"/>
        <v>1100350.93</v>
      </c>
      <c r="Z27" s="26">
        <f t="shared" si="22"/>
        <v>0</v>
      </c>
      <c r="AA27" s="26">
        <f t="shared" si="22"/>
        <v>0</v>
      </c>
      <c r="AB27" s="26">
        <f t="shared" si="22"/>
        <v>0</v>
      </c>
      <c r="AC27" s="26">
        <f t="shared" si="22"/>
        <v>33478269.789999999</v>
      </c>
      <c r="AD27" s="26">
        <f t="shared" si="22"/>
        <v>0</v>
      </c>
      <c r="AE27" s="26">
        <f t="shared" si="22"/>
        <v>0</v>
      </c>
      <c r="AF27" s="26">
        <f t="shared" si="22"/>
        <v>0</v>
      </c>
      <c r="AG27" s="26">
        <f t="shared" si="22"/>
        <v>1072131.49</v>
      </c>
      <c r="AH27" s="26">
        <f t="shared" si="22"/>
        <v>0</v>
      </c>
      <c r="AI27" s="26">
        <f t="shared" si="22"/>
        <v>0</v>
      </c>
      <c r="AJ27" s="26">
        <f t="shared" si="22"/>
        <v>0</v>
      </c>
      <c r="AK27" s="26">
        <f t="shared" si="22"/>
        <v>4031986.49</v>
      </c>
      <c r="AL27" s="26">
        <f t="shared" si="22"/>
        <v>666438.85</v>
      </c>
      <c r="AM27" s="26">
        <f t="shared" si="22"/>
        <v>0</v>
      </c>
      <c r="AN27" s="26">
        <f t="shared" si="22"/>
        <v>987723.72</v>
      </c>
      <c r="AO27" s="26">
        <f t="shared" si="22"/>
        <v>1254231</v>
      </c>
      <c r="AP27" s="26">
        <f t="shared" si="22"/>
        <v>0</v>
      </c>
      <c r="AQ27" s="26">
        <f t="shared" si="22"/>
        <v>0</v>
      </c>
      <c r="AR27" s="26">
        <f t="shared" si="22"/>
        <v>0</v>
      </c>
      <c r="AS27" s="26">
        <f t="shared" si="22"/>
        <v>0</v>
      </c>
      <c r="AT27" s="26">
        <f t="shared" si="22"/>
        <v>3145948.9100000262</v>
      </c>
      <c r="AU27" s="26">
        <f t="shared" si="22"/>
        <v>3221938.3999999762</v>
      </c>
      <c r="AV27" s="26">
        <f t="shared" si="22"/>
        <v>0</v>
      </c>
      <c r="AW27" s="26">
        <f t="shared" si="22"/>
        <v>106002085.7</v>
      </c>
      <c r="AX27" s="26">
        <f t="shared" si="22"/>
        <v>78146813.989999995</v>
      </c>
      <c r="AY27" s="26">
        <f t="shared" si="22"/>
        <v>31508275.550000001</v>
      </c>
      <c r="AZ27" s="26">
        <f t="shared" si="22"/>
        <v>6818330.1399999997</v>
      </c>
      <c r="BA27" s="26">
        <f t="shared" si="22"/>
        <v>-52414533.450000003</v>
      </c>
      <c r="BB27" s="26">
        <f t="shared" si="22"/>
        <v>-47415743.689999998</v>
      </c>
      <c r="BC27" s="26">
        <f t="shared" si="22"/>
        <v>-4476487.08</v>
      </c>
      <c r="BD27" s="26">
        <f t="shared" si="22"/>
        <v>13731417.210000001</v>
      </c>
      <c r="BE27" s="26">
        <f t="shared" si="22"/>
        <v>74080792.579999998</v>
      </c>
      <c r="BF27" s="26">
        <f t="shared" si="22"/>
        <v>53634658.140000001</v>
      </c>
      <c r="BG27" s="26">
        <f t="shared" si="22"/>
        <v>44718368.039999999</v>
      </c>
      <c r="BH27" s="26">
        <f t="shared" si="22"/>
        <v>13012623.23</v>
      </c>
      <c r="BI27" s="26">
        <f t="shared" si="22"/>
        <v>129351232.81999999</v>
      </c>
      <c r="BJ27" s="26">
        <f t="shared" si="22"/>
        <v>126231548.87</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c r="A28" s="17" t="s">
        <v>411</v>
      </c>
      <c r="B28" s="26">
        <f>SUM(B22:B25)*B41</f>
        <v>812141.73490717285</v>
      </c>
      <c r="C28" s="26">
        <f t="shared" ref="C28:BN28" si="24">SUM(C22:C25)*C41</f>
        <v>656422.49898925598</v>
      </c>
      <c r="D28" s="26">
        <f t="shared" si="24"/>
        <v>-6771.3585498596312</v>
      </c>
      <c r="E28" s="26">
        <f t="shared" si="24"/>
        <v>1643262.0354781148</v>
      </c>
      <c r="F28" s="26">
        <f t="shared" si="24"/>
        <v>2188.005358217717</v>
      </c>
      <c r="G28" s="26">
        <f t="shared" si="24"/>
        <v>1546.9226946985405</v>
      </c>
      <c r="H28" s="26">
        <f t="shared" si="24"/>
        <v>-129.36073187122417</v>
      </c>
      <c r="I28" s="26">
        <f t="shared" si="24"/>
        <v>83272.91794192011</v>
      </c>
      <c r="J28" s="26">
        <f t="shared" si="24"/>
        <v>0</v>
      </c>
      <c r="K28" s="26">
        <f t="shared" si="24"/>
        <v>0</v>
      </c>
      <c r="L28" s="26">
        <f t="shared" si="24"/>
        <v>0</v>
      </c>
      <c r="M28" s="26">
        <f t="shared" si="24"/>
        <v>220228.48477963102</v>
      </c>
      <c r="N28" s="26">
        <f t="shared" si="24"/>
        <v>0</v>
      </c>
      <c r="O28" s="26">
        <f t="shared" si="24"/>
        <v>0</v>
      </c>
      <c r="P28" s="26">
        <f t="shared" si="24"/>
        <v>0</v>
      </c>
      <c r="Q28" s="26">
        <f t="shared" si="24"/>
        <v>0</v>
      </c>
      <c r="R28" s="26">
        <f t="shared" si="24"/>
        <v>0</v>
      </c>
      <c r="S28" s="26" t="e">
        <f t="shared" si="24"/>
        <v>#DIV/0!</v>
      </c>
      <c r="T28" s="26">
        <f t="shared" si="24"/>
        <v>7906632.5349216247</v>
      </c>
      <c r="U28" s="26">
        <f t="shared" si="24"/>
        <v>45548267.058662817</v>
      </c>
      <c r="V28" s="26">
        <f t="shared" si="24"/>
        <v>29986465.926152557</v>
      </c>
      <c r="W28" s="26">
        <f t="shared" si="24"/>
        <v>14428584.153750721</v>
      </c>
      <c r="X28" s="26">
        <f t="shared" si="24"/>
        <v>1385294.7970314028</v>
      </c>
      <c r="Y28" s="26">
        <f t="shared" si="24"/>
        <v>6547677.839681793</v>
      </c>
      <c r="Z28" s="26">
        <f t="shared" si="24"/>
        <v>0</v>
      </c>
      <c r="AA28" s="26">
        <f t="shared" si="24"/>
        <v>0</v>
      </c>
      <c r="AB28" s="26">
        <f t="shared" si="24"/>
        <v>0</v>
      </c>
      <c r="AC28" s="26">
        <f t="shared" si="24"/>
        <v>196148351.3446002</v>
      </c>
      <c r="AD28" s="26">
        <f t="shared" si="24"/>
        <v>0</v>
      </c>
      <c r="AE28" s="26">
        <f t="shared" si="24"/>
        <v>0</v>
      </c>
      <c r="AF28" s="26">
        <f t="shared" si="24"/>
        <v>0</v>
      </c>
      <c r="AG28" s="26">
        <f t="shared" si="24"/>
        <v>-2445456.6497014533</v>
      </c>
      <c r="AH28" s="26">
        <f t="shared" si="24"/>
        <v>0</v>
      </c>
      <c r="AI28" s="26">
        <f t="shared" si="24"/>
        <v>0</v>
      </c>
      <c r="AJ28" s="26">
        <f t="shared" si="24"/>
        <v>0</v>
      </c>
      <c r="AK28" s="26">
        <f t="shared" si="24"/>
        <v>-6848796.1809116183</v>
      </c>
      <c r="AL28" s="26">
        <f t="shared" si="24"/>
        <v>-1355677.4671779533</v>
      </c>
      <c r="AM28" s="26">
        <f t="shared" si="24"/>
        <v>0</v>
      </c>
      <c r="AN28" s="26">
        <f t="shared" si="24"/>
        <v>-1209962.3525476858</v>
      </c>
      <c r="AO28" s="26">
        <f t="shared" si="24"/>
        <v>0</v>
      </c>
      <c r="AP28" s="26">
        <f t="shared" si="24"/>
        <v>0</v>
      </c>
      <c r="AQ28" s="26">
        <f t="shared" si="24"/>
        <v>0</v>
      </c>
      <c r="AR28" s="26">
        <f t="shared" si="24"/>
        <v>0</v>
      </c>
      <c r="AS28" s="26" t="e">
        <f t="shared" si="24"/>
        <v>#DIV/0!</v>
      </c>
      <c r="AT28" s="26">
        <f t="shared" si="24"/>
        <v>16149089.591632087</v>
      </c>
      <c r="AU28" s="26">
        <f t="shared" si="24"/>
        <v>23495797.035097752</v>
      </c>
      <c r="AV28" s="26">
        <f t="shared" si="24"/>
        <v>0</v>
      </c>
      <c r="AW28" s="26">
        <f t="shared" si="24"/>
        <v>92412711.069157049</v>
      </c>
      <c r="AX28" s="26">
        <f t="shared" si="24"/>
        <v>58178002.990733735</v>
      </c>
      <c r="AY28" s="26">
        <f t="shared" si="24"/>
        <v>32931374.755832076</v>
      </c>
      <c r="AZ28" s="26">
        <f t="shared" si="24"/>
        <v>14012926.767596914</v>
      </c>
      <c r="BA28" s="26">
        <f t="shared" si="24"/>
        <v>129141533.77954903</v>
      </c>
      <c r="BB28" s="26">
        <f t="shared" si="24"/>
        <v>95662406.856678739</v>
      </c>
      <c r="BC28" s="26">
        <f t="shared" si="24"/>
        <v>126322875.63280822</v>
      </c>
      <c r="BD28" s="26">
        <f t="shared" si="24"/>
        <v>22912140.845426366</v>
      </c>
      <c r="BE28" s="26">
        <f t="shared" si="24"/>
        <v>113244217.68763751</v>
      </c>
      <c r="BF28" s="26">
        <f t="shared" si="24"/>
        <v>82645578.151306331</v>
      </c>
      <c r="BG28" s="26">
        <f t="shared" si="24"/>
        <v>61803227.377268419</v>
      </c>
      <c r="BH28" s="26">
        <f t="shared" si="24"/>
        <v>27614065.147478968</v>
      </c>
      <c r="BI28" s="26">
        <f t="shared" si="24"/>
        <v>167253724.58140779</v>
      </c>
      <c r="BJ28" s="26">
        <f t="shared" si="24"/>
        <v>122594405.07585235</v>
      </c>
      <c r="BK28" s="26">
        <f t="shared" si="24"/>
        <v>82048897.818007305</v>
      </c>
      <c r="BL28" s="26">
        <f t="shared" si="24"/>
        <v>40216003.190142654</v>
      </c>
      <c r="BM28" s="26">
        <f t="shared" si="24"/>
        <v>158111589.62635383</v>
      </c>
      <c r="BN28" s="26">
        <f t="shared" si="24"/>
        <v>112482617.53937016</v>
      </c>
      <c r="BO28" s="26">
        <f t="shared" ref="BO28:CJ28" si="25">SUM(BO22:BO25)*BO41</f>
        <v>71463302.995694101</v>
      </c>
      <c r="BP28" s="26">
        <f t="shared" si="25"/>
        <v>39213868.850202009</v>
      </c>
      <c r="BQ28" s="26">
        <f t="shared" si="25"/>
        <v>128481520.12419814</v>
      </c>
      <c r="BR28" s="26">
        <f t="shared" si="25"/>
        <v>57451455.933676496</v>
      </c>
      <c r="BS28" s="26">
        <f t="shared" si="25"/>
        <v>103997862.53581847</v>
      </c>
      <c r="BT28" s="26">
        <f t="shared" si="25"/>
        <v>47155682.407815658</v>
      </c>
      <c r="BU28" s="26">
        <f t="shared" si="25"/>
        <v>84343568.551926851</v>
      </c>
      <c r="BV28" s="26">
        <f t="shared" si="25"/>
        <v>23070133.261112079</v>
      </c>
      <c r="BW28" s="26">
        <f t="shared" si="25"/>
        <v>2852775.2108163531</v>
      </c>
      <c r="BX28" s="26">
        <f t="shared" si="25"/>
        <v>0</v>
      </c>
      <c r="BY28" s="26">
        <f t="shared" si="25"/>
        <v>17214216.741538297</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c r="A29" s="20" t="s">
        <v>412</v>
      </c>
      <c r="B29" s="28">
        <f>B27-B28</f>
        <v>10703152.715092827</v>
      </c>
      <c r="C29" s="28">
        <f t="shared" ref="C29:BN29" si="26">C27-C28</f>
        <v>7178207.2910107439</v>
      </c>
      <c r="D29" s="28">
        <f t="shared" si="26"/>
        <v>1138159.6285498596</v>
      </c>
      <c r="E29" s="28">
        <f t="shared" si="26"/>
        <v>11873122.114521885</v>
      </c>
      <c r="F29" s="28">
        <f t="shared" si="26"/>
        <v>29541.994641782283</v>
      </c>
      <c r="G29" s="28">
        <f t="shared" si="26"/>
        <v>22139.07730530146</v>
      </c>
      <c r="H29" s="28">
        <f t="shared" si="26"/>
        <v>15935.360731871224</v>
      </c>
      <c r="I29" s="28">
        <f t="shared" si="26"/>
        <v>1435877.2020580801</v>
      </c>
      <c r="J29" s="28">
        <f t="shared" si="26"/>
        <v>0</v>
      </c>
      <c r="K29" s="28">
        <f t="shared" si="26"/>
        <v>0</v>
      </c>
      <c r="L29" s="28">
        <f t="shared" si="26"/>
        <v>0</v>
      </c>
      <c r="M29" s="28">
        <f t="shared" si="26"/>
        <v>1793269.5452203688</v>
      </c>
      <c r="N29" s="28">
        <f t="shared" si="26"/>
        <v>0</v>
      </c>
      <c r="O29" s="28">
        <f t="shared" si="26"/>
        <v>0</v>
      </c>
      <c r="P29" s="28">
        <f t="shared" si="26"/>
        <v>0</v>
      </c>
      <c r="Q29" s="28">
        <f t="shared" si="26"/>
        <v>0</v>
      </c>
      <c r="R29" s="28">
        <f t="shared" si="26"/>
        <v>0</v>
      </c>
      <c r="S29" s="28" t="e">
        <f t="shared" si="26"/>
        <v>#DIV/0!</v>
      </c>
      <c r="T29" s="28">
        <f t="shared" si="26"/>
        <v>-5280836.1149216248</v>
      </c>
      <c r="U29" s="28">
        <f t="shared" si="26"/>
        <v>-34891602.718662813</v>
      </c>
      <c r="V29" s="28">
        <f t="shared" si="26"/>
        <v>-23224203.406152558</v>
      </c>
      <c r="W29" s="28">
        <f t="shared" si="26"/>
        <v>-10440135.543750722</v>
      </c>
      <c r="X29" s="28">
        <f t="shared" si="26"/>
        <v>-989075.35703140288</v>
      </c>
      <c r="Y29" s="28">
        <f t="shared" si="26"/>
        <v>-5447326.9096817933</v>
      </c>
      <c r="Z29" s="28">
        <f t="shared" si="26"/>
        <v>0</v>
      </c>
      <c r="AA29" s="28">
        <f t="shared" si="26"/>
        <v>0</v>
      </c>
      <c r="AB29" s="28">
        <f t="shared" si="26"/>
        <v>0</v>
      </c>
      <c r="AC29" s="28">
        <f t="shared" si="26"/>
        <v>-162670081.55460021</v>
      </c>
      <c r="AD29" s="28">
        <f t="shared" si="26"/>
        <v>0</v>
      </c>
      <c r="AE29" s="28">
        <f t="shared" si="26"/>
        <v>0</v>
      </c>
      <c r="AF29" s="28">
        <f t="shared" si="26"/>
        <v>0</v>
      </c>
      <c r="AG29" s="28">
        <f t="shared" si="26"/>
        <v>3517588.139701453</v>
      </c>
      <c r="AH29" s="28">
        <f t="shared" si="26"/>
        <v>0</v>
      </c>
      <c r="AI29" s="28">
        <f t="shared" si="26"/>
        <v>0</v>
      </c>
      <c r="AJ29" s="28">
        <f t="shared" si="26"/>
        <v>0</v>
      </c>
      <c r="AK29" s="28">
        <f t="shared" si="26"/>
        <v>10880782.670911618</v>
      </c>
      <c r="AL29" s="28">
        <f t="shared" si="26"/>
        <v>2022116.3171779532</v>
      </c>
      <c r="AM29" s="28">
        <f t="shared" si="26"/>
        <v>0</v>
      </c>
      <c r="AN29" s="28">
        <f t="shared" si="26"/>
        <v>2197686.0725476858</v>
      </c>
      <c r="AO29" s="28">
        <f t="shared" si="26"/>
        <v>1254231</v>
      </c>
      <c r="AP29" s="28">
        <f t="shared" si="26"/>
        <v>0</v>
      </c>
      <c r="AQ29" s="28">
        <f t="shared" si="26"/>
        <v>0</v>
      </c>
      <c r="AR29" s="28">
        <f t="shared" si="26"/>
        <v>0</v>
      </c>
      <c r="AS29" s="28" t="e">
        <f t="shared" si="26"/>
        <v>#DIV/0!</v>
      </c>
      <c r="AT29" s="28">
        <f t="shared" si="26"/>
        <v>-13003140.681632061</v>
      </c>
      <c r="AU29" s="28">
        <f t="shared" si="26"/>
        <v>-20273858.635097776</v>
      </c>
      <c r="AV29" s="28">
        <f t="shared" si="26"/>
        <v>0</v>
      </c>
      <c r="AW29" s="28">
        <f t="shared" si="26"/>
        <v>13589374.630842954</v>
      </c>
      <c r="AX29" s="28">
        <f t="shared" si="26"/>
        <v>19968810.999266259</v>
      </c>
      <c r="AY29" s="28">
        <f t="shared" si="26"/>
        <v>-1423099.2058320753</v>
      </c>
      <c r="AZ29" s="28">
        <f t="shared" si="26"/>
        <v>-7194596.6275969138</v>
      </c>
      <c r="BA29" s="28">
        <f t="shared" si="26"/>
        <v>-181556067.22954905</v>
      </c>
      <c r="BB29" s="28">
        <f t="shared" si="26"/>
        <v>-143078150.54667872</v>
      </c>
      <c r="BC29" s="28">
        <f t="shared" si="26"/>
        <v>-130799362.71280822</v>
      </c>
      <c r="BD29" s="28">
        <f t="shared" si="26"/>
        <v>-9180723.6354263648</v>
      </c>
      <c r="BE29" s="28">
        <f t="shared" si="26"/>
        <v>-39163425.10763751</v>
      </c>
      <c r="BF29" s="28">
        <f t="shared" si="26"/>
        <v>-29010920.011306331</v>
      </c>
      <c r="BG29" s="28">
        <f t="shared" si="26"/>
        <v>-17084859.33726842</v>
      </c>
      <c r="BH29" s="28">
        <f t="shared" si="26"/>
        <v>-14601441.917478967</v>
      </c>
      <c r="BI29" s="28">
        <f t="shared" si="26"/>
        <v>-37902491.761407793</v>
      </c>
      <c r="BJ29" s="28">
        <f t="shared" si="26"/>
        <v>3637143.7941476554</v>
      </c>
      <c r="BK29" s="28">
        <f t="shared" si="26"/>
        <v>17088874.201992691</v>
      </c>
      <c r="BL29" s="28">
        <f t="shared" si="26"/>
        <v>-19157263.320142653</v>
      </c>
      <c r="BM29" s="28">
        <f t="shared" si="26"/>
        <v>-77532345.976353824</v>
      </c>
      <c r="BN29" s="28">
        <f t="shared" si="26"/>
        <v>-44465528.91937016</v>
      </c>
      <c r="BO29" s="28">
        <f t="shared" ref="BO29:CK29" si="27">BO27-BO28</f>
        <v>-23927295.945694104</v>
      </c>
      <c r="BP29" s="28">
        <f t="shared" si="27"/>
        <v>-15677534.370202009</v>
      </c>
      <c r="BQ29" s="28">
        <f t="shared" si="27"/>
        <v>-81369625.584198147</v>
      </c>
      <c r="BR29" s="28">
        <f t="shared" si="27"/>
        <v>-14320831.603676498</v>
      </c>
      <c r="BS29" s="28">
        <f t="shared" si="27"/>
        <v>6639032.4941815287</v>
      </c>
      <c r="BT29" s="28">
        <f t="shared" si="27"/>
        <v>8336415.3521843404</v>
      </c>
      <c r="BU29" s="28">
        <f t="shared" si="27"/>
        <v>-42090769.441926852</v>
      </c>
      <c r="BV29" s="28">
        <f t="shared" si="27"/>
        <v>-31537945.171112079</v>
      </c>
      <c r="BW29" s="28">
        <f t="shared" si="27"/>
        <v>41571053.049183644</v>
      </c>
      <c r="BX29" s="28">
        <f t="shared" si="27"/>
        <v>-2405395.41</v>
      </c>
      <c r="BY29" s="28">
        <f t="shared" si="27"/>
        <v>26374725.858461704</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c r="A30" s="18" t="s">
        <v>88</v>
      </c>
      <c r="B30" s="30"/>
      <c r="C30" s="30"/>
      <c r="D30" s="30"/>
      <c r="E30" s="30"/>
      <c r="F30" s="30"/>
      <c r="G30" s="30"/>
      <c r="H30" s="30"/>
      <c r="I30" s="30"/>
      <c r="J30" s="30"/>
      <c r="K30" s="30"/>
    </row>
    <row r="31" spans="1:89">
      <c r="A31" s="17" t="s">
        <v>413</v>
      </c>
      <c r="B31" s="26">
        <f>B15+B20+B27</f>
        <v>91556340.730000019</v>
      </c>
      <c r="C31" s="26">
        <f t="shared" ref="C31:BN31" si="28">C15+C20+C27</f>
        <v>44188908.610000014</v>
      </c>
      <c r="D31" s="26">
        <f t="shared" si="28"/>
        <v>2844499.9600000051</v>
      </c>
      <c r="E31" s="26">
        <f t="shared" si="28"/>
        <v>68737510.320000008</v>
      </c>
      <c r="F31" s="26">
        <f t="shared" si="28"/>
        <v>24671610.629999988</v>
      </c>
      <c r="G31" s="26">
        <f t="shared" si="28"/>
        <v>16085221.899999993</v>
      </c>
      <c r="H31" s="26">
        <f t="shared" si="28"/>
        <v>-599606.91999999993</v>
      </c>
      <c r="I31" s="26">
        <f t="shared" si="28"/>
        <v>65358113.300000004</v>
      </c>
      <c r="J31" s="26">
        <f t="shared" si="28"/>
        <v>39529590.109999992</v>
      </c>
      <c r="K31" s="26">
        <f t="shared" si="28"/>
        <v>29185341.380000003</v>
      </c>
      <c r="L31" s="26">
        <f t="shared" si="28"/>
        <v>5603276.8999999994</v>
      </c>
      <c r="M31" s="26">
        <f t="shared" si="28"/>
        <v>64632457.300000012</v>
      </c>
      <c r="N31" s="26">
        <f t="shared" si="28"/>
        <v>44752786.049999997</v>
      </c>
      <c r="O31" s="26">
        <f t="shared" si="28"/>
        <v>80774498.729999989</v>
      </c>
      <c r="P31" s="26">
        <f t="shared" si="28"/>
        <v>89816651.859999999</v>
      </c>
      <c r="Q31" s="26">
        <f t="shared" si="28"/>
        <v>77100270.920000017</v>
      </c>
      <c r="R31" s="26">
        <f t="shared" si="28"/>
        <v>30551011.699999999</v>
      </c>
      <c r="S31" s="26">
        <f t="shared" si="28"/>
        <v>0</v>
      </c>
      <c r="T31" s="26">
        <f t="shared" si="28"/>
        <v>2625796.42</v>
      </c>
      <c r="U31" s="26">
        <f t="shared" si="28"/>
        <v>10656664.34</v>
      </c>
      <c r="V31" s="26">
        <f t="shared" si="28"/>
        <v>6762262.5199999996</v>
      </c>
      <c r="W31" s="26">
        <f t="shared" si="28"/>
        <v>3988448.61</v>
      </c>
      <c r="X31" s="26">
        <f t="shared" si="28"/>
        <v>396219.44</v>
      </c>
      <c r="Y31" s="26">
        <f t="shared" si="28"/>
        <v>1100350.93</v>
      </c>
      <c r="Z31" s="26">
        <f t="shared" si="28"/>
        <v>0</v>
      </c>
      <c r="AA31" s="26">
        <f t="shared" si="28"/>
        <v>0</v>
      </c>
      <c r="AB31" s="26">
        <f t="shared" si="28"/>
        <v>0</v>
      </c>
      <c r="AC31" s="26">
        <f t="shared" si="28"/>
        <v>33146839.009999998</v>
      </c>
      <c r="AD31" s="26">
        <f t="shared" si="28"/>
        <v>0</v>
      </c>
      <c r="AE31" s="26">
        <f t="shared" si="28"/>
        <v>0</v>
      </c>
      <c r="AF31" s="26">
        <f t="shared" si="28"/>
        <v>0</v>
      </c>
      <c r="AG31" s="26">
        <f t="shared" si="28"/>
        <v>1005163.51</v>
      </c>
      <c r="AH31" s="26">
        <f t="shared" si="28"/>
        <v>0</v>
      </c>
      <c r="AI31" s="26">
        <f t="shared" si="28"/>
        <v>0</v>
      </c>
      <c r="AJ31" s="26">
        <f t="shared" si="28"/>
        <v>0</v>
      </c>
      <c r="AK31" s="26">
        <f t="shared" si="28"/>
        <v>3681496.85</v>
      </c>
      <c r="AL31" s="26">
        <f t="shared" si="28"/>
        <v>666438.85</v>
      </c>
      <c r="AM31" s="26">
        <f t="shared" si="28"/>
        <v>0</v>
      </c>
      <c r="AN31" s="26">
        <f t="shared" si="28"/>
        <v>987723.72</v>
      </c>
      <c r="AO31" s="26">
        <f t="shared" si="28"/>
        <v>968056.99</v>
      </c>
      <c r="AP31" s="26">
        <f t="shared" si="28"/>
        <v>0</v>
      </c>
      <c r="AQ31" s="26">
        <f t="shared" si="28"/>
        <v>0</v>
      </c>
      <c r="AR31" s="26">
        <f t="shared" si="28"/>
        <v>0</v>
      </c>
      <c r="AS31" s="26">
        <f t="shared" si="28"/>
        <v>0</v>
      </c>
      <c r="AT31" s="26">
        <f t="shared" si="28"/>
        <v>3145948.9100000262</v>
      </c>
      <c r="AU31" s="26">
        <f t="shared" si="28"/>
        <v>3221938.3999999762</v>
      </c>
      <c r="AV31" s="26">
        <f t="shared" si="28"/>
        <v>0</v>
      </c>
      <c r="AW31" s="26">
        <f t="shared" si="28"/>
        <v>106002085.7</v>
      </c>
      <c r="AX31" s="26">
        <f t="shared" si="28"/>
        <v>78146813.989999995</v>
      </c>
      <c r="AY31" s="26">
        <f t="shared" si="28"/>
        <v>31508275.550000001</v>
      </c>
      <c r="AZ31" s="26">
        <f t="shared" si="28"/>
        <v>6818330.1399999997</v>
      </c>
      <c r="BA31" s="26">
        <f t="shared" si="28"/>
        <v>-52414533.450000003</v>
      </c>
      <c r="BB31" s="26">
        <f t="shared" si="28"/>
        <v>-47415743.689999998</v>
      </c>
      <c r="BC31" s="26">
        <f t="shared" si="28"/>
        <v>-4476487.08</v>
      </c>
      <c r="BD31" s="26">
        <f t="shared" si="28"/>
        <v>13731417.210000001</v>
      </c>
      <c r="BE31" s="26">
        <f t="shared" si="28"/>
        <v>74080792.579999998</v>
      </c>
      <c r="BF31" s="26">
        <f t="shared" si="28"/>
        <v>53634658.140000001</v>
      </c>
      <c r="BG31" s="26">
        <f t="shared" si="28"/>
        <v>44718368.039999999</v>
      </c>
      <c r="BH31" s="26">
        <f t="shared" si="28"/>
        <v>13012623.23</v>
      </c>
      <c r="BI31" s="26">
        <f t="shared" si="28"/>
        <v>129351232.81999999</v>
      </c>
      <c r="BJ31" s="26">
        <f t="shared" si="28"/>
        <v>126231548.87</v>
      </c>
      <c r="BK31" s="26">
        <f t="shared" si="28"/>
        <v>99137772.019999996</v>
      </c>
      <c r="BL31" s="26">
        <f t="shared" si="28"/>
        <v>21058739.870000001</v>
      </c>
      <c r="BM31" s="26">
        <f t="shared" si="28"/>
        <v>80579243.650000006</v>
      </c>
      <c r="BN31" s="26">
        <f t="shared" si="28"/>
        <v>68017088.620000005</v>
      </c>
      <c r="BO31" s="26">
        <f t="shared" ref="BO31:CJ31" si="29">BO15+BO20+BO27</f>
        <v>47536007.049999997</v>
      </c>
      <c r="BP31" s="26">
        <f t="shared" si="29"/>
        <v>23536334.48</v>
      </c>
      <c r="BQ31" s="26">
        <f t="shared" si="29"/>
        <v>47111894.539999999</v>
      </c>
      <c r="BR31" s="26">
        <f t="shared" si="29"/>
        <v>43130624.329999998</v>
      </c>
      <c r="BS31" s="26">
        <f t="shared" si="29"/>
        <v>110636895.03</v>
      </c>
      <c r="BT31" s="26">
        <f t="shared" si="29"/>
        <v>55492097.759999998</v>
      </c>
      <c r="BU31" s="26">
        <f t="shared" si="29"/>
        <v>42252799.109999999</v>
      </c>
      <c r="BV31" s="26">
        <f t="shared" si="29"/>
        <v>-8467811.9100000001</v>
      </c>
      <c r="BW31" s="26">
        <f t="shared" si="29"/>
        <v>44423828.259999998</v>
      </c>
      <c r="BX31" s="26">
        <f t="shared" si="29"/>
        <v>-2405395.41</v>
      </c>
      <c r="BY31" s="26">
        <f t="shared" si="29"/>
        <v>43588942.600000001</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c r="A32" s="57" t="s">
        <v>414</v>
      </c>
      <c r="B32" s="57">
        <f>B31/B4*100</f>
        <v>37.607944048094915</v>
      </c>
      <c r="C32" s="57">
        <f t="shared" ref="C32:D32" si="30">C31/C4*100</f>
        <v>27.008239387851884</v>
      </c>
      <c r="D32" s="57">
        <f t="shared" si="30"/>
        <v>7.1154742948284513</v>
      </c>
      <c r="E32" s="57">
        <f>E31/E4</f>
        <v>0.35758165065667696</v>
      </c>
      <c r="F32" s="57">
        <f t="shared" ref="F32:BQ32" si="31">F31/F4</f>
        <v>0.2414605224695725</v>
      </c>
      <c r="G32" s="57">
        <f t="shared" si="31"/>
        <v>0.2064373172490491</v>
      </c>
      <c r="H32" s="57">
        <f t="shared" si="31"/>
        <v>-3.5149739135639839E-2</v>
      </c>
      <c r="I32" s="57">
        <f t="shared" si="31"/>
        <v>0.39435574367188536</v>
      </c>
      <c r="J32" s="57">
        <f t="shared" si="31"/>
        <v>0.36431931033512982</v>
      </c>
      <c r="K32" s="57">
        <f t="shared" si="31"/>
        <v>0.36043458268846784</v>
      </c>
      <c r="L32" s="57">
        <f t="shared" si="31"/>
        <v>0.37425278276756085</v>
      </c>
      <c r="M32" s="57">
        <f t="shared" si="31"/>
        <v>0.43517617178796164</v>
      </c>
      <c r="N32" s="57">
        <f t="shared" si="31"/>
        <v>0.5087991318607672</v>
      </c>
      <c r="O32" s="57">
        <f t="shared" si="31"/>
        <v>0.45050158343571989</v>
      </c>
      <c r="P32" s="57">
        <f t="shared" si="31"/>
        <v>0.43018055602324629</v>
      </c>
      <c r="Q32" s="57">
        <f t="shared" si="31"/>
        <v>0.39846463785545594</v>
      </c>
      <c r="R32" s="57">
        <f t="shared" si="31"/>
        <v>0.37163480785464825</v>
      </c>
      <c r="S32" s="57" t="e">
        <f t="shared" si="31"/>
        <v>#DIV/0!</v>
      </c>
      <c r="T32" s="57" t="e">
        <f t="shared" si="31"/>
        <v>#DIV/0!</v>
      </c>
      <c r="U32" s="57" t="e">
        <f t="shared" si="31"/>
        <v>#DIV/0!</v>
      </c>
      <c r="V32" s="57" t="e">
        <f t="shared" si="31"/>
        <v>#DIV/0!</v>
      </c>
      <c r="W32" s="57" t="e">
        <f t="shared" si="31"/>
        <v>#DIV/0!</v>
      </c>
      <c r="X32" s="57" t="e">
        <f t="shared" si="31"/>
        <v>#DIV/0!</v>
      </c>
      <c r="Y32" s="57" t="e">
        <f t="shared" si="31"/>
        <v>#DIV/0!</v>
      </c>
      <c r="Z32" s="57" t="e">
        <f t="shared" si="31"/>
        <v>#DIV/0!</v>
      </c>
      <c r="AA32" s="57" t="e">
        <f t="shared" si="31"/>
        <v>#DIV/0!</v>
      </c>
      <c r="AB32" s="57" t="e">
        <f t="shared" si="31"/>
        <v>#DIV/0!</v>
      </c>
      <c r="AC32" s="57" t="e">
        <f t="shared" si="31"/>
        <v>#DIV/0!</v>
      </c>
      <c r="AD32" s="57" t="e">
        <f t="shared" si="31"/>
        <v>#DIV/0!</v>
      </c>
      <c r="AE32" s="57" t="e">
        <f t="shared" si="31"/>
        <v>#DIV/0!</v>
      </c>
      <c r="AF32" s="57" t="e">
        <f t="shared" si="31"/>
        <v>#DIV/0!</v>
      </c>
      <c r="AG32" s="57" t="e">
        <f t="shared" si="31"/>
        <v>#DIV/0!</v>
      </c>
      <c r="AH32" s="57" t="e">
        <f t="shared" si="31"/>
        <v>#DIV/0!</v>
      </c>
      <c r="AI32" s="57" t="e">
        <f t="shared" si="31"/>
        <v>#DIV/0!</v>
      </c>
      <c r="AJ32" s="57" t="e">
        <f t="shared" si="31"/>
        <v>#DIV/0!</v>
      </c>
      <c r="AK32" s="57" t="e">
        <f t="shared" si="31"/>
        <v>#DIV/0!</v>
      </c>
      <c r="AL32" s="57" t="e">
        <f t="shared" si="31"/>
        <v>#DIV/0!</v>
      </c>
      <c r="AM32" s="57" t="e">
        <f t="shared" si="31"/>
        <v>#DIV/0!</v>
      </c>
      <c r="AN32" s="57" t="e">
        <f t="shared" si="31"/>
        <v>#DIV/0!</v>
      </c>
      <c r="AO32" s="57" t="e">
        <f t="shared" si="31"/>
        <v>#DIV/0!</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c r="A33" s="17" t="s">
        <v>415</v>
      </c>
      <c r="B33" s="26">
        <f>B17+B20+B29</f>
        <v>85099126.307470456</v>
      </c>
      <c r="C33" s="26">
        <f t="shared" ref="C33:BN33" si="33">C17+C20+C29</f>
        <v>40486551.945437811</v>
      </c>
      <c r="D33" s="26">
        <f t="shared" si="33"/>
        <v>2861524.2916418929</v>
      </c>
      <c r="E33" s="26">
        <f t="shared" si="33"/>
        <v>60380708.688097507</v>
      </c>
      <c r="F33" s="26">
        <f t="shared" si="33"/>
        <v>22970330.571559988</v>
      </c>
      <c r="G33" s="26">
        <f t="shared" si="33"/>
        <v>15034702.825172164</v>
      </c>
      <c r="H33" s="26">
        <f t="shared" si="33"/>
        <v>-604514.27100634249</v>
      </c>
      <c r="I33" s="26">
        <f t="shared" si="33"/>
        <v>61775478.026489563</v>
      </c>
      <c r="J33" s="26">
        <f t="shared" si="33"/>
        <v>38770725.142906204</v>
      </c>
      <c r="K33" s="26">
        <f t="shared" si="33"/>
        <v>28828594.752084602</v>
      </c>
      <c r="L33" s="26">
        <f t="shared" si="33"/>
        <v>5360999.0065189153</v>
      </c>
      <c r="M33" s="26">
        <f t="shared" si="33"/>
        <v>57563213.661970124</v>
      </c>
      <c r="N33" s="26">
        <f t="shared" si="33"/>
        <v>39652236.686679408</v>
      </c>
      <c r="O33" s="26">
        <f t="shared" si="33"/>
        <v>70766229.305764616</v>
      </c>
      <c r="P33" s="26">
        <f t="shared" si="33"/>
        <v>79284873.484563708</v>
      </c>
      <c r="Q33" s="26">
        <f t="shared" si="33"/>
        <v>67723843.615144178</v>
      </c>
      <c r="R33" s="26">
        <f t="shared" si="33"/>
        <v>26692230.583806403</v>
      </c>
      <c r="S33" s="26" t="e">
        <f t="shared" si="33"/>
        <v>#DIV/0!</v>
      </c>
      <c r="T33" s="26">
        <f t="shared" si="33"/>
        <v>-5280836.1149216248</v>
      </c>
      <c r="U33" s="26">
        <f t="shared" si="33"/>
        <v>-34891602.718662813</v>
      </c>
      <c r="V33" s="26">
        <f t="shared" si="33"/>
        <v>-23224203.406152558</v>
      </c>
      <c r="W33" s="26">
        <f t="shared" si="33"/>
        <v>-10440135.543750722</v>
      </c>
      <c r="X33" s="26">
        <f t="shared" si="33"/>
        <v>-989075.35703140288</v>
      </c>
      <c r="Y33" s="26">
        <f t="shared" si="33"/>
        <v>-5447326.9096817933</v>
      </c>
      <c r="Z33" s="26">
        <f t="shared" si="33"/>
        <v>0</v>
      </c>
      <c r="AA33" s="26">
        <f t="shared" si="33"/>
        <v>0</v>
      </c>
      <c r="AB33" s="26">
        <f t="shared" si="33"/>
        <v>0</v>
      </c>
      <c r="AC33" s="26">
        <f t="shared" si="33"/>
        <v>-161059667.62489322</v>
      </c>
      <c r="AD33" s="26">
        <f t="shared" si="33"/>
        <v>0</v>
      </c>
      <c r="AE33" s="26">
        <f t="shared" si="33"/>
        <v>0</v>
      </c>
      <c r="AF33" s="26">
        <f t="shared" si="33"/>
        <v>0</v>
      </c>
      <c r="AG33" s="26">
        <f t="shared" si="33"/>
        <v>3297870.8994329446</v>
      </c>
      <c r="AH33" s="26">
        <f t="shared" si="33"/>
        <v>0</v>
      </c>
      <c r="AI33" s="26">
        <f t="shared" si="33"/>
        <v>0</v>
      </c>
      <c r="AJ33" s="26">
        <f t="shared" si="33"/>
        <v>0</v>
      </c>
      <c r="AK33" s="26">
        <f t="shared" si="33"/>
        <v>9934945.7712334022</v>
      </c>
      <c r="AL33" s="26">
        <f t="shared" si="33"/>
        <v>2022116.3171779532</v>
      </c>
      <c r="AM33" s="26">
        <f t="shared" si="33"/>
        <v>0</v>
      </c>
      <c r="AN33" s="26">
        <f t="shared" si="33"/>
        <v>2197686.0725476858</v>
      </c>
      <c r="AO33" s="26">
        <f t="shared" si="33"/>
        <v>968056.99</v>
      </c>
      <c r="AP33" s="26">
        <f t="shared" si="33"/>
        <v>0</v>
      </c>
      <c r="AQ33" s="26">
        <f t="shared" si="33"/>
        <v>0</v>
      </c>
      <c r="AR33" s="26">
        <f t="shared" si="33"/>
        <v>0</v>
      </c>
      <c r="AS33" s="26" t="e">
        <f t="shared" si="33"/>
        <v>#DIV/0!</v>
      </c>
      <c r="AT33" s="26">
        <f t="shared" si="33"/>
        <v>-13003140.681632061</v>
      </c>
      <c r="AU33" s="26">
        <f t="shared" si="33"/>
        <v>-20273858.635097776</v>
      </c>
      <c r="AV33" s="26">
        <f t="shared" si="33"/>
        <v>0</v>
      </c>
      <c r="AW33" s="26">
        <f t="shared" si="33"/>
        <v>13589374.630842954</v>
      </c>
      <c r="AX33" s="26">
        <f t="shared" si="33"/>
        <v>19968810.999266259</v>
      </c>
      <c r="AY33" s="26">
        <f t="shared" si="33"/>
        <v>-1423099.2058320753</v>
      </c>
      <c r="AZ33" s="26">
        <f t="shared" si="33"/>
        <v>-7194596.6275969138</v>
      </c>
      <c r="BA33" s="26">
        <f t="shared" si="33"/>
        <v>-181556067.22954905</v>
      </c>
      <c r="BB33" s="26">
        <f t="shared" si="33"/>
        <v>-143078150.54667872</v>
      </c>
      <c r="BC33" s="26">
        <f t="shared" si="33"/>
        <v>-130799362.71280822</v>
      </c>
      <c r="BD33" s="26">
        <f t="shared" si="33"/>
        <v>-9180723.6354263648</v>
      </c>
      <c r="BE33" s="26">
        <f t="shared" si="33"/>
        <v>-39163425.10763751</v>
      </c>
      <c r="BF33" s="26">
        <f t="shared" si="33"/>
        <v>-29010920.011306331</v>
      </c>
      <c r="BG33" s="26">
        <f t="shared" si="33"/>
        <v>-17084859.33726842</v>
      </c>
      <c r="BH33" s="26">
        <f t="shared" si="33"/>
        <v>-14601441.917478967</v>
      </c>
      <c r="BI33" s="26">
        <f t="shared" si="33"/>
        <v>-37902491.761407793</v>
      </c>
      <c r="BJ33" s="26">
        <f t="shared" si="33"/>
        <v>3637143.7941476554</v>
      </c>
      <c r="BK33" s="26">
        <f t="shared" si="33"/>
        <v>17088874.201992691</v>
      </c>
      <c r="BL33" s="26">
        <f t="shared" si="33"/>
        <v>-19157263.320142653</v>
      </c>
      <c r="BM33" s="26">
        <f t="shared" si="33"/>
        <v>-77532345.976353824</v>
      </c>
      <c r="BN33" s="26">
        <f t="shared" si="33"/>
        <v>-44465528.91937016</v>
      </c>
      <c r="BO33" s="26">
        <f t="shared" ref="BO33:CJ33" si="34">BO17+BO20+BO29</f>
        <v>-23927295.945694104</v>
      </c>
      <c r="BP33" s="26">
        <f t="shared" si="34"/>
        <v>-15677534.370202009</v>
      </c>
      <c r="BQ33" s="26">
        <f t="shared" si="34"/>
        <v>-81369625.584198147</v>
      </c>
      <c r="BR33" s="26">
        <f t="shared" si="34"/>
        <v>-14320831.603676498</v>
      </c>
      <c r="BS33" s="26">
        <f t="shared" si="34"/>
        <v>6639032.4941815287</v>
      </c>
      <c r="BT33" s="26">
        <f t="shared" si="34"/>
        <v>8336415.3521843404</v>
      </c>
      <c r="BU33" s="26">
        <f t="shared" si="34"/>
        <v>-42090769.441926852</v>
      </c>
      <c r="BV33" s="26">
        <f t="shared" si="34"/>
        <v>-31537945.171112079</v>
      </c>
      <c r="BW33" s="26">
        <f t="shared" si="34"/>
        <v>41571053.049183644</v>
      </c>
      <c r="BX33" s="26">
        <f t="shared" si="34"/>
        <v>-2405395.41</v>
      </c>
      <c r="BY33" s="26">
        <f t="shared" si="34"/>
        <v>26374725.858461704</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c r="A34" s="57" t="s">
        <v>416</v>
      </c>
      <c r="B34" s="57">
        <f>B33/B4*100</f>
        <v>34.955560206923423</v>
      </c>
      <c r="C34" s="57">
        <f t="shared" ref="C34:D34" si="35">C33/C4*100</f>
        <v>24.745360800416574</v>
      </c>
      <c r="D34" s="57">
        <f t="shared" si="35"/>
        <v>7.1580604069353004</v>
      </c>
      <c r="E34" s="57">
        <f>E33/E4</f>
        <v>0.31410845955861877</v>
      </c>
      <c r="F34" s="57">
        <f t="shared" ref="F34:BQ34" si="36">F33/F4</f>
        <v>0.22481013113766343</v>
      </c>
      <c r="G34" s="57">
        <f t="shared" si="36"/>
        <v>0.19295498291293339</v>
      </c>
      <c r="H34" s="57">
        <f t="shared" si="36"/>
        <v>-3.5437414447525767E-2</v>
      </c>
      <c r="I34" s="57">
        <f t="shared" si="36"/>
        <v>0.37273895080172864</v>
      </c>
      <c r="J34" s="57">
        <f t="shared" si="36"/>
        <v>0.35732533036519432</v>
      </c>
      <c r="K34" s="57">
        <f t="shared" si="36"/>
        <v>0.35602881541358783</v>
      </c>
      <c r="L34" s="57">
        <f t="shared" si="36"/>
        <v>0.35807061339478569</v>
      </c>
      <c r="M34" s="57">
        <f t="shared" si="36"/>
        <v>0.38757831596832459</v>
      </c>
      <c r="N34" s="57">
        <f t="shared" si="36"/>
        <v>0.45081044965512601</v>
      </c>
      <c r="O34" s="57">
        <f t="shared" si="36"/>
        <v>0.39468271369391644</v>
      </c>
      <c r="P34" s="57">
        <f t="shared" si="36"/>
        <v>0.37973816940967353</v>
      </c>
      <c r="Q34" s="57">
        <f t="shared" si="36"/>
        <v>0.35000599217463751</v>
      </c>
      <c r="R34" s="57">
        <f t="shared" si="36"/>
        <v>0.32469504059745619</v>
      </c>
      <c r="S34" s="57" t="e">
        <f t="shared" si="36"/>
        <v>#DIV/0!</v>
      </c>
      <c r="T34" s="57" t="e">
        <f t="shared" si="36"/>
        <v>#DIV/0!</v>
      </c>
      <c r="U34" s="57" t="e">
        <f t="shared" si="36"/>
        <v>#DIV/0!</v>
      </c>
      <c r="V34" s="57" t="e">
        <f t="shared" si="36"/>
        <v>#DIV/0!</v>
      </c>
      <c r="W34" s="57" t="e">
        <f t="shared" si="36"/>
        <v>#DIV/0!</v>
      </c>
      <c r="X34" s="57" t="e">
        <f t="shared" si="36"/>
        <v>#DIV/0!</v>
      </c>
      <c r="Y34" s="57" t="e">
        <f t="shared" si="36"/>
        <v>#DIV/0!</v>
      </c>
      <c r="Z34" s="57" t="e">
        <f t="shared" si="36"/>
        <v>#DIV/0!</v>
      </c>
      <c r="AA34" s="57" t="e">
        <f t="shared" si="36"/>
        <v>#DIV/0!</v>
      </c>
      <c r="AB34" s="57" t="e">
        <f t="shared" si="36"/>
        <v>#DIV/0!</v>
      </c>
      <c r="AC34" s="57" t="e">
        <f t="shared" si="36"/>
        <v>#DIV/0!</v>
      </c>
      <c r="AD34" s="57" t="e">
        <f t="shared" si="36"/>
        <v>#DIV/0!</v>
      </c>
      <c r="AE34" s="57" t="e">
        <f t="shared" si="36"/>
        <v>#DIV/0!</v>
      </c>
      <c r="AF34" s="57" t="e">
        <f t="shared" si="36"/>
        <v>#DIV/0!</v>
      </c>
      <c r="AG34" s="57" t="e">
        <f t="shared" si="36"/>
        <v>#DIV/0!</v>
      </c>
      <c r="AH34" s="57" t="e">
        <f t="shared" si="36"/>
        <v>#DIV/0!</v>
      </c>
      <c r="AI34" s="57" t="e">
        <f t="shared" si="36"/>
        <v>#DIV/0!</v>
      </c>
      <c r="AJ34" s="57" t="e">
        <f t="shared" si="36"/>
        <v>#DIV/0!</v>
      </c>
      <c r="AK34" s="57" t="e">
        <f t="shared" si="36"/>
        <v>#DIV/0!</v>
      </c>
      <c r="AL34" s="57" t="e">
        <f t="shared" si="36"/>
        <v>#DIV/0!</v>
      </c>
      <c r="AM34" s="57" t="e">
        <f t="shared" si="36"/>
        <v>#DIV/0!</v>
      </c>
      <c r="AN34" s="57" t="e">
        <f t="shared" si="36"/>
        <v>#DIV/0!</v>
      </c>
      <c r="AO34" s="57" t="e">
        <f t="shared" si="36"/>
        <v>#DIV/0!</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c r="A35" s="17" t="s">
        <v>417</v>
      </c>
      <c r="B35" s="26">
        <f>B23+B68</f>
        <v>-721198.93</v>
      </c>
      <c r="C35" s="26">
        <f t="shared" ref="C35:BN35" si="38">C23+C68</f>
        <v>-555171.62</v>
      </c>
      <c r="D35" s="26">
        <f t="shared" si="38"/>
        <v>-301075.76</v>
      </c>
      <c r="E35" s="26">
        <f t="shared" si="38"/>
        <v>184791.58999999985</v>
      </c>
      <c r="F35" s="26">
        <f t="shared" si="38"/>
        <v>-9602409.1500000004</v>
      </c>
      <c r="G35" s="26">
        <f t="shared" si="38"/>
        <v>-5052337.4800000004</v>
      </c>
      <c r="H35" s="26">
        <f t="shared" si="38"/>
        <v>-2346938.36</v>
      </c>
      <c r="I35" s="26">
        <f t="shared" si="38"/>
        <v>19685.75</v>
      </c>
      <c r="J35" s="26">
        <f t="shared" si="38"/>
        <v>-1140260.3500000001</v>
      </c>
      <c r="K35" s="26">
        <f t="shared" si="38"/>
        <v>-833885</v>
      </c>
      <c r="L35" s="26">
        <f t="shared" si="38"/>
        <v>-639023.96</v>
      </c>
      <c r="M35" s="26">
        <f t="shared" si="38"/>
        <v>162090.01999999979</v>
      </c>
      <c r="N35" s="26">
        <f t="shared" si="38"/>
        <v>-1865626.11</v>
      </c>
      <c r="O35" s="26">
        <f t="shared" si="38"/>
        <v>-1450710.86</v>
      </c>
      <c r="P35" s="26">
        <f t="shared" si="38"/>
        <v>-1004122.13</v>
      </c>
      <c r="Q35" s="26">
        <f t="shared" si="38"/>
        <v>-423939.29</v>
      </c>
      <c r="R35" s="26">
        <f t="shared" si="38"/>
        <v>-106598.39</v>
      </c>
      <c r="S35" s="26">
        <f t="shared" si="38"/>
        <v>0</v>
      </c>
      <c r="T35" s="26">
        <f t="shared" si="38"/>
        <v>-2876841.69</v>
      </c>
      <c r="U35" s="26">
        <f t="shared" si="38"/>
        <v>-15009309.810000001</v>
      </c>
      <c r="V35" s="26">
        <f t="shared" si="38"/>
        <v>-11840232.26</v>
      </c>
      <c r="W35" s="26">
        <f t="shared" si="38"/>
        <v>-8357462.9199999999</v>
      </c>
      <c r="X35" s="26">
        <f t="shared" si="38"/>
        <v>-4275400.16</v>
      </c>
      <c r="Y35" s="26">
        <f t="shared" si="38"/>
        <v>-13148062.949999999</v>
      </c>
      <c r="Z35" s="26">
        <f t="shared" si="38"/>
        <v>-10178527.93</v>
      </c>
      <c r="AA35" s="26">
        <f t="shared" si="38"/>
        <v>-6197878.7800000003</v>
      </c>
      <c r="AB35" s="26">
        <f t="shared" si="38"/>
        <v>-3242186.46</v>
      </c>
      <c r="AC35" s="26">
        <f t="shared" si="38"/>
        <v>20313006.02</v>
      </c>
      <c r="AD35" s="26">
        <f t="shared" si="38"/>
        <v>-8810880.1899999995</v>
      </c>
      <c r="AE35" s="26">
        <f t="shared" si="38"/>
        <v>-5510384.21</v>
      </c>
      <c r="AF35" s="26">
        <f t="shared" si="38"/>
        <v>-1621693.85</v>
      </c>
      <c r="AG35" s="26">
        <f t="shared" si="38"/>
        <v>24962725.979999997</v>
      </c>
      <c r="AH35" s="26">
        <f t="shared" si="38"/>
        <v>18279179.75</v>
      </c>
      <c r="AI35" s="26">
        <f t="shared" si="38"/>
        <v>12063791.359999999</v>
      </c>
      <c r="AJ35" s="26">
        <f t="shared" si="38"/>
        <v>5378055.4400000004</v>
      </c>
      <c r="AK35" s="26">
        <f t="shared" si="38"/>
        <v>20796364.049999997</v>
      </c>
      <c r="AL35" s="26">
        <f t="shared" si="38"/>
        <v>12472883.75</v>
      </c>
      <c r="AM35" s="26">
        <f t="shared" si="38"/>
        <v>12428777.24</v>
      </c>
      <c r="AN35" s="26">
        <f t="shared" si="38"/>
        <v>9772412.9399999995</v>
      </c>
      <c r="AO35" s="26">
        <f t="shared" si="38"/>
        <v>1255234.32</v>
      </c>
      <c r="AP35" s="26">
        <f t="shared" si="38"/>
        <v>989032.06</v>
      </c>
      <c r="AQ35" s="26">
        <f t="shared" si="38"/>
        <v>342462.79</v>
      </c>
      <c r="AR35" s="26">
        <f t="shared" si="38"/>
        <v>-229725.21</v>
      </c>
      <c r="AS35" s="26">
        <f t="shared" si="38"/>
        <v>0</v>
      </c>
      <c r="AT35" s="26">
        <f t="shared" si="38"/>
        <v>-22649401.350000001</v>
      </c>
      <c r="AU35" s="26">
        <f t="shared" si="38"/>
        <v>-8345207.46</v>
      </c>
      <c r="AV35" s="26">
        <f t="shared" si="38"/>
        <v>-6288958.1900000004</v>
      </c>
      <c r="AW35" s="26">
        <f t="shared" si="38"/>
        <v>-22650844.379999999</v>
      </c>
      <c r="AX35" s="26">
        <f t="shared" si="38"/>
        <v>-13369914.74</v>
      </c>
      <c r="AY35" s="26">
        <f t="shared" si="38"/>
        <v>-8061296.04</v>
      </c>
      <c r="AZ35" s="26">
        <f t="shared" si="38"/>
        <v>-3526988.6</v>
      </c>
      <c r="BA35" s="26">
        <f t="shared" si="38"/>
        <v>-8333112.9000000004</v>
      </c>
      <c r="BB35" s="26">
        <f t="shared" si="38"/>
        <v>-821838.79</v>
      </c>
      <c r="BC35" s="26">
        <f t="shared" si="38"/>
        <v>-2071650.69</v>
      </c>
      <c r="BD35" s="26">
        <f t="shared" si="38"/>
        <v>-3633490.4</v>
      </c>
      <c r="BE35" s="26">
        <f t="shared" si="38"/>
        <v>-12576168.560000001</v>
      </c>
      <c r="BF35" s="26">
        <f t="shared" si="38"/>
        <v>-7133253.9900000002</v>
      </c>
      <c r="BG35" s="26">
        <f t="shared" si="38"/>
        <v>-2940819.66</v>
      </c>
      <c r="BH35" s="26">
        <f t="shared" si="38"/>
        <v>-2516879.5699999998</v>
      </c>
      <c r="BI35" s="26">
        <f t="shared" si="38"/>
        <v>8744950.6500000004</v>
      </c>
      <c r="BJ35" s="26">
        <f t="shared" si="38"/>
        <v>14650393.49</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c r="A36" s="17" t="s">
        <v>418</v>
      </c>
      <c r="B36" s="26">
        <f>B35*B41</f>
        <v>-50864.157470449813</v>
      </c>
      <c r="C36" s="26">
        <f t="shared" ref="C36:BN36" si="40">C35*C41</f>
        <v>-46514.91543779934</v>
      </c>
      <c r="D36" s="26">
        <f t="shared" si="40"/>
        <v>1801.9383581124509</v>
      </c>
      <c r="E36" s="26">
        <f t="shared" si="40"/>
        <v>22466.141902502601</v>
      </c>
      <c r="F36" s="26">
        <f t="shared" si="40"/>
        <v>-662153.25156000117</v>
      </c>
      <c r="G36" s="26">
        <f t="shared" si="40"/>
        <v>-329966.03517217067</v>
      </c>
      <c r="H36" s="26">
        <f t="shared" si="40"/>
        <v>19208.001006342565</v>
      </c>
      <c r="I36" s="26">
        <f t="shared" si="40"/>
        <v>1079.083510440136</v>
      </c>
      <c r="J36" s="26">
        <f t="shared" si="40"/>
        <v>-21890.02290621274</v>
      </c>
      <c r="K36" s="26">
        <f t="shared" si="40"/>
        <v>-10192.982084598609</v>
      </c>
      <c r="L36" s="26">
        <f t="shared" si="40"/>
        <v>-27630.506518915849</v>
      </c>
      <c r="M36" s="26">
        <f t="shared" si="40"/>
        <v>17728.76802988481</v>
      </c>
      <c r="N36" s="26">
        <f t="shared" si="40"/>
        <v>-212628.50667941297</v>
      </c>
      <c r="O36" s="26">
        <f t="shared" si="40"/>
        <v>-179748.62576462817</v>
      </c>
      <c r="P36" s="26">
        <f t="shared" si="40"/>
        <v>-117741.99456371301</v>
      </c>
      <c r="Q36" s="26">
        <f t="shared" si="40"/>
        <v>-51556.705144158754</v>
      </c>
      <c r="R36" s="26">
        <f t="shared" si="40"/>
        <v>-13464.033806403873</v>
      </c>
      <c r="S36" s="26" t="e">
        <f t="shared" si="40"/>
        <v>#DIV/0!</v>
      </c>
      <c r="T36" s="26">
        <f t="shared" si="40"/>
        <v>-8662564.2150783762</v>
      </c>
      <c r="U36" s="26">
        <f t="shared" si="40"/>
        <v>-64152161.481337197</v>
      </c>
      <c r="V36" s="26">
        <f t="shared" si="40"/>
        <v>-52504131.593847424</v>
      </c>
      <c r="W36" s="26">
        <f t="shared" si="40"/>
        <v>-30233900.156249285</v>
      </c>
      <c r="X36" s="26">
        <f t="shared" si="40"/>
        <v>-14948003.552968595</v>
      </c>
      <c r="Y36" s="26">
        <f t="shared" si="40"/>
        <v>-78238022.13031821</v>
      </c>
      <c r="Z36" s="26">
        <f t="shared" si="40"/>
        <v>-73269941.060000002</v>
      </c>
      <c r="AA36" s="26">
        <f t="shared" si="40"/>
        <v>-42820859.350000001</v>
      </c>
      <c r="AB36" s="26">
        <f t="shared" si="40"/>
        <v>-13888230.99</v>
      </c>
      <c r="AC36" s="26">
        <f t="shared" si="40"/>
        <v>119013397.8448932</v>
      </c>
      <c r="AD36" s="26">
        <f t="shared" si="40"/>
        <v>-63604262.079999998</v>
      </c>
      <c r="AE36" s="26">
        <f t="shared" si="40"/>
        <v>-34904537.149999999</v>
      </c>
      <c r="AF36" s="26">
        <f t="shared" si="40"/>
        <v>-11329633.439999999</v>
      </c>
      <c r="AG36" s="26">
        <f t="shared" si="40"/>
        <v>-56938225.219432943</v>
      </c>
      <c r="AH36" s="26">
        <f t="shared" si="40"/>
        <v>-47766560.390000001</v>
      </c>
      <c r="AI36" s="26">
        <f t="shared" si="40"/>
        <v>-23620022.050000001</v>
      </c>
      <c r="AJ36" s="26">
        <f t="shared" si="40"/>
        <v>-2916288.67</v>
      </c>
      <c r="AK36" s="26">
        <f t="shared" si="40"/>
        <v>-35325033.711233407</v>
      </c>
      <c r="AL36" s="26">
        <f t="shared" si="40"/>
        <v>-25372481.587177955</v>
      </c>
      <c r="AM36" s="26">
        <f t="shared" si="40"/>
        <v>-23304500.23</v>
      </c>
      <c r="AN36" s="26">
        <f t="shared" si="40"/>
        <v>-11971213.722547686</v>
      </c>
      <c r="AO36" s="26">
        <f t="shared" si="40"/>
        <v>0</v>
      </c>
      <c r="AP36" s="26">
        <f t="shared" si="40"/>
        <v>-26626139.120000001</v>
      </c>
      <c r="AQ36" s="26">
        <f t="shared" si="40"/>
        <v>-30777710.170000002</v>
      </c>
      <c r="AR36" s="26">
        <f t="shared" si="40"/>
        <v>-17015148.760000002</v>
      </c>
      <c r="AS36" s="26" t="e">
        <f t="shared" si="40"/>
        <v>#DIV/0!</v>
      </c>
      <c r="AT36" s="26">
        <f t="shared" si="40"/>
        <v>-116266100.32836792</v>
      </c>
      <c r="AU36" s="26">
        <f t="shared" si="40"/>
        <v>-60856936.524902239</v>
      </c>
      <c r="AV36" s="26">
        <f t="shared" si="40"/>
        <v>-29650309.149999999</v>
      </c>
      <c r="AW36" s="26">
        <f t="shared" si="40"/>
        <v>-19747025.950842962</v>
      </c>
      <c r="AX36" s="26">
        <f t="shared" si="40"/>
        <v>-9953508.0192662776</v>
      </c>
      <c r="AY36" s="26">
        <f t="shared" si="40"/>
        <v>-8425391.6241679266</v>
      </c>
      <c r="AZ36" s="26">
        <f t="shared" si="40"/>
        <v>-7248612.4824030837</v>
      </c>
      <c r="BA36" s="26">
        <f t="shared" si="40"/>
        <v>20531537.919549026</v>
      </c>
      <c r="BB36" s="26">
        <f t="shared" si="40"/>
        <v>1658079.5866787462</v>
      </c>
      <c r="BC36" s="26">
        <f t="shared" si="40"/>
        <v>58460321.182808228</v>
      </c>
      <c r="BD36" s="26">
        <f t="shared" si="40"/>
        <v>-6062815.114573638</v>
      </c>
      <c r="BE36" s="26">
        <f t="shared" si="40"/>
        <v>-19224664.322362501</v>
      </c>
      <c r="BF36" s="26">
        <f t="shared" si="40"/>
        <v>-10991622.218693661</v>
      </c>
      <c r="BG36" s="26">
        <f t="shared" si="40"/>
        <v>-4064373.4127315711</v>
      </c>
      <c r="BH36" s="26">
        <f t="shared" si="40"/>
        <v>-5341065.7625210322</v>
      </c>
      <c r="BI36" s="26">
        <f t="shared" si="40"/>
        <v>11307395.651407778</v>
      </c>
      <c r="BJ36" s="26">
        <f t="shared" si="40"/>
        <v>14228267.73585235</v>
      </c>
      <c r="BK36" s="26">
        <f t="shared" si="40"/>
        <v>13181613.918007299</v>
      </c>
      <c r="BL36" s="26">
        <f t="shared" si="40"/>
        <v>12209136.310142659</v>
      </c>
      <c r="BM36" s="26">
        <f t="shared" si="40"/>
        <v>14443332.386353821</v>
      </c>
      <c r="BN36" s="26">
        <f t="shared" si="40"/>
        <v>13716639.939370178</v>
      </c>
      <c r="BO36" s="26">
        <f t="shared" ref="BO36:CJ36" si="41">BO35*BO41</f>
        <v>7298516.0756940944</v>
      </c>
      <c r="BP36" s="26">
        <f t="shared" si="41"/>
        <v>13892249.290202005</v>
      </c>
      <c r="BQ36" s="26">
        <f t="shared" si="41"/>
        <v>15021498.194198111</v>
      </c>
      <c r="BR36" s="26">
        <f t="shared" si="41"/>
        <v>5020054.0936764982</v>
      </c>
      <c r="BS36" s="26">
        <f t="shared" si="41"/>
        <v>3206128.6658184566</v>
      </c>
      <c r="BT36" s="26">
        <f t="shared" si="41"/>
        <v>-74295.392184333978</v>
      </c>
      <c r="BU36" s="26">
        <f t="shared" si="41"/>
        <v>-13112139.518073153</v>
      </c>
      <c r="BV36" s="26">
        <f t="shared" si="41"/>
        <v>-16162681.568887917</v>
      </c>
      <c r="BW36" s="26">
        <f t="shared" si="41"/>
        <v>55779.560816353027</v>
      </c>
      <c r="BX36" s="26">
        <f t="shared" si="41"/>
        <v>0</v>
      </c>
      <c r="BY36" s="26">
        <f t="shared" si="41"/>
        <v>9037519.4515382983</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c r="A37" s="17" t="s">
        <v>419</v>
      </c>
      <c r="B37" s="26">
        <f>B35-B36</f>
        <v>-670334.77252955025</v>
      </c>
      <c r="C37" s="26">
        <f t="shared" ref="C37:BN37" si="42">C35-C36</f>
        <v>-508656.70456220064</v>
      </c>
      <c r="D37" s="26">
        <f t="shared" si="42"/>
        <v>-302877.69835811248</v>
      </c>
      <c r="E37" s="26">
        <f t="shared" si="42"/>
        <v>162325.44809749725</v>
      </c>
      <c r="F37" s="26">
        <f t="shared" si="42"/>
        <v>-8940255.8984399997</v>
      </c>
      <c r="G37" s="26">
        <f t="shared" si="42"/>
        <v>-4722371.4448278295</v>
      </c>
      <c r="H37" s="26">
        <f t="shared" si="42"/>
        <v>-2366146.3610063423</v>
      </c>
      <c r="I37" s="26">
        <f t="shared" si="42"/>
        <v>18606.666489559862</v>
      </c>
      <c r="J37" s="26">
        <f t="shared" si="42"/>
        <v>-1118370.3270937873</v>
      </c>
      <c r="K37" s="26">
        <f t="shared" si="42"/>
        <v>-823692.01791540137</v>
      </c>
      <c r="L37" s="26">
        <f t="shared" si="42"/>
        <v>-611393.45348108409</v>
      </c>
      <c r="M37" s="26">
        <f t="shared" si="42"/>
        <v>144361.25197011497</v>
      </c>
      <c r="N37" s="26">
        <f t="shared" si="42"/>
        <v>-1652997.6033205872</v>
      </c>
      <c r="O37" s="26">
        <f t="shared" si="42"/>
        <v>-1270962.2342353719</v>
      </c>
      <c r="P37" s="26">
        <f t="shared" si="42"/>
        <v>-886380.13543628703</v>
      </c>
      <c r="Q37" s="26">
        <f t="shared" si="42"/>
        <v>-372382.58485584124</v>
      </c>
      <c r="R37" s="26">
        <f t="shared" si="42"/>
        <v>-93134.356193596119</v>
      </c>
      <c r="S37" s="26" t="e">
        <f t="shared" si="42"/>
        <v>#DIV/0!</v>
      </c>
      <c r="T37" s="26">
        <f t="shared" si="42"/>
        <v>5785722.5250783768</v>
      </c>
      <c r="U37" s="26">
        <f t="shared" si="42"/>
        <v>49142851.671337195</v>
      </c>
      <c r="V37" s="26">
        <f t="shared" si="42"/>
        <v>40663899.333847426</v>
      </c>
      <c r="W37" s="26">
        <f t="shared" si="42"/>
        <v>21876437.236249283</v>
      </c>
      <c r="X37" s="26">
        <f t="shared" si="42"/>
        <v>10672603.392968595</v>
      </c>
      <c r="Y37" s="26">
        <f t="shared" si="42"/>
        <v>65089959.180318207</v>
      </c>
      <c r="Z37" s="26">
        <f t="shared" si="42"/>
        <v>63091413.130000003</v>
      </c>
      <c r="AA37" s="26">
        <f t="shared" si="42"/>
        <v>36622980.57</v>
      </c>
      <c r="AB37" s="26">
        <f t="shared" si="42"/>
        <v>10646044.530000001</v>
      </c>
      <c r="AC37" s="26">
        <f t="shared" si="42"/>
        <v>-98700391.824893206</v>
      </c>
      <c r="AD37" s="26">
        <f t="shared" si="42"/>
        <v>54793381.890000001</v>
      </c>
      <c r="AE37" s="26">
        <f t="shared" si="42"/>
        <v>29394152.939999998</v>
      </c>
      <c r="AF37" s="26">
        <f t="shared" si="42"/>
        <v>9707939.5899999999</v>
      </c>
      <c r="AG37" s="26">
        <f t="shared" si="42"/>
        <v>81900951.199432939</v>
      </c>
      <c r="AH37" s="26">
        <f t="shared" si="42"/>
        <v>66045740.140000001</v>
      </c>
      <c r="AI37" s="26">
        <f t="shared" si="42"/>
        <v>35683813.409999996</v>
      </c>
      <c r="AJ37" s="26">
        <f t="shared" si="42"/>
        <v>8294344.1100000003</v>
      </c>
      <c r="AK37" s="26">
        <f t="shared" si="42"/>
        <v>56121397.761233404</v>
      </c>
      <c r="AL37" s="26">
        <f t="shared" si="42"/>
        <v>37845365.337177955</v>
      </c>
      <c r="AM37" s="26">
        <f t="shared" si="42"/>
        <v>35733277.469999999</v>
      </c>
      <c r="AN37" s="26">
        <f t="shared" si="42"/>
        <v>21743626.662547685</v>
      </c>
      <c r="AO37" s="26">
        <f t="shared" si="42"/>
        <v>1255234.32</v>
      </c>
      <c r="AP37" s="26">
        <f t="shared" si="42"/>
        <v>27615171.18</v>
      </c>
      <c r="AQ37" s="26">
        <f t="shared" si="42"/>
        <v>31120172.960000001</v>
      </c>
      <c r="AR37" s="26">
        <f t="shared" si="42"/>
        <v>16785423.550000001</v>
      </c>
      <c r="AS37" s="26" t="e">
        <f t="shared" si="42"/>
        <v>#DIV/0!</v>
      </c>
      <c r="AT37" s="26">
        <f t="shared" si="42"/>
        <v>93616698.978367925</v>
      </c>
      <c r="AU37" s="26">
        <f t="shared" si="42"/>
        <v>52511729.064902239</v>
      </c>
      <c r="AV37" s="26">
        <f t="shared" si="42"/>
        <v>23361350.959999997</v>
      </c>
      <c r="AW37" s="26">
        <f t="shared" si="42"/>
        <v>-2903818.4291570373</v>
      </c>
      <c r="AX37" s="26">
        <f t="shared" si="42"/>
        <v>-3416406.7207337227</v>
      </c>
      <c r="AY37" s="26">
        <f t="shared" si="42"/>
        <v>364095.58416792657</v>
      </c>
      <c r="AZ37" s="26">
        <f t="shared" si="42"/>
        <v>3721623.8824030836</v>
      </c>
      <c r="BA37" s="26">
        <f t="shared" si="42"/>
        <v>-28864650.819549024</v>
      </c>
      <c r="BB37" s="26">
        <f t="shared" si="42"/>
        <v>-2479918.3766787462</v>
      </c>
      <c r="BC37" s="26">
        <f t="shared" si="42"/>
        <v>-60531971.872808225</v>
      </c>
      <c r="BD37" s="26">
        <f t="shared" si="42"/>
        <v>2429324.714573638</v>
      </c>
      <c r="BE37" s="26">
        <f t="shared" si="42"/>
        <v>6648495.7623625007</v>
      </c>
      <c r="BF37" s="26">
        <f t="shared" si="42"/>
        <v>3858368.2286936603</v>
      </c>
      <c r="BG37" s="26">
        <f t="shared" si="42"/>
        <v>1123553.752731571</v>
      </c>
      <c r="BH37" s="26">
        <f t="shared" si="42"/>
        <v>2824186.1925210324</v>
      </c>
      <c r="BI37" s="26">
        <f t="shared" si="42"/>
        <v>-2562445.0014077779</v>
      </c>
      <c r="BJ37" s="26">
        <f t="shared" si="42"/>
        <v>422125.75414765067</v>
      </c>
      <c r="BK37" s="26">
        <f t="shared" si="42"/>
        <v>2745423.1319927014</v>
      </c>
      <c r="BL37" s="26">
        <f t="shared" si="42"/>
        <v>-5815934.4701426588</v>
      </c>
      <c r="BM37" s="26">
        <f t="shared" si="42"/>
        <v>-7082500.6963538202</v>
      </c>
      <c r="BN37" s="26">
        <f t="shared" si="42"/>
        <v>-5422328.0293701775</v>
      </c>
      <c r="BO37" s="26">
        <f t="shared" ref="BO37:CJ37" si="43">BO35-BO36</f>
        <v>-2443684.3356940942</v>
      </c>
      <c r="BP37" s="26">
        <f t="shared" si="43"/>
        <v>-5554060.9002020052</v>
      </c>
      <c r="BQ37" s="26">
        <f t="shared" si="43"/>
        <v>-9513381.24419811</v>
      </c>
      <c r="BR37" s="26">
        <f t="shared" si="43"/>
        <v>-1251340.7736764983</v>
      </c>
      <c r="BS37" s="26">
        <f t="shared" si="43"/>
        <v>204673.36418154323</v>
      </c>
      <c r="BT37" s="26">
        <f t="shared" si="43"/>
        <v>-13134.307815666019</v>
      </c>
      <c r="BU37" s="26">
        <f t="shared" si="43"/>
        <v>6543475.1080731526</v>
      </c>
      <c r="BV37" s="26">
        <f t="shared" si="43"/>
        <v>22095137.438887917</v>
      </c>
      <c r="BW37" s="26">
        <f t="shared" si="43"/>
        <v>812827.82918364694</v>
      </c>
      <c r="BX37" s="26">
        <f t="shared" si="43"/>
        <v>17436730.539999999</v>
      </c>
      <c r="BY37" s="26">
        <f t="shared" si="43"/>
        <v>13846816.3584617</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c r="A38" s="20" t="s">
        <v>420</v>
      </c>
      <c r="B38" s="28">
        <f>B31-B35</f>
        <v>92277539.660000026</v>
      </c>
      <c r="C38" s="28">
        <f t="shared" ref="C38:BN38" si="44">C31-C35</f>
        <v>44744080.230000012</v>
      </c>
      <c r="D38" s="28">
        <f t="shared" si="44"/>
        <v>3145575.7200000053</v>
      </c>
      <c r="E38" s="28">
        <f t="shared" si="44"/>
        <v>68552718.730000004</v>
      </c>
      <c r="F38" s="28">
        <f t="shared" si="44"/>
        <v>34274019.779999986</v>
      </c>
      <c r="G38" s="28">
        <f t="shared" si="44"/>
        <v>21137559.379999995</v>
      </c>
      <c r="H38" s="28">
        <f t="shared" si="44"/>
        <v>1747331.44</v>
      </c>
      <c r="I38" s="28">
        <f t="shared" si="44"/>
        <v>65338427.550000004</v>
      </c>
      <c r="J38" s="28">
        <f t="shared" si="44"/>
        <v>40669850.459999993</v>
      </c>
      <c r="K38" s="28">
        <f t="shared" si="44"/>
        <v>30019226.380000003</v>
      </c>
      <c r="L38" s="28">
        <f t="shared" si="44"/>
        <v>6242300.8599999994</v>
      </c>
      <c r="M38" s="28">
        <f t="shared" si="44"/>
        <v>64470367.280000009</v>
      </c>
      <c r="N38" s="28">
        <f t="shared" si="44"/>
        <v>46618412.159999996</v>
      </c>
      <c r="O38" s="28">
        <f t="shared" si="44"/>
        <v>82225209.589999989</v>
      </c>
      <c r="P38" s="28">
        <f t="shared" si="44"/>
        <v>90820773.989999995</v>
      </c>
      <c r="Q38" s="28">
        <f t="shared" si="44"/>
        <v>77524210.210000023</v>
      </c>
      <c r="R38" s="28">
        <f t="shared" si="44"/>
        <v>30657610.09</v>
      </c>
      <c r="S38" s="28">
        <f t="shared" si="44"/>
        <v>0</v>
      </c>
      <c r="T38" s="28">
        <f t="shared" si="44"/>
        <v>5502638.1099999994</v>
      </c>
      <c r="U38" s="28">
        <f t="shared" si="44"/>
        <v>25665974.149999999</v>
      </c>
      <c r="V38" s="28">
        <f t="shared" si="44"/>
        <v>18602494.780000001</v>
      </c>
      <c r="W38" s="28">
        <f t="shared" si="44"/>
        <v>12345911.529999999</v>
      </c>
      <c r="X38" s="28">
        <f t="shared" si="44"/>
        <v>4671619.6000000006</v>
      </c>
      <c r="Y38" s="28">
        <f t="shared" si="44"/>
        <v>14248413.879999999</v>
      </c>
      <c r="Z38" s="28">
        <f t="shared" si="44"/>
        <v>10178527.93</v>
      </c>
      <c r="AA38" s="28">
        <f t="shared" si="44"/>
        <v>6197878.7800000003</v>
      </c>
      <c r="AB38" s="28">
        <f t="shared" si="44"/>
        <v>3242186.46</v>
      </c>
      <c r="AC38" s="28">
        <f t="shared" si="44"/>
        <v>12833832.989999998</v>
      </c>
      <c r="AD38" s="28">
        <f t="shared" si="44"/>
        <v>8810880.1899999995</v>
      </c>
      <c r="AE38" s="28">
        <f t="shared" si="44"/>
        <v>5510384.21</v>
      </c>
      <c r="AF38" s="28">
        <f t="shared" si="44"/>
        <v>1621693.85</v>
      </c>
      <c r="AG38" s="28">
        <f t="shared" si="44"/>
        <v>-23957562.469999995</v>
      </c>
      <c r="AH38" s="28">
        <f t="shared" si="44"/>
        <v>-18279179.75</v>
      </c>
      <c r="AI38" s="28">
        <f t="shared" si="44"/>
        <v>-12063791.359999999</v>
      </c>
      <c r="AJ38" s="28">
        <f t="shared" si="44"/>
        <v>-5378055.4400000004</v>
      </c>
      <c r="AK38" s="28">
        <f t="shared" si="44"/>
        <v>-17114867.199999996</v>
      </c>
      <c r="AL38" s="28">
        <f t="shared" si="44"/>
        <v>-11806444.9</v>
      </c>
      <c r="AM38" s="28">
        <f t="shared" si="44"/>
        <v>-12428777.24</v>
      </c>
      <c r="AN38" s="28">
        <f t="shared" si="44"/>
        <v>-8784689.2199999988</v>
      </c>
      <c r="AO38" s="28">
        <f t="shared" si="44"/>
        <v>-287177.33000000007</v>
      </c>
      <c r="AP38" s="28">
        <f t="shared" si="44"/>
        <v>-989032.06</v>
      </c>
      <c r="AQ38" s="28">
        <f t="shared" si="44"/>
        <v>-342462.79</v>
      </c>
      <c r="AR38" s="28">
        <f t="shared" si="44"/>
        <v>229725.21</v>
      </c>
      <c r="AS38" s="28">
        <f t="shared" si="44"/>
        <v>0</v>
      </c>
      <c r="AT38" s="28">
        <f t="shared" si="44"/>
        <v>25795350.260000028</v>
      </c>
      <c r="AU38" s="28">
        <f t="shared" si="44"/>
        <v>11567145.859999977</v>
      </c>
      <c r="AV38" s="28">
        <f t="shared" si="44"/>
        <v>6288958.1900000004</v>
      </c>
      <c r="AW38" s="28">
        <f t="shared" si="44"/>
        <v>128652930.08</v>
      </c>
      <c r="AX38" s="28">
        <f t="shared" si="44"/>
        <v>91516728.729999989</v>
      </c>
      <c r="AY38" s="28">
        <f t="shared" si="44"/>
        <v>39569571.590000004</v>
      </c>
      <c r="AZ38" s="28">
        <f t="shared" si="44"/>
        <v>10345318.74</v>
      </c>
      <c r="BA38" s="28">
        <f t="shared" si="44"/>
        <v>-44081420.550000004</v>
      </c>
      <c r="BB38" s="28">
        <f t="shared" si="44"/>
        <v>-46593904.899999999</v>
      </c>
      <c r="BC38" s="28">
        <f t="shared" si="44"/>
        <v>-2404836.39</v>
      </c>
      <c r="BD38" s="28">
        <f t="shared" si="44"/>
        <v>17364907.609999999</v>
      </c>
      <c r="BE38" s="28">
        <f t="shared" si="44"/>
        <v>86656961.140000001</v>
      </c>
      <c r="BF38" s="28">
        <f t="shared" si="44"/>
        <v>60767912.130000003</v>
      </c>
      <c r="BG38" s="28">
        <f t="shared" si="44"/>
        <v>47659187.700000003</v>
      </c>
      <c r="BH38" s="28">
        <f t="shared" si="44"/>
        <v>15529502.800000001</v>
      </c>
      <c r="BI38" s="28">
        <f t="shared" si="44"/>
        <v>120606282.16999999</v>
      </c>
      <c r="BJ38" s="28">
        <f t="shared" si="44"/>
        <v>111581155.38000001</v>
      </c>
      <c r="BK38" s="28">
        <f t="shared" si="44"/>
        <v>83210734.969999999</v>
      </c>
      <c r="BL38" s="28">
        <f t="shared" si="44"/>
        <v>14665538.030000001</v>
      </c>
      <c r="BM38" s="28">
        <f t="shared" si="44"/>
        <v>73218411.960000008</v>
      </c>
      <c r="BN38" s="28">
        <f t="shared" si="44"/>
        <v>59722776.710000008</v>
      </c>
      <c r="BO38" s="28">
        <f t="shared" ref="BO38:CJ38" si="45">BO31-BO35</f>
        <v>42681175.309999995</v>
      </c>
      <c r="BP38" s="28">
        <f t="shared" si="45"/>
        <v>15198146.09</v>
      </c>
      <c r="BQ38" s="28">
        <f t="shared" si="45"/>
        <v>41603777.589999996</v>
      </c>
      <c r="BR38" s="28">
        <f t="shared" si="45"/>
        <v>39361911.009999998</v>
      </c>
      <c r="BS38" s="28">
        <f t="shared" si="45"/>
        <v>107226093</v>
      </c>
      <c r="BT38" s="28">
        <f t="shared" si="45"/>
        <v>55579527.460000001</v>
      </c>
      <c r="BU38" s="28">
        <f t="shared" si="45"/>
        <v>48821463.519999996</v>
      </c>
      <c r="BV38" s="28">
        <f t="shared" si="45"/>
        <v>-14400267.780000001</v>
      </c>
      <c r="BW38" s="28">
        <f t="shared" si="45"/>
        <v>43555220.869999997</v>
      </c>
      <c r="BX38" s="28">
        <f t="shared" si="45"/>
        <v>-19842125.949999999</v>
      </c>
      <c r="BY38" s="28">
        <f t="shared" si="45"/>
        <v>20704606.790000003</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c r="A39" s="57" t="s">
        <v>421</v>
      </c>
      <c r="B39" s="57">
        <f>B38/B4*100</f>
        <v>37.904185780679789</v>
      </c>
      <c r="C39" s="57">
        <f t="shared" ref="C39:D39" si="46">C38/C4*100</f>
        <v>27.347560011192833</v>
      </c>
      <c r="D39" s="57">
        <f t="shared" si="46"/>
        <v>7.868610825396706</v>
      </c>
      <c r="E39" s="57">
        <f>E38/E4</f>
        <v>0.35662034028229689</v>
      </c>
      <c r="F39" s="57">
        <f t="shared" ref="F39:BQ39" si="47">F38/F4</f>
        <v>0.3354390942417067</v>
      </c>
      <c r="G39" s="57">
        <f t="shared" si="47"/>
        <v>0.27127888435282788</v>
      </c>
      <c r="H39" s="57">
        <f t="shared" si="47"/>
        <v>0.1024308463609825</v>
      </c>
      <c r="I39" s="57">
        <f t="shared" si="47"/>
        <v>0.39423696440808759</v>
      </c>
      <c r="J39" s="57">
        <f t="shared" si="47"/>
        <v>0.37482837109590417</v>
      </c>
      <c r="K39" s="57">
        <f t="shared" si="47"/>
        <v>0.37073293719704797</v>
      </c>
      <c r="L39" s="57">
        <f t="shared" si="47"/>
        <v>0.41693432422148158</v>
      </c>
      <c r="M39" s="57">
        <f t="shared" si="47"/>
        <v>0.43408480504537866</v>
      </c>
      <c r="N39" s="57">
        <f t="shared" si="47"/>
        <v>0.53000963133859313</v>
      </c>
      <c r="O39" s="57">
        <f t="shared" si="47"/>
        <v>0.4585925966863495</v>
      </c>
      <c r="P39" s="57">
        <f t="shared" si="47"/>
        <v>0.4349898403514123</v>
      </c>
      <c r="Q39" s="57">
        <f t="shared" si="47"/>
        <v>0.40065561349856144</v>
      </c>
      <c r="R39" s="57">
        <f t="shared" si="47"/>
        <v>0.3729315135930466</v>
      </c>
      <c r="S39" s="57" t="e">
        <f t="shared" si="47"/>
        <v>#DIV/0!</v>
      </c>
      <c r="T39" s="57" t="e">
        <f t="shared" si="47"/>
        <v>#DIV/0!</v>
      </c>
      <c r="U39" s="57" t="e">
        <f t="shared" si="47"/>
        <v>#DIV/0!</v>
      </c>
      <c r="V39" s="57" t="e">
        <f t="shared" si="47"/>
        <v>#DIV/0!</v>
      </c>
      <c r="W39" s="57" t="e">
        <f t="shared" si="47"/>
        <v>#DIV/0!</v>
      </c>
      <c r="X39" s="57" t="e">
        <f t="shared" si="47"/>
        <v>#DIV/0!</v>
      </c>
      <c r="Y39" s="57" t="e">
        <f t="shared" si="47"/>
        <v>#DIV/0!</v>
      </c>
      <c r="Z39" s="57" t="e">
        <f t="shared" si="47"/>
        <v>#DIV/0!</v>
      </c>
      <c r="AA39" s="57" t="e">
        <f t="shared" si="47"/>
        <v>#DIV/0!</v>
      </c>
      <c r="AB39" s="57" t="e">
        <f t="shared" si="47"/>
        <v>#DIV/0!</v>
      </c>
      <c r="AC39" s="57" t="e">
        <f t="shared" si="47"/>
        <v>#DIV/0!</v>
      </c>
      <c r="AD39" s="57" t="e">
        <f t="shared" si="47"/>
        <v>#DIV/0!</v>
      </c>
      <c r="AE39" s="57" t="e">
        <f t="shared" si="47"/>
        <v>#DIV/0!</v>
      </c>
      <c r="AF39" s="57" t="e">
        <f t="shared" si="47"/>
        <v>#DIV/0!</v>
      </c>
      <c r="AG39" s="57" t="e">
        <f t="shared" si="47"/>
        <v>#DIV/0!</v>
      </c>
      <c r="AH39" s="57" t="e">
        <f t="shared" si="47"/>
        <v>#DIV/0!</v>
      </c>
      <c r="AI39" s="57" t="e">
        <f t="shared" si="47"/>
        <v>#DIV/0!</v>
      </c>
      <c r="AJ39" s="57" t="e">
        <f t="shared" si="47"/>
        <v>#DIV/0!</v>
      </c>
      <c r="AK39" s="57" t="e">
        <f t="shared" si="47"/>
        <v>#DIV/0!</v>
      </c>
      <c r="AL39" s="57" t="e">
        <f t="shared" si="47"/>
        <v>#DIV/0!</v>
      </c>
      <c r="AM39" s="57" t="e">
        <f t="shared" si="47"/>
        <v>#DIV/0!</v>
      </c>
      <c r="AN39" s="57" t="e">
        <f t="shared" si="47"/>
        <v>#DIV/0!</v>
      </c>
      <c r="AO39" s="57" t="e">
        <f t="shared" si="47"/>
        <v>#DIV/0!</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c r="A40" s="17" t="s">
        <v>422</v>
      </c>
      <c r="B40" s="26">
        <f>B60</f>
        <v>6508078.5800000001</v>
      </c>
      <c r="C40" s="26">
        <f t="shared" ref="C40:BN40" si="49">C60</f>
        <v>3748871.58</v>
      </c>
      <c r="D40" s="26">
        <f t="shared" si="49"/>
        <v>-18826.27</v>
      </c>
      <c r="E40" s="26">
        <f t="shared" si="49"/>
        <v>8334335.4900000002</v>
      </c>
      <c r="F40" s="26">
        <f t="shared" si="49"/>
        <v>2363433.31</v>
      </c>
      <c r="G40" s="26">
        <f t="shared" si="49"/>
        <v>1380485.11</v>
      </c>
      <c r="H40" s="26">
        <f t="shared" si="49"/>
        <v>-14300.65</v>
      </c>
      <c r="I40" s="26">
        <f t="shared" si="49"/>
        <v>3581556.19</v>
      </c>
      <c r="J40" s="26">
        <f t="shared" si="49"/>
        <v>780754.99</v>
      </c>
      <c r="K40" s="26">
        <f t="shared" si="49"/>
        <v>366939.61</v>
      </c>
      <c r="L40" s="26">
        <f t="shared" si="49"/>
        <v>269908.40000000002</v>
      </c>
      <c r="M40" s="26">
        <f t="shared" si="49"/>
        <v>7051514.8700000001</v>
      </c>
      <c r="N40" s="26">
        <f t="shared" si="49"/>
        <v>5313177.87</v>
      </c>
      <c r="O40" s="26">
        <f t="shared" si="49"/>
        <v>10188018.050000001</v>
      </c>
      <c r="P40" s="26">
        <f t="shared" si="49"/>
        <v>10649520.369999999</v>
      </c>
      <c r="Q40" s="26">
        <f t="shared" si="49"/>
        <v>9427984.0099999998</v>
      </c>
      <c r="R40" s="26">
        <f t="shared" si="49"/>
        <v>3872245.15</v>
      </c>
      <c r="S40" s="26">
        <f t="shared" si="49"/>
        <v>0</v>
      </c>
      <c r="T40" s="26">
        <f t="shared" si="49"/>
        <v>16569196.75</v>
      </c>
      <c r="U40" s="26">
        <f t="shared" si="49"/>
        <v>109700428.54000001</v>
      </c>
      <c r="V40" s="26">
        <f t="shared" si="49"/>
        <v>82490597.519999996</v>
      </c>
      <c r="W40" s="26">
        <f t="shared" si="49"/>
        <v>44662484.310000002</v>
      </c>
      <c r="X40" s="26">
        <f t="shared" si="49"/>
        <v>16333298.35</v>
      </c>
      <c r="Y40" s="26">
        <f t="shared" si="49"/>
        <v>84785699.969999999</v>
      </c>
      <c r="Z40" s="26">
        <f t="shared" si="49"/>
        <v>73269941.060000002</v>
      </c>
      <c r="AA40" s="26">
        <f t="shared" si="49"/>
        <v>42820859.350000001</v>
      </c>
      <c r="AB40" s="26">
        <f t="shared" si="49"/>
        <v>13888230.99</v>
      </c>
      <c r="AC40" s="26">
        <f t="shared" si="49"/>
        <v>75193108.790000007</v>
      </c>
      <c r="AD40" s="26">
        <f t="shared" si="49"/>
        <v>63604262.079999998</v>
      </c>
      <c r="AE40" s="26">
        <f t="shared" si="49"/>
        <v>34904537.149999999</v>
      </c>
      <c r="AF40" s="26">
        <f t="shared" si="49"/>
        <v>11329633.439999999</v>
      </c>
      <c r="AG40" s="26">
        <f t="shared" si="49"/>
        <v>54645517.829999998</v>
      </c>
      <c r="AH40" s="26">
        <f t="shared" si="49"/>
        <v>47766560.390000001</v>
      </c>
      <c r="AI40" s="26">
        <f t="shared" si="49"/>
        <v>23620022.050000001</v>
      </c>
      <c r="AJ40" s="26">
        <f t="shared" si="49"/>
        <v>2916288.67</v>
      </c>
      <c r="AK40" s="26">
        <f t="shared" si="49"/>
        <v>29071584.789999999</v>
      </c>
      <c r="AL40" s="26">
        <f t="shared" si="49"/>
        <v>24016804.120000001</v>
      </c>
      <c r="AM40" s="26">
        <f t="shared" si="49"/>
        <v>23304500.23</v>
      </c>
      <c r="AN40" s="26">
        <f t="shared" si="49"/>
        <v>10761251.369999999</v>
      </c>
      <c r="AO40" s="26">
        <f t="shared" si="49"/>
        <v>0</v>
      </c>
      <c r="AP40" s="26">
        <f t="shared" si="49"/>
        <v>26626139.120000001</v>
      </c>
      <c r="AQ40" s="26">
        <f t="shared" si="49"/>
        <v>30777710.170000002</v>
      </c>
      <c r="AR40" s="26">
        <f t="shared" si="49"/>
        <v>17015148.760000002</v>
      </c>
      <c r="AS40" s="26">
        <f t="shared" si="49"/>
        <v>0</v>
      </c>
      <c r="AT40" s="26">
        <f t="shared" si="49"/>
        <v>132415189.92</v>
      </c>
      <c r="AU40" s="26">
        <f t="shared" si="49"/>
        <v>84352733.560000002</v>
      </c>
      <c r="AV40" s="26">
        <f t="shared" si="49"/>
        <v>29650309.149999999</v>
      </c>
      <c r="AW40" s="26">
        <f t="shared" si="49"/>
        <v>112159737.02</v>
      </c>
      <c r="AX40" s="26">
        <f t="shared" si="49"/>
        <v>68131511.010000005</v>
      </c>
      <c r="AY40" s="26">
        <f t="shared" si="49"/>
        <v>41356766.380000003</v>
      </c>
      <c r="AZ40" s="26">
        <f t="shared" si="49"/>
        <v>21261539.25</v>
      </c>
      <c r="BA40" s="26">
        <f t="shared" si="49"/>
        <v>108609995.86</v>
      </c>
      <c r="BB40" s="26">
        <f t="shared" si="49"/>
        <v>94004327.269999996</v>
      </c>
      <c r="BC40" s="26">
        <f t="shared" si="49"/>
        <v>67862554.450000003</v>
      </c>
      <c r="BD40" s="26">
        <f t="shared" si="49"/>
        <v>28974955.960000001</v>
      </c>
      <c r="BE40" s="26">
        <f t="shared" si="49"/>
        <v>132468882.01000001</v>
      </c>
      <c r="BF40" s="26">
        <f t="shared" si="49"/>
        <v>93637200.370000005</v>
      </c>
      <c r="BG40" s="26">
        <f t="shared" si="49"/>
        <v>65867600.789999999</v>
      </c>
      <c r="BH40" s="26">
        <f t="shared" si="49"/>
        <v>32955130.91</v>
      </c>
      <c r="BI40" s="26">
        <f t="shared" si="49"/>
        <v>155946328.93000001</v>
      </c>
      <c r="BJ40" s="26">
        <f t="shared" si="49"/>
        <v>108366137.34</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c r="A41" s="57" t="s">
        <v>617</v>
      </c>
      <c r="B41" s="57">
        <f>B40/B38</f>
        <v>7.0527222593702144E-2</v>
      </c>
      <c r="C41" s="57">
        <f t="shared" ref="C41:BN41" si="51">C40/C38</f>
        <v>8.3784750088268814E-2</v>
      </c>
      <c r="D41" s="57">
        <f t="shared" si="51"/>
        <v>-5.984999782488138E-3</v>
      </c>
      <c r="E41" s="57">
        <f t="shared" si="51"/>
        <v>0.1215755646807445</v>
      </c>
      <c r="F41" s="57">
        <f t="shared" si="51"/>
        <v>6.8956992064850842E-2</v>
      </c>
      <c r="G41" s="57">
        <f t="shared" si="51"/>
        <v>6.5309579274615406E-2</v>
      </c>
      <c r="H41" s="57">
        <f t="shared" si="51"/>
        <v>-8.1842801386324288E-3</v>
      </c>
      <c r="I41" s="57">
        <f t="shared" si="51"/>
        <v>5.4815463492126841E-2</v>
      </c>
      <c r="J41" s="57">
        <f t="shared" si="51"/>
        <v>1.9197390233039971E-2</v>
      </c>
      <c r="K41" s="57">
        <f t="shared" si="51"/>
        <v>1.2223486553419967E-2</v>
      </c>
      <c r="L41" s="57">
        <f t="shared" si="51"/>
        <v>4.3238608015442569E-2</v>
      </c>
      <c r="M41" s="57">
        <f t="shared" si="51"/>
        <v>0.10937606170870257</v>
      </c>
      <c r="N41" s="57">
        <f t="shared" si="51"/>
        <v>0.11397166106311246</v>
      </c>
      <c r="O41" s="57">
        <f t="shared" si="51"/>
        <v>0.12390382585584847</v>
      </c>
      <c r="P41" s="57">
        <f t="shared" si="51"/>
        <v>0.11725863920926931</v>
      </c>
      <c r="Q41" s="57">
        <f t="shared" si="51"/>
        <v>0.12161341578922481</v>
      </c>
      <c r="R41" s="57">
        <f t="shared" si="51"/>
        <v>0.12630616472166112</v>
      </c>
      <c r="S41" s="57" t="e">
        <f t="shared" si="51"/>
        <v>#DIV/0!</v>
      </c>
      <c r="T41" s="57">
        <f t="shared" si="51"/>
        <v>3.0111369162890491</v>
      </c>
      <c r="U41" s="57">
        <f t="shared" si="51"/>
        <v>4.2741579921680088</v>
      </c>
      <c r="V41" s="57">
        <f t="shared" si="51"/>
        <v>4.4343835864793606</v>
      </c>
      <c r="W41" s="57">
        <f t="shared" si="51"/>
        <v>3.6175930956148692</v>
      </c>
      <c r="X41" s="57">
        <f t="shared" si="51"/>
        <v>3.4962817499096026</v>
      </c>
      <c r="Y41" s="57">
        <f t="shared" si="51"/>
        <v>5.9505360164341328</v>
      </c>
      <c r="Z41" s="57">
        <f t="shared" si="51"/>
        <v>7.1984811127791444</v>
      </c>
      <c r="AA41" s="57">
        <f t="shared" si="51"/>
        <v>6.9089539937726885</v>
      </c>
      <c r="AB41" s="57">
        <f t="shared" si="51"/>
        <v>4.2836003300069301</v>
      </c>
      <c r="AC41" s="57">
        <f t="shared" si="51"/>
        <v>5.8589751673245063</v>
      </c>
      <c r="AD41" s="57">
        <f t="shared" si="51"/>
        <v>7.2188317975527942</v>
      </c>
      <c r="AE41" s="57">
        <f t="shared" si="51"/>
        <v>6.3343200437197824</v>
      </c>
      <c r="AF41" s="57">
        <f t="shared" si="51"/>
        <v>6.9862961125492333</v>
      </c>
      <c r="AG41" s="57">
        <f t="shared" si="51"/>
        <v>-2.2809297856753123</v>
      </c>
      <c r="AH41" s="57">
        <f t="shared" si="51"/>
        <v>-2.6131676061667921</v>
      </c>
      <c r="AI41" s="57">
        <f t="shared" si="51"/>
        <v>-1.9579269356661024</v>
      </c>
      <c r="AJ41" s="57">
        <f t="shared" si="51"/>
        <v>-0.54225708576927567</v>
      </c>
      <c r="AK41" s="57">
        <f t="shared" si="51"/>
        <v>-1.6986158554592821</v>
      </c>
      <c r="AL41" s="57">
        <f t="shared" si="51"/>
        <v>-2.034211341637651</v>
      </c>
      <c r="AM41" s="57">
        <f t="shared" si="51"/>
        <v>-1.8750436812881521</v>
      </c>
      <c r="AN41" s="57">
        <f t="shared" si="51"/>
        <v>-1.2250008054354369</v>
      </c>
      <c r="AO41" s="57">
        <f t="shared" si="51"/>
        <v>0</v>
      </c>
      <c r="AP41" s="57">
        <f t="shared" si="51"/>
        <v>-26.921411546557955</v>
      </c>
      <c r="AQ41" s="57">
        <f t="shared" si="51"/>
        <v>-89.871691374119806</v>
      </c>
      <c r="AR41" s="57">
        <f t="shared" si="51"/>
        <v>74.067398871895691</v>
      </c>
      <c r="AS41" s="57" t="e">
        <f t="shared" si="51"/>
        <v>#DIV/0!</v>
      </c>
      <c r="AT41" s="57">
        <f t="shared" si="51"/>
        <v>5.1332968378154469</v>
      </c>
      <c r="AU41" s="57">
        <f t="shared" si="51"/>
        <v>7.2924414182151729</v>
      </c>
      <c r="AV41" s="57">
        <f t="shared" si="51"/>
        <v>4.7146615153439262</v>
      </c>
      <c r="AW41" s="57">
        <f t="shared" si="51"/>
        <v>0.87180087503841486</v>
      </c>
      <c r="AX41" s="57">
        <f t="shared" si="51"/>
        <v>0.74447056790029142</v>
      </c>
      <c r="AY41" s="57">
        <f t="shared" si="51"/>
        <v>1.0451658867707241</v>
      </c>
      <c r="AZ41" s="57">
        <f t="shared" si="51"/>
        <v>2.0551845510368487</v>
      </c>
      <c r="BA41" s="57">
        <f t="shared" si="51"/>
        <v>-2.4638497240987847</v>
      </c>
      <c r="BB41" s="57">
        <f t="shared" si="51"/>
        <v>-2.01752412620819</v>
      </c>
      <c r="BC41" s="57">
        <f t="shared" si="51"/>
        <v>-28.219198084406898</v>
      </c>
      <c r="BD41" s="57">
        <f t="shared" si="51"/>
        <v>1.668592578247527</v>
      </c>
      <c r="BE41" s="57">
        <f t="shared" si="51"/>
        <v>1.5286582897360992</v>
      </c>
      <c r="BF41" s="57">
        <f t="shared" si="51"/>
        <v>1.5408987587015193</v>
      </c>
      <c r="BG41" s="57">
        <f t="shared" si="51"/>
        <v>1.3820546251148127</v>
      </c>
      <c r="BH41" s="57">
        <f t="shared" si="51"/>
        <v>2.1220982625406397</v>
      </c>
      <c r="BI41" s="57">
        <f t="shared" si="51"/>
        <v>1.2930199499076394</v>
      </c>
      <c r="BJ41" s="57">
        <f t="shared" si="51"/>
        <v>0.97118672925503446</v>
      </c>
      <c r="BK41" s="57">
        <f t="shared" si="51"/>
        <v>0.82762499243431464</v>
      </c>
      <c r="BL41" s="57">
        <f t="shared" si="51"/>
        <v>1.9097060621102897</v>
      </c>
      <c r="BM41" s="57">
        <f t="shared" si="51"/>
        <v>1.9621875617636653</v>
      </c>
      <c r="BN41" s="57">
        <f t="shared" si="51"/>
        <v>1.6537405499343196</v>
      </c>
      <c r="BO41" s="57">
        <f t="shared" ref="BO41:CJ41" si="52">BO40/BO38</f>
        <v>1.503350984455353</v>
      </c>
      <c r="BP41" s="57">
        <f t="shared" si="52"/>
        <v>1.6660992340809904</v>
      </c>
      <c r="BQ41" s="57">
        <f t="shared" si="52"/>
        <v>2.7271567271639197</v>
      </c>
      <c r="BR41" s="57">
        <f t="shared" si="52"/>
        <v>1.33203395096035</v>
      </c>
      <c r="BS41" s="57">
        <f t="shared" si="52"/>
        <v>0.93999259928271384</v>
      </c>
      <c r="BT41" s="57">
        <f t="shared" si="52"/>
        <v>0.84977292824216455</v>
      </c>
      <c r="BU41" s="57">
        <f t="shared" si="52"/>
        <v>1.9961652323281276</v>
      </c>
      <c r="BV41" s="57">
        <f t="shared" si="52"/>
        <v>-2.7244503664361717</v>
      </c>
      <c r="BW41" s="57">
        <f t="shared" si="52"/>
        <v>6.4217230314323054E-2</v>
      </c>
      <c r="BX41" s="57">
        <f t="shared" si="52"/>
        <v>0</v>
      </c>
      <c r="BY41" s="57">
        <f t="shared" si="52"/>
        <v>0.39492164101127558</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c r="A42" s="20" t="s">
        <v>424</v>
      </c>
      <c r="B42" s="28">
        <f>B38-B40</f>
        <v>85769461.080000028</v>
      </c>
      <c r="C42" s="28">
        <f t="shared" ref="C42:BN42" si="53">C38-C40</f>
        <v>40995208.650000013</v>
      </c>
      <c r="D42" s="28">
        <f t="shared" si="53"/>
        <v>3164401.9900000053</v>
      </c>
      <c r="E42" s="28">
        <f t="shared" si="53"/>
        <v>60218383.240000002</v>
      </c>
      <c r="F42" s="28">
        <f t="shared" si="53"/>
        <v>31910586.469999988</v>
      </c>
      <c r="G42" s="28">
        <f t="shared" si="53"/>
        <v>19757074.269999996</v>
      </c>
      <c r="H42" s="28">
        <f t="shared" si="53"/>
        <v>1761632.0899999999</v>
      </c>
      <c r="I42" s="28">
        <f t="shared" si="53"/>
        <v>61756871.360000007</v>
      </c>
      <c r="J42" s="28">
        <f t="shared" si="53"/>
        <v>39889095.469999991</v>
      </c>
      <c r="K42" s="28">
        <f t="shared" si="53"/>
        <v>29652286.770000003</v>
      </c>
      <c r="L42" s="28">
        <f t="shared" si="53"/>
        <v>5972392.459999999</v>
      </c>
      <c r="M42" s="28">
        <f t="shared" si="53"/>
        <v>57418852.410000011</v>
      </c>
      <c r="N42" s="28">
        <f t="shared" si="53"/>
        <v>41305234.289999999</v>
      </c>
      <c r="O42" s="28">
        <f t="shared" si="53"/>
        <v>72037191.539999992</v>
      </c>
      <c r="P42" s="28">
        <f t="shared" si="53"/>
        <v>80171253.61999999</v>
      </c>
      <c r="Q42" s="28">
        <f t="shared" si="53"/>
        <v>68096226.200000018</v>
      </c>
      <c r="R42" s="28">
        <f t="shared" si="53"/>
        <v>26785364.940000001</v>
      </c>
      <c r="S42" s="28">
        <f t="shared" si="53"/>
        <v>0</v>
      </c>
      <c r="T42" s="28">
        <f t="shared" si="53"/>
        <v>-11066558.640000001</v>
      </c>
      <c r="U42" s="28">
        <f t="shared" si="53"/>
        <v>-84034454.390000015</v>
      </c>
      <c r="V42" s="28">
        <f t="shared" si="53"/>
        <v>-63888102.739999995</v>
      </c>
      <c r="W42" s="28">
        <f t="shared" si="53"/>
        <v>-32316572.780000001</v>
      </c>
      <c r="X42" s="28">
        <f t="shared" si="53"/>
        <v>-11661678.75</v>
      </c>
      <c r="Y42" s="28">
        <f t="shared" si="53"/>
        <v>-70537286.090000004</v>
      </c>
      <c r="Z42" s="28">
        <f t="shared" si="53"/>
        <v>-63091413.130000003</v>
      </c>
      <c r="AA42" s="28">
        <f t="shared" si="53"/>
        <v>-36622980.57</v>
      </c>
      <c r="AB42" s="28">
        <f t="shared" si="53"/>
        <v>-10646044.530000001</v>
      </c>
      <c r="AC42" s="28">
        <f t="shared" si="53"/>
        <v>-62359275.800000012</v>
      </c>
      <c r="AD42" s="28">
        <f t="shared" si="53"/>
        <v>-54793381.890000001</v>
      </c>
      <c r="AE42" s="28">
        <f t="shared" si="53"/>
        <v>-29394152.939999998</v>
      </c>
      <c r="AF42" s="28">
        <f t="shared" si="53"/>
        <v>-9707939.5899999999</v>
      </c>
      <c r="AG42" s="28">
        <f t="shared" si="53"/>
        <v>-78603080.299999997</v>
      </c>
      <c r="AH42" s="28">
        <f t="shared" si="53"/>
        <v>-66045740.140000001</v>
      </c>
      <c r="AI42" s="28">
        <f t="shared" si="53"/>
        <v>-35683813.409999996</v>
      </c>
      <c r="AJ42" s="28">
        <f t="shared" si="53"/>
        <v>-8294344.1100000003</v>
      </c>
      <c r="AK42" s="28">
        <f t="shared" si="53"/>
        <v>-46186451.989999995</v>
      </c>
      <c r="AL42" s="28">
        <f t="shared" si="53"/>
        <v>-35823249.020000003</v>
      </c>
      <c r="AM42" s="28">
        <f t="shared" si="53"/>
        <v>-35733277.469999999</v>
      </c>
      <c r="AN42" s="28">
        <f t="shared" si="53"/>
        <v>-19545940.589999996</v>
      </c>
      <c r="AO42" s="28">
        <f t="shared" si="53"/>
        <v>-287177.33000000007</v>
      </c>
      <c r="AP42" s="28">
        <f t="shared" si="53"/>
        <v>-27615171.18</v>
      </c>
      <c r="AQ42" s="28">
        <f t="shared" si="53"/>
        <v>-31120172.960000001</v>
      </c>
      <c r="AR42" s="28">
        <f t="shared" si="53"/>
        <v>-16785423.550000001</v>
      </c>
      <c r="AS42" s="28">
        <f t="shared" si="53"/>
        <v>0</v>
      </c>
      <c r="AT42" s="28">
        <f t="shared" si="53"/>
        <v>-106619839.65999997</v>
      </c>
      <c r="AU42" s="28">
        <f t="shared" si="53"/>
        <v>-72785587.700000018</v>
      </c>
      <c r="AV42" s="28">
        <f t="shared" si="53"/>
        <v>-23361350.959999997</v>
      </c>
      <c r="AW42" s="28">
        <f t="shared" si="53"/>
        <v>16493193.060000002</v>
      </c>
      <c r="AX42" s="28">
        <f t="shared" si="53"/>
        <v>23385217.719999984</v>
      </c>
      <c r="AY42" s="28">
        <f t="shared" si="53"/>
        <v>-1787194.7899999991</v>
      </c>
      <c r="AZ42" s="28">
        <f t="shared" si="53"/>
        <v>-10916220.51</v>
      </c>
      <c r="BA42" s="28">
        <f t="shared" si="53"/>
        <v>-152691416.41</v>
      </c>
      <c r="BB42" s="28">
        <f t="shared" si="53"/>
        <v>-140598232.16999999</v>
      </c>
      <c r="BC42" s="28">
        <f t="shared" si="53"/>
        <v>-70267390.840000004</v>
      </c>
      <c r="BD42" s="28">
        <f t="shared" si="53"/>
        <v>-11610048.350000001</v>
      </c>
      <c r="BE42" s="28">
        <f t="shared" si="53"/>
        <v>-45811920.870000005</v>
      </c>
      <c r="BF42" s="28">
        <f t="shared" si="53"/>
        <v>-32869288.240000002</v>
      </c>
      <c r="BG42" s="28">
        <f t="shared" si="53"/>
        <v>-18208413.089999996</v>
      </c>
      <c r="BH42" s="28">
        <f t="shared" si="53"/>
        <v>-17425628.109999999</v>
      </c>
      <c r="BI42" s="28">
        <f t="shared" si="53"/>
        <v>-35340046.76000002</v>
      </c>
      <c r="BJ42" s="28">
        <f t="shared" si="53"/>
        <v>3215018.0400000066</v>
      </c>
      <c r="BK42" s="28">
        <f t="shared" si="53"/>
        <v>14343451.069999993</v>
      </c>
      <c r="BL42" s="28">
        <f t="shared" si="53"/>
        <v>-13341328.849999998</v>
      </c>
      <c r="BM42" s="28">
        <f t="shared" si="53"/>
        <v>-70449845.280000001</v>
      </c>
      <c r="BN42" s="28">
        <f t="shared" si="53"/>
        <v>-39043200.889999986</v>
      </c>
      <c r="BO42" s="28">
        <f t="shared" ref="BO42:CK42" si="54">BO38-BO40</f>
        <v>-21483611.610000007</v>
      </c>
      <c r="BP42" s="28">
        <f t="shared" si="54"/>
        <v>-10123473.469999999</v>
      </c>
      <c r="BQ42" s="28">
        <f t="shared" si="54"/>
        <v>-71856244.340000004</v>
      </c>
      <c r="BR42" s="28">
        <f t="shared" si="54"/>
        <v>-13069490.830000006</v>
      </c>
      <c r="BS42" s="28">
        <f t="shared" si="54"/>
        <v>6434359.1299999952</v>
      </c>
      <c r="BT42" s="28">
        <f t="shared" si="54"/>
        <v>8349549.6600000039</v>
      </c>
      <c r="BU42" s="28">
        <f t="shared" si="54"/>
        <v>-48634244.549999997</v>
      </c>
      <c r="BV42" s="28">
        <f t="shared" si="54"/>
        <v>-53633082.609999999</v>
      </c>
      <c r="BW42" s="28">
        <f t="shared" si="54"/>
        <v>40758225.219999999</v>
      </c>
      <c r="BX42" s="28">
        <f t="shared" si="54"/>
        <v>-19842125.949999999</v>
      </c>
      <c r="BY42" s="28">
        <f t="shared" si="54"/>
        <v>12527909.500000004</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c r="A43" s="57" t="s">
        <v>423</v>
      </c>
      <c r="B43" s="57">
        <f>B42/B4*100</f>
        <v>35.230908832892744</v>
      </c>
      <c r="C43" s="57">
        <f t="shared" ref="C43:D43" si="55">C42/C4*100</f>
        <v>25.056251530131107</v>
      </c>
      <c r="D43" s="57">
        <f t="shared" si="55"/>
        <v>7.9157044594751893</v>
      </c>
      <c r="E43" s="57">
        <f>E42/E4</f>
        <v>0.31326402103583739</v>
      </c>
      <c r="F43" s="57">
        <f t="shared" ref="F43:BQ43" si="56">F42/F4</f>
        <v>0.3123082232818406</v>
      </c>
      <c r="G43" s="57">
        <f t="shared" si="56"/>
        <v>0.25356177454965767</v>
      </c>
      <c r="H43" s="57">
        <f t="shared" si="56"/>
        <v>0.103269169102438</v>
      </c>
      <c r="I43" s="57">
        <f t="shared" si="56"/>
        <v>0.37262668247832914</v>
      </c>
      <c r="J43" s="57">
        <f t="shared" si="56"/>
        <v>0.36763264458556133</v>
      </c>
      <c r="K43" s="57">
        <f t="shared" si="56"/>
        <v>0.36620128812430996</v>
      </c>
      <c r="L43" s="57">
        <f t="shared" si="56"/>
        <v>0.39890666440828548</v>
      </c>
      <c r="M43" s="57">
        <f t="shared" si="56"/>
        <v>0.38660631862192524</v>
      </c>
      <c r="N43" s="57">
        <f t="shared" si="56"/>
        <v>0.46960355327548586</v>
      </c>
      <c r="O43" s="57">
        <f t="shared" si="56"/>
        <v>0.40177121944774274</v>
      </c>
      <c r="P43" s="57">
        <f t="shared" si="56"/>
        <v>0.38398352360194837</v>
      </c>
      <c r="Q43" s="57">
        <f t="shared" si="56"/>
        <v>0.35193051578587387</v>
      </c>
      <c r="R43" s="57">
        <f t="shared" si="56"/>
        <v>0.32582796440726486</v>
      </c>
      <c r="S43" s="57" t="e">
        <f t="shared" si="56"/>
        <v>#DIV/0!</v>
      </c>
      <c r="T43" s="57" t="e">
        <f t="shared" si="56"/>
        <v>#DIV/0!</v>
      </c>
      <c r="U43" s="57" t="e">
        <f t="shared" si="56"/>
        <v>#DIV/0!</v>
      </c>
      <c r="V43" s="57" t="e">
        <f t="shared" si="56"/>
        <v>#DIV/0!</v>
      </c>
      <c r="W43" s="57" t="e">
        <f t="shared" si="56"/>
        <v>#DIV/0!</v>
      </c>
      <c r="X43" s="57" t="e">
        <f t="shared" si="56"/>
        <v>#DIV/0!</v>
      </c>
      <c r="Y43" s="57" t="e">
        <f t="shared" si="56"/>
        <v>#DIV/0!</v>
      </c>
      <c r="Z43" s="57" t="e">
        <f t="shared" si="56"/>
        <v>#DIV/0!</v>
      </c>
      <c r="AA43" s="57" t="e">
        <f t="shared" si="56"/>
        <v>#DIV/0!</v>
      </c>
      <c r="AB43" s="57" t="e">
        <f t="shared" si="56"/>
        <v>#DIV/0!</v>
      </c>
      <c r="AC43" s="57" t="e">
        <f t="shared" si="56"/>
        <v>#DIV/0!</v>
      </c>
      <c r="AD43" s="57" t="e">
        <f t="shared" si="56"/>
        <v>#DIV/0!</v>
      </c>
      <c r="AE43" s="57" t="e">
        <f t="shared" si="56"/>
        <v>#DIV/0!</v>
      </c>
      <c r="AF43" s="57" t="e">
        <f t="shared" si="56"/>
        <v>#DIV/0!</v>
      </c>
      <c r="AG43" s="57" t="e">
        <f t="shared" si="56"/>
        <v>#DIV/0!</v>
      </c>
      <c r="AH43" s="57" t="e">
        <f t="shared" si="56"/>
        <v>#DIV/0!</v>
      </c>
      <c r="AI43" s="57" t="e">
        <f t="shared" si="56"/>
        <v>#DIV/0!</v>
      </c>
      <c r="AJ43" s="57" t="e">
        <f t="shared" si="56"/>
        <v>#DIV/0!</v>
      </c>
      <c r="AK43" s="57" t="e">
        <f t="shared" si="56"/>
        <v>#DIV/0!</v>
      </c>
      <c r="AL43" s="57" t="e">
        <f t="shared" si="56"/>
        <v>#DIV/0!</v>
      </c>
      <c r="AM43" s="57" t="e">
        <f t="shared" si="56"/>
        <v>#DIV/0!</v>
      </c>
      <c r="AN43" s="57" t="e">
        <f t="shared" si="56"/>
        <v>#DIV/0!</v>
      </c>
      <c r="AO43" s="57" t="e">
        <f t="shared" si="56"/>
        <v>#DIV/0!</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c r="A44" s="18" t="s">
        <v>89</v>
      </c>
      <c r="B44" s="30"/>
      <c r="C44" s="30"/>
      <c r="D44" s="30"/>
      <c r="E44" s="30"/>
      <c r="F44" s="30"/>
      <c r="G44" s="30"/>
      <c r="H44" s="30"/>
      <c r="I44" s="30"/>
      <c r="J44" s="30"/>
      <c r="K44" s="30"/>
    </row>
    <row r="45" spans="1:89">
      <c r="A45" s="17" t="s">
        <v>425</v>
      </c>
      <c r="B45" s="26">
        <f>B70*B69</f>
        <v>60039947.093599997</v>
      </c>
      <c r="C45" s="26">
        <f t="shared" ref="C45:BN45" si="58">C70*C69</f>
        <v>57575928.386400007</v>
      </c>
      <c r="D45" s="26">
        <f t="shared" si="58"/>
        <v>55222247.936800003</v>
      </c>
      <c r="E45" s="26">
        <f t="shared" si="58"/>
        <v>54462456.122400001</v>
      </c>
      <c r="F45" s="26">
        <f t="shared" si="58"/>
        <v>51485453.2896</v>
      </c>
      <c r="G45" s="26">
        <f t="shared" si="58"/>
        <v>47450808.211999997</v>
      </c>
      <c r="H45" s="26">
        <f t="shared" si="58"/>
        <v>46745647.745600007</v>
      </c>
      <c r="I45" s="26">
        <f t="shared" si="58"/>
        <v>46604585.018400006</v>
      </c>
      <c r="J45" s="26">
        <f t="shared" si="58"/>
        <v>22384730.016799998</v>
      </c>
      <c r="K45" s="26">
        <f t="shared" si="58"/>
        <v>21565616.301599998</v>
      </c>
      <c r="L45" s="26">
        <f t="shared" si="58"/>
        <v>19191886.1032</v>
      </c>
      <c r="M45" s="26">
        <f t="shared" si="58"/>
        <v>16947865.640000001</v>
      </c>
      <c r="N45" s="26">
        <f t="shared" si="58"/>
        <v>13588754.308</v>
      </c>
      <c r="O45" s="26">
        <f t="shared" si="58"/>
        <v>8445850.568</v>
      </c>
      <c r="P45" s="26">
        <f t="shared" si="58"/>
        <v>4976777.0512000006</v>
      </c>
      <c r="Q45" s="26">
        <f t="shared" si="58"/>
        <v>0</v>
      </c>
      <c r="R45" s="26">
        <f t="shared" si="58"/>
        <v>0</v>
      </c>
      <c r="S45" s="26">
        <f t="shared" si="58"/>
        <v>0</v>
      </c>
      <c r="T45" s="26">
        <f t="shared" si="58"/>
        <v>258644345.72240001</v>
      </c>
      <c r="U45" s="26">
        <f t="shared" si="58"/>
        <v>254588088.76400003</v>
      </c>
      <c r="V45" s="26">
        <f t="shared" si="58"/>
        <v>249874073.30880001</v>
      </c>
      <c r="W45" s="26">
        <f t="shared" si="58"/>
        <v>240666568.51040003</v>
      </c>
      <c r="X45" s="26">
        <f t="shared" si="58"/>
        <v>238381810.88560003</v>
      </c>
      <c r="Y45" s="26">
        <f t="shared" si="58"/>
        <v>234599163.49360001</v>
      </c>
      <c r="Z45" s="26">
        <f t="shared" si="58"/>
        <v>227850298.71200001</v>
      </c>
      <c r="AA45" s="26">
        <f t="shared" si="58"/>
        <v>220630262.40080002</v>
      </c>
      <c r="AB45" s="26">
        <f t="shared" si="58"/>
        <v>219628827.50080001</v>
      </c>
      <c r="AC45" s="26">
        <f t="shared" si="58"/>
        <v>216356663.37919998</v>
      </c>
      <c r="AD45" s="26">
        <f t="shared" si="58"/>
        <v>213812542.89520001</v>
      </c>
      <c r="AE45" s="26">
        <f t="shared" si="58"/>
        <v>206928883.31599998</v>
      </c>
      <c r="AF45" s="26">
        <f t="shared" si="58"/>
        <v>204737711.10800001</v>
      </c>
      <c r="AG45" s="26">
        <f t="shared" si="58"/>
        <v>202611177.79360002</v>
      </c>
      <c r="AH45" s="26">
        <f t="shared" si="58"/>
        <v>30755427.746399999</v>
      </c>
      <c r="AI45" s="26">
        <f t="shared" si="58"/>
        <v>24957168.0616</v>
      </c>
      <c r="AJ45" s="26">
        <f t="shared" si="58"/>
        <v>21286463.486400001</v>
      </c>
      <c r="AK45" s="26">
        <f t="shared" si="58"/>
        <v>14044797.321600001</v>
      </c>
      <c r="AL45" s="26">
        <f t="shared" si="58"/>
        <v>10362387.5712</v>
      </c>
      <c r="AM45" s="26">
        <f t="shared" si="58"/>
        <v>0</v>
      </c>
      <c r="AN45" s="26">
        <f t="shared" si="58"/>
        <v>0</v>
      </c>
      <c r="AO45" s="26">
        <f t="shared" si="58"/>
        <v>0</v>
      </c>
      <c r="AP45" s="26">
        <f t="shared" si="58"/>
        <v>8520958.1063999999</v>
      </c>
      <c r="AQ45" s="26">
        <f t="shared" si="58"/>
        <v>0</v>
      </c>
      <c r="AR45" s="26">
        <f t="shared" si="58"/>
        <v>0</v>
      </c>
      <c r="AS45" s="26">
        <f t="shared" si="58"/>
        <v>0</v>
      </c>
      <c r="AT45" s="26">
        <f t="shared" si="58"/>
        <v>444591774.86400002</v>
      </c>
      <c r="AU45" s="26">
        <f t="shared" si="58"/>
        <v>423534809.7568</v>
      </c>
      <c r="AV45" s="26">
        <f t="shared" si="58"/>
        <v>422144037.27360004</v>
      </c>
      <c r="AW45" s="26">
        <f t="shared" si="58"/>
        <v>414548259.53280002</v>
      </c>
      <c r="AX45" s="26">
        <f t="shared" si="58"/>
        <v>400952932.29360002</v>
      </c>
      <c r="AY45" s="26">
        <f t="shared" si="58"/>
        <v>385622095.35839999</v>
      </c>
      <c r="AZ45" s="26">
        <f t="shared" si="58"/>
        <v>400827048.26480007</v>
      </c>
      <c r="BA45" s="26">
        <f t="shared" si="58"/>
        <v>391624766.44319999</v>
      </c>
      <c r="BB45" s="26">
        <f t="shared" si="58"/>
        <v>391085626.27279997</v>
      </c>
      <c r="BC45" s="26">
        <f t="shared" si="58"/>
        <v>384608117.00480002</v>
      </c>
      <c r="BD45" s="26">
        <f t="shared" si="58"/>
        <v>405505682.19599998</v>
      </c>
      <c r="BE45" s="26">
        <f t="shared" si="58"/>
        <v>394140284.00879997</v>
      </c>
      <c r="BF45" s="26">
        <f t="shared" si="58"/>
        <v>384663963.43519998</v>
      </c>
      <c r="BG45" s="26">
        <f t="shared" si="58"/>
        <v>380111902.24080002</v>
      </c>
      <c r="BH45" s="26">
        <f t="shared" si="58"/>
        <v>384468292.47120005</v>
      </c>
      <c r="BI45" s="26">
        <f t="shared" si="58"/>
        <v>371850693.78240001</v>
      </c>
      <c r="BJ45" s="26">
        <f t="shared" si="58"/>
        <v>359115398.43040001</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c r="A46" s="63" t="s">
        <v>426</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c r="A47" s="20" t="s">
        <v>427</v>
      </c>
      <c r="B47" s="28">
        <f>B42-B45</f>
        <v>25729513.986400031</v>
      </c>
      <c r="C47" s="28">
        <f t="shared" ref="C47:BN47" si="62">C42-C45</f>
        <v>-16580719.736399993</v>
      </c>
      <c r="D47" s="28">
        <f t="shared" si="62"/>
        <v>-52057845.946800001</v>
      </c>
      <c r="E47" s="28">
        <f t="shared" si="62"/>
        <v>5755927.1176000014</v>
      </c>
      <c r="F47" s="28">
        <f t="shared" si="62"/>
        <v>-19574866.819600012</v>
      </c>
      <c r="G47" s="28">
        <f t="shared" si="62"/>
        <v>-27693733.942000002</v>
      </c>
      <c r="H47" s="28">
        <f t="shared" si="62"/>
        <v>-44984015.655600011</v>
      </c>
      <c r="I47" s="28">
        <f t="shared" si="62"/>
        <v>15152286.341600001</v>
      </c>
      <c r="J47" s="28">
        <f t="shared" si="62"/>
        <v>17504365.453199994</v>
      </c>
      <c r="K47" s="28">
        <f t="shared" si="62"/>
        <v>8086670.4684000053</v>
      </c>
      <c r="L47" s="28">
        <f t="shared" si="62"/>
        <v>-13219493.643200001</v>
      </c>
      <c r="M47" s="28">
        <f t="shared" si="62"/>
        <v>40470986.770000011</v>
      </c>
      <c r="N47" s="28">
        <f t="shared" si="62"/>
        <v>27716479.982000001</v>
      </c>
      <c r="O47" s="28">
        <f t="shared" si="62"/>
        <v>63591340.971999988</v>
      </c>
      <c r="P47" s="28">
        <f t="shared" si="62"/>
        <v>75194476.568799987</v>
      </c>
      <c r="Q47" s="28">
        <f t="shared" si="62"/>
        <v>68096226.200000018</v>
      </c>
      <c r="R47" s="28">
        <f t="shared" si="62"/>
        <v>26785364.940000001</v>
      </c>
      <c r="S47" s="28">
        <f t="shared" si="62"/>
        <v>0</v>
      </c>
      <c r="T47" s="28">
        <f t="shared" si="62"/>
        <v>-269710904.3624</v>
      </c>
      <c r="U47" s="28">
        <f t="shared" si="62"/>
        <v>-338622543.15400004</v>
      </c>
      <c r="V47" s="28">
        <f t="shared" si="62"/>
        <v>-313762176.04879999</v>
      </c>
      <c r="W47" s="28">
        <f t="shared" si="62"/>
        <v>-272983141.29040003</v>
      </c>
      <c r="X47" s="28">
        <f t="shared" si="62"/>
        <v>-250043489.63560003</v>
      </c>
      <c r="Y47" s="28">
        <f t="shared" si="62"/>
        <v>-305136449.58360004</v>
      </c>
      <c r="Z47" s="28">
        <f t="shared" si="62"/>
        <v>-290941711.84200001</v>
      </c>
      <c r="AA47" s="28">
        <f t="shared" si="62"/>
        <v>-257253242.97080001</v>
      </c>
      <c r="AB47" s="28">
        <f t="shared" si="62"/>
        <v>-230274872.03080001</v>
      </c>
      <c r="AC47" s="28">
        <f t="shared" si="62"/>
        <v>-278715939.17919999</v>
      </c>
      <c r="AD47" s="28">
        <f t="shared" si="62"/>
        <v>-268605924.7852</v>
      </c>
      <c r="AE47" s="28">
        <f t="shared" si="62"/>
        <v>-236323036.25599998</v>
      </c>
      <c r="AF47" s="28">
        <f t="shared" si="62"/>
        <v>-214445650.69800001</v>
      </c>
      <c r="AG47" s="28">
        <f t="shared" si="62"/>
        <v>-281214258.09360003</v>
      </c>
      <c r="AH47" s="28">
        <f t="shared" si="62"/>
        <v>-96801167.886399999</v>
      </c>
      <c r="AI47" s="28">
        <f t="shared" si="62"/>
        <v>-60640981.471599996</v>
      </c>
      <c r="AJ47" s="28">
        <f t="shared" si="62"/>
        <v>-29580807.5964</v>
      </c>
      <c r="AK47" s="28">
        <f t="shared" si="62"/>
        <v>-60231249.3116</v>
      </c>
      <c r="AL47" s="28">
        <f t="shared" si="62"/>
        <v>-46185636.591200002</v>
      </c>
      <c r="AM47" s="28">
        <f t="shared" si="62"/>
        <v>-35733277.469999999</v>
      </c>
      <c r="AN47" s="28">
        <f t="shared" si="62"/>
        <v>-19545940.589999996</v>
      </c>
      <c r="AO47" s="28">
        <f t="shared" si="62"/>
        <v>-287177.33000000007</v>
      </c>
      <c r="AP47" s="28">
        <f t="shared" si="62"/>
        <v>-36136129.286399998</v>
      </c>
      <c r="AQ47" s="28">
        <f t="shared" si="62"/>
        <v>-31120172.960000001</v>
      </c>
      <c r="AR47" s="28">
        <f t="shared" si="62"/>
        <v>-16785423.550000001</v>
      </c>
      <c r="AS47" s="28">
        <f t="shared" si="62"/>
        <v>0</v>
      </c>
      <c r="AT47" s="28">
        <f t="shared" si="62"/>
        <v>-551211614.52399993</v>
      </c>
      <c r="AU47" s="28">
        <f t="shared" si="62"/>
        <v>-496320397.45679998</v>
      </c>
      <c r="AV47" s="28">
        <f t="shared" si="62"/>
        <v>-445505388.23360002</v>
      </c>
      <c r="AW47" s="28">
        <f t="shared" si="62"/>
        <v>-398055066.47280002</v>
      </c>
      <c r="AX47" s="28">
        <f t="shared" si="62"/>
        <v>-377567714.57360005</v>
      </c>
      <c r="AY47" s="28">
        <f t="shared" si="62"/>
        <v>-387409290.14840001</v>
      </c>
      <c r="AZ47" s="28">
        <f t="shared" si="62"/>
        <v>-411743268.77480006</v>
      </c>
      <c r="BA47" s="28">
        <f t="shared" si="62"/>
        <v>-544316182.85319996</v>
      </c>
      <c r="BB47" s="28">
        <f t="shared" si="62"/>
        <v>-531683858.44279993</v>
      </c>
      <c r="BC47" s="28">
        <f t="shared" si="62"/>
        <v>-454875507.8448</v>
      </c>
      <c r="BD47" s="28">
        <f t="shared" si="62"/>
        <v>-417115730.546</v>
      </c>
      <c r="BE47" s="28">
        <f t="shared" si="62"/>
        <v>-439952204.87879997</v>
      </c>
      <c r="BF47" s="28">
        <f t="shared" si="62"/>
        <v>-417533251.67519999</v>
      </c>
      <c r="BG47" s="28">
        <f t="shared" si="62"/>
        <v>-398320315.3308</v>
      </c>
      <c r="BH47" s="28">
        <f t="shared" si="62"/>
        <v>-401893920.58120006</v>
      </c>
      <c r="BI47" s="28">
        <f t="shared" si="62"/>
        <v>-407190740.5424</v>
      </c>
      <c r="BJ47" s="28">
        <f t="shared" si="62"/>
        <v>-355900380.39039999</v>
      </c>
      <c r="BK47" s="28">
        <f t="shared" si="62"/>
        <v>-329089631.60519999</v>
      </c>
      <c r="BL47" s="28">
        <f t="shared" si="62"/>
        <v>-356588493.17480004</v>
      </c>
      <c r="BM47" s="28">
        <f t="shared" si="62"/>
        <v>-406912335.89759994</v>
      </c>
      <c r="BN47" s="28">
        <f t="shared" si="62"/>
        <v>-369068809.83399999</v>
      </c>
      <c r="BO47" s="28">
        <f t="shared" ref="BO47:CJ47" si="63">BO42-BO45</f>
        <v>-337805848.72119999</v>
      </c>
      <c r="BP47" s="28">
        <f t="shared" si="63"/>
        <v>-329201658.89320004</v>
      </c>
      <c r="BQ47" s="28">
        <f t="shared" si="63"/>
        <v>-381930577.79279995</v>
      </c>
      <c r="BR47" s="28">
        <f t="shared" si="63"/>
        <v>-316699207.17080003</v>
      </c>
      <c r="BS47" s="28">
        <f t="shared" si="63"/>
        <v>-281528970.51560003</v>
      </c>
      <c r="BT47" s="28">
        <f t="shared" si="63"/>
        <v>-290105071.28399998</v>
      </c>
      <c r="BU47" s="28">
        <f t="shared" si="63"/>
        <v>-336479452.12200004</v>
      </c>
      <c r="BV47" s="28">
        <f t="shared" si="63"/>
        <v>-228928071.36839998</v>
      </c>
      <c r="BW47" s="28">
        <f t="shared" si="63"/>
        <v>-127930477.604</v>
      </c>
      <c r="BX47" s="28">
        <f t="shared" si="63"/>
        <v>-118210057.0932</v>
      </c>
      <c r="BY47" s="28">
        <f t="shared" si="63"/>
        <v>-86922966.762400001</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row r="50" spans="1:89" s="2" customFormat="1" ht="14.25" thickBot="1">
      <c r="A50" s="17"/>
      <c r="B50" s="1"/>
      <c r="C50" s="1"/>
      <c r="D50" s="1"/>
      <c r="E50" s="1"/>
      <c r="F50" s="1"/>
      <c r="G50" s="1"/>
      <c r="H50" s="1"/>
      <c r="I50" s="1"/>
      <c r="J50" s="1"/>
      <c r="K50"/>
    </row>
    <row r="51" spans="1:89" s="56" customFormat="1">
      <c r="A51" s="55" t="s">
        <v>104</v>
      </c>
      <c r="B51" s="40">
        <v>20180930</v>
      </c>
      <c r="C51" s="40">
        <v>20180630</v>
      </c>
      <c r="D51" s="40">
        <v>20180331</v>
      </c>
      <c r="E51" s="40">
        <v>20171231</v>
      </c>
      <c r="F51" s="40">
        <v>20170930</v>
      </c>
      <c r="G51" s="40">
        <v>20170630</v>
      </c>
      <c r="H51" s="40">
        <v>20170331</v>
      </c>
      <c r="I51" s="40">
        <v>20161231</v>
      </c>
      <c r="J51" s="40">
        <v>20160930</v>
      </c>
      <c r="K51" s="40">
        <v>20160630</v>
      </c>
      <c r="L51" s="40">
        <v>20160331</v>
      </c>
      <c r="M51" s="40">
        <v>20151231</v>
      </c>
      <c r="N51" s="40">
        <v>20150930</v>
      </c>
      <c r="O51" s="40">
        <v>20141231</v>
      </c>
      <c r="P51" s="40">
        <v>20131231</v>
      </c>
      <c r="Q51" s="40">
        <v>20121231</v>
      </c>
      <c r="R51" s="40">
        <v>20111231</v>
      </c>
      <c r="S51" s="40">
        <v>19700101</v>
      </c>
      <c r="T51" s="40">
        <v>20140331</v>
      </c>
      <c r="U51" s="40">
        <v>20131231</v>
      </c>
      <c r="V51" s="40">
        <v>20130930</v>
      </c>
      <c r="W51" s="40">
        <v>20130630</v>
      </c>
      <c r="X51" s="40">
        <v>20130331</v>
      </c>
      <c r="Y51" s="40">
        <v>20121231</v>
      </c>
      <c r="Z51" s="40">
        <v>20120930</v>
      </c>
      <c r="AA51" s="40">
        <v>20120630</v>
      </c>
      <c r="AB51" s="40">
        <v>20120331</v>
      </c>
      <c r="AC51" s="40">
        <v>20111231</v>
      </c>
      <c r="AD51" s="40">
        <v>20110930</v>
      </c>
      <c r="AE51" s="40">
        <v>20110630</v>
      </c>
      <c r="AF51" s="40">
        <v>20110331</v>
      </c>
      <c r="AG51" s="40">
        <v>20101231</v>
      </c>
      <c r="AH51" s="40">
        <v>20100930</v>
      </c>
      <c r="AI51" s="40">
        <v>20100630</v>
      </c>
      <c r="AJ51" s="40">
        <v>20100331</v>
      </c>
      <c r="AK51" s="40">
        <v>20091231</v>
      </c>
      <c r="AL51" s="40">
        <v>20090930</v>
      </c>
      <c r="AM51" s="40">
        <v>20081231</v>
      </c>
      <c r="AN51" s="40">
        <v>20071231</v>
      </c>
      <c r="AO51" s="40">
        <v>19700101</v>
      </c>
      <c r="AP51" s="40">
        <v>20080930</v>
      </c>
      <c r="AQ51" s="40">
        <v>20071231</v>
      </c>
      <c r="AR51" s="40">
        <v>20061231</v>
      </c>
      <c r="AS51" s="40">
        <v>19700101</v>
      </c>
      <c r="AT51" s="40">
        <v>20070930</v>
      </c>
      <c r="AU51" s="40">
        <v>20070630</v>
      </c>
      <c r="AV51" s="40">
        <v>20070331</v>
      </c>
      <c r="AW51" s="40">
        <v>20061231</v>
      </c>
      <c r="AX51" s="40">
        <v>20060930</v>
      </c>
      <c r="AY51" s="40">
        <v>20060630</v>
      </c>
      <c r="AZ51" s="40">
        <v>20060331</v>
      </c>
      <c r="BA51" s="40">
        <v>20051231</v>
      </c>
      <c r="BB51" s="40">
        <v>20050930</v>
      </c>
      <c r="BC51" s="40">
        <v>20050630</v>
      </c>
      <c r="BD51" s="40">
        <v>20050331</v>
      </c>
      <c r="BE51" s="40">
        <v>20041231</v>
      </c>
      <c r="BF51" s="40">
        <v>20040930</v>
      </c>
      <c r="BG51" s="40">
        <v>20040630</v>
      </c>
      <c r="BH51" s="40">
        <v>20040331</v>
      </c>
      <c r="BI51" s="40">
        <v>20031231</v>
      </c>
      <c r="BJ51" s="40">
        <v>20030930</v>
      </c>
      <c r="BK51" s="40">
        <v>20030630</v>
      </c>
      <c r="BL51" s="40">
        <v>20030331</v>
      </c>
      <c r="BM51" s="40">
        <v>20021231</v>
      </c>
      <c r="BN51" s="40">
        <v>20020930</v>
      </c>
      <c r="BO51" s="40">
        <v>20020630</v>
      </c>
      <c r="BP51" s="40">
        <v>20020331</v>
      </c>
      <c r="BQ51" s="40">
        <v>20011231</v>
      </c>
      <c r="BR51" s="40">
        <v>20010630</v>
      </c>
      <c r="BS51" s="40">
        <v>20001231</v>
      </c>
      <c r="BT51" s="40">
        <v>20000630</v>
      </c>
      <c r="BU51" s="40">
        <v>19991231</v>
      </c>
      <c r="BV51" s="40">
        <v>19990630</v>
      </c>
      <c r="BW51" s="40">
        <v>19981231</v>
      </c>
      <c r="BX51" s="40">
        <v>19980630</v>
      </c>
      <c r="BY51" s="40">
        <v>19971231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c r="A52" s="135" t="s">
        <v>578</v>
      </c>
      <c r="B52" s="42">
        <v>-25636</v>
      </c>
      <c r="C52" s="42">
        <v>-27718</v>
      </c>
      <c r="D52" s="42">
        <v>-35317</v>
      </c>
      <c r="E52" s="42">
        <v>-1517323.16</v>
      </c>
      <c r="F52" s="42">
        <v>-34414</v>
      </c>
      <c r="G52" s="42">
        <v>-23309</v>
      </c>
      <c r="H52" s="42">
        <v>-16814</v>
      </c>
      <c r="I52" s="42">
        <v>-1538835.87</v>
      </c>
      <c r="J52" s="42"/>
      <c r="K52" s="42"/>
      <c r="M52" s="43">
        <v>-2175588.0499999998</v>
      </c>
      <c r="AC52" s="43">
        <v>-33478269.789999999</v>
      </c>
      <c r="AG52" s="43">
        <v>-1072131.49</v>
      </c>
      <c r="AK52" s="43">
        <v>-3365474.92</v>
      </c>
      <c r="AO52" s="43">
        <v>-1255234.32</v>
      </c>
    </row>
    <row r="53" spans="1:89" s="43" customFormat="1">
      <c r="A53" s="136" t="s">
        <v>90</v>
      </c>
      <c r="B53" s="42">
        <v>217</v>
      </c>
      <c r="C53" s="42">
        <v>189</v>
      </c>
      <c r="D53" s="42"/>
      <c r="E53" s="42">
        <v>0</v>
      </c>
      <c r="F53" s="42">
        <v>0</v>
      </c>
      <c r="G53" s="42">
        <v>0</v>
      </c>
      <c r="H53" s="42">
        <v>0</v>
      </c>
      <c r="I53" s="42">
        <v>0</v>
      </c>
      <c r="J53" s="42"/>
      <c r="K53" s="42"/>
      <c r="L53" s="42"/>
      <c r="M53" s="42">
        <v>0</v>
      </c>
      <c r="N53" s="42"/>
      <c r="O53" s="42"/>
      <c r="P53" s="42"/>
      <c r="Q53" s="42"/>
      <c r="R53" s="42"/>
      <c r="S53" s="42"/>
      <c r="T53" s="42"/>
      <c r="U53" s="42"/>
      <c r="V53" s="42"/>
      <c r="W53" s="42"/>
      <c r="X53" s="42"/>
      <c r="Y53" s="42"/>
      <c r="Z53" s="42"/>
      <c r="AA53" s="42"/>
      <c r="AB53" s="42"/>
      <c r="AC53" s="42">
        <v>19981575.239999998</v>
      </c>
      <c r="AD53" s="42"/>
      <c r="AE53" s="42"/>
      <c r="AF53" s="42"/>
      <c r="AG53" s="42">
        <v>24895758</v>
      </c>
      <c r="AH53" s="42">
        <v>0</v>
      </c>
      <c r="AI53" s="42">
        <v>0</v>
      </c>
      <c r="AJ53" s="42">
        <v>0</v>
      </c>
      <c r="AK53" s="42">
        <v>528481.9</v>
      </c>
      <c r="AL53" s="42">
        <v>0</v>
      </c>
      <c r="AM53" s="42">
        <v>0</v>
      </c>
      <c r="AN53" s="42">
        <v>0</v>
      </c>
      <c r="AO53" s="42">
        <v>2114040.12</v>
      </c>
      <c r="AP53" s="42">
        <v>0</v>
      </c>
      <c r="AQ53" s="42">
        <v>0</v>
      </c>
      <c r="AR53" s="42">
        <v>0</v>
      </c>
      <c r="AS53" s="42">
        <v>0</v>
      </c>
      <c r="AT53" s="42">
        <v>0</v>
      </c>
      <c r="AU53" s="42">
        <v>0</v>
      </c>
      <c r="AV53" s="42">
        <v>0</v>
      </c>
      <c r="AW53" s="42">
        <v>0</v>
      </c>
      <c r="AX53" s="42">
        <v>0</v>
      </c>
      <c r="AY53" s="42">
        <v>0</v>
      </c>
      <c r="AZ53" s="42">
        <v>0</v>
      </c>
      <c r="BA53" s="42">
        <v>0</v>
      </c>
      <c r="BB53" s="42">
        <v>0</v>
      </c>
      <c r="BC53" s="42">
        <v>0</v>
      </c>
      <c r="BD53" s="42">
        <v>0</v>
      </c>
      <c r="BE53" s="42">
        <v>0</v>
      </c>
      <c r="BF53" s="42">
        <v>0</v>
      </c>
      <c r="BG53" s="42">
        <v>0</v>
      </c>
      <c r="BH53" s="42">
        <v>0</v>
      </c>
      <c r="BI53" s="42">
        <v>0</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c r="A54" s="136" t="s">
        <v>91</v>
      </c>
      <c r="B54" s="42">
        <v>3104</v>
      </c>
      <c r="C54" s="42">
        <v>-1424</v>
      </c>
      <c r="D54" s="42">
        <v>-340</v>
      </c>
      <c r="E54" s="42">
        <v>184791.59</v>
      </c>
      <c r="F54" s="42">
        <v>2684</v>
      </c>
      <c r="G54" s="42">
        <v>-377</v>
      </c>
      <c r="H54" s="42">
        <v>1008</v>
      </c>
      <c r="I54" s="42">
        <v>19685.75</v>
      </c>
      <c r="J54" s="42"/>
      <c r="K54" s="42"/>
      <c r="M54" s="43">
        <v>162090.01999999999</v>
      </c>
      <c r="AC54" s="43">
        <v>0</v>
      </c>
      <c r="AG54" s="43">
        <v>0</v>
      </c>
      <c r="AK54" s="43">
        <f>166.46-239.18</f>
        <v>-72.72</v>
      </c>
      <c r="AO54" s="43">
        <v>1003.32</v>
      </c>
    </row>
    <row r="55" spans="1:89" s="43" customFormat="1">
      <c r="A55" s="136" t="s">
        <v>92</v>
      </c>
      <c r="B55" s="42">
        <v>463</v>
      </c>
      <c r="C55" s="42">
        <v>603</v>
      </c>
      <c r="D55" s="42">
        <v>653</v>
      </c>
      <c r="E55" s="42">
        <v>0</v>
      </c>
      <c r="F55" s="42">
        <v>1204</v>
      </c>
      <c r="G55" s="42">
        <v>868</v>
      </c>
      <c r="H55" s="42">
        <v>644</v>
      </c>
      <c r="I55" s="42">
        <v>0</v>
      </c>
      <c r="J55" s="42"/>
      <c r="K55" s="42"/>
      <c r="M55" s="156">
        <v>0</v>
      </c>
      <c r="AC55" s="43">
        <v>331430.78000000003</v>
      </c>
      <c r="AG55" s="43">
        <v>66967.98</v>
      </c>
      <c r="AK55" s="43">
        <v>350489.64</v>
      </c>
      <c r="AO55" s="43">
        <v>286174.01</v>
      </c>
    </row>
    <row r="56" spans="1:89" s="26" customFormat="1">
      <c r="A56" s="137" t="s">
        <v>93</v>
      </c>
      <c r="B56" s="44">
        <f>SUM(B52:B55)</f>
        <v>-21852</v>
      </c>
      <c r="C56" s="44">
        <f t="shared" ref="C56:D56" si="64">SUM(C52:C55)</f>
        <v>-28350</v>
      </c>
      <c r="D56" s="44">
        <f t="shared" si="64"/>
        <v>-35004</v>
      </c>
      <c r="E56" s="44">
        <f>SUM(E52:E55)</f>
        <v>-1332531.5699999998</v>
      </c>
      <c r="F56" s="44">
        <f t="shared" ref="F56:BQ56" si="65">SUM(F52:F55)</f>
        <v>-30526</v>
      </c>
      <c r="G56" s="44">
        <f t="shared" si="65"/>
        <v>-22818</v>
      </c>
      <c r="H56" s="44">
        <f t="shared" si="65"/>
        <v>-15162</v>
      </c>
      <c r="I56" s="44">
        <f t="shared" si="65"/>
        <v>-1519150.12</v>
      </c>
      <c r="J56" s="44">
        <f t="shared" si="65"/>
        <v>0</v>
      </c>
      <c r="K56" s="44">
        <f t="shared" si="65"/>
        <v>0</v>
      </c>
      <c r="L56" s="44">
        <f t="shared" si="65"/>
        <v>0</v>
      </c>
      <c r="M56" s="44">
        <f t="shared" si="65"/>
        <v>-2013498.0299999998</v>
      </c>
      <c r="N56" s="44">
        <f t="shared" si="65"/>
        <v>0</v>
      </c>
      <c r="O56" s="44">
        <f t="shared" si="65"/>
        <v>0</v>
      </c>
      <c r="P56" s="44">
        <f t="shared" si="65"/>
        <v>0</v>
      </c>
      <c r="Q56" s="44">
        <f t="shared" si="65"/>
        <v>0</v>
      </c>
      <c r="R56" s="44">
        <f t="shared" si="65"/>
        <v>0</v>
      </c>
      <c r="S56" s="44">
        <f t="shared" si="65"/>
        <v>0</v>
      </c>
      <c r="T56" s="44">
        <f t="shared" si="65"/>
        <v>0</v>
      </c>
      <c r="U56" s="44">
        <f t="shared" si="65"/>
        <v>0</v>
      </c>
      <c r="V56" s="44">
        <f t="shared" si="65"/>
        <v>0</v>
      </c>
      <c r="W56" s="44">
        <f t="shared" si="65"/>
        <v>0</v>
      </c>
      <c r="X56" s="44">
        <f t="shared" si="65"/>
        <v>0</v>
      </c>
      <c r="Y56" s="44">
        <f t="shared" si="65"/>
        <v>0</v>
      </c>
      <c r="Z56" s="44">
        <f t="shared" si="65"/>
        <v>0</v>
      </c>
      <c r="AA56" s="44">
        <f t="shared" si="65"/>
        <v>0</v>
      </c>
      <c r="AB56" s="44">
        <f t="shared" si="65"/>
        <v>0</v>
      </c>
      <c r="AC56" s="44">
        <f t="shared" si="65"/>
        <v>-13165263.770000001</v>
      </c>
      <c r="AD56" s="44">
        <f t="shared" si="65"/>
        <v>0</v>
      </c>
      <c r="AE56" s="44">
        <f t="shared" si="65"/>
        <v>0</v>
      </c>
      <c r="AF56" s="44">
        <f t="shared" si="65"/>
        <v>0</v>
      </c>
      <c r="AG56" s="44">
        <f t="shared" si="65"/>
        <v>23890594.490000002</v>
      </c>
      <c r="AH56" s="44">
        <f t="shared" si="65"/>
        <v>0</v>
      </c>
      <c r="AI56" s="44">
        <f t="shared" si="65"/>
        <v>0</v>
      </c>
      <c r="AJ56" s="44">
        <f t="shared" si="65"/>
        <v>0</v>
      </c>
      <c r="AK56" s="44">
        <f t="shared" si="65"/>
        <v>-2486576.1</v>
      </c>
      <c r="AL56" s="44">
        <f t="shared" si="65"/>
        <v>0</v>
      </c>
      <c r="AM56" s="44">
        <f t="shared" si="65"/>
        <v>0</v>
      </c>
      <c r="AN56" s="44">
        <f t="shared" si="65"/>
        <v>0</v>
      </c>
      <c r="AO56" s="44">
        <f t="shared" si="65"/>
        <v>1145983.1299999999</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row r="58" spans="1:89" ht="27">
      <c r="A58" s="138" t="s">
        <v>97</v>
      </c>
    </row>
    <row r="59" spans="1:89">
      <c r="A59" s="22" t="s">
        <v>96</v>
      </c>
      <c r="B59" s="40">
        <v>76814420.379999995</v>
      </c>
      <c r="C59" s="40">
        <v>49384581.299999997</v>
      </c>
      <c r="D59" s="40">
        <v>7683657.6799999997</v>
      </c>
      <c r="E59" s="40">
        <v>76510575.469999999</v>
      </c>
      <c r="F59" s="40">
        <v>39647768.350000001</v>
      </c>
      <c r="G59" s="40">
        <v>23501789.920000002</v>
      </c>
      <c r="H59" s="40">
        <v>1763284.09</v>
      </c>
      <c r="I59" s="40">
        <v>61776557.109999999</v>
      </c>
      <c r="J59" s="40">
        <v>39889095.469999999</v>
      </c>
      <c r="K59" s="40">
        <v>29652286.77</v>
      </c>
      <c r="L59" s="40">
        <v>5972392.46</v>
      </c>
      <c r="M59" s="40">
        <v>57580942.43</v>
      </c>
      <c r="N59" s="40">
        <v>41305234.289999999</v>
      </c>
      <c r="O59" s="40">
        <v>72037191.540000007</v>
      </c>
      <c r="P59" s="40">
        <v>80171253.620000005</v>
      </c>
      <c r="Q59" s="40">
        <v>68096226.200000003</v>
      </c>
      <c r="R59" s="40">
        <v>26785364.940000001</v>
      </c>
      <c r="S59" s="40">
        <v>0</v>
      </c>
      <c r="T59" s="40">
        <v>49903211.969999999</v>
      </c>
      <c r="U59" s="40">
        <v>308762015.88</v>
      </c>
      <c r="V59" s="40">
        <v>248381792.69</v>
      </c>
      <c r="W59" s="40">
        <v>134681482.71000001</v>
      </c>
      <c r="X59" s="40">
        <v>47283092.399999999</v>
      </c>
      <c r="Y59" s="40">
        <v>256413581.34</v>
      </c>
      <c r="Z59" s="40">
        <v>217590441.66</v>
      </c>
      <c r="AA59" s="40">
        <v>127339987.77</v>
      </c>
      <c r="AB59" s="40">
        <v>40902051.520000003</v>
      </c>
      <c r="AC59" s="40">
        <v>222218569.81999999</v>
      </c>
      <c r="AD59" s="40">
        <v>190417063.77000001</v>
      </c>
      <c r="AE59" s="40">
        <v>104371319.03</v>
      </c>
      <c r="AF59" s="40">
        <v>26581666.43</v>
      </c>
      <c r="AG59" s="40">
        <v>163337928.84</v>
      </c>
      <c r="AH59" s="40">
        <v>143562053.25</v>
      </c>
      <c r="AI59" s="40">
        <v>71083807.189999998</v>
      </c>
      <c r="AJ59" s="40">
        <v>6829855.4100000001</v>
      </c>
      <c r="AK59" s="40">
        <v>88412035.549999997</v>
      </c>
      <c r="AL59" s="40">
        <v>73158587.060000002</v>
      </c>
      <c r="AM59" s="40">
        <v>67030121.880000003</v>
      </c>
      <c r="AN59" s="40">
        <v>44566733.869999997</v>
      </c>
      <c r="AO59" s="40">
        <v>0</v>
      </c>
      <c r="AP59" s="40">
        <v>65541740.990000002</v>
      </c>
      <c r="AQ59" s="40">
        <v>94048767.510000005</v>
      </c>
      <c r="AR59" s="40">
        <v>74119782.959999993</v>
      </c>
      <c r="AS59" s="40">
        <v>0</v>
      </c>
      <c r="AT59" s="26">
        <v>699068839.78999996</v>
      </c>
      <c r="AU59" s="26">
        <v>442767373.94999999</v>
      </c>
      <c r="AV59" s="26">
        <v>150436490.83000001</v>
      </c>
      <c r="AW59" s="26">
        <v>661894846.55999994</v>
      </c>
      <c r="AX59" s="26">
        <v>442220913.52999997</v>
      </c>
      <c r="AY59" s="26">
        <v>249181122.63</v>
      </c>
      <c r="AZ59" s="26">
        <v>117433380.18000001</v>
      </c>
      <c r="BA59" s="26">
        <v>408855812.80000001</v>
      </c>
      <c r="BB59" s="26">
        <v>363177252.94999999</v>
      </c>
      <c r="BC59" s="26">
        <v>282713755.29000002</v>
      </c>
      <c r="BD59" s="26">
        <v>147020050.63</v>
      </c>
      <c r="BE59" s="26">
        <v>607620845.73000002</v>
      </c>
      <c r="BF59" s="26">
        <v>495471891.30000001</v>
      </c>
      <c r="BG59" s="26">
        <v>366331659.75999999</v>
      </c>
      <c r="BH59" s="26">
        <v>161911242.52000001</v>
      </c>
      <c r="BI59" s="26">
        <v>766766029.89999998</v>
      </c>
      <c r="BJ59" s="26">
        <v>568543919.35000002</v>
      </c>
      <c r="BK59" s="26">
        <v>378714531.06</v>
      </c>
      <c r="BL59" s="26">
        <v>142874579.83000001</v>
      </c>
      <c r="BM59" s="26">
        <v>584393737.67999995</v>
      </c>
      <c r="BN59" s="26">
        <v>471720857.67000002</v>
      </c>
      <c r="BO59" s="26">
        <v>294803013.56</v>
      </c>
      <c r="BP59" s="26">
        <v>133029002.59999999</v>
      </c>
      <c r="BQ59" s="26">
        <v>504683812.25999999</v>
      </c>
      <c r="BR59" s="26">
        <v>272607143.80000001</v>
      </c>
      <c r="BS59" s="26">
        <v>360763391.07999998</v>
      </c>
      <c r="BT59" s="26">
        <v>256533748.41999999</v>
      </c>
      <c r="BU59" s="26">
        <v>431018039.22000003</v>
      </c>
      <c r="BV59" s="26">
        <v>210412674.16999999</v>
      </c>
      <c r="BW59" s="26">
        <v>5992842.8899999997</v>
      </c>
      <c r="BX59" s="26">
        <v>-13617866.6</v>
      </c>
      <c r="BY59" s="26">
        <v>76540885.859999999</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c r="A60" s="22" t="s">
        <v>95</v>
      </c>
      <c r="B60" s="40">
        <v>6508078.5800000001</v>
      </c>
      <c r="C60" s="40">
        <v>3748871.58</v>
      </c>
      <c r="D60" s="40">
        <v>-18826.27</v>
      </c>
      <c r="E60" s="40">
        <v>8334335.4900000002</v>
      </c>
      <c r="F60" s="40">
        <v>2363433.31</v>
      </c>
      <c r="G60" s="40">
        <v>1380485.11</v>
      </c>
      <c r="H60" s="40">
        <v>-14300.65</v>
      </c>
      <c r="I60" s="40">
        <v>3581556.19</v>
      </c>
      <c r="J60" s="40">
        <v>780754.99</v>
      </c>
      <c r="K60" s="40">
        <v>366939.61</v>
      </c>
      <c r="L60" s="40">
        <v>269908.40000000002</v>
      </c>
      <c r="M60" s="40">
        <v>7051514.8700000001</v>
      </c>
      <c r="N60" s="40">
        <v>5313177.87</v>
      </c>
      <c r="O60" s="40">
        <v>10188018.050000001</v>
      </c>
      <c r="P60" s="40">
        <v>10649520.369999999</v>
      </c>
      <c r="Q60" s="40">
        <v>9427984.0099999998</v>
      </c>
      <c r="R60" s="40">
        <v>3872245.15</v>
      </c>
      <c r="S60" s="40">
        <v>0</v>
      </c>
      <c r="T60" s="40">
        <v>16569196.75</v>
      </c>
      <c r="U60" s="40">
        <v>109700428.54000001</v>
      </c>
      <c r="V60" s="40">
        <v>82490597.519999996</v>
      </c>
      <c r="W60" s="40">
        <v>44662484.310000002</v>
      </c>
      <c r="X60" s="40">
        <v>16333298.35</v>
      </c>
      <c r="Y60" s="40">
        <v>84785699.969999999</v>
      </c>
      <c r="Z60" s="40">
        <v>73269941.060000002</v>
      </c>
      <c r="AA60" s="40">
        <v>42820859.350000001</v>
      </c>
      <c r="AB60" s="40">
        <v>13888230.99</v>
      </c>
      <c r="AC60" s="40">
        <v>75193108.790000007</v>
      </c>
      <c r="AD60" s="40">
        <v>63604262.079999998</v>
      </c>
      <c r="AE60" s="40">
        <v>34904537.149999999</v>
      </c>
      <c r="AF60" s="40">
        <v>11329633.439999999</v>
      </c>
      <c r="AG60" s="40">
        <v>54645517.829999998</v>
      </c>
      <c r="AH60" s="40">
        <v>47766560.390000001</v>
      </c>
      <c r="AI60" s="40">
        <v>23620022.050000001</v>
      </c>
      <c r="AJ60" s="40">
        <v>2916288.67</v>
      </c>
      <c r="AK60" s="40">
        <v>29071584.789999999</v>
      </c>
      <c r="AL60" s="40">
        <v>24016804.120000001</v>
      </c>
      <c r="AM60" s="40">
        <v>23304500.23</v>
      </c>
      <c r="AN60" s="40">
        <v>10761251.369999999</v>
      </c>
      <c r="AO60" s="40">
        <v>0</v>
      </c>
      <c r="AP60" s="40">
        <v>26626139.120000001</v>
      </c>
      <c r="AQ60" s="40">
        <v>30777710.170000002</v>
      </c>
      <c r="AR60" s="40">
        <v>17015148.760000002</v>
      </c>
      <c r="AS60" s="40">
        <v>0</v>
      </c>
      <c r="AT60" s="26">
        <v>132415189.92</v>
      </c>
      <c r="AU60" s="26">
        <v>84352733.560000002</v>
      </c>
      <c r="AV60" s="26">
        <v>29650309.149999999</v>
      </c>
      <c r="AW60" s="26">
        <v>112159737.02</v>
      </c>
      <c r="AX60" s="26">
        <v>68131511.010000005</v>
      </c>
      <c r="AY60" s="26">
        <v>41356766.380000003</v>
      </c>
      <c r="AZ60" s="26">
        <v>21261539.25</v>
      </c>
      <c r="BA60" s="26">
        <v>108609995.86</v>
      </c>
      <c r="BB60" s="26">
        <v>94004327.269999996</v>
      </c>
      <c r="BC60" s="26">
        <v>67862554.450000003</v>
      </c>
      <c r="BD60" s="26">
        <v>28974955.960000001</v>
      </c>
      <c r="BE60" s="26">
        <v>132468882.01000001</v>
      </c>
      <c r="BF60" s="26">
        <v>93637200.370000005</v>
      </c>
      <c r="BG60" s="26">
        <v>65867600.789999999</v>
      </c>
      <c r="BH60" s="26">
        <v>32955130.91</v>
      </c>
      <c r="BI60" s="26">
        <v>155946328.93000001</v>
      </c>
      <c r="BJ60" s="26">
        <v>108366137.34</v>
      </c>
      <c r="BK60" s="26">
        <v>68867283.900000006</v>
      </c>
      <c r="BL60" s="26">
        <v>28006866.879999999</v>
      </c>
      <c r="BM60" s="26">
        <v>143668257.24000001</v>
      </c>
      <c r="BN60" s="26">
        <v>98765977.599999994</v>
      </c>
      <c r="BO60" s="26">
        <v>64164786.920000002</v>
      </c>
      <c r="BP60" s="26">
        <v>25321619.559999999</v>
      </c>
      <c r="BQ60" s="26">
        <v>113460021.93000001</v>
      </c>
      <c r="BR60" s="26">
        <v>52431401.840000004</v>
      </c>
      <c r="BS60" s="26">
        <v>100791733.87</v>
      </c>
      <c r="BT60" s="26">
        <v>47229977.799999997</v>
      </c>
      <c r="BU60" s="26">
        <v>97455708.069999993</v>
      </c>
      <c r="BV60" s="26">
        <v>39232814.829999998</v>
      </c>
      <c r="BW60" s="26">
        <v>2796995.65</v>
      </c>
      <c r="BX60" s="26">
        <v>0</v>
      </c>
      <c r="BY60" s="26">
        <v>8176697.29</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c r="A61" s="22" t="s">
        <v>94</v>
      </c>
      <c r="B61" s="40">
        <v>83322498.959999993</v>
      </c>
      <c r="C61" s="40">
        <v>53133452.880000003</v>
      </c>
      <c r="D61" s="40">
        <v>7664831.4100000001</v>
      </c>
      <c r="E61" s="40">
        <v>84844910.959999993</v>
      </c>
      <c r="F61" s="40">
        <v>42011201.659999996</v>
      </c>
      <c r="G61" s="40">
        <v>24882275.030000001</v>
      </c>
      <c r="H61" s="40">
        <v>1748983.44</v>
      </c>
      <c r="I61" s="40">
        <v>65358113.299999997</v>
      </c>
      <c r="J61" s="40">
        <v>40669850.460000001</v>
      </c>
      <c r="K61" s="40">
        <v>30019226.379999999</v>
      </c>
      <c r="L61" s="40">
        <v>6242300.8600000003</v>
      </c>
      <c r="M61" s="40">
        <v>64632457.299999997</v>
      </c>
      <c r="N61" s="40">
        <v>46618412.159999996</v>
      </c>
      <c r="O61" s="40">
        <v>82225209.590000004</v>
      </c>
      <c r="P61" s="40">
        <v>90820773.989999995</v>
      </c>
      <c r="Q61" s="40">
        <v>77524210.209999993</v>
      </c>
      <c r="R61" s="40">
        <v>30657610.09</v>
      </c>
      <c r="S61" s="40">
        <v>0</v>
      </c>
      <c r="T61" s="40">
        <v>66472408.719999999</v>
      </c>
      <c r="U61" s="40">
        <v>418462444.42000002</v>
      </c>
      <c r="V61" s="40">
        <v>330872390.20999998</v>
      </c>
      <c r="W61" s="40">
        <v>179343967.02000001</v>
      </c>
      <c r="X61" s="40">
        <v>63616390.75</v>
      </c>
      <c r="Y61" s="40">
        <v>341199281.31</v>
      </c>
      <c r="Z61" s="40">
        <v>290860382.72000003</v>
      </c>
      <c r="AA61" s="40">
        <v>170160847.12</v>
      </c>
      <c r="AB61" s="40">
        <v>54790282.509999998</v>
      </c>
      <c r="AC61" s="40">
        <v>297411678.61000001</v>
      </c>
      <c r="AD61" s="40">
        <v>254021325.84999999</v>
      </c>
      <c r="AE61" s="40">
        <v>139275856.18000001</v>
      </c>
      <c r="AF61" s="40">
        <v>37911299.869999997</v>
      </c>
      <c r="AG61" s="40">
        <v>217983446.66999999</v>
      </c>
      <c r="AH61" s="40">
        <v>191328613.63999999</v>
      </c>
      <c r="AI61" s="40">
        <v>94703829.239999995</v>
      </c>
      <c r="AJ61" s="40">
        <v>9746144.0800000001</v>
      </c>
      <c r="AK61" s="40">
        <v>117483620.34</v>
      </c>
      <c r="AL61" s="40">
        <v>97175391.180000007</v>
      </c>
      <c r="AM61" s="40">
        <v>90334622.109999999</v>
      </c>
      <c r="AN61" s="40">
        <v>55327985.240000002</v>
      </c>
      <c r="AO61" s="40">
        <v>0</v>
      </c>
      <c r="AP61" s="40">
        <v>92167880.109999999</v>
      </c>
      <c r="AQ61" s="40">
        <v>124826477.68000001</v>
      </c>
      <c r="AR61" s="40">
        <v>91134931.719999999</v>
      </c>
      <c r="AS61" s="40">
        <v>0</v>
      </c>
      <c r="AT61" s="26">
        <v>831484029.71000004</v>
      </c>
      <c r="AU61" s="26">
        <v>527120107.50999999</v>
      </c>
      <c r="AV61" s="26">
        <v>180086799.97999999</v>
      </c>
      <c r="AW61" s="26">
        <v>774054583.58000004</v>
      </c>
      <c r="AX61" s="26">
        <v>510352424.54000002</v>
      </c>
      <c r="AY61" s="26">
        <v>290537889.00999999</v>
      </c>
      <c r="AZ61" s="26">
        <v>138694919.43000001</v>
      </c>
      <c r="BA61" s="26">
        <v>517465808.66000003</v>
      </c>
      <c r="BB61" s="26">
        <v>457181580.22000003</v>
      </c>
      <c r="BC61" s="26">
        <v>350576309.74000001</v>
      </c>
      <c r="BD61" s="26">
        <v>175995006.59</v>
      </c>
      <c r="BE61" s="26">
        <v>740089727.74000001</v>
      </c>
      <c r="BF61" s="26">
        <v>589109091.66999996</v>
      </c>
      <c r="BG61" s="26">
        <v>432199260.55000001</v>
      </c>
      <c r="BH61" s="26">
        <v>194866373.43000001</v>
      </c>
      <c r="BI61" s="26">
        <v>922712358.83000004</v>
      </c>
      <c r="BJ61" s="26">
        <v>676910056.69000006</v>
      </c>
      <c r="BK61" s="26">
        <v>447581814.95999998</v>
      </c>
      <c r="BL61" s="26">
        <v>170881446.71000001</v>
      </c>
      <c r="BM61" s="26">
        <v>728061994.91999996</v>
      </c>
      <c r="BN61" s="26">
        <v>570486835.26999998</v>
      </c>
      <c r="BO61" s="26">
        <v>358967800.48000002</v>
      </c>
      <c r="BP61" s="26">
        <v>158350622.16</v>
      </c>
      <c r="BQ61" s="26">
        <v>618143834.19000006</v>
      </c>
      <c r="BR61" s="26">
        <v>325038545.63999999</v>
      </c>
      <c r="BS61" s="26">
        <v>461555124.94999999</v>
      </c>
      <c r="BT61" s="26">
        <v>303763726.22000003</v>
      </c>
      <c r="BU61" s="26">
        <v>528473747.29000002</v>
      </c>
      <c r="BV61" s="26">
        <v>249645489</v>
      </c>
      <c r="BW61" s="26">
        <v>8789838.5399999991</v>
      </c>
      <c r="BX61" s="26">
        <v>-13617866.6</v>
      </c>
      <c r="BY61" s="26">
        <v>84717583.150000006</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c r="A62" s="22"/>
      <c r="B62" s="4"/>
      <c r="C62" s="4"/>
      <c r="D62" s="4"/>
      <c r="E62" s="164"/>
      <c r="F62" s="164"/>
      <c r="G62" s="164"/>
      <c r="H62" s="164"/>
      <c r="I62" s="164"/>
      <c r="J62" s="164"/>
      <c r="K62" s="164"/>
      <c r="L62" s="164"/>
      <c r="M62" s="164"/>
      <c r="N62" s="164"/>
      <c r="O62" s="164"/>
      <c r="P62" s="164"/>
      <c r="Q62" s="164"/>
      <c r="R62" s="164"/>
      <c r="S62" s="164"/>
      <c r="T62" s="164"/>
      <c r="U62" s="164"/>
      <c r="V62" s="164"/>
      <c r="W62" s="164"/>
      <c r="X62" s="164"/>
      <c r="Y62" s="164"/>
      <c r="Z62" s="164"/>
      <c r="AA62" s="164"/>
      <c r="AB62" s="164"/>
      <c r="AC62" s="164"/>
      <c r="AD62" s="164"/>
      <c r="AE62" s="164"/>
      <c r="AF62" s="164"/>
      <c r="AG62" s="164"/>
      <c r="AH62" s="164"/>
      <c r="AI62" s="164"/>
      <c r="AJ62" s="164"/>
      <c r="AK62" s="164"/>
      <c r="AL62" s="164"/>
      <c r="AM62" s="164"/>
      <c r="AN62" s="164"/>
      <c r="AO62" s="164"/>
      <c r="AP62" s="164"/>
      <c r="AQ62" s="164"/>
      <c r="AR62" s="164"/>
      <c r="AS62" s="164"/>
      <c r="AT62" s="164"/>
      <c r="AU62" s="164"/>
      <c r="AV62" s="164"/>
      <c r="AW62" s="164"/>
      <c r="AX62" s="164"/>
      <c r="AY62" s="164"/>
      <c r="AZ62" s="164"/>
      <c r="BA62" s="164"/>
      <c r="BB62" s="164"/>
      <c r="BC62" s="164"/>
      <c r="BD62" s="164"/>
      <c r="BE62" s="164"/>
      <c r="BF62" s="164"/>
      <c r="BG62" s="164"/>
      <c r="BH62" s="164"/>
      <c r="BI62" s="164"/>
      <c r="BJ62" s="164"/>
      <c r="BK62" s="164"/>
      <c r="BL62" s="164"/>
      <c r="BM62" s="164"/>
      <c r="BN62" s="164"/>
      <c r="BO62" s="164"/>
      <c r="BP62" s="164"/>
      <c r="BQ62" s="164"/>
      <c r="BR62" s="164"/>
      <c r="BS62" s="164"/>
      <c r="BT62" s="164"/>
      <c r="BU62" s="164"/>
      <c r="BV62" s="164"/>
      <c r="BW62" s="164"/>
      <c r="BX62" s="164"/>
      <c r="BY62" s="164"/>
      <c r="BZ62" s="164"/>
      <c r="CA62" s="164"/>
      <c r="CB62" s="164"/>
      <c r="CC62" s="164"/>
      <c r="CD62" s="164"/>
      <c r="CE62" s="164"/>
      <c r="CF62" s="164"/>
      <c r="CG62" s="164"/>
      <c r="CH62" s="164"/>
      <c r="CI62" s="164"/>
      <c r="CJ62" s="164"/>
      <c r="CK62" s="164"/>
    </row>
    <row r="65" spans="1:89">
      <c r="A65" s="22" t="s">
        <v>98</v>
      </c>
      <c r="B65" s="40">
        <v>11492762.449999999</v>
      </c>
      <c r="C65" s="40">
        <v>7805487.79</v>
      </c>
      <c r="D65" s="40">
        <v>1095731.27</v>
      </c>
      <c r="E65" s="40">
        <v>12183852.58</v>
      </c>
      <c r="F65" s="40">
        <v>0</v>
      </c>
      <c r="G65" s="40">
        <v>0</v>
      </c>
      <c r="H65" s="40">
        <v>0</v>
      </c>
      <c r="I65" s="40">
        <v>0</v>
      </c>
      <c r="J65" s="40">
        <v>0</v>
      </c>
      <c r="K65" s="40">
        <v>0</v>
      </c>
      <c r="L65" s="40">
        <v>0</v>
      </c>
      <c r="M65" s="40">
        <v>0</v>
      </c>
      <c r="N65" s="40">
        <v>0</v>
      </c>
      <c r="O65" s="40">
        <v>0</v>
      </c>
      <c r="P65" s="40">
        <v>0</v>
      </c>
      <c r="Q65" s="40">
        <v>0</v>
      </c>
      <c r="R65" s="40">
        <v>0</v>
      </c>
      <c r="S65" s="40">
        <v>0</v>
      </c>
      <c r="T65" s="40">
        <v>742187.24</v>
      </c>
      <c r="U65" s="40">
        <v>10656664.34</v>
      </c>
      <c r="V65" s="40">
        <v>6762262.5199999996</v>
      </c>
      <c r="W65" s="40">
        <v>3988448.61</v>
      </c>
      <c r="X65" s="40">
        <v>396219.44</v>
      </c>
      <c r="Y65" s="40">
        <v>1100350.93</v>
      </c>
      <c r="Z65" s="40">
        <v>0</v>
      </c>
      <c r="AA65" s="40">
        <v>0</v>
      </c>
      <c r="AB65" s="40">
        <v>0</v>
      </c>
      <c r="AC65" s="40">
        <v>0</v>
      </c>
      <c r="AD65" s="40">
        <v>0</v>
      </c>
      <c r="AE65" s="40">
        <v>0</v>
      </c>
      <c r="AF65" s="40">
        <v>0</v>
      </c>
      <c r="AG65" s="40">
        <v>0</v>
      </c>
      <c r="AH65" s="40">
        <v>0</v>
      </c>
      <c r="AI65" s="40">
        <v>0</v>
      </c>
      <c r="AJ65" s="40">
        <v>0</v>
      </c>
      <c r="AK65" s="40">
        <v>666438.85</v>
      </c>
      <c r="AL65" s="40">
        <v>666438.85</v>
      </c>
      <c r="AM65" s="40">
        <v>85706.81</v>
      </c>
      <c r="AN65" s="40">
        <v>709086.76</v>
      </c>
      <c r="AO65" s="40">
        <v>0</v>
      </c>
      <c r="AP65" s="40">
        <v>0</v>
      </c>
      <c r="AQ65" s="40">
        <v>0</v>
      </c>
      <c r="AR65" s="40">
        <v>0</v>
      </c>
      <c r="AS65" s="40">
        <v>0</v>
      </c>
      <c r="AT65" s="40">
        <v>217566698.08000001</v>
      </c>
      <c r="AU65" s="40">
        <v>149175345.75999999</v>
      </c>
      <c r="AV65" s="40">
        <v>28092424.260000002</v>
      </c>
      <c r="AW65" s="40">
        <v>106002085.7</v>
      </c>
      <c r="AX65" s="40">
        <v>78146813.989999995</v>
      </c>
      <c r="AY65" s="40">
        <v>31508275.550000001</v>
      </c>
      <c r="AZ65" s="40">
        <v>6818330.1399999997</v>
      </c>
      <c r="BA65" s="40">
        <v>-52414533.450000003</v>
      </c>
      <c r="BB65" s="40">
        <v>-47415743.689999998</v>
      </c>
      <c r="BC65" s="40">
        <v>-4476487.08</v>
      </c>
      <c r="BD65" s="40">
        <v>13731417.210000001</v>
      </c>
      <c r="BE65" s="40">
        <v>74080792.579999998</v>
      </c>
      <c r="BF65" s="40">
        <v>53634658.140000001</v>
      </c>
      <c r="BG65" s="40">
        <v>44718368.039999999</v>
      </c>
      <c r="BH65" s="40">
        <v>13012623.23</v>
      </c>
      <c r="BI65" s="40">
        <v>129351232.81999999</v>
      </c>
      <c r="BJ65" s="40">
        <v>126231548.87</v>
      </c>
      <c r="BK65" s="40">
        <v>99137772.019999996</v>
      </c>
      <c r="BL65" s="40">
        <v>21058739.870000001</v>
      </c>
      <c r="BM65" s="40">
        <v>80579243.650000006</v>
      </c>
      <c r="BN65" s="40">
        <v>68017088.620000005</v>
      </c>
      <c r="BO65" s="40">
        <v>47536007.049999997</v>
      </c>
      <c r="BP65" s="40">
        <v>23536334.48</v>
      </c>
      <c r="BQ65" s="40">
        <v>47111894.539999999</v>
      </c>
      <c r="BR65" s="40">
        <v>43130624.329999998</v>
      </c>
      <c r="BS65" s="40">
        <v>110636895.03</v>
      </c>
      <c r="BT65" s="40">
        <v>55492097.759999998</v>
      </c>
      <c r="BU65" s="40">
        <v>42252799.109999999</v>
      </c>
      <c r="BV65" s="40">
        <v>-8467811.9100000001</v>
      </c>
      <c r="BW65" s="40">
        <v>44423828.259999998</v>
      </c>
      <c r="BX65" s="40">
        <v>-2405395.41</v>
      </c>
      <c r="BY65" s="40">
        <v>43588942.600000001</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c r="A66" s="22" t="s">
        <v>99</v>
      </c>
      <c r="B66" s="40">
        <v>0</v>
      </c>
      <c r="C66" s="40">
        <v>0</v>
      </c>
      <c r="D66" s="40">
        <v>0</v>
      </c>
      <c r="E66" s="40">
        <v>0</v>
      </c>
      <c r="F66" s="40">
        <v>0</v>
      </c>
      <c r="G66" s="40">
        <v>0</v>
      </c>
      <c r="H66" s="40">
        <v>0</v>
      </c>
      <c r="I66" s="40">
        <v>0</v>
      </c>
      <c r="J66" s="40">
        <v>0</v>
      </c>
      <c r="K66" s="40">
        <v>0</v>
      </c>
      <c r="L66" s="40">
        <v>0</v>
      </c>
      <c r="M66" s="40">
        <v>0</v>
      </c>
      <c r="N66" s="40">
        <v>0</v>
      </c>
      <c r="O66" s="40">
        <v>0</v>
      </c>
      <c r="P66" s="40">
        <v>0</v>
      </c>
      <c r="Q66" s="40">
        <v>0</v>
      </c>
      <c r="R66" s="40">
        <v>0</v>
      </c>
      <c r="S66" s="40">
        <v>0</v>
      </c>
      <c r="T66" s="40">
        <v>-1883609.18</v>
      </c>
      <c r="U66" s="40">
        <v>0</v>
      </c>
      <c r="V66" s="40">
        <v>0</v>
      </c>
      <c r="W66" s="40">
        <v>0</v>
      </c>
      <c r="X66" s="40">
        <v>0</v>
      </c>
      <c r="Y66" s="40">
        <v>0</v>
      </c>
      <c r="Z66" s="40">
        <v>0</v>
      </c>
      <c r="AA66" s="40">
        <v>0</v>
      </c>
      <c r="AB66" s="40">
        <v>0</v>
      </c>
      <c r="AC66" s="40">
        <v>0</v>
      </c>
      <c r="AD66" s="40">
        <v>0</v>
      </c>
      <c r="AE66" s="40">
        <v>0</v>
      </c>
      <c r="AF66" s="40">
        <v>0</v>
      </c>
      <c r="AG66" s="40">
        <v>0</v>
      </c>
      <c r="AH66" s="40">
        <v>0</v>
      </c>
      <c r="AI66" s="40">
        <v>0</v>
      </c>
      <c r="AJ66" s="40">
        <v>0</v>
      </c>
      <c r="AK66" s="40">
        <v>0</v>
      </c>
      <c r="AL66" s="40">
        <v>0</v>
      </c>
      <c r="AM66" s="40">
        <v>85706.81</v>
      </c>
      <c r="AN66" s="40">
        <v>-278636.96000000002</v>
      </c>
      <c r="AO66" s="40">
        <v>0</v>
      </c>
      <c r="AP66" s="40">
        <v>0</v>
      </c>
      <c r="AQ66" s="40">
        <v>0</v>
      </c>
      <c r="AR66" s="40">
        <v>0</v>
      </c>
      <c r="AS66" s="40">
        <v>0</v>
      </c>
      <c r="AT66" s="40">
        <v>214420749.16999999</v>
      </c>
      <c r="AU66" s="40">
        <v>145953407.36000001</v>
      </c>
      <c r="AV66" s="40">
        <v>28092424.260000002</v>
      </c>
      <c r="AW66" s="40">
        <v>0</v>
      </c>
      <c r="AX66" s="40">
        <v>0</v>
      </c>
      <c r="AY66" s="40">
        <v>0</v>
      </c>
      <c r="AZ66" s="40">
        <v>0</v>
      </c>
      <c r="BA66" s="40">
        <v>0</v>
      </c>
      <c r="BB66" s="40">
        <v>0</v>
      </c>
      <c r="BC66" s="40">
        <v>0</v>
      </c>
      <c r="BD66" s="40">
        <v>0</v>
      </c>
      <c r="BE66" s="40">
        <v>0</v>
      </c>
      <c r="BF66" s="40">
        <v>0</v>
      </c>
      <c r="BG66" s="40">
        <v>0</v>
      </c>
      <c r="BH66" s="40">
        <v>0</v>
      </c>
      <c r="BI66" s="40">
        <v>0</v>
      </c>
      <c r="BJ66" s="40">
        <v>0</v>
      </c>
      <c r="BK66" s="40">
        <v>0</v>
      </c>
      <c r="BL66" s="40">
        <v>0</v>
      </c>
      <c r="BM66" s="40">
        <v>0</v>
      </c>
      <c r="BN66" s="40">
        <v>0</v>
      </c>
      <c r="BO66" s="40">
        <v>0</v>
      </c>
      <c r="BP66" s="40">
        <v>0</v>
      </c>
      <c r="BQ66" s="40">
        <v>0</v>
      </c>
      <c r="BR66" s="40">
        <v>0</v>
      </c>
      <c r="BS66" s="40">
        <v>0</v>
      </c>
      <c r="BT66" s="40">
        <v>0</v>
      </c>
      <c r="BU66" s="40">
        <v>0</v>
      </c>
      <c r="BV66" s="40">
        <v>0</v>
      </c>
      <c r="BW66" s="40">
        <v>0</v>
      </c>
      <c r="BX66" s="40">
        <v>0</v>
      </c>
      <c r="BY66" s="40">
        <v>0</v>
      </c>
      <c r="BZ66" s="40">
        <v>0</v>
      </c>
      <c r="CA66" s="40">
        <v>0</v>
      </c>
      <c r="CB66" s="40">
        <v>0</v>
      </c>
      <c r="CC66" s="40">
        <v>0</v>
      </c>
      <c r="CD66" s="40">
        <v>0</v>
      </c>
      <c r="CE66" s="40">
        <v>0</v>
      </c>
      <c r="CF66" s="40">
        <v>0</v>
      </c>
      <c r="CG66" s="40">
        <v>0</v>
      </c>
      <c r="CH66" s="40">
        <v>0</v>
      </c>
      <c r="CI66" s="40">
        <v>0</v>
      </c>
      <c r="CJ66" s="40">
        <v>0</v>
      </c>
      <c r="CK66" s="40">
        <v>0</v>
      </c>
    </row>
    <row r="67" spans="1:89">
      <c r="A67" s="22" t="s">
        <v>100</v>
      </c>
      <c r="B67" s="4">
        <f>B65-B66</f>
        <v>11492762.449999999</v>
      </c>
      <c r="C67" s="4">
        <f t="shared" ref="C67:BN67" si="67">C65-C66</f>
        <v>7805487.79</v>
      </c>
      <c r="D67" s="4">
        <f t="shared" si="67"/>
        <v>1095731.27</v>
      </c>
      <c r="E67" s="4">
        <f t="shared" si="67"/>
        <v>12183852.58</v>
      </c>
      <c r="F67" s="4">
        <f t="shared" si="67"/>
        <v>0</v>
      </c>
      <c r="G67" s="4">
        <f t="shared" si="67"/>
        <v>0</v>
      </c>
      <c r="H67" s="4">
        <f t="shared" si="67"/>
        <v>0</v>
      </c>
      <c r="I67" s="4">
        <f t="shared" si="67"/>
        <v>0</v>
      </c>
      <c r="J67" s="4">
        <f t="shared" si="67"/>
        <v>0</v>
      </c>
      <c r="K67" s="4">
        <f t="shared" si="67"/>
        <v>0</v>
      </c>
      <c r="L67" s="4">
        <f t="shared" si="67"/>
        <v>0</v>
      </c>
      <c r="M67" s="4">
        <f t="shared" si="67"/>
        <v>0</v>
      </c>
      <c r="N67" s="4">
        <f t="shared" si="67"/>
        <v>0</v>
      </c>
      <c r="O67" s="4">
        <f t="shared" si="67"/>
        <v>0</v>
      </c>
      <c r="P67" s="4">
        <f t="shared" si="67"/>
        <v>0</v>
      </c>
      <c r="Q67" s="4">
        <f t="shared" si="67"/>
        <v>0</v>
      </c>
      <c r="R67" s="4">
        <f t="shared" si="67"/>
        <v>0</v>
      </c>
      <c r="S67" s="4">
        <f t="shared" si="67"/>
        <v>0</v>
      </c>
      <c r="T67" s="4">
        <f t="shared" si="67"/>
        <v>2625796.42</v>
      </c>
      <c r="U67" s="4">
        <f t="shared" si="67"/>
        <v>10656664.34</v>
      </c>
      <c r="V67" s="4">
        <f t="shared" si="67"/>
        <v>6762262.5199999996</v>
      </c>
      <c r="W67" s="4">
        <f t="shared" si="67"/>
        <v>3988448.61</v>
      </c>
      <c r="X67" s="4">
        <f t="shared" si="67"/>
        <v>396219.44</v>
      </c>
      <c r="Y67" s="4">
        <f t="shared" si="67"/>
        <v>1100350.93</v>
      </c>
      <c r="Z67" s="4">
        <f t="shared" si="67"/>
        <v>0</v>
      </c>
      <c r="AA67" s="4">
        <f t="shared" si="67"/>
        <v>0</v>
      </c>
      <c r="AB67" s="4">
        <f t="shared" si="67"/>
        <v>0</v>
      </c>
      <c r="AC67" s="4">
        <f t="shared" si="67"/>
        <v>0</v>
      </c>
      <c r="AD67" s="4">
        <f t="shared" si="67"/>
        <v>0</v>
      </c>
      <c r="AE67" s="4">
        <f t="shared" si="67"/>
        <v>0</v>
      </c>
      <c r="AF67" s="4">
        <f t="shared" si="67"/>
        <v>0</v>
      </c>
      <c r="AG67" s="4">
        <f t="shared" si="67"/>
        <v>0</v>
      </c>
      <c r="AH67" s="4">
        <f t="shared" si="67"/>
        <v>0</v>
      </c>
      <c r="AI67" s="4">
        <f t="shared" si="67"/>
        <v>0</v>
      </c>
      <c r="AJ67" s="4">
        <f t="shared" si="67"/>
        <v>0</v>
      </c>
      <c r="AK67" s="4">
        <f t="shared" si="67"/>
        <v>666438.85</v>
      </c>
      <c r="AL67" s="4">
        <f t="shared" si="67"/>
        <v>666438.85</v>
      </c>
      <c r="AM67" s="4">
        <f t="shared" si="67"/>
        <v>0</v>
      </c>
      <c r="AN67" s="4">
        <f t="shared" si="67"/>
        <v>987723.72</v>
      </c>
      <c r="AO67" s="4">
        <f t="shared" si="67"/>
        <v>0</v>
      </c>
      <c r="AP67" s="4">
        <f t="shared" si="67"/>
        <v>0</v>
      </c>
      <c r="AQ67" s="4">
        <f t="shared" si="67"/>
        <v>0</v>
      </c>
      <c r="AR67" s="4">
        <f t="shared" si="67"/>
        <v>0</v>
      </c>
      <c r="AS67" s="4">
        <f t="shared" si="67"/>
        <v>0</v>
      </c>
      <c r="AT67" s="4">
        <f t="shared" si="67"/>
        <v>3145948.9100000262</v>
      </c>
      <c r="AU67" s="4">
        <f t="shared" si="67"/>
        <v>3221938.3999999762</v>
      </c>
      <c r="AV67" s="4">
        <f t="shared" si="67"/>
        <v>0</v>
      </c>
      <c r="AW67" s="4">
        <f t="shared" si="67"/>
        <v>106002085.7</v>
      </c>
      <c r="AX67" s="4">
        <f t="shared" si="67"/>
        <v>78146813.989999995</v>
      </c>
      <c r="AY67" s="4">
        <f t="shared" si="67"/>
        <v>31508275.550000001</v>
      </c>
      <c r="AZ67" s="4">
        <f t="shared" si="67"/>
        <v>6818330.1399999997</v>
      </c>
      <c r="BA67" s="4">
        <f t="shared" si="67"/>
        <v>-52414533.450000003</v>
      </c>
      <c r="BB67" s="4">
        <f t="shared" si="67"/>
        <v>-47415743.689999998</v>
      </c>
      <c r="BC67" s="4">
        <f t="shared" si="67"/>
        <v>-4476487.08</v>
      </c>
      <c r="BD67" s="4">
        <f t="shared" si="67"/>
        <v>13731417.210000001</v>
      </c>
      <c r="BE67" s="4">
        <f t="shared" si="67"/>
        <v>74080792.579999998</v>
      </c>
      <c r="BF67" s="4">
        <f t="shared" si="67"/>
        <v>53634658.140000001</v>
      </c>
      <c r="BG67" s="4">
        <f t="shared" si="67"/>
        <v>44718368.039999999</v>
      </c>
      <c r="BH67" s="4">
        <f t="shared" si="67"/>
        <v>13012623.23</v>
      </c>
      <c r="BI67" s="4">
        <f t="shared" si="67"/>
        <v>129351232.81999999</v>
      </c>
      <c r="BJ67" s="4">
        <f t="shared" si="67"/>
        <v>126231548.87</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c r="A68" s="22" t="s">
        <v>101</v>
      </c>
      <c r="B68" s="40">
        <v>-746834.93</v>
      </c>
      <c r="C68" s="40">
        <v>-582889.62</v>
      </c>
      <c r="D68" s="40">
        <v>-336392.76</v>
      </c>
      <c r="E68" s="40">
        <v>-1332531.57</v>
      </c>
      <c r="F68" s="40">
        <v>-9636823.1500000004</v>
      </c>
      <c r="G68" s="40">
        <v>-5075646.4800000004</v>
      </c>
      <c r="H68" s="40">
        <v>-2363752.36</v>
      </c>
      <c r="I68" s="40">
        <v>-1519150.12</v>
      </c>
      <c r="J68" s="40">
        <v>-1140260.3500000001</v>
      </c>
      <c r="K68" s="40">
        <v>-833885</v>
      </c>
      <c r="L68" s="40">
        <v>-639023.96</v>
      </c>
      <c r="M68" s="40">
        <v>-2013498.03</v>
      </c>
      <c r="N68" s="40">
        <v>-1865626.11</v>
      </c>
      <c r="O68" s="40">
        <v>-1450710.86</v>
      </c>
      <c r="P68" s="40">
        <v>-1004122.13</v>
      </c>
      <c r="Q68" s="40">
        <v>-423939.29</v>
      </c>
      <c r="R68" s="40">
        <v>-106598.39</v>
      </c>
      <c r="S68" s="40">
        <v>0</v>
      </c>
      <c r="T68" s="40">
        <v>-2876841.69</v>
      </c>
      <c r="U68" s="40">
        <v>-15009309.810000001</v>
      </c>
      <c r="V68" s="40">
        <v>-11840232.26</v>
      </c>
      <c r="W68" s="40">
        <v>-8357462.9199999999</v>
      </c>
      <c r="X68" s="40">
        <v>-4275400.16</v>
      </c>
      <c r="Y68" s="40">
        <v>-13148062.949999999</v>
      </c>
      <c r="Z68" s="40">
        <v>-10178527.93</v>
      </c>
      <c r="AA68" s="40">
        <v>-6197878.7800000003</v>
      </c>
      <c r="AB68" s="40">
        <v>-3242186.46</v>
      </c>
      <c r="AC68" s="40">
        <v>-13165263.77</v>
      </c>
      <c r="AD68" s="40">
        <v>-8810880.1899999995</v>
      </c>
      <c r="AE68" s="40">
        <v>-5510384.21</v>
      </c>
      <c r="AF68" s="40">
        <v>-1621693.85</v>
      </c>
      <c r="AG68" s="40">
        <v>23890594.489999998</v>
      </c>
      <c r="AH68" s="40">
        <v>18279179.75</v>
      </c>
      <c r="AI68" s="40">
        <v>12063791.359999999</v>
      </c>
      <c r="AJ68" s="40">
        <v>5378055.4400000004</v>
      </c>
      <c r="AK68" s="40">
        <v>17430889.129999999</v>
      </c>
      <c r="AL68" s="40">
        <v>12472883.75</v>
      </c>
      <c r="AM68" s="40">
        <v>12428777.24</v>
      </c>
      <c r="AN68" s="40">
        <v>9772412.9399999995</v>
      </c>
      <c r="AO68" s="40">
        <v>0</v>
      </c>
      <c r="AP68" s="40">
        <v>989032.06</v>
      </c>
      <c r="AQ68" s="40">
        <v>342462.79</v>
      </c>
      <c r="AR68" s="40">
        <v>-229725.21</v>
      </c>
      <c r="AS68" s="40">
        <v>0</v>
      </c>
      <c r="AT68" s="40">
        <v>-22649401.350000001</v>
      </c>
      <c r="AU68" s="40">
        <v>-8345207.46</v>
      </c>
      <c r="AV68" s="40">
        <v>-6288958.1900000004</v>
      </c>
      <c r="AW68" s="40">
        <v>-22650844.379999999</v>
      </c>
      <c r="AX68" s="40">
        <v>-13369914.74</v>
      </c>
      <c r="AY68" s="40">
        <v>-8061296.04</v>
      </c>
      <c r="AZ68" s="40">
        <v>-3526988.6</v>
      </c>
      <c r="BA68" s="40">
        <v>-8333112.9000000004</v>
      </c>
      <c r="BB68" s="40">
        <v>-821838.79</v>
      </c>
      <c r="BC68" s="40">
        <v>-2071650.69</v>
      </c>
      <c r="BD68" s="40">
        <v>-3633490.4</v>
      </c>
      <c r="BE68" s="40">
        <v>-12576168.560000001</v>
      </c>
      <c r="BF68" s="40">
        <v>-7133253.9900000002</v>
      </c>
      <c r="BG68" s="40">
        <v>-2940819.66</v>
      </c>
      <c r="BH68" s="40">
        <v>-2516879.5699999998</v>
      </c>
      <c r="BI68" s="40">
        <v>8744950.6500000004</v>
      </c>
      <c r="BJ68" s="40">
        <v>14650393.49</v>
      </c>
      <c r="BK68" s="40">
        <v>15927037.050000001</v>
      </c>
      <c r="BL68" s="40">
        <v>6393201.8399999999</v>
      </c>
      <c r="BM68" s="40">
        <v>7360831.6900000004</v>
      </c>
      <c r="BN68" s="40">
        <v>8294311.9100000001</v>
      </c>
      <c r="BO68" s="40">
        <v>4854831.74</v>
      </c>
      <c r="BP68" s="40">
        <v>8338188.3899999997</v>
      </c>
      <c r="BQ68" s="40">
        <v>5508116.9500000002</v>
      </c>
      <c r="BR68" s="40">
        <v>3768713.32</v>
      </c>
      <c r="BS68" s="40">
        <v>3410802.03</v>
      </c>
      <c r="BT68" s="40">
        <v>-87429.7</v>
      </c>
      <c r="BU68" s="40">
        <v>-6568664.4100000001</v>
      </c>
      <c r="BV68" s="40">
        <v>5932455.8700000001</v>
      </c>
      <c r="BW68" s="40">
        <v>868607.39</v>
      </c>
      <c r="BX68" s="40">
        <v>17436730.539999999</v>
      </c>
      <c r="BY68" s="40">
        <v>22884335.809999999</v>
      </c>
      <c r="BZ68" s="40">
        <v>0</v>
      </c>
      <c r="CA68" s="40">
        <v>49930619.770000003</v>
      </c>
      <c r="CB68" s="40">
        <v>0</v>
      </c>
      <c r="CC68" s="40">
        <v>24077630.73</v>
      </c>
      <c r="CD68" s="40">
        <v>0</v>
      </c>
      <c r="CE68" s="40">
        <v>0</v>
      </c>
      <c r="CF68" s="40">
        <v>0</v>
      </c>
      <c r="CG68" s="40">
        <v>0</v>
      </c>
      <c r="CH68" s="40">
        <v>0</v>
      </c>
      <c r="CI68" s="40">
        <v>0</v>
      </c>
      <c r="CJ68" s="40">
        <v>0</v>
      </c>
      <c r="CK68" s="40">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40">
        <v>750499338.66999996</v>
      </c>
      <c r="C70" s="40">
        <v>719699104.83000004</v>
      </c>
      <c r="D70" s="40">
        <v>690278099.21000004</v>
      </c>
      <c r="E70" s="40">
        <v>680780701.52999997</v>
      </c>
      <c r="F70" s="40">
        <v>643568166.12</v>
      </c>
      <c r="G70" s="40">
        <v>593135102.64999998</v>
      </c>
      <c r="H70" s="40">
        <v>584320596.82000005</v>
      </c>
      <c r="I70" s="40">
        <v>582557312.73000002</v>
      </c>
      <c r="J70" s="40">
        <v>279809125.20999998</v>
      </c>
      <c r="K70" s="40">
        <v>269570203.76999998</v>
      </c>
      <c r="L70" s="40">
        <v>239898576.28999999</v>
      </c>
      <c r="M70" s="40">
        <v>211848320.5</v>
      </c>
      <c r="N70" s="40">
        <v>169859428.84999999</v>
      </c>
      <c r="O70" s="40">
        <v>105573132.09999999</v>
      </c>
      <c r="P70" s="40">
        <v>62209713.140000001</v>
      </c>
      <c r="Q70" s="40">
        <v>0</v>
      </c>
      <c r="R70" s="40"/>
      <c r="S70" s="40"/>
      <c r="T70" s="40">
        <v>3233054321.5300002</v>
      </c>
      <c r="U70" s="40">
        <v>3182351109.5500002</v>
      </c>
      <c r="V70" s="40">
        <v>3123425916.3600001</v>
      </c>
      <c r="W70" s="40">
        <v>3008332106.3800001</v>
      </c>
      <c r="X70" s="40">
        <v>2979772636.0700002</v>
      </c>
      <c r="Y70" s="40">
        <v>2932489543.6700001</v>
      </c>
      <c r="Z70" s="40">
        <v>2848128733.9000001</v>
      </c>
      <c r="AA70" s="40">
        <v>2757878280.0100002</v>
      </c>
      <c r="AB70" s="40">
        <v>2745360343.7600002</v>
      </c>
      <c r="AC70" s="40">
        <v>2704458292.2399998</v>
      </c>
      <c r="AD70" s="40">
        <v>2672656786.1900001</v>
      </c>
      <c r="AE70" s="40">
        <v>2586611041.4499998</v>
      </c>
      <c r="AF70" s="40">
        <v>2559221388.8499999</v>
      </c>
      <c r="AG70" s="40">
        <v>2532639722.4200001</v>
      </c>
      <c r="AH70" s="40">
        <v>384442846.82999998</v>
      </c>
      <c r="AI70" s="40">
        <v>311964600.76999998</v>
      </c>
      <c r="AJ70" s="40">
        <v>266080793.58000001</v>
      </c>
      <c r="AK70" s="40">
        <v>175559966.52000001</v>
      </c>
      <c r="AL70" s="40">
        <v>129529844.64</v>
      </c>
      <c r="AM70" s="40">
        <v>0</v>
      </c>
      <c r="AN70" s="40"/>
      <c r="AO70" s="40"/>
      <c r="AP70" s="40">
        <v>106511976.33</v>
      </c>
      <c r="AQ70" s="40">
        <v>0</v>
      </c>
      <c r="AR70" s="40"/>
      <c r="AS70" s="40"/>
      <c r="AT70" s="40">
        <v>5557397185.8000002</v>
      </c>
      <c r="AU70" s="40">
        <v>5294185121.96</v>
      </c>
      <c r="AV70" s="40">
        <v>5276800465.9200001</v>
      </c>
      <c r="AW70" s="40">
        <v>5181853244.1599998</v>
      </c>
      <c r="AX70" s="40">
        <v>5011911653.6700001</v>
      </c>
      <c r="AY70" s="40">
        <v>4820276191.9799995</v>
      </c>
      <c r="AZ70" s="40">
        <v>5010338103.3100004</v>
      </c>
      <c r="BA70" s="40">
        <v>4895309580.54</v>
      </c>
      <c r="BB70" s="40">
        <v>4888570328.4099998</v>
      </c>
      <c r="BC70" s="40">
        <v>4807601462.5600004</v>
      </c>
      <c r="BD70" s="40">
        <v>5068821027.4499998</v>
      </c>
      <c r="BE70" s="40">
        <v>4926753550.1099997</v>
      </c>
      <c r="BF70" s="40">
        <v>4808299542.9399996</v>
      </c>
      <c r="BG70" s="40">
        <v>4751398778.0100002</v>
      </c>
      <c r="BH70" s="40">
        <v>4805853655.8900003</v>
      </c>
      <c r="BI70" s="40">
        <v>4648133672.2799997</v>
      </c>
      <c r="BJ70" s="40">
        <v>4488942480.3800001</v>
      </c>
      <c r="BK70" s="40">
        <v>4292913533.4400001</v>
      </c>
      <c r="BL70" s="40">
        <v>4290589554.0599999</v>
      </c>
      <c r="BM70" s="40">
        <v>4205781132.7199998</v>
      </c>
      <c r="BN70" s="40">
        <v>4125320111.8000002</v>
      </c>
      <c r="BO70" s="40">
        <v>3954027963.8899999</v>
      </c>
      <c r="BP70" s="40">
        <v>3988477317.79</v>
      </c>
      <c r="BQ70" s="40">
        <v>3875929168.1599998</v>
      </c>
      <c r="BR70" s="40">
        <v>3795371454.2600002</v>
      </c>
      <c r="BS70" s="40">
        <v>3599541620.5700002</v>
      </c>
      <c r="BT70" s="40">
        <v>3730682761.8000002</v>
      </c>
      <c r="BU70" s="40">
        <v>3598065094.6500001</v>
      </c>
      <c r="BV70" s="40">
        <v>2191187359.48</v>
      </c>
      <c r="BW70" s="40">
        <v>2108608785.3</v>
      </c>
      <c r="BX70" s="40">
        <v>1229599139.29</v>
      </c>
      <c r="BY70" s="40">
        <v>1243135953.28</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topLeftCell="A40" workbookViewId="0">
      <selection activeCell="A51" sqref="A51:AK51"/>
    </sheetView>
  </sheetViews>
  <sheetFormatPr defaultRowHeight="13.5"/>
  <cols>
    <col min="1" max="1" width="71.625" style="17" customWidth="1"/>
    <col min="2" max="2" width="22" hidden="1" customWidth="1"/>
    <col min="3" max="3" width="19.5" hidden="1" customWidth="1"/>
    <col min="4" max="4" width="18.25" hidden="1" customWidth="1"/>
    <col min="5" max="5" width="19.5" bestFit="1" customWidth="1"/>
    <col min="6" max="8" width="17.25" hidden="1" customWidth="1"/>
    <col min="9" max="9" width="19.5" bestFit="1" customWidth="1"/>
    <col min="10" max="12" width="17.25" hidden="1" customWidth="1"/>
    <col min="13" max="13" width="18.25" bestFit="1" customWidth="1"/>
    <col min="14" max="14" width="16.125" hidden="1" customWidth="1"/>
    <col min="15" max="15" width="16.125" bestFit="1" customWidth="1"/>
    <col min="16" max="18" width="19.375" bestFit="1" customWidth="1"/>
    <col min="19" max="20" width="19.375" hidden="1" customWidth="1"/>
    <col min="21" max="21" width="19.375" bestFit="1" customWidth="1"/>
    <col min="22" max="24" width="19.375" hidden="1" customWidth="1"/>
    <col min="25" max="25" width="19.375" bestFit="1" customWidth="1"/>
    <col min="26" max="28" width="19.375" hidden="1" customWidth="1"/>
    <col min="29" max="29" width="18.375" bestFit="1" customWidth="1"/>
    <col min="30" max="31" width="18.375" hidden="1" customWidth="1"/>
    <col min="32" max="32" width="17.25" hidden="1" customWidth="1"/>
    <col min="33" max="33" width="19.375" bestFit="1" customWidth="1"/>
    <col min="34" max="36" width="16.125" hidden="1" customWidth="1"/>
    <col min="37" max="37" width="17.25" bestFit="1" customWidth="1"/>
    <col min="38" max="38" width="17.25" hidden="1" customWidth="1"/>
    <col min="39" max="40" width="17.25" bestFit="1" customWidth="1"/>
    <col min="41" max="42" width="16.125" hidden="1" customWidth="1"/>
    <col min="43" max="43" width="17.25" bestFit="1" customWidth="1"/>
    <col min="44" max="44" width="15" bestFit="1" customWidth="1"/>
    <col min="45" max="45" width="9.5" hidden="1" customWidth="1"/>
    <col min="46" max="73" width="6.5" bestFit="1" customWidth="1"/>
    <col min="74" max="74" width="11.625" bestFit="1" customWidth="1"/>
  </cols>
  <sheetData>
    <row r="1" spans="1:74" s="6" customFormat="1">
      <c r="A1" s="105">
        <v>300559</v>
      </c>
      <c r="B1" s="1">
        <v>43373</v>
      </c>
      <c r="C1" s="1">
        <v>43281</v>
      </c>
      <c r="D1" s="1">
        <v>43190</v>
      </c>
      <c r="E1" s="1">
        <v>43100</v>
      </c>
      <c r="F1" s="1">
        <v>43008</v>
      </c>
      <c r="G1" s="1">
        <v>42916</v>
      </c>
      <c r="H1" s="1">
        <v>42825</v>
      </c>
      <c r="I1" s="1">
        <v>42735</v>
      </c>
      <c r="J1" s="1">
        <v>42643</v>
      </c>
      <c r="K1" s="1">
        <v>42551</v>
      </c>
      <c r="L1" s="1">
        <v>42460</v>
      </c>
      <c r="M1" s="1">
        <v>42369</v>
      </c>
      <c r="N1" s="1">
        <v>42277</v>
      </c>
      <c r="O1" s="1">
        <v>42004</v>
      </c>
      <c r="P1" s="1">
        <v>41639</v>
      </c>
      <c r="Q1" s="1">
        <v>41274</v>
      </c>
      <c r="R1" s="1">
        <v>40908</v>
      </c>
      <c r="S1" s="1">
        <v>25569</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39813</v>
      </c>
      <c r="AN1" s="1">
        <v>39447</v>
      </c>
      <c r="AO1" s="1">
        <v>25569</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5" customFormat="1">
      <c r="A2" s="46" t="s">
        <v>292</v>
      </c>
    </row>
    <row r="3" spans="1:74" s="26" customFormat="1">
      <c r="A3" s="17" t="s">
        <v>320</v>
      </c>
      <c r="B3" s="40">
        <v>0</v>
      </c>
      <c r="C3" s="40">
        <v>0</v>
      </c>
      <c r="D3" s="40">
        <v>0</v>
      </c>
      <c r="E3" s="40">
        <v>32359.22</v>
      </c>
      <c r="F3" s="40">
        <v>32359.22</v>
      </c>
      <c r="G3" s="40">
        <v>0</v>
      </c>
      <c r="H3" s="40">
        <v>0</v>
      </c>
      <c r="I3" s="40">
        <v>0</v>
      </c>
      <c r="J3" s="40">
        <v>0</v>
      </c>
      <c r="K3" s="40">
        <v>0</v>
      </c>
      <c r="L3" s="40">
        <v>0</v>
      </c>
      <c r="M3" s="40">
        <v>68492.320000000007</v>
      </c>
      <c r="N3" s="40">
        <v>68492.320000000007</v>
      </c>
      <c r="O3" s="40">
        <v>0</v>
      </c>
      <c r="P3" s="40">
        <v>0</v>
      </c>
      <c r="Q3" s="40">
        <v>4903.8500000000004</v>
      </c>
      <c r="R3" s="40">
        <v>0</v>
      </c>
      <c r="S3" s="40">
        <v>0</v>
      </c>
      <c r="T3" s="40">
        <v>57017.18</v>
      </c>
      <c r="U3" s="40">
        <v>996723.28</v>
      </c>
      <c r="V3" s="40">
        <v>737218.09</v>
      </c>
      <c r="W3" s="40">
        <v>191488.19</v>
      </c>
      <c r="X3" s="40">
        <v>4000</v>
      </c>
      <c r="Y3" s="40">
        <v>91182.96</v>
      </c>
      <c r="Z3" s="40">
        <v>48000</v>
      </c>
      <c r="AA3" s="40">
        <v>48000</v>
      </c>
      <c r="AB3" s="40">
        <v>48000</v>
      </c>
      <c r="AC3" s="40">
        <v>0</v>
      </c>
      <c r="AD3" s="40">
        <v>246310</v>
      </c>
      <c r="AE3" s="40">
        <v>246310</v>
      </c>
      <c r="AF3" s="40">
        <v>240000</v>
      </c>
      <c r="AG3" s="40">
        <v>115834</v>
      </c>
      <c r="AH3" s="40">
        <v>0</v>
      </c>
      <c r="AI3" s="40">
        <v>0</v>
      </c>
      <c r="AJ3" s="40">
        <v>0</v>
      </c>
      <c r="AK3" s="40">
        <v>12660</v>
      </c>
      <c r="AL3" s="40">
        <v>0</v>
      </c>
      <c r="AM3" s="40">
        <v>0</v>
      </c>
      <c r="AN3" s="40">
        <v>29000</v>
      </c>
      <c r="AO3" s="40">
        <v>0</v>
      </c>
      <c r="AP3" s="40">
        <v>67036.850000000006</v>
      </c>
      <c r="AQ3" s="40">
        <v>1409699</v>
      </c>
      <c r="AR3" s="40">
        <v>5494748.9000000004</v>
      </c>
      <c r="AS3" s="40">
        <v>0</v>
      </c>
    </row>
    <row r="4" spans="1:74" s="26" customFormat="1">
      <c r="A4" s="17" t="s">
        <v>304</v>
      </c>
      <c r="B4" s="40">
        <v>24282494.16</v>
      </c>
      <c r="C4" s="40">
        <v>15609331.26</v>
      </c>
      <c r="D4" s="40">
        <v>11711601.359999999</v>
      </c>
      <c r="E4" s="40">
        <v>22727879.210000001</v>
      </c>
      <c r="F4" s="40">
        <v>10040196.199999999</v>
      </c>
      <c r="G4" s="40">
        <v>8404068.0899999999</v>
      </c>
      <c r="H4" s="40">
        <v>3594320.99</v>
      </c>
      <c r="I4" s="40">
        <v>33328010.07</v>
      </c>
      <c r="J4" s="40">
        <v>17908864.460000001</v>
      </c>
      <c r="K4" s="40">
        <v>14030726.73</v>
      </c>
      <c r="L4" s="40">
        <v>8410223.1300000008</v>
      </c>
      <c r="M4" s="40">
        <v>46789680.539999999</v>
      </c>
      <c r="N4" s="40">
        <v>39089576</v>
      </c>
      <c r="O4" s="40">
        <v>5066151.1100000003</v>
      </c>
      <c r="P4" s="40">
        <v>16717932.84</v>
      </c>
      <c r="Q4" s="40">
        <v>14368846.76</v>
      </c>
      <c r="R4" s="40">
        <v>3457449.21</v>
      </c>
      <c r="S4" s="40">
        <v>0</v>
      </c>
      <c r="T4" s="40">
        <v>214938691.56999999</v>
      </c>
      <c r="U4" s="40">
        <v>603746855.32000005</v>
      </c>
      <c r="V4" s="40">
        <v>472090559.79000002</v>
      </c>
      <c r="W4" s="40">
        <v>294058580.13999999</v>
      </c>
      <c r="X4" s="40">
        <v>169624195.03</v>
      </c>
      <c r="Y4" s="40">
        <v>503625399.32999998</v>
      </c>
      <c r="Z4" s="40">
        <v>379847631.58999997</v>
      </c>
      <c r="AA4" s="40">
        <v>274215462.48000002</v>
      </c>
      <c r="AB4" s="40">
        <v>90037521.530000001</v>
      </c>
      <c r="AC4" s="40">
        <v>655039659.91999996</v>
      </c>
      <c r="AD4" s="40">
        <v>473210340.41000003</v>
      </c>
      <c r="AE4" s="40">
        <v>200332335.90000001</v>
      </c>
      <c r="AF4" s="40">
        <v>105393015.8</v>
      </c>
      <c r="AG4" s="40">
        <v>46610120.020000003</v>
      </c>
      <c r="AH4" s="40">
        <v>35905672.979999997</v>
      </c>
      <c r="AI4" s="40">
        <v>26841559.98</v>
      </c>
      <c r="AJ4" s="40">
        <v>13548823.75</v>
      </c>
      <c r="AK4" s="40">
        <v>286357443.55000001</v>
      </c>
      <c r="AL4" s="40">
        <v>200686046.08000001</v>
      </c>
      <c r="AM4" s="40">
        <v>123376593.66</v>
      </c>
      <c r="AN4" s="40">
        <v>187611967.24000001</v>
      </c>
      <c r="AO4" s="40">
        <v>0</v>
      </c>
      <c r="AP4" s="40">
        <v>2777147.65</v>
      </c>
      <c r="AQ4" s="40">
        <v>104387961.2</v>
      </c>
      <c r="AR4" s="40">
        <v>6589836.9000000004</v>
      </c>
      <c r="AS4" s="40">
        <v>0</v>
      </c>
    </row>
    <row r="5" spans="1:74" s="47" customFormat="1">
      <c r="A5" s="139" t="s">
        <v>295</v>
      </c>
      <c r="E5" s="47">
        <f>E4-E3</f>
        <v>22695519.990000002</v>
      </c>
      <c r="F5" s="47">
        <f t="shared" ref="F5:AR5" si="0">F4-F3</f>
        <v>10007836.979999999</v>
      </c>
      <c r="G5" s="47">
        <f t="shared" si="0"/>
        <v>8404068.0899999999</v>
      </c>
      <c r="H5" s="47">
        <f t="shared" si="0"/>
        <v>3594320.99</v>
      </c>
      <c r="I5" s="47">
        <f t="shared" si="0"/>
        <v>33328010.07</v>
      </c>
      <c r="J5" s="47">
        <f t="shared" si="0"/>
        <v>17908864.460000001</v>
      </c>
      <c r="K5" s="47">
        <f t="shared" si="0"/>
        <v>14030726.73</v>
      </c>
      <c r="L5" s="47">
        <f t="shared" si="0"/>
        <v>8410223.1300000008</v>
      </c>
      <c r="M5" s="47">
        <f t="shared" si="0"/>
        <v>46721188.219999999</v>
      </c>
      <c r="N5" s="47">
        <f t="shared" si="0"/>
        <v>39021083.68</v>
      </c>
      <c r="O5" s="47">
        <f t="shared" si="0"/>
        <v>5066151.1100000003</v>
      </c>
      <c r="P5" s="47">
        <f t="shared" si="0"/>
        <v>16717932.84</v>
      </c>
      <c r="Q5" s="47">
        <f t="shared" si="0"/>
        <v>14363942.91</v>
      </c>
      <c r="R5" s="47">
        <f t="shared" si="0"/>
        <v>3457449.21</v>
      </c>
      <c r="S5" s="47">
        <f t="shared" si="0"/>
        <v>0</v>
      </c>
      <c r="T5" s="47">
        <f t="shared" si="0"/>
        <v>214881674.38999999</v>
      </c>
      <c r="U5" s="47">
        <f t="shared" si="0"/>
        <v>602750132.04000008</v>
      </c>
      <c r="V5" s="47">
        <f t="shared" si="0"/>
        <v>471353341.70000005</v>
      </c>
      <c r="W5" s="47">
        <f t="shared" si="0"/>
        <v>293867091.94999999</v>
      </c>
      <c r="X5" s="47">
        <f t="shared" si="0"/>
        <v>169620195.03</v>
      </c>
      <c r="Y5" s="47">
        <f t="shared" si="0"/>
        <v>503534216.37</v>
      </c>
      <c r="Z5" s="47">
        <f t="shared" si="0"/>
        <v>379799631.58999997</v>
      </c>
      <c r="AA5" s="47">
        <f t="shared" si="0"/>
        <v>274167462.48000002</v>
      </c>
      <c r="AB5" s="47">
        <f t="shared" si="0"/>
        <v>89989521.530000001</v>
      </c>
      <c r="AC5" s="47">
        <f t="shared" si="0"/>
        <v>655039659.91999996</v>
      </c>
      <c r="AD5" s="47">
        <f t="shared" si="0"/>
        <v>472964030.41000003</v>
      </c>
      <c r="AE5" s="47">
        <f t="shared" si="0"/>
        <v>200086025.90000001</v>
      </c>
      <c r="AF5" s="47">
        <f t="shared" si="0"/>
        <v>105153015.8</v>
      </c>
      <c r="AG5" s="47">
        <f t="shared" si="0"/>
        <v>46494286.020000003</v>
      </c>
      <c r="AH5" s="47">
        <f t="shared" si="0"/>
        <v>35905672.979999997</v>
      </c>
      <c r="AI5" s="47">
        <f t="shared" si="0"/>
        <v>26841559.98</v>
      </c>
      <c r="AJ5" s="47">
        <f t="shared" si="0"/>
        <v>13548823.75</v>
      </c>
      <c r="AK5" s="47">
        <f t="shared" si="0"/>
        <v>286344783.55000001</v>
      </c>
      <c r="AL5" s="47">
        <f t="shared" si="0"/>
        <v>200686046.08000001</v>
      </c>
      <c r="AM5" s="47">
        <f t="shared" si="0"/>
        <v>123376593.66</v>
      </c>
      <c r="AN5" s="47">
        <f t="shared" si="0"/>
        <v>187582967.24000001</v>
      </c>
      <c r="AO5" s="47">
        <f t="shared" si="0"/>
        <v>0</v>
      </c>
      <c r="AP5" s="47">
        <f t="shared" si="0"/>
        <v>2710110.8</v>
      </c>
      <c r="AQ5" s="47">
        <f t="shared" si="0"/>
        <v>102978262.2</v>
      </c>
      <c r="AR5" s="47">
        <f t="shared" si="0"/>
        <v>1095088</v>
      </c>
    </row>
    <row r="6" spans="1:74" s="106" customFormat="1">
      <c r="A6" s="140" t="s">
        <v>305</v>
      </c>
      <c r="B6" s="40">
        <v>0</v>
      </c>
      <c r="C6" s="40">
        <v>911764.39</v>
      </c>
      <c r="D6" s="40">
        <v>0</v>
      </c>
      <c r="E6" s="40">
        <v>1582152.92</v>
      </c>
      <c r="F6" s="40">
        <v>0</v>
      </c>
      <c r="G6" s="40">
        <v>759294.41</v>
      </c>
      <c r="H6" s="40">
        <v>0</v>
      </c>
      <c r="I6" s="40">
        <v>1494372.54</v>
      </c>
      <c r="J6" s="40">
        <v>0</v>
      </c>
      <c r="K6" s="40">
        <v>749552.73</v>
      </c>
      <c r="L6" s="40">
        <v>0</v>
      </c>
      <c r="M6" s="40">
        <v>1558046.33</v>
      </c>
      <c r="N6" s="40">
        <v>0</v>
      </c>
      <c r="O6" s="40">
        <v>1534397.08</v>
      </c>
      <c r="P6" s="40">
        <v>1385958.51</v>
      </c>
      <c r="Q6" s="40">
        <v>844800</v>
      </c>
      <c r="R6" s="40">
        <v>0</v>
      </c>
      <c r="S6" s="40">
        <v>0</v>
      </c>
      <c r="T6" s="40">
        <v>0</v>
      </c>
      <c r="U6" s="40">
        <v>93858363.379999995</v>
      </c>
      <c r="V6" s="40">
        <v>0</v>
      </c>
      <c r="W6" s="40">
        <v>45171652.07</v>
      </c>
      <c r="X6" s="40">
        <v>0</v>
      </c>
      <c r="Y6" s="40">
        <v>80074387.840000004</v>
      </c>
      <c r="Z6" s="40">
        <v>0</v>
      </c>
      <c r="AA6" s="40">
        <v>34576765.5</v>
      </c>
      <c r="AB6" s="40">
        <v>0</v>
      </c>
      <c r="AC6" s="40">
        <v>51036630.039999999</v>
      </c>
      <c r="AD6" s="40">
        <v>0</v>
      </c>
      <c r="AE6" s="40">
        <v>22858237.57</v>
      </c>
      <c r="AF6" s="40">
        <v>0</v>
      </c>
      <c r="AG6" s="40">
        <v>45707647.460000001</v>
      </c>
      <c r="AH6" s="40">
        <v>0</v>
      </c>
      <c r="AI6" s="40">
        <v>21383690.02</v>
      </c>
      <c r="AJ6" s="40">
        <v>0</v>
      </c>
      <c r="AK6" s="40">
        <v>35159097.270000003</v>
      </c>
      <c r="AL6" s="40">
        <v>0</v>
      </c>
      <c r="AM6" s="40">
        <v>21886738.149999999</v>
      </c>
      <c r="AN6" s="40">
        <v>13370651.289999999</v>
      </c>
      <c r="AO6" s="40">
        <v>0</v>
      </c>
      <c r="AP6" s="40">
        <v>0</v>
      </c>
      <c r="AQ6" s="40">
        <v>6131817.4000000004</v>
      </c>
      <c r="AR6" s="40">
        <v>3267440.6</v>
      </c>
      <c r="AS6" s="40">
        <v>0</v>
      </c>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row>
    <row r="7" spans="1:74" s="26" customFormat="1">
      <c r="A7" s="17" t="s">
        <v>306</v>
      </c>
      <c r="B7" s="40">
        <v>0</v>
      </c>
      <c r="C7" s="40">
        <v>1929417.93</v>
      </c>
      <c r="D7" s="40">
        <v>0</v>
      </c>
      <c r="E7" s="40">
        <v>3124889.66</v>
      </c>
      <c r="F7" s="40">
        <v>0</v>
      </c>
      <c r="G7" s="40">
        <v>1442989.68</v>
      </c>
      <c r="H7" s="40">
        <v>0</v>
      </c>
      <c r="I7" s="40">
        <v>611128.18999999994</v>
      </c>
      <c r="J7" s="40">
        <v>0</v>
      </c>
      <c r="K7" s="40">
        <v>191744.36</v>
      </c>
      <c r="L7" s="40">
        <v>0</v>
      </c>
      <c r="M7" s="40">
        <v>381877.92</v>
      </c>
      <c r="N7" s="40">
        <v>0</v>
      </c>
      <c r="O7" s="40">
        <v>372476.24</v>
      </c>
      <c r="P7" s="40">
        <v>262583.09000000003</v>
      </c>
      <c r="Q7" s="40">
        <v>27400</v>
      </c>
      <c r="R7" s="40">
        <v>0</v>
      </c>
      <c r="S7" s="40">
        <v>0</v>
      </c>
      <c r="T7" s="40">
        <v>0</v>
      </c>
      <c r="U7" s="40">
        <v>17922457.559999999</v>
      </c>
      <c r="V7" s="40">
        <v>0</v>
      </c>
      <c r="W7" s="40">
        <v>8903258.8200000003</v>
      </c>
      <c r="X7" s="40">
        <v>0</v>
      </c>
      <c r="Y7" s="40">
        <v>14631926.67</v>
      </c>
      <c r="Z7" s="40">
        <v>0</v>
      </c>
      <c r="AA7" s="40">
        <v>6236589.1699999999</v>
      </c>
      <c r="AB7" s="40">
        <v>0</v>
      </c>
      <c r="AC7" s="40">
        <v>7171381.2199999997</v>
      </c>
      <c r="AD7" s="40">
        <v>0</v>
      </c>
      <c r="AE7" s="40">
        <v>3399221.92</v>
      </c>
      <c r="AF7" s="40">
        <v>0</v>
      </c>
      <c r="AG7" s="40">
        <v>6907513.0800000001</v>
      </c>
      <c r="AH7" s="40">
        <v>0</v>
      </c>
      <c r="AI7" s="40">
        <v>3453624.6</v>
      </c>
      <c r="AJ7" s="40">
        <v>0</v>
      </c>
      <c r="AK7" s="40">
        <v>4896589.84</v>
      </c>
      <c r="AL7" s="40">
        <v>0</v>
      </c>
      <c r="AM7" s="40">
        <v>3177386.06</v>
      </c>
      <c r="AN7" s="40">
        <v>1155438.06</v>
      </c>
      <c r="AO7" s="40">
        <v>0</v>
      </c>
      <c r="AP7" s="40">
        <v>0</v>
      </c>
      <c r="AQ7" s="40">
        <v>182227.34</v>
      </c>
      <c r="AR7" s="40">
        <v>0</v>
      </c>
      <c r="AS7" s="40">
        <v>0</v>
      </c>
    </row>
    <row r="8" spans="1:74" s="26" customFormat="1">
      <c r="A8" s="17" t="s">
        <v>307</v>
      </c>
      <c r="B8" s="40">
        <v>0</v>
      </c>
      <c r="C8" s="40">
        <v>0</v>
      </c>
      <c r="D8" s="40">
        <v>0</v>
      </c>
      <c r="E8" s="40">
        <v>0</v>
      </c>
      <c r="F8" s="40">
        <v>0</v>
      </c>
      <c r="G8" s="40">
        <v>0</v>
      </c>
      <c r="H8" s="40">
        <v>0</v>
      </c>
      <c r="I8" s="40">
        <v>0</v>
      </c>
      <c r="J8" s="40">
        <v>0</v>
      </c>
      <c r="K8" s="40">
        <v>0</v>
      </c>
      <c r="L8" s="40">
        <v>0</v>
      </c>
      <c r="M8" s="40">
        <v>0</v>
      </c>
      <c r="N8" s="40">
        <v>0</v>
      </c>
      <c r="O8" s="40">
        <v>0</v>
      </c>
      <c r="P8" s="40">
        <v>0</v>
      </c>
      <c r="Q8" s="40">
        <v>0</v>
      </c>
      <c r="R8" s="40">
        <v>0</v>
      </c>
      <c r="S8" s="40">
        <v>0</v>
      </c>
      <c r="T8" s="40">
        <v>0</v>
      </c>
      <c r="U8" s="40">
        <v>1794911.72</v>
      </c>
      <c r="V8" s="40">
        <v>0</v>
      </c>
      <c r="W8" s="40">
        <v>555186.06000000006</v>
      </c>
      <c r="X8" s="40">
        <v>0</v>
      </c>
      <c r="Y8" s="40">
        <v>896074.29</v>
      </c>
      <c r="Z8" s="40">
        <v>0</v>
      </c>
      <c r="AA8" s="40">
        <v>380273.58</v>
      </c>
      <c r="AB8" s="40">
        <v>0</v>
      </c>
      <c r="AC8" s="40">
        <v>570410.4</v>
      </c>
      <c r="AD8" s="40">
        <v>0</v>
      </c>
      <c r="AE8" s="40">
        <v>53333.34</v>
      </c>
      <c r="AF8" s="40">
        <v>0</v>
      </c>
      <c r="AG8" s="40">
        <v>0</v>
      </c>
      <c r="AH8" s="40">
        <v>0</v>
      </c>
      <c r="AI8" s="40">
        <v>0</v>
      </c>
      <c r="AJ8" s="40">
        <v>0</v>
      </c>
      <c r="AK8" s="40">
        <v>138019.47</v>
      </c>
      <c r="AL8" s="40">
        <v>0</v>
      </c>
      <c r="AM8" s="40">
        <v>165623.32999999999</v>
      </c>
      <c r="AN8" s="40">
        <v>165623.32</v>
      </c>
      <c r="AO8" s="40">
        <v>0</v>
      </c>
      <c r="AP8" s="40">
        <v>0</v>
      </c>
      <c r="AQ8" s="40">
        <v>2890217.52</v>
      </c>
      <c r="AR8" s="40">
        <v>2531264.21</v>
      </c>
      <c r="AS8" s="40">
        <v>0</v>
      </c>
    </row>
    <row r="9" spans="1:74" s="26" customFormat="1">
      <c r="A9" s="17" t="s">
        <v>308</v>
      </c>
      <c r="B9" s="40">
        <v>0</v>
      </c>
      <c r="C9" s="40">
        <v>0</v>
      </c>
      <c r="D9" s="40">
        <v>0</v>
      </c>
      <c r="E9" s="40">
        <v>-23240.42</v>
      </c>
      <c r="F9" s="40">
        <v>0</v>
      </c>
      <c r="G9" s="40">
        <v>0</v>
      </c>
      <c r="H9" s="40">
        <v>0</v>
      </c>
      <c r="I9" s="40">
        <v>0</v>
      </c>
      <c r="J9" s="40">
        <v>0</v>
      </c>
      <c r="K9" s="40">
        <v>0</v>
      </c>
      <c r="L9" s="40">
        <v>0</v>
      </c>
      <c r="M9" s="40">
        <v>62000.1</v>
      </c>
      <c r="N9" s="40">
        <v>0</v>
      </c>
      <c r="O9" s="40">
        <v>0</v>
      </c>
      <c r="P9" s="40">
        <v>0</v>
      </c>
      <c r="Q9" s="40">
        <v>600</v>
      </c>
      <c r="R9" s="40">
        <v>0</v>
      </c>
      <c r="S9" s="40">
        <v>0</v>
      </c>
      <c r="T9" s="40">
        <v>0</v>
      </c>
      <c r="U9" s="40">
        <v>234623.61</v>
      </c>
      <c r="V9" s="40">
        <v>0</v>
      </c>
      <c r="W9" s="40">
        <v>209563.38</v>
      </c>
      <c r="X9" s="40">
        <v>0</v>
      </c>
      <c r="Y9" s="40">
        <v>9369971.2300000004</v>
      </c>
      <c r="Z9" s="40">
        <v>0</v>
      </c>
      <c r="AA9" s="40">
        <v>0</v>
      </c>
      <c r="AB9" s="40">
        <v>0</v>
      </c>
      <c r="AC9" s="40">
        <v>3548876.35</v>
      </c>
      <c r="AD9" s="40">
        <v>0</v>
      </c>
      <c r="AE9" s="40">
        <v>1312977.8600000001</v>
      </c>
      <c r="AF9" s="40">
        <v>0</v>
      </c>
      <c r="AG9" s="40">
        <v>12584530.58</v>
      </c>
      <c r="AH9" s="40">
        <v>0</v>
      </c>
      <c r="AI9" s="40">
        <v>22885.88</v>
      </c>
      <c r="AJ9" s="40">
        <v>0</v>
      </c>
      <c r="AK9" s="40">
        <v>2536167.5699999998</v>
      </c>
      <c r="AL9" s="40">
        <v>0</v>
      </c>
      <c r="AM9" s="40">
        <v>508385.8</v>
      </c>
      <c r="AN9" s="40">
        <v>880894.51</v>
      </c>
      <c r="AO9" s="40">
        <v>0</v>
      </c>
      <c r="AP9" s="40">
        <v>0</v>
      </c>
      <c r="AQ9" s="40">
        <v>-1145220.8799999999</v>
      </c>
      <c r="AR9" s="40">
        <v>-2973942.7</v>
      </c>
      <c r="AS9" s="40">
        <v>0</v>
      </c>
    </row>
    <row r="10" spans="1:74" s="26" customFormat="1">
      <c r="A10" s="17" t="s">
        <v>309</v>
      </c>
      <c r="B10" s="40">
        <v>0</v>
      </c>
      <c r="C10" s="40">
        <v>0</v>
      </c>
      <c r="D10" s="40">
        <v>0</v>
      </c>
      <c r="E10" s="40">
        <v>0</v>
      </c>
      <c r="F10" s="40">
        <v>0</v>
      </c>
      <c r="G10" s="40">
        <v>0</v>
      </c>
      <c r="H10" s="40">
        <v>0</v>
      </c>
      <c r="I10" s="40">
        <v>0</v>
      </c>
      <c r="J10" s="40">
        <v>0</v>
      </c>
      <c r="K10" s="40">
        <v>0</v>
      </c>
      <c r="L10" s="40">
        <v>0</v>
      </c>
      <c r="M10" s="40">
        <v>0</v>
      </c>
      <c r="N10" s="40">
        <v>0</v>
      </c>
      <c r="O10" s="40">
        <v>0</v>
      </c>
      <c r="P10" s="40">
        <v>0</v>
      </c>
      <c r="Q10" s="40">
        <v>0</v>
      </c>
      <c r="R10" s="40">
        <v>0</v>
      </c>
      <c r="S10" s="40">
        <v>0</v>
      </c>
      <c r="T10" s="40">
        <v>0</v>
      </c>
      <c r="U10" s="40">
        <v>0</v>
      </c>
      <c r="V10" s="40">
        <v>0</v>
      </c>
      <c r="W10" s="40">
        <v>0</v>
      </c>
      <c r="X10" s="40">
        <v>0</v>
      </c>
      <c r="Y10" s="40">
        <v>0</v>
      </c>
      <c r="Z10" s="40">
        <v>0</v>
      </c>
      <c r="AA10" s="40">
        <v>2457610.36</v>
      </c>
      <c r="AB10" s="40">
        <v>0</v>
      </c>
      <c r="AC10" s="40">
        <v>0</v>
      </c>
      <c r="AD10" s="40">
        <v>0</v>
      </c>
      <c r="AE10" s="40">
        <v>6131.75</v>
      </c>
      <c r="AF10" s="40">
        <v>0</v>
      </c>
      <c r="AG10" s="40">
        <v>0</v>
      </c>
      <c r="AH10" s="40">
        <v>0</v>
      </c>
      <c r="AI10" s="40">
        <v>0</v>
      </c>
      <c r="AJ10" s="40">
        <v>0</v>
      </c>
      <c r="AK10" s="40">
        <v>0</v>
      </c>
      <c r="AL10" s="40">
        <v>0</v>
      </c>
      <c r="AM10" s="40">
        <v>0</v>
      </c>
      <c r="AN10" s="40">
        <v>0</v>
      </c>
      <c r="AO10" s="40">
        <v>0</v>
      </c>
      <c r="AP10" s="40">
        <v>0</v>
      </c>
      <c r="AQ10" s="40">
        <v>63242.29</v>
      </c>
      <c r="AR10" s="40">
        <v>6674</v>
      </c>
      <c r="AS10" s="40">
        <v>0</v>
      </c>
    </row>
    <row r="11" spans="1:74" s="47" customFormat="1">
      <c r="A11" s="139" t="s">
        <v>296</v>
      </c>
      <c r="E11" s="47">
        <f>E5-E6-E7-E8-E9-E10</f>
        <v>18011717.830000002</v>
      </c>
      <c r="F11" s="47">
        <f t="shared" ref="F11:AB11" si="1">F5-F6-F7-F8-F9-F10</f>
        <v>10007836.979999999</v>
      </c>
      <c r="G11" s="47">
        <f t="shared" si="1"/>
        <v>6201784</v>
      </c>
      <c r="H11" s="47">
        <f t="shared" si="1"/>
        <v>3594320.99</v>
      </c>
      <c r="I11" s="47">
        <f t="shared" si="1"/>
        <v>31222509.34</v>
      </c>
      <c r="J11" s="47">
        <f t="shared" si="1"/>
        <v>17908864.460000001</v>
      </c>
      <c r="K11" s="47">
        <f t="shared" si="1"/>
        <v>13089429.640000001</v>
      </c>
      <c r="L11" s="47">
        <f t="shared" si="1"/>
        <v>8410223.1300000008</v>
      </c>
      <c r="M11" s="47">
        <f t="shared" si="1"/>
        <v>44719263.869999997</v>
      </c>
      <c r="N11" s="47">
        <f t="shared" si="1"/>
        <v>39021083.68</v>
      </c>
      <c r="O11" s="47">
        <f t="shared" si="1"/>
        <v>3159277.79</v>
      </c>
      <c r="P11" s="47">
        <f t="shared" si="1"/>
        <v>15069391.24</v>
      </c>
      <c r="Q11" s="47">
        <f t="shared" si="1"/>
        <v>13491142.91</v>
      </c>
      <c r="R11" s="47">
        <f t="shared" si="1"/>
        <v>3457449.21</v>
      </c>
      <c r="S11" s="47">
        <f t="shared" si="1"/>
        <v>0</v>
      </c>
      <c r="T11" s="47">
        <f t="shared" si="1"/>
        <v>214881674.38999999</v>
      </c>
      <c r="U11" s="47">
        <f t="shared" si="1"/>
        <v>488939775.77000004</v>
      </c>
      <c r="V11" s="47">
        <f t="shared" si="1"/>
        <v>471353341.70000005</v>
      </c>
      <c r="W11" s="47">
        <f t="shared" si="1"/>
        <v>239027431.62</v>
      </c>
      <c r="X11" s="47">
        <f t="shared" si="1"/>
        <v>169620195.03</v>
      </c>
      <c r="Y11" s="47">
        <f t="shared" si="1"/>
        <v>398561856.33999991</v>
      </c>
      <c r="Z11" s="47">
        <f t="shared" si="1"/>
        <v>379799631.58999997</v>
      </c>
      <c r="AA11" s="47">
        <f t="shared" si="1"/>
        <v>230516223.87</v>
      </c>
      <c r="AB11" s="47">
        <f t="shared" si="1"/>
        <v>89989521.530000001</v>
      </c>
    </row>
    <row r="12" spans="1:74" s="26" customFormat="1">
      <c r="A12" s="17" t="s">
        <v>297</v>
      </c>
      <c r="E12" s="26">
        <f t="shared" ref="E12:AB12" si="2">I34</f>
        <v>122211044.84</v>
      </c>
      <c r="F12" s="26">
        <f t="shared" si="2"/>
        <v>106885665.91</v>
      </c>
      <c r="G12" s="26">
        <f t="shared" si="2"/>
        <v>102860874.88</v>
      </c>
      <c r="H12" s="26">
        <f t="shared" si="2"/>
        <v>90585586.769999996</v>
      </c>
      <c r="I12" s="26">
        <f t="shared" si="2"/>
        <v>34469860.640000001</v>
      </c>
      <c r="J12" s="26">
        <f t="shared" si="2"/>
        <v>32109703.940000001</v>
      </c>
      <c r="K12" s="26">
        <f t="shared" si="2"/>
        <v>15975368.9</v>
      </c>
      <c r="L12" s="26">
        <f t="shared" si="2"/>
        <v>1059573.78</v>
      </c>
      <c r="M12" s="26">
        <f t="shared" si="2"/>
        <v>0</v>
      </c>
      <c r="N12" s="26">
        <f t="shared" si="2"/>
        <v>0</v>
      </c>
      <c r="O12" s="26">
        <f t="shared" si="2"/>
        <v>0</v>
      </c>
      <c r="P12" s="26">
        <f t="shared" si="2"/>
        <v>2422226331.04</v>
      </c>
      <c r="Q12" s="26">
        <f t="shared" si="2"/>
        <v>2191422276.9000001</v>
      </c>
      <c r="R12" s="26">
        <f t="shared" si="2"/>
        <v>2071315053.45</v>
      </c>
      <c r="S12" s="26">
        <f t="shared" si="2"/>
        <v>1845921264.79</v>
      </c>
      <c r="T12" s="26">
        <f t="shared" si="2"/>
        <v>1761621349.98</v>
      </c>
      <c r="U12" s="26">
        <f t="shared" si="2"/>
        <v>1692988956.96</v>
      </c>
      <c r="V12" s="26">
        <f t="shared" si="2"/>
        <v>1564687134.1800001</v>
      </c>
      <c r="W12" s="26">
        <f t="shared" si="2"/>
        <v>1478062969.8499999</v>
      </c>
      <c r="X12" s="26">
        <f t="shared" si="2"/>
        <v>1099582577.6300001</v>
      </c>
      <c r="Y12" s="26">
        <f t="shared" si="2"/>
        <v>0</v>
      </c>
      <c r="Z12" s="26">
        <f t="shared" si="2"/>
        <v>0</v>
      </c>
      <c r="AA12" s="26">
        <f t="shared" si="2"/>
        <v>0</v>
      </c>
      <c r="AB12" s="26">
        <f t="shared" si="2"/>
        <v>0</v>
      </c>
    </row>
    <row r="13" spans="1:74" s="63" customFormat="1">
      <c r="A13" s="63" t="s">
        <v>354</v>
      </c>
      <c r="E13" s="63">
        <f>E11/E12</f>
        <v>0.14738207871130743</v>
      </c>
      <c r="F13" s="63">
        <f t="shared" ref="F13:AK13" si="3">F11/F12</f>
        <v>9.3631235720857187E-2</v>
      </c>
      <c r="G13" s="63">
        <f t="shared" si="3"/>
        <v>6.0292934580180778E-2</v>
      </c>
      <c r="H13" s="63">
        <f t="shared" si="3"/>
        <v>3.967872945533938E-2</v>
      </c>
      <c r="I13" s="63">
        <f t="shared" si="3"/>
        <v>0.90579157444484515</v>
      </c>
      <c r="J13" s="63">
        <f t="shared" si="3"/>
        <v>0.55773994345959699</v>
      </c>
      <c r="K13" s="63">
        <f t="shared" si="3"/>
        <v>0.8193506968092612</v>
      </c>
      <c r="L13" s="63">
        <f t="shared" si="3"/>
        <v>7.9373643334209349</v>
      </c>
      <c r="M13" s="63" t="e">
        <f t="shared" si="3"/>
        <v>#DIV/0!</v>
      </c>
      <c r="N13" s="63" t="e">
        <f t="shared" si="3"/>
        <v>#DIV/0!</v>
      </c>
      <c r="O13" s="63" t="e">
        <f t="shared" si="3"/>
        <v>#DIV/0!</v>
      </c>
      <c r="P13" s="63">
        <f t="shared" si="3"/>
        <v>6.2212977568986503E-3</v>
      </c>
      <c r="Q13" s="63">
        <f t="shared" si="3"/>
        <v>6.1563410449056201E-3</v>
      </c>
      <c r="R13" s="63">
        <f t="shared" si="3"/>
        <v>1.6692048871277418E-3</v>
      </c>
      <c r="S13" s="63">
        <f t="shared" si="3"/>
        <v>0</v>
      </c>
      <c r="T13" s="63">
        <f t="shared" si="3"/>
        <v>0.12197949031012797</v>
      </c>
      <c r="U13" s="63">
        <f t="shared" si="3"/>
        <v>0.28880269641448825</v>
      </c>
      <c r="V13" s="63">
        <f t="shared" si="3"/>
        <v>0.30124446696305235</v>
      </c>
      <c r="W13" s="63">
        <f t="shared" si="3"/>
        <v>0.16171667682348981</v>
      </c>
      <c r="X13" s="63">
        <f t="shared" si="3"/>
        <v>0.1542587146074951</v>
      </c>
      <c r="Y13" s="63" t="e">
        <f t="shared" si="3"/>
        <v>#DIV/0!</v>
      </c>
      <c r="Z13" s="63" t="e">
        <f t="shared" si="3"/>
        <v>#DIV/0!</v>
      </c>
      <c r="AA13" s="63" t="e">
        <f t="shared" si="3"/>
        <v>#DIV/0!</v>
      </c>
      <c r="AB13" s="63" t="e">
        <f t="shared" si="3"/>
        <v>#DIV/0!</v>
      </c>
      <c r="AC13" s="63" t="e">
        <f t="shared" si="3"/>
        <v>#DIV/0!</v>
      </c>
      <c r="AD13" s="63" t="e">
        <f t="shared" si="3"/>
        <v>#DIV/0!</v>
      </c>
      <c r="AE13" s="63" t="e">
        <f t="shared" si="3"/>
        <v>#DIV/0!</v>
      </c>
      <c r="AF13" s="63" t="e">
        <f t="shared" si="3"/>
        <v>#DIV/0!</v>
      </c>
      <c r="AG13" s="63" t="e">
        <f t="shared" si="3"/>
        <v>#DIV/0!</v>
      </c>
      <c r="AH13" s="63" t="e">
        <f t="shared" si="3"/>
        <v>#DIV/0!</v>
      </c>
      <c r="AI13" s="63" t="e">
        <f t="shared" si="3"/>
        <v>#DIV/0!</v>
      </c>
      <c r="AJ13" s="63" t="e">
        <f t="shared" si="3"/>
        <v>#DIV/0!</v>
      </c>
      <c r="AK13" s="63" t="e">
        <f t="shared" si="3"/>
        <v>#DIV/0!</v>
      </c>
    </row>
    <row r="14" spans="1:74" s="48" customFormat="1">
      <c r="A14" s="46" t="s">
        <v>293</v>
      </c>
    </row>
    <row r="15" spans="1:74" s="26" customFormat="1">
      <c r="A15" s="17" t="s">
        <v>313</v>
      </c>
      <c r="B15" s="40">
        <v>0</v>
      </c>
      <c r="C15" s="40">
        <v>0</v>
      </c>
      <c r="D15" s="40">
        <v>0</v>
      </c>
      <c r="E15" s="40">
        <v>0</v>
      </c>
      <c r="F15" s="40">
        <v>0</v>
      </c>
      <c r="G15" s="40">
        <v>0</v>
      </c>
      <c r="H15" s="40">
        <v>0</v>
      </c>
      <c r="I15" s="40">
        <v>0</v>
      </c>
      <c r="J15" s="40">
        <v>0</v>
      </c>
      <c r="K15" s="40">
        <v>0</v>
      </c>
      <c r="L15" s="40">
        <v>0</v>
      </c>
      <c r="M15" s="40">
        <v>0</v>
      </c>
      <c r="N15" s="40">
        <v>0</v>
      </c>
      <c r="O15" s="40">
        <v>0</v>
      </c>
      <c r="P15" s="40">
        <v>0</v>
      </c>
      <c r="Q15" s="40">
        <v>0</v>
      </c>
      <c r="R15" s="40">
        <v>0</v>
      </c>
      <c r="S15" s="40">
        <v>0</v>
      </c>
      <c r="T15" s="40">
        <v>0</v>
      </c>
      <c r="U15" s="40">
        <v>0</v>
      </c>
      <c r="V15" s="40">
        <v>0</v>
      </c>
      <c r="W15" s="40">
        <v>0</v>
      </c>
      <c r="X15" s="40">
        <v>0</v>
      </c>
      <c r="Y15" s="40">
        <v>0</v>
      </c>
      <c r="Z15" s="40">
        <v>0</v>
      </c>
      <c r="AA15" s="40">
        <v>0</v>
      </c>
      <c r="AB15" s="40">
        <v>0</v>
      </c>
      <c r="AC15" s="40">
        <v>0</v>
      </c>
      <c r="AD15" s="40">
        <v>0</v>
      </c>
      <c r="AE15" s="40">
        <v>0</v>
      </c>
      <c r="AF15" s="40">
        <v>0</v>
      </c>
      <c r="AG15" s="40">
        <v>0</v>
      </c>
      <c r="AH15" s="40">
        <v>0</v>
      </c>
      <c r="AI15" s="40">
        <v>0</v>
      </c>
      <c r="AJ15" s="40">
        <v>0</v>
      </c>
      <c r="AK15" s="40">
        <v>0</v>
      </c>
      <c r="AL15" s="40">
        <v>0</v>
      </c>
      <c r="AM15" s="40">
        <v>0</v>
      </c>
      <c r="AN15" s="40">
        <v>0</v>
      </c>
      <c r="AO15" s="40">
        <v>0</v>
      </c>
      <c r="AP15" s="40">
        <v>0</v>
      </c>
      <c r="AQ15" s="40">
        <v>0</v>
      </c>
      <c r="AR15" s="40">
        <v>0</v>
      </c>
      <c r="AS15" s="40">
        <v>0</v>
      </c>
    </row>
    <row r="16" spans="1:74" s="26" customFormat="1">
      <c r="A16" s="17" t="s">
        <v>314</v>
      </c>
      <c r="B16" s="40">
        <v>5051573.2</v>
      </c>
      <c r="C16" s="40">
        <v>5051573.2</v>
      </c>
      <c r="D16" s="40">
        <v>5051573.2</v>
      </c>
      <c r="E16" s="40">
        <v>18353956.120000001</v>
      </c>
      <c r="F16" s="40">
        <v>18353956.120000001</v>
      </c>
      <c r="G16" s="40">
        <v>0</v>
      </c>
      <c r="H16" s="40">
        <v>0</v>
      </c>
      <c r="I16" s="40">
        <v>0</v>
      </c>
      <c r="J16" s="40">
        <v>0</v>
      </c>
      <c r="K16" s="40">
        <v>0</v>
      </c>
      <c r="L16" s="40">
        <v>0</v>
      </c>
      <c r="M16" s="40">
        <v>0</v>
      </c>
      <c r="N16" s="40">
        <v>0</v>
      </c>
      <c r="O16" s="40">
        <v>0</v>
      </c>
      <c r="P16" s="40">
        <v>0</v>
      </c>
      <c r="Q16" s="40">
        <v>0</v>
      </c>
      <c r="R16" s="40">
        <v>8000000</v>
      </c>
      <c r="S16" s="40">
        <v>0</v>
      </c>
      <c r="T16" s="40">
        <v>0</v>
      </c>
      <c r="U16" s="40">
        <v>0</v>
      </c>
      <c r="V16" s="40">
        <v>0</v>
      </c>
      <c r="W16" s="40">
        <v>0</v>
      </c>
      <c r="X16" s="40">
        <v>0</v>
      </c>
      <c r="Y16" s="40">
        <v>176000000</v>
      </c>
      <c r="Z16" s="40">
        <v>0</v>
      </c>
      <c r="AA16" s="40">
        <v>0</v>
      </c>
      <c r="AB16" s="40">
        <v>0</v>
      </c>
      <c r="AC16" s="40">
        <v>0</v>
      </c>
      <c r="AD16" s="40">
        <v>0</v>
      </c>
      <c r="AE16" s="40">
        <v>0</v>
      </c>
      <c r="AF16" s="40">
        <v>0</v>
      </c>
      <c r="AG16" s="40">
        <v>0</v>
      </c>
      <c r="AH16" s="40">
        <v>0</v>
      </c>
      <c r="AI16" s="40">
        <v>0</v>
      </c>
      <c r="AJ16" s="40">
        <v>0</v>
      </c>
      <c r="AK16" s="40">
        <v>0</v>
      </c>
      <c r="AL16" s="40">
        <v>0</v>
      </c>
      <c r="AM16" s="40">
        <v>0</v>
      </c>
      <c r="AN16" s="40">
        <v>23790600.27</v>
      </c>
      <c r="AO16" s="40">
        <v>0</v>
      </c>
      <c r="AP16" s="40">
        <v>0</v>
      </c>
      <c r="AQ16" s="40">
        <v>15439308.800000001</v>
      </c>
      <c r="AR16" s="40">
        <v>0</v>
      </c>
      <c r="AS16" s="40">
        <v>0</v>
      </c>
    </row>
    <row r="17" spans="1:74" s="47" customFormat="1">
      <c r="A17" s="139" t="s">
        <v>298</v>
      </c>
      <c r="E17" s="47">
        <f>E16-E15</f>
        <v>18353956.120000001</v>
      </c>
      <c r="F17" s="47">
        <f t="shared" ref="F17:AB17" si="4">F16-F15</f>
        <v>18353956.120000001</v>
      </c>
      <c r="G17" s="47">
        <f t="shared" si="4"/>
        <v>0</v>
      </c>
      <c r="H17" s="47">
        <f t="shared" si="4"/>
        <v>0</v>
      </c>
      <c r="I17" s="47">
        <f t="shared" si="4"/>
        <v>0</v>
      </c>
      <c r="J17" s="47">
        <f t="shared" si="4"/>
        <v>0</v>
      </c>
      <c r="K17" s="47">
        <f t="shared" si="4"/>
        <v>0</v>
      </c>
      <c r="L17" s="47">
        <f t="shared" si="4"/>
        <v>0</v>
      </c>
      <c r="M17" s="47">
        <f t="shared" si="4"/>
        <v>0</v>
      </c>
      <c r="N17" s="47">
        <f t="shared" si="4"/>
        <v>0</v>
      </c>
      <c r="O17" s="47">
        <f t="shared" si="4"/>
        <v>0</v>
      </c>
      <c r="P17" s="47">
        <f t="shared" si="4"/>
        <v>0</v>
      </c>
      <c r="Q17" s="47">
        <f t="shared" si="4"/>
        <v>0</v>
      </c>
      <c r="R17" s="47">
        <f t="shared" si="4"/>
        <v>8000000</v>
      </c>
      <c r="S17" s="47">
        <f t="shared" si="4"/>
        <v>0</v>
      </c>
      <c r="T17" s="47">
        <f t="shared" si="4"/>
        <v>0</v>
      </c>
      <c r="U17" s="47">
        <f t="shared" si="4"/>
        <v>0</v>
      </c>
      <c r="V17" s="47">
        <f t="shared" si="4"/>
        <v>0</v>
      </c>
      <c r="W17" s="47">
        <f t="shared" si="4"/>
        <v>0</v>
      </c>
      <c r="X17" s="47">
        <f t="shared" si="4"/>
        <v>0</v>
      </c>
      <c r="Y17" s="47">
        <f t="shared" si="4"/>
        <v>176000000</v>
      </c>
      <c r="Z17" s="47">
        <f t="shared" si="4"/>
        <v>0</v>
      </c>
      <c r="AA17" s="47">
        <f t="shared" si="4"/>
        <v>0</v>
      </c>
      <c r="AB17" s="47">
        <f t="shared" si="4"/>
        <v>0</v>
      </c>
    </row>
    <row r="18" spans="1:74" s="48" customFormat="1">
      <c r="A18" s="46" t="s">
        <v>294</v>
      </c>
    </row>
    <row r="19" spans="1:74" s="26" customFormat="1">
      <c r="A19" s="17" t="s">
        <v>299</v>
      </c>
      <c r="E19" s="26">
        <f>E5+E17</f>
        <v>41049476.109999999</v>
      </c>
      <c r="F19" s="26">
        <f t="shared" ref="F19:AB19" si="5">F5+F17</f>
        <v>28361793.100000001</v>
      </c>
      <c r="G19" s="26">
        <f t="shared" si="5"/>
        <v>8404068.0899999999</v>
      </c>
      <c r="H19" s="26">
        <f t="shared" si="5"/>
        <v>3594320.99</v>
      </c>
      <c r="I19" s="26">
        <f t="shared" si="5"/>
        <v>33328010.07</v>
      </c>
      <c r="J19" s="26">
        <f t="shared" si="5"/>
        <v>17908864.460000001</v>
      </c>
      <c r="K19" s="26">
        <f t="shared" si="5"/>
        <v>14030726.73</v>
      </c>
      <c r="L19" s="26">
        <f t="shared" si="5"/>
        <v>8410223.1300000008</v>
      </c>
      <c r="M19" s="26">
        <f t="shared" si="5"/>
        <v>46721188.219999999</v>
      </c>
      <c r="N19" s="26">
        <f t="shared" si="5"/>
        <v>39021083.68</v>
      </c>
      <c r="O19" s="26">
        <f t="shared" si="5"/>
        <v>5066151.1100000003</v>
      </c>
      <c r="P19" s="26">
        <f t="shared" si="5"/>
        <v>16717932.84</v>
      </c>
      <c r="Q19" s="26">
        <f t="shared" si="5"/>
        <v>14363942.91</v>
      </c>
      <c r="R19" s="26">
        <f t="shared" si="5"/>
        <v>11457449.210000001</v>
      </c>
      <c r="S19" s="26">
        <f t="shared" si="5"/>
        <v>0</v>
      </c>
      <c r="T19" s="26">
        <f t="shared" si="5"/>
        <v>214881674.38999999</v>
      </c>
      <c r="U19" s="26">
        <f t="shared" si="5"/>
        <v>602750132.04000008</v>
      </c>
      <c r="V19" s="26">
        <f t="shared" si="5"/>
        <v>471353341.70000005</v>
      </c>
      <c r="W19" s="26">
        <f t="shared" si="5"/>
        <v>293867091.94999999</v>
      </c>
      <c r="X19" s="26">
        <f t="shared" si="5"/>
        <v>169620195.03</v>
      </c>
      <c r="Y19" s="26">
        <f t="shared" si="5"/>
        <v>679534216.37</v>
      </c>
      <c r="Z19" s="26">
        <f t="shared" si="5"/>
        <v>379799631.58999997</v>
      </c>
      <c r="AA19" s="26">
        <f t="shared" si="5"/>
        <v>274167462.48000002</v>
      </c>
      <c r="AB19" s="26">
        <f t="shared" si="5"/>
        <v>89989521.530000001</v>
      </c>
    </row>
    <row r="20" spans="1:74" s="26" customFormat="1">
      <c r="A20" s="17" t="s">
        <v>300</v>
      </c>
      <c r="B20" s="40">
        <v>9355926.0700000003</v>
      </c>
      <c r="C20" s="40">
        <v>-16275696.35</v>
      </c>
      <c r="D20" s="40">
        <v>-29998927.920000002</v>
      </c>
      <c r="E20" s="40">
        <v>87436220.879999995</v>
      </c>
      <c r="F20" s="40">
        <v>44430363.68</v>
      </c>
      <c r="G20" s="40">
        <v>24256948.899999999</v>
      </c>
      <c r="H20" s="40">
        <v>-4803632.99</v>
      </c>
      <c r="I20" s="40">
        <v>67175954.819999993</v>
      </c>
      <c r="J20" s="40">
        <v>9880850.3900000006</v>
      </c>
      <c r="K20" s="40">
        <v>-25621.62</v>
      </c>
      <c r="L20" s="40">
        <v>-3837841.01</v>
      </c>
      <c r="M20" s="40">
        <v>54359761.829999998</v>
      </c>
      <c r="N20" s="40">
        <v>49422045.369999997</v>
      </c>
      <c r="O20" s="40">
        <v>65883707.280000001</v>
      </c>
      <c r="P20" s="40">
        <v>50278339.369999997</v>
      </c>
      <c r="Q20" s="40">
        <v>73274843.280000001</v>
      </c>
      <c r="R20" s="40">
        <v>17194183.879999999</v>
      </c>
      <c r="S20" s="40">
        <v>0</v>
      </c>
      <c r="T20" s="40">
        <v>87970269.329999998</v>
      </c>
      <c r="U20" s="40">
        <v>429346660.82999998</v>
      </c>
      <c r="V20" s="40">
        <v>347262845.38999999</v>
      </c>
      <c r="W20" s="40">
        <v>212194661.69</v>
      </c>
      <c r="X20" s="40">
        <v>96194460.510000005</v>
      </c>
      <c r="Y20" s="40">
        <v>395550930.70999998</v>
      </c>
      <c r="Z20" s="40">
        <v>250293047.62</v>
      </c>
      <c r="AA20" s="40">
        <v>195407042.40000001</v>
      </c>
      <c r="AB20" s="40">
        <v>71978644.489999995</v>
      </c>
      <c r="AC20" s="40">
        <v>294952116.56999999</v>
      </c>
      <c r="AD20" s="40">
        <v>267189069.49000001</v>
      </c>
      <c r="AE20" s="40">
        <v>157247235.66999999</v>
      </c>
      <c r="AF20" s="40">
        <v>55175773.840000004</v>
      </c>
      <c r="AG20" s="40">
        <v>250359905.77000001</v>
      </c>
      <c r="AH20" s="40">
        <v>221377182.50999999</v>
      </c>
      <c r="AI20" s="40">
        <v>120598528.28</v>
      </c>
      <c r="AJ20" s="40">
        <v>12877267.82</v>
      </c>
      <c r="AK20" s="40">
        <v>150712242.96000001</v>
      </c>
      <c r="AL20" s="40">
        <v>111173979.29000001</v>
      </c>
      <c r="AM20" s="40">
        <v>98719784.069999993</v>
      </c>
      <c r="AN20" s="40">
        <v>255265844.22</v>
      </c>
      <c r="AO20" s="40">
        <v>0</v>
      </c>
      <c r="AP20" s="40">
        <v>-5005112.54</v>
      </c>
      <c r="AQ20" s="40">
        <v>129131862.63</v>
      </c>
      <c r="AR20" s="40">
        <v>78800876.209999993</v>
      </c>
      <c r="AS20" s="40">
        <v>0</v>
      </c>
    </row>
    <row r="21" spans="1:74" s="63" customFormat="1">
      <c r="A21" s="63" t="s">
        <v>558</v>
      </c>
      <c r="E21" s="63">
        <f>E20/E19</f>
        <v>2.130020384321051</v>
      </c>
      <c r="F21" s="63">
        <f t="shared" ref="F21:AB21" si="6">F20/F19</f>
        <v>1.5665569353582232</v>
      </c>
      <c r="G21" s="63">
        <f t="shared" si="6"/>
        <v>2.8863341705742891</v>
      </c>
      <c r="H21" s="63">
        <f t="shared" si="6"/>
        <v>-1.3364507519958588</v>
      </c>
      <c r="I21" s="63">
        <f t="shared" si="6"/>
        <v>2.0156005317721628</v>
      </c>
      <c r="J21" s="63">
        <f t="shared" si="6"/>
        <v>0.55172958687968088</v>
      </c>
      <c r="K21" s="63">
        <f t="shared" si="6"/>
        <v>-1.8261078341164441E-3</v>
      </c>
      <c r="L21" s="63">
        <f t="shared" si="6"/>
        <v>-0.45633046242377157</v>
      </c>
      <c r="M21" s="63">
        <f t="shared" si="6"/>
        <v>1.1634927085764943</v>
      </c>
      <c r="N21" s="63">
        <f t="shared" si="6"/>
        <v>1.2665472280394647</v>
      </c>
      <c r="O21" s="63">
        <f t="shared" si="6"/>
        <v>13.004686565695431</v>
      </c>
      <c r="P21" s="63">
        <f t="shared" si="6"/>
        <v>3.0074495364463969</v>
      </c>
      <c r="Q21" s="63">
        <f t="shared" si="6"/>
        <v>5.1013042685505914</v>
      </c>
      <c r="R21" s="63">
        <f t="shared" si="6"/>
        <v>1.5006991141617287</v>
      </c>
      <c r="S21" s="63" t="e">
        <f t="shared" si="6"/>
        <v>#DIV/0!</v>
      </c>
      <c r="T21" s="63">
        <f t="shared" si="6"/>
        <v>0.40938935151044176</v>
      </c>
      <c r="U21" s="63">
        <f t="shared" si="6"/>
        <v>0.71231284409160012</v>
      </c>
      <c r="V21" s="63">
        <f t="shared" si="6"/>
        <v>0.73673572385749764</v>
      </c>
      <c r="W21" s="63">
        <f t="shared" si="6"/>
        <v>0.72207697800372916</v>
      </c>
      <c r="X21" s="63">
        <f t="shared" si="6"/>
        <v>0.56711678991399872</v>
      </c>
      <c r="Y21" s="63">
        <f t="shared" si="6"/>
        <v>0.58209126366438357</v>
      </c>
      <c r="Z21" s="63">
        <f t="shared" si="6"/>
        <v>0.65901340286236909</v>
      </c>
      <c r="AA21" s="63">
        <f t="shared" si="6"/>
        <v>0.71272878492740388</v>
      </c>
      <c r="AB21" s="63">
        <f t="shared" si="6"/>
        <v>0.79985584172713176</v>
      </c>
    </row>
    <row r="22" spans="1:74" s="26" customFormat="1">
      <c r="A22" s="17" t="s">
        <v>301</v>
      </c>
      <c r="E22" s="26">
        <f>I35</f>
        <v>113271854.45999999</v>
      </c>
      <c r="F22" s="26">
        <f t="shared" ref="F22:AB22" si="7">J35</f>
        <v>85346380.980000004</v>
      </c>
      <c r="G22" s="26">
        <f t="shared" si="7"/>
        <v>83238034.700000003</v>
      </c>
      <c r="H22" s="26">
        <f t="shared" si="7"/>
        <v>101054543.05</v>
      </c>
      <c r="I22" s="26">
        <f t="shared" si="7"/>
        <v>117877584.94</v>
      </c>
      <c r="J22" s="26">
        <f t="shared" si="7"/>
        <v>87797003.269999996</v>
      </c>
      <c r="K22" s="26">
        <f t="shared" si="7"/>
        <v>65376596.740000002</v>
      </c>
      <c r="L22" s="26">
        <f t="shared" si="7"/>
        <v>33665736.18</v>
      </c>
      <c r="M22" s="26">
        <f t="shared" si="7"/>
        <v>0</v>
      </c>
      <c r="N22" s="26">
        <f t="shared" si="7"/>
        <v>0</v>
      </c>
      <c r="O22" s="26">
        <f t="shared" si="7"/>
        <v>0</v>
      </c>
      <c r="P22" s="26">
        <f t="shared" si="7"/>
        <v>0</v>
      </c>
      <c r="Q22" s="26">
        <f t="shared" si="7"/>
        <v>0</v>
      </c>
      <c r="R22" s="26">
        <f t="shared" si="7"/>
        <v>0</v>
      </c>
      <c r="S22" s="26">
        <f t="shared" si="7"/>
        <v>0</v>
      </c>
      <c r="T22" s="26">
        <f t="shared" si="7"/>
        <v>0</v>
      </c>
      <c r="U22" s="26">
        <f t="shared" si="7"/>
        <v>0</v>
      </c>
      <c r="V22" s="26">
        <f t="shared" si="7"/>
        <v>0</v>
      </c>
      <c r="W22" s="26">
        <f t="shared" si="7"/>
        <v>0</v>
      </c>
      <c r="X22" s="26">
        <f t="shared" si="7"/>
        <v>0</v>
      </c>
      <c r="Y22" s="26">
        <f t="shared" si="7"/>
        <v>0</v>
      </c>
      <c r="Z22" s="26">
        <f t="shared" si="7"/>
        <v>0</v>
      </c>
      <c r="AA22" s="26">
        <f t="shared" si="7"/>
        <v>0</v>
      </c>
      <c r="AB22" s="26">
        <f t="shared" si="7"/>
        <v>0</v>
      </c>
    </row>
    <row r="23" spans="1:74" s="26" customFormat="1">
      <c r="A23" s="17" t="s">
        <v>302</v>
      </c>
      <c r="E23" s="26">
        <f>E20+E22-E19</f>
        <v>159658599.22999996</v>
      </c>
      <c r="F23" s="26">
        <f t="shared" ref="F23:AB23" si="8">F20+F22-F19</f>
        <v>101414951.56</v>
      </c>
      <c r="G23" s="26">
        <f t="shared" si="8"/>
        <v>99090915.50999999</v>
      </c>
      <c r="H23" s="26">
        <f t="shared" si="8"/>
        <v>92656589.070000008</v>
      </c>
      <c r="I23" s="26">
        <f t="shared" si="8"/>
        <v>151725529.69</v>
      </c>
      <c r="J23" s="26">
        <f t="shared" si="8"/>
        <v>79768989.199999988</v>
      </c>
      <c r="K23" s="26">
        <f t="shared" si="8"/>
        <v>51320248.390000001</v>
      </c>
      <c r="L23" s="26">
        <f t="shared" si="8"/>
        <v>21417672.039999999</v>
      </c>
      <c r="M23" s="26">
        <f t="shared" si="8"/>
        <v>7638573.6099999994</v>
      </c>
      <c r="N23" s="26">
        <f t="shared" si="8"/>
        <v>10400961.689999998</v>
      </c>
      <c r="O23" s="26">
        <f t="shared" si="8"/>
        <v>60817556.170000002</v>
      </c>
      <c r="P23" s="26">
        <f t="shared" si="8"/>
        <v>33560406.530000001</v>
      </c>
      <c r="Q23" s="26">
        <f t="shared" si="8"/>
        <v>58910900.370000005</v>
      </c>
      <c r="R23" s="26">
        <f t="shared" si="8"/>
        <v>5736734.6699999981</v>
      </c>
      <c r="S23" s="26">
        <f t="shared" si="8"/>
        <v>0</v>
      </c>
      <c r="T23" s="26">
        <f t="shared" si="8"/>
        <v>-126911405.05999999</v>
      </c>
      <c r="U23" s="26">
        <f t="shared" si="8"/>
        <v>-173403471.2100001</v>
      </c>
      <c r="V23" s="26">
        <f t="shared" si="8"/>
        <v>-124090496.31000006</v>
      </c>
      <c r="W23" s="26">
        <f t="shared" si="8"/>
        <v>-81672430.25999999</v>
      </c>
      <c r="X23" s="26">
        <f t="shared" si="8"/>
        <v>-73425734.519999996</v>
      </c>
      <c r="Y23" s="26">
        <f t="shared" si="8"/>
        <v>-283983285.66000003</v>
      </c>
      <c r="Z23" s="26">
        <f t="shared" si="8"/>
        <v>-129506583.96999997</v>
      </c>
      <c r="AA23" s="26">
        <f t="shared" si="8"/>
        <v>-78760420.080000013</v>
      </c>
      <c r="AB23" s="26">
        <f t="shared" si="8"/>
        <v>-18010877.040000007</v>
      </c>
    </row>
    <row r="24" spans="1:74" s="26" customFormat="1">
      <c r="A24" s="17" t="s">
        <v>303</v>
      </c>
      <c r="B24" s="40">
        <v>29082808</v>
      </c>
      <c r="C24" s="40">
        <v>18548760</v>
      </c>
      <c r="D24" s="40">
        <v>33235560</v>
      </c>
      <c r="E24" s="40">
        <v>-12924000</v>
      </c>
      <c r="F24" s="40">
        <v>-12924000</v>
      </c>
      <c r="G24" s="40">
        <v>-12924000</v>
      </c>
      <c r="H24" s="40">
        <v>0</v>
      </c>
      <c r="I24" s="40">
        <v>280858670.66000003</v>
      </c>
      <c r="J24" s="40">
        <v>0</v>
      </c>
      <c r="K24" s="40">
        <v>0</v>
      </c>
      <c r="L24" s="40">
        <v>0</v>
      </c>
      <c r="M24" s="40">
        <v>-29590000</v>
      </c>
      <c r="N24" s="40">
        <v>-29590000</v>
      </c>
      <c r="O24" s="40">
        <v>-30128000</v>
      </c>
      <c r="P24" s="40">
        <v>-16140000</v>
      </c>
      <c r="Q24" s="40">
        <v>-27200039.809999999</v>
      </c>
      <c r="R24" s="40">
        <v>-1103105.19</v>
      </c>
      <c r="S24" s="40">
        <v>0</v>
      </c>
      <c r="T24" s="40">
        <v>-10668200</v>
      </c>
      <c r="U24" s="40">
        <v>-106203649.98999999</v>
      </c>
      <c r="V24" s="40">
        <v>-93033697.769999996</v>
      </c>
      <c r="W24" s="40">
        <v>-82104808.890000001</v>
      </c>
      <c r="X24" s="40">
        <v>-11241777.779999999</v>
      </c>
      <c r="Y24" s="40">
        <v>-247406413.22</v>
      </c>
      <c r="Z24" s="40">
        <v>-195211241</v>
      </c>
      <c r="AA24" s="40">
        <v>-102166159.05</v>
      </c>
      <c r="AB24" s="40">
        <v>-14198634.029999999</v>
      </c>
      <c r="AC24" s="40">
        <v>-222942130.09999999</v>
      </c>
      <c r="AD24" s="40">
        <v>-187835058.56999999</v>
      </c>
      <c r="AE24" s="40">
        <v>-173229226.62</v>
      </c>
      <c r="AF24" s="40">
        <v>-85813623.569999993</v>
      </c>
      <c r="AG24" s="40">
        <v>2060244291.1099999</v>
      </c>
      <c r="AH24" s="40">
        <v>-23815710</v>
      </c>
      <c r="AI24" s="40">
        <v>-17457590</v>
      </c>
      <c r="AJ24" s="40">
        <v>-7962200</v>
      </c>
      <c r="AK24" s="40">
        <v>198789172.59999999</v>
      </c>
      <c r="AL24" s="40">
        <v>123418392.59999999</v>
      </c>
      <c r="AM24" s="40">
        <v>22197344.579999998</v>
      </c>
      <c r="AN24" s="40">
        <v>-24133176.379999999</v>
      </c>
      <c r="AO24" s="40">
        <v>0</v>
      </c>
      <c r="AP24" s="40">
        <v>-3449559.02</v>
      </c>
      <c r="AQ24" s="40">
        <v>-13461741.59</v>
      </c>
      <c r="AR24" s="40">
        <v>-32135336.57</v>
      </c>
      <c r="AS24" s="40">
        <v>0</v>
      </c>
    </row>
    <row r="25" spans="1:74" s="107" customFormat="1" ht="101.25" customHeight="1">
      <c r="A25" s="233" t="s">
        <v>645</v>
      </c>
      <c r="B25" s="234"/>
      <c r="C25" s="234"/>
      <c r="D25" s="234"/>
      <c r="E25" s="234"/>
      <c r="F25" s="234"/>
      <c r="G25" s="234"/>
      <c r="H25" s="234"/>
      <c r="I25" s="234"/>
      <c r="J25" s="234"/>
      <c r="K25" s="234"/>
      <c r="L25" s="234"/>
      <c r="M25" s="234"/>
      <c r="N25" s="234"/>
      <c r="O25" s="234"/>
      <c r="P25" s="234"/>
      <c r="Q25" s="234"/>
      <c r="R25" s="234"/>
      <c r="S25" s="234"/>
      <c r="T25" s="234"/>
      <c r="U25" s="234"/>
      <c r="V25" s="234"/>
      <c r="W25" s="234"/>
      <c r="X25" s="234"/>
      <c r="Y25" s="234"/>
      <c r="Z25" s="234"/>
      <c r="AA25" s="234"/>
      <c r="AB25" s="234"/>
      <c r="AC25" s="234"/>
      <c r="AD25" s="234"/>
      <c r="AE25" s="234"/>
      <c r="AF25" s="234"/>
      <c r="AG25" s="234"/>
      <c r="AH25" s="234"/>
      <c r="AI25" s="234"/>
      <c r="AJ25" s="234"/>
      <c r="AK25" s="234"/>
    </row>
    <row r="26" spans="1:74" s="26" customFormat="1">
      <c r="A26" s="17" t="s">
        <v>641</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c r="A27" s="17" t="s">
        <v>642</v>
      </c>
      <c r="E27" s="26">
        <f>现金流量表!E22</f>
        <v>0</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0</v>
      </c>
      <c r="N27" s="26">
        <f>现金流量表!N22</f>
        <v>0</v>
      </c>
      <c r="O27" s="26">
        <f>现金流量表!O22</f>
        <v>0</v>
      </c>
      <c r="P27" s="26">
        <f>现金流量表!P22</f>
        <v>0</v>
      </c>
      <c r="Q27" s="26">
        <f>现金流量表!Q22</f>
        <v>0</v>
      </c>
      <c r="R27" s="26">
        <f>现金流量表!R22</f>
        <v>0</v>
      </c>
      <c r="S27" s="26">
        <f>现金流量表!S22</f>
        <v>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c r="A28" s="17" t="s">
        <v>643</v>
      </c>
      <c r="E28" s="26">
        <f>E27-E26</f>
        <v>0</v>
      </c>
      <c r="F28" s="26">
        <f t="shared" ref="F28:BQ28" si="9">F27-F26</f>
        <v>0</v>
      </c>
      <c r="G28" s="26">
        <f t="shared" si="9"/>
        <v>0</v>
      </c>
      <c r="H28" s="26">
        <f t="shared" si="9"/>
        <v>0</v>
      </c>
      <c r="I28" s="26">
        <f t="shared" si="9"/>
        <v>0</v>
      </c>
      <c r="J28" s="26">
        <f t="shared" si="9"/>
        <v>0</v>
      </c>
      <c r="K28" s="26">
        <f t="shared" si="9"/>
        <v>0</v>
      </c>
      <c r="L28" s="26">
        <f t="shared" si="9"/>
        <v>0</v>
      </c>
      <c r="M28" s="26">
        <f t="shared" si="9"/>
        <v>0</v>
      </c>
      <c r="N28" s="26">
        <f t="shared" si="9"/>
        <v>0</v>
      </c>
      <c r="O28" s="26">
        <f t="shared" si="9"/>
        <v>0</v>
      </c>
      <c r="P28" s="26">
        <f t="shared" si="9"/>
        <v>0</v>
      </c>
      <c r="Q28" s="26">
        <f t="shared" si="9"/>
        <v>0</v>
      </c>
      <c r="R28" s="26">
        <f t="shared" si="9"/>
        <v>0</v>
      </c>
      <c r="S28" s="26">
        <f t="shared" si="9"/>
        <v>0</v>
      </c>
      <c r="T28" s="26">
        <f t="shared" si="9"/>
        <v>0</v>
      </c>
      <c r="U28" s="26">
        <f t="shared" si="9"/>
        <v>0</v>
      </c>
      <c r="V28" s="26">
        <f t="shared" si="9"/>
        <v>0</v>
      </c>
      <c r="W28" s="26">
        <f t="shared" si="9"/>
        <v>0</v>
      </c>
      <c r="X28" s="26">
        <f t="shared" si="9"/>
        <v>0</v>
      </c>
      <c r="Y28" s="26">
        <f t="shared" si="9"/>
        <v>0</v>
      </c>
      <c r="Z28" s="26">
        <f t="shared" si="9"/>
        <v>0</v>
      </c>
      <c r="AA28" s="26">
        <f t="shared" si="9"/>
        <v>0</v>
      </c>
      <c r="AB28" s="26">
        <f t="shared" si="9"/>
        <v>0</v>
      </c>
      <c r="AC28" s="26">
        <f t="shared" si="9"/>
        <v>0</v>
      </c>
      <c r="AD28" s="26">
        <f t="shared" si="9"/>
        <v>0</v>
      </c>
      <c r="AE28" s="26">
        <f t="shared" si="9"/>
        <v>0</v>
      </c>
      <c r="AF28" s="26">
        <f t="shared" si="9"/>
        <v>0</v>
      </c>
      <c r="AG28" s="26">
        <f t="shared" si="9"/>
        <v>0</v>
      </c>
      <c r="AH28" s="26">
        <f t="shared" si="9"/>
        <v>0</v>
      </c>
      <c r="AI28" s="26">
        <f t="shared" si="9"/>
        <v>0</v>
      </c>
      <c r="AJ28" s="26">
        <f t="shared" si="9"/>
        <v>0</v>
      </c>
      <c r="AK28" s="26">
        <f t="shared" si="9"/>
        <v>0</v>
      </c>
      <c r="AL28" s="26">
        <f t="shared" si="9"/>
        <v>0</v>
      </c>
      <c r="AM28" s="26">
        <f t="shared" si="9"/>
        <v>0</v>
      </c>
      <c r="AN28" s="26">
        <f t="shared" si="9"/>
        <v>0</v>
      </c>
      <c r="AO28" s="26">
        <f t="shared" si="9"/>
        <v>0</v>
      </c>
      <c r="AP28" s="26">
        <f t="shared" si="9"/>
        <v>0</v>
      </c>
      <c r="AQ28" s="26">
        <f t="shared" si="9"/>
        <v>0</v>
      </c>
      <c r="AR28" s="26">
        <f t="shared" si="9"/>
        <v>0</v>
      </c>
      <c r="AS28" s="26">
        <f t="shared" si="9"/>
        <v>0</v>
      </c>
      <c r="AT28" s="26">
        <f t="shared" si="9"/>
        <v>0</v>
      </c>
      <c r="AU28" s="26">
        <f t="shared" si="9"/>
        <v>0</v>
      </c>
      <c r="AV28" s="26">
        <f t="shared" si="9"/>
        <v>0</v>
      </c>
      <c r="AW28" s="26">
        <f t="shared" si="9"/>
        <v>0</v>
      </c>
      <c r="AX28" s="26">
        <f t="shared" si="9"/>
        <v>0</v>
      </c>
      <c r="AY28" s="26">
        <f t="shared" si="9"/>
        <v>0</v>
      </c>
      <c r="AZ28" s="26">
        <f t="shared" si="9"/>
        <v>0</v>
      </c>
      <c r="BA28" s="26">
        <f t="shared" si="9"/>
        <v>0</v>
      </c>
      <c r="BB28" s="26">
        <f t="shared" si="9"/>
        <v>0</v>
      </c>
      <c r="BC28" s="26">
        <f t="shared" si="9"/>
        <v>0</v>
      </c>
      <c r="BD28" s="26">
        <f t="shared" si="9"/>
        <v>0</v>
      </c>
      <c r="BE28" s="26">
        <f t="shared" si="9"/>
        <v>0</v>
      </c>
      <c r="BF28" s="26">
        <f t="shared" si="9"/>
        <v>0</v>
      </c>
      <c r="BG28" s="26">
        <f t="shared" si="9"/>
        <v>0</v>
      </c>
      <c r="BH28" s="26">
        <f t="shared" si="9"/>
        <v>0</v>
      </c>
      <c r="BI28" s="26">
        <f t="shared" si="9"/>
        <v>0</v>
      </c>
      <c r="BJ28" s="26">
        <f t="shared" si="9"/>
        <v>0</v>
      </c>
      <c r="BK28" s="26">
        <f t="shared" si="9"/>
        <v>0</v>
      </c>
      <c r="BL28" s="26">
        <f t="shared" si="9"/>
        <v>0</v>
      </c>
      <c r="BM28" s="26">
        <f t="shared" si="9"/>
        <v>0</v>
      </c>
      <c r="BN28" s="26">
        <f t="shared" si="9"/>
        <v>0</v>
      </c>
      <c r="BO28" s="26">
        <f t="shared" si="9"/>
        <v>0</v>
      </c>
      <c r="BP28" s="26">
        <f t="shared" si="9"/>
        <v>0</v>
      </c>
      <c r="BQ28" s="26">
        <f t="shared" si="9"/>
        <v>0</v>
      </c>
      <c r="BR28" s="26">
        <f t="shared" ref="BR28:BV28" si="10">BR27-BR26</f>
        <v>0</v>
      </c>
      <c r="BS28" s="26">
        <f t="shared" si="10"/>
        <v>0</v>
      </c>
      <c r="BT28" s="26">
        <f t="shared" si="10"/>
        <v>0</v>
      </c>
      <c r="BU28" s="26">
        <f t="shared" si="10"/>
        <v>0</v>
      </c>
      <c r="BV28" s="26">
        <f t="shared" si="10"/>
        <v>0</v>
      </c>
    </row>
    <row r="29" spans="1:74" s="26" customFormat="1">
      <c r="A29" s="193" t="s">
        <v>644</v>
      </c>
      <c r="E29" s="194" t="e">
        <f>POWER(E28/U28,1/5)-1</f>
        <v>#DIV/0!</v>
      </c>
    </row>
    <row r="30" spans="1:74" s="30" customFormat="1" ht="11.25" customHeight="1" thickBot="1">
      <c r="A30" s="141"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42004</v>
      </c>
      <c r="P30" s="1">
        <v>41639</v>
      </c>
      <c r="Q30" s="1">
        <v>41274</v>
      </c>
      <c r="R30" s="1">
        <v>40908</v>
      </c>
      <c r="S30" s="1">
        <v>25569</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39813</v>
      </c>
      <c r="AN30" s="1">
        <v>39447</v>
      </c>
      <c r="AO30" s="1">
        <v>25569</v>
      </c>
      <c r="AP30" s="1">
        <v>39721</v>
      </c>
      <c r="AQ30" s="1">
        <v>39447</v>
      </c>
      <c r="AR30" s="1">
        <v>39082</v>
      </c>
      <c r="AS30" s="1">
        <v>25569</v>
      </c>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v>25569</v>
      </c>
    </row>
    <row r="31" spans="1:74" s="51" customFormat="1" ht="14.25" customHeight="1">
      <c r="A31" s="113" t="s">
        <v>310</v>
      </c>
      <c r="B31" s="40">
        <v>208089707.91</v>
      </c>
      <c r="C31" s="40">
        <v>220594252.56</v>
      </c>
      <c r="D31" s="40">
        <v>197656229.66</v>
      </c>
      <c r="E31" s="40">
        <v>185559253.77000001</v>
      </c>
      <c r="F31" s="40">
        <v>179232592.27000001</v>
      </c>
      <c r="G31" s="40">
        <v>125502574.55</v>
      </c>
      <c r="H31" s="40">
        <v>121850622.88</v>
      </c>
      <c r="I31" s="40">
        <v>122211044.84</v>
      </c>
      <c r="J31" s="40">
        <v>106885665.91</v>
      </c>
      <c r="K31" s="40">
        <v>102860874.88</v>
      </c>
      <c r="L31" s="40">
        <v>90585586.769999996</v>
      </c>
      <c r="M31" s="40">
        <v>34469860.640000001</v>
      </c>
      <c r="N31" s="40">
        <v>32109703.940000001</v>
      </c>
      <c r="O31" s="40">
        <v>15975368.9</v>
      </c>
      <c r="P31" s="40">
        <v>1059573.78</v>
      </c>
      <c r="Q31" s="40">
        <v>0</v>
      </c>
      <c r="R31" s="40"/>
      <c r="S31" s="40"/>
      <c r="T31" s="40">
        <v>2422226331.04</v>
      </c>
      <c r="U31" s="40">
        <v>2191422276.9000001</v>
      </c>
      <c r="V31" s="40">
        <v>2071315053.45</v>
      </c>
      <c r="W31" s="40">
        <v>1845921264.79</v>
      </c>
      <c r="X31" s="40">
        <v>1761621349.98</v>
      </c>
      <c r="Y31" s="40">
        <v>1692988956.96</v>
      </c>
      <c r="Z31" s="40">
        <v>1564687134.1800001</v>
      </c>
      <c r="AA31" s="40">
        <v>1478062969.8499999</v>
      </c>
      <c r="AB31" s="40">
        <v>1099582577.6300001</v>
      </c>
      <c r="AC31" s="40">
        <v>1046678813.27</v>
      </c>
      <c r="AD31" s="40">
        <v>875546134.26999998</v>
      </c>
      <c r="AE31" s="40">
        <v>801047742.44000006</v>
      </c>
      <c r="AF31" s="40">
        <v>670092305.58000004</v>
      </c>
      <c r="AG31" s="40">
        <v>603319215.87</v>
      </c>
      <c r="AH31" s="40">
        <v>618436435.02999997</v>
      </c>
      <c r="AI31" s="40">
        <v>626795839.20000005</v>
      </c>
      <c r="AJ31" s="40">
        <v>615412283.76999998</v>
      </c>
      <c r="AK31" s="40">
        <v>407861797.13999999</v>
      </c>
      <c r="AL31" s="40">
        <v>246462895.41999999</v>
      </c>
      <c r="AM31" s="40">
        <v>0</v>
      </c>
      <c r="AN31" s="40"/>
      <c r="AO31" s="40"/>
      <c r="AP31" s="40">
        <v>16436845.380000001</v>
      </c>
      <c r="AQ31" s="40">
        <v>0</v>
      </c>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v>1207621496.74</v>
      </c>
    </row>
    <row r="32" spans="1:74" s="54" customFormat="1">
      <c r="A32" s="142" t="s">
        <v>311</v>
      </c>
      <c r="B32" s="40">
        <v>44500991.07</v>
      </c>
      <c r="C32" s="40">
        <v>44500991.07</v>
      </c>
      <c r="D32" s="40">
        <v>44500991.07</v>
      </c>
      <c r="E32" s="40">
        <v>44500991.07</v>
      </c>
      <c r="F32" s="40">
        <v>44855227.609999999</v>
      </c>
      <c r="G32" s="40">
        <v>0</v>
      </c>
      <c r="H32" s="40">
        <v>0</v>
      </c>
      <c r="I32" s="40">
        <v>0</v>
      </c>
      <c r="J32" s="40">
        <v>0</v>
      </c>
      <c r="K32" s="40">
        <v>0</v>
      </c>
      <c r="L32" s="40">
        <v>0</v>
      </c>
      <c r="M32" s="40">
        <v>0</v>
      </c>
      <c r="N32" s="40">
        <v>0</v>
      </c>
      <c r="O32" s="40">
        <v>0</v>
      </c>
      <c r="P32" s="40">
        <v>0</v>
      </c>
      <c r="Q32" s="40">
        <v>0</v>
      </c>
      <c r="R32" s="40"/>
      <c r="S32" s="40"/>
      <c r="T32" s="40">
        <v>0</v>
      </c>
      <c r="U32" s="40">
        <v>0</v>
      </c>
      <c r="V32" s="40">
        <v>0</v>
      </c>
      <c r="W32" s="40">
        <v>0</v>
      </c>
      <c r="X32" s="40">
        <v>0</v>
      </c>
      <c r="Y32" s="40">
        <v>0</v>
      </c>
      <c r="Z32" s="40">
        <v>0</v>
      </c>
      <c r="AA32" s="40">
        <v>0</v>
      </c>
      <c r="AB32" s="40">
        <v>0</v>
      </c>
      <c r="AC32" s="40">
        <v>0</v>
      </c>
      <c r="AD32" s="40">
        <v>0</v>
      </c>
      <c r="AE32" s="40">
        <v>0</v>
      </c>
      <c r="AF32" s="40">
        <v>0</v>
      </c>
      <c r="AG32" s="40">
        <v>0</v>
      </c>
      <c r="AH32" s="40">
        <v>0</v>
      </c>
      <c r="AI32" s="40">
        <v>0</v>
      </c>
      <c r="AJ32" s="40">
        <v>0</v>
      </c>
      <c r="AK32" s="40">
        <v>0</v>
      </c>
      <c r="AL32" s="40">
        <v>0</v>
      </c>
      <c r="AM32" s="40">
        <v>0</v>
      </c>
      <c r="AN32" s="40"/>
      <c r="AO32" s="40"/>
      <c r="AP32" s="40">
        <v>0</v>
      </c>
      <c r="AQ32" s="40">
        <v>0</v>
      </c>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v>0</v>
      </c>
    </row>
    <row r="33" spans="1:74" s="54" customFormat="1">
      <c r="A33" s="142" t="s">
        <v>312</v>
      </c>
      <c r="B33" s="40">
        <v>0</v>
      </c>
      <c r="C33" s="40">
        <v>20000000</v>
      </c>
      <c r="D33" s="40">
        <v>0</v>
      </c>
      <c r="E33" s="40">
        <v>0</v>
      </c>
      <c r="F33" s="40">
        <v>0</v>
      </c>
      <c r="G33" s="40">
        <v>0</v>
      </c>
      <c r="H33" s="40">
        <v>0</v>
      </c>
      <c r="I33" s="40">
        <v>0</v>
      </c>
      <c r="J33" s="40">
        <v>0</v>
      </c>
      <c r="K33" s="40">
        <v>0</v>
      </c>
      <c r="L33" s="40">
        <v>0</v>
      </c>
      <c r="M33" s="40">
        <v>0</v>
      </c>
      <c r="N33" s="40">
        <v>0</v>
      </c>
      <c r="O33" s="40">
        <v>0</v>
      </c>
      <c r="P33" s="40">
        <v>0</v>
      </c>
      <c r="Q33" s="40">
        <v>0</v>
      </c>
      <c r="R33" s="40"/>
      <c r="S33" s="40"/>
      <c r="T33" s="40">
        <v>0</v>
      </c>
      <c r="U33" s="40">
        <v>0</v>
      </c>
      <c r="V33" s="40">
        <v>0</v>
      </c>
      <c r="W33" s="40">
        <v>0</v>
      </c>
      <c r="X33" s="40">
        <v>0</v>
      </c>
      <c r="Y33" s="40">
        <v>0</v>
      </c>
      <c r="Z33" s="40">
        <v>0</v>
      </c>
      <c r="AA33" s="40">
        <v>0</v>
      </c>
      <c r="AB33" s="40">
        <v>0</v>
      </c>
      <c r="AC33" s="40">
        <v>0</v>
      </c>
      <c r="AD33" s="40">
        <v>0</v>
      </c>
      <c r="AE33" s="40">
        <v>0</v>
      </c>
      <c r="AF33" s="40">
        <v>0</v>
      </c>
      <c r="AG33" s="40">
        <v>0</v>
      </c>
      <c r="AH33" s="40">
        <v>0</v>
      </c>
      <c r="AI33" s="40">
        <v>0</v>
      </c>
      <c r="AJ33" s="40">
        <v>0</v>
      </c>
      <c r="AK33" s="40">
        <v>0</v>
      </c>
      <c r="AL33" s="40">
        <v>0</v>
      </c>
      <c r="AM33" s="40">
        <v>0</v>
      </c>
      <c r="AN33" s="40"/>
      <c r="AO33" s="40"/>
      <c r="AP33" s="40">
        <v>0</v>
      </c>
      <c r="AQ33" s="40">
        <v>0</v>
      </c>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v>0</v>
      </c>
    </row>
    <row r="34" spans="1:74" s="44" customFormat="1" ht="14.25" thickBot="1">
      <c r="A34" s="143" t="s">
        <v>315</v>
      </c>
      <c r="B34" s="49"/>
      <c r="C34" s="49"/>
      <c r="D34" s="49"/>
      <c r="E34" s="49">
        <f>E31-E32-E33</f>
        <v>141058262.70000002</v>
      </c>
      <c r="F34" s="49">
        <f t="shared" ref="F34:AB34" si="11">F31-F32-F33</f>
        <v>134377364.66000003</v>
      </c>
      <c r="G34" s="49">
        <f t="shared" si="11"/>
        <v>125502574.55</v>
      </c>
      <c r="H34" s="49">
        <f t="shared" si="11"/>
        <v>121850622.88</v>
      </c>
      <c r="I34" s="49">
        <f t="shared" si="11"/>
        <v>122211044.84</v>
      </c>
      <c r="J34" s="49">
        <f t="shared" si="11"/>
        <v>106885665.91</v>
      </c>
      <c r="K34" s="49">
        <f t="shared" si="11"/>
        <v>102860874.88</v>
      </c>
      <c r="L34" s="49">
        <f t="shared" si="11"/>
        <v>90585586.769999996</v>
      </c>
      <c r="M34" s="49">
        <f t="shared" si="11"/>
        <v>34469860.640000001</v>
      </c>
      <c r="N34" s="49">
        <f t="shared" si="11"/>
        <v>32109703.940000001</v>
      </c>
      <c r="O34" s="49">
        <f t="shared" si="11"/>
        <v>15975368.9</v>
      </c>
      <c r="P34" s="49">
        <f t="shared" si="11"/>
        <v>1059573.78</v>
      </c>
      <c r="Q34" s="49">
        <f t="shared" si="11"/>
        <v>0</v>
      </c>
      <c r="R34" s="49">
        <f t="shared" si="11"/>
        <v>0</v>
      </c>
      <c r="S34" s="49">
        <f t="shared" si="11"/>
        <v>0</v>
      </c>
      <c r="T34" s="49">
        <f t="shared" si="11"/>
        <v>2422226331.04</v>
      </c>
      <c r="U34" s="49">
        <f t="shared" si="11"/>
        <v>2191422276.9000001</v>
      </c>
      <c r="V34" s="49">
        <f t="shared" si="11"/>
        <v>2071315053.45</v>
      </c>
      <c r="W34" s="49">
        <f t="shared" si="11"/>
        <v>1845921264.79</v>
      </c>
      <c r="X34" s="49">
        <f t="shared" si="11"/>
        <v>1761621349.98</v>
      </c>
      <c r="Y34" s="49">
        <f t="shared" si="11"/>
        <v>1692988956.96</v>
      </c>
      <c r="Z34" s="49">
        <f t="shared" si="11"/>
        <v>1564687134.1800001</v>
      </c>
      <c r="AA34" s="49">
        <f t="shared" si="11"/>
        <v>1478062969.8499999</v>
      </c>
      <c r="AB34" s="49">
        <f t="shared" si="11"/>
        <v>1099582577.6300001</v>
      </c>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49"/>
      <c r="BA34" s="49"/>
      <c r="BB34" s="49"/>
      <c r="BC34" s="49"/>
      <c r="BD34" s="49"/>
      <c r="BE34" s="49"/>
      <c r="BF34" s="49"/>
      <c r="BG34" s="49"/>
      <c r="BH34" s="49"/>
      <c r="BI34" s="49"/>
      <c r="BJ34" s="49"/>
      <c r="BK34" s="49"/>
      <c r="BL34" s="49"/>
      <c r="BM34" s="49"/>
      <c r="BN34" s="49"/>
      <c r="BO34" s="49"/>
      <c r="BP34" s="49"/>
      <c r="BQ34" s="49"/>
      <c r="BR34" s="49"/>
      <c r="BS34" s="49"/>
      <c r="BT34" s="49"/>
      <c r="BU34" s="50"/>
    </row>
    <row r="35" spans="1:74" s="108" customFormat="1" ht="14.25" thickBot="1">
      <c r="A35" s="144" t="s">
        <v>317</v>
      </c>
      <c r="B35" s="33">
        <f>SUM(B22:B31)</f>
        <v>237215888.91</v>
      </c>
      <c r="C35" s="33">
        <f>SUM(C22:C31)</f>
        <v>239186293.56</v>
      </c>
      <c r="D35" s="33">
        <f>SUM(D22:D31)</f>
        <v>230934979.66</v>
      </c>
      <c r="E35" s="33">
        <f>资产资本表!E17</f>
        <v>462619726.81</v>
      </c>
      <c r="F35" s="33">
        <f>资产资本表!F17</f>
        <v>107296926.2</v>
      </c>
      <c r="G35" s="33">
        <f>资产资本表!G17</f>
        <v>59705580.670000002</v>
      </c>
      <c r="H35" s="33">
        <f>资产资本表!H17</f>
        <v>86686115.099999994</v>
      </c>
      <c r="I35" s="33">
        <f>资产资本表!I17</f>
        <v>113271854.45999999</v>
      </c>
      <c r="J35" s="33">
        <f>资产资本表!J17</f>
        <v>85346380.980000004</v>
      </c>
      <c r="K35" s="33">
        <f>资产资本表!K17</f>
        <v>83238034.700000003</v>
      </c>
      <c r="L35" s="33">
        <f>资产资本表!L17</f>
        <v>101054543.05</v>
      </c>
      <c r="M35" s="33">
        <f>资产资本表!M17</f>
        <v>117877584.94</v>
      </c>
      <c r="N35" s="33">
        <f>资产资本表!N17</f>
        <v>87797003.269999996</v>
      </c>
      <c r="O35" s="33">
        <f>资产资本表!O17</f>
        <v>65376596.740000002</v>
      </c>
      <c r="P35" s="33">
        <f>资产资本表!P17</f>
        <v>33665736.18</v>
      </c>
      <c r="Q35" s="33">
        <f>资产资本表!Q17</f>
        <v>0</v>
      </c>
      <c r="R35" s="33">
        <f>资产资本表!R17</f>
        <v>0</v>
      </c>
      <c r="S35" s="33">
        <f>资产资本表!S17</f>
        <v>0</v>
      </c>
      <c r="T35" s="33">
        <f>资产资本表!T17</f>
        <v>0</v>
      </c>
      <c r="U35" s="33">
        <f>资产资本表!U17</f>
        <v>0</v>
      </c>
      <c r="V35" s="33">
        <f>资产资本表!V17</f>
        <v>0</v>
      </c>
      <c r="W35" s="33">
        <f>资产资本表!W17</f>
        <v>0</v>
      </c>
      <c r="X35" s="33">
        <f>资产资本表!X17</f>
        <v>0</v>
      </c>
      <c r="Y35" s="33">
        <f>资产资本表!Y17</f>
        <v>0</v>
      </c>
      <c r="Z35" s="33">
        <f>资产资本表!Z17</f>
        <v>0</v>
      </c>
      <c r="AA35" s="33">
        <f>资产资本表!AA17</f>
        <v>0</v>
      </c>
      <c r="AB35" s="33">
        <f>资产资本表!AB17</f>
        <v>0</v>
      </c>
      <c r="AC35" s="33">
        <f>资产资本表!AC17</f>
        <v>0</v>
      </c>
      <c r="AD35" s="33">
        <f>资产资本表!AD17</f>
        <v>0</v>
      </c>
      <c r="AE35" s="33">
        <f>资产资本表!AE17</f>
        <v>0</v>
      </c>
      <c r="AF35" s="33">
        <f>资产资本表!AF17</f>
        <v>0</v>
      </c>
      <c r="AG35" s="33">
        <f>资产资本表!AG17</f>
        <v>0</v>
      </c>
      <c r="AH35" s="33">
        <f>资产资本表!AH17</f>
        <v>0</v>
      </c>
      <c r="AI35" s="33">
        <f>资产资本表!AI17</f>
        <v>0</v>
      </c>
      <c r="AJ35" s="33">
        <f>资产资本表!AJ17</f>
        <v>0</v>
      </c>
      <c r="AK35" s="33">
        <f>资产资本表!AK17</f>
        <v>0</v>
      </c>
      <c r="AL35" s="33">
        <f>资产资本表!AL17</f>
        <v>0</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c r="A36" s="17"/>
    </row>
    <row r="37" spans="1:74" s="26" customFormat="1">
      <c r="A37" s="17"/>
    </row>
    <row r="38" spans="1:74" s="18" customFormat="1">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42004</v>
      </c>
      <c r="P38" s="1">
        <v>41639</v>
      </c>
      <c r="Q38" s="1">
        <v>41274</v>
      </c>
      <c r="R38" s="1">
        <v>40908</v>
      </c>
      <c r="S38" s="1">
        <v>25569</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39813</v>
      </c>
      <c r="AN38" s="1">
        <v>39447</v>
      </c>
      <c r="AO38" s="1">
        <v>25569</v>
      </c>
      <c r="AP38" s="1">
        <v>39721</v>
      </c>
      <c r="AQ38" s="1">
        <v>39447</v>
      </c>
      <c r="AR38" s="1">
        <v>39082</v>
      </c>
      <c r="AS38" s="1">
        <v>25569</v>
      </c>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row>
    <row r="39" spans="1:74" s="48" customFormat="1">
      <c r="A39" s="46" t="s">
        <v>319</v>
      </c>
    </row>
    <row r="40" spans="1:74" s="26" customFormat="1">
      <c r="A40" s="17" t="s">
        <v>324</v>
      </c>
      <c r="B40" s="40">
        <v>43769608</v>
      </c>
      <c r="C40" s="40">
        <v>33235560</v>
      </c>
      <c r="D40" s="40">
        <v>33235560</v>
      </c>
      <c r="E40" s="40">
        <v>0</v>
      </c>
      <c r="F40" s="40">
        <v>0</v>
      </c>
      <c r="G40" s="40">
        <v>0</v>
      </c>
      <c r="H40" s="40">
        <v>0</v>
      </c>
      <c r="I40" s="40">
        <v>290080000</v>
      </c>
      <c r="J40" s="40">
        <v>0</v>
      </c>
      <c r="K40" s="40">
        <v>0</v>
      </c>
      <c r="L40" s="40">
        <v>0</v>
      </c>
      <c r="M40" s="40">
        <v>0</v>
      </c>
      <c r="N40" s="40">
        <v>0</v>
      </c>
      <c r="O40" s="40">
        <v>0</v>
      </c>
      <c r="P40" s="40">
        <v>0</v>
      </c>
      <c r="Q40" s="40">
        <v>0</v>
      </c>
      <c r="R40" s="40">
        <v>12030900</v>
      </c>
      <c r="S40" s="40">
        <v>0</v>
      </c>
      <c r="T40" s="40">
        <v>0</v>
      </c>
      <c r="U40" s="40">
        <v>20933950</v>
      </c>
      <c r="V40" s="40">
        <v>23392080</v>
      </c>
      <c r="W40" s="40">
        <v>23392080</v>
      </c>
      <c r="X40" s="40">
        <v>0</v>
      </c>
      <c r="Y40" s="40">
        <v>0</v>
      </c>
      <c r="Z40" s="40">
        <v>0</v>
      </c>
      <c r="AA40" s="40">
        <v>0</v>
      </c>
      <c r="AB40" s="40">
        <v>0</v>
      </c>
      <c r="AC40" s="40">
        <v>0</v>
      </c>
      <c r="AD40" s="40">
        <v>0</v>
      </c>
      <c r="AE40" s="40">
        <v>0</v>
      </c>
      <c r="AF40" s="40">
        <v>0</v>
      </c>
      <c r="AG40" s="40">
        <v>2128421000</v>
      </c>
      <c r="AH40" s="40">
        <v>0</v>
      </c>
      <c r="AI40" s="40">
        <v>0</v>
      </c>
      <c r="AJ40" s="40">
        <v>0</v>
      </c>
      <c r="AK40" s="40">
        <v>30977421.350000001</v>
      </c>
      <c r="AL40" s="40">
        <v>30977421.350000001</v>
      </c>
      <c r="AM40" s="40">
        <v>0</v>
      </c>
      <c r="AN40" s="40">
        <v>0</v>
      </c>
      <c r="AO40" s="40">
        <v>0</v>
      </c>
      <c r="AP40" s="40">
        <v>0</v>
      </c>
      <c r="AQ40" s="40">
        <v>26490701.399999999</v>
      </c>
      <c r="AR40" s="40">
        <v>0</v>
      </c>
      <c r="AS40" s="40">
        <v>0</v>
      </c>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row>
    <row r="41" spans="1:74" s="53" customFormat="1" ht="21.75" customHeight="1">
      <c r="A41" s="145" t="s">
        <v>646</v>
      </c>
      <c r="B41" s="53">
        <v>1419647033.29</v>
      </c>
      <c r="C41" s="53">
        <v>682396282.87</v>
      </c>
      <c r="D41" s="53">
        <v>73246783.790000007</v>
      </c>
      <c r="E41" s="53">
        <v>12924000</v>
      </c>
    </row>
    <row r="42" spans="1:74" s="26" customFormat="1">
      <c r="A42" s="17" t="s">
        <v>322</v>
      </c>
      <c r="E42" s="26">
        <f>E40-E41</f>
        <v>-12924000</v>
      </c>
      <c r="F42" s="26">
        <f t="shared" ref="F42:Y42" si="12">F40-F41</f>
        <v>0</v>
      </c>
      <c r="G42" s="26">
        <f t="shared" si="12"/>
        <v>0</v>
      </c>
      <c r="H42" s="26">
        <f t="shared" si="12"/>
        <v>0</v>
      </c>
      <c r="I42" s="26">
        <f>I40-I41</f>
        <v>290080000</v>
      </c>
      <c r="J42" s="26">
        <f t="shared" si="12"/>
        <v>0</v>
      </c>
      <c r="K42" s="26">
        <f t="shared" si="12"/>
        <v>0</v>
      </c>
      <c r="L42" s="26">
        <f t="shared" si="12"/>
        <v>0</v>
      </c>
      <c r="M42" s="26">
        <f t="shared" si="12"/>
        <v>0</v>
      </c>
      <c r="N42" s="26">
        <f t="shared" si="12"/>
        <v>0</v>
      </c>
      <c r="O42" s="26">
        <f t="shared" si="12"/>
        <v>0</v>
      </c>
      <c r="P42" s="26">
        <f t="shared" si="12"/>
        <v>0</v>
      </c>
      <c r="Q42" s="26">
        <f t="shared" si="12"/>
        <v>0</v>
      </c>
      <c r="R42" s="26">
        <f t="shared" si="12"/>
        <v>12030900</v>
      </c>
      <c r="S42" s="26">
        <f t="shared" si="12"/>
        <v>0</v>
      </c>
      <c r="T42" s="26">
        <f t="shared" si="12"/>
        <v>0</v>
      </c>
      <c r="U42" s="26">
        <f t="shared" si="12"/>
        <v>20933950</v>
      </c>
      <c r="V42" s="26">
        <f t="shared" si="12"/>
        <v>23392080</v>
      </c>
      <c r="W42" s="26">
        <f t="shared" si="12"/>
        <v>23392080</v>
      </c>
      <c r="X42" s="26">
        <f t="shared" si="12"/>
        <v>0</v>
      </c>
      <c r="Y42" s="26">
        <f t="shared" si="12"/>
        <v>0</v>
      </c>
      <c r="Z42" s="26">
        <f t="shared" ref="Z42:BQ42" si="13">Z40-Z41</f>
        <v>0</v>
      </c>
      <c r="AA42" s="26">
        <f t="shared" si="13"/>
        <v>0</v>
      </c>
      <c r="AB42" s="26">
        <f t="shared" si="13"/>
        <v>0</v>
      </c>
      <c r="AC42" s="26">
        <f t="shared" si="13"/>
        <v>0</v>
      </c>
      <c r="AD42" s="26">
        <f t="shared" si="13"/>
        <v>0</v>
      </c>
      <c r="AE42" s="26">
        <f t="shared" si="13"/>
        <v>0</v>
      </c>
      <c r="AF42" s="26">
        <f t="shared" si="13"/>
        <v>0</v>
      </c>
      <c r="AG42" s="26">
        <f t="shared" si="13"/>
        <v>2128421000</v>
      </c>
      <c r="AH42" s="26">
        <f t="shared" si="13"/>
        <v>0</v>
      </c>
      <c r="AI42" s="26">
        <f t="shared" si="13"/>
        <v>0</v>
      </c>
      <c r="AJ42" s="26">
        <f t="shared" si="13"/>
        <v>0</v>
      </c>
      <c r="AK42" s="26">
        <f t="shared" si="13"/>
        <v>30977421.350000001</v>
      </c>
      <c r="AL42" s="26">
        <f t="shared" si="13"/>
        <v>30977421.350000001</v>
      </c>
      <c r="AM42" s="26">
        <f t="shared" si="13"/>
        <v>0</v>
      </c>
      <c r="AN42" s="26">
        <f t="shared" si="13"/>
        <v>0</v>
      </c>
      <c r="AO42" s="26">
        <f t="shared" si="13"/>
        <v>0</v>
      </c>
      <c r="AP42" s="26">
        <f t="shared" si="13"/>
        <v>0</v>
      </c>
      <c r="AQ42" s="26">
        <f t="shared" si="13"/>
        <v>26490701.399999999</v>
      </c>
      <c r="AR42" s="26">
        <f t="shared" si="13"/>
        <v>0</v>
      </c>
      <c r="AS42" s="26">
        <f t="shared" si="13"/>
        <v>0</v>
      </c>
      <c r="AT42" s="26">
        <f t="shared" si="13"/>
        <v>0</v>
      </c>
      <c r="AU42" s="26">
        <f t="shared" si="13"/>
        <v>0</v>
      </c>
      <c r="AV42" s="26">
        <f t="shared" si="13"/>
        <v>0</v>
      </c>
      <c r="AW42" s="26">
        <f t="shared" si="13"/>
        <v>0</v>
      </c>
      <c r="AX42" s="26">
        <f t="shared" si="13"/>
        <v>0</v>
      </c>
      <c r="AY42" s="26">
        <f t="shared" si="13"/>
        <v>0</v>
      </c>
      <c r="AZ42" s="26">
        <f t="shared" si="13"/>
        <v>0</v>
      </c>
      <c r="BA42" s="26">
        <f t="shared" si="13"/>
        <v>0</v>
      </c>
      <c r="BB42" s="26">
        <f t="shared" si="13"/>
        <v>0</v>
      </c>
      <c r="BC42" s="26">
        <f t="shared" si="13"/>
        <v>0</v>
      </c>
      <c r="BD42" s="26">
        <f t="shared" si="13"/>
        <v>0</v>
      </c>
      <c r="BE42" s="26">
        <f t="shared" si="13"/>
        <v>0</v>
      </c>
      <c r="BF42" s="26">
        <f t="shared" si="13"/>
        <v>0</v>
      </c>
      <c r="BG42" s="26">
        <f t="shared" si="13"/>
        <v>0</v>
      </c>
      <c r="BH42" s="26">
        <f t="shared" si="13"/>
        <v>0</v>
      </c>
      <c r="BI42" s="26">
        <f t="shared" si="13"/>
        <v>0</v>
      </c>
      <c r="BJ42" s="26">
        <f t="shared" si="13"/>
        <v>0</v>
      </c>
      <c r="BK42" s="26">
        <f t="shared" si="13"/>
        <v>0</v>
      </c>
      <c r="BL42" s="26">
        <f t="shared" si="13"/>
        <v>0</v>
      </c>
      <c r="BM42" s="26">
        <f t="shared" si="13"/>
        <v>0</v>
      </c>
      <c r="BN42" s="26">
        <f t="shared" si="13"/>
        <v>0</v>
      </c>
      <c r="BO42" s="26">
        <f t="shared" si="13"/>
        <v>0</v>
      </c>
      <c r="BP42" s="26">
        <f t="shared" si="13"/>
        <v>0</v>
      </c>
      <c r="BQ42" s="26">
        <f t="shared" si="13"/>
        <v>0</v>
      </c>
      <c r="BR42" s="26">
        <f t="shared" ref="BR42:BV42" si="14">BR40-BR41</f>
        <v>0</v>
      </c>
      <c r="BS42" s="26">
        <f t="shared" si="14"/>
        <v>0</v>
      </c>
      <c r="BT42" s="26">
        <f t="shared" si="14"/>
        <v>0</v>
      </c>
      <c r="BU42" s="26">
        <f t="shared" si="14"/>
        <v>0</v>
      </c>
      <c r="BV42" s="26">
        <f t="shared" si="14"/>
        <v>0</v>
      </c>
    </row>
    <row r="43" spans="1:74" s="52" customFormat="1">
      <c r="A43" s="146" t="s">
        <v>321</v>
      </c>
    </row>
    <row r="44" spans="1:74" s="26" customFormat="1">
      <c r="A44" s="17" t="s">
        <v>325</v>
      </c>
      <c r="B44" s="40">
        <v>0</v>
      </c>
      <c r="C44" s="40">
        <v>0</v>
      </c>
      <c r="D44" s="40">
        <v>0</v>
      </c>
      <c r="E44" s="40">
        <v>0</v>
      </c>
      <c r="F44" s="40">
        <v>0</v>
      </c>
      <c r="G44" s="40">
        <v>0</v>
      </c>
      <c r="H44" s="40">
        <v>0</v>
      </c>
      <c r="I44" s="40">
        <v>0</v>
      </c>
      <c r="J44" s="40">
        <v>0</v>
      </c>
      <c r="K44" s="40">
        <v>0</v>
      </c>
      <c r="L44" s="40">
        <v>0</v>
      </c>
      <c r="M44" s="40">
        <v>0</v>
      </c>
      <c r="N44" s="40">
        <v>0</v>
      </c>
      <c r="O44" s="40">
        <v>0</v>
      </c>
      <c r="P44" s="40">
        <v>0</v>
      </c>
      <c r="Q44" s="40">
        <v>0</v>
      </c>
      <c r="R44" s="40">
        <v>0</v>
      </c>
      <c r="S44" s="40">
        <v>0</v>
      </c>
      <c r="T44" s="40">
        <v>0</v>
      </c>
      <c r="U44" s="40">
        <v>0</v>
      </c>
      <c r="V44" s="40">
        <v>0</v>
      </c>
      <c r="W44" s="40">
        <v>0</v>
      </c>
      <c r="X44" s="40">
        <v>0</v>
      </c>
      <c r="Y44" s="40">
        <v>0</v>
      </c>
      <c r="Z44" s="40">
        <v>0</v>
      </c>
      <c r="AA44" s="40">
        <v>0</v>
      </c>
      <c r="AB44" s="40">
        <v>0</v>
      </c>
      <c r="AC44" s="40">
        <v>0</v>
      </c>
      <c r="AD44" s="40">
        <v>0</v>
      </c>
      <c r="AE44" s="40">
        <v>0</v>
      </c>
      <c r="AF44" s="40">
        <v>0</v>
      </c>
      <c r="AG44" s="40">
        <v>20000000</v>
      </c>
      <c r="AH44" s="40">
        <v>20000000</v>
      </c>
      <c r="AI44" s="40">
        <v>20000000</v>
      </c>
      <c r="AJ44" s="40">
        <v>20000000</v>
      </c>
      <c r="AK44" s="40">
        <v>530000000</v>
      </c>
      <c r="AL44" s="40">
        <v>450000000</v>
      </c>
      <c r="AM44" s="40">
        <v>200000000</v>
      </c>
      <c r="AN44" s="40">
        <v>170000000</v>
      </c>
      <c r="AO44" s="40">
        <v>0</v>
      </c>
      <c r="AP44" s="26">
        <v>0</v>
      </c>
      <c r="AQ44" s="26">
        <v>0</v>
      </c>
      <c r="AR44" s="26">
        <v>0</v>
      </c>
      <c r="AS44" s="26">
        <v>0</v>
      </c>
    </row>
    <row r="45" spans="1:74" s="26" customFormat="1">
      <c r="A45" s="17" t="s">
        <v>323</v>
      </c>
      <c r="E45" s="26">
        <f>股权价值增加表!E53</f>
        <v>0</v>
      </c>
      <c r="F45" s="26">
        <f>股权价值增加表!F53</f>
        <v>0</v>
      </c>
      <c r="G45" s="26">
        <f>股权价值增加表!G53</f>
        <v>0</v>
      </c>
      <c r="H45" s="26">
        <f>股权价值增加表!H53</f>
        <v>0</v>
      </c>
      <c r="I45" s="26">
        <f>股权价值增加表!I53</f>
        <v>0</v>
      </c>
      <c r="J45" s="26">
        <f>股权价值增加表!J53</f>
        <v>0</v>
      </c>
      <c r="K45" s="26">
        <f>股权价值增加表!K53</f>
        <v>0</v>
      </c>
      <c r="L45" s="26">
        <f>股权价值增加表!L53</f>
        <v>0</v>
      </c>
      <c r="M45" s="26">
        <f>股权价值增加表!M53</f>
        <v>0</v>
      </c>
      <c r="N45" s="26">
        <f>股权价值增加表!N53</f>
        <v>0</v>
      </c>
      <c r="O45" s="26">
        <f>股权价值增加表!O53</f>
        <v>0</v>
      </c>
      <c r="P45" s="26">
        <f>股权价值增加表!P53</f>
        <v>0</v>
      </c>
      <c r="Q45" s="26">
        <f>股权价值增加表!Q53</f>
        <v>0</v>
      </c>
      <c r="R45" s="26">
        <f>股权价值增加表!R53</f>
        <v>0</v>
      </c>
      <c r="S45" s="26">
        <f>股权价值增加表!S53</f>
        <v>0</v>
      </c>
      <c r="T45" s="26">
        <f>股权价值增加表!T53</f>
        <v>0</v>
      </c>
      <c r="U45" s="26">
        <f>股权价值增加表!U53</f>
        <v>0</v>
      </c>
      <c r="V45" s="26">
        <f>股权价值增加表!V53</f>
        <v>0</v>
      </c>
      <c r="W45" s="26">
        <f>股权价值增加表!W53</f>
        <v>0</v>
      </c>
      <c r="X45" s="26">
        <f>股权价值增加表!X53</f>
        <v>0</v>
      </c>
      <c r="Y45" s="26">
        <f>股权价值增加表!Y53</f>
        <v>0</v>
      </c>
      <c r="Z45" s="26">
        <f>股权价值增加表!Z53</f>
        <v>0</v>
      </c>
      <c r="AA45" s="26">
        <f>股权价值增加表!AA53</f>
        <v>0</v>
      </c>
      <c r="AB45" s="26">
        <f>股权价值增加表!AB53</f>
        <v>0</v>
      </c>
      <c r="AC45" s="26">
        <f>股权价值增加表!AC53</f>
        <v>19981575.239999998</v>
      </c>
      <c r="AD45" s="26">
        <f>股权价值增加表!AD53</f>
        <v>0</v>
      </c>
      <c r="AE45" s="26">
        <f>股权价值增加表!AE53</f>
        <v>0</v>
      </c>
      <c r="AF45" s="26">
        <f>股权价值增加表!AF53</f>
        <v>0</v>
      </c>
      <c r="AG45" s="26">
        <f>股权价值增加表!AG53</f>
        <v>24895758</v>
      </c>
      <c r="AH45" s="26">
        <f>股权价值增加表!AH53</f>
        <v>0</v>
      </c>
      <c r="AI45" s="26">
        <f>股权价值增加表!AI53</f>
        <v>0</v>
      </c>
      <c r="AJ45" s="26">
        <f>股权价值增加表!AJ53</f>
        <v>0</v>
      </c>
      <c r="AK45" s="26">
        <f>股权价值增加表!AK53</f>
        <v>528481.9</v>
      </c>
      <c r="AL45" s="26">
        <f>股权价值增加表!AL53</f>
        <v>0</v>
      </c>
      <c r="AM45" s="26">
        <f>股权价值增加表!AM53</f>
        <v>0</v>
      </c>
      <c r="AN45" s="26">
        <f>股权价值增加表!AN53</f>
        <v>0</v>
      </c>
      <c r="AO45" s="26">
        <f>股权价值增加表!AO53</f>
        <v>2114040.12</v>
      </c>
      <c r="AP45" s="26">
        <f>股权价值增加表!AP53</f>
        <v>0</v>
      </c>
      <c r="AQ45" s="26">
        <f>股权价值增加表!AQ53</f>
        <v>0</v>
      </c>
      <c r="AR45" s="26">
        <f>股权价值增加表!AR53</f>
        <v>0</v>
      </c>
      <c r="AS45" s="26">
        <f>股权价值增加表!AS53</f>
        <v>0</v>
      </c>
      <c r="AT45" s="26">
        <f>股权价值增加表!AT53</f>
        <v>0</v>
      </c>
      <c r="AU45" s="26">
        <f>股权价值增加表!AU53</f>
        <v>0</v>
      </c>
      <c r="AV45" s="26">
        <f>股权价值增加表!AV53</f>
        <v>0</v>
      </c>
      <c r="AW45" s="26">
        <f>股权价值增加表!AW53</f>
        <v>0</v>
      </c>
      <c r="AX45" s="26">
        <f>股权价值增加表!AX53</f>
        <v>0</v>
      </c>
      <c r="AY45" s="26">
        <f>股权价值增加表!AY53</f>
        <v>0</v>
      </c>
      <c r="AZ45" s="26">
        <f>股权价值增加表!AZ53</f>
        <v>0</v>
      </c>
      <c r="BA45" s="26">
        <f>股权价值增加表!BA53</f>
        <v>0</v>
      </c>
      <c r="BB45" s="26">
        <f>股权价值增加表!BB53</f>
        <v>0</v>
      </c>
      <c r="BC45" s="26">
        <f>股权价值增加表!BC53</f>
        <v>0</v>
      </c>
      <c r="BD45" s="26">
        <f>股权价值增加表!BD53</f>
        <v>0</v>
      </c>
      <c r="BE45" s="26">
        <f>股权价值增加表!BE53</f>
        <v>0</v>
      </c>
      <c r="BF45" s="26">
        <f>股权价值增加表!BF53</f>
        <v>0</v>
      </c>
      <c r="BG45" s="26">
        <f>股权价值增加表!BG53</f>
        <v>0</v>
      </c>
      <c r="BH45" s="26">
        <f>股权价值增加表!BH53</f>
        <v>0</v>
      </c>
      <c r="BI45" s="26">
        <f>股权价值增加表!BI53</f>
        <v>0</v>
      </c>
      <c r="BJ45" s="26">
        <f>股权价值增加表!BJ53</f>
        <v>0</v>
      </c>
      <c r="BK45" s="26">
        <f>股权价值增加表!BK53</f>
        <v>0</v>
      </c>
      <c r="BL45" s="26">
        <f>股权价值增加表!BL53</f>
        <v>0</v>
      </c>
      <c r="BM45" s="26">
        <f>股权价值增加表!BM53</f>
        <v>0</v>
      </c>
      <c r="BN45" s="26">
        <f>股权价值增加表!BN53</f>
        <v>0</v>
      </c>
      <c r="BO45" s="26">
        <f>股权价值增加表!BO53</f>
        <v>0</v>
      </c>
      <c r="BP45" s="26">
        <f>股权价值增加表!BP53</f>
        <v>0</v>
      </c>
      <c r="BQ45" s="26">
        <f>股权价值增加表!BQ53</f>
        <v>0</v>
      </c>
      <c r="BR45" s="26">
        <f>股权价值增加表!BR53</f>
        <v>0</v>
      </c>
      <c r="BS45" s="26">
        <f>股权价值增加表!BS53</f>
        <v>0</v>
      </c>
      <c r="BT45" s="26">
        <f>股权价值增加表!BT53</f>
        <v>0</v>
      </c>
      <c r="BU45" s="26">
        <f>股权价值增加表!BU53</f>
        <v>0</v>
      </c>
      <c r="BV45" s="26">
        <f>股权价值增加表!BV53</f>
        <v>0</v>
      </c>
    </row>
    <row r="46" spans="1:74" s="26" customFormat="1">
      <c r="A46" s="17" t="s">
        <v>326</v>
      </c>
      <c r="B46" s="40">
        <v>0</v>
      </c>
      <c r="C46" s="40">
        <v>0</v>
      </c>
      <c r="D46" s="40">
        <v>0</v>
      </c>
      <c r="E46" s="40">
        <v>0</v>
      </c>
      <c r="F46" s="40">
        <v>0</v>
      </c>
      <c r="G46" s="40">
        <v>0</v>
      </c>
      <c r="H46" s="40">
        <v>0</v>
      </c>
      <c r="I46" s="40">
        <v>0</v>
      </c>
      <c r="J46" s="40">
        <v>0</v>
      </c>
      <c r="K46" s="40">
        <v>0</v>
      </c>
      <c r="L46" s="40">
        <v>0</v>
      </c>
      <c r="M46" s="40">
        <v>0</v>
      </c>
      <c r="N46" s="40">
        <v>0</v>
      </c>
      <c r="O46" s="40">
        <v>0</v>
      </c>
      <c r="P46" s="40">
        <v>0</v>
      </c>
      <c r="Q46" s="40">
        <v>0</v>
      </c>
      <c r="R46" s="40"/>
      <c r="S46" s="40"/>
      <c r="T46" s="40">
        <v>62578.29</v>
      </c>
      <c r="U46" s="40">
        <v>82133.73</v>
      </c>
      <c r="V46" s="40">
        <v>78222.460000000006</v>
      </c>
      <c r="W46" s="40">
        <v>115378.66</v>
      </c>
      <c r="X46" s="40">
        <v>154489.53</v>
      </c>
      <c r="Y46" s="40">
        <v>164267.03</v>
      </c>
      <c r="Z46" s="40">
        <v>253366.69</v>
      </c>
      <c r="AA46" s="40">
        <v>425230.18</v>
      </c>
      <c r="AB46" s="40">
        <v>501836.78</v>
      </c>
      <c r="AC46" s="40">
        <v>506694.25</v>
      </c>
      <c r="AD46" s="40">
        <v>522418.91</v>
      </c>
      <c r="AE46" s="40">
        <v>518770.79</v>
      </c>
      <c r="AF46" s="40">
        <v>610130.21</v>
      </c>
      <c r="AG46" s="40">
        <v>567249.11</v>
      </c>
      <c r="AH46" s="40">
        <v>582250</v>
      </c>
      <c r="AI46" s="40">
        <v>582250</v>
      </c>
      <c r="AJ46" s="40">
        <v>648200</v>
      </c>
      <c r="AK46" s="40">
        <v>0</v>
      </c>
      <c r="AL46" s="40">
        <v>0</v>
      </c>
      <c r="AM46" s="40">
        <v>0</v>
      </c>
      <c r="AN46" s="40"/>
      <c r="AO46" s="40"/>
      <c r="AP46" s="26">
        <v>0</v>
      </c>
      <c r="AQ46" s="26">
        <v>0</v>
      </c>
    </row>
    <row r="47" spans="1:74" s="26" customFormat="1">
      <c r="A47" s="17" t="s">
        <v>327</v>
      </c>
      <c r="B47" s="40">
        <v>0</v>
      </c>
      <c r="C47" s="40">
        <v>0</v>
      </c>
      <c r="D47" s="40">
        <v>0</v>
      </c>
      <c r="E47" s="40">
        <v>0</v>
      </c>
      <c r="F47" s="40">
        <v>0</v>
      </c>
      <c r="G47" s="40">
        <v>0</v>
      </c>
      <c r="H47" s="40">
        <v>0</v>
      </c>
      <c r="I47" s="40">
        <v>0</v>
      </c>
      <c r="J47" s="40">
        <v>0</v>
      </c>
      <c r="K47" s="40">
        <v>0</v>
      </c>
      <c r="L47" s="40">
        <v>0</v>
      </c>
      <c r="M47" s="40">
        <v>0</v>
      </c>
      <c r="N47" s="40">
        <v>0</v>
      </c>
      <c r="O47" s="40">
        <v>0</v>
      </c>
      <c r="P47" s="40">
        <v>0</v>
      </c>
      <c r="Q47" s="40">
        <v>0</v>
      </c>
      <c r="R47" s="40">
        <v>15000000</v>
      </c>
      <c r="S47" s="40">
        <v>0</v>
      </c>
      <c r="T47" s="40">
        <v>10000000</v>
      </c>
      <c r="U47" s="40">
        <v>40000000</v>
      </c>
      <c r="V47" s="40">
        <v>30000000</v>
      </c>
      <c r="W47" s="40">
        <v>20000000</v>
      </c>
      <c r="X47" s="40">
        <v>10000000</v>
      </c>
      <c r="Y47" s="40">
        <v>159500000</v>
      </c>
      <c r="Z47" s="40">
        <v>109500000</v>
      </c>
      <c r="AA47" s="40">
        <v>20000000</v>
      </c>
      <c r="AB47" s="40">
        <v>10000000</v>
      </c>
      <c r="AC47" s="40">
        <v>152500000</v>
      </c>
      <c r="AD47" s="40">
        <v>122000000</v>
      </c>
      <c r="AE47" s="40">
        <v>112000000</v>
      </c>
      <c r="AF47" s="40">
        <v>80000000</v>
      </c>
      <c r="AG47" s="40">
        <v>38000000</v>
      </c>
      <c r="AH47" s="40">
        <v>0</v>
      </c>
      <c r="AI47" s="40">
        <v>0</v>
      </c>
      <c r="AJ47" s="40">
        <v>0</v>
      </c>
      <c r="AK47" s="40">
        <v>330000000</v>
      </c>
      <c r="AL47" s="40">
        <v>330000000</v>
      </c>
      <c r="AM47" s="40">
        <v>140000000</v>
      </c>
      <c r="AN47" s="40">
        <v>173500000</v>
      </c>
      <c r="AO47" s="40">
        <v>0</v>
      </c>
      <c r="AP47" s="26">
        <v>1811941.3</v>
      </c>
      <c r="AQ47" s="26">
        <v>2246393.9700000002</v>
      </c>
      <c r="AR47" s="26">
        <v>0</v>
      </c>
      <c r="AS47" s="26">
        <v>0</v>
      </c>
    </row>
    <row r="48" spans="1:74" s="26" customFormat="1">
      <c r="A48" s="17" t="s">
        <v>606</v>
      </c>
      <c r="B48" s="40">
        <v>0</v>
      </c>
      <c r="C48" s="40">
        <v>0</v>
      </c>
      <c r="D48" s="40">
        <v>0</v>
      </c>
      <c r="E48" s="40">
        <v>0</v>
      </c>
      <c r="F48" s="40">
        <v>0</v>
      </c>
      <c r="G48" s="40">
        <v>0</v>
      </c>
      <c r="H48" s="40">
        <v>0</v>
      </c>
      <c r="I48" s="40">
        <v>0</v>
      </c>
      <c r="J48" s="40">
        <v>0</v>
      </c>
      <c r="K48" s="40">
        <v>0</v>
      </c>
      <c r="L48" s="40">
        <v>0</v>
      </c>
      <c r="M48" s="40">
        <v>0</v>
      </c>
      <c r="N48" s="40">
        <v>0</v>
      </c>
      <c r="O48" s="40">
        <v>0</v>
      </c>
      <c r="P48" s="40">
        <v>0</v>
      </c>
      <c r="Q48" s="40">
        <v>0</v>
      </c>
      <c r="R48" s="40">
        <v>0</v>
      </c>
      <c r="S48" s="40">
        <v>0</v>
      </c>
      <c r="T48" s="40">
        <v>0</v>
      </c>
      <c r="U48" s="40">
        <v>0</v>
      </c>
      <c r="V48" s="40">
        <v>0</v>
      </c>
      <c r="W48" s="40">
        <v>0</v>
      </c>
      <c r="X48" s="40">
        <v>0</v>
      </c>
      <c r="Y48" s="40">
        <v>0</v>
      </c>
      <c r="Z48" s="40">
        <v>0</v>
      </c>
      <c r="AA48" s="40">
        <v>0</v>
      </c>
      <c r="AB48" s="40">
        <v>0</v>
      </c>
      <c r="AC48" s="40">
        <v>0</v>
      </c>
      <c r="AD48" s="40">
        <v>0</v>
      </c>
      <c r="AE48" s="40">
        <v>0</v>
      </c>
      <c r="AF48" s="40">
        <v>0</v>
      </c>
      <c r="AG48" s="40">
        <v>0</v>
      </c>
      <c r="AH48" s="40">
        <v>0</v>
      </c>
      <c r="AI48" s="40">
        <v>0</v>
      </c>
      <c r="AJ48" s="40">
        <v>0</v>
      </c>
      <c r="AK48" s="40">
        <v>0</v>
      </c>
      <c r="AL48" s="40">
        <v>0</v>
      </c>
      <c r="AM48" s="40">
        <v>0</v>
      </c>
      <c r="AN48" s="40">
        <v>0</v>
      </c>
      <c r="AO48" s="40">
        <v>0</v>
      </c>
      <c r="AP48" s="26">
        <v>0</v>
      </c>
      <c r="AQ48" s="26">
        <v>0</v>
      </c>
      <c r="AR48" s="26">
        <v>0</v>
      </c>
      <c r="AS48" s="26">
        <v>0</v>
      </c>
    </row>
    <row r="49" spans="1:74" s="26" customFormat="1">
      <c r="A49" s="17" t="s">
        <v>607</v>
      </c>
      <c r="E49" s="26">
        <f>E44+E48-E45-E46-E47</f>
        <v>0</v>
      </c>
      <c r="F49" s="26">
        <f t="shared" ref="F49:BQ49" si="15">F44+F48-F45-F46-F47</f>
        <v>0</v>
      </c>
      <c r="G49" s="26">
        <f t="shared" si="15"/>
        <v>0</v>
      </c>
      <c r="H49" s="26">
        <f t="shared" si="15"/>
        <v>0</v>
      </c>
      <c r="I49" s="26">
        <f t="shared" si="15"/>
        <v>0</v>
      </c>
      <c r="J49" s="26">
        <f t="shared" si="15"/>
        <v>0</v>
      </c>
      <c r="K49" s="26">
        <f t="shared" si="15"/>
        <v>0</v>
      </c>
      <c r="L49" s="26">
        <f t="shared" si="15"/>
        <v>0</v>
      </c>
      <c r="M49" s="26">
        <f t="shared" si="15"/>
        <v>0</v>
      </c>
      <c r="N49" s="26">
        <f t="shared" si="15"/>
        <v>0</v>
      </c>
      <c r="O49" s="26">
        <f t="shared" si="15"/>
        <v>0</v>
      </c>
      <c r="P49" s="26">
        <f t="shared" si="15"/>
        <v>0</v>
      </c>
      <c r="Q49" s="26">
        <f t="shared" si="15"/>
        <v>0</v>
      </c>
      <c r="R49" s="26">
        <f t="shared" si="15"/>
        <v>-15000000</v>
      </c>
      <c r="S49" s="26">
        <f t="shared" si="15"/>
        <v>0</v>
      </c>
      <c r="T49" s="26">
        <f t="shared" si="15"/>
        <v>-10062578.289999999</v>
      </c>
      <c r="U49" s="26">
        <f t="shared" si="15"/>
        <v>-40082133.729999997</v>
      </c>
      <c r="V49" s="26">
        <f t="shared" si="15"/>
        <v>-30078222.460000001</v>
      </c>
      <c r="W49" s="26">
        <f t="shared" si="15"/>
        <v>-20115378.66</v>
      </c>
      <c r="X49" s="26">
        <f t="shared" si="15"/>
        <v>-10154489.529999999</v>
      </c>
      <c r="Y49" s="26">
        <f t="shared" si="15"/>
        <v>-159664267.03</v>
      </c>
      <c r="Z49" s="26">
        <f t="shared" si="15"/>
        <v>-109753366.69</v>
      </c>
      <c r="AA49" s="26">
        <f t="shared" si="15"/>
        <v>-20425230.18</v>
      </c>
      <c r="AB49" s="26">
        <f t="shared" si="15"/>
        <v>-10501836.779999999</v>
      </c>
      <c r="AC49" s="26">
        <f t="shared" si="15"/>
        <v>-172988269.49000001</v>
      </c>
      <c r="AD49" s="26">
        <f t="shared" si="15"/>
        <v>-122522418.91</v>
      </c>
      <c r="AE49" s="26">
        <f t="shared" si="15"/>
        <v>-112518770.79000001</v>
      </c>
      <c r="AF49" s="26">
        <f t="shared" si="15"/>
        <v>-80610130.209999993</v>
      </c>
      <c r="AG49" s="26">
        <f t="shared" si="15"/>
        <v>-43463007.109999999</v>
      </c>
      <c r="AH49" s="26">
        <f t="shared" si="15"/>
        <v>19417750</v>
      </c>
      <c r="AI49" s="26">
        <f t="shared" si="15"/>
        <v>19417750</v>
      </c>
      <c r="AJ49" s="26">
        <f t="shared" si="15"/>
        <v>19351800</v>
      </c>
      <c r="AK49" s="26">
        <f t="shared" si="15"/>
        <v>199471518.10000002</v>
      </c>
      <c r="AL49" s="26">
        <f t="shared" si="15"/>
        <v>120000000</v>
      </c>
      <c r="AM49" s="26">
        <f t="shared" si="15"/>
        <v>60000000</v>
      </c>
      <c r="AN49" s="26">
        <f t="shared" si="15"/>
        <v>-3500000</v>
      </c>
      <c r="AO49" s="26">
        <f t="shared" si="15"/>
        <v>-2114040.12</v>
      </c>
      <c r="AP49" s="26">
        <f t="shared" si="15"/>
        <v>-1811941.3</v>
      </c>
      <c r="AQ49" s="26">
        <f t="shared" si="15"/>
        <v>-2246393.9700000002</v>
      </c>
      <c r="AR49" s="26">
        <f t="shared" si="15"/>
        <v>0</v>
      </c>
      <c r="AS49" s="26">
        <f t="shared" si="15"/>
        <v>0</v>
      </c>
      <c r="AT49" s="26">
        <f t="shared" si="15"/>
        <v>0</v>
      </c>
      <c r="AU49" s="26">
        <f t="shared" si="15"/>
        <v>0</v>
      </c>
      <c r="AV49" s="26">
        <f t="shared" si="15"/>
        <v>0</v>
      </c>
      <c r="AW49" s="26">
        <f t="shared" si="15"/>
        <v>0</v>
      </c>
      <c r="AX49" s="26">
        <f t="shared" si="15"/>
        <v>0</v>
      </c>
      <c r="AY49" s="26">
        <f t="shared" si="15"/>
        <v>0</v>
      </c>
      <c r="AZ49" s="26">
        <f t="shared" si="15"/>
        <v>0</v>
      </c>
      <c r="BA49" s="26">
        <f t="shared" si="15"/>
        <v>0</v>
      </c>
      <c r="BB49" s="26">
        <f t="shared" si="15"/>
        <v>0</v>
      </c>
      <c r="BC49" s="26">
        <f t="shared" si="15"/>
        <v>0</v>
      </c>
      <c r="BD49" s="26">
        <f t="shared" si="15"/>
        <v>0</v>
      </c>
      <c r="BE49" s="26">
        <f t="shared" si="15"/>
        <v>0</v>
      </c>
      <c r="BF49" s="26">
        <f t="shared" si="15"/>
        <v>0</v>
      </c>
      <c r="BG49" s="26">
        <f t="shared" si="15"/>
        <v>0</v>
      </c>
      <c r="BH49" s="26">
        <f t="shared" si="15"/>
        <v>0</v>
      </c>
      <c r="BI49" s="26">
        <f t="shared" si="15"/>
        <v>0</v>
      </c>
      <c r="BJ49" s="26">
        <f t="shared" si="15"/>
        <v>0</v>
      </c>
      <c r="BK49" s="26">
        <f t="shared" si="15"/>
        <v>0</v>
      </c>
      <c r="BL49" s="26">
        <f t="shared" si="15"/>
        <v>0</v>
      </c>
      <c r="BM49" s="26">
        <f t="shared" si="15"/>
        <v>0</v>
      </c>
      <c r="BN49" s="26">
        <f t="shared" si="15"/>
        <v>0</v>
      </c>
      <c r="BO49" s="26">
        <f t="shared" si="15"/>
        <v>0</v>
      </c>
      <c r="BP49" s="26">
        <f t="shared" si="15"/>
        <v>0</v>
      </c>
      <c r="BQ49" s="26">
        <f t="shared" si="15"/>
        <v>0</v>
      </c>
      <c r="BR49" s="26">
        <f t="shared" ref="BR49:BV49" si="16">BR44+BR48-BR45-BR46-BR47</f>
        <v>0</v>
      </c>
      <c r="BS49" s="26">
        <f t="shared" si="16"/>
        <v>0</v>
      </c>
      <c r="BT49" s="26">
        <f t="shared" si="16"/>
        <v>0</v>
      </c>
      <c r="BU49" s="26">
        <f t="shared" si="16"/>
        <v>0</v>
      </c>
      <c r="BV49" s="26">
        <f t="shared" si="16"/>
        <v>0</v>
      </c>
    </row>
    <row r="50" spans="1:74" s="26" customFormat="1"/>
    <row r="51" spans="1:74" s="16" customFormat="1" ht="120" customHeight="1">
      <c r="A51" s="235" t="s">
        <v>647</v>
      </c>
      <c r="B51" s="236"/>
      <c r="C51" s="236"/>
      <c r="D51" s="236"/>
      <c r="E51" s="236"/>
      <c r="F51" s="236"/>
      <c r="G51" s="236"/>
      <c r="H51" s="236"/>
      <c r="I51" s="236"/>
      <c r="J51" s="236"/>
      <c r="K51" s="236"/>
      <c r="L51" s="236"/>
      <c r="M51" s="236"/>
      <c r="N51" s="236"/>
      <c r="O51" s="236"/>
      <c r="P51" s="236"/>
      <c r="Q51" s="236"/>
      <c r="R51" s="236"/>
      <c r="S51" s="236"/>
      <c r="T51" s="236"/>
      <c r="U51" s="236"/>
      <c r="V51" s="236"/>
      <c r="W51" s="236"/>
      <c r="X51" s="236"/>
      <c r="Y51" s="236"/>
      <c r="Z51" s="236"/>
      <c r="AA51" s="236"/>
      <c r="AB51" s="236"/>
      <c r="AC51" s="236"/>
      <c r="AD51" s="236"/>
      <c r="AE51" s="236"/>
      <c r="AF51" s="236"/>
      <c r="AG51" s="236"/>
      <c r="AH51" s="236"/>
      <c r="AI51" s="236"/>
      <c r="AJ51" s="236"/>
      <c r="AK51" s="236"/>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topLeftCell="A13" workbookViewId="0">
      <selection activeCell="E6" sqref="E6"/>
    </sheetView>
  </sheetViews>
  <sheetFormatPr defaultRowHeight="13.5"/>
  <cols>
    <col min="1" max="1" width="61.25" style="17" bestFit="1" customWidth="1"/>
    <col min="2" max="4" width="9.5" hidden="1" customWidth="1"/>
    <col min="5" max="5" width="17.25" bestFit="1" customWidth="1"/>
    <col min="6" max="8" width="17.25" hidden="1" customWidth="1"/>
    <col min="9" max="9" width="17.25" bestFit="1" customWidth="1"/>
    <col min="10" max="12" width="17.25" hidden="1" customWidth="1"/>
    <col min="13" max="13" width="17.25" bestFit="1" customWidth="1"/>
    <col min="14" max="14" width="17.25" hidden="1" customWidth="1"/>
    <col min="15" max="15" width="17.25" bestFit="1" customWidth="1"/>
    <col min="16" max="16" width="16.125" bestFit="1" customWidth="1"/>
    <col min="17" max="17" width="15" bestFit="1" customWidth="1"/>
    <col min="18" max="18" width="19.375" bestFit="1" customWidth="1"/>
    <col min="19"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9.375" bestFit="1" customWidth="1"/>
    <col min="34" max="36" width="17.25" hidden="1" customWidth="1"/>
    <col min="37" max="37" width="17.25" bestFit="1" customWidth="1"/>
    <col min="38" max="38" width="17.25" hidden="1" customWidth="1"/>
    <col min="39" max="39" width="11.625" bestFit="1" customWidth="1"/>
    <col min="40" max="40" width="17.25" bestFit="1" customWidth="1"/>
    <col min="41" max="42" width="17.25" hidden="1" customWidth="1"/>
    <col min="43" max="43" width="11.625" bestFit="1" customWidth="1"/>
    <col min="44" max="44" width="19.375" bestFit="1" customWidth="1"/>
    <col min="45" max="45" width="19.375" hidden="1" customWidth="1"/>
    <col min="46" max="73" width="19.375" bestFit="1" customWidth="1"/>
    <col min="74" max="74" width="8.5" bestFit="1" customWidth="1"/>
  </cols>
  <sheetData>
    <row r="1" spans="1:74">
      <c r="A1" s="17">
        <v>300559</v>
      </c>
      <c r="B1" s="1">
        <v>43373</v>
      </c>
      <c r="C1" s="1">
        <v>43281</v>
      </c>
      <c r="D1" s="1">
        <v>43190</v>
      </c>
      <c r="E1" s="1">
        <v>43100</v>
      </c>
      <c r="F1" s="1">
        <v>43008</v>
      </c>
      <c r="G1" s="1">
        <v>42916</v>
      </c>
      <c r="H1" s="1">
        <v>42825</v>
      </c>
      <c r="I1" s="1">
        <v>42735</v>
      </c>
      <c r="J1" s="1">
        <v>42643</v>
      </c>
      <c r="K1" s="1">
        <v>42551</v>
      </c>
      <c r="L1" s="1">
        <v>42460</v>
      </c>
      <c r="M1" s="1">
        <v>42369</v>
      </c>
      <c r="N1" s="1">
        <v>42277</v>
      </c>
      <c r="O1" s="1">
        <v>42004</v>
      </c>
      <c r="P1" s="1">
        <v>41639</v>
      </c>
      <c r="Q1" s="1">
        <v>41274</v>
      </c>
      <c r="R1" s="1">
        <v>40908</v>
      </c>
      <c r="S1" s="1">
        <v>25569</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39813</v>
      </c>
      <c r="AN1" s="1">
        <v>39447</v>
      </c>
      <c r="AO1" s="1">
        <v>25569</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8" customFormat="1">
      <c r="A2" s="46" t="s">
        <v>328</v>
      </c>
    </row>
    <row r="3" spans="1:74" s="26" customFormat="1">
      <c r="A3" s="17" t="s">
        <v>329</v>
      </c>
      <c r="B3" s="26">
        <f>平均资本成本表!E53</f>
        <v>0</v>
      </c>
      <c r="E3" s="26">
        <f>股权价值增加表!E53</f>
        <v>0</v>
      </c>
      <c r="F3" s="26">
        <f>股权价值增加表!F53</f>
        <v>0</v>
      </c>
      <c r="G3" s="26">
        <f>股权价值增加表!G53</f>
        <v>0</v>
      </c>
      <c r="H3" s="26">
        <f>股权价值增加表!H53</f>
        <v>0</v>
      </c>
      <c r="I3" s="26">
        <f>股权价值增加表!I53</f>
        <v>0</v>
      </c>
      <c r="J3" s="26">
        <f>股权价值增加表!J53</f>
        <v>0</v>
      </c>
      <c r="K3" s="26">
        <f>股权价值增加表!K53</f>
        <v>0</v>
      </c>
      <c r="L3" s="26">
        <f>股权价值增加表!L53</f>
        <v>0</v>
      </c>
      <c r="M3" s="26">
        <f>股权价值增加表!M53</f>
        <v>0</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19981575.239999998</v>
      </c>
      <c r="AD3" s="26">
        <f>股权价值增加表!AD53</f>
        <v>0</v>
      </c>
      <c r="AE3" s="26">
        <f>股权价值增加表!AE53</f>
        <v>0</v>
      </c>
      <c r="AF3" s="26">
        <f>股权价值增加表!AF53</f>
        <v>0</v>
      </c>
      <c r="AG3" s="26">
        <f>股权价值增加表!AG53</f>
        <v>24895758</v>
      </c>
      <c r="AH3" s="26">
        <f>股权价值增加表!AH53</f>
        <v>0</v>
      </c>
      <c r="AI3" s="26">
        <f>股权价值增加表!AI53</f>
        <v>0</v>
      </c>
      <c r="AJ3" s="26">
        <f>股权价值增加表!AJ53</f>
        <v>0</v>
      </c>
      <c r="AK3" s="26">
        <f>股权价值增加表!AK53</f>
        <v>528481.9</v>
      </c>
      <c r="AL3" s="26">
        <f>股权价值增加表!AL53</f>
        <v>0</v>
      </c>
      <c r="AM3" s="26">
        <f>股权价值增加表!AM53</f>
        <v>0</v>
      </c>
      <c r="AN3" s="26">
        <f>股权价值增加表!AN53</f>
        <v>0</v>
      </c>
      <c r="AO3" s="26">
        <f>股权价值增加表!AO53</f>
        <v>2114040.12</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330</v>
      </c>
      <c r="E4" s="26">
        <f>资产资本表!E89</f>
        <v>0</v>
      </c>
      <c r="F4" s="26">
        <f>资产资本表!F89</f>
        <v>0</v>
      </c>
      <c r="G4" s="26">
        <f>资产资本表!G89</f>
        <v>0</v>
      </c>
      <c r="H4" s="26">
        <f>资产资本表!H89</f>
        <v>0</v>
      </c>
      <c r="I4" s="26">
        <f>资产资本表!I89</f>
        <v>0</v>
      </c>
      <c r="J4" s="26">
        <f>资产资本表!J89</f>
        <v>0</v>
      </c>
      <c r="K4" s="26">
        <f>资产资本表!K89</f>
        <v>0</v>
      </c>
      <c r="L4" s="26">
        <f>资产资本表!L89</f>
        <v>0</v>
      </c>
      <c r="M4" s="26">
        <f>资产资本表!M89</f>
        <v>0</v>
      </c>
      <c r="N4" s="26">
        <f>资产资本表!N89</f>
        <v>0</v>
      </c>
      <c r="O4" s="26">
        <f>资产资本表!O89</f>
        <v>0</v>
      </c>
      <c r="P4" s="26">
        <f>资产资本表!P89</f>
        <v>0</v>
      </c>
      <c r="Q4" s="26">
        <f>资产资本表!Q89</f>
        <v>0</v>
      </c>
      <c r="R4" s="26">
        <f>资产资本表!R89</f>
        <v>0</v>
      </c>
      <c r="S4" s="26">
        <f>资产资本表!S89</f>
        <v>0</v>
      </c>
      <c r="T4" s="26">
        <f>资产资本表!T89</f>
        <v>0</v>
      </c>
      <c r="U4" s="26">
        <f>资产资本表!U89</f>
        <v>0</v>
      </c>
      <c r="V4" s="26">
        <f>资产资本表!V89</f>
        <v>0</v>
      </c>
      <c r="W4" s="26">
        <f>资产资本表!W89</f>
        <v>0</v>
      </c>
      <c r="X4" s="26">
        <f>资产资本表!X89</f>
        <v>0</v>
      </c>
      <c r="Y4" s="26">
        <f>资产资本表!Y89</f>
        <v>0</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c r="A5" s="63" t="s">
        <v>334</v>
      </c>
      <c r="E5" s="63">
        <f>IF(E4+I4=0,0,E3/((E4+I4)/2))</f>
        <v>0</v>
      </c>
      <c r="F5" s="63">
        <f t="shared" ref="F5:BQ5" si="0">IF(F4+J4=0,0,F3/((F4+J4)/2))</f>
        <v>0</v>
      </c>
      <c r="G5" s="63">
        <f t="shared" si="0"/>
        <v>0</v>
      </c>
      <c r="H5" s="63">
        <f t="shared" si="0"/>
        <v>0</v>
      </c>
      <c r="I5" s="63">
        <f t="shared" si="0"/>
        <v>0</v>
      </c>
      <c r="J5" s="63">
        <f t="shared" si="0"/>
        <v>0</v>
      </c>
      <c r="K5" s="63">
        <f t="shared" si="0"/>
        <v>0</v>
      </c>
      <c r="L5" s="63">
        <f t="shared" si="0"/>
        <v>0</v>
      </c>
      <c r="M5" s="63">
        <f t="shared" si="0"/>
        <v>0</v>
      </c>
      <c r="N5" s="63">
        <f t="shared" si="0"/>
        <v>0</v>
      </c>
      <c r="O5" s="63">
        <f t="shared" si="0"/>
        <v>0</v>
      </c>
      <c r="P5" s="63">
        <f t="shared" si="0"/>
        <v>0</v>
      </c>
      <c r="Q5" s="63">
        <f t="shared" si="0"/>
        <v>0</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c r="A6" s="63" t="s">
        <v>350</v>
      </c>
      <c r="E6" s="63">
        <f>股权价值增加表!E41</f>
        <v>0.1215755646807445</v>
      </c>
      <c r="F6" s="63">
        <f>股权价值增加表!F41</f>
        <v>6.8956992064850842E-2</v>
      </c>
      <c r="G6" s="63">
        <f>股权价值增加表!G41</f>
        <v>6.5309579274615406E-2</v>
      </c>
      <c r="H6" s="63">
        <f>股权价值增加表!H41</f>
        <v>-8.1842801386324288E-3</v>
      </c>
      <c r="I6" s="63">
        <f>股权价值增加表!I41</f>
        <v>5.4815463492126841E-2</v>
      </c>
      <c r="J6" s="63">
        <f>股权价值增加表!J41</f>
        <v>1.9197390233039971E-2</v>
      </c>
      <c r="K6" s="63">
        <f>股权价值增加表!K41</f>
        <v>1.2223486553419967E-2</v>
      </c>
      <c r="L6" s="63">
        <f>股权价值增加表!L41</f>
        <v>4.3238608015442569E-2</v>
      </c>
      <c r="M6" s="63">
        <f>股权价值增加表!M41</f>
        <v>0.10937606170870257</v>
      </c>
      <c r="N6" s="63">
        <f>股权价值增加表!N41</f>
        <v>0.11397166106311246</v>
      </c>
      <c r="O6" s="63">
        <f>股权价值增加表!O41</f>
        <v>0.12390382585584847</v>
      </c>
      <c r="P6" s="63">
        <f>股权价值增加表!P41</f>
        <v>0.11725863920926931</v>
      </c>
      <c r="Q6" s="63">
        <f>股权价值增加表!Q41</f>
        <v>0.12161341578922481</v>
      </c>
      <c r="R6" s="63">
        <f>股权价值增加表!R41</f>
        <v>0.12630616472166112</v>
      </c>
      <c r="S6" s="63" t="e">
        <f>股权价值增加表!S41</f>
        <v>#DIV/0!</v>
      </c>
      <c r="T6" s="63">
        <f>股权价值增加表!T41</f>
        <v>3.0111369162890491</v>
      </c>
      <c r="U6" s="63">
        <f>股权价值增加表!U41</f>
        <v>4.2741579921680088</v>
      </c>
      <c r="V6" s="63">
        <f>股权价值增加表!V41</f>
        <v>4.4343835864793606</v>
      </c>
      <c r="W6" s="63">
        <f>股权价值增加表!W41</f>
        <v>3.6175930956148692</v>
      </c>
      <c r="X6" s="63">
        <f>股权价值增加表!X41</f>
        <v>3.4962817499096026</v>
      </c>
      <c r="Y6" s="63">
        <f>股权价值增加表!Y41</f>
        <v>5.9505360164341328</v>
      </c>
      <c r="Z6" s="63">
        <f>股权价值增加表!Z41</f>
        <v>7.1984811127791444</v>
      </c>
      <c r="AA6" s="63">
        <f>股权价值增加表!AA41</f>
        <v>6.9089539937726885</v>
      </c>
      <c r="AB6" s="63">
        <f>股权价值增加表!AB41</f>
        <v>4.2836003300069301</v>
      </c>
      <c r="AC6" s="63">
        <f>股权价值增加表!AC41</f>
        <v>5.8589751673245063</v>
      </c>
      <c r="AD6" s="63">
        <f>股权价值增加表!AD41</f>
        <v>7.2188317975527942</v>
      </c>
      <c r="AE6" s="63">
        <f>股权价值增加表!AE41</f>
        <v>6.3343200437197824</v>
      </c>
      <c r="AF6" s="63">
        <f>股权价值增加表!AF41</f>
        <v>6.9862961125492333</v>
      </c>
      <c r="AG6" s="63">
        <f>股权价值增加表!AG41</f>
        <v>-2.2809297856753123</v>
      </c>
      <c r="AH6" s="63">
        <f>股权价值增加表!AH41</f>
        <v>-2.6131676061667921</v>
      </c>
      <c r="AI6" s="63">
        <f>股权价值增加表!AI41</f>
        <v>-1.9579269356661024</v>
      </c>
      <c r="AJ6" s="63">
        <f>股权价值增加表!AJ41</f>
        <v>-0.54225708576927567</v>
      </c>
      <c r="AK6" s="63">
        <f>股权价值增加表!AK41</f>
        <v>-1.6986158554592821</v>
      </c>
      <c r="AL6" s="63">
        <f>股权价值增加表!AL41</f>
        <v>-2.034211341637651</v>
      </c>
      <c r="AM6" s="63">
        <f>股权价值增加表!AM41</f>
        <v>-1.8750436812881521</v>
      </c>
      <c r="AN6" s="63">
        <f>股权价值增加表!AN41</f>
        <v>-1.2250008054354369</v>
      </c>
      <c r="AO6" s="63">
        <f>股权价值增加表!AO41</f>
        <v>0</v>
      </c>
      <c r="AP6" s="63">
        <f>股权价值增加表!AP41</f>
        <v>-26.921411546557955</v>
      </c>
      <c r="AQ6" s="63">
        <f>股权价值增加表!AQ41</f>
        <v>-89.871691374119806</v>
      </c>
      <c r="AR6" s="63">
        <f>股权价值增加表!AR41</f>
        <v>74.067398871895691</v>
      </c>
      <c r="AS6" s="63" t="e">
        <f>股权价值增加表!AS41</f>
        <v>#DIV/0!</v>
      </c>
      <c r="AT6" s="63">
        <f>股权价值增加表!AT41</f>
        <v>5.1332968378154469</v>
      </c>
      <c r="AU6" s="63">
        <f>股权价值增加表!AU41</f>
        <v>7.2924414182151729</v>
      </c>
      <c r="AV6" s="63">
        <f>股权价值增加表!AV41</f>
        <v>4.7146615153439262</v>
      </c>
      <c r="AW6" s="63">
        <f>股权价值增加表!AW41</f>
        <v>0.87180087503841486</v>
      </c>
      <c r="AX6" s="63">
        <f>股权价值增加表!AX41</f>
        <v>0.74447056790029142</v>
      </c>
      <c r="AY6" s="63">
        <f>股权价值增加表!AY41</f>
        <v>1.0451658867707241</v>
      </c>
      <c r="AZ6" s="63">
        <f>股权价值增加表!AZ41</f>
        <v>2.0551845510368487</v>
      </c>
      <c r="BA6" s="63">
        <f>股权价值增加表!BA41</f>
        <v>-2.4638497240987847</v>
      </c>
      <c r="BB6" s="63">
        <f>股权价值增加表!BB41</f>
        <v>-2.01752412620819</v>
      </c>
      <c r="BC6" s="63">
        <f>股权价值增加表!BC41</f>
        <v>-28.219198084406898</v>
      </c>
      <c r="BD6" s="63">
        <f>股权价值增加表!BD41</f>
        <v>1.668592578247527</v>
      </c>
      <c r="BE6" s="63">
        <f>股权价值增加表!BE41</f>
        <v>1.5286582897360992</v>
      </c>
      <c r="BF6" s="63">
        <f>股权价值增加表!BF41</f>
        <v>1.5408987587015193</v>
      </c>
      <c r="BG6" s="63">
        <f>股权价值增加表!BG41</f>
        <v>1.3820546251148127</v>
      </c>
      <c r="BH6" s="63">
        <f>股权价值增加表!BH41</f>
        <v>2.1220982625406397</v>
      </c>
      <c r="BI6" s="63">
        <f>股权价值增加表!BI41</f>
        <v>1.2930199499076394</v>
      </c>
      <c r="BJ6" s="63">
        <f>股权价值增加表!BJ41</f>
        <v>0.97118672925503446</v>
      </c>
      <c r="BK6" s="63">
        <f>股权价值增加表!BK41</f>
        <v>0.82762499243431464</v>
      </c>
      <c r="BL6" s="63">
        <f>股权价值增加表!BL41</f>
        <v>1.9097060621102897</v>
      </c>
      <c r="BM6" s="63">
        <f>股权价值增加表!BM41</f>
        <v>1.9621875617636653</v>
      </c>
      <c r="BN6" s="63">
        <f>股权价值增加表!BN41</f>
        <v>1.6537405499343196</v>
      </c>
      <c r="BO6" s="63">
        <f>股权价值增加表!BO41</f>
        <v>1.503350984455353</v>
      </c>
      <c r="BP6" s="63">
        <f>股权价值增加表!BP41</f>
        <v>1.6660992340809904</v>
      </c>
      <c r="BQ6" s="63">
        <f>股权价值增加表!BQ41</f>
        <v>2.7271567271639197</v>
      </c>
      <c r="BR6" s="63">
        <f>股权价值增加表!BR41</f>
        <v>1.33203395096035</v>
      </c>
      <c r="BS6" s="63">
        <f>股权价值增加表!BS41</f>
        <v>0.93999259928271384</v>
      </c>
      <c r="BT6" s="63">
        <f>股权价值增加表!BT41</f>
        <v>0.84977292824216455</v>
      </c>
      <c r="BU6" s="63">
        <f>股权价值增加表!BU41</f>
        <v>1.9961652323281276</v>
      </c>
    </row>
    <row r="7" spans="1:74" s="63" customFormat="1">
      <c r="A7" s="63" t="s">
        <v>331</v>
      </c>
      <c r="E7" s="63">
        <f>E5*(1-E6)</f>
        <v>0</v>
      </c>
      <c r="F7" s="63">
        <f t="shared" ref="F7:BQ7" si="2">F5*(1-F6)</f>
        <v>0</v>
      </c>
      <c r="G7" s="63">
        <f t="shared" si="2"/>
        <v>0</v>
      </c>
      <c r="H7" s="63">
        <f t="shared" si="2"/>
        <v>0</v>
      </c>
      <c r="I7" s="63">
        <f t="shared" si="2"/>
        <v>0</v>
      </c>
      <c r="J7" s="63">
        <f t="shared" si="2"/>
        <v>0</v>
      </c>
      <c r="K7" s="63">
        <f t="shared" si="2"/>
        <v>0</v>
      </c>
      <c r="L7" s="63">
        <f t="shared" si="2"/>
        <v>0</v>
      </c>
      <c r="M7" s="63">
        <f t="shared" si="2"/>
        <v>0</v>
      </c>
      <c r="N7" s="63">
        <f t="shared" si="2"/>
        <v>0</v>
      </c>
      <c r="O7" s="63">
        <f t="shared" si="2"/>
        <v>0</v>
      </c>
      <c r="P7" s="63">
        <f t="shared" si="2"/>
        <v>0</v>
      </c>
      <c r="Q7" s="63">
        <f t="shared" si="2"/>
        <v>0</v>
      </c>
      <c r="R7" s="63">
        <f t="shared" si="2"/>
        <v>0</v>
      </c>
      <c r="S7" s="63" t="e">
        <f t="shared" si="2"/>
        <v>#DIV/0!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t="e">
        <f t="shared" si="2"/>
        <v>#DIV/0!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c r="A8" s="17" t="s">
        <v>332</v>
      </c>
      <c r="E8" s="26">
        <f>资产资本表!E107</f>
        <v>680780701.52999997</v>
      </c>
      <c r="F8" s="26">
        <f>资产资本表!F107</f>
        <v>643568166.12</v>
      </c>
      <c r="G8" s="26">
        <f>资产资本表!G107</f>
        <v>593135102.64999998</v>
      </c>
      <c r="H8" s="26">
        <f>资产资本表!H107</f>
        <v>584320596.82000005</v>
      </c>
      <c r="I8" s="26">
        <f>资产资本表!I107</f>
        <v>582557312.73000002</v>
      </c>
      <c r="J8" s="26">
        <f>资产资本表!J107</f>
        <v>279809125.20999998</v>
      </c>
      <c r="K8" s="26">
        <f>资产资本表!K107</f>
        <v>269570203.76999998</v>
      </c>
      <c r="L8" s="26">
        <f>资产资本表!L107</f>
        <v>239898576.28999999</v>
      </c>
      <c r="M8" s="26">
        <f>资产资本表!M107</f>
        <v>211848320.5</v>
      </c>
      <c r="N8" s="26">
        <f>资产资本表!N107</f>
        <v>169859428.84999999</v>
      </c>
      <c r="O8" s="26">
        <f>资产资本表!O107</f>
        <v>105573132.09999999</v>
      </c>
      <c r="P8" s="26">
        <f>资产资本表!P107</f>
        <v>62209713.140000001</v>
      </c>
      <c r="Q8" s="26">
        <f>资产资本表!Q107</f>
        <v>0</v>
      </c>
      <c r="R8" s="26">
        <f>资产资本表!R107</f>
        <v>3468348851.6599998</v>
      </c>
      <c r="S8" s="26">
        <f>资产资本表!S107</f>
        <v>3301696612.6900001</v>
      </c>
      <c r="T8" s="26">
        <f>资产资本表!T107</f>
        <v>3233054321.5300002</v>
      </c>
      <c r="U8" s="26">
        <f>资产资本表!U107</f>
        <v>3182351109.5500002</v>
      </c>
      <c r="V8" s="26">
        <f>资产资本表!V107</f>
        <v>3123425916.3600001</v>
      </c>
      <c r="W8" s="26">
        <f>资产资本表!W107</f>
        <v>3008332106.3799996</v>
      </c>
      <c r="X8" s="26">
        <f>资产资本表!X107</f>
        <v>2979772636.0699997</v>
      </c>
      <c r="Y8" s="26">
        <f>资产资本表!Y107</f>
        <v>2932489543.6699996</v>
      </c>
      <c r="Z8" s="26">
        <f>资产资本表!Z107</f>
        <v>2848128733.9000001</v>
      </c>
      <c r="AA8" s="26">
        <f>资产资本表!AA107</f>
        <v>2757878280.0100002</v>
      </c>
      <c r="AB8" s="26">
        <f>资产资本表!AB107</f>
        <v>2745360343.7600002</v>
      </c>
      <c r="AC8" s="26">
        <f>资产资本表!AC107</f>
        <v>2704458292.2399998</v>
      </c>
      <c r="AD8" s="26">
        <f>资产资本表!AD107</f>
        <v>2672656786.1900001</v>
      </c>
      <c r="AE8" s="26">
        <f>资产资本表!AE107</f>
        <v>2586611041.4499998</v>
      </c>
      <c r="AF8" s="26">
        <f>资产资本表!AF107</f>
        <v>2559221388.8499999</v>
      </c>
      <c r="AG8" s="26">
        <f>资产资本表!AG107</f>
        <v>2532639722.4200001</v>
      </c>
      <c r="AH8" s="26">
        <f>资产资本表!AH107</f>
        <v>384442846.82999998</v>
      </c>
      <c r="AI8" s="26">
        <f>资产资本表!AI107</f>
        <v>311964600.76999998</v>
      </c>
      <c r="AJ8" s="26">
        <f>资产资本表!AJ107</f>
        <v>266080793.58000001</v>
      </c>
      <c r="AK8" s="26">
        <f>资产资本表!AK107</f>
        <v>175559966.52000001</v>
      </c>
      <c r="AL8" s="26">
        <f>资产资本表!AL107</f>
        <v>129529844.64</v>
      </c>
      <c r="AM8" s="26">
        <f>资产资本表!AM107</f>
        <v>0</v>
      </c>
      <c r="AN8" s="26">
        <f>资产资本表!AN107</f>
        <v>238736715.93000001</v>
      </c>
      <c r="AO8" s="26">
        <f>资产资本表!AO107</f>
        <v>174139245.78</v>
      </c>
      <c r="AP8" s="26">
        <f>资产资本表!AP107</f>
        <v>106511976.33</v>
      </c>
      <c r="AQ8" s="26">
        <f>资产资本表!AQ107</f>
        <v>0</v>
      </c>
      <c r="AR8" s="26">
        <f>资产资本表!AR107</f>
        <v>5856405893.5</v>
      </c>
      <c r="AS8" s="26">
        <f>资产资本表!AS107</f>
        <v>5658752935.3099995</v>
      </c>
      <c r="AT8" s="26">
        <f>资产资本表!AT107</f>
        <v>5557397185.8000002</v>
      </c>
      <c r="AU8" s="26">
        <f>资产资本表!AU107</f>
        <v>5294185121.96</v>
      </c>
      <c r="AV8" s="26">
        <f>资产资本表!AV107</f>
        <v>5276800465.9200001</v>
      </c>
      <c r="AW8" s="26">
        <f>资产资本表!AW107</f>
        <v>5181853244.1599998</v>
      </c>
      <c r="AX8" s="26">
        <f>资产资本表!AX107</f>
        <v>5011911653.6700001</v>
      </c>
      <c r="AY8" s="26">
        <f>资产资本表!AY107</f>
        <v>4820276191.9800005</v>
      </c>
      <c r="AZ8" s="26">
        <f>资产资本表!AZ107</f>
        <v>5010338103.3099995</v>
      </c>
      <c r="BA8" s="26">
        <f>资产资本表!BA107</f>
        <v>4895309580.54</v>
      </c>
      <c r="BB8" s="26">
        <f>资产资本表!BB107</f>
        <v>4888570328.4099998</v>
      </c>
      <c r="BC8" s="26">
        <f>资产资本表!BC107</f>
        <v>4807601462.5599995</v>
      </c>
      <c r="BD8" s="26">
        <f>资产资本表!BD107</f>
        <v>5068821027.4499998</v>
      </c>
      <c r="BE8" s="26">
        <f>资产资本表!BE107</f>
        <v>4926753550.1099997</v>
      </c>
      <c r="BF8" s="26">
        <f>资产资本表!BF107</f>
        <v>4808299542.9399996</v>
      </c>
      <c r="BG8" s="26">
        <f>资产资本表!BG107</f>
        <v>4751398778.0100002</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c r="A9" s="63" t="s">
        <v>349</v>
      </c>
      <c r="E9" s="63">
        <f>$E$16</f>
        <v>0.08</v>
      </c>
      <c r="F9" s="63">
        <f t="shared" ref="F9:BQ9" si="3">$E$16</f>
        <v>0.08</v>
      </c>
      <c r="G9" s="63">
        <f t="shared" si="3"/>
        <v>0.08</v>
      </c>
      <c r="H9" s="63">
        <f t="shared" si="3"/>
        <v>0.08</v>
      </c>
      <c r="I9" s="63">
        <f t="shared" si="3"/>
        <v>0.08</v>
      </c>
      <c r="J9" s="63">
        <f t="shared" si="3"/>
        <v>0.08</v>
      </c>
      <c r="K9" s="63">
        <f t="shared" si="3"/>
        <v>0.08</v>
      </c>
      <c r="L9" s="63">
        <f t="shared" si="3"/>
        <v>0.08</v>
      </c>
      <c r="M9" s="63">
        <f t="shared" si="3"/>
        <v>0.08</v>
      </c>
      <c r="N9" s="63">
        <f t="shared" si="3"/>
        <v>0.08</v>
      </c>
      <c r="O9" s="63">
        <f t="shared" si="3"/>
        <v>0.08</v>
      </c>
      <c r="P9" s="63">
        <f t="shared" si="3"/>
        <v>0.08</v>
      </c>
      <c r="Q9" s="63">
        <f t="shared" si="3"/>
        <v>0.08</v>
      </c>
      <c r="R9" s="63">
        <f t="shared" si="3"/>
        <v>0.08</v>
      </c>
      <c r="S9" s="63">
        <f t="shared" si="3"/>
        <v>0.08</v>
      </c>
      <c r="T9" s="63">
        <f t="shared" si="3"/>
        <v>0.08</v>
      </c>
      <c r="U9" s="63">
        <f t="shared" si="3"/>
        <v>0.08</v>
      </c>
      <c r="V9" s="63">
        <f t="shared" si="3"/>
        <v>0.08</v>
      </c>
      <c r="W9" s="63">
        <f t="shared" si="3"/>
        <v>0.08</v>
      </c>
      <c r="X9" s="63">
        <f t="shared" si="3"/>
        <v>0.08</v>
      </c>
      <c r="Y9" s="63">
        <f t="shared" si="3"/>
        <v>0.08</v>
      </c>
      <c r="Z9" s="63">
        <f t="shared" si="3"/>
        <v>0.08</v>
      </c>
      <c r="AA9" s="63">
        <f t="shared" si="3"/>
        <v>0.08</v>
      </c>
      <c r="AB9" s="63">
        <f t="shared" si="3"/>
        <v>0.08</v>
      </c>
      <c r="AC9" s="63">
        <f t="shared" si="3"/>
        <v>0.08</v>
      </c>
      <c r="AD9" s="63">
        <f t="shared" si="3"/>
        <v>0.08</v>
      </c>
      <c r="AE9" s="63">
        <f t="shared" si="3"/>
        <v>0.08</v>
      </c>
      <c r="AF9" s="63">
        <f t="shared" si="3"/>
        <v>0.08</v>
      </c>
      <c r="AG9" s="63">
        <f t="shared" si="3"/>
        <v>0.08</v>
      </c>
      <c r="AH9" s="63">
        <f t="shared" si="3"/>
        <v>0.08</v>
      </c>
      <c r="AI9" s="63">
        <f t="shared" si="3"/>
        <v>0.08</v>
      </c>
      <c r="AJ9" s="63">
        <f t="shared" si="3"/>
        <v>0.08</v>
      </c>
      <c r="AK9" s="63">
        <f t="shared" si="3"/>
        <v>0.08</v>
      </c>
      <c r="AL9" s="63">
        <f t="shared" si="3"/>
        <v>0.08</v>
      </c>
      <c r="AM9" s="63">
        <f t="shared" si="3"/>
        <v>0.08</v>
      </c>
      <c r="AN9" s="63">
        <f t="shared" si="3"/>
        <v>0.08</v>
      </c>
      <c r="AO9" s="63">
        <f t="shared" si="3"/>
        <v>0.08</v>
      </c>
      <c r="AP9" s="63">
        <f t="shared" si="3"/>
        <v>0.08</v>
      </c>
      <c r="AQ9" s="63">
        <f t="shared" si="3"/>
        <v>0.08</v>
      </c>
      <c r="AR9" s="63">
        <f t="shared" si="3"/>
        <v>0.08</v>
      </c>
      <c r="AS9" s="63">
        <f t="shared" si="3"/>
        <v>0.08</v>
      </c>
      <c r="AT9" s="63">
        <f t="shared" si="3"/>
        <v>0.08</v>
      </c>
      <c r="AU9" s="63">
        <f t="shared" si="3"/>
        <v>0.08</v>
      </c>
      <c r="AV9" s="63">
        <f t="shared" si="3"/>
        <v>0.08</v>
      </c>
      <c r="AW9" s="63">
        <f t="shared" si="3"/>
        <v>0.08</v>
      </c>
      <c r="AX9" s="63">
        <f t="shared" si="3"/>
        <v>0.08</v>
      </c>
      <c r="AY9" s="63">
        <f t="shared" si="3"/>
        <v>0.08</v>
      </c>
      <c r="AZ9" s="63">
        <f t="shared" si="3"/>
        <v>0.08</v>
      </c>
      <c r="BA9" s="63">
        <f t="shared" si="3"/>
        <v>0.08</v>
      </c>
      <c r="BB9" s="63">
        <f t="shared" si="3"/>
        <v>0.08</v>
      </c>
      <c r="BC9" s="63">
        <f t="shared" si="3"/>
        <v>0.08</v>
      </c>
      <c r="BD9" s="63">
        <f t="shared" si="3"/>
        <v>0.08</v>
      </c>
      <c r="BE9" s="63">
        <f t="shared" si="3"/>
        <v>0.08</v>
      </c>
      <c r="BF9" s="63">
        <f t="shared" si="3"/>
        <v>0.08</v>
      </c>
      <c r="BG9" s="63">
        <f t="shared" si="3"/>
        <v>0.08</v>
      </c>
      <c r="BH9" s="63">
        <f t="shared" si="3"/>
        <v>0.08</v>
      </c>
      <c r="BI9" s="63">
        <f t="shared" si="3"/>
        <v>0.08</v>
      </c>
      <c r="BJ9" s="63">
        <f t="shared" si="3"/>
        <v>0.08</v>
      </c>
      <c r="BK9" s="63">
        <f t="shared" si="3"/>
        <v>0.08</v>
      </c>
      <c r="BL9" s="63">
        <f t="shared" si="3"/>
        <v>0.08</v>
      </c>
      <c r="BM9" s="63">
        <f t="shared" si="3"/>
        <v>0.08</v>
      </c>
      <c r="BN9" s="63">
        <f t="shared" si="3"/>
        <v>0.08</v>
      </c>
      <c r="BO9" s="63">
        <f t="shared" si="3"/>
        <v>0.08</v>
      </c>
      <c r="BP9" s="63">
        <f t="shared" si="3"/>
        <v>0.08</v>
      </c>
      <c r="BQ9" s="63">
        <f t="shared" si="3"/>
        <v>0.08</v>
      </c>
      <c r="BR9" s="63">
        <f>$E$16</f>
        <v>0.08</v>
      </c>
      <c r="BS9" s="63">
        <f>$E$16</f>
        <v>0.08</v>
      </c>
      <c r="BT9" s="63">
        <f>$E$16</f>
        <v>0.08</v>
      </c>
      <c r="BU9" s="63">
        <f>$E$16</f>
        <v>0.08</v>
      </c>
      <c r="BV9" s="63">
        <f>$E$16</f>
        <v>0.08</v>
      </c>
    </row>
    <row r="10" spans="1:74" s="26" customFormat="1">
      <c r="A10" s="17" t="s">
        <v>333</v>
      </c>
      <c r="E10" s="26">
        <f>资产资本表!E70</f>
        <v>680780701.52999997</v>
      </c>
      <c r="F10" s="26">
        <f>资产资本表!F70</f>
        <v>643568166.12</v>
      </c>
      <c r="G10" s="26">
        <f>资产资本表!G70</f>
        <v>593135102.64999998</v>
      </c>
      <c r="H10" s="26">
        <f>资产资本表!H70</f>
        <v>584320596.82000005</v>
      </c>
      <c r="I10" s="26">
        <f>资产资本表!I70</f>
        <v>582557312.73000002</v>
      </c>
      <c r="J10" s="26">
        <f>资产资本表!J70</f>
        <v>279809125.21000004</v>
      </c>
      <c r="K10" s="26">
        <f>资产资本表!K70</f>
        <v>269570203.76999998</v>
      </c>
      <c r="L10" s="26">
        <f>资产资本表!L70</f>
        <v>239898576.29000002</v>
      </c>
      <c r="M10" s="26">
        <f>资产资本表!M70</f>
        <v>211848320.5</v>
      </c>
      <c r="N10" s="26">
        <f>资产资本表!N70</f>
        <v>169859428.84999999</v>
      </c>
      <c r="O10" s="26">
        <f>资产资本表!O70</f>
        <v>105573132.10000001</v>
      </c>
      <c r="P10" s="26">
        <f>资产资本表!P70</f>
        <v>62209713.140000001</v>
      </c>
      <c r="Q10" s="26">
        <f>资产资本表!Q70</f>
        <v>0</v>
      </c>
      <c r="R10" s="26">
        <f>资产资本表!R70</f>
        <v>0</v>
      </c>
      <c r="S10" s="26">
        <f>资产资本表!S70</f>
        <v>0</v>
      </c>
      <c r="T10" s="26">
        <f>资产资本表!T70</f>
        <v>0</v>
      </c>
      <c r="U10" s="26">
        <f>资产资本表!U70</f>
        <v>0</v>
      </c>
      <c r="V10" s="26">
        <f>资产资本表!V70</f>
        <v>0</v>
      </c>
      <c r="W10" s="26">
        <f>资产资本表!W70</f>
        <v>0</v>
      </c>
      <c r="X10" s="26">
        <f>资产资本表!X70</f>
        <v>0</v>
      </c>
      <c r="Y10" s="26">
        <f>资产资本表!Y70</f>
        <v>0</v>
      </c>
      <c r="Z10" s="26">
        <f>资产资本表!Z70</f>
        <v>0</v>
      </c>
      <c r="AA10" s="26">
        <f>资产资本表!AA70</f>
        <v>0</v>
      </c>
      <c r="AB10" s="26">
        <f>资产资本表!AB70</f>
        <v>0</v>
      </c>
      <c r="AC10" s="26">
        <f>资产资本表!AC70</f>
        <v>0</v>
      </c>
      <c r="AD10" s="26">
        <f>资产资本表!AD70</f>
        <v>0</v>
      </c>
      <c r="AE10" s="26">
        <f>资产资本表!AE70</f>
        <v>0</v>
      </c>
      <c r="AF10" s="26">
        <f>资产资本表!AF70</f>
        <v>0</v>
      </c>
      <c r="AG10" s="26">
        <f>资产资本表!AG70</f>
        <v>0</v>
      </c>
      <c r="AH10" s="26">
        <f>资产资本表!AH70</f>
        <v>0</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c r="A11" s="17" t="s">
        <v>351</v>
      </c>
      <c r="E11" s="63">
        <f>E4/E10</f>
        <v>0</v>
      </c>
      <c r="F11" s="63">
        <f t="shared" ref="F11:BQ11" si="4">F4/F10</f>
        <v>0</v>
      </c>
      <c r="G11" s="63">
        <f t="shared" si="4"/>
        <v>0</v>
      </c>
      <c r="H11" s="63">
        <f t="shared" si="4"/>
        <v>0</v>
      </c>
      <c r="I11" s="63">
        <f t="shared" si="4"/>
        <v>0</v>
      </c>
      <c r="J11" s="63">
        <f t="shared" si="4"/>
        <v>0</v>
      </c>
      <c r="K11" s="63">
        <f t="shared" si="4"/>
        <v>0</v>
      </c>
      <c r="L11" s="63">
        <f t="shared" si="4"/>
        <v>0</v>
      </c>
      <c r="M11" s="63">
        <f t="shared" si="4"/>
        <v>0</v>
      </c>
      <c r="N11" s="63">
        <f t="shared" si="4"/>
        <v>0</v>
      </c>
      <c r="O11" s="63">
        <f t="shared" si="4"/>
        <v>0</v>
      </c>
      <c r="P11" s="63">
        <f t="shared" si="4"/>
        <v>0</v>
      </c>
      <c r="Q11" s="63" t="e">
        <f t="shared" si="4"/>
        <v>#DIV/0!</v>
      </c>
      <c r="R11" s="63" t="e">
        <f t="shared" si="4"/>
        <v>#DIV/0!</v>
      </c>
      <c r="S11" s="63" t="e">
        <f t="shared" si="4"/>
        <v>#DIV/0!</v>
      </c>
      <c r="T11" s="63" t="e">
        <f t="shared" si="4"/>
        <v>#DIV/0!</v>
      </c>
      <c r="U11" s="63" t="e">
        <f t="shared" si="4"/>
        <v>#DIV/0!</v>
      </c>
      <c r="V11" s="63" t="e">
        <f t="shared" si="4"/>
        <v>#DIV/0!</v>
      </c>
      <c r="W11" s="63" t="e">
        <f t="shared" si="4"/>
        <v>#DIV/0!</v>
      </c>
      <c r="X11" s="63" t="e">
        <f t="shared" si="4"/>
        <v>#DIV/0!</v>
      </c>
      <c r="Y11" s="63" t="e">
        <f t="shared" si="4"/>
        <v>#DIV/0!</v>
      </c>
      <c r="Z11" s="63" t="e">
        <f t="shared" si="4"/>
        <v>#DIV/0!</v>
      </c>
      <c r="AA11" s="63" t="e">
        <f t="shared" si="4"/>
        <v>#DIV/0!</v>
      </c>
      <c r="AB11" s="63" t="e">
        <f t="shared" si="4"/>
        <v>#DIV/0!</v>
      </c>
      <c r="AC11" s="63" t="e">
        <f t="shared" si="4"/>
        <v>#DIV/0!</v>
      </c>
      <c r="AD11" s="63" t="e">
        <f t="shared" si="4"/>
        <v>#DIV/0!</v>
      </c>
      <c r="AE11" s="63" t="e">
        <f t="shared" si="4"/>
        <v>#DIV/0!</v>
      </c>
      <c r="AF11" s="63" t="e">
        <f t="shared" si="4"/>
        <v>#DIV/0!</v>
      </c>
      <c r="AG11" s="63" t="e">
        <f t="shared" si="4"/>
        <v>#DIV/0!</v>
      </c>
      <c r="AH11" s="63" t="e">
        <f t="shared" si="4"/>
        <v>#DIV/0!</v>
      </c>
      <c r="AI11" s="63" t="e">
        <f t="shared" si="4"/>
        <v>#DIV/0!</v>
      </c>
      <c r="AJ11" s="63" t="e">
        <f t="shared" si="4"/>
        <v>#DIV/0!</v>
      </c>
      <c r="AK11" s="63" t="e">
        <f t="shared" si="4"/>
        <v>#DIV/0!</v>
      </c>
      <c r="AL11" s="63" t="e">
        <f t="shared" si="4"/>
        <v>#DIV/0!</v>
      </c>
      <c r="AM11" s="63" t="e">
        <f t="shared" si="4"/>
        <v>#DIV/0!</v>
      </c>
      <c r="AN11" s="63" t="e">
        <f t="shared" si="4"/>
        <v>#DIV/0!</v>
      </c>
      <c r="AO11" s="63" t="e">
        <f t="shared" si="4"/>
        <v>#DIV/0!</v>
      </c>
      <c r="AP11" s="63" t="e">
        <f t="shared" si="4"/>
        <v>#DIV/0!</v>
      </c>
      <c r="AQ11" s="63" t="e">
        <f t="shared" si="4"/>
        <v>#DIV/0!</v>
      </c>
      <c r="AR11" s="63" t="e">
        <f t="shared" si="4"/>
        <v>#DIV/0!</v>
      </c>
      <c r="AS11" s="63" t="e">
        <f t="shared" si="4"/>
        <v>#DIV/0!</v>
      </c>
      <c r="AT11" s="63" t="e">
        <f t="shared" si="4"/>
        <v>#DIV/0!</v>
      </c>
      <c r="AU11" s="63" t="e">
        <f t="shared" si="4"/>
        <v>#DIV/0!</v>
      </c>
      <c r="AV11" s="63" t="e">
        <f t="shared" si="4"/>
        <v>#DIV/0!</v>
      </c>
      <c r="AW11" s="63" t="e">
        <f t="shared" si="4"/>
        <v>#DIV/0!</v>
      </c>
      <c r="AX11" s="63" t="e">
        <f t="shared" si="4"/>
        <v>#DIV/0!</v>
      </c>
      <c r="AY11" s="63" t="e">
        <f t="shared" si="4"/>
        <v>#DIV/0!</v>
      </c>
      <c r="AZ11" s="63" t="e">
        <f t="shared" si="4"/>
        <v>#DIV/0!</v>
      </c>
      <c r="BA11" s="63" t="e">
        <f t="shared" si="4"/>
        <v>#DIV/0!</v>
      </c>
      <c r="BB11" s="63" t="e">
        <f t="shared" si="4"/>
        <v>#DIV/0!</v>
      </c>
      <c r="BC11" s="63" t="e">
        <f t="shared" si="4"/>
        <v>#DIV/0!</v>
      </c>
      <c r="BD11" s="63" t="e">
        <f t="shared" si="4"/>
        <v>#DIV/0!</v>
      </c>
      <c r="BE11" s="63" t="e">
        <f t="shared" si="4"/>
        <v>#DIV/0!</v>
      </c>
      <c r="BF11" s="63" t="e">
        <f t="shared" si="4"/>
        <v>#DIV/0!</v>
      </c>
      <c r="BG11" s="63" t="e">
        <f t="shared" si="4"/>
        <v>#DIV/0!</v>
      </c>
      <c r="BH11" s="63" t="e">
        <f t="shared" si="4"/>
        <v>#DIV/0!</v>
      </c>
      <c r="BI11" s="63" t="e">
        <f t="shared" si="4"/>
        <v>#DIV/0!</v>
      </c>
      <c r="BJ11" s="63" t="e">
        <f t="shared" si="4"/>
        <v>#DIV/0!</v>
      </c>
      <c r="BK11" s="63" t="e">
        <f t="shared" si="4"/>
        <v>#DIV/0!</v>
      </c>
      <c r="BL11" s="63" t="e">
        <f t="shared" si="4"/>
        <v>#DIV/0!</v>
      </c>
      <c r="BM11" s="63" t="e">
        <f t="shared" si="4"/>
        <v>#DIV/0!</v>
      </c>
      <c r="BN11" s="63" t="e">
        <f t="shared" si="4"/>
        <v>#DIV/0!</v>
      </c>
      <c r="BO11" s="63" t="e">
        <f t="shared" si="4"/>
        <v>#DIV/0!</v>
      </c>
      <c r="BP11" s="63" t="e">
        <f t="shared" si="4"/>
        <v>#DIV/0!</v>
      </c>
      <c r="BQ11" s="63" t="e">
        <f t="shared" si="4"/>
        <v>#DIV/0!</v>
      </c>
      <c r="BR11" s="63" t="e">
        <f>BR4/BR10</f>
        <v>#DIV/0!</v>
      </c>
      <c r="BS11" s="63" t="e">
        <f>BS4/BS10</f>
        <v>#DIV/0!</v>
      </c>
      <c r="BT11" s="63" t="e">
        <f>BT4/BT10</f>
        <v>#DIV/0!</v>
      </c>
      <c r="BU11" s="63" t="e">
        <f>BU4/BU10</f>
        <v>#DIV/0!</v>
      </c>
      <c r="BV11" s="63" t="e">
        <f>BV4/BV10*100</f>
        <v>#DIV/0!</v>
      </c>
    </row>
    <row r="12" spans="1:74" s="63" customFormat="1">
      <c r="A12" s="17" t="s">
        <v>352</v>
      </c>
      <c r="E12" s="63">
        <f>E8/E10</f>
        <v>1</v>
      </c>
      <c r="F12" s="63">
        <f t="shared" ref="F12:BQ12" si="5">F8/F10</f>
        <v>1</v>
      </c>
      <c r="G12" s="63">
        <f t="shared" si="5"/>
        <v>1</v>
      </c>
      <c r="H12" s="63">
        <f t="shared" si="5"/>
        <v>1</v>
      </c>
      <c r="I12" s="63">
        <f t="shared" si="5"/>
        <v>1</v>
      </c>
      <c r="J12" s="63">
        <f t="shared" si="5"/>
        <v>0.99999999999999978</v>
      </c>
      <c r="K12" s="63">
        <f t="shared" si="5"/>
        <v>1</v>
      </c>
      <c r="L12" s="63">
        <f t="shared" si="5"/>
        <v>0.99999999999999989</v>
      </c>
      <c r="M12" s="63">
        <f t="shared" si="5"/>
        <v>1</v>
      </c>
      <c r="N12" s="63">
        <f t="shared" si="5"/>
        <v>1</v>
      </c>
      <c r="O12" s="63">
        <f t="shared" si="5"/>
        <v>0.99999999999999989</v>
      </c>
      <c r="P12" s="63">
        <f t="shared" si="5"/>
        <v>1</v>
      </c>
      <c r="Q12" s="63" t="e">
        <f t="shared" si="5"/>
        <v>#DIV/0!</v>
      </c>
      <c r="R12" s="63" t="e">
        <f t="shared" si="5"/>
        <v>#DIV/0!</v>
      </c>
      <c r="S12" s="63" t="e">
        <f t="shared" si="5"/>
        <v>#DIV/0!</v>
      </c>
      <c r="T12" s="63" t="e">
        <f t="shared" si="5"/>
        <v>#DIV/0!</v>
      </c>
      <c r="U12" s="63" t="e">
        <f t="shared" si="5"/>
        <v>#DIV/0!</v>
      </c>
      <c r="V12" s="63" t="e">
        <f t="shared" si="5"/>
        <v>#DIV/0!</v>
      </c>
      <c r="W12" s="63" t="e">
        <f t="shared" si="5"/>
        <v>#DIV/0!</v>
      </c>
      <c r="X12" s="63" t="e">
        <f t="shared" si="5"/>
        <v>#DIV/0!</v>
      </c>
      <c r="Y12" s="63" t="e">
        <f t="shared" si="5"/>
        <v>#DIV/0!</v>
      </c>
      <c r="Z12" s="63" t="e">
        <f t="shared" si="5"/>
        <v>#DIV/0!</v>
      </c>
      <c r="AA12" s="63" t="e">
        <f t="shared" si="5"/>
        <v>#DIV/0!</v>
      </c>
      <c r="AB12" s="63" t="e">
        <f t="shared" si="5"/>
        <v>#DIV/0!</v>
      </c>
      <c r="AC12" s="63" t="e">
        <f t="shared" si="5"/>
        <v>#DIV/0!</v>
      </c>
      <c r="AD12" s="63" t="e">
        <f t="shared" si="5"/>
        <v>#DIV/0!</v>
      </c>
      <c r="AE12" s="63" t="e">
        <f t="shared" si="5"/>
        <v>#DIV/0!</v>
      </c>
      <c r="AF12" s="63" t="e">
        <f t="shared" si="5"/>
        <v>#DIV/0!</v>
      </c>
      <c r="AG12" s="63" t="e">
        <f t="shared" si="5"/>
        <v>#DIV/0!</v>
      </c>
      <c r="AH12" s="63" t="e">
        <f t="shared" si="5"/>
        <v>#DIV/0!</v>
      </c>
      <c r="AI12" s="63" t="e">
        <f t="shared" si="5"/>
        <v>#DIV/0!</v>
      </c>
      <c r="AJ12" s="63" t="e">
        <f t="shared" si="5"/>
        <v>#DIV/0!</v>
      </c>
      <c r="AK12" s="63" t="e">
        <f t="shared" si="5"/>
        <v>#DIV/0!</v>
      </c>
      <c r="AL12" s="63" t="e">
        <f t="shared" si="5"/>
        <v>#DIV/0!</v>
      </c>
      <c r="AM12" s="63" t="e">
        <f t="shared" si="5"/>
        <v>#DIV/0!</v>
      </c>
      <c r="AN12" s="63" t="e">
        <f t="shared" si="5"/>
        <v>#DIV/0!</v>
      </c>
      <c r="AO12" s="63" t="e">
        <f t="shared" si="5"/>
        <v>#DIV/0!</v>
      </c>
      <c r="AP12" s="63" t="e">
        <f t="shared" si="5"/>
        <v>#DIV/0!</v>
      </c>
      <c r="AQ12" s="63" t="e">
        <f t="shared" si="5"/>
        <v>#DIV/0!</v>
      </c>
      <c r="AR12" s="63" t="e">
        <f t="shared" si="5"/>
        <v>#DIV/0!</v>
      </c>
      <c r="AS12" s="63" t="e">
        <f t="shared" si="5"/>
        <v>#DIV/0!</v>
      </c>
      <c r="AT12" s="63" t="e">
        <f t="shared" si="5"/>
        <v>#DIV/0!</v>
      </c>
      <c r="AU12" s="63" t="e">
        <f t="shared" si="5"/>
        <v>#DIV/0!</v>
      </c>
      <c r="AV12" s="63" t="e">
        <f t="shared" si="5"/>
        <v>#DIV/0!</v>
      </c>
      <c r="AW12" s="63" t="e">
        <f t="shared" si="5"/>
        <v>#DIV/0!</v>
      </c>
      <c r="AX12" s="63" t="e">
        <f t="shared" si="5"/>
        <v>#DIV/0!</v>
      </c>
      <c r="AY12" s="63" t="e">
        <f t="shared" si="5"/>
        <v>#DIV/0!</v>
      </c>
      <c r="AZ12" s="63" t="e">
        <f t="shared" si="5"/>
        <v>#DIV/0!</v>
      </c>
      <c r="BA12" s="63" t="e">
        <f t="shared" si="5"/>
        <v>#DIV/0!</v>
      </c>
      <c r="BB12" s="63" t="e">
        <f t="shared" si="5"/>
        <v>#DIV/0!</v>
      </c>
      <c r="BC12" s="63" t="e">
        <f t="shared" si="5"/>
        <v>#DIV/0!</v>
      </c>
      <c r="BD12" s="63" t="e">
        <f t="shared" si="5"/>
        <v>#DIV/0!</v>
      </c>
      <c r="BE12" s="63" t="e">
        <f t="shared" si="5"/>
        <v>#DIV/0!</v>
      </c>
      <c r="BF12" s="63" t="e">
        <f t="shared" si="5"/>
        <v>#DIV/0!</v>
      </c>
      <c r="BG12" s="63" t="e">
        <f t="shared" si="5"/>
        <v>#DIV/0!</v>
      </c>
      <c r="BH12" s="63" t="e">
        <f t="shared" si="5"/>
        <v>#DIV/0!</v>
      </c>
      <c r="BI12" s="63" t="e">
        <f t="shared" si="5"/>
        <v>#DIV/0!</v>
      </c>
      <c r="BJ12" s="63" t="e">
        <f t="shared" si="5"/>
        <v>#DIV/0!</v>
      </c>
      <c r="BK12" s="63" t="e">
        <f t="shared" si="5"/>
        <v>#DIV/0!</v>
      </c>
      <c r="BL12" s="63" t="e">
        <f t="shared" si="5"/>
        <v>#DIV/0!</v>
      </c>
      <c r="BM12" s="63" t="e">
        <f t="shared" si="5"/>
        <v>#DIV/0!</v>
      </c>
      <c r="BN12" s="63" t="e">
        <f t="shared" si="5"/>
        <v>#DIV/0!</v>
      </c>
      <c r="BO12" s="63" t="e">
        <f t="shared" si="5"/>
        <v>#DIV/0!</v>
      </c>
      <c r="BP12" s="63" t="e">
        <f t="shared" si="5"/>
        <v>#DIV/0!</v>
      </c>
      <c r="BQ12" s="63" t="e">
        <f t="shared" si="5"/>
        <v>#DIV/0!</v>
      </c>
      <c r="BR12" s="63" t="e">
        <f>BR8/BR10</f>
        <v>#DIV/0!</v>
      </c>
      <c r="BS12" s="63" t="e">
        <f>BS8/BS10</f>
        <v>#DIV/0!</v>
      </c>
      <c r="BT12" s="63" t="e">
        <f>BT8/BT10</f>
        <v>#DIV/0!</v>
      </c>
      <c r="BU12" s="63" t="e">
        <f>BU8/BU10</f>
        <v>#DIV/0!</v>
      </c>
      <c r="BV12" s="63" t="e">
        <f>BV8/BV10*100</f>
        <v>#DIV/0!</v>
      </c>
    </row>
    <row r="13" spans="1:74" s="63" customFormat="1">
      <c r="A13" s="17" t="s">
        <v>353</v>
      </c>
      <c r="E13" s="63">
        <f>(E4/E10*E7+E8/E10*E9)</f>
        <v>0.08</v>
      </c>
      <c r="F13" s="63">
        <f t="shared" ref="F13:BQ13" si="6">(F4/F10*F7+F8/F10*F9)</f>
        <v>0.08</v>
      </c>
      <c r="G13" s="63">
        <f t="shared" si="6"/>
        <v>0.08</v>
      </c>
      <c r="H13" s="63">
        <f t="shared" si="6"/>
        <v>0.08</v>
      </c>
      <c r="I13" s="63">
        <f t="shared" si="6"/>
        <v>0.08</v>
      </c>
      <c r="J13" s="63">
        <f t="shared" si="6"/>
        <v>7.9999999999999988E-2</v>
      </c>
      <c r="K13" s="63">
        <f t="shared" si="6"/>
        <v>0.08</v>
      </c>
      <c r="L13" s="63">
        <f t="shared" si="6"/>
        <v>7.9999999999999988E-2</v>
      </c>
      <c r="M13" s="63">
        <f t="shared" si="6"/>
        <v>0.08</v>
      </c>
      <c r="N13" s="63">
        <f t="shared" si="6"/>
        <v>0.08</v>
      </c>
      <c r="O13" s="63">
        <f t="shared" si="6"/>
        <v>7.9999999999999988E-2</v>
      </c>
      <c r="P13" s="63">
        <f t="shared" si="6"/>
        <v>0.08</v>
      </c>
      <c r="Q13" s="63" t="e">
        <f t="shared" si="6"/>
        <v>#DIV/0!</v>
      </c>
      <c r="R13" s="63" t="e">
        <f t="shared" si="6"/>
        <v>#DIV/0!</v>
      </c>
      <c r="S13" s="63" t="e">
        <f t="shared" si="6"/>
        <v>#DIV/0!</v>
      </c>
      <c r="T13" s="63" t="e">
        <f t="shared" si="6"/>
        <v>#DIV/0!</v>
      </c>
      <c r="U13" s="63" t="e">
        <f t="shared" si="6"/>
        <v>#DIV/0!</v>
      </c>
      <c r="V13" s="63" t="e">
        <f t="shared" si="6"/>
        <v>#DIV/0!</v>
      </c>
      <c r="W13" s="63" t="e">
        <f t="shared" si="6"/>
        <v>#DIV/0!</v>
      </c>
      <c r="X13" s="63" t="e">
        <f t="shared" si="6"/>
        <v>#DIV/0!</v>
      </c>
      <c r="Y13" s="63" t="e">
        <f t="shared" si="6"/>
        <v>#DIV/0!</v>
      </c>
      <c r="Z13" s="63" t="e">
        <f t="shared" si="6"/>
        <v>#DIV/0!</v>
      </c>
      <c r="AA13" s="63" t="e">
        <f t="shared" si="6"/>
        <v>#DIV/0!</v>
      </c>
      <c r="AB13" s="63" t="e">
        <f t="shared" si="6"/>
        <v>#DIV/0!</v>
      </c>
      <c r="AC13" s="63" t="e">
        <f t="shared" si="6"/>
        <v>#DIV/0!</v>
      </c>
      <c r="AD13" s="63" t="e">
        <f t="shared" si="6"/>
        <v>#DIV/0!</v>
      </c>
      <c r="AE13" s="63" t="e">
        <f t="shared" si="6"/>
        <v>#DIV/0!</v>
      </c>
      <c r="AF13" s="63" t="e">
        <f t="shared" si="6"/>
        <v>#DIV/0!</v>
      </c>
      <c r="AG13" s="63" t="e">
        <f t="shared" si="6"/>
        <v>#DIV/0!</v>
      </c>
      <c r="AH13" s="63" t="e">
        <f t="shared" si="6"/>
        <v>#DIV/0!</v>
      </c>
      <c r="AI13" s="63" t="e">
        <f t="shared" si="6"/>
        <v>#DIV/0!</v>
      </c>
      <c r="AJ13" s="63" t="e">
        <f t="shared" si="6"/>
        <v>#DIV/0!</v>
      </c>
      <c r="AK13" s="63" t="e">
        <f t="shared" si="6"/>
        <v>#DIV/0!</v>
      </c>
      <c r="AL13" s="63" t="e">
        <f t="shared" si="6"/>
        <v>#DIV/0!</v>
      </c>
      <c r="AM13" s="63" t="e">
        <f t="shared" si="6"/>
        <v>#DIV/0!</v>
      </c>
      <c r="AN13" s="63" t="e">
        <f t="shared" si="6"/>
        <v>#DIV/0!</v>
      </c>
      <c r="AO13" s="63" t="e">
        <f t="shared" si="6"/>
        <v>#DIV/0!</v>
      </c>
      <c r="AP13" s="63" t="e">
        <f t="shared" si="6"/>
        <v>#DIV/0!</v>
      </c>
      <c r="AQ13" s="63" t="e">
        <f t="shared" si="6"/>
        <v>#DIV/0!</v>
      </c>
      <c r="AR13" s="63" t="e">
        <f t="shared" si="6"/>
        <v>#DIV/0!</v>
      </c>
      <c r="AS13" s="63" t="e">
        <f t="shared" si="6"/>
        <v>#DIV/0!</v>
      </c>
      <c r="AT13" s="63" t="e">
        <f t="shared" si="6"/>
        <v>#DIV/0!</v>
      </c>
      <c r="AU13" s="63" t="e">
        <f t="shared" si="6"/>
        <v>#DIV/0!</v>
      </c>
      <c r="AV13" s="63" t="e">
        <f t="shared" si="6"/>
        <v>#DIV/0!</v>
      </c>
      <c r="AW13" s="63" t="e">
        <f t="shared" si="6"/>
        <v>#DIV/0!</v>
      </c>
      <c r="AX13" s="63" t="e">
        <f t="shared" si="6"/>
        <v>#DIV/0!</v>
      </c>
      <c r="AY13" s="63" t="e">
        <f t="shared" si="6"/>
        <v>#DIV/0!</v>
      </c>
      <c r="AZ13" s="63" t="e">
        <f t="shared" si="6"/>
        <v>#DIV/0!</v>
      </c>
      <c r="BA13" s="63" t="e">
        <f t="shared" si="6"/>
        <v>#DIV/0!</v>
      </c>
      <c r="BB13" s="63" t="e">
        <f t="shared" si="6"/>
        <v>#DIV/0!</v>
      </c>
      <c r="BC13" s="63" t="e">
        <f t="shared" si="6"/>
        <v>#DIV/0!</v>
      </c>
      <c r="BD13" s="63" t="e">
        <f t="shared" si="6"/>
        <v>#DIV/0!</v>
      </c>
      <c r="BE13" s="63" t="e">
        <f t="shared" si="6"/>
        <v>#DIV/0!</v>
      </c>
      <c r="BF13" s="63" t="e">
        <f t="shared" si="6"/>
        <v>#DIV/0!</v>
      </c>
      <c r="BG13" s="63" t="e">
        <f t="shared" si="6"/>
        <v>#DIV/0!</v>
      </c>
      <c r="BH13" s="63" t="e">
        <f t="shared" si="6"/>
        <v>#DIV/0!</v>
      </c>
      <c r="BI13" s="63" t="e">
        <f t="shared" si="6"/>
        <v>#DIV/0!</v>
      </c>
      <c r="BJ13" s="63" t="e">
        <f t="shared" si="6"/>
        <v>#DIV/0!</v>
      </c>
      <c r="BK13" s="63" t="e">
        <f t="shared" si="6"/>
        <v>#DIV/0!</v>
      </c>
      <c r="BL13" s="63" t="e">
        <f t="shared" si="6"/>
        <v>#DIV/0!</v>
      </c>
      <c r="BM13" s="63" t="e">
        <f t="shared" si="6"/>
        <v>#DIV/0!</v>
      </c>
      <c r="BN13" s="63" t="e">
        <f t="shared" si="6"/>
        <v>#DIV/0!</v>
      </c>
      <c r="BO13" s="63" t="e">
        <f t="shared" si="6"/>
        <v>#DIV/0!</v>
      </c>
      <c r="BP13" s="63" t="e">
        <f t="shared" si="6"/>
        <v>#DIV/0!</v>
      </c>
      <c r="BQ13" s="63" t="e">
        <f t="shared" si="6"/>
        <v>#DIV/0!</v>
      </c>
      <c r="BR13" s="63" t="e">
        <f t="shared" ref="BR13:BV13" si="7">(BR4/BR10*BR7+BR8/BR10*BR9)</f>
        <v>#DIV/0!</v>
      </c>
      <c r="BS13" s="63" t="e">
        <f t="shared" si="7"/>
        <v>#DIV/0!</v>
      </c>
      <c r="BT13" s="63" t="e">
        <f t="shared" si="7"/>
        <v>#DIV/0!</v>
      </c>
      <c r="BU13" s="63" t="e">
        <f t="shared" si="7"/>
        <v>#DIV/0!</v>
      </c>
      <c r="BV13" s="63" t="e">
        <f t="shared" si="7"/>
        <v>#DIV/0!</v>
      </c>
    </row>
    <row r="14" spans="1:74" s="16" customFormat="1" ht="40.5" customHeight="1">
      <c r="A14" s="235" t="s">
        <v>648</v>
      </c>
      <c r="B14" s="236"/>
      <c r="C14" s="236"/>
      <c r="D14" s="236"/>
      <c r="E14" s="236"/>
      <c r="F14" s="236"/>
      <c r="G14" s="236"/>
      <c r="H14" s="236"/>
      <c r="I14" s="236"/>
      <c r="J14" s="236"/>
      <c r="K14" s="236"/>
      <c r="L14" s="236"/>
      <c r="M14" s="236"/>
      <c r="N14" s="236"/>
      <c r="O14" s="236"/>
      <c r="P14" s="236"/>
      <c r="Q14" s="236"/>
      <c r="R14" s="236"/>
      <c r="S14" s="236"/>
      <c r="T14" s="236"/>
      <c r="U14" s="236"/>
      <c r="V14" s="236"/>
      <c r="W14" s="236"/>
      <c r="X14" s="236"/>
      <c r="Y14" s="236"/>
      <c r="Z14" s="236"/>
      <c r="AA14" s="236"/>
      <c r="AB14" s="236"/>
      <c r="AC14" s="236"/>
      <c r="AD14" s="236"/>
      <c r="AE14" s="236"/>
      <c r="AF14" s="236"/>
      <c r="AG14" s="236"/>
    </row>
    <row r="16" spans="1:74" s="45" customFormat="1">
      <c r="A16" s="46" t="s">
        <v>335</v>
      </c>
      <c r="E16" s="45">
        <v>0.08</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51"/>
  <sheetViews>
    <sheetView topLeftCell="A31" workbookViewId="0">
      <selection activeCell="N58" sqref="N58"/>
    </sheetView>
  </sheetViews>
  <sheetFormatPr defaultRowHeight="13.5"/>
  <cols>
    <col min="1" max="1" width="38" style="17" bestFit="1" customWidth="1"/>
    <col min="2" max="4" width="9.5" hidden="1" customWidth="1"/>
    <col min="5" max="5" width="19.5" bestFit="1" customWidth="1"/>
    <col min="6" max="8" width="19.5" hidden="1" customWidth="1"/>
    <col min="9" max="9" width="19.5" bestFit="1" customWidth="1"/>
    <col min="10" max="11" width="19.5" hidden="1" customWidth="1"/>
    <col min="12" max="15" width="19.5" bestFit="1" customWidth="1"/>
    <col min="16" max="16" width="18.25" bestFit="1" customWidth="1"/>
    <col min="17" max="17" width="9.5" hidden="1" customWidth="1"/>
    <col min="18" max="90" width="8.5" bestFit="1" customWidth="1"/>
  </cols>
  <sheetData>
    <row r="1" spans="1:90" s="26" customFormat="1">
      <c r="A1" s="17">
        <v>300559</v>
      </c>
      <c r="B1" s="1">
        <v>43373</v>
      </c>
      <c r="C1" s="1">
        <v>43281</v>
      </c>
      <c r="D1" s="1">
        <v>43190</v>
      </c>
      <c r="E1" s="1">
        <v>43100</v>
      </c>
      <c r="F1" s="1">
        <v>43008</v>
      </c>
      <c r="G1" s="1">
        <v>42916</v>
      </c>
      <c r="H1" s="1">
        <v>42825</v>
      </c>
      <c r="I1" s="1">
        <v>42735</v>
      </c>
      <c r="J1" s="1">
        <v>42643</v>
      </c>
      <c r="K1" s="1">
        <v>42551</v>
      </c>
      <c r="L1" s="1">
        <v>42369</v>
      </c>
      <c r="M1" s="1">
        <v>42004</v>
      </c>
      <c r="N1" s="1">
        <v>41639</v>
      </c>
      <c r="O1" s="1">
        <v>41274</v>
      </c>
      <c r="P1" s="1">
        <v>40908</v>
      </c>
      <c r="Q1" s="1">
        <v>25569</v>
      </c>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row>
    <row r="2" spans="1:90" s="26" customFormat="1">
      <c r="A2" s="17" t="s">
        <v>559</v>
      </c>
      <c r="E2" s="26">
        <f>资产资本表!E17</f>
        <v>462619726.81</v>
      </c>
      <c r="F2" s="26">
        <f>资产资本表!F17</f>
        <v>107296926.2</v>
      </c>
      <c r="G2" s="26">
        <f>资产资本表!G17</f>
        <v>59705580.670000002</v>
      </c>
      <c r="H2" s="26">
        <f>资产资本表!H17</f>
        <v>86686115.099999994</v>
      </c>
      <c r="I2" s="26">
        <f>资产资本表!I17</f>
        <v>113271854.45999999</v>
      </c>
      <c r="J2" s="26">
        <f>资产资本表!J17</f>
        <v>85346380.980000004</v>
      </c>
      <c r="K2" s="26">
        <f>资产资本表!K17</f>
        <v>83238034.700000003</v>
      </c>
      <c r="L2" s="26">
        <f>资产资本表!L17</f>
        <v>101054543.05</v>
      </c>
      <c r="M2" s="26">
        <f>资产资本表!M17</f>
        <v>117877584.94</v>
      </c>
      <c r="N2" s="26">
        <f>资产资本表!N17</f>
        <v>87797003.269999996</v>
      </c>
      <c r="O2" s="26">
        <f>资产资本表!O17</f>
        <v>65376596.740000002</v>
      </c>
      <c r="P2" s="26">
        <f>资产资本表!P17</f>
        <v>33665736.18</v>
      </c>
      <c r="Q2" s="26">
        <f>资产资本表!Q17</f>
        <v>0</v>
      </c>
      <c r="R2" s="26">
        <f>资产资本表!R17</f>
        <v>0</v>
      </c>
      <c r="S2" s="26">
        <f>资产资本表!S17</f>
        <v>0</v>
      </c>
      <c r="T2" s="26">
        <f>资产资本表!T17</f>
        <v>0</v>
      </c>
      <c r="U2" s="26">
        <f>资产资本表!U17</f>
        <v>0</v>
      </c>
      <c r="V2" s="26">
        <f>资产资本表!V17</f>
        <v>0</v>
      </c>
      <c r="W2" s="26">
        <f>资产资本表!W17</f>
        <v>0</v>
      </c>
      <c r="X2" s="26">
        <f>资产资本表!X17</f>
        <v>0</v>
      </c>
      <c r="Y2" s="26">
        <f>资产资本表!Y17</f>
        <v>0</v>
      </c>
      <c r="Z2" s="26">
        <f>资产资本表!Z17</f>
        <v>0</v>
      </c>
      <c r="AA2" s="26">
        <f>资产资本表!AA17</f>
        <v>0</v>
      </c>
      <c r="AB2" s="26">
        <f>资产资本表!AB17</f>
        <v>0</v>
      </c>
      <c r="AC2" s="26">
        <f>资产资本表!AC17</f>
        <v>0</v>
      </c>
      <c r="AD2" s="26">
        <f>资产资本表!AD17</f>
        <v>0</v>
      </c>
      <c r="AE2" s="26">
        <f>资产资本表!AE17</f>
        <v>0</v>
      </c>
      <c r="AF2" s="26">
        <f>资产资本表!AF17</f>
        <v>0</v>
      </c>
      <c r="AG2" s="26">
        <f>资产资本表!AG17</f>
        <v>0</v>
      </c>
      <c r="AH2" s="26">
        <f>资产资本表!AH17</f>
        <v>0</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17" t="s">
        <v>560</v>
      </c>
      <c r="E3" s="26">
        <f>资产资本表!E19</f>
        <v>0</v>
      </c>
      <c r="F3" s="26">
        <f>资产资本表!F19</f>
        <v>0</v>
      </c>
      <c r="G3" s="26">
        <f>资产资本表!G19</f>
        <v>0</v>
      </c>
      <c r="H3" s="26">
        <f>资产资本表!H19</f>
        <v>0</v>
      </c>
      <c r="I3" s="26">
        <f>资产资本表!I19</f>
        <v>0</v>
      </c>
      <c r="J3" s="26">
        <f>资产资本表!J19</f>
        <v>0</v>
      </c>
      <c r="K3" s="26">
        <f>资产资本表!K19</f>
        <v>0</v>
      </c>
      <c r="L3" s="26">
        <f>资产资本表!L19</f>
        <v>0</v>
      </c>
      <c r="M3" s="26">
        <f>资产资本表!M19</f>
        <v>0</v>
      </c>
      <c r="N3" s="26">
        <f>资产资本表!N19</f>
        <v>0</v>
      </c>
      <c r="O3" s="26">
        <f>资产资本表!O19</f>
        <v>0</v>
      </c>
      <c r="P3" s="26">
        <f>资产资本表!P19</f>
        <v>0</v>
      </c>
      <c r="Q3" s="26">
        <f>资产资本表!Q19</f>
        <v>0</v>
      </c>
      <c r="R3" s="26">
        <f>资产资本表!R19</f>
        <v>0</v>
      </c>
      <c r="S3" s="26">
        <f>资产资本表!S19</f>
        <v>0</v>
      </c>
      <c r="T3" s="26">
        <f>资产资本表!T19</f>
        <v>0</v>
      </c>
      <c r="U3" s="26">
        <f>资产资本表!U19</f>
        <v>0</v>
      </c>
      <c r="V3" s="26">
        <f>资产资本表!V19</f>
        <v>0</v>
      </c>
      <c r="W3" s="26">
        <f>资产资本表!W19</f>
        <v>0</v>
      </c>
      <c r="X3" s="26">
        <f>资产资本表!X19</f>
        <v>0</v>
      </c>
      <c r="Y3" s="26">
        <f>资产资本表!Y19</f>
        <v>0</v>
      </c>
      <c r="Z3" s="26">
        <f>资产资本表!Z19</f>
        <v>0</v>
      </c>
      <c r="AA3" s="26">
        <f>资产资本表!AA19</f>
        <v>0</v>
      </c>
      <c r="AB3" s="26">
        <f>资产资本表!AB19</f>
        <v>0</v>
      </c>
      <c r="AC3" s="26">
        <f>资产资本表!AC19</f>
        <v>0</v>
      </c>
      <c r="AD3" s="26">
        <f>资产资本表!AD19</f>
        <v>0</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565</v>
      </c>
      <c r="E4" s="26">
        <f>资产资本表!E50</f>
        <v>33893357.269999981</v>
      </c>
      <c r="F4" s="26">
        <f>资产资本表!F50</f>
        <v>358649879.79999995</v>
      </c>
      <c r="G4" s="26">
        <f>资产资本表!G50</f>
        <v>407926947.43000001</v>
      </c>
      <c r="H4" s="26">
        <f>资产资本表!H50</f>
        <v>375783858.84000003</v>
      </c>
      <c r="I4" s="26">
        <f>资产资本表!I50</f>
        <v>347074413.43000007</v>
      </c>
      <c r="J4" s="26">
        <f>资产资本表!J50</f>
        <v>87577078.320000023</v>
      </c>
      <c r="K4" s="26">
        <f>资产资本表!K50</f>
        <v>83471294.189999998</v>
      </c>
      <c r="L4" s="26">
        <f>资产资本表!L50</f>
        <v>48258446.470000014</v>
      </c>
      <c r="M4" s="26">
        <f>资产资本表!M50</f>
        <v>59500874.920000002</v>
      </c>
      <c r="N4" s="26">
        <f>资产资本表!N50</f>
        <v>49952721.640000001</v>
      </c>
      <c r="O4" s="26">
        <f>资产资本表!O50</f>
        <v>24221166.460000008</v>
      </c>
      <c r="P4" s="26">
        <f>资产资本表!P50</f>
        <v>27484403.180000003</v>
      </c>
      <c r="Q4" s="26">
        <f>资产资本表!Q50</f>
        <v>0</v>
      </c>
      <c r="R4" s="26">
        <f>资产资本表!R50</f>
        <v>0</v>
      </c>
      <c r="S4" s="26">
        <f>资产资本表!S50</f>
        <v>0</v>
      </c>
      <c r="T4" s="26">
        <f>资产资本表!T50</f>
        <v>0</v>
      </c>
      <c r="U4" s="26">
        <f>资产资本表!U50</f>
        <v>0</v>
      </c>
      <c r="V4" s="26">
        <f>资产资本表!V50</f>
        <v>0</v>
      </c>
      <c r="W4" s="26">
        <f>资产资本表!W50</f>
        <v>0</v>
      </c>
      <c r="X4" s="26">
        <f>资产资本表!X50</f>
        <v>0</v>
      </c>
      <c r="Y4" s="26">
        <f>资产资本表!Y50</f>
        <v>0</v>
      </c>
      <c r="Z4" s="26">
        <f>资产资本表!Z50</f>
        <v>0</v>
      </c>
      <c r="AA4" s="26">
        <f>资产资本表!AA50</f>
        <v>0</v>
      </c>
      <c r="AB4" s="26">
        <f>资产资本表!AB50</f>
        <v>0</v>
      </c>
      <c r="AC4" s="26">
        <f>资产资本表!AC50</f>
        <v>0</v>
      </c>
      <c r="AD4" s="26">
        <f>资产资本表!AD50</f>
        <v>0</v>
      </c>
      <c r="AE4" s="26">
        <f>资产资本表!AE50</f>
        <v>0</v>
      </c>
      <c r="AF4" s="26">
        <f>资产资本表!AF50</f>
        <v>0</v>
      </c>
      <c r="AG4" s="26">
        <f>资产资本表!AG50</f>
        <v>0</v>
      </c>
      <c r="AH4" s="26">
        <f>资产资本表!AH50</f>
        <v>0</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336</v>
      </c>
      <c r="E5" s="26">
        <f>资产资本表!E33</f>
        <v>109394764.11999999</v>
      </c>
      <c r="F5" s="26">
        <f>资产资本表!F33</f>
        <v>422377200.81999999</v>
      </c>
      <c r="G5" s="26">
        <f>资产资本表!G33</f>
        <v>464719695.81</v>
      </c>
      <c r="H5" s="26">
        <f>资产资本表!H33</f>
        <v>420738655.10000002</v>
      </c>
      <c r="I5" s="26">
        <f>资产资本表!I33</f>
        <v>409363203.84000003</v>
      </c>
      <c r="J5" s="26">
        <f>资产资本表!J33</f>
        <v>133383964.86000001</v>
      </c>
      <c r="K5" s="26">
        <f>资产资本表!K33</f>
        <v>131353488.13000001</v>
      </c>
      <c r="L5" s="26">
        <f>资产资本表!L33</f>
        <v>106044026.51000001</v>
      </c>
      <c r="M5" s="26">
        <f>资产资本表!M33</f>
        <v>94780384.590000004</v>
      </c>
      <c r="N5" s="26">
        <f>资产资本表!N33</f>
        <v>81127319.189999998</v>
      </c>
      <c r="O5" s="26">
        <f>资产资本表!O33</f>
        <v>74698338.060000002</v>
      </c>
      <c r="P5" s="26">
        <f>资产资本表!P33</f>
        <v>41924066.920000002</v>
      </c>
      <c r="Q5" s="26">
        <f>资产资本表!Q33</f>
        <v>0</v>
      </c>
      <c r="R5" s="26">
        <f>资产资本表!R33</f>
        <v>0</v>
      </c>
      <c r="S5" s="26">
        <f>资产资本表!S33</f>
        <v>0</v>
      </c>
      <c r="T5" s="26">
        <f>资产资本表!T33</f>
        <v>0</v>
      </c>
      <c r="U5" s="26">
        <f>资产资本表!U33</f>
        <v>0</v>
      </c>
      <c r="V5" s="26">
        <f>资产资本表!V33</f>
        <v>0</v>
      </c>
      <c r="W5" s="26">
        <f>资产资本表!W33</f>
        <v>0</v>
      </c>
      <c r="X5" s="26">
        <f>资产资本表!X33</f>
        <v>0</v>
      </c>
      <c r="Y5" s="26">
        <f>资产资本表!Y33</f>
        <v>0</v>
      </c>
      <c r="Z5" s="26">
        <f>资产资本表!Z33</f>
        <v>0</v>
      </c>
      <c r="AA5" s="26">
        <f>资产资本表!AA33</f>
        <v>0</v>
      </c>
      <c r="AB5" s="26">
        <f>资产资本表!AB33</f>
        <v>0</v>
      </c>
      <c r="AC5" s="26">
        <f>资产资本表!AC33</f>
        <v>0</v>
      </c>
      <c r="AD5" s="26">
        <f>资产资本表!AD33</f>
        <v>0</v>
      </c>
      <c r="AE5" s="26">
        <f>资产资本表!AE33</f>
        <v>0</v>
      </c>
      <c r="AF5" s="26">
        <f>资产资本表!AF33</f>
        <v>0</v>
      </c>
      <c r="AG5" s="26">
        <f>资产资本表!AG33</f>
        <v>0</v>
      </c>
      <c r="AH5" s="26">
        <f>资产资本表!AH33</f>
        <v>0</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337</v>
      </c>
      <c r="E6" s="26">
        <f>资产资本表!E49</f>
        <v>75501406.850000009</v>
      </c>
      <c r="F6" s="26">
        <f>资产资本表!F49</f>
        <v>63727321.020000011</v>
      </c>
      <c r="G6" s="26">
        <f>资产资本表!G49</f>
        <v>56792748.379999995</v>
      </c>
      <c r="H6" s="26">
        <f>资产资本表!H49</f>
        <v>44954796.260000005</v>
      </c>
      <c r="I6" s="26">
        <f>资产资本表!I49</f>
        <v>62288790.409999996</v>
      </c>
      <c r="J6" s="26">
        <f>资产资本表!J49</f>
        <v>45806886.539999992</v>
      </c>
      <c r="K6" s="26">
        <f>资产资本表!K49</f>
        <v>47882193.940000005</v>
      </c>
      <c r="L6" s="26">
        <f>资产资本表!L49</f>
        <v>57785580.039999992</v>
      </c>
      <c r="M6" s="26">
        <f>资产资本表!M49</f>
        <v>35279509.670000002</v>
      </c>
      <c r="N6" s="26">
        <f>资产资本表!N49</f>
        <v>31174597.550000001</v>
      </c>
      <c r="O6" s="26">
        <f>资产资本表!O49</f>
        <v>50477171.599999994</v>
      </c>
      <c r="P6" s="26">
        <f>资产资本表!P49</f>
        <v>14439663.739999998</v>
      </c>
      <c r="Q6" s="26">
        <f>资产资本表!Q49</f>
        <v>0</v>
      </c>
      <c r="R6" s="26">
        <f>资产资本表!R49</f>
        <v>0</v>
      </c>
      <c r="S6" s="26">
        <f>资产资本表!S49</f>
        <v>0</v>
      </c>
      <c r="T6" s="26">
        <f>资产资本表!T49</f>
        <v>0</v>
      </c>
      <c r="U6" s="26">
        <f>资产资本表!U49</f>
        <v>0</v>
      </c>
      <c r="V6" s="26">
        <f>资产资本表!V49</f>
        <v>0</v>
      </c>
      <c r="W6" s="26">
        <f>资产资本表!W49</f>
        <v>0</v>
      </c>
      <c r="X6" s="26">
        <f>资产资本表!X49</f>
        <v>0</v>
      </c>
      <c r="Y6" s="26">
        <f>资产资本表!Y49</f>
        <v>0</v>
      </c>
      <c r="Z6" s="26">
        <f>资产资本表!Z49</f>
        <v>0</v>
      </c>
      <c r="AA6" s="26">
        <f>资产资本表!AA49</f>
        <v>0</v>
      </c>
      <c r="AB6" s="26">
        <f>资产资本表!AB49</f>
        <v>0</v>
      </c>
      <c r="AC6" s="26">
        <f>资产资本表!AC49</f>
        <v>0</v>
      </c>
      <c r="AD6" s="26">
        <f>资产资本表!AD49</f>
        <v>0</v>
      </c>
      <c r="AE6" s="26">
        <f>资产资本表!AE49</f>
        <v>0</v>
      </c>
      <c r="AF6" s="26">
        <f>资产资本表!AF49</f>
        <v>0</v>
      </c>
      <c r="AG6" s="26">
        <f>资产资本表!AG49</f>
        <v>0</v>
      </c>
      <c r="AH6" s="26">
        <f>资产资本表!AH49</f>
        <v>0</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338</v>
      </c>
      <c r="E7" s="26">
        <f>资产资本表!E68</f>
        <v>184267617.44999999</v>
      </c>
      <c r="F7" s="26">
        <f>资产资本表!F68</f>
        <v>177621360.12</v>
      </c>
      <c r="G7" s="26">
        <f>资产资本表!G68</f>
        <v>125502574.55</v>
      </c>
      <c r="H7" s="26">
        <f>资产资本表!H68</f>
        <v>121850622.88</v>
      </c>
      <c r="I7" s="26">
        <f>资产资本表!I68</f>
        <v>122211044.83999999</v>
      </c>
      <c r="J7" s="26">
        <f>资产资本表!J68</f>
        <v>106885665.91</v>
      </c>
      <c r="K7" s="26">
        <f>资产资本表!K68</f>
        <v>102860874.88</v>
      </c>
      <c r="L7" s="26">
        <f>资产资本表!L68</f>
        <v>90585586.769999996</v>
      </c>
      <c r="M7" s="26">
        <f>资产资本表!M68</f>
        <v>34469860.640000001</v>
      </c>
      <c r="N7" s="26">
        <f>资产资本表!N68</f>
        <v>32109703.940000001</v>
      </c>
      <c r="O7" s="26">
        <f>资产资本表!O68</f>
        <v>15975368.899999999</v>
      </c>
      <c r="P7" s="26">
        <f>资产资本表!P68</f>
        <v>1059573.78</v>
      </c>
      <c r="Q7" s="26">
        <f>资产资本表!Q68</f>
        <v>0</v>
      </c>
      <c r="R7" s="26">
        <f>资产资本表!R68</f>
        <v>0</v>
      </c>
      <c r="S7" s="26">
        <f>资产资本表!S68</f>
        <v>0</v>
      </c>
      <c r="T7" s="26">
        <f>资产资本表!T68</f>
        <v>0</v>
      </c>
      <c r="U7" s="26">
        <f>资产资本表!U68</f>
        <v>0</v>
      </c>
      <c r="V7" s="26">
        <f>资产资本表!V68</f>
        <v>0</v>
      </c>
      <c r="W7" s="26">
        <f>资产资本表!W68</f>
        <v>0</v>
      </c>
      <c r="X7" s="26">
        <f>资产资本表!X68</f>
        <v>0</v>
      </c>
      <c r="Y7" s="26">
        <f>资产资本表!Y68</f>
        <v>0</v>
      </c>
      <c r="Z7" s="26">
        <f>资产资本表!Z68</f>
        <v>0</v>
      </c>
      <c r="AA7" s="26">
        <f>资产资本表!AA68</f>
        <v>0</v>
      </c>
      <c r="AB7" s="26">
        <f>资产资本表!AB68</f>
        <v>0</v>
      </c>
      <c r="AC7" s="26">
        <f>资产资本表!AC68</f>
        <v>0</v>
      </c>
      <c r="AD7" s="26">
        <f>资产资本表!AD68</f>
        <v>0</v>
      </c>
      <c r="AE7" s="26">
        <f>资产资本表!AE68</f>
        <v>0</v>
      </c>
      <c r="AF7" s="26">
        <f>资产资本表!AF68</f>
        <v>0</v>
      </c>
      <c r="AG7" s="26">
        <f>资产资本表!AG68</f>
        <v>0</v>
      </c>
      <c r="AH7" s="26">
        <f>资产资本表!AH68</f>
        <v>0</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17" t="s">
        <v>339</v>
      </c>
      <c r="E8" s="26">
        <f>资产资本表!E69</f>
        <v>218160974.71999997</v>
      </c>
      <c r="F8" s="26">
        <f>资产资本表!F69</f>
        <v>536271239.91999996</v>
      </c>
      <c r="G8" s="26">
        <f>资产资本表!G69</f>
        <v>533429521.98000002</v>
      </c>
      <c r="H8" s="26">
        <f>资产资本表!H69</f>
        <v>497634481.72000003</v>
      </c>
      <c r="I8" s="26">
        <f>资产资本表!I69</f>
        <v>469285458.27000004</v>
      </c>
      <c r="J8" s="26">
        <f>资产资本表!J69</f>
        <v>194462744.23000002</v>
      </c>
      <c r="K8" s="26">
        <f>资产资本表!K69</f>
        <v>186332169.06999999</v>
      </c>
      <c r="L8" s="26">
        <f>资产资本表!L69</f>
        <v>138844033.24000001</v>
      </c>
      <c r="M8" s="26">
        <f>资产资本表!M69</f>
        <v>93970735.560000002</v>
      </c>
      <c r="N8" s="26">
        <f>资产资本表!N69</f>
        <v>82062425.579999998</v>
      </c>
      <c r="O8" s="26">
        <f>资产资本表!O69</f>
        <v>40196535.360000007</v>
      </c>
      <c r="P8" s="26">
        <f>资产资本表!P69</f>
        <v>28543976.960000005</v>
      </c>
      <c r="Q8" s="26">
        <f>资产资本表!Q69</f>
        <v>0</v>
      </c>
      <c r="R8" s="26">
        <f>资产资本表!R69</f>
        <v>0</v>
      </c>
      <c r="S8" s="26">
        <f>资产资本表!S69</f>
        <v>0</v>
      </c>
      <c r="T8" s="26">
        <f>资产资本表!T69</f>
        <v>0</v>
      </c>
      <c r="U8" s="26">
        <f>资产资本表!U69</f>
        <v>0</v>
      </c>
      <c r="V8" s="26">
        <f>资产资本表!V69</f>
        <v>0</v>
      </c>
      <c r="W8" s="26">
        <f>资产资本表!W69</f>
        <v>0</v>
      </c>
      <c r="X8" s="26">
        <f>资产资本表!X69</f>
        <v>0</v>
      </c>
      <c r="Y8" s="26">
        <f>资产资本表!Y69</f>
        <v>0</v>
      </c>
      <c r="Z8" s="26">
        <f>资产资本表!Z69</f>
        <v>0</v>
      </c>
      <c r="AA8" s="26">
        <f>资产资本表!AA69</f>
        <v>0</v>
      </c>
      <c r="AB8" s="26">
        <f>资产资本表!AB69</f>
        <v>0</v>
      </c>
      <c r="AC8" s="26">
        <f>资产资本表!AC69</f>
        <v>0</v>
      </c>
      <c r="AD8" s="26">
        <f>资产资本表!AD69</f>
        <v>0</v>
      </c>
      <c r="AE8" s="26">
        <f>资产资本表!AE69</f>
        <v>0</v>
      </c>
      <c r="AF8" s="26">
        <f>资产资本表!AF69</f>
        <v>0</v>
      </c>
      <c r="AG8" s="26">
        <f>资产资本表!AG69</f>
        <v>0</v>
      </c>
      <c r="AH8" s="26">
        <f>资产资本表!AH69</f>
        <v>0</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c r="A9" s="46" t="s">
        <v>340</v>
      </c>
      <c r="E9" s="48">
        <f>资产资本表!E70</f>
        <v>680780701.52999997</v>
      </c>
      <c r="F9" s="48">
        <f>资产资本表!F70</f>
        <v>643568166.12</v>
      </c>
      <c r="G9" s="48">
        <f>资产资本表!G70</f>
        <v>593135102.64999998</v>
      </c>
      <c r="H9" s="48">
        <f>资产资本表!H70</f>
        <v>584320596.82000005</v>
      </c>
      <c r="I9" s="48">
        <f>资产资本表!I70</f>
        <v>582557312.73000002</v>
      </c>
      <c r="J9" s="48">
        <f>资产资本表!J70</f>
        <v>279809125.21000004</v>
      </c>
      <c r="K9" s="48">
        <f>资产资本表!K70</f>
        <v>269570203.76999998</v>
      </c>
      <c r="L9" s="48">
        <f>资产资本表!L70</f>
        <v>239898576.29000002</v>
      </c>
      <c r="M9" s="48">
        <f>资产资本表!M70</f>
        <v>211848320.5</v>
      </c>
      <c r="N9" s="48">
        <f>资产资本表!N70</f>
        <v>169859428.84999999</v>
      </c>
      <c r="O9" s="48">
        <f>资产资本表!O70</f>
        <v>105573132.10000001</v>
      </c>
      <c r="P9" s="48">
        <f>资产资本表!P70</f>
        <v>62209713.140000001</v>
      </c>
      <c r="Q9" s="48">
        <f>资产资本表!Q70</f>
        <v>0</v>
      </c>
      <c r="R9" s="48">
        <f>资产资本表!R70</f>
        <v>0</v>
      </c>
      <c r="S9" s="48">
        <f>资产资本表!S70</f>
        <v>0</v>
      </c>
      <c r="T9" s="48">
        <f>资产资本表!T70</f>
        <v>0</v>
      </c>
      <c r="U9" s="48">
        <f>资产资本表!U70</f>
        <v>0</v>
      </c>
      <c r="V9" s="48">
        <f>资产资本表!V70</f>
        <v>0</v>
      </c>
      <c r="W9" s="48">
        <f>资产资本表!W70</f>
        <v>0</v>
      </c>
      <c r="X9" s="48">
        <f>资产资本表!X70</f>
        <v>0</v>
      </c>
      <c r="Y9" s="48">
        <f>资产资本表!Y70</f>
        <v>0</v>
      </c>
      <c r="Z9" s="48">
        <f>资产资本表!Z70</f>
        <v>0</v>
      </c>
      <c r="AA9" s="48">
        <f>资产资本表!AA70</f>
        <v>0</v>
      </c>
      <c r="AB9" s="48">
        <f>资产资本表!AB70</f>
        <v>0</v>
      </c>
      <c r="AC9" s="48">
        <f>资产资本表!AC70</f>
        <v>0</v>
      </c>
      <c r="AD9" s="48">
        <f>资产资本表!AD70</f>
        <v>0</v>
      </c>
      <c r="AE9" s="48">
        <f>资产资本表!AE70</f>
        <v>0</v>
      </c>
      <c r="AF9" s="48">
        <f>资产资本表!AF70</f>
        <v>0</v>
      </c>
      <c r="AG9" s="48">
        <f>资产资本表!AG70</f>
        <v>0</v>
      </c>
      <c r="AH9" s="48">
        <f>资产资本表!AH70</f>
        <v>0</v>
      </c>
      <c r="AI9" s="48">
        <f>资产资本表!AI70</f>
        <v>0</v>
      </c>
      <c r="AJ9" s="48">
        <f>资产资本表!AJ70</f>
        <v>0</v>
      </c>
      <c r="AK9" s="48">
        <f>资产资本表!AK70</f>
        <v>0</v>
      </c>
      <c r="AL9" s="48">
        <f>资产资本表!AL70</f>
        <v>0</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c r="A10" s="17" t="s">
        <v>341</v>
      </c>
      <c r="E10" s="26">
        <f>资产资本表!E72</f>
        <v>0</v>
      </c>
      <c r="F10" s="26">
        <f>资产资本表!F72</f>
        <v>0</v>
      </c>
      <c r="G10" s="26">
        <f>资产资本表!G72</f>
        <v>0</v>
      </c>
      <c r="H10" s="26">
        <f>资产资本表!H72</f>
        <v>0</v>
      </c>
      <c r="I10" s="26">
        <f>资产资本表!I72</f>
        <v>0</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342</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17" t="s">
        <v>343</v>
      </c>
      <c r="E12" s="26">
        <f>资产资本表!E89</f>
        <v>0</v>
      </c>
      <c r="F12" s="26">
        <f>资产资本表!F89</f>
        <v>0</v>
      </c>
      <c r="G12" s="26">
        <f>资产资本表!G89</f>
        <v>0</v>
      </c>
      <c r="H12" s="26">
        <f>资产资本表!H89</f>
        <v>0</v>
      </c>
      <c r="I12" s="26">
        <f>资产资本表!I89</f>
        <v>0</v>
      </c>
      <c r="J12" s="26">
        <f>资产资本表!J89</f>
        <v>0</v>
      </c>
      <c r="K12" s="26">
        <f>资产资本表!K89</f>
        <v>0</v>
      </c>
      <c r="L12" s="26">
        <f>资产资本表!L89</f>
        <v>0</v>
      </c>
      <c r="M12" s="26">
        <f>资产资本表!M89</f>
        <v>0</v>
      </c>
      <c r="N12" s="26">
        <f>资产资本表!N89</f>
        <v>0</v>
      </c>
      <c r="O12" s="26">
        <f>资产资本表!O89</f>
        <v>0</v>
      </c>
      <c r="P12" s="26">
        <f>资产资本表!P89</f>
        <v>0</v>
      </c>
      <c r="Q12" s="26">
        <f>资产资本表!Q89</f>
        <v>0</v>
      </c>
      <c r="R12" s="26">
        <f>资产资本表!R89</f>
        <v>0</v>
      </c>
      <c r="S12" s="26">
        <f>资产资本表!S89</f>
        <v>0</v>
      </c>
      <c r="T12" s="26">
        <f>资产资本表!T89</f>
        <v>0</v>
      </c>
      <c r="U12" s="26">
        <f>资产资本表!U89</f>
        <v>0</v>
      </c>
      <c r="V12" s="26">
        <f>资产资本表!V89</f>
        <v>0</v>
      </c>
      <c r="W12" s="26">
        <f>资产资本表!W89</f>
        <v>0</v>
      </c>
      <c r="X12" s="26">
        <f>资产资本表!X89</f>
        <v>0</v>
      </c>
      <c r="Y12" s="26">
        <f>资产资本表!Y89</f>
        <v>0</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17" t="s">
        <v>347</v>
      </c>
      <c r="E13" s="26">
        <f>E9-E12</f>
        <v>680780701.52999997</v>
      </c>
      <c r="F13" s="26">
        <f t="shared" ref="F13:BQ13" si="0">F9-F12</f>
        <v>643568166.12</v>
      </c>
      <c r="G13" s="26">
        <f t="shared" si="0"/>
        <v>593135102.64999998</v>
      </c>
      <c r="H13" s="26">
        <f t="shared" si="0"/>
        <v>584320596.82000005</v>
      </c>
      <c r="I13" s="26">
        <f t="shared" si="0"/>
        <v>582557312.73000002</v>
      </c>
      <c r="J13" s="26">
        <f t="shared" si="0"/>
        <v>279809125.21000004</v>
      </c>
      <c r="K13" s="26">
        <f t="shared" si="0"/>
        <v>269570203.76999998</v>
      </c>
      <c r="L13" s="26">
        <f t="shared" si="0"/>
        <v>239898576.29000002</v>
      </c>
      <c r="M13" s="26">
        <f t="shared" si="0"/>
        <v>211848320.5</v>
      </c>
      <c r="N13" s="26">
        <f t="shared" si="0"/>
        <v>169859428.84999999</v>
      </c>
      <c r="O13" s="26">
        <f t="shared" si="0"/>
        <v>105573132.10000001</v>
      </c>
      <c r="P13" s="26">
        <f t="shared" si="0"/>
        <v>62209713.140000001</v>
      </c>
      <c r="Q13" s="26">
        <f t="shared" si="0"/>
        <v>0</v>
      </c>
      <c r="R13" s="26">
        <f t="shared" si="0"/>
        <v>0</v>
      </c>
      <c r="S13" s="26">
        <f t="shared" si="0"/>
        <v>0</v>
      </c>
      <c r="T13" s="26">
        <f t="shared" si="0"/>
        <v>0</v>
      </c>
      <c r="U13" s="26">
        <f t="shared" si="0"/>
        <v>0</v>
      </c>
      <c r="V13" s="26">
        <f t="shared" si="0"/>
        <v>0</v>
      </c>
      <c r="W13" s="26">
        <f t="shared" si="0"/>
        <v>0</v>
      </c>
      <c r="X13" s="26">
        <f t="shared" si="0"/>
        <v>0</v>
      </c>
      <c r="Y13" s="26">
        <f t="shared" si="0"/>
        <v>0</v>
      </c>
      <c r="Z13" s="26">
        <f t="shared" si="0"/>
        <v>0</v>
      </c>
      <c r="AA13" s="26">
        <f t="shared" si="0"/>
        <v>0</v>
      </c>
      <c r="AB13" s="26">
        <f t="shared" si="0"/>
        <v>0</v>
      </c>
      <c r="AC13" s="26">
        <f t="shared" si="0"/>
        <v>0</v>
      </c>
      <c r="AD13" s="26">
        <f t="shared" si="0"/>
        <v>0</v>
      </c>
      <c r="AE13" s="26">
        <f t="shared" si="0"/>
        <v>0</v>
      </c>
      <c r="AF13" s="26">
        <f t="shared" si="0"/>
        <v>0</v>
      </c>
      <c r="AG13" s="26">
        <f t="shared" si="0"/>
        <v>0</v>
      </c>
      <c r="AH13" s="26">
        <f t="shared" si="0"/>
        <v>0</v>
      </c>
      <c r="AI13" s="26">
        <f t="shared" si="0"/>
        <v>0</v>
      </c>
      <c r="AJ13" s="26">
        <f t="shared" si="0"/>
        <v>0</v>
      </c>
      <c r="AK13" s="26">
        <f t="shared" si="0"/>
        <v>0</v>
      </c>
      <c r="AL13" s="26">
        <f t="shared" si="0"/>
        <v>0</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c r="A14" s="46" t="s">
        <v>344</v>
      </c>
      <c r="E14" s="48">
        <f>E9</f>
        <v>680780701.52999997</v>
      </c>
      <c r="F14" s="48">
        <f t="shared" ref="F14:BQ14" si="2">F9</f>
        <v>643568166.12</v>
      </c>
      <c r="G14" s="48">
        <f t="shared" si="2"/>
        <v>593135102.64999998</v>
      </c>
      <c r="H14" s="48">
        <f t="shared" si="2"/>
        <v>584320596.82000005</v>
      </c>
      <c r="I14" s="48">
        <f t="shared" si="2"/>
        <v>582557312.73000002</v>
      </c>
      <c r="J14" s="48">
        <f t="shared" si="2"/>
        <v>279809125.21000004</v>
      </c>
      <c r="K14" s="48">
        <f t="shared" si="2"/>
        <v>269570203.76999998</v>
      </c>
      <c r="L14" s="48">
        <f t="shared" si="2"/>
        <v>239898576.29000002</v>
      </c>
      <c r="M14" s="48">
        <f t="shared" si="2"/>
        <v>211848320.5</v>
      </c>
      <c r="N14" s="48">
        <f t="shared" si="2"/>
        <v>169859428.84999999</v>
      </c>
      <c r="O14" s="48">
        <f t="shared" si="2"/>
        <v>105573132.10000001</v>
      </c>
      <c r="P14" s="48">
        <f t="shared" si="2"/>
        <v>62209713.140000001</v>
      </c>
      <c r="Q14" s="48">
        <f t="shared" si="2"/>
        <v>0</v>
      </c>
      <c r="R14" s="48">
        <f t="shared" si="2"/>
        <v>0</v>
      </c>
      <c r="S14" s="48">
        <f t="shared" si="2"/>
        <v>0</v>
      </c>
      <c r="T14" s="48">
        <f t="shared" si="2"/>
        <v>0</v>
      </c>
      <c r="U14" s="48">
        <f t="shared" si="2"/>
        <v>0</v>
      </c>
      <c r="V14" s="48">
        <f t="shared" si="2"/>
        <v>0</v>
      </c>
      <c r="W14" s="48">
        <f t="shared" si="2"/>
        <v>0</v>
      </c>
      <c r="X14" s="48">
        <f t="shared" si="2"/>
        <v>0</v>
      </c>
      <c r="Y14" s="48">
        <f t="shared" si="2"/>
        <v>0</v>
      </c>
      <c r="Z14" s="48">
        <f t="shared" si="2"/>
        <v>0</v>
      </c>
      <c r="AA14" s="48">
        <f t="shared" si="2"/>
        <v>0</v>
      </c>
      <c r="AB14" s="48">
        <f t="shared" si="2"/>
        <v>0</v>
      </c>
      <c r="AC14" s="48">
        <f t="shared" si="2"/>
        <v>0</v>
      </c>
      <c r="AD14" s="48">
        <f t="shared" si="2"/>
        <v>0</v>
      </c>
      <c r="AE14" s="48">
        <f t="shared" si="2"/>
        <v>0</v>
      </c>
      <c r="AF14" s="48">
        <f t="shared" si="2"/>
        <v>0</v>
      </c>
      <c r="AG14" s="48">
        <f t="shared" si="2"/>
        <v>0</v>
      </c>
      <c r="AH14" s="48">
        <f t="shared" si="2"/>
        <v>0</v>
      </c>
      <c r="AI14" s="48">
        <f t="shared" si="2"/>
        <v>0</v>
      </c>
      <c r="AJ14" s="48">
        <f t="shared" si="2"/>
        <v>0</v>
      </c>
      <c r="AK14" s="48">
        <f t="shared" si="2"/>
        <v>0</v>
      </c>
      <c r="AL14" s="48">
        <f t="shared" si="2"/>
        <v>0</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26" customFormat="1">
      <c r="A15" s="20" t="s">
        <v>345</v>
      </c>
      <c r="E15" s="26">
        <f>E11+E13-E3-E4-E7</f>
        <v>462619726.81</v>
      </c>
      <c r="F15" s="26">
        <f t="shared" ref="F15:BQ15" si="4">F11+F13-F3-F4-F7</f>
        <v>107296926.20000005</v>
      </c>
      <c r="G15" s="26">
        <f t="shared" si="4"/>
        <v>59705580.669999972</v>
      </c>
      <c r="H15" s="26">
        <f t="shared" si="4"/>
        <v>86686115.100000024</v>
      </c>
      <c r="I15" s="26">
        <f t="shared" si="4"/>
        <v>113271854.45999996</v>
      </c>
      <c r="J15" s="26">
        <f t="shared" si="4"/>
        <v>85346380.980000019</v>
      </c>
      <c r="K15" s="26">
        <f t="shared" si="4"/>
        <v>83238034.699999988</v>
      </c>
      <c r="L15" s="26">
        <f t="shared" si="4"/>
        <v>101054543.05</v>
      </c>
      <c r="M15" s="26">
        <f t="shared" si="4"/>
        <v>117877584.93999998</v>
      </c>
      <c r="N15" s="26">
        <f t="shared" si="4"/>
        <v>87797003.269999996</v>
      </c>
      <c r="O15" s="26">
        <f t="shared" si="4"/>
        <v>65376596.740000002</v>
      </c>
      <c r="P15" s="26">
        <f t="shared" si="4"/>
        <v>33665736.179999992</v>
      </c>
      <c r="Q15" s="26">
        <f t="shared" si="4"/>
        <v>0</v>
      </c>
      <c r="R15" s="26">
        <f t="shared" si="4"/>
        <v>0</v>
      </c>
      <c r="S15" s="26">
        <f t="shared" si="4"/>
        <v>0</v>
      </c>
      <c r="T15" s="26">
        <f t="shared" si="4"/>
        <v>0</v>
      </c>
      <c r="U15" s="26">
        <f t="shared" si="4"/>
        <v>0</v>
      </c>
      <c r="V15" s="26">
        <f t="shared" si="4"/>
        <v>0</v>
      </c>
      <c r="W15" s="26">
        <f t="shared" si="4"/>
        <v>0</v>
      </c>
      <c r="X15" s="26">
        <f t="shared" si="4"/>
        <v>0</v>
      </c>
      <c r="Y15" s="26">
        <f t="shared" si="4"/>
        <v>0</v>
      </c>
      <c r="Z15" s="26">
        <f t="shared" si="4"/>
        <v>0</v>
      </c>
      <c r="AA15" s="26">
        <f t="shared" si="4"/>
        <v>0</v>
      </c>
      <c r="AB15" s="26">
        <f t="shared" si="4"/>
        <v>0</v>
      </c>
      <c r="AC15" s="26">
        <f t="shared" si="4"/>
        <v>0</v>
      </c>
      <c r="AD15" s="26">
        <f t="shared" si="4"/>
        <v>0</v>
      </c>
      <c r="AE15" s="26">
        <f t="shared" si="4"/>
        <v>0</v>
      </c>
      <c r="AF15" s="26">
        <f t="shared" si="4"/>
        <v>0</v>
      </c>
      <c r="AG15" s="26">
        <f t="shared" si="4"/>
        <v>0</v>
      </c>
      <c r="AH15" s="26">
        <f t="shared" si="4"/>
        <v>0</v>
      </c>
      <c r="AI15" s="26">
        <f t="shared" si="4"/>
        <v>0</v>
      </c>
      <c r="AJ15" s="26">
        <f t="shared" si="4"/>
        <v>0</v>
      </c>
      <c r="AK15" s="26">
        <f t="shared" si="4"/>
        <v>0</v>
      </c>
      <c r="AL15" s="26">
        <f t="shared" si="4"/>
        <v>0</v>
      </c>
      <c r="AM15" s="26">
        <f t="shared" si="4"/>
        <v>0</v>
      </c>
      <c r="AN15" s="26">
        <f t="shared" si="4"/>
        <v>0</v>
      </c>
      <c r="AO15" s="26">
        <f t="shared" si="4"/>
        <v>0</v>
      </c>
      <c r="AP15" s="26">
        <f t="shared" si="4"/>
        <v>0</v>
      </c>
      <c r="AQ15" s="26">
        <f t="shared" si="4"/>
        <v>0</v>
      </c>
      <c r="AR15" s="26">
        <f t="shared" si="4"/>
        <v>0</v>
      </c>
      <c r="AS15" s="26">
        <f t="shared" si="4"/>
        <v>0</v>
      </c>
      <c r="AT15" s="26">
        <f t="shared" si="4"/>
        <v>0</v>
      </c>
      <c r="AU15" s="26">
        <f t="shared" si="4"/>
        <v>0</v>
      </c>
      <c r="AV15" s="26">
        <f t="shared" si="4"/>
        <v>0</v>
      </c>
      <c r="AW15" s="26">
        <f t="shared" si="4"/>
        <v>0</v>
      </c>
      <c r="AX15" s="26">
        <f t="shared" si="4"/>
        <v>0</v>
      </c>
      <c r="AY15" s="26">
        <f t="shared" si="4"/>
        <v>0</v>
      </c>
      <c r="AZ15" s="26">
        <f t="shared" si="4"/>
        <v>0</v>
      </c>
      <c r="BA15" s="26">
        <f t="shared" si="4"/>
        <v>0</v>
      </c>
      <c r="BB15" s="26">
        <f t="shared" si="4"/>
        <v>0</v>
      </c>
      <c r="BC15" s="26">
        <f t="shared" si="4"/>
        <v>0</v>
      </c>
      <c r="BD15" s="26">
        <f t="shared" si="4"/>
        <v>0</v>
      </c>
      <c r="BE15" s="26">
        <f t="shared" si="4"/>
        <v>0</v>
      </c>
      <c r="BF15" s="26">
        <f t="shared" si="4"/>
        <v>0</v>
      </c>
      <c r="BG15" s="26">
        <f t="shared" si="4"/>
        <v>0</v>
      </c>
      <c r="BH15" s="26">
        <f t="shared" si="4"/>
        <v>0</v>
      </c>
      <c r="BI15" s="26">
        <f t="shared" si="4"/>
        <v>0</v>
      </c>
      <c r="BJ15" s="26">
        <f t="shared" si="4"/>
        <v>0</v>
      </c>
      <c r="BK15" s="26">
        <f t="shared" si="4"/>
        <v>0</v>
      </c>
      <c r="BL15" s="26">
        <f t="shared" si="4"/>
        <v>0</v>
      </c>
      <c r="BM15" s="26">
        <f t="shared" si="4"/>
        <v>0</v>
      </c>
      <c r="BN15" s="26">
        <f t="shared" si="4"/>
        <v>0</v>
      </c>
      <c r="BO15" s="26">
        <f t="shared" si="4"/>
        <v>0</v>
      </c>
      <c r="BP15" s="26">
        <f t="shared" si="4"/>
        <v>0</v>
      </c>
      <c r="BQ15" s="26">
        <f t="shared" si="4"/>
        <v>0</v>
      </c>
      <c r="BR15" s="26">
        <f t="shared" ref="BR15:CL15" si="5">BR11+BR13-BR3-BR4-BR7</f>
        <v>0</v>
      </c>
      <c r="BS15" s="26">
        <f t="shared" si="5"/>
        <v>0</v>
      </c>
      <c r="BT15" s="26">
        <f t="shared" si="5"/>
        <v>0</v>
      </c>
      <c r="BU15" s="26">
        <f t="shared" si="5"/>
        <v>0</v>
      </c>
      <c r="BV15" s="26">
        <f t="shared" si="5"/>
        <v>0</v>
      </c>
      <c r="BW15" s="26">
        <f t="shared" si="5"/>
        <v>0</v>
      </c>
      <c r="BX15" s="26">
        <f t="shared" si="5"/>
        <v>0</v>
      </c>
      <c r="BY15" s="26">
        <f t="shared" si="5"/>
        <v>0</v>
      </c>
      <c r="BZ15" s="26">
        <f t="shared" si="5"/>
        <v>0</v>
      </c>
      <c r="CA15" s="26">
        <f t="shared" si="5"/>
        <v>0</v>
      </c>
      <c r="CB15" s="26">
        <f t="shared" si="5"/>
        <v>0</v>
      </c>
      <c r="CC15" s="26">
        <f t="shared" si="5"/>
        <v>0</v>
      </c>
      <c r="CD15" s="26">
        <f t="shared" si="5"/>
        <v>0</v>
      </c>
      <c r="CE15" s="26">
        <f t="shared" si="5"/>
        <v>0</v>
      </c>
      <c r="CF15" s="26">
        <f t="shared" si="5"/>
        <v>0</v>
      </c>
      <c r="CG15" s="26">
        <f t="shared" si="5"/>
        <v>0</v>
      </c>
      <c r="CH15" s="26">
        <f t="shared" si="5"/>
        <v>0</v>
      </c>
      <c r="CI15" s="26">
        <f t="shared" si="5"/>
        <v>0</v>
      </c>
      <c r="CJ15" s="26">
        <f t="shared" si="5"/>
        <v>0</v>
      </c>
      <c r="CK15" s="26">
        <f t="shared" si="5"/>
        <v>0</v>
      </c>
      <c r="CL15" s="26">
        <f t="shared" si="5"/>
        <v>0</v>
      </c>
    </row>
    <row r="16" spans="1:90" s="26" customFormat="1">
      <c r="A16" s="20" t="s">
        <v>346</v>
      </c>
      <c r="E16" s="26">
        <f>E10-E2</f>
        <v>-462619726.81</v>
      </c>
      <c r="F16" s="26">
        <f t="shared" ref="F16:BQ16" si="6">F10-F2</f>
        <v>-107296926.2</v>
      </c>
      <c r="G16" s="26">
        <f t="shared" si="6"/>
        <v>-59705580.670000002</v>
      </c>
      <c r="H16" s="26">
        <f t="shared" si="6"/>
        <v>-86686115.099999994</v>
      </c>
      <c r="I16" s="26">
        <f t="shared" si="6"/>
        <v>-113271854.45999999</v>
      </c>
      <c r="J16" s="26">
        <f t="shared" si="6"/>
        <v>-85346380.980000004</v>
      </c>
      <c r="K16" s="26">
        <f t="shared" si="6"/>
        <v>-83238034.700000003</v>
      </c>
      <c r="L16" s="26">
        <f t="shared" si="6"/>
        <v>-101054543.05</v>
      </c>
      <c r="M16" s="26">
        <f t="shared" si="6"/>
        <v>-117877584.94</v>
      </c>
      <c r="N16" s="26">
        <f t="shared" si="6"/>
        <v>-87797003.269999996</v>
      </c>
      <c r="O16" s="26">
        <f t="shared" si="6"/>
        <v>-65376596.740000002</v>
      </c>
      <c r="P16" s="26">
        <f t="shared" si="6"/>
        <v>-33665736.18</v>
      </c>
      <c r="Q16" s="26">
        <f t="shared" si="6"/>
        <v>0</v>
      </c>
      <c r="R16" s="26">
        <f t="shared" si="6"/>
        <v>0</v>
      </c>
      <c r="S16" s="26">
        <f t="shared" si="6"/>
        <v>0</v>
      </c>
      <c r="T16" s="26">
        <f t="shared" si="6"/>
        <v>0</v>
      </c>
      <c r="U16" s="26">
        <f t="shared" si="6"/>
        <v>0</v>
      </c>
      <c r="V16" s="26">
        <f t="shared" si="6"/>
        <v>0</v>
      </c>
      <c r="W16" s="26">
        <f t="shared" si="6"/>
        <v>0</v>
      </c>
      <c r="X16" s="26">
        <f t="shared" si="6"/>
        <v>0</v>
      </c>
      <c r="Y16" s="26">
        <f t="shared" si="6"/>
        <v>0</v>
      </c>
      <c r="Z16" s="26">
        <f t="shared" si="6"/>
        <v>0</v>
      </c>
      <c r="AA16" s="26">
        <f t="shared" si="6"/>
        <v>0</v>
      </c>
      <c r="AB16" s="26">
        <f t="shared" si="6"/>
        <v>0</v>
      </c>
      <c r="AC16" s="26">
        <f t="shared" si="6"/>
        <v>0</v>
      </c>
      <c r="AD16" s="26">
        <f t="shared" si="6"/>
        <v>0</v>
      </c>
      <c r="AE16" s="26">
        <f t="shared" si="6"/>
        <v>0</v>
      </c>
      <c r="AF16" s="26">
        <f t="shared" si="6"/>
        <v>0</v>
      </c>
      <c r="AG16" s="26">
        <f t="shared" si="6"/>
        <v>0</v>
      </c>
      <c r="AH16" s="26">
        <f t="shared" si="6"/>
        <v>0</v>
      </c>
      <c r="AI16" s="26">
        <f t="shared" si="6"/>
        <v>0</v>
      </c>
      <c r="AJ16" s="26">
        <f t="shared" si="6"/>
        <v>0</v>
      </c>
      <c r="AK16" s="26">
        <f t="shared" si="6"/>
        <v>0</v>
      </c>
      <c r="AL16" s="26">
        <f t="shared" si="6"/>
        <v>0</v>
      </c>
      <c r="AM16" s="26">
        <f t="shared" si="6"/>
        <v>0</v>
      </c>
      <c r="AN16" s="26">
        <f t="shared" si="6"/>
        <v>0</v>
      </c>
      <c r="AO16" s="26">
        <f t="shared" si="6"/>
        <v>0</v>
      </c>
      <c r="AP16" s="26">
        <f t="shared" si="6"/>
        <v>0</v>
      </c>
      <c r="AQ16" s="26">
        <f t="shared" si="6"/>
        <v>0</v>
      </c>
      <c r="AR16" s="26">
        <f t="shared" si="6"/>
        <v>0</v>
      </c>
      <c r="AS16" s="26">
        <f t="shared" si="6"/>
        <v>0</v>
      </c>
      <c r="AT16" s="26">
        <f t="shared" si="6"/>
        <v>0</v>
      </c>
      <c r="AU16" s="26">
        <f t="shared" si="6"/>
        <v>0</v>
      </c>
      <c r="AV16" s="26">
        <f t="shared" si="6"/>
        <v>0</v>
      </c>
      <c r="AW16" s="26">
        <f t="shared" si="6"/>
        <v>0</v>
      </c>
      <c r="AX16" s="26">
        <f t="shared" si="6"/>
        <v>0</v>
      </c>
      <c r="AY16" s="26">
        <f t="shared" si="6"/>
        <v>0</v>
      </c>
      <c r="AZ16" s="26">
        <f t="shared" si="6"/>
        <v>0</v>
      </c>
      <c r="BA16" s="26">
        <f t="shared" si="6"/>
        <v>0</v>
      </c>
      <c r="BB16" s="26">
        <f t="shared" si="6"/>
        <v>0</v>
      </c>
      <c r="BC16" s="26">
        <f t="shared" si="6"/>
        <v>0</v>
      </c>
      <c r="BD16" s="26">
        <f t="shared" si="6"/>
        <v>0</v>
      </c>
      <c r="BE16" s="26">
        <f t="shared" si="6"/>
        <v>0</v>
      </c>
      <c r="BF16" s="26">
        <f t="shared" si="6"/>
        <v>0</v>
      </c>
      <c r="BG16" s="26">
        <f t="shared" si="6"/>
        <v>0</v>
      </c>
      <c r="BH16" s="26">
        <f t="shared" si="6"/>
        <v>0</v>
      </c>
      <c r="BI16" s="26">
        <f t="shared" si="6"/>
        <v>0</v>
      </c>
      <c r="BJ16" s="26">
        <f t="shared" si="6"/>
        <v>0</v>
      </c>
      <c r="BK16" s="26">
        <f t="shared" si="6"/>
        <v>0</v>
      </c>
      <c r="BL16" s="26">
        <f t="shared" si="6"/>
        <v>0</v>
      </c>
      <c r="BM16" s="26">
        <f t="shared" si="6"/>
        <v>0</v>
      </c>
      <c r="BN16" s="26">
        <f t="shared" si="6"/>
        <v>0</v>
      </c>
      <c r="BO16" s="26">
        <f t="shared" si="6"/>
        <v>0</v>
      </c>
      <c r="BP16" s="26">
        <f t="shared" si="6"/>
        <v>0</v>
      </c>
      <c r="BQ16" s="26">
        <f t="shared" si="6"/>
        <v>0</v>
      </c>
      <c r="BR16" s="26">
        <f t="shared" ref="BR16:CL16" si="7">BR10-BR2</f>
        <v>0</v>
      </c>
      <c r="BS16" s="26">
        <f t="shared" si="7"/>
        <v>0</v>
      </c>
      <c r="BT16" s="26">
        <f t="shared" si="7"/>
        <v>0</v>
      </c>
      <c r="BU16" s="26">
        <f t="shared" si="7"/>
        <v>0</v>
      </c>
      <c r="BV16" s="26">
        <f t="shared" si="7"/>
        <v>0</v>
      </c>
      <c r="BW16" s="26">
        <f t="shared" si="7"/>
        <v>0</v>
      </c>
      <c r="BX16" s="26">
        <f t="shared" si="7"/>
        <v>0</v>
      </c>
      <c r="BY16" s="26">
        <f t="shared" si="7"/>
        <v>0</v>
      </c>
      <c r="BZ16" s="26">
        <f t="shared" si="7"/>
        <v>0</v>
      </c>
      <c r="CA16" s="26">
        <f t="shared" si="7"/>
        <v>0</v>
      </c>
      <c r="CB16" s="26">
        <f t="shared" si="7"/>
        <v>0</v>
      </c>
      <c r="CC16" s="26">
        <f t="shared" si="7"/>
        <v>0</v>
      </c>
      <c r="CD16" s="26">
        <f t="shared" si="7"/>
        <v>0</v>
      </c>
      <c r="CE16" s="26">
        <f t="shared" si="7"/>
        <v>0</v>
      </c>
      <c r="CF16" s="26">
        <f t="shared" si="7"/>
        <v>0</v>
      </c>
      <c r="CG16" s="26">
        <f t="shared" si="7"/>
        <v>0</v>
      </c>
      <c r="CH16" s="26">
        <f t="shared" si="7"/>
        <v>0</v>
      </c>
      <c r="CI16" s="26">
        <f t="shared" si="7"/>
        <v>0</v>
      </c>
      <c r="CJ16" s="26">
        <f t="shared" si="7"/>
        <v>0</v>
      </c>
      <c r="CK16" s="26">
        <f t="shared" si="7"/>
        <v>0</v>
      </c>
      <c r="CL16" s="26">
        <f t="shared" si="7"/>
        <v>0</v>
      </c>
    </row>
    <row r="17" spans="1:90" s="63" customFormat="1">
      <c r="A17" s="20" t="s">
        <v>348</v>
      </c>
      <c r="E17" s="63">
        <f>(E11+E13-E7-E3)/E4</f>
        <v>14.649274196259055</v>
      </c>
      <c r="F17" s="63">
        <f t="shared" ref="F17:BQ17" si="8">(F11+F13-F7-F3)/F4</f>
        <v>1.2991690008646701</v>
      </c>
      <c r="G17" s="63">
        <f t="shared" si="8"/>
        <v>1.1463634139547632</v>
      </c>
      <c r="H17" s="63">
        <f t="shared" si="8"/>
        <v>1.2306807838090483</v>
      </c>
      <c r="I17" s="63">
        <f t="shared" si="8"/>
        <v>1.3263618696076693</v>
      </c>
      <c r="J17" s="63">
        <f t="shared" si="8"/>
        <v>1.9745287536100575</v>
      </c>
      <c r="K17" s="63">
        <f t="shared" si="8"/>
        <v>1.9972055124787085</v>
      </c>
      <c r="L17" s="63">
        <f t="shared" si="8"/>
        <v>3.0940281016468454</v>
      </c>
      <c r="M17" s="63">
        <f t="shared" si="8"/>
        <v>2.9811067500854156</v>
      </c>
      <c r="N17" s="63">
        <f t="shared" si="8"/>
        <v>2.7576019961982596</v>
      </c>
      <c r="O17" s="63">
        <f t="shared" si="8"/>
        <v>3.6991514569690955</v>
      </c>
      <c r="P17" s="63">
        <f t="shared" si="8"/>
        <v>2.2249033009564516</v>
      </c>
      <c r="Q17" s="63" t="e">
        <f t="shared" si="8"/>
        <v>#DIV/0!</v>
      </c>
      <c r="R17" s="63" t="e">
        <f t="shared" si="8"/>
        <v>#DIV/0!</v>
      </c>
      <c r="S17" s="63" t="e">
        <f t="shared" si="8"/>
        <v>#DIV/0!</v>
      </c>
      <c r="T17" s="63" t="e">
        <f t="shared" si="8"/>
        <v>#DIV/0!</v>
      </c>
      <c r="U17" s="63" t="e">
        <f t="shared" si="8"/>
        <v>#DIV/0!</v>
      </c>
      <c r="V17" s="63" t="e">
        <f t="shared" si="8"/>
        <v>#DIV/0!</v>
      </c>
      <c r="W17" s="63" t="e">
        <f t="shared" si="8"/>
        <v>#DIV/0!</v>
      </c>
      <c r="X17" s="63" t="e">
        <f t="shared" si="8"/>
        <v>#DIV/0!</v>
      </c>
      <c r="Y17" s="63" t="e">
        <f t="shared" si="8"/>
        <v>#DIV/0!</v>
      </c>
      <c r="Z17" s="63" t="e">
        <f t="shared" si="8"/>
        <v>#DIV/0!</v>
      </c>
      <c r="AA17" s="63" t="e">
        <f t="shared" si="8"/>
        <v>#DIV/0!</v>
      </c>
      <c r="AB17" s="63" t="e">
        <f t="shared" si="8"/>
        <v>#DIV/0!</v>
      </c>
      <c r="AC17" s="63" t="e">
        <f t="shared" si="8"/>
        <v>#DIV/0!</v>
      </c>
      <c r="AD17" s="63" t="e">
        <f t="shared" si="8"/>
        <v>#DIV/0!</v>
      </c>
      <c r="AE17" s="63" t="e">
        <f t="shared" si="8"/>
        <v>#DIV/0!</v>
      </c>
      <c r="AF17" s="63" t="e">
        <f t="shared" si="8"/>
        <v>#DIV/0!</v>
      </c>
      <c r="AG17" s="63" t="e">
        <f t="shared" si="8"/>
        <v>#DIV/0!</v>
      </c>
      <c r="AH17" s="63" t="e">
        <f t="shared" si="8"/>
        <v>#DIV/0!</v>
      </c>
      <c r="AI17" s="63" t="e">
        <f t="shared" si="8"/>
        <v>#DIV/0!</v>
      </c>
      <c r="AJ17" s="63" t="e">
        <f t="shared" si="8"/>
        <v>#DIV/0!</v>
      </c>
      <c r="AK17" s="63" t="e">
        <f t="shared" si="8"/>
        <v>#DIV/0!</v>
      </c>
      <c r="AL17" s="63" t="e">
        <f t="shared" si="8"/>
        <v>#DIV/0!</v>
      </c>
      <c r="AM17" s="63" t="e">
        <f t="shared" si="8"/>
        <v>#DIV/0!</v>
      </c>
      <c r="AN17" s="63" t="e">
        <f t="shared" si="8"/>
        <v>#DIV/0!</v>
      </c>
      <c r="AO17" s="63" t="e">
        <f t="shared" si="8"/>
        <v>#DIV/0!</v>
      </c>
      <c r="AP17" s="63" t="e">
        <f t="shared" si="8"/>
        <v>#DIV/0!</v>
      </c>
      <c r="AQ17" s="63" t="e">
        <f t="shared" si="8"/>
        <v>#DIV/0!</v>
      </c>
      <c r="AR17" s="63" t="e">
        <f t="shared" si="8"/>
        <v>#DIV/0!</v>
      </c>
      <c r="AS17" s="63" t="e">
        <f t="shared" si="8"/>
        <v>#DIV/0!</v>
      </c>
      <c r="AT17" s="63" t="e">
        <f t="shared" si="8"/>
        <v>#DIV/0!</v>
      </c>
      <c r="AU17" s="63" t="e">
        <f t="shared" si="8"/>
        <v>#DIV/0!</v>
      </c>
      <c r="AV17" s="63" t="e">
        <f t="shared" si="8"/>
        <v>#DIV/0!</v>
      </c>
      <c r="AW17" s="63" t="e">
        <f t="shared" si="8"/>
        <v>#DIV/0!</v>
      </c>
      <c r="AX17" s="63" t="e">
        <f t="shared" si="8"/>
        <v>#DIV/0!</v>
      </c>
      <c r="AY17" s="63" t="e">
        <f t="shared" si="8"/>
        <v>#DIV/0!</v>
      </c>
      <c r="AZ17" s="63" t="e">
        <f t="shared" si="8"/>
        <v>#DIV/0!</v>
      </c>
      <c r="BA17" s="63" t="e">
        <f t="shared" si="8"/>
        <v>#DIV/0!</v>
      </c>
      <c r="BB17" s="63" t="e">
        <f t="shared" si="8"/>
        <v>#DIV/0!</v>
      </c>
      <c r="BC17" s="63" t="e">
        <f t="shared" si="8"/>
        <v>#DIV/0!</v>
      </c>
      <c r="BD17" s="63" t="e">
        <f t="shared" si="8"/>
        <v>#DIV/0!</v>
      </c>
      <c r="BE17" s="63" t="e">
        <f t="shared" si="8"/>
        <v>#DIV/0!</v>
      </c>
      <c r="BF17" s="63" t="e">
        <f t="shared" si="8"/>
        <v>#DIV/0!</v>
      </c>
      <c r="BG17" s="63" t="e">
        <f t="shared" si="8"/>
        <v>#DIV/0!</v>
      </c>
      <c r="BH17" s="63" t="e">
        <f t="shared" si="8"/>
        <v>#DIV/0!</v>
      </c>
      <c r="BI17" s="63" t="e">
        <f t="shared" si="8"/>
        <v>#DIV/0!</v>
      </c>
      <c r="BJ17" s="63" t="e">
        <f t="shared" si="8"/>
        <v>#DIV/0!</v>
      </c>
      <c r="BK17" s="63" t="e">
        <f t="shared" si="8"/>
        <v>#DIV/0!</v>
      </c>
      <c r="BL17" s="63" t="e">
        <f t="shared" si="8"/>
        <v>#DIV/0!</v>
      </c>
      <c r="BM17" s="63" t="e">
        <f t="shared" si="8"/>
        <v>#DIV/0!</v>
      </c>
      <c r="BN17" s="63" t="e">
        <f t="shared" si="8"/>
        <v>#DIV/0!</v>
      </c>
      <c r="BO17" s="63" t="e">
        <f t="shared" si="8"/>
        <v>#DIV/0!</v>
      </c>
      <c r="BP17" s="63" t="e">
        <f t="shared" si="8"/>
        <v>#DIV/0!</v>
      </c>
      <c r="BQ17" s="63" t="e">
        <f t="shared" si="8"/>
        <v>#DIV/0!</v>
      </c>
      <c r="BR17" s="63" t="e">
        <f t="shared" ref="BR17:CL17" si="9">(BR11+BR13-BR7-BR3)/BR4</f>
        <v>#DIV/0!</v>
      </c>
      <c r="BS17" s="63" t="e">
        <f t="shared" si="9"/>
        <v>#DIV/0!</v>
      </c>
      <c r="BT17" s="63" t="e">
        <f t="shared" si="9"/>
        <v>#DIV/0!</v>
      </c>
      <c r="BU17" s="63" t="e">
        <f t="shared" si="9"/>
        <v>#DIV/0!</v>
      </c>
      <c r="BV17" s="63" t="e">
        <f t="shared" si="9"/>
        <v>#DIV/0!</v>
      </c>
      <c r="BW17" s="63" t="e">
        <f t="shared" si="9"/>
        <v>#DIV/0!</v>
      </c>
      <c r="BX17" s="63" t="e">
        <f t="shared" si="9"/>
        <v>#DIV/0!</v>
      </c>
      <c r="BY17" s="63" t="e">
        <f t="shared" si="9"/>
        <v>#DIV/0!</v>
      </c>
      <c r="BZ17" s="63" t="e">
        <f t="shared" si="9"/>
        <v>#DIV/0!</v>
      </c>
      <c r="CA17" s="63" t="e">
        <f t="shared" si="9"/>
        <v>#DIV/0!</v>
      </c>
      <c r="CB17" s="63" t="e">
        <f t="shared" si="9"/>
        <v>#DIV/0!</v>
      </c>
      <c r="CC17" s="63" t="e">
        <f t="shared" si="9"/>
        <v>#DIV/0!</v>
      </c>
      <c r="CD17" s="63" t="e">
        <f t="shared" si="9"/>
        <v>#DIV/0!</v>
      </c>
      <c r="CE17" s="63" t="e">
        <f t="shared" si="9"/>
        <v>#DIV/0!</v>
      </c>
      <c r="CF17" s="63" t="e">
        <f t="shared" si="9"/>
        <v>#DIV/0!</v>
      </c>
      <c r="CG17" s="63" t="e">
        <f t="shared" si="9"/>
        <v>#DIV/0!</v>
      </c>
      <c r="CH17" s="63" t="e">
        <f t="shared" si="9"/>
        <v>#DIV/0!</v>
      </c>
      <c r="CI17" s="63" t="e">
        <f t="shared" si="9"/>
        <v>#DIV/0!</v>
      </c>
      <c r="CJ17" s="63" t="e">
        <f t="shared" si="9"/>
        <v>#DIV/0!</v>
      </c>
      <c r="CK17" s="63" t="e">
        <f t="shared" si="9"/>
        <v>#DIV/0!</v>
      </c>
      <c r="CL17" s="63" t="e">
        <f t="shared" si="9"/>
        <v>#DIV/0!</v>
      </c>
    </row>
    <row r="18" spans="1:90" s="16" customFormat="1" ht="135.75" customHeight="1">
      <c r="A18" s="235" t="s">
        <v>649</v>
      </c>
      <c r="B18" s="236"/>
      <c r="C18" s="236"/>
      <c r="D18" s="236"/>
      <c r="E18" s="236"/>
      <c r="F18" s="236"/>
      <c r="G18" s="236"/>
      <c r="H18" s="236"/>
      <c r="I18" s="236"/>
      <c r="J18" s="236"/>
      <c r="K18" s="236"/>
      <c r="L18" s="236"/>
      <c r="M18" s="236"/>
      <c r="N18" s="236"/>
      <c r="O18" s="236"/>
      <c r="P18" s="236"/>
      <c r="Q18" s="236"/>
      <c r="R18" s="236"/>
      <c r="S18" s="236"/>
      <c r="T18" s="236"/>
      <c r="U18" s="236"/>
      <c r="V18" s="236"/>
      <c r="W18" s="236"/>
      <c r="X18" s="236"/>
      <c r="Y18" s="236"/>
      <c r="Z18" s="236"/>
      <c r="AA18" s="236"/>
      <c r="AB18" s="236"/>
      <c r="AC18" s="236"/>
      <c r="AD18" s="236"/>
      <c r="AE18" s="236"/>
      <c r="AF18" s="236"/>
      <c r="AG18" s="236"/>
    </row>
    <row r="19" spans="1:90">
      <c r="A19" s="116" t="s">
        <v>581</v>
      </c>
      <c r="B19" s="117"/>
      <c r="C19" s="117"/>
      <c r="D19" s="117"/>
      <c r="E19" s="117" t="s">
        <v>574</v>
      </c>
      <c r="F19" s="117"/>
      <c r="G19" s="117"/>
      <c r="H19" s="117"/>
      <c r="I19" s="117" t="s">
        <v>610</v>
      </c>
      <c r="M19" s="117" t="s">
        <v>576</v>
      </c>
      <c r="N19" s="63"/>
      <c r="O19" s="63"/>
      <c r="P19" s="63"/>
      <c r="Q19" s="63"/>
      <c r="R19" s="63"/>
      <c r="S19" s="63"/>
      <c r="T19" s="63"/>
      <c r="U19" s="63"/>
    </row>
    <row r="20" spans="1:90" s="63" customFormat="1" ht="14.25" customHeight="1">
      <c r="A20" s="116" t="s">
        <v>582</v>
      </c>
      <c r="B20" s="118"/>
      <c r="C20" s="118"/>
      <c r="D20" s="118"/>
      <c r="E20" s="118" t="e">
        <f>POWER(E9/U9,1/5)-1</f>
        <v>#DIV/0!</v>
      </c>
      <c r="F20" s="118"/>
      <c r="G20" s="118"/>
      <c r="H20" s="118"/>
      <c r="I20" s="118" t="e">
        <f>POWER(E9/Y9,1/6)-1</f>
        <v>#DIV/0!</v>
      </c>
      <c r="M20" s="118" t="e">
        <f>POWER(E9/AC9,1/7)-1</f>
        <v>#DIV/0!</v>
      </c>
    </row>
    <row r="21" spans="1:90" s="63" customFormat="1" ht="14.25" customHeight="1">
      <c r="A21" s="116" t="s">
        <v>580</v>
      </c>
      <c r="B21" s="118"/>
      <c r="C21" s="118"/>
      <c r="D21" s="118"/>
      <c r="E21" s="118" t="e">
        <f>POWER(E4/U4,1/5)-1</f>
        <v>#DIV/0!</v>
      </c>
      <c r="F21" s="118"/>
      <c r="G21" s="118"/>
      <c r="H21" s="118"/>
      <c r="I21" s="118" t="e">
        <f>POWER(E4/Y4,1/6)-1</f>
        <v>#DIV/0!</v>
      </c>
      <c r="M21" s="118" t="e">
        <f>POWER(E4/AC4,1/7)-1</f>
        <v>#DIV/0!</v>
      </c>
    </row>
    <row r="22" spans="1:90" s="63" customFormat="1" ht="14.25" customHeight="1">
      <c r="A22" s="116" t="s">
        <v>583</v>
      </c>
      <c r="B22" s="118"/>
      <c r="C22" s="118"/>
      <c r="D22" s="118"/>
      <c r="E22" s="118" t="e">
        <f>POWER(E5/U5,1/5)-1</f>
        <v>#DIV/0!</v>
      </c>
      <c r="F22" s="118"/>
      <c r="G22" s="118"/>
      <c r="H22" s="118"/>
      <c r="I22" s="118" t="e">
        <f>POWER(E5/Y5,1/6)-1</f>
        <v>#DIV/0!</v>
      </c>
      <c r="M22" s="118" t="e">
        <f>POWER(E5/AC5,1/7)-1</f>
        <v>#DIV/0!</v>
      </c>
    </row>
    <row r="23" spans="1:90" s="63" customFormat="1" ht="14.25" customHeight="1">
      <c r="A23" s="116" t="s">
        <v>584</v>
      </c>
      <c r="B23" s="118"/>
      <c r="C23" s="118"/>
      <c r="D23" s="118"/>
      <c r="E23" s="118" t="e">
        <f>POWER(E6/U6,1/5)-1</f>
        <v>#DIV/0!</v>
      </c>
      <c r="F23" s="118"/>
      <c r="G23" s="118"/>
      <c r="H23" s="118"/>
      <c r="I23" s="118" t="e">
        <f>POWER(E6/Y6,1/6)-1</f>
        <v>#DIV/0!</v>
      </c>
      <c r="M23" s="118" t="e">
        <f>POWER(E6/AC6,1/7)-1</f>
        <v>#DIV/0!</v>
      </c>
    </row>
    <row r="24" spans="1:90" s="63" customFormat="1" ht="14.25" customHeight="1">
      <c r="A24" s="116" t="s">
        <v>585</v>
      </c>
      <c r="B24" s="118"/>
      <c r="C24" s="118"/>
      <c r="D24" s="118"/>
      <c r="E24" s="118" t="e">
        <f>POWER(E7/U7,1/5)-1</f>
        <v>#DIV/0!</v>
      </c>
      <c r="F24" s="118"/>
      <c r="G24" s="118"/>
      <c r="H24" s="118"/>
      <c r="I24" s="118" t="e">
        <f>POWER(E7/Y7,1/6)-1</f>
        <v>#DIV/0!</v>
      </c>
      <c r="M24" s="118" t="e">
        <f>POWER(E7/AC7,1/7)-1</f>
        <v>#DIV/0!</v>
      </c>
    </row>
    <row r="25" spans="1:90" s="109" customFormat="1">
      <c r="A25" s="147" t="s">
        <v>561</v>
      </c>
      <c r="B25" s="110"/>
      <c r="C25" s="110"/>
      <c r="D25" s="110"/>
      <c r="E25" s="110">
        <f>(E2-I2)/I2</f>
        <v>3.0841542589325774</v>
      </c>
      <c r="F25" s="110">
        <f t="shared" ref="F25:BQ25" si="10">(F2-J2)/J2</f>
        <v>0.25719362634888843</v>
      </c>
      <c r="G25" s="110">
        <f t="shared" si="10"/>
        <v>-0.28271275402901841</v>
      </c>
      <c r="H25" s="110">
        <f t="shared" si="10"/>
        <v>-0.14218487874306412</v>
      </c>
      <c r="I25" s="110">
        <f t="shared" si="10"/>
        <v>-3.9072148299817415E-2</v>
      </c>
      <c r="J25" s="109">
        <f t="shared" si="10"/>
        <v>-2.7912368289651667E-2</v>
      </c>
      <c r="K25" s="109">
        <f t="shared" si="10"/>
        <v>0.27320843926817107</v>
      </c>
      <c r="L25" s="109">
        <f t="shared" si="10"/>
        <v>2.0017030523168557</v>
      </c>
      <c r="M25" s="110" t="e">
        <f t="shared" si="10"/>
        <v>#DIV/0!</v>
      </c>
      <c r="N25" s="110" t="e">
        <f t="shared" si="10"/>
        <v>#DIV/0!</v>
      </c>
      <c r="O25" s="110" t="e">
        <f t="shared" si="10"/>
        <v>#DIV/0!</v>
      </c>
      <c r="P25" s="110" t="e">
        <f t="shared" si="10"/>
        <v>#DIV/0!</v>
      </c>
      <c r="Q25" s="110" t="e">
        <f t="shared" si="10"/>
        <v>#DIV/0!</v>
      </c>
      <c r="R25" s="110" t="e">
        <f t="shared" si="10"/>
        <v>#DIV/0!</v>
      </c>
      <c r="S25" s="110" t="e">
        <f t="shared" si="10"/>
        <v>#DIV/0!</v>
      </c>
      <c r="T25" s="110" t="e">
        <f t="shared" si="10"/>
        <v>#DIV/0!</v>
      </c>
      <c r="U25" s="110" t="e">
        <f t="shared" si="10"/>
        <v>#DIV/0!</v>
      </c>
      <c r="V25" s="109" t="e">
        <f t="shared" si="10"/>
        <v>#DIV/0!</v>
      </c>
      <c r="W25" s="109" t="e">
        <f t="shared" si="10"/>
        <v>#DIV/0!</v>
      </c>
      <c r="X25" s="109" t="e">
        <f t="shared" si="10"/>
        <v>#DIV/0!</v>
      </c>
      <c r="Y25" s="109" t="e">
        <f t="shared" si="10"/>
        <v>#DIV/0!</v>
      </c>
      <c r="Z25" s="109" t="e">
        <f t="shared" si="10"/>
        <v>#DIV/0!</v>
      </c>
      <c r="AA25" s="109" t="e">
        <f t="shared" si="10"/>
        <v>#DIV/0!</v>
      </c>
      <c r="AB25" s="109" t="e">
        <f t="shared" si="10"/>
        <v>#DIV/0!</v>
      </c>
      <c r="AC25" s="109" t="e">
        <f t="shared" si="10"/>
        <v>#DIV/0!</v>
      </c>
      <c r="AD25" s="109" t="e">
        <f t="shared" si="10"/>
        <v>#DIV/0!</v>
      </c>
      <c r="AE25" s="109" t="e">
        <f t="shared" si="10"/>
        <v>#DIV/0!</v>
      </c>
      <c r="AF25" s="109" t="e">
        <f t="shared" si="10"/>
        <v>#DIV/0!</v>
      </c>
      <c r="AG25" s="109" t="e">
        <f t="shared" si="10"/>
        <v>#DIV/0!</v>
      </c>
      <c r="AH25" s="109" t="e">
        <f t="shared" si="10"/>
        <v>#DIV/0!</v>
      </c>
      <c r="AI25" s="109" t="e">
        <f t="shared" si="10"/>
        <v>#DIV/0!</v>
      </c>
      <c r="AJ25" s="109" t="e">
        <f t="shared" si="10"/>
        <v>#DIV/0!</v>
      </c>
      <c r="AK25" s="109" t="e">
        <f t="shared" si="10"/>
        <v>#DIV/0!</v>
      </c>
      <c r="AL25" s="109" t="e">
        <f t="shared" si="10"/>
        <v>#DIV/0!</v>
      </c>
      <c r="AM25" s="109" t="e">
        <f t="shared" si="10"/>
        <v>#DIV/0!</v>
      </c>
      <c r="AN25" s="109" t="e">
        <f t="shared" si="10"/>
        <v>#DIV/0!</v>
      </c>
      <c r="AO25" s="109" t="e">
        <f t="shared" si="10"/>
        <v>#DIV/0!</v>
      </c>
      <c r="AP25" s="109" t="e">
        <f t="shared" si="10"/>
        <v>#DIV/0!</v>
      </c>
      <c r="AQ25" s="109" t="e">
        <f t="shared" si="10"/>
        <v>#DIV/0!</v>
      </c>
      <c r="AR25" s="109" t="e">
        <f t="shared" si="10"/>
        <v>#DIV/0!</v>
      </c>
      <c r="AS25" s="109" t="e">
        <f t="shared" si="10"/>
        <v>#DIV/0!</v>
      </c>
      <c r="AT25" s="109" t="e">
        <f t="shared" si="10"/>
        <v>#DIV/0!</v>
      </c>
      <c r="AU25" s="109" t="e">
        <f t="shared" si="10"/>
        <v>#DIV/0!</v>
      </c>
      <c r="AV25" s="109" t="e">
        <f t="shared" si="10"/>
        <v>#DIV/0!</v>
      </c>
      <c r="AW25" s="109" t="e">
        <f t="shared" si="10"/>
        <v>#DIV/0!</v>
      </c>
      <c r="AX25" s="109" t="e">
        <f t="shared" si="10"/>
        <v>#DIV/0!</v>
      </c>
      <c r="AY25" s="109" t="e">
        <f t="shared" si="10"/>
        <v>#DIV/0!</v>
      </c>
      <c r="AZ25" s="109" t="e">
        <f t="shared" si="10"/>
        <v>#DIV/0!</v>
      </c>
      <c r="BA25" s="109" t="e">
        <f t="shared" si="10"/>
        <v>#DIV/0!</v>
      </c>
      <c r="BB25" s="109" t="e">
        <f t="shared" si="10"/>
        <v>#DIV/0!</v>
      </c>
      <c r="BC25" s="109" t="e">
        <f t="shared" si="10"/>
        <v>#DIV/0!</v>
      </c>
      <c r="BD25" s="109" t="e">
        <f t="shared" si="10"/>
        <v>#DIV/0!</v>
      </c>
      <c r="BE25" s="109" t="e">
        <f t="shared" si="10"/>
        <v>#DIV/0!</v>
      </c>
      <c r="BF25" s="109" t="e">
        <f t="shared" si="10"/>
        <v>#DIV/0!</v>
      </c>
      <c r="BG25" s="109" t="e">
        <f t="shared" si="10"/>
        <v>#DIV/0!</v>
      </c>
      <c r="BH25" s="109" t="e">
        <f t="shared" si="10"/>
        <v>#DIV/0!</v>
      </c>
      <c r="BI25" s="109" t="e">
        <f t="shared" si="10"/>
        <v>#DIV/0!</v>
      </c>
      <c r="BJ25" s="109" t="e">
        <f t="shared" si="10"/>
        <v>#DIV/0!</v>
      </c>
      <c r="BK25" s="109" t="e">
        <f t="shared" si="10"/>
        <v>#DIV/0!</v>
      </c>
      <c r="BL25" s="109" t="e">
        <f t="shared" si="10"/>
        <v>#DIV/0!</v>
      </c>
      <c r="BM25" s="109" t="e">
        <f t="shared" si="10"/>
        <v>#DIV/0!</v>
      </c>
      <c r="BN25" s="109" t="e">
        <f t="shared" si="10"/>
        <v>#DIV/0!</v>
      </c>
      <c r="BO25" s="109" t="e">
        <f t="shared" si="10"/>
        <v>#DIV/0!</v>
      </c>
      <c r="BP25" s="109" t="e">
        <f t="shared" si="10"/>
        <v>#DIV/0!</v>
      </c>
      <c r="BQ25" s="109" t="e">
        <f t="shared" si="10"/>
        <v>#DIV/0!</v>
      </c>
      <c r="BR25" s="109" t="e">
        <f t="shared" ref="BR25:CK25" si="11">(BR2-BV2)/BV2</f>
        <v>#DIV/0!</v>
      </c>
      <c r="BS25" s="109" t="e">
        <f t="shared" si="11"/>
        <v>#DIV/0!</v>
      </c>
      <c r="BT25" s="109" t="e">
        <f t="shared" si="11"/>
        <v>#DIV/0!</v>
      </c>
      <c r="BU25" s="109" t="e">
        <f t="shared" si="11"/>
        <v>#DIV/0!</v>
      </c>
      <c r="BV25" s="109" t="e">
        <f t="shared" si="11"/>
        <v>#DIV/0!</v>
      </c>
      <c r="BW25" s="109" t="e">
        <f t="shared" si="11"/>
        <v>#DIV/0!</v>
      </c>
      <c r="BX25" s="109" t="e">
        <f t="shared" si="11"/>
        <v>#DIV/0!</v>
      </c>
      <c r="BY25" s="109" t="e">
        <f t="shared" si="11"/>
        <v>#DIV/0!</v>
      </c>
      <c r="BZ25" s="109" t="e">
        <f t="shared" si="11"/>
        <v>#DIV/0!</v>
      </c>
      <c r="CA25" s="109" t="e">
        <f t="shared" si="11"/>
        <v>#DIV/0!</v>
      </c>
      <c r="CB25" s="109" t="e">
        <f t="shared" si="11"/>
        <v>#DIV/0!</v>
      </c>
      <c r="CC25" s="109" t="e">
        <f t="shared" si="11"/>
        <v>#DIV/0!</v>
      </c>
      <c r="CD25" s="109" t="e">
        <f t="shared" si="11"/>
        <v>#DIV/0!</v>
      </c>
      <c r="CE25" s="109" t="e">
        <f t="shared" si="11"/>
        <v>#DIV/0!</v>
      </c>
      <c r="CF25" s="109" t="e">
        <f t="shared" si="11"/>
        <v>#DIV/0!</v>
      </c>
      <c r="CG25" s="109" t="e">
        <f t="shared" si="11"/>
        <v>#DIV/0!</v>
      </c>
      <c r="CH25" s="109" t="e">
        <f t="shared" si="11"/>
        <v>#DIV/0!</v>
      </c>
      <c r="CI25" s="109" t="e">
        <f t="shared" si="11"/>
        <v>#DIV/0!</v>
      </c>
      <c r="CJ25" s="109" t="e">
        <f t="shared" si="11"/>
        <v>#DIV/0!</v>
      </c>
      <c r="CK25" s="109" t="e">
        <f t="shared" si="11"/>
        <v>#DIV/0!</v>
      </c>
    </row>
    <row r="26" spans="1:90" s="110" customFormat="1">
      <c r="A26" s="147" t="s">
        <v>569</v>
      </c>
      <c r="E26" s="110">
        <f>E2/E9</f>
        <v>0.6795429508655273</v>
      </c>
      <c r="F26" s="110">
        <f t="shared" ref="F26:BQ26" si="12">F2/F9</f>
        <v>0.16672192915768516</v>
      </c>
      <c r="G26" s="110">
        <f t="shared" si="12"/>
        <v>0.10066101365986993</v>
      </c>
      <c r="H26" s="110">
        <f t="shared" si="12"/>
        <v>0.14835368729386694</v>
      </c>
      <c r="I26" s="110">
        <f t="shared" si="12"/>
        <v>0.194438988207326</v>
      </c>
      <c r="J26" s="110">
        <f t="shared" si="12"/>
        <v>0.30501643188350824</v>
      </c>
      <c r="K26" s="110">
        <f t="shared" si="12"/>
        <v>0.30878054597984994</v>
      </c>
      <c r="L26" s="110">
        <f t="shared" si="12"/>
        <v>0.42123861096966575</v>
      </c>
      <c r="M26" s="110">
        <f t="shared" si="12"/>
        <v>0.55642444868945751</v>
      </c>
      <c r="N26" s="110">
        <f t="shared" si="12"/>
        <v>0.51688036315918651</v>
      </c>
      <c r="O26" s="110">
        <f t="shared" si="12"/>
        <v>0.61925411740247116</v>
      </c>
      <c r="P26" s="110">
        <f t="shared" si="12"/>
        <v>0.54116526954941691</v>
      </c>
      <c r="Q26" s="110" t="e">
        <f t="shared" si="12"/>
        <v>#DIV/0!</v>
      </c>
      <c r="R26" s="110" t="e">
        <f t="shared" si="12"/>
        <v>#DIV/0!</v>
      </c>
      <c r="S26" s="110" t="e">
        <f t="shared" si="12"/>
        <v>#DIV/0!</v>
      </c>
      <c r="T26" s="110" t="e">
        <f t="shared" si="12"/>
        <v>#DIV/0!</v>
      </c>
      <c r="U26" s="110" t="e">
        <f t="shared" si="12"/>
        <v>#DIV/0!</v>
      </c>
      <c r="V26" s="110" t="e">
        <f t="shared" si="12"/>
        <v>#DIV/0!</v>
      </c>
      <c r="W26" s="110" t="e">
        <f t="shared" si="12"/>
        <v>#DIV/0!</v>
      </c>
      <c r="X26" s="110" t="e">
        <f t="shared" si="12"/>
        <v>#DIV/0!</v>
      </c>
      <c r="Y26" s="110" t="e">
        <f t="shared" si="12"/>
        <v>#DIV/0!</v>
      </c>
      <c r="Z26" s="110" t="e">
        <f t="shared" si="12"/>
        <v>#DIV/0!</v>
      </c>
      <c r="AA26" s="110" t="e">
        <f t="shared" si="12"/>
        <v>#DIV/0!</v>
      </c>
      <c r="AB26" s="110" t="e">
        <f t="shared" si="12"/>
        <v>#DIV/0!</v>
      </c>
      <c r="AC26" s="110" t="e">
        <f t="shared" si="12"/>
        <v>#DIV/0!</v>
      </c>
      <c r="AD26" s="110" t="e">
        <f t="shared" si="12"/>
        <v>#DIV/0!</v>
      </c>
      <c r="AE26" s="110" t="e">
        <f t="shared" si="12"/>
        <v>#DIV/0!</v>
      </c>
      <c r="AF26" s="110" t="e">
        <f t="shared" si="12"/>
        <v>#DIV/0!</v>
      </c>
      <c r="AG26" s="110" t="e">
        <f t="shared" si="12"/>
        <v>#DIV/0!</v>
      </c>
      <c r="AH26" s="110" t="e">
        <f t="shared" si="12"/>
        <v>#DIV/0!</v>
      </c>
      <c r="AI26" s="110" t="e">
        <f t="shared" si="12"/>
        <v>#DIV/0!</v>
      </c>
      <c r="AJ26" s="110" t="e">
        <f t="shared" si="12"/>
        <v>#DIV/0!</v>
      </c>
      <c r="AK26" s="110" t="e">
        <f t="shared" si="12"/>
        <v>#DIV/0!</v>
      </c>
      <c r="AL26" s="110" t="e">
        <f t="shared" si="12"/>
        <v>#DIV/0!</v>
      </c>
      <c r="AM26" s="110" t="e">
        <f t="shared" si="12"/>
        <v>#DIV/0!</v>
      </c>
      <c r="AN26" s="110" t="e">
        <f t="shared" si="12"/>
        <v>#DIV/0!</v>
      </c>
      <c r="AO26" s="110" t="e">
        <f t="shared" si="12"/>
        <v>#DIV/0!</v>
      </c>
      <c r="AP26" s="110" t="e">
        <f t="shared" si="12"/>
        <v>#DIV/0!</v>
      </c>
      <c r="AQ26" s="110" t="e">
        <f t="shared" si="12"/>
        <v>#DIV/0!</v>
      </c>
      <c r="AR26" s="110" t="e">
        <f t="shared" si="12"/>
        <v>#DIV/0!</v>
      </c>
      <c r="AS26" s="110" t="e">
        <f t="shared" si="12"/>
        <v>#DIV/0!</v>
      </c>
      <c r="AT26" s="110" t="e">
        <f t="shared" si="12"/>
        <v>#DIV/0!</v>
      </c>
      <c r="AU26" s="110" t="e">
        <f t="shared" si="12"/>
        <v>#DIV/0!</v>
      </c>
      <c r="AV26" s="110" t="e">
        <f t="shared" si="12"/>
        <v>#DIV/0!</v>
      </c>
      <c r="AW26" s="110" t="e">
        <f t="shared" si="12"/>
        <v>#DIV/0!</v>
      </c>
      <c r="AX26" s="110" t="e">
        <f t="shared" si="12"/>
        <v>#DIV/0!</v>
      </c>
      <c r="AY26" s="110" t="e">
        <f t="shared" si="12"/>
        <v>#DIV/0!</v>
      </c>
      <c r="AZ26" s="110" t="e">
        <f t="shared" si="12"/>
        <v>#DIV/0!</v>
      </c>
      <c r="BA26" s="110" t="e">
        <f t="shared" si="12"/>
        <v>#DIV/0!</v>
      </c>
      <c r="BB26" s="110" t="e">
        <f t="shared" si="12"/>
        <v>#DIV/0!</v>
      </c>
      <c r="BC26" s="110" t="e">
        <f t="shared" si="12"/>
        <v>#DIV/0!</v>
      </c>
      <c r="BD26" s="110" t="e">
        <f t="shared" si="12"/>
        <v>#DIV/0!</v>
      </c>
      <c r="BE26" s="110" t="e">
        <f t="shared" si="12"/>
        <v>#DIV/0!</v>
      </c>
      <c r="BF26" s="110" t="e">
        <f t="shared" si="12"/>
        <v>#DIV/0!</v>
      </c>
      <c r="BG26" s="110" t="e">
        <f t="shared" si="12"/>
        <v>#DIV/0!</v>
      </c>
      <c r="BH26" s="110" t="e">
        <f t="shared" si="12"/>
        <v>#DIV/0!</v>
      </c>
      <c r="BI26" s="110" t="e">
        <f t="shared" si="12"/>
        <v>#DIV/0!</v>
      </c>
      <c r="BJ26" s="110" t="e">
        <f t="shared" si="12"/>
        <v>#DIV/0!</v>
      </c>
      <c r="BK26" s="110" t="e">
        <f t="shared" si="12"/>
        <v>#DIV/0!</v>
      </c>
      <c r="BL26" s="110" t="e">
        <f t="shared" si="12"/>
        <v>#DIV/0!</v>
      </c>
      <c r="BM26" s="110" t="e">
        <f t="shared" si="12"/>
        <v>#DIV/0!</v>
      </c>
      <c r="BN26" s="110" t="e">
        <f t="shared" si="12"/>
        <v>#DIV/0!</v>
      </c>
      <c r="BO26" s="110" t="e">
        <f t="shared" si="12"/>
        <v>#DIV/0!</v>
      </c>
      <c r="BP26" s="110" t="e">
        <f t="shared" si="12"/>
        <v>#DIV/0!</v>
      </c>
      <c r="BQ26" s="110" t="e">
        <f t="shared" si="12"/>
        <v>#DIV/0!</v>
      </c>
      <c r="BR26" s="110" t="e">
        <f t="shared" ref="BR26:CK26" si="13">BR2/BR9</f>
        <v>#DIV/0!</v>
      </c>
      <c r="BS26" s="110" t="e">
        <f t="shared" si="13"/>
        <v>#DIV/0!</v>
      </c>
      <c r="BT26" s="110" t="e">
        <f t="shared" si="13"/>
        <v>#DIV/0!</v>
      </c>
      <c r="BU26" s="110" t="e">
        <f t="shared" si="13"/>
        <v>#DIV/0!</v>
      </c>
      <c r="BV26" s="110" t="e">
        <f t="shared" si="13"/>
        <v>#DIV/0!</v>
      </c>
      <c r="BW26" s="110" t="e">
        <f t="shared" si="13"/>
        <v>#DIV/0!</v>
      </c>
      <c r="BX26" s="110" t="e">
        <f t="shared" si="13"/>
        <v>#DIV/0!</v>
      </c>
      <c r="BY26" s="110" t="e">
        <f t="shared" si="13"/>
        <v>#DIV/0!</v>
      </c>
      <c r="BZ26" s="110" t="e">
        <f t="shared" si="13"/>
        <v>#DIV/0!</v>
      </c>
      <c r="CA26" s="110" t="e">
        <f t="shared" si="13"/>
        <v>#DIV/0!</v>
      </c>
      <c r="CB26" s="110" t="e">
        <f t="shared" si="13"/>
        <v>#DIV/0!</v>
      </c>
      <c r="CC26" s="110" t="e">
        <f t="shared" si="13"/>
        <v>#DIV/0!</v>
      </c>
      <c r="CD26" s="110" t="e">
        <f t="shared" si="13"/>
        <v>#DIV/0!</v>
      </c>
      <c r="CE26" s="110" t="e">
        <f t="shared" si="13"/>
        <v>#DIV/0!</v>
      </c>
      <c r="CF26" s="110" t="e">
        <f t="shared" si="13"/>
        <v>#DIV/0!</v>
      </c>
      <c r="CG26" s="110" t="e">
        <f t="shared" si="13"/>
        <v>#DIV/0!</v>
      </c>
      <c r="CH26" s="110" t="e">
        <f t="shared" si="13"/>
        <v>#DIV/0!</v>
      </c>
      <c r="CI26" s="110" t="e">
        <f t="shared" si="13"/>
        <v>#DIV/0!</v>
      </c>
      <c r="CJ26" s="110" t="e">
        <f t="shared" si="13"/>
        <v>#DIV/0!</v>
      </c>
      <c r="CK26" s="110" t="e">
        <f t="shared" si="13"/>
        <v>#DIV/0!</v>
      </c>
    </row>
    <row r="27" spans="1:90" s="111" customFormat="1">
      <c r="A27" s="148" t="s">
        <v>562</v>
      </c>
      <c r="E27" s="111" t="e">
        <f>(E3-I3)/I3</f>
        <v>#DIV/0!</v>
      </c>
      <c r="F27" s="111" t="e">
        <f t="shared" ref="F27:BQ27" si="14">(F3-J3)/J3</f>
        <v>#DIV/0!</v>
      </c>
      <c r="G27" s="111" t="e">
        <f t="shared" si="14"/>
        <v>#DIV/0!</v>
      </c>
      <c r="H27" s="111" t="e">
        <f t="shared" si="14"/>
        <v>#DIV/0!</v>
      </c>
      <c r="I27" s="111" t="e">
        <f t="shared" si="14"/>
        <v>#DIV/0!</v>
      </c>
      <c r="J27" s="111" t="e">
        <f t="shared" si="14"/>
        <v>#DIV/0!</v>
      </c>
      <c r="K27" s="111" t="e">
        <f t="shared" si="14"/>
        <v>#DIV/0!</v>
      </c>
      <c r="L27" s="111" t="e">
        <f t="shared" si="14"/>
        <v>#DIV/0!</v>
      </c>
      <c r="M27" s="111" t="e">
        <f t="shared" si="14"/>
        <v>#DIV/0!</v>
      </c>
      <c r="N27" s="111" t="e">
        <f t="shared" si="14"/>
        <v>#DIV/0!</v>
      </c>
      <c r="O27" s="111" t="e">
        <f t="shared" si="14"/>
        <v>#DIV/0!</v>
      </c>
      <c r="P27" s="111" t="e">
        <f t="shared" si="14"/>
        <v>#DIV/0!</v>
      </c>
      <c r="Q27" s="111" t="e">
        <f t="shared" si="14"/>
        <v>#DIV/0!</v>
      </c>
      <c r="R27" s="111" t="e">
        <f t="shared" si="14"/>
        <v>#DIV/0!</v>
      </c>
      <c r="S27" s="111" t="e">
        <f t="shared" si="14"/>
        <v>#DIV/0!</v>
      </c>
      <c r="T27" s="111" t="e">
        <f t="shared" si="14"/>
        <v>#DIV/0!</v>
      </c>
      <c r="U27" s="111" t="e">
        <f t="shared" si="14"/>
        <v>#DIV/0!</v>
      </c>
      <c r="V27" s="111" t="e">
        <f t="shared" si="14"/>
        <v>#DIV/0!</v>
      </c>
      <c r="W27" s="111" t="e">
        <f t="shared" si="14"/>
        <v>#DIV/0!</v>
      </c>
      <c r="X27" s="111" t="e">
        <f t="shared" si="14"/>
        <v>#DIV/0!</v>
      </c>
      <c r="Y27" s="111" t="e">
        <f t="shared" si="14"/>
        <v>#DIV/0!</v>
      </c>
      <c r="Z27" s="111" t="e">
        <f t="shared" si="14"/>
        <v>#DIV/0!</v>
      </c>
      <c r="AA27" s="111" t="e">
        <f t="shared" si="14"/>
        <v>#DIV/0!</v>
      </c>
      <c r="AB27" s="111" t="e">
        <f t="shared" si="14"/>
        <v>#DIV/0!</v>
      </c>
      <c r="AC27" s="111" t="e">
        <f t="shared" si="14"/>
        <v>#DIV/0!</v>
      </c>
      <c r="AD27" s="111" t="e">
        <f t="shared" si="14"/>
        <v>#DIV/0!</v>
      </c>
      <c r="AE27" s="111" t="e">
        <f t="shared" si="14"/>
        <v>#DIV/0!</v>
      </c>
      <c r="AF27" s="111" t="e">
        <f t="shared" si="14"/>
        <v>#DIV/0!</v>
      </c>
      <c r="AG27" s="111" t="e">
        <f t="shared" si="14"/>
        <v>#DIV/0!</v>
      </c>
      <c r="AH27" s="111" t="e">
        <f t="shared" si="14"/>
        <v>#DIV/0!</v>
      </c>
      <c r="AI27" s="111" t="e">
        <f t="shared" si="14"/>
        <v>#DIV/0!</v>
      </c>
      <c r="AJ27" s="111" t="e">
        <f t="shared" si="14"/>
        <v>#DIV/0!</v>
      </c>
      <c r="AK27" s="111" t="e">
        <f t="shared" si="14"/>
        <v>#DIV/0!</v>
      </c>
      <c r="AL27" s="111" t="e">
        <f t="shared" si="14"/>
        <v>#DIV/0!</v>
      </c>
      <c r="AM27" s="111" t="e">
        <f t="shared" si="14"/>
        <v>#DIV/0!</v>
      </c>
      <c r="AN27" s="111" t="e">
        <f t="shared" si="14"/>
        <v>#DIV/0!</v>
      </c>
      <c r="AO27" s="111" t="e">
        <f t="shared" si="14"/>
        <v>#DIV/0!</v>
      </c>
      <c r="AP27" s="111" t="e">
        <f t="shared" si="14"/>
        <v>#DIV/0!</v>
      </c>
      <c r="AQ27" s="111" t="e">
        <f t="shared" si="14"/>
        <v>#DIV/0!</v>
      </c>
      <c r="AR27" s="111" t="e">
        <f t="shared" si="14"/>
        <v>#DIV/0!</v>
      </c>
      <c r="AS27" s="111" t="e">
        <f t="shared" si="14"/>
        <v>#DIV/0!</v>
      </c>
      <c r="AT27" s="111" t="e">
        <f t="shared" si="14"/>
        <v>#DIV/0!</v>
      </c>
      <c r="AU27" s="111" t="e">
        <f t="shared" si="14"/>
        <v>#DIV/0!</v>
      </c>
      <c r="AV27" s="111" t="e">
        <f t="shared" si="14"/>
        <v>#DIV/0!</v>
      </c>
      <c r="AW27" s="111" t="e">
        <f t="shared" si="14"/>
        <v>#DIV/0!</v>
      </c>
      <c r="AX27" s="111" t="e">
        <f t="shared" si="14"/>
        <v>#DIV/0!</v>
      </c>
      <c r="AY27" s="111" t="e">
        <f t="shared" si="14"/>
        <v>#DIV/0!</v>
      </c>
      <c r="AZ27" s="111" t="e">
        <f t="shared" si="14"/>
        <v>#DIV/0!</v>
      </c>
      <c r="BA27" s="111" t="e">
        <f t="shared" si="14"/>
        <v>#DIV/0!</v>
      </c>
      <c r="BB27" s="111" t="e">
        <f t="shared" si="14"/>
        <v>#DIV/0!</v>
      </c>
      <c r="BC27" s="111" t="e">
        <f t="shared" si="14"/>
        <v>#DIV/0!</v>
      </c>
      <c r="BD27" s="111" t="e">
        <f t="shared" si="14"/>
        <v>#DIV/0!</v>
      </c>
      <c r="BE27" s="111" t="e">
        <f t="shared" si="14"/>
        <v>#DIV/0!</v>
      </c>
      <c r="BF27" s="111" t="e">
        <f t="shared" si="14"/>
        <v>#DIV/0!</v>
      </c>
      <c r="BG27" s="111" t="e">
        <f t="shared" si="14"/>
        <v>#DIV/0!</v>
      </c>
      <c r="BH27" s="111" t="e">
        <f t="shared" si="14"/>
        <v>#DIV/0!</v>
      </c>
      <c r="BI27" s="111" t="e">
        <f t="shared" si="14"/>
        <v>#DIV/0!</v>
      </c>
      <c r="BJ27" s="111" t="e">
        <f t="shared" si="14"/>
        <v>#DIV/0!</v>
      </c>
      <c r="BK27" s="111" t="e">
        <f t="shared" si="14"/>
        <v>#DIV/0!</v>
      </c>
      <c r="BL27" s="111" t="e">
        <f t="shared" si="14"/>
        <v>#DIV/0!</v>
      </c>
      <c r="BM27" s="111" t="e">
        <f t="shared" si="14"/>
        <v>#DIV/0!</v>
      </c>
      <c r="BN27" s="111" t="e">
        <f t="shared" si="14"/>
        <v>#DIV/0!</v>
      </c>
      <c r="BO27" s="111" t="e">
        <f t="shared" si="14"/>
        <v>#DIV/0!</v>
      </c>
      <c r="BP27" s="111" t="e">
        <f t="shared" si="14"/>
        <v>#DIV/0!</v>
      </c>
      <c r="BQ27" s="111" t="e">
        <f t="shared" si="14"/>
        <v>#DIV/0!</v>
      </c>
      <c r="BR27" s="111" t="e">
        <f t="shared" ref="BR27:CL27" si="15">(BR3-BV3)/BV3</f>
        <v>#DIV/0!</v>
      </c>
      <c r="BS27" s="111" t="e">
        <f t="shared" si="15"/>
        <v>#DIV/0!</v>
      </c>
      <c r="BT27" s="111" t="e">
        <f t="shared" si="15"/>
        <v>#DIV/0!</v>
      </c>
      <c r="BU27" s="111" t="e">
        <f t="shared" si="15"/>
        <v>#DIV/0!</v>
      </c>
      <c r="BV27" s="111" t="e">
        <f t="shared" si="15"/>
        <v>#DIV/0!</v>
      </c>
      <c r="BW27" s="111" t="e">
        <f t="shared" si="15"/>
        <v>#DIV/0!</v>
      </c>
      <c r="BX27" s="111" t="e">
        <f t="shared" si="15"/>
        <v>#DIV/0!</v>
      </c>
      <c r="BY27" s="111" t="e">
        <f t="shared" si="15"/>
        <v>#DIV/0!</v>
      </c>
      <c r="BZ27" s="111" t="e">
        <f t="shared" si="15"/>
        <v>#DIV/0!</v>
      </c>
      <c r="CA27" s="111" t="e">
        <f t="shared" si="15"/>
        <v>#DIV/0!</v>
      </c>
      <c r="CB27" s="111" t="e">
        <f t="shared" si="15"/>
        <v>#DIV/0!</v>
      </c>
      <c r="CC27" s="111" t="e">
        <f t="shared" si="15"/>
        <v>#DIV/0!</v>
      </c>
      <c r="CD27" s="111" t="e">
        <f t="shared" si="15"/>
        <v>#DIV/0!</v>
      </c>
      <c r="CE27" s="111" t="e">
        <f t="shared" si="15"/>
        <v>#DIV/0!</v>
      </c>
      <c r="CF27" s="111" t="e">
        <f t="shared" si="15"/>
        <v>#DIV/0!</v>
      </c>
      <c r="CG27" s="111" t="e">
        <f t="shared" si="15"/>
        <v>#DIV/0!</v>
      </c>
      <c r="CH27" s="111" t="e">
        <f t="shared" si="15"/>
        <v>#DIV/0!</v>
      </c>
      <c r="CI27" s="111" t="e">
        <f t="shared" si="15"/>
        <v>#DIV/0!</v>
      </c>
      <c r="CJ27" s="111" t="e">
        <f t="shared" si="15"/>
        <v>#DIV/0!</v>
      </c>
      <c r="CK27" s="111" t="e">
        <f t="shared" si="15"/>
        <v>#DIV/0!</v>
      </c>
      <c r="CL27" s="111" t="e">
        <f t="shared" si="15"/>
        <v>#DIV/0!</v>
      </c>
    </row>
    <row r="28" spans="1:90" s="111" customFormat="1">
      <c r="A28" s="148" t="s">
        <v>570</v>
      </c>
      <c r="E28" s="111">
        <f>E3/E9</f>
        <v>0</v>
      </c>
      <c r="F28" s="111">
        <f t="shared" ref="F28:BQ28" si="16">F3/F9</f>
        <v>0</v>
      </c>
      <c r="G28" s="111">
        <f t="shared" si="16"/>
        <v>0</v>
      </c>
      <c r="H28" s="111">
        <f t="shared" si="16"/>
        <v>0</v>
      </c>
      <c r="I28" s="111">
        <f t="shared" si="16"/>
        <v>0</v>
      </c>
      <c r="J28" s="111">
        <f t="shared" si="16"/>
        <v>0</v>
      </c>
      <c r="K28" s="111">
        <f t="shared" si="16"/>
        <v>0</v>
      </c>
      <c r="L28" s="111">
        <f t="shared" si="16"/>
        <v>0</v>
      </c>
      <c r="M28" s="111">
        <f t="shared" si="16"/>
        <v>0</v>
      </c>
      <c r="N28" s="111">
        <f t="shared" si="16"/>
        <v>0</v>
      </c>
      <c r="O28" s="111">
        <f t="shared" si="16"/>
        <v>0</v>
      </c>
      <c r="P28" s="111">
        <f t="shared" si="16"/>
        <v>0</v>
      </c>
      <c r="Q28" s="111" t="e">
        <f t="shared" si="16"/>
        <v>#DIV/0!</v>
      </c>
      <c r="R28" s="111" t="e">
        <f t="shared" si="16"/>
        <v>#DIV/0!</v>
      </c>
      <c r="S28" s="111" t="e">
        <f t="shared" si="16"/>
        <v>#DIV/0!</v>
      </c>
      <c r="T28" s="111" t="e">
        <f t="shared" si="16"/>
        <v>#DIV/0!</v>
      </c>
      <c r="U28" s="111" t="e">
        <f t="shared" si="16"/>
        <v>#DIV/0!</v>
      </c>
      <c r="V28" s="111" t="e">
        <f t="shared" si="16"/>
        <v>#DIV/0!</v>
      </c>
      <c r="W28" s="111" t="e">
        <f t="shared" si="16"/>
        <v>#DIV/0!</v>
      </c>
      <c r="X28" s="111" t="e">
        <f t="shared" si="16"/>
        <v>#DIV/0!</v>
      </c>
      <c r="Y28" s="111" t="e">
        <f t="shared" si="16"/>
        <v>#DIV/0!</v>
      </c>
      <c r="Z28" s="111" t="e">
        <f t="shared" si="16"/>
        <v>#DIV/0!</v>
      </c>
      <c r="AA28" s="111" t="e">
        <f t="shared" si="16"/>
        <v>#DIV/0!</v>
      </c>
      <c r="AB28" s="111" t="e">
        <f t="shared" si="16"/>
        <v>#DIV/0!</v>
      </c>
      <c r="AC28" s="111" t="e">
        <f t="shared" si="16"/>
        <v>#DIV/0!</v>
      </c>
      <c r="AD28" s="111" t="e">
        <f t="shared" si="16"/>
        <v>#DIV/0!</v>
      </c>
      <c r="AE28" s="111" t="e">
        <f t="shared" si="16"/>
        <v>#DIV/0!</v>
      </c>
      <c r="AF28" s="111" t="e">
        <f t="shared" si="16"/>
        <v>#DIV/0!</v>
      </c>
      <c r="AG28" s="111" t="e">
        <f t="shared" si="16"/>
        <v>#DIV/0!</v>
      </c>
      <c r="AH28" s="111" t="e">
        <f t="shared" si="16"/>
        <v>#DIV/0!</v>
      </c>
      <c r="AI28" s="111" t="e">
        <f t="shared" si="16"/>
        <v>#DIV/0!</v>
      </c>
      <c r="AJ28" s="111" t="e">
        <f t="shared" si="16"/>
        <v>#DIV/0!</v>
      </c>
      <c r="AK28" s="111" t="e">
        <f t="shared" si="16"/>
        <v>#DIV/0!</v>
      </c>
      <c r="AL28" s="111" t="e">
        <f t="shared" si="16"/>
        <v>#DIV/0!</v>
      </c>
      <c r="AM28" s="111" t="e">
        <f t="shared" si="16"/>
        <v>#DIV/0!</v>
      </c>
      <c r="AN28" s="111" t="e">
        <f t="shared" si="16"/>
        <v>#DIV/0!</v>
      </c>
      <c r="AO28" s="111" t="e">
        <f t="shared" si="16"/>
        <v>#DIV/0!</v>
      </c>
      <c r="AP28" s="111" t="e">
        <f t="shared" si="16"/>
        <v>#DIV/0!</v>
      </c>
      <c r="AQ28" s="111" t="e">
        <f t="shared" si="16"/>
        <v>#DIV/0!</v>
      </c>
      <c r="AR28" s="111" t="e">
        <f t="shared" si="16"/>
        <v>#DIV/0!</v>
      </c>
      <c r="AS28" s="111" t="e">
        <f t="shared" si="16"/>
        <v>#DIV/0!</v>
      </c>
      <c r="AT28" s="111" t="e">
        <f t="shared" si="16"/>
        <v>#DIV/0!</v>
      </c>
      <c r="AU28" s="111" t="e">
        <f t="shared" si="16"/>
        <v>#DIV/0!</v>
      </c>
      <c r="AV28" s="111" t="e">
        <f t="shared" si="16"/>
        <v>#DIV/0!</v>
      </c>
      <c r="AW28" s="111" t="e">
        <f t="shared" si="16"/>
        <v>#DIV/0!</v>
      </c>
      <c r="AX28" s="111" t="e">
        <f t="shared" si="16"/>
        <v>#DIV/0!</v>
      </c>
      <c r="AY28" s="111" t="e">
        <f t="shared" si="16"/>
        <v>#DIV/0!</v>
      </c>
      <c r="AZ28" s="111" t="e">
        <f t="shared" si="16"/>
        <v>#DIV/0!</v>
      </c>
      <c r="BA28" s="111" t="e">
        <f t="shared" si="16"/>
        <v>#DIV/0!</v>
      </c>
      <c r="BB28" s="111" t="e">
        <f t="shared" si="16"/>
        <v>#DIV/0!</v>
      </c>
      <c r="BC28" s="111" t="e">
        <f t="shared" si="16"/>
        <v>#DIV/0!</v>
      </c>
      <c r="BD28" s="111" t="e">
        <f t="shared" si="16"/>
        <v>#DIV/0!</v>
      </c>
      <c r="BE28" s="111" t="e">
        <f t="shared" si="16"/>
        <v>#DIV/0!</v>
      </c>
      <c r="BF28" s="111" t="e">
        <f t="shared" si="16"/>
        <v>#DIV/0!</v>
      </c>
      <c r="BG28" s="111" t="e">
        <f t="shared" si="16"/>
        <v>#DIV/0!</v>
      </c>
      <c r="BH28" s="111" t="e">
        <f t="shared" si="16"/>
        <v>#DIV/0!</v>
      </c>
      <c r="BI28" s="111" t="e">
        <f t="shared" si="16"/>
        <v>#DIV/0!</v>
      </c>
      <c r="BJ28" s="111" t="e">
        <f t="shared" si="16"/>
        <v>#DIV/0!</v>
      </c>
      <c r="BK28" s="111" t="e">
        <f t="shared" si="16"/>
        <v>#DIV/0!</v>
      </c>
      <c r="BL28" s="111" t="e">
        <f t="shared" si="16"/>
        <v>#DIV/0!</v>
      </c>
      <c r="BM28" s="111" t="e">
        <f t="shared" si="16"/>
        <v>#DIV/0!</v>
      </c>
      <c r="BN28" s="111" t="e">
        <f t="shared" si="16"/>
        <v>#DIV/0!</v>
      </c>
      <c r="BO28" s="111" t="e">
        <f t="shared" si="16"/>
        <v>#DIV/0!</v>
      </c>
      <c r="BP28" s="111" t="e">
        <f t="shared" si="16"/>
        <v>#DIV/0!</v>
      </c>
      <c r="BQ28" s="111" t="e">
        <f t="shared" si="16"/>
        <v>#DIV/0!</v>
      </c>
      <c r="BR28" s="111" t="e">
        <f t="shared" ref="BR28:CK28" si="17">BR3/BR9</f>
        <v>#DIV/0!</v>
      </c>
      <c r="BS28" s="111" t="e">
        <f t="shared" si="17"/>
        <v>#DIV/0!</v>
      </c>
      <c r="BT28" s="111" t="e">
        <f t="shared" si="17"/>
        <v>#DIV/0!</v>
      </c>
      <c r="BU28" s="111" t="e">
        <f t="shared" si="17"/>
        <v>#DIV/0!</v>
      </c>
      <c r="BV28" s="111" t="e">
        <f t="shared" si="17"/>
        <v>#DIV/0!</v>
      </c>
      <c r="BW28" s="111" t="e">
        <f t="shared" si="17"/>
        <v>#DIV/0!</v>
      </c>
      <c r="BX28" s="111" t="e">
        <f t="shared" si="17"/>
        <v>#DIV/0!</v>
      </c>
      <c r="BY28" s="111" t="e">
        <f t="shared" si="17"/>
        <v>#DIV/0!</v>
      </c>
      <c r="BZ28" s="111" t="e">
        <f t="shared" si="17"/>
        <v>#DIV/0!</v>
      </c>
      <c r="CA28" s="111" t="e">
        <f t="shared" si="17"/>
        <v>#DIV/0!</v>
      </c>
      <c r="CB28" s="111" t="e">
        <f t="shared" si="17"/>
        <v>#DIV/0!</v>
      </c>
      <c r="CC28" s="111" t="e">
        <f t="shared" si="17"/>
        <v>#DIV/0!</v>
      </c>
      <c r="CD28" s="111" t="e">
        <f t="shared" si="17"/>
        <v>#DIV/0!</v>
      </c>
      <c r="CE28" s="111" t="e">
        <f t="shared" si="17"/>
        <v>#DIV/0!</v>
      </c>
      <c r="CF28" s="111" t="e">
        <f t="shared" si="17"/>
        <v>#DIV/0!</v>
      </c>
      <c r="CG28" s="111" t="e">
        <f t="shared" si="17"/>
        <v>#DIV/0!</v>
      </c>
      <c r="CH28" s="111" t="e">
        <f t="shared" si="17"/>
        <v>#DIV/0!</v>
      </c>
      <c r="CI28" s="111" t="e">
        <f t="shared" si="17"/>
        <v>#DIV/0!</v>
      </c>
      <c r="CJ28" s="111" t="e">
        <f t="shared" si="17"/>
        <v>#DIV/0!</v>
      </c>
      <c r="CK28" s="111" t="e">
        <f t="shared" si="17"/>
        <v>#DIV/0!</v>
      </c>
    </row>
    <row r="29" spans="1:90" s="110" customFormat="1">
      <c r="A29" s="147" t="s">
        <v>579</v>
      </c>
      <c r="E29" s="110">
        <f>(E4-I4)/I4</f>
        <v>-0.9023455606103451</v>
      </c>
      <c r="F29" s="110">
        <f t="shared" ref="F29:BQ29" si="18">(F4-J4)/J4</f>
        <v>3.0952482850537715</v>
      </c>
      <c r="G29" s="110">
        <f t="shared" si="18"/>
        <v>3.887032738482092</v>
      </c>
      <c r="H29" s="110">
        <f t="shared" si="18"/>
        <v>6.7869033573968656</v>
      </c>
      <c r="I29" s="110">
        <f t="shared" si="18"/>
        <v>4.8330976459866823</v>
      </c>
      <c r="J29" s="110">
        <f t="shared" si="18"/>
        <v>0.75319933418546803</v>
      </c>
      <c r="K29" s="110">
        <f t="shared" si="18"/>
        <v>2.446212812576491</v>
      </c>
      <c r="L29" s="110">
        <f t="shared" si="18"/>
        <v>0.75584844080285418</v>
      </c>
      <c r="M29" s="110" t="e">
        <f t="shared" si="18"/>
        <v>#DIV/0!</v>
      </c>
      <c r="N29" s="110" t="e">
        <f t="shared" si="18"/>
        <v>#DIV/0!</v>
      </c>
      <c r="O29" s="110" t="e">
        <f t="shared" si="18"/>
        <v>#DIV/0!</v>
      </c>
      <c r="P29" s="110" t="e">
        <f t="shared" si="18"/>
        <v>#DIV/0!</v>
      </c>
      <c r="Q29" s="110" t="e">
        <f t="shared" si="18"/>
        <v>#DIV/0!</v>
      </c>
      <c r="R29" s="110" t="e">
        <f t="shared" si="18"/>
        <v>#DIV/0!</v>
      </c>
      <c r="S29" s="110" t="e">
        <f t="shared" si="18"/>
        <v>#DIV/0!</v>
      </c>
      <c r="T29" s="110" t="e">
        <f t="shared" si="18"/>
        <v>#DIV/0!</v>
      </c>
      <c r="U29" s="110" t="e">
        <f t="shared" si="18"/>
        <v>#DIV/0!</v>
      </c>
      <c r="V29" s="110" t="e">
        <f t="shared" si="18"/>
        <v>#DIV/0!</v>
      </c>
      <c r="W29" s="110" t="e">
        <f t="shared" si="18"/>
        <v>#DIV/0!</v>
      </c>
      <c r="X29" s="110" t="e">
        <f t="shared" si="18"/>
        <v>#DIV/0!</v>
      </c>
      <c r="Y29" s="110" t="e">
        <f t="shared" si="18"/>
        <v>#DIV/0!</v>
      </c>
      <c r="Z29" s="110" t="e">
        <f t="shared" si="18"/>
        <v>#DIV/0!</v>
      </c>
      <c r="AA29" s="110" t="e">
        <f t="shared" si="18"/>
        <v>#DIV/0!</v>
      </c>
      <c r="AB29" s="110" t="e">
        <f t="shared" si="18"/>
        <v>#DIV/0!</v>
      </c>
      <c r="AC29" s="110" t="e">
        <f t="shared" si="18"/>
        <v>#DIV/0!</v>
      </c>
      <c r="AD29" s="110" t="e">
        <f t="shared" si="18"/>
        <v>#DIV/0!</v>
      </c>
      <c r="AE29" s="110" t="e">
        <f t="shared" si="18"/>
        <v>#DIV/0!</v>
      </c>
      <c r="AF29" s="110" t="e">
        <f t="shared" si="18"/>
        <v>#DIV/0!</v>
      </c>
      <c r="AG29" s="110" t="e">
        <f t="shared" si="18"/>
        <v>#DIV/0!</v>
      </c>
      <c r="AH29" s="110" t="e">
        <f t="shared" si="18"/>
        <v>#DIV/0!</v>
      </c>
      <c r="AI29" s="110" t="e">
        <f t="shared" si="18"/>
        <v>#DIV/0!</v>
      </c>
      <c r="AJ29" s="110" t="e">
        <f t="shared" si="18"/>
        <v>#DIV/0!</v>
      </c>
      <c r="AK29" s="110" t="e">
        <f t="shared" si="18"/>
        <v>#DIV/0!</v>
      </c>
      <c r="AL29" s="110" t="e">
        <f t="shared" si="18"/>
        <v>#DIV/0!</v>
      </c>
      <c r="AM29" s="110" t="e">
        <f t="shared" si="18"/>
        <v>#DIV/0!</v>
      </c>
      <c r="AN29" s="110" t="e">
        <f t="shared" si="18"/>
        <v>#DIV/0!</v>
      </c>
      <c r="AO29" s="110" t="e">
        <f t="shared" si="18"/>
        <v>#DIV/0!</v>
      </c>
      <c r="AP29" s="110" t="e">
        <f t="shared" si="18"/>
        <v>#DIV/0!</v>
      </c>
      <c r="AQ29" s="110" t="e">
        <f t="shared" si="18"/>
        <v>#DIV/0!</v>
      </c>
      <c r="AR29" s="110" t="e">
        <f t="shared" si="18"/>
        <v>#DIV/0!</v>
      </c>
      <c r="AS29" s="110" t="e">
        <f t="shared" si="18"/>
        <v>#DIV/0!</v>
      </c>
      <c r="AT29" s="110" t="e">
        <f t="shared" si="18"/>
        <v>#DIV/0!</v>
      </c>
      <c r="AU29" s="110" t="e">
        <f t="shared" si="18"/>
        <v>#DIV/0!</v>
      </c>
      <c r="AV29" s="110" t="e">
        <f t="shared" si="18"/>
        <v>#DIV/0!</v>
      </c>
      <c r="AW29" s="110" t="e">
        <f t="shared" si="18"/>
        <v>#DIV/0!</v>
      </c>
      <c r="AX29" s="110" t="e">
        <f t="shared" si="18"/>
        <v>#DIV/0!</v>
      </c>
      <c r="AY29" s="110" t="e">
        <f t="shared" si="18"/>
        <v>#DIV/0!</v>
      </c>
      <c r="AZ29" s="110" t="e">
        <f t="shared" si="18"/>
        <v>#DIV/0!</v>
      </c>
      <c r="BA29" s="110" t="e">
        <f t="shared" si="18"/>
        <v>#DIV/0!</v>
      </c>
      <c r="BB29" s="110" t="e">
        <f t="shared" si="18"/>
        <v>#DIV/0!</v>
      </c>
      <c r="BC29" s="110" t="e">
        <f t="shared" si="18"/>
        <v>#DIV/0!</v>
      </c>
      <c r="BD29" s="110" t="e">
        <f t="shared" si="18"/>
        <v>#DIV/0!</v>
      </c>
      <c r="BE29" s="110" t="e">
        <f t="shared" si="18"/>
        <v>#DIV/0!</v>
      </c>
      <c r="BF29" s="110" t="e">
        <f t="shared" si="18"/>
        <v>#DIV/0!</v>
      </c>
      <c r="BG29" s="110" t="e">
        <f t="shared" si="18"/>
        <v>#DIV/0!</v>
      </c>
      <c r="BH29" s="110" t="e">
        <f t="shared" si="18"/>
        <v>#DIV/0!</v>
      </c>
      <c r="BI29" s="110" t="e">
        <f t="shared" si="18"/>
        <v>#DIV/0!</v>
      </c>
      <c r="BJ29" s="110" t="e">
        <f t="shared" si="18"/>
        <v>#DIV/0!</v>
      </c>
      <c r="BK29" s="110" t="e">
        <f t="shared" si="18"/>
        <v>#DIV/0!</v>
      </c>
      <c r="BL29" s="110" t="e">
        <f t="shared" si="18"/>
        <v>#DIV/0!</v>
      </c>
      <c r="BM29" s="110" t="e">
        <f t="shared" si="18"/>
        <v>#DIV/0!</v>
      </c>
      <c r="BN29" s="110" t="e">
        <f t="shared" si="18"/>
        <v>#DIV/0!</v>
      </c>
      <c r="BO29" s="110" t="e">
        <f t="shared" si="18"/>
        <v>#DIV/0!</v>
      </c>
      <c r="BP29" s="110" t="e">
        <f t="shared" si="18"/>
        <v>#DIV/0!</v>
      </c>
      <c r="BQ29" s="110" t="e">
        <f t="shared" si="18"/>
        <v>#DIV/0!</v>
      </c>
      <c r="BR29" s="110" t="e">
        <f t="shared" ref="BR29:CK29" si="19">(BR4-BV4)/BV4</f>
        <v>#DIV/0!</v>
      </c>
      <c r="BS29" s="110" t="e">
        <f t="shared" si="19"/>
        <v>#DIV/0!</v>
      </c>
      <c r="BT29" s="110" t="e">
        <f t="shared" si="19"/>
        <v>#DIV/0!</v>
      </c>
      <c r="BU29" s="110" t="e">
        <f t="shared" si="19"/>
        <v>#DIV/0!</v>
      </c>
      <c r="BV29" s="110" t="e">
        <f t="shared" si="19"/>
        <v>#DIV/0!</v>
      </c>
      <c r="BW29" s="110" t="e">
        <f t="shared" si="19"/>
        <v>#DIV/0!</v>
      </c>
      <c r="BX29" s="110" t="e">
        <f t="shared" si="19"/>
        <v>#DIV/0!</v>
      </c>
      <c r="BY29" s="110" t="e">
        <f t="shared" si="19"/>
        <v>#DIV/0!</v>
      </c>
      <c r="BZ29" s="110" t="e">
        <f t="shared" si="19"/>
        <v>#DIV/0!</v>
      </c>
      <c r="CA29" s="110" t="e">
        <f t="shared" si="19"/>
        <v>#DIV/0!</v>
      </c>
      <c r="CB29" s="110" t="e">
        <f t="shared" si="19"/>
        <v>#DIV/0!</v>
      </c>
      <c r="CC29" s="110" t="e">
        <f t="shared" si="19"/>
        <v>#DIV/0!</v>
      </c>
      <c r="CD29" s="110" t="e">
        <f t="shared" si="19"/>
        <v>#DIV/0!</v>
      </c>
      <c r="CE29" s="110" t="e">
        <f t="shared" si="19"/>
        <v>#DIV/0!</v>
      </c>
      <c r="CF29" s="110" t="e">
        <f t="shared" si="19"/>
        <v>#DIV/0!</v>
      </c>
      <c r="CG29" s="110" t="e">
        <f t="shared" si="19"/>
        <v>#DIV/0!</v>
      </c>
      <c r="CH29" s="110" t="e">
        <f t="shared" si="19"/>
        <v>#DIV/0!</v>
      </c>
      <c r="CI29" s="110" t="e">
        <f t="shared" si="19"/>
        <v>#DIV/0!</v>
      </c>
      <c r="CJ29" s="110" t="e">
        <f t="shared" si="19"/>
        <v>#DIV/0!</v>
      </c>
      <c r="CK29" s="110" t="e">
        <f t="shared" si="19"/>
        <v>#DIV/0!</v>
      </c>
    </row>
    <row r="30" spans="1:90" s="110" customFormat="1">
      <c r="A30" s="147" t="s">
        <v>563</v>
      </c>
      <c r="E30" s="110">
        <f>(E5-I5)/I5</f>
        <v>-0.73276844842469757</v>
      </c>
      <c r="F30" s="110">
        <f t="shared" ref="F30:BQ30" si="20">(F5-J5)/J5</f>
        <v>2.1666265226358181</v>
      </c>
      <c r="G30" s="110">
        <f t="shared" si="20"/>
        <v>2.5379318998370932</v>
      </c>
      <c r="H30" s="110">
        <f t="shared" si="20"/>
        <v>2.967584681069463</v>
      </c>
      <c r="I30" s="110">
        <f t="shared" si="20"/>
        <v>3.3190709302438375</v>
      </c>
      <c r="J30" s="110">
        <f t="shared" si="20"/>
        <v>0.64413130116644268</v>
      </c>
      <c r="K30" s="110">
        <f t="shared" si="20"/>
        <v>0.75845261810902476</v>
      </c>
      <c r="L30" s="110">
        <f t="shared" si="20"/>
        <v>1.5294308090947968</v>
      </c>
      <c r="M30" s="110" t="e">
        <f t="shared" si="20"/>
        <v>#DIV/0!</v>
      </c>
      <c r="N30" s="110" t="e">
        <f t="shared" si="20"/>
        <v>#DIV/0!</v>
      </c>
      <c r="O30" s="110" t="e">
        <f t="shared" si="20"/>
        <v>#DIV/0!</v>
      </c>
      <c r="P30" s="110" t="e">
        <f t="shared" si="20"/>
        <v>#DIV/0!</v>
      </c>
      <c r="Q30" s="110" t="e">
        <f t="shared" si="20"/>
        <v>#DIV/0!</v>
      </c>
      <c r="R30" s="110" t="e">
        <f t="shared" si="20"/>
        <v>#DIV/0!</v>
      </c>
      <c r="S30" s="110" t="e">
        <f t="shared" si="20"/>
        <v>#DIV/0!</v>
      </c>
      <c r="T30" s="110" t="e">
        <f t="shared" si="20"/>
        <v>#DIV/0!</v>
      </c>
      <c r="U30" s="110" t="e">
        <f t="shared" si="20"/>
        <v>#DIV/0!</v>
      </c>
      <c r="V30" s="110" t="e">
        <f t="shared" si="20"/>
        <v>#DIV/0!</v>
      </c>
      <c r="W30" s="110" t="e">
        <f t="shared" si="20"/>
        <v>#DIV/0!</v>
      </c>
      <c r="X30" s="110" t="e">
        <f t="shared" si="20"/>
        <v>#DIV/0!</v>
      </c>
      <c r="Y30" s="110" t="e">
        <f t="shared" si="20"/>
        <v>#DIV/0!</v>
      </c>
      <c r="Z30" s="110" t="e">
        <f t="shared" si="20"/>
        <v>#DIV/0!</v>
      </c>
      <c r="AA30" s="110" t="e">
        <f t="shared" si="20"/>
        <v>#DIV/0!</v>
      </c>
      <c r="AB30" s="110" t="e">
        <f t="shared" si="20"/>
        <v>#DIV/0!</v>
      </c>
      <c r="AC30" s="110" t="e">
        <f t="shared" si="20"/>
        <v>#DIV/0!</v>
      </c>
      <c r="AD30" s="110" t="e">
        <f t="shared" si="20"/>
        <v>#DIV/0!</v>
      </c>
      <c r="AE30" s="110" t="e">
        <f t="shared" si="20"/>
        <v>#DIV/0!</v>
      </c>
      <c r="AF30" s="110" t="e">
        <f t="shared" si="20"/>
        <v>#DIV/0!</v>
      </c>
      <c r="AG30" s="110" t="e">
        <f t="shared" si="20"/>
        <v>#DIV/0!</v>
      </c>
      <c r="AH30" s="110" t="e">
        <f t="shared" si="20"/>
        <v>#DIV/0!</v>
      </c>
      <c r="AI30" s="110" t="e">
        <f t="shared" si="20"/>
        <v>#DIV/0!</v>
      </c>
      <c r="AJ30" s="110" t="e">
        <f t="shared" si="20"/>
        <v>#DIV/0!</v>
      </c>
      <c r="AK30" s="110" t="e">
        <f t="shared" si="20"/>
        <v>#DIV/0!</v>
      </c>
      <c r="AL30" s="110" t="e">
        <f t="shared" si="20"/>
        <v>#DIV/0!</v>
      </c>
      <c r="AM30" s="110" t="e">
        <f t="shared" si="20"/>
        <v>#DIV/0!</v>
      </c>
      <c r="AN30" s="110" t="e">
        <f t="shared" si="20"/>
        <v>#DIV/0!</v>
      </c>
      <c r="AO30" s="110" t="e">
        <f t="shared" si="20"/>
        <v>#DIV/0!</v>
      </c>
      <c r="AP30" s="110" t="e">
        <f t="shared" si="20"/>
        <v>#DIV/0!</v>
      </c>
      <c r="AQ30" s="110" t="e">
        <f t="shared" si="20"/>
        <v>#DIV/0!</v>
      </c>
      <c r="AR30" s="110" t="e">
        <f t="shared" si="20"/>
        <v>#DIV/0!</v>
      </c>
      <c r="AS30" s="110" t="e">
        <f t="shared" si="20"/>
        <v>#DIV/0!</v>
      </c>
      <c r="AT30" s="110" t="e">
        <f t="shared" si="20"/>
        <v>#DIV/0!</v>
      </c>
      <c r="AU30" s="110" t="e">
        <f t="shared" si="20"/>
        <v>#DIV/0!</v>
      </c>
      <c r="AV30" s="110" t="e">
        <f t="shared" si="20"/>
        <v>#DIV/0!</v>
      </c>
      <c r="AW30" s="110" t="e">
        <f t="shared" si="20"/>
        <v>#DIV/0!</v>
      </c>
      <c r="AX30" s="110" t="e">
        <f t="shared" si="20"/>
        <v>#DIV/0!</v>
      </c>
      <c r="AY30" s="110" t="e">
        <f t="shared" si="20"/>
        <v>#DIV/0!</v>
      </c>
      <c r="AZ30" s="110" t="e">
        <f t="shared" si="20"/>
        <v>#DIV/0!</v>
      </c>
      <c r="BA30" s="110" t="e">
        <f t="shared" si="20"/>
        <v>#DIV/0!</v>
      </c>
      <c r="BB30" s="110" t="e">
        <f t="shared" si="20"/>
        <v>#DIV/0!</v>
      </c>
      <c r="BC30" s="110" t="e">
        <f t="shared" si="20"/>
        <v>#DIV/0!</v>
      </c>
      <c r="BD30" s="110" t="e">
        <f t="shared" si="20"/>
        <v>#DIV/0!</v>
      </c>
      <c r="BE30" s="110" t="e">
        <f t="shared" si="20"/>
        <v>#DIV/0!</v>
      </c>
      <c r="BF30" s="110" t="e">
        <f t="shared" si="20"/>
        <v>#DIV/0!</v>
      </c>
      <c r="BG30" s="110" t="e">
        <f t="shared" si="20"/>
        <v>#DIV/0!</v>
      </c>
      <c r="BH30" s="110" t="e">
        <f t="shared" si="20"/>
        <v>#DIV/0!</v>
      </c>
      <c r="BI30" s="110" t="e">
        <f t="shared" si="20"/>
        <v>#DIV/0!</v>
      </c>
      <c r="BJ30" s="110" t="e">
        <f t="shared" si="20"/>
        <v>#DIV/0!</v>
      </c>
      <c r="BK30" s="110" t="e">
        <f t="shared" si="20"/>
        <v>#DIV/0!</v>
      </c>
      <c r="BL30" s="110" t="e">
        <f t="shared" si="20"/>
        <v>#DIV/0!</v>
      </c>
      <c r="BM30" s="110" t="e">
        <f t="shared" si="20"/>
        <v>#DIV/0!</v>
      </c>
      <c r="BN30" s="110" t="e">
        <f t="shared" si="20"/>
        <v>#DIV/0!</v>
      </c>
      <c r="BO30" s="110" t="e">
        <f t="shared" si="20"/>
        <v>#DIV/0!</v>
      </c>
      <c r="BP30" s="110" t="e">
        <f t="shared" si="20"/>
        <v>#DIV/0!</v>
      </c>
      <c r="BQ30" s="110" t="e">
        <f t="shared" si="20"/>
        <v>#DIV/0!</v>
      </c>
      <c r="BR30" s="110" t="e">
        <f t="shared" ref="BR30:CK30" si="21">(BR5-BV5)/BV5</f>
        <v>#DIV/0!</v>
      </c>
      <c r="BS30" s="110" t="e">
        <f t="shared" si="21"/>
        <v>#DIV/0!</v>
      </c>
      <c r="BT30" s="110" t="e">
        <f t="shared" si="21"/>
        <v>#DIV/0!</v>
      </c>
      <c r="BU30" s="110" t="e">
        <f t="shared" si="21"/>
        <v>#DIV/0!</v>
      </c>
      <c r="BV30" s="110" t="e">
        <f t="shared" si="21"/>
        <v>#DIV/0!</v>
      </c>
      <c r="BW30" s="110" t="e">
        <f t="shared" si="21"/>
        <v>#DIV/0!</v>
      </c>
      <c r="BX30" s="110" t="e">
        <f t="shared" si="21"/>
        <v>#DIV/0!</v>
      </c>
      <c r="BY30" s="110" t="e">
        <f t="shared" si="21"/>
        <v>#DIV/0!</v>
      </c>
      <c r="BZ30" s="110" t="e">
        <f t="shared" si="21"/>
        <v>#DIV/0!</v>
      </c>
      <c r="CA30" s="110" t="e">
        <f t="shared" si="21"/>
        <v>#DIV/0!</v>
      </c>
      <c r="CB30" s="110" t="e">
        <f t="shared" si="21"/>
        <v>#DIV/0!</v>
      </c>
      <c r="CC30" s="110" t="e">
        <f t="shared" si="21"/>
        <v>#DIV/0!</v>
      </c>
      <c r="CD30" s="110" t="e">
        <f t="shared" si="21"/>
        <v>#DIV/0!</v>
      </c>
      <c r="CE30" s="110" t="e">
        <f t="shared" si="21"/>
        <v>#DIV/0!</v>
      </c>
      <c r="CF30" s="110" t="e">
        <f t="shared" si="21"/>
        <v>#DIV/0!</v>
      </c>
      <c r="CG30" s="110" t="e">
        <f t="shared" si="21"/>
        <v>#DIV/0!</v>
      </c>
      <c r="CH30" s="110" t="e">
        <f t="shared" si="21"/>
        <v>#DIV/0!</v>
      </c>
      <c r="CI30" s="110" t="e">
        <f t="shared" si="21"/>
        <v>#DIV/0!</v>
      </c>
      <c r="CJ30" s="110" t="e">
        <f t="shared" si="21"/>
        <v>#DIV/0!</v>
      </c>
      <c r="CK30" s="110" t="e">
        <f t="shared" si="21"/>
        <v>#DIV/0!</v>
      </c>
    </row>
    <row r="31" spans="1:90" s="110" customFormat="1">
      <c r="A31" s="147" t="s">
        <v>564</v>
      </c>
      <c r="E31" s="110">
        <f>(E6-I6)/I6</f>
        <v>0.21211868705478709</v>
      </c>
      <c r="F31" s="110">
        <f t="shared" ref="F31:BQ31" si="22">(F6-J6)/J6</f>
        <v>0.39121703817069819</v>
      </c>
      <c r="G31" s="110">
        <f t="shared" si="22"/>
        <v>0.18609327824797639</v>
      </c>
      <c r="H31" s="110">
        <f t="shared" si="22"/>
        <v>-0.22204127346508137</v>
      </c>
      <c r="I31" s="110">
        <f t="shared" si="22"/>
        <v>0.76557982218691056</v>
      </c>
      <c r="J31" s="110">
        <f t="shared" si="22"/>
        <v>0.46936577020863546</v>
      </c>
      <c r="K31" s="110">
        <f t="shared" si="22"/>
        <v>-5.1408935519675382E-2</v>
      </c>
      <c r="L31" s="110">
        <f t="shared" si="22"/>
        <v>3.0018646611503437</v>
      </c>
      <c r="M31" s="110" t="e">
        <f t="shared" si="22"/>
        <v>#DIV/0!</v>
      </c>
      <c r="N31" s="110" t="e">
        <f t="shared" si="22"/>
        <v>#DIV/0!</v>
      </c>
      <c r="O31" s="110" t="e">
        <f t="shared" si="22"/>
        <v>#DIV/0!</v>
      </c>
      <c r="P31" s="110" t="e">
        <f t="shared" si="22"/>
        <v>#DIV/0!</v>
      </c>
      <c r="Q31" s="110" t="e">
        <f t="shared" si="22"/>
        <v>#DIV/0!</v>
      </c>
      <c r="R31" s="110" t="e">
        <f t="shared" si="22"/>
        <v>#DIV/0!</v>
      </c>
      <c r="S31" s="110" t="e">
        <f t="shared" si="22"/>
        <v>#DIV/0!</v>
      </c>
      <c r="T31" s="110" t="e">
        <f t="shared" si="22"/>
        <v>#DIV/0!</v>
      </c>
      <c r="U31" s="110" t="e">
        <f t="shared" si="22"/>
        <v>#DIV/0!</v>
      </c>
      <c r="V31" s="110" t="e">
        <f t="shared" si="22"/>
        <v>#DIV/0!</v>
      </c>
      <c r="W31" s="110" t="e">
        <f t="shared" si="22"/>
        <v>#DIV/0!</v>
      </c>
      <c r="X31" s="110" t="e">
        <f t="shared" si="22"/>
        <v>#DIV/0!</v>
      </c>
      <c r="Y31" s="110" t="e">
        <f t="shared" si="22"/>
        <v>#DIV/0!</v>
      </c>
      <c r="Z31" s="110" t="e">
        <f t="shared" si="22"/>
        <v>#DIV/0!</v>
      </c>
      <c r="AA31" s="110" t="e">
        <f t="shared" si="22"/>
        <v>#DIV/0!</v>
      </c>
      <c r="AB31" s="110" t="e">
        <f t="shared" si="22"/>
        <v>#DIV/0!</v>
      </c>
      <c r="AC31" s="110" t="e">
        <f t="shared" si="22"/>
        <v>#DIV/0!</v>
      </c>
      <c r="AD31" s="110" t="e">
        <f t="shared" si="22"/>
        <v>#DIV/0!</v>
      </c>
      <c r="AE31" s="110" t="e">
        <f t="shared" si="22"/>
        <v>#DIV/0!</v>
      </c>
      <c r="AF31" s="110" t="e">
        <f t="shared" si="22"/>
        <v>#DIV/0!</v>
      </c>
      <c r="AG31" s="110" t="e">
        <f t="shared" si="22"/>
        <v>#DIV/0!</v>
      </c>
      <c r="AH31" s="110" t="e">
        <f t="shared" si="22"/>
        <v>#DIV/0!</v>
      </c>
      <c r="AI31" s="110" t="e">
        <f t="shared" si="22"/>
        <v>#DIV/0!</v>
      </c>
      <c r="AJ31" s="110" t="e">
        <f t="shared" si="22"/>
        <v>#DIV/0!</v>
      </c>
      <c r="AK31" s="110" t="e">
        <f t="shared" si="22"/>
        <v>#DIV/0!</v>
      </c>
      <c r="AL31" s="110" t="e">
        <f t="shared" si="22"/>
        <v>#DIV/0!</v>
      </c>
      <c r="AM31" s="110" t="e">
        <f t="shared" si="22"/>
        <v>#DIV/0!</v>
      </c>
      <c r="AN31" s="110" t="e">
        <f t="shared" si="22"/>
        <v>#DIV/0!</v>
      </c>
      <c r="AO31" s="110" t="e">
        <f t="shared" si="22"/>
        <v>#DIV/0!</v>
      </c>
      <c r="AP31" s="110" t="e">
        <f t="shared" si="22"/>
        <v>#DIV/0!</v>
      </c>
      <c r="AQ31" s="110" t="e">
        <f t="shared" si="22"/>
        <v>#DIV/0!</v>
      </c>
      <c r="AR31" s="110" t="e">
        <f t="shared" si="22"/>
        <v>#DIV/0!</v>
      </c>
      <c r="AS31" s="110" t="e">
        <f t="shared" si="22"/>
        <v>#DIV/0!</v>
      </c>
      <c r="AT31" s="110" t="e">
        <f t="shared" si="22"/>
        <v>#DIV/0!</v>
      </c>
      <c r="AU31" s="110" t="e">
        <f t="shared" si="22"/>
        <v>#DIV/0!</v>
      </c>
      <c r="AV31" s="110" t="e">
        <f t="shared" si="22"/>
        <v>#DIV/0!</v>
      </c>
      <c r="AW31" s="110" t="e">
        <f t="shared" si="22"/>
        <v>#DIV/0!</v>
      </c>
      <c r="AX31" s="110" t="e">
        <f t="shared" si="22"/>
        <v>#DIV/0!</v>
      </c>
      <c r="AY31" s="110" t="e">
        <f t="shared" si="22"/>
        <v>#DIV/0!</v>
      </c>
      <c r="AZ31" s="110" t="e">
        <f t="shared" si="22"/>
        <v>#DIV/0!</v>
      </c>
      <c r="BA31" s="110" t="e">
        <f t="shared" si="22"/>
        <v>#DIV/0!</v>
      </c>
      <c r="BB31" s="110" t="e">
        <f t="shared" si="22"/>
        <v>#DIV/0!</v>
      </c>
      <c r="BC31" s="110" t="e">
        <f t="shared" si="22"/>
        <v>#DIV/0!</v>
      </c>
      <c r="BD31" s="110" t="e">
        <f t="shared" si="22"/>
        <v>#DIV/0!</v>
      </c>
      <c r="BE31" s="110" t="e">
        <f t="shared" si="22"/>
        <v>#DIV/0!</v>
      </c>
      <c r="BF31" s="110" t="e">
        <f t="shared" si="22"/>
        <v>#DIV/0!</v>
      </c>
      <c r="BG31" s="110" t="e">
        <f t="shared" si="22"/>
        <v>#DIV/0!</v>
      </c>
      <c r="BH31" s="110" t="e">
        <f t="shared" si="22"/>
        <v>#DIV/0!</v>
      </c>
      <c r="BI31" s="110" t="e">
        <f t="shared" si="22"/>
        <v>#DIV/0!</v>
      </c>
      <c r="BJ31" s="110" t="e">
        <f t="shared" si="22"/>
        <v>#DIV/0!</v>
      </c>
      <c r="BK31" s="110" t="e">
        <f t="shared" si="22"/>
        <v>#DIV/0!</v>
      </c>
      <c r="BL31" s="110" t="e">
        <f t="shared" si="22"/>
        <v>#DIV/0!</v>
      </c>
      <c r="BM31" s="110" t="e">
        <f t="shared" si="22"/>
        <v>#DIV/0!</v>
      </c>
      <c r="BN31" s="110" t="e">
        <f t="shared" si="22"/>
        <v>#DIV/0!</v>
      </c>
      <c r="BO31" s="110" t="e">
        <f t="shared" si="22"/>
        <v>#DIV/0!</v>
      </c>
      <c r="BP31" s="110" t="e">
        <f t="shared" si="22"/>
        <v>#DIV/0!</v>
      </c>
      <c r="BQ31" s="110" t="e">
        <f t="shared" si="22"/>
        <v>#DIV/0!</v>
      </c>
      <c r="BR31" s="110" t="e">
        <f t="shared" ref="BR31:CK31" si="23">(BR6-BV6)/BV6</f>
        <v>#DIV/0!</v>
      </c>
      <c r="BS31" s="110" t="e">
        <f t="shared" si="23"/>
        <v>#DIV/0!</v>
      </c>
      <c r="BT31" s="110" t="e">
        <f t="shared" si="23"/>
        <v>#DIV/0!</v>
      </c>
      <c r="BU31" s="110" t="e">
        <f t="shared" si="23"/>
        <v>#DIV/0!</v>
      </c>
      <c r="BV31" s="110" t="e">
        <f t="shared" si="23"/>
        <v>#DIV/0!</v>
      </c>
      <c r="BW31" s="110" t="e">
        <f t="shared" si="23"/>
        <v>#DIV/0!</v>
      </c>
      <c r="BX31" s="110" t="e">
        <f t="shared" si="23"/>
        <v>#DIV/0!</v>
      </c>
      <c r="BY31" s="110" t="e">
        <f t="shared" si="23"/>
        <v>#DIV/0!</v>
      </c>
      <c r="BZ31" s="110" t="e">
        <f t="shared" si="23"/>
        <v>#DIV/0!</v>
      </c>
      <c r="CA31" s="110" t="e">
        <f t="shared" si="23"/>
        <v>#DIV/0!</v>
      </c>
      <c r="CB31" s="110" t="e">
        <f t="shared" si="23"/>
        <v>#DIV/0!</v>
      </c>
      <c r="CC31" s="110" t="e">
        <f t="shared" si="23"/>
        <v>#DIV/0!</v>
      </c>
      <c r="CD31" s="110" t="e">
        <f t="shared" si="23"/>
        <v>#DIV/0!</v>
      </c>
      <c r="CE31" s="110" t="e">
        <f t="shared" si="23"/>
        <v>#DIV/0!</v>
      </c>
      <c r="CF31" s="110" t="e">
        <f t="shared" si="23"/>
        <v>#DIV/0!</v>
      </c>
      <c r="CG31" s="110" t="e">
        <f t="shared" si="23"/>
        <v>#DIV/0!</v>
      </c>
      <c r="CH31" s="110" t="e">
        <f t="shared" si="23"/>
        <v>#DIV/0!</v>
      </c>
      <c r="CI31" s="110" t="e">
        <f t="shared" si="23"/>
        <v>#DIV/0!</v>
      </c>
      <c r="CJ31" s="110" t="e">
        <f t="shared" si="23"/>
        <v>#DIV/0!</v>
      </c>
      <c r="CK31" s="110" t="e">
        <f t="shared" si="23"/>
        <v>#DIV/0!</v>
      </c>
    </row>
    <row r="32" spans="1:90" s="111" customFormat="1">
      <c r="A32" s="148" t="s">
        <v>566</v>
      </c>
      <c r="E32" s="111">
        <f>(E7-I7)/I7</f>
        <v>0.50778203141332379</v>
      </c>
      <c r="F32" s="111">
        <f t="shared" ref="F32:BQ32" si="24">(F7-J7)/J7</f>
        <v>0.66178840359717617</v>
      </c>
      <c r="G32" s="111">
        <f t="shared" si="24"/>
        <v>0.22011964895704378</v>
      </c>
      <c r="H32" s="111">
        <f t="shared" si="24"/>
        <v>0.3451436064479334</v>
      </c>
      <c r="I32" s="111">
        <f t="shared" si="24"/>
        <v>2.545446444253451</v>
      </c>
      <c r="J32" s="111">
        <f t="shared" si="24"/>
        <v>2.3287652265410452</v>
      </c>
      <c r="K32" s="111">
        <f t="shared" si="24"/>
        <v>5.4387167222160357</v>
      </c>
      <c r="L32" s="111">
        <f t="shared" si="24"/>
        <v>84.492476767403573</v>
      </c>
      <c r="M32" s="111" t="e">
        <f t="shared" si="24"/>
        <v>#DIV/0!</v>
      </c>
      <c r="N32" s="111" t="e">
        <f t="shared" si="24"/>
        <v>#DIV/0!</v>
      </c>
      <c r="O32" s="111" t="e">
        <f t="shared" si="24"/>
        <v>#DIV/0!</v>
      </c>
      <c r="P32" s="111" t="e">
        <f t="shared" si="24"/>
        <v>#DIV/0!</v>
      </c>
      <c r="Q32" s="111" t="e">
        <f t="shared" si="24"/>
        <v>#DIV/0!</v>
      </c>
      <c r="R32" s="111" t="e">
        <f t="shared" si="24"/>
        <v>#DIV/0!</v>
      </c>
      <c r="S32" s="111" t="e">
        <f t="shared" si="24"/>
        <v>#DIV/0!</v>
      </c>
      <c r="T32" s="111" t="e">
        <f t="shared" si="24"/>
        <v>#DIV/0!</v>
      </c>
      <c r="U32" s="111" t="e">
        <f t="shared" si="24"/>
        <v>#DIV/0!</v>
      </c>
      <c r="V32" s="111" t="e">
        <f t="shared" si="24"/>
        <v>#DIV/0!</v>
      </c>
      <c r="W32" s="111" t="e">
        <f t="shared" si="24"/>
        <v>#DIV/0!</v>
      </c>
      <c r="X32" s="111" t="e">
        <f t="shared" si="24"/>
        <v>#DIV/0!</v>
      </c>
      <c r="Y32" s="111" t="e">
        <f t="shared" si="24"/>
        <v>#DIV/0!</v>
      </c>
      <c r="Z32" s="111" t="e">
        <f t="shared" si="24"/>
        <v>#DIV/0!</v>
      </c>
      <c r="AA32" s="111" t="e">
        <f t="shared" si="24"/>
        <v>#DIV/0!</v>
      </c>
      <c r="AB32" s="111" t="e">
        <f t="shared" si="24"/>
        <v>#DIV/0!</v>
      </c>
      <c r="AC32" s="111" t="e">
        <f t="shared" si="24"/>
        <v>#DIV/0!</v>
      </c>
      <c r="AD32" s="111" t="e">
        <f t="shared" si="24"/>
        <v>#DIV/0!</v>
      </c>
      <c r="AE32" s="111" t="e">
        <f t="shared" si="24"/>
        <v>#DIV/0!</v>
      </c>
      <c r="AF32" s="111" t="e">
        <f t="shared" si="24"/>
        <v>#DIV/0!</v>
      </c>
      <c r="AG32" s="111" t="e">
        <f t="shared" si="24"/>
        <v>#DIV/0!</v>
      </c>
      <c r="AH32" s="111" t="e">
        <f t="shared" si="24"/>
        <v>#DIV/0!</v>
      </c>
      <c r="AI32" s="111" t="e">
        <f t="shared" si="24"/>
        <v>#DIV/0!</v>
      </c>
      <c r="AJ32" s="111" t="e">
        <f t="shared" si="24"/>
        <v>#DIV/0!</v>
      </c>
      <c r="AK32" s="111" t="e">
        <f t="shared" si="24"/>
        <v>#DIV/0!</v>
      </c>
      <c r="AL32" s="111" t="e">
        <f t="shared" si="24"/>
        <v>#DIV/0!</v>
      </c>
      <c r="AM32" s="111" t="e">
        <f t="shared" si="24"/>
        <v>#DIV/0!</v>
      </c>
      <c r="AN32" s="111" t="e">
        <f t="shared" si="24"/>
        <v>#DIV/0!</v>
      </c>
      <c r="AO32" s="111" t="e">
        <f t="shared" si="24"/>
        <v>#DIV/0!</v>
      </c>
      <c r="AP32" s="111" t="e">
        <f t="shared" si="24"/>
        <v>#DIV/0!</v>
      </c>
      <c r="AQ32" s="111" t="e">
        <f t="shared" si="24"/>
        <v>#DIV/0!</v>
      </c>
      <c r="AR32" s="111" t="e">
        <f t="shared" si="24"/>
        <v>#DIV/0!</v>
      </c>
      <c r="AS32" s="111" t="e">
        <f t="shared" si="24"/>
        <v>#DIV/0!</v>
      </c>
      <c r="AT32" s="111" t="e">
        <f t="shared" si="24"/>
        <v>#DIV/0!</v>
      </c>
      <c r="AU32" s="111" t="e">
        <f t="shared" si="24"/>
        <v>#DIV/0!</v>
      </c>
      <c r="AV32" s="111" t="e">
        <f t="shared" si="24"/>
        <v>#DIV/0!</v>
      </c>
      <c r="AW32" s="111" t="e">
        <f t="shared" si="24"/>
        <v>#DIV/0!</v>
      </c>
      <c r="AX32" s="111" t="e">
        <f t="shared" si="24"/>
        <v>#DIV/0!</v>
      </c>
      <c r="AY32" s="111" t="e">
        <f t="shared" si="24"/>
        <v>#DIV/0!</v>
      </c>
      <c r="AZ32" s="111" t="e">
        <f t="shared" si="24"/>
        <v>#DIV/0!</v>
      </c>
      <c r="BA32" s="111" t="e">
        <f t="shared" si="24"/>
        <v>#DIV/0!</v>
      </c>
      <c r="BB32" s="111" t="e">
        <f t="shared" si="24"/>
        <v>#DIV/0!</v>
      </c>
      <c r="BC32" s="111" t="e">
        <f t="shared" si="24"/>
        <v>#DIV/0!</v>
      </c>
      <c r="BD32" s="111" t="e">
        <f t="shared" si="24"/>
        <v>#DIV/0!</v>
      </c>
      <c r="BE32" s="111" t="e">
        <f t="shared" si="24"/>
        <v>#DIV/0!</v>
      </c>
      <c r="BF32" s="111" t="e">
        <f t="shared" si="24"/>
        <v>#DIV/0!</v>
      </c>
      <c r="BG32" s="111" t="e">
        <f t="shared" si="24"/>
        <v>#DIV/0!</v>
      </c>
      <c r="BH32" s="111" t="e">
        <f t="shared" si="24"/>
        <v>#DIV/0!</v>
      </c>
      <c r="BI32" s="111" t="e">
        <f t="shared" si="24"/>
        <v>#DIV/0!</v>
      </c>
      <c r="BJ32" s="111" t="e">
        <f t="shared" si="24"/>
        <v>#DIV/0!</v>
      </c>
      <c r="BK32" s="111" t="e">
        <f t="shared" si="24"/>
        <v>#DIV/0!</v>
      </c>
      <c r="BL32" s="111" t="e">
        <f t="shared" si="24"/>
        <v>#DIV/0!</v>
      </c>
      <c r="BM32" s="111" t="e">
        <f t="shared" si="24"/>
        <v>#DIV/0!</v>
      </c>
      <c r="BN32" s="111" t="e">
        <f t="shared" si="24"/>
        <v>#DIV/0!</v>
      </c>
      <c r="BO32" s="111" t="e">
        <f t="shared" si="24"/>
        <v>#DIV/0!</v>
      </c>
      <c r="BP32" s="111" t="e">
        <f t="shared" si="24"/>
        <v>#DIV/0!</v>
      </c>
      <c r="BQ32" s="111" t="e">
        <f t="shared" si="24"/>
        <v>#DIV/0!</v>
      </c>
      <c r="BR32" s="111" t="e">
        <f t="shared" ref="BR32:CK32" si="25">(BR7-BV7)/BV7</f>
        <v>#DIV/0!</v>
      </c>
      <c r="BS32" s="111" t="e">
        <f t="shared" si="25"/>
        <v>#DIV/0!</v>
      </c>
      <c r="BT32" s="111" t="e">
        <f t="shared" si="25"/>
        <v>#DIV/0!</v>
      </c>
      <c r="BU32" s="111" t="e">
        <f t="shared" si="25"/>
        <v>#DIV/0!</v>
      </c>
      <c r="BV32" s="111" t="e">
        <f t="shared" si="25"/>
        <v>#DIV/0!</v>
      </c>
      <c r="BW32" s="111" t="e">
        <f t="shared" si="25"/>
        <v>#DIV/0!</v>
      </c>
      <c r="BX32" s="111" t="e">
        <f t="shared" si="25"/>
        <v>#DIV/0!</v>
      </c>
      <c r="BY32" s="111" t="e">
        <f t="shared" si="25"/>
        <v>#DIV/0!</v>
      </c>
      <c r="BZ32" s="111" t="e">
        <f t="shared" si="25"/>
        <v>#DIV/0!</v>
      </c>
      <c r="CA32" s="111" t="e">
        <f t="shared" si="25"/>
        <v>#DIV/0!</v>
      </c>
      <c r="CB32" s="111" t="e">
        <f t="shared" si="25"/>
        <v>#DIV/0!</v>
      </c>
      <c r="CC32" s="111" t="e">
        <f t="shared" si="25"/>
        <v>#DIV/0!</v>
      </c>
      <c r="CD32" s="111" t="e">
        <f t="shared" si="25"/>
        <v>#DIV/0!</v>
      </c>
      <c r="CE32" s="111" t="e">
        <f t="shared" si="25"/>
        <v>#DIV/0!</v>
      </c>
      <c r="CF32" s="111" t="e">
        <f t="shared" si="25"/>
        <v>#DIV/0!</v>
      </c>
      <c r="CG32" s="111" t="e">
        <f t="shared" si="25"/>
        <v>#DIV/0!</v>
      </c>
      <c r="CH32" s="111" t="e">
        <f t="shared" si="25"/>
        <v>#DIV/0!</v>
      </c>
      <c r="CI32" s="111" t="e">
        <f t="shared" si="25"/>
        <v>#DIV/0!</v>
      </c>
      <c r="CJ32" s="111" t="e">
        <f t="shared" si="25"/>
        <v>#DIV/0!</v>
      </c>
      <c r="CK32" s="111" t="e">
        <f t="shared" si="25"/>
        <v>#DIV/0!</v>
      </c>
    </row>
    <row r="33" spans="1:89" s="111" customFormat="1">
      <c r="A33" s="148" t="s">
        <v>573</v>
      </c>
      <c r="E33" s="111">
        <f>E7/E9</f>
        <v>0.27067103552711369</v>
      </c>
      <c r="F33" s="111">
        <f t="shared" ref="F33:BQ33" si="26">F7/F9</f>
        <v>0.27599463346805853</v>
      </c>
      <c r="G33" s="111">
        <f t="shared" si="26"/>
        <v>0.21159188520335673</v>
      </c>
      <c r="H33" s="111">
        <f t="shared" si="26"/>
        <v>0.20853384861519109</v>
      </c>
      <c r="I33" s="111">
        <f t="shared" si="26"/>
        <v>0.20978372800315631</v>
      </c>
      <c r="J33" s="111">
        <f t="shared" si="26"/>
        <v>0.38199492539702218</v>
      </c>
      <c r="K33" s="111">
        <f t="shared" si="26"/>
        <v>0.38157360658361905</v>
      </c>
      <c r="L33" s="111">
        <f t="shared" si="26"/>
        <v>0.37759951797503011</v>
      </c>
      <c r="M33" s="111">
        <f t="shared" si="26"/>
        <v>0.16271009634933595</v>
      </c>
      <c r="N33" s="111">
        <f t="shared" si="26"/>
        <v>0.18903692398704308</v>
      </c>
      <c r="O33" s="111">
        <f t="shared" si="26"/>
        <v>0.15132040304409985</v>
      </c>
      <c r="P33" s="111">
        <f t="shared" si="26"/>
        <v>1.7032288472629342E-2</v>
      </c>
      <c r="Q33" s="111" t="e">
        <f t="shared" si="26"/>
        <v>#DIV/0!</v>
      </c>
      <c r="R33" s="111" t="e">
        <f t="shared" si="26"/>
        <v>#DIV/0!</v>
      </c>
      <c r="S33" s="111" t="e">
        <f t="shared" si="26"/>
        <v>#DIV/0!</v>
      </c>
      <c r="T33" s="111" t="e">
        <f t="shared" si="26"/>
        <v>#DIV/0!</v>
      </c>
      <c r="U33" s="111" t="e">
        <f t="shared" si="26"/>
        <v>#DIV/0!</v>
      </c>
      <c r="V33" s="111" t="e">
        <f t="shared" si="26"/>
        <v>#DIV/0!</v>
      </c>
      <c r="W33" s="111" t="e">
        <f t="shared" si="26"/>
        <v>#DIV/0!</v>
      </c>
      <c r="X33" s="111" t="e">
        <f t="shared" si="26"/>
        <v>#DIV/0!</v>
      </c>
      <c r="Y33" s="111" t="e">
        <f t="shared" si="26"/>
        <v>#DIV/0!</v>
      </c>
      <c r="Z33" s="111" t="e">
        <f t="shared" si="26"/>
        <v>#DIV/0!</v>
      </c>
      <c r="AA33" s="111" t="e">
        <f t="shared" si="26"/>
        <v>#DIV/0!</v>
      </c>
      <c r="AB33" s="111" t="e">
        <f t="shared" si="26"/>
        <v>#DIV/0!</v>
      </c>
      <c r="AC33" s="111" t="e">
        <f t="shared" si="26"/>
        <v>#DIV/0!</v>
      </c>
      <c r="AD33" s="111" t="e">
        <f t="shared" si="26"/>
        <v>#DIV/0!</v>
      </c>
      <c r="AE33" s="111" t="e">
        <f t="shared" si="26"/>
        <v>#DIV/0!</v>
      </c>
      <c r="AF33" s="111" t="e">
        <f t="shared" si="26"/>
        <v>#DIV/0!</v>
      </c>
      <c r="AG33" s="111" t="e">
        <f t="shared" si="26"/>
        <v>#DIV/0!</v>
      </c>
      <c r="AH33" s="111" t="e">
        <f t="shared" si="26"/>
        <v>#DIV/0!</v>
      </c>
      <c r="AI33" s="111" t="e">
        <f t="shared" si="26"/>
        <v>#DIV/0!</v>
      </c>
      <c r="AJ33" s="111" t="e">
        <f t="shared" si="26"/>
        <v>#DIV/0!</v>
      </c>
      <c r="AK33" s="111" t="e">
        <f t="shared" si="26"/>
        <v>#DIV/0!</v>
      </c>
      <c r="AL33" s="111" t="e">
        <f t="shared" si="26"/>
        <v>#DIV/0!</v>
      </c>
      <c r="AM33" s="111" t="e">
        <f t="shared" si="26"/>
        <v>#DIV/0!</v>
      </c>
      <c r="AN33" s="111" t="e">
        <f t="shared" si="26"/>
        <v>#DIV/0!</v>
      </c>
      <c r="AO33" s="111" t="e">
        <f t="shared" si="26"/>
        <v>#DIV/0!</v>
      </c>
      <c r="AP33" s="111" t="e">
        <f t="shared" si="26"/>
        <v>#DIV/0!</v>
      </c>
      <c r="AQ33" s="111" t="e">
        <f t="shared" si="26"/>
        <v>#DIV/0!</v>
      </c>
      <c r="AR33" s="111" t="e">
        <f t="shared" si="26"/>
        <v>#DIV/0!</v>
      </c>
      <c r="AS33" s="111" t="e">
        <f t="shared" si="26"/>
        <v>#DIV/0!</v>
      </c>
      <c r="AT33" s="111" t="e">
        <f t="shared" si="26"/>
        <v>#DIV/0!</v>
      </c>
      <c r="AU33" s="111" t="e">
        <f t="shared" si="26"/>
        <v>#DIV/0!</v>
      </c>
      <c r="AV33" s="111" t="e">
        <f t="shared" si="26"/>
        <v>#DIV/0!</v>
      </c>
      <c r="AW33" s="111" t="e">
        <f t="shared" si="26"/>
        <v>#DIV/0!</v>
      </c>
      <c r="AX33" s="111" t="e">
        <f t="shared" si="26"/>
        <v>#DIV/0!</v>
      </c>
      <c r="AY33" s="111" t="e">
        <f t="shared" si="26"/>
        <v>#DIV/0!</v>
      </c>
      <c r="AZ33" s="111" t="e">
        <f t="shared" si="26"/>
        <v>#DIV/0!</v>
      </c>
      <c r="BA33" s="111" t="e">
        <f t="shared" si="26"/>
        <v>#DIV/0!</v>
      </c>
      <c r="BB33" s="111" t="e">
        <f t="shared" si="26"/>
        <v>#DIV/0!</v>
      </c>
      <c r="BC33" s="111" t="e">
        <f t="shared" si="26"/>
        <v>#DIV/0!</v>
      </c>
      <c r="BD33" s="111" t="e">
        <f t="shared" si="26"/>
        <v>#DIV/0!</v>
      </c>
      <c r="BE33" s="111" t="e">
        <f t="shared" si="26"/>
        <v>#DIV/0!</v>
      </c>
      <c r="BF33" s="111" t="e">
        <f t="shared" si="26"/>
        <v>#DIV/0!</v>
      </c>
      <c r="BG33" s="111" t="e">
        <f t="shared" si="26"/>
        <v>#DIV/0!</v>
      </c>
      <c r="BH33" s="111" t="e">
        <f t="shared" si="26"/>
        <v>#DIV/0!</v>
      </c>
      <c r="BI33" s="111" t="e">
        <f t="shared" si="26"/>
        <v>#DIV/0!</v>
      </c>
      <c r="BJ33" s="111" t="e">
        <f t="shared" si="26"/>
        <v>#DIV/0!</v>
      </c>
      <c r="BK33" s="111" t="e">
        <f t="shared" si="26"/>
        <v>#DIV/0!</v>
      </c>
      <c r="BL33" s="111" t="e">
        <f t="shared" si="26"/>
        <v>#DIV/0!</v>
      </c>
      <c r="BM33" s="111" t="e">
        <f t="shared" si="26"/>
        <v>#DIV/0!</v>
      </c>
      <c r="BN33" s="111" t="e">
        <f t="shared" si="26"/>
        <v>#DIV/0!</v>
      </c>
      <c r="BO33" s="111" t="e">
        <f t="shared" si="26"/>
        <v>#DIV/0!</v>
      </c>
      <c r="BP33" s="111" t="e">
        <f t="shared" si="26"/>
        <v>#DIV/0!</v>
      </c>
      <c r="BQ33" s="111" t="e">
        <f t="shared" si="26"/>
        <v>#DIV/0!</v>
      </c>
      <c r="BR33" s="111" t="e">
        <f t="shared" ref="BR33:CK33" si="27">BR7/BR9</f>
        <v>#DIV/0!</v>
      </c>
      <c r="BS33" s="111" t="e">
        <f t="shared" si="27"/>
        <v>#DIV/0!</v>
      </c>
      <c r="BT33" s="111" t="e">
        <f t="shared" si="27"/>
        <v>#DIV/0!</v>
      </c>
      <c r="BU33" s="111" t="e">
        <f t="shared" si="27"/>
        <v>#DIV/0!</v>
      </c>
      <c r="BV33" s="111" t="e">
        <f t="shared" si="27"/>
        <v>#DIV/0!</v>
      </c>
      <c r="BW33" s="111" t="e">
        <f t="shared" si="27"/>
        <v>#DIV/0!</v>
      </c>
      <c r="BX33" s="111" t="e">
        <f t="shared" si="27"/>
        <v>#DIV/0!</v>
      </c>
      <c r="BY33" s="111" t="e">
        <f t="shared" si="27"/>
        <v>#DIV/0!</v>
      </c>
      <c r="BZ33" s="111" t="e">
        <f t="shared" si="27"/>
        <v>#DIV/0!</v>
      </c>
      <c r="CA33" s="111" t="e">
        <f t="shared" si="27"/>
        <v>#DIV/0!</v>
      </c>
      <c r="CB33" s="111" t="e">
        <f t="shared" si="27"/>
        <v>#DIV/0!</v>
      </c>
      <c r="CC33" s="111" t="e">
        <f t="shared" si="27"/>
        <v>#DIV/0!</v>
      </c>
      <c r="CD33" s="111" t="e">
        <f t="shared" si="27"/>
        <v>#DIV/0!</v>
      </c>
      <c r="CE33" s="111" t="e">
        <f t="shared" si="27"/>
        <v>#DIV/0!</v>
      </c>
      <c r="CF33" s="111" t="e">
        <f t="shared" si="27"/>
        <v>#DIV/0!</v>
      </c>
      <c r="CG33" s="111" t="e">
        <f t="shared" si="27"/>
        <v>#DIV/0!</v>
      </c>
      <c r="CH33" s="111" t="e">
        <f t="shared" si="27"/>
        <v>#DIV/0!</v>
      </c>
      <c r="CI33" s="111" t="e">
        <f t="shared" si="27"/>
        <v>#DIV/0!</v>
      </c>
      <c r="CJ33" s="111" t="e">
        <f t="shared" si="27"/>
        <v>#DIV/0!</v>
      </c>
      <c r="CK33" s="111" t="e">
        <f t="shared" si="27"/>
        <v>#DIV/0!</v>
      </c>
    </row>
    <row r="34" spans="1:89" s="110" customFormat="1">
      <c r="A34" s="147" t="s">
        <v>567</v>
      </c>
      <c r="E34" s="110" t="e">
        <f>(E10-I10)/I10</f>
        <v>#DIV/0!</v>
      </c>
      <c r="F34" s="110" t="e">
        <f t="shared" ref="F34:BQ34" si="28">(F10-J10)/J10</f>
        <v>#DIV/0!</v>
      </c>
      <c r="G34" s="110" t="e">
        <f t="shared" si="28"/>
        <v>#DIV/0!</v>
      </c>
      <c r="H34" s="110" t="e">
        <f t="shared" si="28"/>
        <v>#DIV/0!</v>
      </c>
      <c r="I34" s="110" t="e">
        <f t="shared" si="28"/>
        <v>#DIV/0!</v>
      </c>
      <c r="J34" s="110" t="e">
        <f t="shared" si="28"/>
        <v>#DIV/0!</v>
      </c>
      <c r="K34" s="110" t="e">
        <f t="shared" si="28"/>
        <v>#DIV/0!</v>
      </c>
      <c r="L34" s="110" t="e">
        <f t="shared" si="28"/>
        <v>#DIV/0!</v>
      </c>
      <c r="M34" s="110" t="e">
        <f t="shared" si="28"/>
        <v>#DIV/0!</v>
      </c>
      <c r="N34" s="110" t="e">
        <f t="shared" si="28"/>
        <v>#DIV/0!</v>
      </c>
      <c r="O34" s="110" t="e">
        <f t="shared" si="28"/>
        <v>#DIV/0!</v>
      </c>
      <c r="P34" s="110" t="e">
        <f t="shared" si="28"/>
        <v>#DIV/0!</v>
      </c>
      <c r="Q34" s="110" t="e">
        <f t="shared" si="28"/>
        <v>#DIV/0!</v>
      </c>
      <c r="R34" s="110" t="e">
        <f t="shared" si="28"/>
        <v>#DIV/0!</v>
      </c>
      <c r="S34" s="110" t="e">
        <f t="shared" si="28"/>
        <v>#DIV/0!</v>
      </c>
      <c r="T34" s="110" t="e">
        <f t="shared" si="28"/>
        <v>#DIV/0!</v>
      </c>
      <c r="U34" s="110" t="e">
        <f t="shared" si="28"/>
        <v>#DIV/0!</v>
      </c>
      <c r="V34" s="110" t="e">
        <f t="shared" si="28"/>
        <v>#DIV/0!</v>
      </c>
      <c r="W34" s="110" t="e">
        <f t="shared" si="28"/>
        <v>#DIV/0!</v>
      </c>
      <c r="X34" s="110" t="e">
        <f t="shared" si="28"/>
        <v>#DIV/0!</v>
      </c>
      <c r="Y34" s="110" t="e">
        <f t="shared" si="28"/>
        <v>#DIV/0!</v>
      </c>
      <c r="Z34" s="110" t="e">
        <f t="shared" si="28"/>
        <v>#DIV/0!</v>
      </c>
      <c r="AA34" s="110" t="e">
        <f t="shared" si="28"/>
        <v>#DIV/0!</v>
      </c>
      <c r="AB34" s="110" t="e">
        <f t="shared" si="28"/>
        <v>#DIV/0!</v>
      </c>
      <c r="AC34" s="110" t="e">
        <f t="shared" si="28"/>
        <v>#DIV/0!</v>
      </c>
      <c r="AD34" s="110" t="e">
        <f t="shared" si="28"/>
        <v>#DIV/0!</v>
      </c>
      <c r="AE34" s="110" t="e">
        <f t="shared" si="28"/>
        <v>#DIV/0!</v>
      </c>
      <c r="AF34" s="110" t="e">
        <f t="shared" si="28"/>
        <v>#DIV/0!</v>
      </c>
      <c r="AG34" s="110" t="e">
        <f t="shared" si="28"/>
        <v>#DIV/0!</v>
      </c>
      <c r="AH34" s="110" t="e">
        <f t="shared" si="28"/>
        <v>#DIV/0!</v>
      </c>
      <c r="AI34" s="110" t="e">
        <f t="shared" si="28"/>
        <v>#DIV/0!</v>
      </c>
      <c r="AJ34" s="110" t="e">
        <f t="shared" si="28"/>
        <v>#DIV/0!</v>
      </c>
      <c r="AK34" s="110" t="e">
        <f t="shared" si="28"/>
        <v>#DIV/0!</v>
      </c>
      <c r="AL34" s="110" t="e">
        <f t="shared" si="28"/>
        <v>#DIV/0!</v>
      </c>
      <c r="AM34" s="110" t="e">
        <f t="shared" si="28"/>
        <v>#DIV/0!</v>
      </c>
      <c r="AN34" s="110" t="e">
        <f t="shared" si="28"/>
        <v>#DIV/0!</v>
      </c>
      <c r="AO34" s="110" t="e">
        <f t="shared" si="28"/>
        <v>#DIV/0!</v>
      </c>
      <c r="AP34" s="110" t="e">
        <f t="shared" si="28"/>
        <v>#DIV/0!</v>
      </c>
      <c r="AQ34" s="110" t="e">
        <f t="shared" si="28"/>
        <v>#DIV/0!</v>
      </c>
      <c r="AR34" s="110" t="e">
        <f t="shared" si="28"/>
        <v>#DIV/0!</v>
      </c>
      <c r="AS34" s="110" t="e">
        <f t="shared" si="28"/>
        <v>#DIV/0!</v>
      </c>
      <c r="AT34" s="110" t="e">
        <f t="shared" si="28"/>
        <v>#DIV/0!</v>
      </c>
      <c r="AU34" s="110" t="e">
        <f t="shared" si="28"/>
        <v>#DIV/0!</v>
      </c>
      <c r="AV34" s="110" t="e">
        <f t="shared" si="28"/>
        <v>#DIV/0!</v>
      </c>
      <c r="AW34" s="110" t="e">
        <f t="shared" si="28"/>
        <v>#DIV/0!</v>
      </c>
      <c r="AX34" s="110" t="e">
        <f t="shared" si="28"/>
        <v>#DIV/0!</v>
      </c>
      <c r="AY34" s="110" t="e">
        <f t="shared" si="28"/>
        <v>#DIV/0!</v>
      </c>
      <c r="AZ34" s="110" t="e">
        <f t="shared" si="28"/>
        <v>#DIV/0!</v>
      </c>
      <c r="BA34" s="110" t="e">
        <f t="shared" si="28"/>
        <v>#DIV/0!</v>
      </c>
      <c r="BB34" s="110" t="e">
        <f t="shared" si="28"/>
        <v>#DIV/0!</v>
      </c>
      <c r="BC34" s="110" t="e">
        <f t="shared" si="28"/>
        <v>#DIV/0!</v>
      </c>
      <c r="BD34" s="110" t="e">
        <f t="shared" si="28"/>
        <v>#DIV/0!</v>
      </c>
      <c r="BE34" s="110" t="e">
        <f t="shared" si="28"/>
        <v>#DIV/0!</v>
      </c>
      <c r="BF34" s="110" t="e">
        <f t="shared" si="28"/>
        <v>#DIV/0!</v>
      </c>
      <c r="BG34" s="110" t="e">
        <f t="shared" si="28"/>
        <v>#DIV/0!</v>
      </c>
      <c r="BH34" s="110" t="e">
        <f t="shared" si="28"/>
        <v>#DIV/0!</v>
      </c>
      <c r="BI34" s="110" t="e">
        <f t="shared" si="28"/>
        <v>#DIV/0!</v>
      </c>
      <c r="BJ34" s="110" t="e">
        <f t="shared" si="28"/>
        <v>#DIV/0!</v>
      </c>
      <c r="BK34" s="110" t="e">
        <f t="shared" si="28"/>
        <v>#DIV/0!</v>
      </c>
      <c r="BL34" s="110" t="e">
        <f t="shared" si="28"/>
        <v>#DIV/0!</v>
      </c>
      <c r="BM34" s="110" t="e">
        <f t="shared" si="28"/>
        <v>#DIV/0!</v>
      </c>
      <c r="BN34" s="110" t="e">
        <f t="shared" si="28"/>
        <v>#DIV/0!</v>
      </c>
      <c r="BO34" s="110" t="e">
        <f t="shared" si="28"/>
        <v>#DIV/0!</v>
      </c>
      <c r="BP34" s="110" t="e">
        <f t="shared" si="28"/>
        <v>#DIV/0!</v>
      </c>
      <c r="BQ34" s="110" t="e">
        <f t="shared" si="28"/>
        <v>#DIV/0!</v>
      </c>
      <c r="BR34" s="110" t="e">
        <f t="shared" ref="BR34:CK34" si="29">(BR10-BV10)/BV10</f>
        <v>#DIV/0!</v>
      </c>
      <c r="BS34" s="110" t="e">
        <f t="shared" si="29"/>
        <v>#DIV/0!</v>
      </c>
      <c r="BT34" s="110" t="e">
        <f t="shared" si="29"/>
        <v>#DIV/0!</v>
      </c>
      <c r="BU34" s="110" t="e">
        <f t="shared" si="29"/>
        <v>#DIV/0!</v>
      </c>
      <c r="BV34" s="110" t="e">
        <f t="shared" si="29"/>
        <v>#DIV/0!</v>
      </c>
      <c r="BW34" s="110" t="e">
        <f t="shared" si="29"/>
        <v>#DIV/0!</v>
      </c>
      <c r="BX34" s="110" t="e">
        <f t="shared" si="29"/>
        <v>#DIV/0!</v>
      </c>
      <c r="BY34" s="110" t="e">
        <f t="shared" si="29"/>
        <v>#DIV/0!</v>
      </c>
      <c r="BZ34" s="110" t="e">
        <f t="shared" si="29"/>
        <v>#DIV/0!</v>
      </c>
      <c r="CA34" s="110" t="e">
        <f t="shared" si="29"/>
        <v>#DIV/0!</v>
      </c>
      <c r="CB34" s="110" t="e">
        <f t="shared" si="29"/>
        <v>#DIV/0!</v>
      </c>
      <c r="CC34" s="110" t="e">
        <f t="shared" si="29"/>
        <v>#DIV/0!</v>
      </c>
      <c r="CD34" s="110" t="e">
        <f t="shared" si="29"/>
        <v>#DIV/0!</v>
      </c>
      <c r="CE34" s="110" t="e">
        <f t="shared" si="29"/>
        <v>#DIV/0!</v>
      </c>
      <c r="CF34" s="110" t="e">
        <f t="shared" si="29"/>
        <v>#DIV/0!</v>
      </c>
      <c r="CG34" s="110" t="e">
        <f t="shared" si="29"/>
        <v>#DIV/0!</v>
      </c>
      <c r="CH34" s="110" t="e">
        <f t="shared" si="29"/>
        <v>#DIV/0!</v>
      </c>
      <c r="CI34" s="110" t="e">
        <f t="shared" si="29"/>
        <v>#DIV/0!</v>
      </c>
      <c r="CJ34" s="110" t="e">
        <f t="shared" si="29"/>
        <v>#DIV/0!</v>
      </c>
      <c r="CK34" s="110" t="e">
        <f t="shared" si="29"/>
        <v>#DIV/0!</v>
      </c>
    </row>
    <row r="35" spans="1:89" s="110" customFormat="1">
      <c r="A35" s="147" t="s">
        <v>571</v>
      </c>
      <c r="E35" s="110" t="e">
        <f>E10/E12</f>
        <v>#DIV/0!</v>
      </c>
      <c r="F35" s="110" t="e">
        <f t="shared" ref="F35:BQ35" si="30">F10/F12</f>
        <v>#DIV/0!</v>
      </c>
      <c r="G35" s="110" t="e">
        <f t="shared" si="30"/>
        <v>#DIV/0!</v>
      </c>
      <c r="H35" s="110" t="e">
        <f t="shared" si="30"/>
        <v>#DIV/0!</v>
      </c>
      <c r="I35" s="110" t="e">
        <f t="shared" si="30"/>
        <v>#DIV/0!</v>
      </c>
      <c r="J35" s="110" t="e">
        <f t="shared" si="30"/>
        <v>#DIV/0!</v>
      </c>
      <c r="K35" s="110" t="e">
        <f t="shared" si="30"/>
        <v>#DIV/0!</v>
      </c>
      <c r="L35" s="110" t="e">
        <f t="shared" si="30"/>
        <v>#DIV/0!</v>
      </c>
      <c r="M35" s="110" t="e">
        <f t="shared" si="30"/>
        <v>#DIV/0!</v>
      </c>
      <c r="N35" s="110" t="e">
        <f t="shared" si="30"/>
        <v>#DIV/0!</v>
      </c>
      <c r="O35" s="110" t="e">
        <f t="shared" si="30"/>
        <v>#DIV/0!</v>
      </c>
      <c r="P35" s="110" t="e">
        <f t="shared" si="30"/>
        <v>#DIV/0!</v>
      </c>
      <c r="Q35" s="110" t="e">
        <f t="shared" si="30"/>
        <v>#DIV/0!</v>
      </c>
      <c r="R35" s="110" t="e">
        <f t="shared" si="30"/>
        <v>#DIV/0!</v>
      </c>
      <c r="S35" s="110" t="e">
        <f t="shared" si="30"/>
        <v>#DIV/0!</v>
      </c>
      <c r="T35" s="110" t="e">
        <f t="shared" si="30"/>
        <v>#DIV/0!</v>
      </c>
      <c r="U35" s="110" t="e">
        <f t="shared" si="30"/>
        <v>#DIV/0!</v>
      </c>
      <c r="V35" s="110" t="e">
        <f t="shared" si="30"/>
        <v>#DIV/0!</v>
      </c>
      <c r="W35" s="110" t="e">
        <f t="shared" si="30"/>
        <v>#DIV/0!</v>
      </c>
      <c r="X35" s="110" t="e">
        <f t="shared" si="30"/>
        <v>#DIV/0!</v>
      </c>
      <c r="Y35" s="110" t="e">
        <f t="shared" si="30"/>
        <v>#DIV/0!</v>
      </c>
      <c r="Z35" s="110" t="e">
        <f t="shared" si="30"/>
        <v>#DIV/0!</v>
      </c>
      <c r="AA35" s="110" t="e">
        <f t="shared" si="30"/>
        <v>#DIV/0!</v>
      </c>
      <c r="AB35" s="110" t="e">
        <f t="shared" si="30"/>
        <v>#DIV/0!</v>
      </c>
      <c r="AC35" s="110" t="e">
        <f t="shared" si="30"/>
        <v>#DIV/0!</v>
      </c>
      <c r="AD35" s="110" t="e">
        <f t="shared" si="30"/>
        <v>#DIV/0!</v>
      </c>
      <c r="AE35" s="110" t="e">
        <f t="shared" si="30"/>
        <v>#DIV/0!</v>
      </c>
      <c r="AF35" s="110" t="e">
        <f t="shared" si="30"/>
        <v>#DIV/0!</v>
      </c>
      <c r="AG35" s="110" t="e">
        <f t="shared" si="30"/>
        <v>#DIV/0!</v>
      </c>
      <c r="AH35" s="110" t="e">
        <f t="shared" si="30"/>
        <v>#DIV/0!</v>
      </c>
      <c r="AI35" s="110" t="e">
        <f t="shared" si="30"/>
        <v>#DIV/0!</v>
      </c>
      <c r="AJ35" s="110" t="e">
        <f t="shared" si="30"/>
        <v>#DIV/0!</v>
      </c>
      <c r="AK35" s="110" t="e">
        <f t="shared" si="30"/>
        <v>#DIV/0!</v>
      </c>
      <c r="AL35" s="110" t="e">
        <f t="shared" si="30"/>
        <v>#DIV/0!</v>
      </c>
      <c r="AM35" s="110" t="e">
        <f t="shared" si="30"/>
        <v>#DIV/0!</v>
      </c>
      <c r="AN35" s="110" t="e">
        <f t="shared" si="30"/>
        <v>#DIV/0!</v>
      </c>
      <c r="AO35" s="110" t="e">
        <f t="shared" si="30"/>
        <v>#DIV/0!</v>
      </c>
      <c r="AP35" s="110" t="e">
        <f t="shared" si="30"/>
        <v>#DIV/0!</v>
      </c>
      <c r="AQ35" s="110" t="e">
        <f t="shared" si="30"/>
        <v>#DIV/0!</v>
      </c>
      <c r="AR35" s="110" t="e">
        <f t="shared" si="30"/>
        <v>#DIV/0!</v>
      </c>
      <c r="AS35" s="110" t="e">
        <f t="shared" si="30"/>
        <v>#DIV/0!</v>
      </c>
      <c r="AT35" s="110" t="e">
        <f t="shared" si="30"/>
        <v>#DIV/0!</v>
      </c>
      <c r="AU35" s="110" t="e">
        <f t="shared" si="30"/>
        <v>#DIV/0!</v>
      </c>
      <c r="AV35" s="110" t="e">
        <f t="shared" si="30"/>
        <v>#DIV/0!</v>
      </c>
      <c r="AW35" s="110" t="e">
        <f t="shared" si="30"/>
        <v>#DIV/0!</v>
      </c>
      <c r="AX35" s="110" t="e">
        <f t="shared" si="30"/>
        <v>#DIV/0!</v>
      </c>
      <c r="AY35" s="110" t="e">
        <f t="shared" si="30"/>
        <v>#DIV/0!</v>
      </c>
      <c r="AZ35" s="110" t="e">
        <f t="shared" si="30"/>
        <v>#DIV/0!</v>
      </c>
      <c r="BA35" s="110" t="e">
        <f t="shared" si="30"/>
        <v>#DIV/0!</v>
      </c>
      <c r="BB35" s="110" t="e">
        <f t="shared" si="30"/>
        <v>#DIV/0!</v>
      </c>
      <c r="BC35" s="110" t="e">
        <f t="shared" si="30"/>
        <v>#DIV/0!</v>
      </c>
      <c r="BD35" s="110" t="e">
        <f t="shared" si="30"/>
        <v>#DIV/0!</v>
      </c>
      <c r="BE35" s="110" t="e">
        <f t="shared" si="30"/>
        <v>#DIV/0!</v>
      </c>
      <c r="BF35" s="110" t="e">
        <f t="shared" si="30"/>
        <v>#DIV/0!</v>
      </c>
      <c r="BG35" s="110" t="e">
        <f t="shared" si="30"/>
        <v>#DIV/0!</v>
      </c>
      <c r="BH35" s="110" t="e">
        <f t="shared" si="30"/>
        <v>#DIV/0!</v>
      </c>
      <c r="BI35" s="110" t="e">
        <f t="shared" si="30"/>
        <v>#DIV/0!</v>
      </c>
      <c r="BJ35" s="110" t="e">
        <f t="shared" si="30"/>
        <v>#DIV/0!</v>
      </c>
      <c r="BK35" s="110" t="e">
        <f t="shared" si="30"/>
        <v>#DIV/0!</v>
      </c>
      <c r="BL35" s="110" t="e">
        <f t="shared" si="30"/>
        <v>#DIV/0!</v>
      </c>
      <c r="BM35" s="110" t="e">
        <f t="shared" si="30"/>
        <v>#DIV/0!</v>
      </c>
      <c r="BN35" s="110" t="e">
        <f t="shared" si="30"/>
        <v>#DIV/0!</v>
      </c>
      <c r="BO35" s="110" t="e">
        <f t="shared" si="30"/>
        <v>#DIV/0!</v>
      </c>
      <c r="BP35" s="110" t="e">
        <f t="shared" si="30"/>
        <v>#DIV/0!</v>
      </c>
      <c r="BQ35" s="110" t="e">
        <f t="shared" si="30"/>
        <v>#DIV/0!</v>
      </c>
      <c r="BR35" s="110" t="e">
        <f t="shared" ref="BR35:CK35" si="31">BR10/BR12</f>
        <v>#DIV/0!</v>
      </c>
      <c r="BS35" s="110" t="e">
        <f t="shared" si="31"/>
        <v>#DIV/0!</v>
      </c>
      <c r="BT35" s="110" t="e">
        <f t="shared" si="31"/>
        <v>#DIV/0!</v>
      </c>
      <c r="BU35" s="110" t="e">
        <f t="shared" si="31"/>
        <v>#DIV/0!</v>
      </c>
      <c r="BV35" s="110" t="e">
        <f t="shared" si="31"/>
        <v>#DIV/0!</v>
      </c>
      <c r="BW35" s="110" t="e">
        <f t="shared" si="31"/>
        <v>#DIV/0!</v>
      </c>
      <c r="BX35" s="110" t="e">
        <f t="shared" si="31"/>
        <v>#DIV/0!</v>
      </c>
      <c r="BY35" s="110" t="e">
        <f t="shared" si="31"/>
        <v>#DIV/0!</v>
      </c>
      <c r="BZ35" s="110" t="e">
        <f t="shared" si="31"/>
        <v>#DIV/0!</v>
      </c>
      <c r="CA35" s="110" t="e">
        <f t="shared" si="31"/>
        <v>#DIV/0!</v>
      </c>
      <c r="CB35" s="110" t="e">
        <f t="shared" si="31"/>
        <v>#DIV/0!</v>
      </c>
      <c r="CC35" s="110" t="e">
        <f t="shared" si="31"/>
        <v>#DIV/0!</v>
      </c>
      <c r="CD35" s="110" t="e">
        <f t="shared" si="31"/>
        <v>#DIV/0!</v>
      </c>
      <c r="CE35" s="110" t="e">
        <f t="shared" si="31"/>
        <v>#DIV/0!</v>
      </c>
      <c r="CF35" s="110" t="e">
        <f t="shared" si="31"/>
        <v>#DIV/0!</v>
      </c>
      <c r="CG35" s="110" t="e">
        <f t="shared" si="31"/>
        <v>#DIV/0!</v>
      </c>
      <c r="CH35" s="110" t="e">
        <f t="shared" si="31"/>
        <v>#DIV/0!</v>
      </c>
      <c r="CI35" s="110" t="e">
        <f t="shared" si="31"/>
        <v>#DIV/0!</v>
      </c>
      <c r="CJ35" s="110" t="e">
        <f t="shared" si="31"/>
        <v>#DIV/0!</v>
      </c>
      <c r="CK35" s="110" t="e">
        <f t="shared" si="31"/>
        <v>#DIV/0!</v>
      </c>
    </row>
    <row r="36" spans="1:89" s="110" customFormat="1">
      <c r="A36" s="147" t="s">
        <v>568</v>
      </c>
      <c r="E36" s="110" t="e">
        <f>(E11-I11)/I11</f>
        <v>#DIV/0!</v>
      </c>
      <c r="F36" s="110" t="e">
        <f t="shared" ref="F36:BQ36" si="32">(F11-J11)/J11</f>
        <v>#DIV/0!</v>
      </c>
      <c r="G36" s="110" t="e">
        <f t="shared" si="32"/>
        <v>#DIV/0!</v>
      </c>
      <c r="H36" s="110" t="e">
        <f t="shared" si="32"/>
        <v>#DIV/0!</v>
      </c>
      <c r="I36" s="110" t="e">
        <f t="shared" si="32"/>
        <v>#DIV/0!</v>
      </c>
      <c r="J36" s="110" t="e">
        <f t="shared" si="32"/>
        <v>#DIV/0!</v>
      </c>
      <c r="K36" s="110" t="e">
        <f t="shared" si="32"/>
        <v>#DIV/0!</v>
      </c>
      <c r="L36" s="110" t="e">
        <f t="shared" si="32"/>
        <v>#DIV/0!</v>
      </c>
      <c r="M36" s="110" t="e">
        <f t="shared" si="32"/>
        <v>#DIV/0!</v>
      </c>
      <c r="N36" s="110" t="e">
        <f t="shared" si="32"/>
        <v>#DIV/0!</v>
      </c>
      <c r="O36" s="110" t="e">
        <f t="shared" si="32"/>
        <v>#DIV/0!</v>
      </c>
      <c r="P36" s="110" t="e">
        <f t="shared" si="32"/>
        <v>#DIV/0!</v>
      </c>
      <c r="Q36" s="110" t="e">
        <f t="shared" si="32"/>
        <v>#DIV/0!</v>
      </c>
      <c r="R36" s="110" t="e">
        <f t="shared" si="32"/>
        <v>#DIV/0!</v>
      </c>
      <c r="S36" s="110" t="e">
        <f t="shared" si="32"/>
        <v>#DIV/0!</v>
      </c>
      <c r="T36" s="110" t="e">
        <f t="shared" si="32"/>
        <v>#DIV/0!</v>
      </c>
      <c r="U36" s="110" t="e">
        <f t="shared" si="32"/>
        <v>#DIV/0!</v>
      </c>
      <c r="V36" s="110" t="e">
        <f t="shared" si="32"/>
        <v>#DIV/0!</v>
      </c>
      <c r="W36" s="110" t="e">
        <f t="shared" si="32"/>
        <v>#DIV/0!</v>
      </c>
      <c r="X36" s="110" t="e">
        <f t="shared" si="32"/>
        <v>#DIV/0!</v>
      </c>
      <c r="Y36" s="110" t="e">
        <f t="shared" si="32"/>
        <v>#DIV/0!</v>
      </c>
      <c r="Z36" s="110" t="e">
        <f t="shared" si="32"/>
        <v>#DIV/0!</v>
      </c>
      <c r="AA36" s="110" t="e">
        <f t="shared" si="32"/>
        <v>#DIV/0!</v>
      </c>
      <c r="AB36" s="110" t="e">
        <f t="shared" si="32"/>
        <v>#DIV/0!</v>
      </c>
      <c r="AC36" s="110" t="e">
        <f t="shared" si="32"/>
        <v>#DIV/0!</v>
      </c>
      <c r="AD36" s="110" t="e">
        <f t="shared" si="32"/>
        <v>#DIV/0!</v>
      </c>
      <c r="AE36" s="110" t="e">
        <f t="shared" si="32"/>
        <v>#DIV/0!</v>
      </c>
      <c r="AF36" s="110" t="e">
        <f t="shared" si="32"/>
        <v>#DIV/0!</v>
      </c>
      <c r="AG36" s="110" t="e">
        <f t="shared" si="32"/>
        <v>#DIV/0!</v>
      </c>
      <c r="AH36" s="110" t="e">
        <f t="shared" si="32"/>
        <v>#DIV/0!</v>
      </c>
      <c r="AI36" s="110" t="e">
        <f t="shared" si="32"/>
        <v>#DIV/0!</v>
      </c>
      <c r="AJ36" s="110" t="e">
        <f t="shared" si="32"/>
        <v>#DIV/0!</v>
      </c>
      <c r="AK36" s="110" t="e">
        <f t="shared" si="32"/>
        <v>#DIV/0!</v>
      </c>
      <c r="AL36" s="110" t="e">
        <f t="shared" si="32"/>
        <v>#DIV/0!</v>
      </c>
      <c r="AM36" s="110" t="e">
        <f t="shared" si="32"/>
        <v>#DIV/0!</v>
      </c>
      <c r="AN36" s="110" t="e">
        <f t="shared" si="32"/>
        <v>#DIV/0!</v>
      </c>
      <c r="AO36" s="110" t="e">
        <f t="shared" si="32"/>
        <v>#DIV/0!</v>
      </c>
      <c r="AP36" s="110" t="e">
        <f t="shared" si="32"/>
        <v>#DIV/0!</v>
      </c>
      <c r="AQ36" s="110" t="e">
        <f t="shared" si="32"/>
        <v>#DIV/0!</v>
      </c>
      <c r="AR36" s="110" t="e">
        <f t="shared" si="32"/>
        <v>#DIV/0!</v>
      </c>
      <c r="AS36" s="110" t="e">
        <f t="shared" si="32"/>
        <v>#DIV/0!</v>
      </c>
      <c r="AT36" s="110" t="e">
        <f t="shared" si="32"/>
        <v>#DIV/0!</v>
      </c>
      <c r="AU36" s="110" t="e">
        <f t="shared" si="32"/>
        <v>#DIV/0!</v>
      </c>
      <c r="AV36" s="110" t="e">
        <f t="shared" si="32"/>
        <v>#DIV/0!</v>
      </c>
      <c r="AW36" s="110" t="e">
        <f t="shared" si="32"/>
        <v>#DIV/0!</v>
      </c>
      <c r="AX36" s="110" t="e">
        <f t="shared" si="32"/>
        <v>#DIV/0!</v>
      </c>
      <c r="AY36" s="110" t="e">
        <f t="shared" si="32"/>
        <v>#DIV/0!</v>
      </c>
      <c r="AZ36" s="110" t="e">
        <f t="shared" si="32"/>
        <v>#DIV/0!</v>
      </c>
      <c r="BA36" s="110" t="e">
        <f t="shared" si="32"/>
        <v>#DIV/0!</v>
      </c>
      <c r="BB36" s="110" t="e">
        <f t="shared" si="32"/>
        <v>#DIV/0!</v>
      </c>
      <c r="BC36" s="110" t="e">
        <f t="shared" si="32"/>
        <v>#DIV/0!</v>
      </c>
      <c r="BD36" s="110" t="e">
        <f t="shared" si="32"/>
        <v>#DIV/0!</v>
      </c>
      <c r="BE36" s="110" t="e">
        <f t="shared" si="32"/>
        <v>#DIV/0!</v>
      </c>
      <c r="BF36" s="110" t="e">
        <f t="shared" si="32"/>
        <v>#DIV/0!</v>
      </c>
      <c r="BG36" s="110" t="e">
        <f t="shared" si="32"/>
        <v>#DIV/0!</v>
      </c>
      <c r="BH36" s="110" t="e">
        <f t="shared" si="32"/>
        <v>#DIV/0!</v>
      </c>
      <c r="BI36" s="110" t="e">
        <f t="shared" si="32"/>
        <v>#DIV/0!</v>
      </c>
      <c r="BJ36" s="110" t="e">
        <f t="shared" si="32"/>
        <v>#DIV/0!</v>
      </c>
      <c r="BK36" s="110" t="e">
        <f t="shared" si="32"/>
        <v>#DIV/0!</v>
      </c>
      <c r="BL36" s="110" t="e">
        <f t="shared" si="32"/>
        <v>#DIV/0!</v>
      </c>
      <c r="BM36" s="110" t="e">
        <f t="shared" si="32"/>
        <v>#DIV/0!</v>
      </c>
      <c r="BN36" s="110" t="e">
        <f t="shared" si="32"/>
        <v>#DIV/0!</v>
      </c>
      <c r="BO36" s="110" t="e">
        <f t="shared" si="32"/>
        <v>#DIV/0!</v>
      </c>
      <c r="BP36" s="110" t="e">
        <f t="shared" si="32"/>
        <v>#DIV/0!</v>
      </c>
      <c r="BQ36" s="110" t="e">
        <f t="shared" si="32"/>
        <v>#DIV/0!</v>
      </c>
      <c r="BR36" s="110" t="e">
        <f t="shared" ref="BR36:CK36" si="33">(BR11-BV11)/BV11</f>
        <v>#DIV/0!</v>
      </c>
      <c r="BS36" s="110" t="e">
        <f t="shared" si="33"/>
        <v>#DIV/0!</v>
      </c>
      <c r="BT36" s="110" t="e">
        <f t="shared" si="33"/>
        <v>#DIV/0!</v>
      </c>
      <c r="BU36" s="110" t="e">
        <f t="shared" si="33"/>
        <v>#DIV/0!</v>
      </c>
      <c r="BV36" s="110" t="e">
        <f t="shared" si="33"/>
        <v>#DIV/0!</v>
      </c>
      <c r="BW36" s="110" t="e">
        <f t="shared" si="33"/>
        <v>#DIV/0!</v>
      </c>
      <c r="BX36" s="110" t="e">
        <f t="shared" si="33"/>
        <v>#DIV/0!</v>
      </c>
      <c r="BY36" s="110" t="e">
        <f t="shared" si="33"/>
        <v>#DIV/0!</v>
      </c>
      <c r="BZ36" s="110" t="e">
        <f t="shared" si="33"/>
        <v>#DIV/0!</v>
      </c>
      <c r="CA36" s="110" t="e">
        <f t="shared" si="33"/>
        <v>#DIV/0!</v>
      </c>
      <c r="CB36" s="110" t="e">
        <f t="shared" si="33"/>
        <v>#DIV/0!</v>
      </c>
      <c r="CC36" s="110" t="e">
        <f t="shared" si="33"/>
        <v>#DIV/0!</v>
      </c>
      <c r="CD36" s="110" t="e">
        <f t="shared" si="33"/>
        <v>#DIV/0!</v>
      </c>
      <c r="CE36" s="110" t="e">
        <f t="shared" si="33"/>
        <v>#DIV/0!</v>
      </c>
      <c r="CF36" s="110" t="e">
        <f t="shared" si="33"/>
        <v>#DIV/0!</v>
      </c>
      <c r="CG36" s="110" t="e">
        <f t="shared" si="33"/>
        <v>#DIV/0!</v>
      </c>
      <c r="CH36" s="110" t="e">
        <f t="shared" si="33"/>
        <v>#DIV/0!</v>
      </c>
      <c r="CI36" s="110" t="e">
        <f t="shared" si="33"/>
        <v>#DIV/0!</v>
      </c>
      <c r="CJ36" s="110" t="e">
        <f t="shared" si="33"/>
        <v>#DIV/0!</v>
      </c>
      <c r="CK36" s="110" t="e">
        <f t="shared" si="33"/>
        <v>#DIV/0!</v>
      </c>
    </row>
    <row r="37" spans="1:89" s="112" customFormat="1">
      <c r="A37" s="147" t="s">
        <v>572</v>
      </c>
      <c r="B37" s="110"/>
      <c r="C37" s="110"/>
      <c r="D37" s="110"/>
      <c r="E37" s="110" t="e">
        <f>E11/E12</f>
        <v>#DIV/0!</v>
      </c>
      <c r="F37" s="110" t="e">
        <f t="shared" ref="F37:BQ37" si="34">F11/F12</f>
        <v>#DIV/0!</v>
      </c>
      <c r="G37" s="110" t="e">
        <f t="shared" si="34"/>
        <v>#DIV/0!</v>
      </c>
      <c r="H37" s="110" t="e">
        <f t="shared" si="34"/>
        <v>#DIV/0!</v>
      </c>
      <c r="I37" s="110" t="e">
        <f t="shared" si="34"/>
        <v>#DIV/0!</v>
      </c>
      <c r="J37" s="110" t="e">
        <f t="shared" si="34"/>
        <v>#DIV/0!</v>
      </c>
      <c r="K37" s="110" t="e">
        <f t="shared" si="34"/>
        <v>#DIV/0!</v>
      </c>
      <c r="L37" s="110" t="e">
        <f t="shared" si="34"/>
        <v>#DIV/0!</v>
      </c>
      <c r="M37" s="110" t="e">
        <f t="shared" si="34"/>
        <v>#DIV/0!</v>
      </c>
      <c r="N37" s="110" t="e">
        <f t="shared" si="34"/>
        <v>#DIV/0!</v>
      </c>
      <c r="O37" s="112" t="e">
        <f t="shared" si="34"/>
        <v>#DIV/0!</v>
      </c>
      <c r="P37" s="112" t="e">
        <f t="shared" si="34"/>
        <v>#DIV/0!</v>
      </c>
      <c r="Q37" s="112" t="e">
        <f t="shared" si="34"/>
        <v>#DIV/0!</v>
      </c>
      <c r="R37" s="112" t="e">
        <f t="shared" si="34"/>
        <v>#DIV/0!</v>
      </c>
      <c r="S37" s="112" t="e">
        <f t="shared" si="34"/>
        <v>#DIV/0!</v>
      </c>
      <c r="T37" s="112" t="e">
        <f t="shared" si="34"/>
        <v>#DIV/0!</v>
      </c>
      <c r="U37" s="112" t="e">
        <f t="shared" si="34"/>
        <v>#DIV/0!</v>
      </c>
      <c r="V37" s="112" t="e">
        <f t="shared" si="34"/>
        <v>#DIV/0!</v>
      </c>
      <c r="W37" s="112" t="e">
        <f t="shared" si="34"/>
        <v>#DIV/0!</v>
      </c>
      <c r="X37" s="112" t="e">
        <f t="shared" si="34"/>
        <v>#DIV/0!</v>
      </c>
      <c r="Y37" s="112" t="e">
        <f t="shared" si="34"/>
        <v>#DIV/0!</v>
      </c>
      <c r="Z37" s="112" t="e">
        <f t="shared" si="34"/>
        <v>#DIV/0!</v>
      </c>
      <c r="AA37" s="112" t="e">
        <f t="shared" si="34"/>
        <v>#DIV/0!</v>
      </c>
      <c r="AB37" s="112" t="e">
        <f t="shared" si="34"/>
        <v>#DIV/0!</v>
      </c>
      <c r="AC37" s="112" t="e">
        <f t="shared" si="34"/>
        <v>#DIV/0!</v>
      </c>
      <c r="AD37" s="112" t="e">
        <f t="shared" si="34"/>
        <v>#DIV/0!</v>
      </c>
      <c r="AE37" s="112" t="e">
        <f t="shared" si="34"/>
        <v>#DIV/0!</v>
      </c>
      <c r="AF37" s="112" t="e">
        <f t="shared" si="34"/>
        <v>#DIV/0!</v>
      </c>
      <c r="AG37" s="112" t="e">
        <f t="shared" si="34"/>
        <v>#DIV/0!</v>
      </c>
      <c r="AH37" s="112" t="e">
        <f t="shared" si="34"/>
        <v>#DIV/0!</v>
      </c>
      <c r="AI37" s="112" t="e">
        <f t="shared" si="34"/>
        <v>#DIV/0!</v>
      </c>
      <c r="AJ37" s="112" t="e">
        <f t="shared" si="34"/>
        <v>#DIV/0!</v>
      </c>
      <c r="AK37" s="112" t="e">
        <f t="shared" si="34"/>
        <v>#DIV/0!</v>
      </c>
      <c r="AL37" s="112" t="e">
        <f t="shared" si="34"/>
        <v>#DIV/0!</v>
      </c>
      <c r="AM37" s="112" t="e">
        <f t="shared" si="34"/>
        <v>#DIV/0!</v>
      </c>
      <c r="AN37" s="112" t="e">
        <f t="shared" si="34"/>
        <v>#DIV/0!</v>
      </c>
      <c r="AO37" s="112" t="e">
        <f t="shared" si="34"/>
        <v>#DIV/0!</v>
      </c>
      <c r="AP37" s="112" t="e">
        <f t="shared" si="34"/>
        <v>#DIV/0!</v>
      </c>
      <c r="AQ37" s="112" t="e">
        <f t="shared" si="34"/>
        <v>#DIV/0!</v>
      </c>
      <c r="AR37" s="112" t="e">
        <f t="shared" si="34"/>
        <v>#DIV/0!</v>
      </c>
      <c r="AS37" s="112" t="e">
        <f t="shared" si="34"/>
        <v>#DIV/0!</v>
      </c>
      <c r="AT37" s="112" t="e">
        <f t="shared" si="34"/>
        <v>#DIV/0!</v>
      </c>
      <c r="AU37" s="112" t="e">
        <f t="shared" si="34"/>
        <v>#DIV/0!</v>
      </c>
      <c r="AV37" s="112" t="e">
        <f t="shared" si="34"/>
        <v>#DIV/0!</v>
      </c>
      <c r="AW37" s="112" t="e">
        <f t="shared" si="34"/>
        <v>#DIV/0!</v>
      </c>
      <c r="AX37" s="112" t="e">
        <f t="shared" si="34"/>
        <v>#DIV/0!</v>
      </c>
      <c r="AY37" s="112" t="e">
        <f t="shared" si="34"/>
        <v>#DIV/0!</v>
      </c>
      <c r="AZ37" s="112" t="e">
        <f t="shared" si="34"/>
        <v>#DIV/0!</v>
      </c>
      <c r="BA37" s="112" t="e">
        <f t="shared" si="34"/>
        <v>#DIV/0!</v>
      </c>
      <c r="BB37" s="112" t="e">
        <f t="shared" si="34"/>
        <v>#DIV/0!</v>
      </c>
      <c r="BC37" s="112" t="e">
        <f t="shared" si="34"/>
        <v>#DIV/0!</v>
      </c>
      <c r="BD37" s="112" t="e">
        <f t="shared" si="34"/>
        <v>#DIV/0!</v>
      </c>
      <c r="BE37" s="112" t="e">
        <f t="shared" si="34"/>
        <v>#DIV/0!</v>
      </c>
      <c r="BF37" s="112" t="e">
        <f t="shared" si="34"/>
        <v>#DIV/0!</v>
      </c>
      <c r="BG37" s="112" t="e">
        <f t="shared" si="34"/>
        <v>#DIV/0!</v>
      </c>
      <c r="BH37" s="112" t="e">
        <f t="shared" si="34"/>
        <v>#DIV/0!</v>
      </c>
      <c r="BI37" s="112" t="e">
        <f t="shared" si="34"/>
        <v>#DIV/0!</v>
      </c>
      <c r="BJ37" s="112" t="e">
        <f t="shared" si="34"/>
        <v>#DIV/0!</v>
      </c>
      <c r="BK37" s="112" t="e">
        <f t="shared" si="34"/>
        <v>#DIV/0!</v>
      </c>
      <c r="BL37" s="112" t="e">
        <f t="shared" si="34"/>
        <v>#DIV/0!</v>
      </c>
      <c r="BM37" s="112" t="e">
        <f t="shared" si="34"/>
        <v>#DIV/0!</v>
      </c>
      <c r="BN37" s="112" t="e">
        <f t="shared" si="34"/>
        <v>#DIV/0!</v>
      </c>
      <c r="BO37" s="112" t="e">
        <f t="shared" si="34"/>
        <v>#DIV/0!</v>
      </c>
      <c r="BP37" s="112" t="e">
        <f t="shared" si="34"/>
        <v>#DIV/0!</v>
      </c>
      <c r="BQ37" s="112" t="e">
        <f t="shared" si="34"/>
        <v>#DIV/0!</v>
      </c>
      <c r="BR37" s="112" t="e">
        <f t="shared" ref="BR37:CK37" si="35">BR11/BR12</f>
        <v>#DIV/0!</v>
      </c>
      <c r="BS37" s="112" t="e">
        <f t="shared" si="35"/>
        <v>#DIV/0!</v>
      </c>
      <c r="BT37" s="112" t="e">
        <f t="shared" si="35"/>
        <v>#DIV/0!</v>
      </c>
      <c r="BU37" s="112" t="e">
        <f t="shared" si="35"/>
        <v>#DIV/0!</v>
      </c>
      <c r="BV37" s="112" t="e">
        <f t="shared" si="35"/>
        <v>#DIV/0!</v>
      </c>
      <c r="BW37" s="112" t="e">
        <f t="shared" si="35"/>
        <v>#DIV/0!</v>
      </c>
      <c r="BX37" s="112" t="e">
        <f t="shared" si="35"/>
        <v>#DIV/0!</v>
      </c>
      <c r="BY37" s="112" t="e">
        <f t="shared" si="35"/>
        <v>#DIV/0!</v>
      </c>
      <c r="BZ37" s="112" t="e">
        <f t="shared" si="35"/>
        <v>#DIV/0!</v>
      </c>
      <c r="CA37" s="112" t="e">
        <f t="shared" si="35"/>
        <v>#DIV/0!</v>
      </c>
      <c r="CB37" s="112" t="e">
        <f t="shared" si="35"/>
        <v>#DIV/0!</v>
      </c>
      <c r="CC37" s="112" t="e">
        <f t="shared" si="35"/>
        <v>#DIV/0!</v>
      </c>
      <c r="CD37" s="112" t="e">
        <f t="shared" si="35"/>
        <v>#DIV/0!</v>
      </c>
      <c r="CE37" s="112" t="e">
        <f t="shared" si="35"/>
        <v>#DIV/0!</v>
      </c>
      <c r="CF37" s="112" t="e">
        <f t="shared" si="35"/>
        <v>#DIV/0!</v>
      </c>
      <c r="CG37" s="112" t="e">
        <f t="shared" si="35"/>
        <v>#DIV/0!</v>
      </c>
      <c r="CH37" s="112" t="e">
        <f t="shared" si="35"/>
        <v>#DIV/0!</v>
      </c>
      <c r="CI37" s="112" t="e">
        <f t="shared" si="35"/>
        <v>#DIV/0!</v>
      </c>
      <c r="CJ37" s="112" t="e">
        <f t="shared" si="35"/>
        <v>#DIV/0!</v>
      </c>
      <c r="CK37" s="112" t="e">
        <f t="shared" si="35"/>
        <v>#DIV/0!</v>
      </c>
    </row>
    <row r="38" spans="1:89" s="201" customFormat="1">
      <c r="A38" s="198" t="s">
        <v>650</v>
      </c>
      <c r="B38" s="199"/>
      <c r="C38" s="199"/>
      <c r="D38" s="199"/>
      <c r="E38" s="200">
        <f>E1</f>
        <v>43100</v>
      </c>
      <c r="F38" s="200">
        <f t="shared" ref="F38:N38" si="36">F1</f>
        <v>43008</v>
      </c>
      <c r="G38" s="200">
        <f t="shared" si="36"/>
        <v>42916</v>
      </c>
      <c r="H38" s="200">
        <f t="shared" si="36"/>
        <v>42825</v>
      </c>
      <c r="I38" s="200">
        <f t="shared" si="36"/>
        <v>42735</v>
      </c>
      <c r="J38" s="200">
        <f t="shared" si="36"/>
        <v>42643</v>
      </c>
      <c r="K38" s="200">
        <f t="shared" si="36"/>
        <v>42551</v>
      </c>
      <c r="L38" s="200">
        <f t="shared" si="36"/>
        <v>42369</v>
      </c>
      <c r="M38" s="200">
        <f t="shared" si="36"/>
        <v>42004</v>
      </c>
      <c r="N38" s="200">
        <f t="shared" si="36"/>
        <v>41639</v>
      </c>
    </row>
    <row r="39" spans="1:89">
      <c r="A39" s="196" t="s">
        <v>559</v>
      </c>
      <c r="B39" s="64"/>
      <c r="C39" s="64"/>
      <c r="D39" s="64"/>
      <c r="E39" s="90">
        <f>E2/E9</f>
        <v>0.6795429508655273</v>
      </c>
      <c r="F39" s="90">
        <f t="shared" ref="F39:N39" si="37">F2/F9</f>
        <v>0.16672192915768516</v>
      </c>
      <c r="G39" s="90">
        <f t="shared" si="37"/>
        <v>0.10066101365986993</v>
      </c>
      <c r="H39" s="90">
        <f t="shared" si="37"/>
        <v>0.14835368729386694</v>
      </c>
      <c r="I39" s="90">
        <f t="shared" si="37"/>
        <v>0.194438988207326</v>
      </c>
      <c r="J39" s="90">
        <f t="shared" si="37"/>
        <v>0.30501643188350824</v>
      </c>
      <c r="K39" s="90">
        <f t="shared" si="37"/>
        <v>0.30878054597984994</v>
      </c>
      <c r="L39" s="90">
        <f t="shared" si="37"/>
        <v>0.42123861096966575</v>
      </c>
      <c r="M39" s="90">
        <f t="shared" si="37"/>
        <v>0.55642444868945751</v>
      </c>
      <c r="N39" s="90">
        <f t="shared" si="37"/>
        <v>0.51688036315918651</v>
      </c>
    </row>
    <row r="40" spans="1:89">
      <c r="A40" s="196" t="s">
        <v>560</v>
      </c>
      <c r="B40" s="64"/>
      <c r="C40" s="64"/>
      <c r="D40" s="64"/>
      <c r="E40" s="90">
        <f>E3/E9</f>
        <v>0</v>
      </c>
      <c r="F40" s="90">
        <f t="shared" ref="F40:N40" si="38">F3/F9</f>
        <v>0</v>
      </c>
      <c r="G40" s="90">
        <f t="shared" si="38"/>
        <v>0</v>
      </c>
      <c r="H40" s="90">
        <f t="shared" si="38"/>
        <v>0</v>
      </c>
      <c r="I40" s="90">
        <f t="shared" si="38"/>
        <v>0</v>
      </c>
      <c r="J40" s="90">
        <f t="shared" si="38"/>
        <v>0</v>
      </c>
      <c r="K40" s="90">
        <f t="shared" si="38"/>
        <v>0</v>
      </c>
      <c r="L40" s="90">
        <f t="shared" si="38"/>
        <v>0</v>
      </c>
      <c r="M40" s="90">
        <f t="shared" si="38"/>
        <v>0</v>
      </c>
      <c r="N40" s="90">
        <f t="shared" si="38"/>
        <v>0</v>
      </c>
    </row>
    <row r="41" spans="1:89">
      <c r="A41" s="196" t="s">
        <v>565</v>
      </c>
      <c r="B41" s="64"/>
      <c r="C41" s="64"/>
      <c r="D41" s="64"/>
      <c r="E41" s="90">
        <f>E4/E9</f>
        <v>4.9786013607358993E-2</v>
      </c>
      <c r="F41" s="90">
        <f t="shared" ref="F41:N41" si="39">F4/F9</f>
        <v>0.55728343737425623</v>
      </c>
      <c r="G41" s="90">
        <f t="shared" si="39"/>
        <v>0.6877471011367734</v>
      </c>
      <c r="H41" s="90">
        <f t="shared" si="39"/>
        <v>0.64311246409094192</v>
      </c>
      <c r="I41" s="90">
        <f t="shared" si="39"/>
        <v>0.59577728378951778</v>
      </c>
      <c r="J41" s="90">
        <f t="shared" si="39"/>
        <v>0.31298864271946958</v>
      </c>
      <c r="K41" s="90">
        <f t="shared" si="39"/>
        <v>0.30964584743653106</v>
      </c>
      <c r="L41" s="90">
        <f t="shared" si="39"/>
        <v>0.20116187105530409</v>
      </c>
      <c r="M41" s="90">
        <f t="shared" si="39"/>
        <v>0.28086545496120657</v>
      </c>
      <c r="N41" s="90">
        <f t="shared" si="39"/>
        <v>0.29408271285377047</v>
      </c>
    </row>
    <row r="42" spans="1:89">
      <c r="A42" s="196" t="s">
        <v>336</v>
      </c>
      <c r="B42" s="64"/>
      <c r="C42" s="64"/>
      <c r="D42" s="64"/>
      <c r="E42" s="90">
        <f>E5/E9</f>
        <v>0.16069016626667595</v>
      </c>
      <c r="F42" s="90">
        <f t="shared" ref="F42:N42" si="40">F5/F9</f>
        <v>0.65630530385998509</v>
      </c>
      <c r="G42" s="90">
        <f t="shared" si="40"/>
        <v>0.78349720617399377</v>
      </c>
      <c r="H42" s="90">
        <f t="shared" si="40"/>
        <v>0.72004762007321221</v>
      </c>
      <c r="I42" s="90">
        <f t="shared" si="40"/>
        <v>0.70270030929940297</v>
      </c>
      <c r="J42" s="90">
        <f t="shared" si="40"/>
        <v>0.47669626485517147</v>
      </c>
      <c r="K42" s="90">
        <f t="shared" si="40"/>
        <v>0.48727005541781665</v>
      </c>
      <c r="L42" s="90">
        <f t="shared" si="40"/>
        <v>0.4420369147243679</v>
      </c>
      <c r="M42" s="90">
        <f t="shared" si="40"/>
        <v>0.44739738491341974</v>
      </c>
      <c r="N42" s="90">
        <f t="shared" si="40"/>
        <v>0.47761445884550907</v>
      </c>
    </row>
    <row r="43" spans="1:89">
      <c r="A43" s="196" t="s">
        <v>337</v>
      </c>
      <c r="B43" s="64"/>
      <c r="C43" s="64"/>
      <c r="D43" s="64"/>
      <c r="E43" s="90">
        <f>E6/E9</f>
        <v>0.11090415265931695</v>
      </c>
      <c r="F43" s="90">
        <f t="shared" ref="F43:N43" si="41">F6/F9</f>
        <v>9.902186648572886E-2</v>
      </c>
      <c r="G43" s="90">
        <f t="shared" si="41"/>
        <v>9.5750105037220395E-2</v>
      </c>
      <c r="H43" s="90">
        <f t="shared" si="41"/>
        <v>7.693515598227034E-2</v>
      </c>
      <c r="I43" s="90">
        <f t="shared" si="41"/>
        <v>0.10692302550988526</v>
      </c>
      <c r="J43" s="90">
        <f t="shared" si="41"/>
        <v>0.16370762213570192</v>
      </c>
      <c r="K43" s="90">
        <f t="shared" si="41"/>
        <v>0.17762420798128556</v>
      </c>
      <c r="L43" s="90">
        <f t="shared" si="41"/>
        <v>0.24087504366906382</v>
      </c>
      <c r="M43" s="90">
        <f t="shared" si="41"/>
        <v>0.16653192995221316</v>
      </c>
      <c r="N43" s="90">
        <f t="shared" si="41"/>
        <v>0.18353174599173863</v>
      </c>
    </row>
    <row r="44" spans="1:89">
      <c r="A44" s="196" t="s">
        <v>338</v>
      </c>
      <c r="B44" s="64"/>
      <c r="C44" s="64"/>
      <c r="D44" s="64"/>
      <c r="E44" s="90">
        <f>E7/E9</f>
        <v>0.27067103552711369</v>
      </c>
      <c r="F44" s="90">
        <f t="shared" ref="F44:N44" si="42">F7/F9</f>
        <v>0.27599463346805853</v>
      </c>
      <c r="G44" s="90">
        <f t="shared" si="42"/>
        <v>0.21159188520335673</v>
      </c>
      <c r="H44" s="90">
        <f t="shared" si="42"/>
        <v>0.20853384861519109</v>
      </c>
      <c r="I44" s="90">
        <f t="shared" si="42"/>
        <v>0.20978372800315631</v>
      </c>
      <c r="J44" s="90">
        <f t="shared" si="42"/>
        <v>0.38199492539702218</v>
      </c>
      <c r="K44" s="90">
        <f t="shared" si="42"/>
        <v>0.38157360658361905</v>
      </c>
      <c r="L44" s="90">
        <f t="shared" si="42"/>
        <v>0.37759951797503011</v>
      </c>
      <c r="M44" s="90">
        <f t="shared" si="42"/>
        <v>0.16271009634933595</v>
      </c>
      <c r="N44" s="90">
        <f t="shared" si="42"/>
        <v>0.18903692398704308</v>
      </c>
    </row>
    <row r="45" spans="1:89">
      <c r="A45" s="196" t="s">
        <v>339</v>
      </c>
      <c r="B45" s="64"/>
      <c r="C45" s="64"/>
      <c r="D45" s="64"/>
      <c r="E45" s="90">
        <f>E8/E9</f>
        <v>0.32045704913447265</v>
      </c>
      <c r="F45" s="90">
        <f t="shared" ref="F45:N45" si="43">F8/F9</f>
        <v>0.83327807084231476</v>
      </c>
      <c r="G45" s="90">
        <f t="shared" si="43"/>
        <v>0.8993389863401301</v>
      </c>
      <c r="H45" s="90">
        <f t="shared" si="43"/>
        <v>0.851646312706133</v>
      </c>
      <c r="I45" s="90">
        <f t="shared" si="43"/>
        <v>0.80556101179267403</v>
      </c>
      <c r="J45" s="90">
        <f t="shared" si="43"/>
        <v>0.69498356811649176</v>
      </c>
      <c r="K45" s="90">
        <f t="shared" si="43"/>
        <v>0.69121945402015006</v>
      </c>
      <c r="L45" s="90">
        <f t="shared" si="43"/>
        <v>0.57876138903033425</v>
      </c>
      <c r="M45" s="90">
        <f t="shared" si="43"/>
        <v>0.44357555131054249</v>
      </c>
      <c r="N45" s="90">
        <f t="shared" si="43"/>
        <v>0.48311963684081349</v>
      </c>
    </row>
    <row r="46" spans="1:89">
      <c r="A46" s="197" t="s">
        <v>340</v>
      </c>
      <c r="B46" s="64"/>
      <c r="C46" s="64"/>
      <c r="D46" s="64"/>
      <c r="E46" s="90">
        <f>E9/E9</f>
        <v>1</v>
      </c>
      <c r="F46" s="90">
        <f t="shared" ref="F46:N46" si="44">F9/F9</f>
        <v>1</v>
      </c>
      <c r="G46" s="90">
        <f t="shared" si="44"/>
        <v>1</v>
      </c>
      <c r="H46" s="90">
        <f t="shared" si="44"/>
        <v>1</v>
      </c>
      <c r="I46" s="90">
        <f t="shared" si="44"/>
        <v>1</v>
      </c>
      <c r="J46" s="90">
        <f t="shared" si="44"/>
        <v>1</v>
      </c>
      <c r="K46" s="90">
        <f t="shared" si="44"/>
        <v>1</v>
      </c>
      <c r="L46" s="90">
        <f t="shared" si="44"/>
        <v>1</v>
      </c>
      <c r="M46" s="90">
        <f t="shared" si="44"/>
        <v>1</v>
      </c>
      <c r="N46" s="90">
        <f t="shared" si="44"/>
        <v>1</v>
      </c>
    </row>
    <row r="47" spans="1:89">
      <c r="A47" s="196" t="s">
        <v>341</v>
      </c>
      <c r="B47" s="64"/>
      <c r="C47" s="64"/>
      <c r="D47" s="64"/>
      <c r="E47" s="90">
        <f>E10/E14</f>
        <v>0</v>
      </c>
      <c r="F47" s="90">
        <f t="shared" ref="F47:N47" si="45">F10/F14</f>
        <v>0</v>
      </c>
      <c r="G47" s="90">
        <f t="shared" si="45"/>
        <v>0</v>
      </c>
      <c r="H47" s="90">
        <f t="shared" si="45"/>
        <v>0</v>
      </c>
      <c r="I47" s="90">
        <f t="shared" si="45"/>
        <v>0</v>
      </c>
      <c r="J47" s="90">
        <f t="shared" si="45"/>
        <v>0</v>
      </c>
      <c r="K47" s="90">
        <f t="shared" si="45"/>
        <v>0</v>
      </c>
      <c r="L47" s="90">
        <f t="shared" si="45"/>
        <v>0</v>
      </c>
      <c r="M47" s="90">
        <f t="shared" si="45"/>
        <v>0</v>
      </c>
      <c r="N47" s="90">
        <f t="shared" si="45"/>
        <v>0</v>
      </c>
    </row>
    <row r="48" spans="1:89">
      <c r="A48" s="196" t="s">
        <v>342</v>
      </c>
      <c r="B48" s="64"/>
      <c r="C48" s="64"/>
      <c r="D48" s="64"/>
      <c r="E48" s="90">
        <f>E11/E14</f>
        <v>0</v>
      </c>
      <c r="F48" s="90">
        <f t="shared" ref="F48:N48" si="46">F11/F14</f>
        <v>0</v>
      </c>
      <c r="G48" s="90">
        <f t="shared" si="46"/>
        <v>0</v>
      </c>
      <c r="H48" s="90">
        <f t="shared" si="46"/>
        <v>0</v>
      </c>
      <c r="I48" s="90">
        <f t="shared" si="46"/>
        <v>0</v>
      </c>
      <c r="J48" s="90">
        <f t="shared" si="46"/>
        <v>0</v>
      </c>
      <c r="K48" s="90">
        <f t="shared" si="46"/>
        <v>0</v>
      </c>
      <c r="L48" s="90">
        <f t="shared" si="46"/>
        <v>0</v>
      </c>
      <c r="M48" s="90">
        <f t="shared" si="46"/>
        <v>0</v>
      </c>
      <c r="N48" s="90">
        <f t="shared" si="46"/>
        <v>0</v>
      </c>
    </row>
    <row r="49" spans="1:14">
      <c r="A49" s="196" t="s">
        <v>343</v>
      </c>
      <c r="B49" s="64"/>
      <c r="C49" s="64"/>
      <c r="D49" s="64"/>
      <c r="E49" s="90">
        <f>E12/E14</f>
        <v>0</v>
      </c>
      <c r="F49" s="90">
        <f t="shared" ref="F49:N49" si="47">F12/F14</f>
        <v>0</v>
      </c>
      <c r="G49" s="90">
        <f t="shared" si="47"/>
        <v>0</v>
      </c>
      <c r="H49" s="90">
        <f t="shared" si="47"/>
        <v>0</v>
      </c>
      <c r="I49" s="90">
        <f t="shared" si="47"/>
        <v>0</v>
      </c>
      <c r="J49" s="90">
        <f t="shared" si="47"/>
        <v>0</v>
      </c>
      <c r="K49" s="90">
        <f t="shared" si="47"/>
        <v>0</v>
      </c>
      <c r="L49" s="90">
        <f t="shared" si="47"/>
        <v>0</v>
      </c>
      <c r="M49" s="90">
        <f t="shared" si="47"/>
        <v>0</v>
      </c>
      <c r="N49" s="90">
        <f t="shared" si="47"/>
        <v>0</v>
      </c>
    </row>
    <row r="50" spans="1:14">
      <c r="A50" s="196" t="s">
        <v>347</v>
      </c>
      <c r="B50" s="64"/>
      <c r="C50" s="64"/>
      <c r="D50" s="64"/>
      <c r="E50" s="90">
        <f>E13/E14</f>
        <v>1</v>
      </c>
      <c r="F50" s="90">
        <f t="shared" ref="F50:N50" si="48">F13/F14</f>
        <v>1</v>
      </c>
      <c r="G50" s="90">
        <f t="shared" si="48"/>
        <v>1</v>
      </c>
      <c r="H50" s="90">
        <f t="shared" si="48"/>
        <v>1</v>
      </c>
      <c r="I50" s="90">
        <f t="shared" si="48"/>
        <v>1</v>
      </c>
      <c r="J50" s="90">
        <f t="shared" si="48"/>
        <v>1</v>
      </c>
      <c r="K50" s="90">
        <f t="shared" si="48"/>
        <v>1</v>
      </c>
      <c r="L50" s="90">
        <f t="shared" si="48"/>
        <v>1</v>
      </c>
      <c r="M50" s="90">
        <f t="shared" si="48"/>
        <v>1</v>
      </c>
      <c r="N50" s="90">
        <f t="shared" si="48"/>
        <v>1</v>
      </c>
    </row>
    <row r="51" spans="1:14">
      <c r="A51" s="197" t="s">
        <v>344</v>
      </c>
      <c r="B51" s="64"/>
      <c r="C51" s="64"/>
      <c r="D51" s="64"/>
      <c r="E51" s="90">
        <f>E14/E14</f>
        <v>1</v>
      </c>
      <c r="F51" s="90">
        <f t="shared" ref="F51:N51" si="49">F14/F14</f>
        <v>1</v>
      </c>
      <c r="G51" s="90">
        <f t="shared" si="49"/>
        <v>1</v>
      </c>
      <c r="H51" s="90">
        <f t="shared" si="49"/>
        <v>1</v>
      </c>
      <c r="I51" s="90">
        <f t="shared" si="49"/>
        <v>1</v>
      </c>
      <c r="J51" s="90">
        <f t="shared" si="49"/>
        <v>1</v>
      </c>
      <c r="K51" s="90">
        <f t="shared" si="49"/>
        <v>1</v>
      </c>
      <c r="L51" s="90">
        <f t="shared" si="49"/>
        <v>1</v>
      </c>
      <c r="M51" s="90">
        <f t="shared" si="49"/>
        <v>1</v>
      </c>
      <c r="N51" s="90">
        <f t="shared" si="49"/>
        <v>1</v>
      </c>
    </row>
  </sheetData>
  <mergeCells count="1">
    <mergeCell ref="A18:AG18"/>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topLeftCell="A34" workbookViewId="0">
      <selection activeCell="A51" sqref="A51:AG51"/>
    </sheetView>
  </sheetViews>
  <sheetFormatPr defaultRowHeight="13.5"/>
  <cols>
    <col min="1" max="1" width="45.625" style="17" bestFit="1" customWidth="1"/>
    <col min="2" max="4" width="10.5" hidden="1" customWidth="1"/>
    <col min="5" max="5" width="17.25" bestFit="1" customWidth="1"/>
    <col min="6" max="8" width="17.25" hidden="1" customWidth="1"/>
    <col min="9" max="9" width="17.25" bestFit="1" customWidth="1"/>
    <col min="10" max="10" width="17.25" hidden="1" customWidth="1"/>
    <col min="11" max="11" width="16.125" hidden="1" customWidth="1"/>
    <col min="12" max="12" width="17.25" hidden="1" customWidth="1"/>
    <col min="13" max="13" width="17.25" bestFit="1" customWidth="1"/>
    <col min="14" max="14" width="16.125" hidden="1" customWidth="1"/>
    <col min="15" max="17" width="17.25" bestFit="1" customWidth="1"/>
    <col min="18" max="18" width="16.125" bestFit="1" customWidth="1"/>
    <col min="19" max="19" width="9.625" hidden="1" customWidth="1"/>
    <col min="20" max="33" width="18.375" bestFit="1" customWidth="1"/>
    <col min="34" max="40" width="17.25" bestFit="1" customWidth="1"/>
    <col min="41" max="41" width="15" bestFit="1" customWidth="1"/>
    <col min="42" max="44" width="17.25" bestFit="1" customWidth="1"/>
    <col min="45" max="45" width="9.625" bestFit="1" customWidth="1"/>
    <col min="46" max="76" width="18.375" bestFit="1" customWidth="1"/>
    <col min="77" max="78" width="17.25" bestFit="1" customWidth="1"/>
    <col min="79"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26" customFormat="1">
      <c r="A1" s="17">
        <v>300559</v>
      </c>
      <c r="B1" s="1">
        <v>43373</v>
      </c>
      <c r="C1" s="1">
        <v>43281</v>
      </c>
      <c r="D1" s="1">
        <v>43190</v>
      </c>
      <c r="E1" s="1">
        <v>43100</v>
      </c>
      <c r="F1" s="1">
        <v>43008</v>
      </c>
      <c r="G1" s="1">
        <v>42916</v>
      </c>
      <c r="H1" s="1">
        <v>42825</v>
      </c>
      <c r="I1" s="1">
        <v>42735</v>
      </c>
      <c r="J1" s="1">
        <v>42643</v>
      </c>
      <c r="K1" s="1">
        <v>42551</v>
      </c>
      <c r="L1" s="1">
        <v>42460</v>
      </c>
      <c r="M1" s="1">
        <v>42369</v>
      </c>
      <c r="N1" s="1">
        <v>42277</v>
      </c>
      <c r="O1" s="1">
        <v>42004</v>
      </c>
      <c r="P1" s="1">
        <v>41639</v>
      </c>
      <c r="Q1" s="1">
        <v>41274</v>
      </c>
      <c r="R1" s="1">
        <v>40908</v>
      </c>
      <c r="S1" s="1">
        <v>25569</v>
      </c>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355</v>
      </c>
      <c r="E2" s="26">
        <f>股权价值增加表!E4</f>
        <v>192228852.33000001</v>
      </c>
      <c r="F2" s="26">
        <f>股权价值增加表!F4</f>
        <v>102176580.98999999</v>
      </c>
      <c r="G2" s="26">
        <f>股权价值增加表!G4</f>
        <v>77918188.989999995</v>
      </c>
      <c r="H2" s="26">
        <f>股权价值增加表!H4</f>
        <v>17058644.949999999</v>
      </c>
      <c r="I2" s="26">
        <f>股权价值增加表!I4</f>
        <v>165733894.71000001</v>
      </c>
      <c r="J2" s="26">
        <f>股权价值增加表!J4</f>
        <v>108502593.70999999</v>
      </c>
      <c r="K2" s="26">
        <f>股权价值增加表!K4</f>
        <v>80972644.640000001</v>
      </c>
      <c r="L2" s="26">
        <f>股权价值增加表!L4</f>
        <v>14971904.439999999</v>
      </c>
      <c r="M2" s="26">
        <f>股权价值增加表!M4</f>
        <v>148520212.02000001</v>
      </c>
      <c r="N2" s="26">
        <f>股权价值增加表!N4</f>
        <v>87957669.829999998</v>
      </c>
      <c r="O2" s="26">
        <f>股权价值增加表!O4</f>
        <v>179299034.00999999</v>
      </c>
      <c r="P2" s="26">
        <f>股权价值增加表!P4</f>
        <v>208788264.84</v>
      </c>
      <c r="Q2" s="26">
        <f>股权价值增加表!Q4</f>
        <v>193493383.34</v>
      </c>
      <c r="R2" s="26">
        <f>股权价值增加表!R4</f>
        <v>82207078.170000002</v>
      </c>
      <c r="S2" s="26">
        <f>股权价值增加表!S4</f>
        <v>0</v>
      </c>
      <c r="T2" s="26">
        <f>股权价值增加表!T4</f>
        <v>0</v>
      </c>
      <c r="U2" s="26">
        <f>股权价值增加表!U4</f>
        <v>0</v>
      </c>
      <c r="V2" s="26">
        <f>股权价值增加表!V4</f>
        <v>0</v>
      </c>
      <c r="W2" s="26">
        <f>股权价值增加表!W4</f>
        <v>0</v>
      </c>
      <c r="X2" s="26">
        <f>股权价值增加表!X4</f>
        <v>0</v>
      </c>
      <c r="Y2" s="26">
        <f>股权价值增加表!Y4</f>
        <v>0</v>
      </c>
      <c r="Z2" s="26">
        <f>股权价值增加表!Z4</f>
        <v>0</v>
      </c>
      <c r="AA2" s="26">
        <f>股权价值增加表!AA4</f>
        <v>0</v>
      </c>
      <c r="AB2" s="26">
        <f>股权价值增加表!AB4</f>
        <v>0</v>
      </c>
      <c r="AC2" s="26">
        <f>股权价值增加表!AC4</f>
        <v>0</v>
      </c>
      <c r="AD2" s="26">
        <f>股权价值增加表!AD4</f>
        <v>0</v>
      </c>
      <c r="AE2" s="26">
        <f>股权价值增加表!AE4</f>
        <v>0</v>
      </c>
      <c r="AF2" s="26">
        <f>股权价值增加表!AF4</f>
        <v>0</v>
      </c>
      <c r="AG2" s="26">
        <f>股权价值增加表!AG4</f>
        <v>0</v>
      </c>
      <c r="AH2" s="26">
        <f>股权价值增加表!AH4</f>
        <v>0</v>
      </c>
      <c r="AI2" s="26">
        <f>股权价值增加表!AI4</f>
        <v>0</v>
      </c>
      <c r="AJ2" s="26">
        <f>股权价值增加表!AJ4</f>
        <v>0</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57" customFormat="1">
      <c r="A3" s="20" t="s">
        <v>377</v>
      </c>
      <c r="E3" s="57">
        <f>(E2-I2)/I2</f>
        <v>0.15986444816469614</v>
      </c>
      <c r="F3" s="57">
        <f t="shared" ref="F3:BQ3" si="0">(F2-J2)/J2</f>
        <v>-5.830287096092681E-2</v>
      </c>
      <c r="G3" s="57">
        <f t="shared" si="0"/>
        <v>-3.7722068527957196E-2</v>
      </c>
      <c r="H3" s="57">
        <f t="shared" si="0"/>
        <v>0.13937709249765956</v>
      </c>
      <c r="I3" s="57">
        <f t="shared" si="0"/>
        <v>0.11590128007413544</v>
      </c>
      <c r="J3" s="57">
        <f t="shared" si="0"/>
        <v>0.23357740058039456</v>
      </c>
      <c r="K3" s="57">
        <f t="shared" si="0"/>
        <v>-0.54839330235608552</v>
      </c>
      <c r="L3" s="57">
        <f t="shared" si="0"/>
        <v>-0.92829144659316287</v>
      </c>
      <c r="M3" s="57">
        <f t="shared" si="0"/>
        <v>-0.23242743779498995</v>
      </c>
      <c r="N3" s="57">
        <f t="shared" si="0"/>
        <v>6.9952512460156643E-2</v>
      </c>
      <c r="O3" s="57" t="e">
        <f t="shared" si="0"/>
        <v>#DIV/0!</v>
      </c>
      <c r="P3" s="57" t="e">
        <f t="shared" si="0"/>
        <v>#DIV/0!</v>
      </c>
      <c r="Q3" s="57" t="e">
        <f t="shared" si="0"/>
        <v>#DIV/0!</v>
      </c>
      <c r="R3" s="57" t="e">
        <f t="shared" si="0"/>
        <v>#DIV/0!</v>
      </c>
      <c r="S3" s="57" t="e">
        <f t="shared" si="0"/>
        <v>#DIV/0!</v>
      </c>
      <c r="T3" s="57" t="e">
        <f t="shared" si="0"/>
        <v>#DIV/0!</v>
      </c>
      <c r="U3" s="57" t="e">
        <f t="shared" si="0"/>
        <v>#DIV/0!</v>
      </c>
      <c r="V3" s="57" t="e">
        <f t="shared" si="0"/>
        <v>#DIV/0!</v>
      </c>
      <c r="W3" s="57" t="e">
        <f t="shared" si="0"/>
        <v>#DIV/0!</v>
      </c>
      <c r="X3" s="57" t="e">
        <f t="shared" si="0"/>
        <v>#DIV/0!</v>
      </c>
      <c r="Y3" s="57" t="e">
        <f t="shared" si="0"/>
        <v>#DIV/0!</v>
      </c>
      <c r="Z3" s="57" t="e">
        <f t="shared" si="0"/>
        <v>#DIV/0!</v>
      </c>
      <c r="AA3" s="57" t="e">
        <f t="shared" si="0"/>
        <v>#DIV/0!</v>
      </c>
      <c r="AB3" s="57" t="e">
        <f t="shared" si="0"/>
        <v>#DIV/0!</v>
      </c>
      <c r="AC3" s="57" t="e">
        <f t="shared" si="0"/>
        <v>#DIV/0!</v>
      </c>
      <c r="AD3" s="57" t="e">
        <f t="shared" si="0"/>
        <v>#DIV/0!</v>
      </c>
      <c r="AE3" s="57" t="e">
        <f t="shared" si="0"/>
        <v>#DIV/0!</v>
      </c>
      <c r="AF3" s="57" t="e">
        <f t="shared" si="0"/>
        <v>#DIV/0!</v>
      </c>
      <c r="AG3" s="57" t="e">
        <f t="shared" si="0"/>
        <v>#DIV/0!</v>
      </c>
      <c r="AH3" s="57" t="e">
        <f t="shared" si="0"/>
        <v>#DIV/0!</v>
      </c>
      <c r="AI3" s="57" t="e">
        <f t="shared" si="0"/>
        <v>#DIV/0!</v>
      </c>
      <c r="AJ3" s="57" t="e">
        <f t="shared" si="0"/>
        <v>#DIV/0!</v>
      </c>
      <c r="AK3" s="57" t="e">
        <f t="shared" si="0"/>
        <v>#DIV/0!</v>
      </c>
      <c r="AL3" s="57" t="e">
        <f t="shared" si="0"/>
        <v>#DIV/0!</v>
      </c>
      <c r="AM3" s="57" t="e">
        <f t="shared" si="0"/>
        <v>#DIV/0!</v>
      </c>
      <c r="AN3" s="57" t="e">
        <f t="shared" si="0"/>
        <v>#DIV/0!</v>
      </c>
      <c r="AO3" s="57" t="e">
        <f t="shared" si="0"/>
        <v>#DIV/0!</v>
      </c>
      <c r="AP3" s="57" t="e">
        <f t="shared" si="0"/>
        <v>#DIV/0!</v>
      </c>
      <c r="AQ3" s="57" t="e">
        <f t="shared" si="0"/>
        <v>#DIV/0!</v>
      </c>
      <c r="AR3" s="57" t="e">
        <f t="shared" si="0"/>
        <v>#DIV/0!</v>
      </c>
      <c r="AS3" s="57" t="e">
        <f t="shared" si="0"/>
        <v>#DIV/0!</v>
      </c>
      <c r="AT3" s="57" t="e">
        <f t="shared" si="0"/>
        <v>#DIV/0!</v>
      </c>
      <c r="AU3" s="57" t="e">
        <f t="shared" si="0"/>
        <v>#DIV/0!</v>
      </c>
      <c r="AV3" s="57" t="e">
        <f t="shared" si="0"/>
        <v>#DIV/0!</v>
      </c>
      <c r="AW3" s="57" t="e">
        <f t="shared" si="0"/>
        <v>#DIV/0!</v>
      </c>
      <c r="AX3" s="57" t="e">
        <f t="shared" si="0"/>
        <v>#DIV/0!</v>
      </c>
      <c r="AY3" s="57" t="e">
        <f t="shared" si="0"/>
        <v>#DIV/0!</v>
      </c>
      <c r="AZ3" s="57" t="e">
        <f t="shared" si="0"/>
        <v>#DIV/0!</v>
      </c>
      <c r="BA3" s="57" t="e">
        <f t="shared" si="0"/>
        <v>#DIV/0!</v>
      </c>
      <c r="BB3" s="57" t="e">
        <f t="shared" si="0"/>
        <v>#DIV/0!</v>
      </c>
      <c r="BC3" s="57" t="e">
        <f t="shared" si="0"/>
        <v>#DIV/0!</v>
      </c>
      <c r="BD3" s="57" t="e">
        <f t="shared" si="0"/>
        <v>#DIV/0!</v>
      </c>
      <c r="BE3" s="57" t="e">
        <f t="shared" si="0"/>
        <v>#DIV/0!</v>
      </c>
      <c r="BF3" s="57" t="e">
        <f t="shared" si="0"/>
        <v>#DIV/0!</v>
      </c>
      <c r="BG3" s="57" t="e">
        <f t="shared" si="0"/>
        <v>#DIV/0!</v>
      </c>
      <c r="BH3" s="57" t="e">
        <f t="shared" si="0"/>
        <v>#DIV/0!</v>
      </c>
      <c r="BI3" s="57" t="e">
        <f t="shared" si="0"/>
        <v>#DIV/0!</v>
      </c>
      <c r="BJ3" s="57" t="e">
        <f t="shared" si="0"/>
        <v>#DIV/0!</v>
      </c>
      <c r="BK3" s="57" t="e">
        <f t="shared" si="0"/>
        <v>#DIV/0!</v>
      </c>
      <c r="BL3" s="57" t="e">
        <f t="shared" si="0"/>
        <v>#DIV/0!</v>
      </c>
      <c r="BM3" s="57" t="e">
        <f t="shared" si="0"/>
        <v>#DIV/0!</v>
      </c>
      <c r="BN3" s="57" t="e">
        <f t="shared" si="0"/>
        <v>#DIV/0!</v>
      </c>
      <c r="BO3" s="57" t="e">
        <f t="shared" si="0"/>
        <v>#DIV/0!</v>
      </c>
      <c r="BP3" s="57" t="e">
        <f t="shared" si="0"/>
        <v>#DIV/0!</v>
      </c>
      <c r="BQ3" s="57" t="e">
        <f t="shared" si="0"/>
        <v>#DIV/0!</v>
      </c>
      <c r="BR3" s="57" t="e">
        <f t="shared" ref="BR3:CJ3" si="1">(BR2-BV2)/BV2</f>
        <v>#DIV/0!</v>
      </c>
      <c r="BS3" s="57" t="e">
        <f t="shared" si="1"/>
        <v>#DIV/0!</v>
      </c>
      <c r="BT3" s="57" t="e">
        <f t="shared" si="1"/>
        <v>#DIV/0!</v>
      </c>
      <c r="BU3" s="57" t="e">
        <f t="shared" si="1"/>
        <v>#DIV/0!</v>
      </c>
      <c r="BV3" s="57" t="e">
        <f t="shared" si="1"/>
        <v>#DIV/0!</v>
      </c>
      <c r="BW3" s="57" t="e">
        <f t="shared" si="1"/>
        <v>#DIV/0!</v>
      </c>
      <c r="BX3" s="57" t="e">
        <f t="shared" si="1"/>
        <v>#DIV/0!</v>
      </c>
      <c r="BY3" s="57" t="e">
        <f t="shared" si="1"/>
        <v>#DIV/0!</v>
      </c>
      <c r="BZ3" s="57" t="e">
        <f t="shared" si="1"/>
        <v>#DIV/0!</v>
      </c>
      <c r="CA3" s="57" t="e">
        <f t="shared" si="1"/>
        <v>#DIV/0!</v>
      </c>
      <c r="CB3" s="57" t="e">
        <f t="shared" si="1"/>
        <v>#DIV/0!</v>
      </c>
      <c r="CC3" s="57" t="e">
        <f t="shared" si="1"/>
        <v>#DIV/0!</v>
      </c>
      <c r="CD3" s="57" t="e">
        <f t="shared" si="1"/>
        <v>#DIV/0!</v>
      </c>
      <c r="CE3" s="57" t="e">
        <f t="shared" si="1"/>
        <v>#DIV/0!</v>
      </c>
      <c r="CF3" s="57" t="e">
        <f t="shared" si="1"/>
        <v>#DIV/0!</v>
      </c>
      <c r="CG3" s="57" t="e">
        <f t="shared" si="1"/>
        <v>#DIV/0!</v>
      </c>
      <c r="CH3" s="57" t="e">
        <f t="shared" si="1"/>
        <v>#DIV/0!</v>
      </c>
      <c r="CI3" s="57" t="e">
        <f t="shared" si="1"/>
        <v>#DIV/0!</v>
      </c>
      <c r="CJ3" s="57" t="e">
        <f t="shared" si="1"/>
        <v>#DIV/0!</v>
      </c>
    </row>
    <row r="4" spans="1:89" s="26" customFormat="1">
      <c r="A4" s="17" t="s">
        <v>356</v>
      </c>
      <c r="E4" s="26">
        <f>股权价值增加表!E5</f>
        <v>78582960.780000001</v>
      </c>
      <c r="F4" s="26">
        <f>股权价值增加表!F5</f>
        <v>45274024.810000002</v>
      </c>
      <c r="G4" s="26">
        <f>股权价值增加表!G5</f>
        <v>35685127.82</v>
      </c>
      <c r="H4" s="26">
        <f>股权价值增加表!H5</f>
        <v>9702084.75</v>
      </c>
      <c r="I4" s="26">
        <f>股权价值增加表!I5</f>
        <v>74000416.170000002</v>
      </c>
      <c r="J4" s="26">
        <f>股权价值增加表!J5</f>
        <v>51252469</v>
      </c>
      <c r="K4" s="26">
        <f>股权价值增加表!K5</f>
        <v>36953673.289999999</v>
      </c>
      <c r="L4" s="26">
        <f>股权价值增加表!L5</f>
        <v>6533298.6699999999</v>
      </c>
      <c r="M4" s="26">
        <f>股权价值增加表!M5</f>
        <v>67009933.109999999</v>
      </c>
      <c r="N4" s="26">
        <f>股权价值增加表!N5</f>
        <v>34125603.609999999</v>
      </c>
      <c r="O4" s="26">
        <f>股权价值增加表!O5</f>
        <v>76594616.719999999</v>
      </c>
      <c r="P4" s="26">
        <f>股权价值增加表!P5</f>
        <v>95989739.730000004</v>
      </c>
      <c r="Q4" s="26">
        <f>股权价值增加表!Q5</f>
        <v>79863258.049999997</v>
      </c>
      <c r="R4" s="26">
        <f>股权价值增加表!R5</f>
        <v>38407951.899999999</v>
      </c>
      <c r="S4" s="26">
        <f>股权价值增加表!S5</f>
        <v>0</v>
      </c>
      <c r="T4" s="26">
        <f>股权价值增加表!T5</f>
        <v>0</v>
      </c>
      <c r="U4" s="26">
        <f>股权价值增加表!U5</f>
        <v>0</v>
      </c>
      <c r="V4" s="26">
        <f>股权价值增加表!V5</f>
        <v>0</v>
      </c>
      <c r="W4" s="26">
        <f>股权价值增加表!W5</f>
        <v>0</v>
      </c>
      <c r="X4" s="26">
        <f>股权价值增加表!X5</f>
        <v>0</v>
      </c>
      <c r="Y4" s="26">
        <f>股权价值增加表!Y5</f>
        <v>0</v>
      </c>
      <c r="Z4" s="26">
        <f>股权价值增加表!Z5</f>
        <v>0</v>
      </c>
      <c r="AA4" s="26">
        <f>股权价值增加表!AA5</f>
        <v>0</v>
      </c>
      <c r="AB4" s="26">
        <f>股权价值增加表!AB5</f>
        <v>0</v>
      </c>
      <c r="AC4" s="26">
        <f>股权价值增加表!AC5</f>
        <v>0</v>
      </c>
      <c r="AD4" s="26">
        <f>股权价值增加表!AD5</f>
        <v>0</v>
      </c>
      <c r="AE4" s="26">
        <f>股权价值增加表!AE5</f>
        <v>0</v>
      </c>
      <c r="AF4" s="26">
        <f>股权价值增加表!AF5</f>
        <v>0</v>
      </c>
      <c r="AG4" s="26">
        <f>股权价值增加表!AG5</f>
        <v>0</v>
      </c>
      <c r="AH4" s="26">
        <f>股权价值增加表!AH5</f>
        <v>0</v>
      </c>
      <c r="AI4" s="26">
        <f>股权价值增加表!AI5</f>
        <v>0</v>
      </c>
      <c r="AJ4" s="26">
        <f>股权价值增加表!AJ5</f>
        <v>0</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57" customFormat="1">
      <c r="A5" s="20" t="s">
        <v>357</v>
      </c>
      <c r="E5" s="57">
        <f t="shared" ref="E5:AJ5" si="2">E4/E2</f>
        <v>0.40879899051312196</v>
      </c>
      <c r="F5" s="57">
        <f t="shared" si="2"/>
        <v>0.44309590682458794</v>
      </c>
      <c r="G5" s="57">
        <f t="shared" si="2"/>
        <v>0.45798199730463218</v>
      </c>
      <c r="H5" s="57">
        <f t="shared" si="2"/>
        <v>0.56874885305588119</v>
      </c>
      <c r="I5" s="57">
        <f t="shared" si="2"/>
        <v>0.44650140093241281</v>
      </c>
      <c r="J5" s="57">
        <f t="shared" si="2"/>
        <v>0.47236169429262581</v>
      </c>
      <c r="K5" s="57">
        <f t="shared" si="2"/>
        <v>0.45637231504903947</v>
      </c>
      <c r="L5" s="57">
        <f t="shared" si="2"/>
        <v>0.43637058305990634</v>
      </c>
      <c r="M5" s="57">
        <f t="shared" si="2"/>
        <v>0.45118393112027283</v>
      </c>
      <c r="N5" s="57">
        <f t="shared" si="2"/>
        <v>0.38797757689529733</v>
      </c>
      <c r="O5" s="57">
        <f t="shared" si="2"/>
        <v>0.42718923246250234</v>
      </c>
      <c r="P5" s="57">
        <f t="shared" si="2"/>
        <v>0.45974681481049473</v>
      </c>
      <c r="Q5" s="57">
        <f t="shared" si="2"/>
        <v>0.41274412939313276</v>
      </c>
      <c r="R5" s="57">
        <f t="shared" si="2"/>
        <v>0.46720979208839331</v>
      </c>
      <c r="S5" s="57" t="e">
        <f t="shared" si="2"/>
        <v>#DIV/0!</v>
      </c>
      <c r="T5" s="57" t="e">
        <f t="shared" si="2"/>
        <v>#DIV/0!</v>
      </c>
      <c r="U5" s="57" t="e">
        <f t="shared" si="2"/>
        <v>#DIV/0!</v>
      </c>
      <c r="V5" s="57" t="e">
        <f t="shared" si="2"/>
        <v>#DIV/0!</v>
      </c>
      <c r="W5" s="57" t="e">
        <f t="shared" si="2"/>
        <v>#DIV/0!</v>
      </c>
      <c r="X5" s="57" t="e">
        <f t="shared" si="2"/>
        <v>#DIV/0!</v>
      </c>
      <c r="Y5" s="57" t="e">
        <f t="shared" si="2"/>
        <v>#DIV/0!</v>
      </c>
      <c r="Z5" s="57" t="e">
        <f t="shared" si="2"/>
        <v>#DIV/0!</v>
      </c>
      <c r="AA5" s="57" t="e">
        <f t="shared" si="2"/>
        <v>#DIV/0!</v>
      </c>
      <c r="AB5" s="57" t="e">
        <f t="shared" si="2"/>
        <v>#DIV/0!</v>
      </c>
      <c r="AC5" s="57" t="e">
        <f t="shared" si="2"/>
        <v>#DIV/0!</v>
      </c>
      <c r="AD5" s="57" t="e">
        <f t="shared" si="2"/>
        <v>#DIV/0!</v>
      </c>
      <c r="AE5" s="57" t="e">
        <f t="shared" si="2"/>
        <v>#DIV/0!</v>
      </c>
      <c r="AF5" s="57" t="e">
        <f t="shared" si="2"/>
        <v>#DIV/0!</v>
      </c>
      <c r="AG5" s="57" t="e">
        <f t="shared" si="2"/>
        <v>#DIV/0!</v>
      </c>
      <c r="AH5" s="57" t="e">
        <f t="shared" si="2"/>
        <v>#DIV/0!</v>
      </c>
      <c r="AI5" s="57" t="e">
        <f t="shared" si="2"/>
        <v>#DIV/0!</v>
      </c>
      <c r="AJ5" s="57" t="e">
        <f t="shared" si="2"/>
        <v>#DIV/0!</v>
      </c>
      <c r="AK5" s="57" t="e">
        <f t="shared" ref="AK5:BP5" si="3">AK4/AK2</f>
        <v>#DIV/0!</v>
      </c>
      <c r="AL5" s="57" t="e">
        <f t="shared" si="3"/>
        <v>#DIV/0!</v>
      </c>
      <c r="AM5" s="57" t="e">
        <f t="shared" si="3"/>
        <v>#DIV/0!</v>
      </c>
      <c r="AN5" s="57" t="e">
        <f t="shared" si="3"/>
        <v>#DIV/0!</v>
      </c>
      <c r="AO5" s="57" t="e">
        <f t="shared" si="3"/>
        <v>#DIV/0!</v>
      </c>
      <c r="AP5" s="57" t="e">
        <f t="shared" si="3"/>
        <v>#DIV/0!</v>
      </c>
      <c r="AQ5" s="57" t="e">
        <f t="shared" si="3"/>
        <v>#DIV/0!</v>
      </c>
      <c r="AR5" s="57" t="e">
        <f t="shared" si="3"/>
        <v>#DIV/0!</v>
      </c>
      <c r="AS5" s="57" t="e">
        <f t="shared" si="3"/>
        <v>#DIV/0!</v>
      </c>
      <c r="AT5" s="57" t="e">
        <f t="shared" si="3"/>
        <v>#DIV/0!</v>
      </c>
      <c r="AU5" s="57" t="e">
        <f t="shared" si="3"/>
        <v>#DIV/0!</v>
      </c>
      <c r="AV5" s="57" t="e">
        <f t="shared" si="3"/>
        <v>#DIV/0!</v>
      </c>
      <c r="AW5" s="57" t="e">
        <f t="shared" si="3"/>
        <v>#DIV/0!</v>
      </c>
      <c r="AX5" s="57" t="e">
        <f t="shared" si="3"/>
        <v>#DIV/0!</v>
      </c>
      <c r="AY5" s="57" t="e">
        <f t="shared" si="3"/>
        <v>#DIV/0!</v>
      </c>
      <c r="AZ5" s="57" t="e">
        <f t="shared" si="3"/>
        <v>#DIV/0!</v>
      </c>
      <c r="BA5" s="57" t="e">
        <f t="shared" si="3"/>
        <v>#DIV/0!</v>
      </c>
      <c r="BB5" s="57" t="e">
        <f t="shared" si="3"/>
        <v>#DIV/0!</v>
      </c>
      <c r="BC5" s="57" t="e">
        <f t="shared" si="3"/>
        <v>#DIV/0!</v>
      </c>
      <c r="BD5" s="57" t="e">
        <f t="shared" si="3"/>
        <v>#DIV/0!</v>
      </c>
      <c r="BE5" s="57" t="e">
        <f t="shared" si="3"/>
        <v>#DIV/0!</v>
      </c>
      <c r="BF5" s="57" t="e">
        <f t="shared" si="3"/>
        <v>#DIV/0!</v>
      </c>
      <c r="BG5" s="57" t="e">
        <f t="shared" si="3"/>
        <v>#DIV/0!</v>
      </c>
      <c r="BH5" s="57" t="e">
        <f t="shared" si="3"/>
        <v>#DIV/0!</v>
      </c>
      <c r="BI5" s="57" t="e">
        <f t="shared" si="3"/>
        <v>#DIV/0!</v>
      </c>
      <c r="BJ5" s="57" t="e">
        <f t="shared" si="3"/>
        <v>#DIV/0!</v>
      </c>
      <c r="BK5" s="57" t="e">
        <f t="shared" si="3"/>
        <v>#DIV/0!</v>
      </c>
      <c r="BL5" s="57" t="e">
        <f t="shared" si="3"/>
        <v>#DIV/0!</v>
      </c>
      <c r="BM5" s="57" t="e">
        <f t="shared" si="3"/>
        <v>#DIV/0!</v>
      </c>
      <c r="BN5" s="57" t="e">
        <f t="shared" si="3"/>
        <v>#DIV/0!</v>
      </c>
      <c r="BO5" s="57" t="e">
        <f t="shared" si="3"/>
        <v>#DIV/0!</v>
      </c>
      <c r="BP5" s="57" t="e">
        <f t="shared" si="3"/>
        <v>#DIV/0!</v>
      </c>
      <c r="BQ5" s="57" t="e">
        <f t="shared" ref="BQ5:CK5" si="4">BQ4/BQ2</f>
        <v>#DIV/0!</v>
      </c>
      <c r="BR5" s="57" t="e">
        <f t="shared" si="4"/>
        <v>#DIV/0!</v>
      </c>
      <c r="BS5" s="57" t="e">
        <f t="shared" si="4"/>
        <v>#DIV/0!</v>
      </c>
      <c r="BT5" s="57" t="e">
        <f t="shared" si="4"/>
        <v>#DIV/0!</v>
      </c>
      <c r="BU5" s="57" t="e">
        <f t="shared" si="4"/>
        <v>#DIV/0!</v>
      </c>
      <c r="BV5" s="57" t="e">
        <f t="shared" si="4"/>
        <v>#DIV/0!</v>
      </c>
      <c r="BW5" s="57" t="e">
        <f t="shared" si="4"/>
        <v>#DIV/0!</v>
      </c>
      <c r="BX5" s="57" t="e">
        <f t="shared" si="4"/>
        <v>#DIV/0!</v>
      </c>
      <c r="BY5" s="57" t="e">
        <f t="shared" si="4"/>
        <v>#DIV/0!</v>
      </c>
      <c r="BZ5" s="57" t="e">
        <f t="shared" si="4"/>
        <v>#DIV/0!</v>
      </c>
      <c r="CA5" s="57" t="e">
        <f t="shared" si="4"/>
        <v>#DIV/0!</v>
      </c>
      <c r="CB5" s="57" t="e">
        <f t="shared" si="4"/>
        <v>#DIV/0!</v>
      </c>
      <c r="CC5" s="57" t="e">
        <f t="shared" si="4"/>
        <v>#DIV/0!</v>
      </c>
      <c r="CD5" s="57" t="e">
        <f t="shared" si="4"/>
        <v>#DIV/0!</v>
      </c>
      <c r="CE5" s="57" t="e">
        <f t="shared" si="4"/>
        <v>#DIV/0!</v>
      </c>
      <c r="CF5" s="57" t="e">
        <f t="shared" si="4"/>
        <v>#DIV/0!</v>
      </c>
      <c r="CG5" s="57" t="e">
        <f t="shared" si="4"/>
        <v>#DIV/0!</v>
      </c>
      <c r="CH5" s="57" t="e">
        <f t="shared" si="4"/>
        <v>#DIV/0!</v>
      </c>
      <c r="CI5" s="57" t="e">
        <f t="shared" si="4"/>
        <v>#DIV/0!</v>
      </c>
      <c r="CJ5" s="57" t="e">
        <f t="shared" si="4"/>
        <v>#DIV/0!</v>
      </c>
      <c r="CK5" s="57" t="e">
        <f t="shared" si="4"/>
        <v>#DIV/0!</v>
      </c>
    </row>
    <row r="6" spans="1:89" s="57" customFormat="1">
      <c r="A6" s="20" t="s">
        <v>358</v>
      </c>
      <c r="E6" s="57">
        <f>(E4-I4)/I4</f>
        <v>6.1925930247102814E-2</v>
      </c>
      <c r="F6" s="57">
        <f t="shared" ref="F6:BQ6" si="5">(F4-J4)/J4</f>
        <v>-0.11664695002303202</v>
      </c>
      <c r="G6" s="57">
        <f t="shared" si="5"/>
        <v>-3.4327993865315654E-2</v>
      </c>
      <c r="H6" s="57">
        <f t="shared" si="5"/>
        <v>0.48502085088358593</v>
      </c>
      <c r="I6" s="57">
        <f t="shared" si="5"/>
        <v>0.10432010204404758</v>
      </c>
      <c r="J6" s="57">
        <f t="shared" si="5"/>
        <v>0.5018772879663066</v>
      </c>
      <c r="K6" s="57">
        <f t="shared" si="5"/>
        <v>-0.51754216063136405</v>
      </c>
      <c r="L6" s="57">
        <f t="shared" si="5"/>
        <v>-0.93193753115304956</v>
      </c>
      <c r="M6" s="57">
        <f t="shared" si="5"/>
        <v>-0.16094165519709847</v>
      </c>
      <c r="N6" s="57">
        <f t="shared" si="5"/>
        <v>-0.11149639796336028</v>
      </c>
      <c r="O6" s="57" t="e">
        <f t="shared" si="5"/>
        <v>#DIV/0!</v>
      </c>
      <c r="P6" s="57" t="e">
        <f t="shared" si="5"/>
        <v>#DIV/0!</v>
      </c>
      <c r="Q6" s="57" t="e">
        <f t="shared" si="5"/>
        <v>#DIV/0!</v>
      </c>
      <c r="R6" s="57" t="e">
        <f t="shared" si="5"/>
        <v>#DIV/0!</v>
      </c>
      <c r="S6" s="57" t="e">
        <f t="shared" si="5"/>
        <v>#DIV/0!</v>
      </c>
      <c r="T6" s="57" t="e">
        <f t="shared" si="5"/>
        <v>#DIV/0!</v>
      </c>
      <c r="U6" s="57" t="e">
        <f t="shared" si="5"/>
        <v>#DIV/0!</v>
      </c>
      <c r="V6" s="57" t="e">
        <f t="shared" si="5"/>
        <v>#DIV/0!</v>
      </c>
      <c r="W6" s="57" t="e">
        <f t="shared" si="5"/>
        <v>#DIV/0!</v>
      </c>
      <c r="X6" s="57" t="e">
        <f t="shared" si="5"/>
        <v>#DIV/0!</v>
      </c>
      <c r="Y6" s="57" t="e">
        <f t="shared" si="5"/>
        <v>#DIV/0!</v>
      </c>
      <c r="Z6" s="57" t="e">
        <f t="shared" si="5"/>
        <v>#DIV/0!</v>
      </c>
      <c r="AA6" s="57" t="e">
        <f t="shared" si="5"/>
        <v>#DIV/0!</v>
      </c>
      <c r="AB6" s="57" t="e">
        <f t="shared" si="5"/>
        <v>#DIV/0!</v>
      </c>
      <c r="AC6" s="57" t="e">
        <f t="shared" si="5"/>
        <v>#DIV/0!</v>
      </c>
      <c r="AD6" s="57" t="e">
        <f t="shared" si="5"/>
        <v>#DIV/0!</v>
      </c>
      <c r="AE6" s="57" t="e">
        <f t="shared" si="5"/>
        <v>#DIV/0!</v>
      </c>
      <c r="AF6" s="57" t="e">
        <f t="shared" si="5"/>
        <v>#DIV/0!</v>
      </c>
      <c r="AG6" s="57" t="e">
        <f t="shared" si="5"/>
        <v>#DIV/0!</v>
      </c>
      <c r="AH6" s="57" t="e">
        <f t="shared" si="5"/>
        <v>#DIV/0!</v>
      </c>
      <c r="AI6" s="57" t="e">
        <f t="shared" si="5"/>
        <v>#DIV/0!</v>
      </c>
      <c r="AJ6" s="57" t="e">
        <f t="shared" si="5"/>
        <v>#DIV/0!</v>
      </c>
      <c r="AK6" s="57" t="e">
        <f t="shared" si="5"/>
        <v>#DIV/0!</v>
      </c>
      <c r="AL6" s="57" t="e">
        <f t="shared" si="5"/>
        <v>#DIV/0!</v>
      </c>
      <c r="AM6" s="57" t="e">
        <f t="shared" si="5"/>
        <v>#DIV/0!</v>
      </c>
      <c r="AN6" s="57" t="e">
        <f t="shared" si="5"/>
        <v>#DIV/0!</v>
      </c>
      <c r="AO6" s="57" t="e">
        <f t="shared" si="5"/>
        <v>#DIV/0!</v>
      </c>
      <c r="AP6" s="57" t="e">
        <f t="shared" si="5"/>
        <v>#DIV/0!</v>
      </c>
      <c r="AQ6" s="57" t="e">
        <f t="shared" si="5"/>
        <v>#DIV/0!</v>
      </c>
      <c r="AR6" s="57" t="e">
        <f t="shared" si="5"/>
        <v>#DIV/0!</v>
      </c>
      <c r="AS6" s="57" t="e">
        <f t="shared" si="5"/>
        <v>#DIV/0!</v>
      </c>
      <c r="AT6" s="57" t="e">
        <f t="shared" si="5"/>
        <v>#DIV/0!</v>
      </c>
      <c r="AU6" s="57" t="e">
        <f t="shared" si="5"/>
        <v>#DIV/0!</v>
      </c>
      <c r="AV6" s="57" t="e">
        <f t="shared" si="5"/>
        <v>#DIV/0!</v>
      </c>
      <c r="AW6" s="57" t="e">
        <f t="shared" si="5"/>
        <v>#DIV/0!</v>
      </c>
      <c r="AX6" s="57" t="e">
        <f t="shared" si="5"/>
        <v>#DIV/0!</v>
      </c>
      <c r="AY6" s="57" t="e">
        <f t="shared" si="5"/>
        <v>#DIV/0!</v>
      </c>
      <c r="AZ6" s="57" t="e">
        <f t="shared" si="5"/>
        <v>#DIV/0!</v>
      </c>
      <c r="BA6" s="57" t="e">
        <f t="shared" si="5"/>
        <v>#DIV/0!</v>
      </c>
      <c r="BB6" s="57" t="e">
        <f t="shared" si="5"/>
        <v>#DIV/0!</v>
      </c>
      <c r="BC6" s="57" t="e">
        <f t="shared" si="5"/>
        <v>#DIV/0!</v>
      </c>
      <c r="BD6" s="57" t="e">
        <f t="shared" si="5"/>
        <v>#DIV/0!</v>
      </c>
      <c r="BE6" s="57" t="e">
        <f t="shared" si="5"/>
        <v>#DIV/0!</v>
      </c>
      <c r="BF6" s="57" t="e">
        <f t="shared" si="5"/>
        <v>#DIV/0!</v>
      </c>
      <c r="BG6" s="57" t="e">
        <f t="shared" si="5"/>
        <v>#DIV/0!</v>
      </c>
      <c r="BH6" s="57" t="e">
        <f t="shared" si="5"/>
        <v>#DIV/0!</v>
      </c>
      <c r="BI6" s="57" t="e">
        <f t="shared" si="5"/>
        <v>#DIV/0!</v>
      </c>
      <c r="BJ6" s="57" t="e">
        <f t="shared" si="5"/>
        <v>#DIV/0!</v>
      </c>
      <c r="BK6" s="57" t="e">
        <f t="shared" si="5"/>
        <v>#DIV/0!</v>
      </c>
      <c r="BL6" s="57" t="e">
        <f t="shared" si="5"/>
        <v>#DIV/0!</v>
      </c>
      <c r="BM6" s="57" t="e">
        <f t="shared" si="5"/>
        <v>#DIV/0!</v>
      </c>
      <c r="BN6" s="57" t="e">
        <f t="shared" si="5"/>
        <v>#DIV/0!</v>
      </c>
      <c r="BO6" s="57" t="e">
        <f t="shared" si="5"/>
        <v>#DIV/0!</v>
      </c>
      <c r="BP6" s="57" t="e">
        <f t="shared" si="5"/>
        <v>#DIV/0!</v>
      </c>
      <c r="BQ6" s="57" t="e">
        <f t="shared" si="5"/>
        <v>#DIV/0!</v>
      </c>
      <c r="BR6" s="57" t="e">
        <f t="shared" ref="BR6:CJ6" si="6">(BR4-BV4)/BV4</f>
        <v>#DIV/0!</v>
      </c>
      <c r="BS6" s="57" t="e">
        <f t="shared" si="6"/>
        <v>#DIV/0!</v>
      </c>
      <c r="BT6" s="57" t="e">
        <f t="shared" si="6"/>
        <v>#DIV/0!</v>
      </c>
      <c r="BU6" s="57" t="e">
        <f t="shared" si="6"/>
        <v>#DIV/0!</v>
      </c>
      <c r="BV6" s="57" t="e">
        <f t="shared" si="6"/>
        <v>#DIV/0!</v>
      </c>
      <c r="BW6" s="57" t="e">
        <f t="shared" si="6"/>
        <v>#DIV/0!</v>
      </c>
      <c r="BX6" s="57" t="e">
        <f t="shared" si="6"/>
        <v>#DIV/0!</v>
      </c>
      <c r="BY6" s="57" t="e">
        <f t="shared" si="6"/>
        <v>#DIV/0!</v>
      </c>
      <c r="BZ6" s="57" t="e">
        <f t="shared" si="6"/>
        <v>#DIV/0!</v>
      </c>
      <c r="CA6" s="57" t="e">
        <f t="shared" si="6"/>
        <v>#DIV/0!</v>
      </c>
      <c r="CB6" s="57" t="e">
        <f t="shared" si="6"/>
        <v>#DIV/0!</v>
      </c>
      <c r="CC6" s="57" t="e">
        <f t="shared" si="6"/>
        <v>#DIV/0!</v>
      </c>
      <c r="CD6" s="57" t="e">
        <f t="shared" si="6"/>
        <v>#DIV/0!</v>
      </c>
      <c r="CE6" s="57" t="e">
        <f t="shared" si="6"/>
        <v>#DIV/0!</v>
      </c>
      <c r="CF6" s="57" t="e">
        <f t="shared" si="6"/>
        <v>#DIV/0!</v>
      </c>
      <c r="CG6" s="57" t="e">
        <f t="shared" si="6"/>
        <v>#DIV/0!</v>
      </c>
      <c r="CH6" s="57" t="e">
        <f t="shared" si="6"/>
        <v>#DIV/0!</v>
      </c>
      <c r="CI6" s="57" t="e">
        <f t="shared" si="6"/>
        <v>#DIV/0!</v>
      </c>
      <c r="CJ6" s="57" t="e">
        <f t="shared" si="6"/>
        <v>#DIV/0!</v>
      </c>
    </row>
    <row r="7" spans="1:89" s="27" customFormat="1">
      <c r="A7" s="132" t="s">
        <v>359</v>
      </c>
      <c r="E7" s="27">
        <f>股权价值增加表!E6</f>
        <v>113645891.55000001</v>
      </c>
      <c r="F7" s="27">
        <f>股权价值增加表!F6</f>
        <v>56902556.179999992</v>
      </c>
      <c r="G7" s="27">
        <f>股权价值增加表!G6</f>
        <v>42233061.169999994</v>
      </c>
      <c r="H7" s="27">
        <f>股权价值增加表!H6</f>
        <v>7356560.1999999993</v>
      </c>
      <c r="I7" s="27">
        <f>股权价值增加表!I6</f>
        <v>91733478.540000007</v>
      </c>
      <c r="J7" s="27">
        <f>股权价值增加表!J6</f>
        <v>57250124.709999993</v>
      </c>
      <c r="K7" s="27">
        <f>股权价值增加表!K6</f>
        <v>44018971.350000001</v>
      </c>
      <c r="L7" s="27">
        <f>股权价值增加表!L6</f>
        <v>8438605.7699999996</v>
      </c>
      <c r="M7" s="27">
        <f>股权价值增加表!M6</f>
        <v>81510278.910000011</v>
      </c>
      <c r="N7" s="27">
        <f>股权价值增加表!N6</f>
        <v>53832066.219999999</v>
      </c>
      <c r="O7" s="27">
        <f>股权价值增加表!O6</f>
        <v>102704417.28999999</v>
      </c>
      <c r="P7" s="27">
        <f>股权价值增加表!P6</f>
        <v>112798525.11</v>
      </c>
      <c r="Q7" s="27">
        <f>股权价值增加表!Q6</f>
        <v>113630125.29000001</v>
      </c>
      <c r="R7" s="27">
        <f>股权价值增加表!R6</f>
        <v>43799126.270000003</v>
      </c>
      <c r="S7" s="27">
        <f>股权价值增加表!S6</f>
        <v>0</v>
      </c>
      <c r="T7" s="27">
        <f>股权价值增加表!T6</f>
        <v>0</v>
      </c>
      <c r="U7" s="27">
        <f>股权价值增加表!U6</f>
        <v>0</v>
      </c>
      <c r="V7" s="27">
        <f>股权价值增加表!V6</f>
        <v>0</v>
      </c>
      <c r="W7" s="27">
        <f>股权价值增加表!W6</f>
        <v>0</v>
      </c>
      <c r="X7" s="27">
        <f>股权价值增加表!X6</f>
        <v>0</v>
      </c>
      <c r="Y7" s="27">
        <f>股权价值增加表!Y6</f>
        <v>0</v>
      </c>
      <c r="Z7" s="27">
        <f>股权价值增加表!Z6</f>
        <v>0</v>
      </c>
      <c r="AA7" s="27">
        <f>股权价值增加表!AA6</f>
        <v>0</v>
      </c>
      <c r="AB7" s="27">
        <f>股权价值增加表!AB6</f>
        <v>0</v>
      </c>
      <c r="AC7" s="27">
        <f>股权价值增加表!AC6</f>
        <v>0</v>
      </c>
      <c r="AD7" s="27">
        <f>股权价值增加表!AD6</f>
        <v>0</v>
      </c>
      <c r="AE7" s="27">
        <f>股权价值增加表!AE6</f>
        <v>0</v>
      </c>
      <c r="AF7" s="27">
        <f>股权价值增加表!AF6</f>
        <v>0</v>
      </c>
      <c r="AG7" s="27">
        <f>股权价值增加表!AG6</f>
        <v>0</v>
      </c>
      <c r="AH7" s="27">
        <f>股权价值增加表!AH6</f>
        <v>0</v>
      </c>
      <c r="AI7" s="27">
        <f>股权价值增加表!AI6</f>
        <v>0</v>
      </c>
      <c r="AJ7" s="27">
        <f>股权价值增加表!AJ6</f>
        <v>0</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57" customFormat="1">
      <c r="A8" s="20" t="s">
        <v>360</v>
      </c>
      <c r="E8" s="57">
        <f>E7/E2</f>
        <v>0.59120100948687804</v>
      </c>
      <c r="F8" s="57">
        <f t="shared" ref="F8:BQ8" si="7">F7/F2</f>
        <v>0.55690409317541201</v>
      </c>
      <c r="G8" s="57">
        <f t="shared" si="7"/>
        <v>0.54201800269536782</v>
      </c>
      <c r="H8" s="57">
        <f t="shared" si="7"/>
        <v>0.43125114694411876</v>
      </c>
      <c r="I8" s="57">
        <f t="shared" si="7"/>
        <v>0.55349859906758725</v>
      </c>
      <c r="J8" s="57">
        <f t="shared" si="7"/>
        <v>0.52763830570737424</v>
      </c>
      <c r="K8" s="57">
        <f t="shared" si="7"/>
        <v>0.54362768495096048</v>
      </c>
      <c r="L8" s="57">
        <f t="shared" si="7"/>
        <v>0.56362941694009372</v>
      </c>
      <c r="M8" s="57">
        <f t="shared" si="7"/>
        <v>0.54881606887972723</v>
      </c>
      <c r="N8" s="57">
        <f t="shared" si="7"/>
        <v>0.61202242310470267</v>
      </c>
      <c r="O8" s="57">
        <f t="shared" si="7"/>
        <v>0.57281076753749771</v>
      </c>
      <c r="P8" s="57">
        <f t="shared" si="7"/>
        <v>0.54025318518950527</v>
      </c>
      <c r="Q8" s="57">
        <f t="shared" si="7"/>
        <v>0.58725587060686724</v>
      </c>
      <c r="R8" s="57">
        <f t="shared" si="7"/>
        <v>0.53279020791160669</v>
      </c>
      <c r="S8" s="57" t="e">
        <f t="shared" si="7"/>
        <v>#DIV/0!</v>
      </c>
      <c r="T8" s="57" t="e">
        <f t="shared" si="7"/>
        <v>#DIV/0!</v>
      </c>
      <c r="U8" s="57" t="e">
        <f t="shared" si="7"/>
        <v>#DIV/0!</v>
      </c>
      <c r="V8" s="57" t="e">
        <f t="shared" si="7"/>
        <v>#DIV/0!</v>
      </c>
      <c r="W8" s="57" t="e">
        <f t="shared" si="7"/>
        <v>#DIV/0!</v>
      </c>
      <c r="X8" s="57" t="e">
        <f t="shared" si="7"/>
        <v>#DIV/0!</v>
      </c>
      <c r="Y8" s="57" t="e">
        <f t="shared" si="7"/>
        <v>#DIV/0!</v>
      </c>
      <c r="Z8" s="57" t="e">
        <f t="shared" si="7"/>
        <v>#DIV/0!</v>
      </c>
      <c r="AA8" s="57" t="e">
        <f t="shared" si="7"/>
        <v>#DIV/0!</v>
      </c>
      <c r="AB8" s="57" t="e">
        <f t="shared" si="7"/>
        <v>#DIV/0!</v>
      </c>
      <c r="AC8" s="57" t="e">
        <f t="shared" si="7"/>
        <v>#DIV/0!</v>
      </c>
      <c r="AD8" s="57" t="e">
        <f t="shared" si="7"/>
        <v>#DIV/0!</v>
      </c>
      <c r="AE8" s="57" t="e">
        <f t="shared" si="7"/>
        <v>#DIV/0!</v>
      </c>
      <c r="AF8" s="57" t="e">
        <f t="shared" si="7"/>
        <v>#DIV/0!</v>
      </c>
      <c r="AG8" s="57" t="e">
        <f t="shared" si="7"/>
        <v>#DIV/0!</v>
      </c>
      <c r="AH8" s="57" t="e">
        <f t="shared" si="7"/>
        <v>#DIV/0!</v>
      </c>
      <c r="AI8" s="57" t="e">
        <f t="shared" si="7"/>
        <v>#DIV/0!</v>
      </c>
      <c r="AJ8" s="57" t="e">
        <f t="shared" si="7"/>
        <v>#DIV/0!</v>
      </c>
      <c r="AK8" s="57" t="e">
        <f t="shared" si="7"/>
        <v>#DIV/0!</v>
      </c>
      <c r="AL8" s="57" t="e">
        <f t="shared" si="7"/>
        <v>#DIV/0!</v>
      </c>
      <c r="AM8" s="57" t="e">
        <f t="shared" si="7"/>
        <v>#DIV/0!</v>
      </c>
      <c r="AN8" s="57" t="e">
        <f t="shared" si="7"/>
        <v>#DIV/0!</v>
      </c>
      <c r="AO8" s="57" t="e">
        <f t="shared" si="7"/>
        <v>#DIV/0!</v>
      </c>
      <c r="AP8" s="57" t="e">
        <f t="shared" si="7"/>
        <v>#DIV/0!</v>
      </c>
      <c r="AQ8" s="57" t="e">
        <f t="shared" si="7"/>
        <v>#DIV/0!</v>
      </c>
      <c r="AR8" s="57" t="e">
        <f t="shared" si="7"/>
        <v>#DIV/0!</v>
      </c>
      <c r="AS8" s="57" t="e">
        <f t="shared" si="7"/>
        <v>#DIV/0!</v>
      </c>
      <c r="AT8" s="57" t="e">
        <f t="shared" si="7"/>
        <v>#DIV/0!</v>
      </c>
      <c r="AU8" s="57" t="e">
        <f t="shared" si="7"/>
        <v>#DIV/0!</v>
      </c>
      <c r="AV8" s="57" t="e">
        <f t="shared" si="7"/>
        <v>#DIV/0!</v>
      </c>
      <c r="AW8" s="57" t="e">
        <f t="shared" si="7"/>
        <v>#DIV/0!</v>
      </c>
      <c r="AX8" s="57" t="e">
        <f t="shared" si="7"/>
        <v>#DIV/0!</v>
      </c>
      <c r="AY8" s="57" t="e">
        <f t="shared" si="7"/>
        <v>#DIV/0!</v>
      </c>
      <c r="AZ8" s="57" t="e">
        <f t="shared" si="7"/>
        <v>#DIV/0!</v>
      </c>
      <c r="BA8" s="57" t="e">
        <f t="shared" si="7"/>
        <v>#DIV/0!</v>
      </c>
      <c r="BB8" s="57" t="e">
        <f t="shared" si="7"/>
        <v>#DIV/0!</v>
      </c>
      <c r="BC8" s="57" t="e">
        <f t="shared" si="7"/>
        <v>#DIV/0!</v>
      </c>
      <c r="BD8" s="57" t="e">
        <f t="shared" si="7"/>
        <v>#DIV/0!</v>
      </c>
      <c r="BE8" s="57" t="e">
        <f t="shared" si="7"/>
        <v>#DIV/0!</v>
      </c>
      <c r="BF8" s="57" t="e">
        <f t="shared" si="7"/>
        <v>#DIV/0!</v>
      </c>
      <c r="BG8" s="57" t="e">
        <f t="shared" si="7"/>
        <v>#DIV/0!</v>
      </c>
      <c r="BH8" s="57" t="e">
        <f t="shared" si="7"/>
        <v>#DIV/0!</v>
      </c>
      <c r="BI8" s="57" t="e">
        <f t="shared" si="7"/>
        <v>#DIV/0!</v>
      </c>
      <c r="BJ8" s="57" t="e">
        <f t="shared" si="7"/>
        <v>#DIV/0!</v>
      </c>
      <c r="BK8" s="57" t="e">
        <f t="shared" si="7"/>
        <v>#DIV/0!</v>
      </c>
      <c r="BL8" s="57" t="e">
        <f t="shared" si="7"/>
        <v>#DIV/0!</v>
      </c>
      <c r="BM8" s="57" t="e">
        <f t="shared" si="7"/>
        <v>#DIV/0!</v>
      </c>
      <c r="BN8" s="57" t="e">
        <f t="shared" si="7"/>
        <v>#DIV/0!</v>
      </c>
      <c r="BO8" s="57" t="e">
        <f t="shared" si="7"/>
        <v>#DIV/0!</v>
      </c>
      <c r="BP8" s="57" t="e">
        <f t="shared" si="7"/>
        <v>#DIV/0!</v>
      </c>
      <c r="BQ8" s="57" t="e">
        <f t="shared" si="7"/>
        <v>#DIV/0!</v>
      </c>
      <c r="BR8" s="57" t="e">
        <f t="shared" ref="BR8:CJ8" si="8">BR7/BR2</f>
        <v>#DIV/0!</v>
      </c>
      <c r="BS8" s="57" t="e">
        <f t="shared" si="8"/>
        <v>#DIV/0!</v>
      </c>
      <c r="BT8" s="57" t="e">
        <f t="shared" si="8"/>
        <v>#DIV/0!</v>
      </c>
      <c r="BU8" s="57" t="e">
        <f t="shared" si="8"/>
        <v>#DIV/0!</v>
      </c>
      <c r="BV8" s="57" t="e">
        <f t="shared" si="8"/>
        <v>#DIV/0!</v>
      </c>
      <c r="BW8" s="57" t="e">
        <f t="shared" si="8"/>
        <v>#DIV/0!</v>
      </c>
      <c r="BX8" s="57" t="e">
        <f t="shared" si="8"/>
        <v>#DIV/0!</v>
      </c>
      <c r="BY8" s="57" t="e">
        <f t="shared" si="8"/>
        <v>#DIV/0!</v>
      </c>
      <c r="BZ8" s="57" t="e">
        <f t="shared" si="8"/>
        <v>#DIV/0!</v>
      </c>
      <c r="CA8" s="57" t="e">
        <f t="shared" si="8"/>
        <v>#DIV/0!</v>
      </c>
      <c r="CB8" s="57" t="e">
        <f t="shared" si="8"/>
        <v>#DIV/0!</v>
      </c>
      <c r="CC8" s="57" t="e">
        <f t="shared" si="8"/>
        <v>#DIV/0!</v>
      </c>
      <c r="CD8" s="57" t="e">
        <f t="shared" si="8"/>
        <v>#DIV/0!</v>
      </c>
      <c r="CE8" s="57" t="e">
        <f t="shared" si="8"/>
        <v>#DIV/0!</v>
      </c>
      <c r="CF8" s="57" t="e">
        <f t="shared" si="8"/>
        <v>#DIV/0!</v>
      </c>
      <c r="CG8" s="57" t="e">
        <f t="shared" si="8"/>
        <v>#DIV/0!</v>
      </c>
      <c r="CH8" s="57" t="e">
        <f t="shared" si="8"/>
        <v>#DIV/0!</v>
      </c>
      <c r="CI8" s="57" t="e">
        <f t="shared" si="8"/>
        <v>#DIV/0!</v>
      </c>
      <c r="CJ8" s="57" t="e">
        <f t="shared" si="8"/>
        <v>#DIV/0!</v>
      </c>
    </row>
    <row r="9" spans="1:89" s="57" customFormat="1">
      <c r="A9" s="20" t="s">
        <v>361</v>
      </c>
      <c r="E9" s="57">
        <f>(E7-I7)/I7</f>
        <v>0.23887040324591188</v>
      </c>
      <c r="F9" s="57">
        <f t="shared" ref="F9:BQ9" si="9">(F7-J7)/J7</f>
        <v>-6.0710528013800244E-3</v>
      </c>
      <c r="G9" s="57">
        <f t="shared" si="9"/>
        <v>-4.0571374687518841E-2</v>
      </c>
      <c r="H9" s="57">
        <f t="shared" si="9"/>
        <v>-0.12822563341526977</v>
      </c>
      <c r="I9" s="57">
        <f t="shared" si="9"/>
        <v>0.12542221382027158</v>
      </c>
      <c r="J9" s="57">
        <f t="shared" si="9"/>
        <v>6.3494841086558521E-2</v>
      </c>
      <c r="K9" s="57">
        <f t="shared" si="9"/>
        <v>-0.57140138163963872</v>
      </c>
      <c r="L9" s="57">
        <f t="shared" si="9"/>
        <v>-0.92518868698176016</v>
      </c>
      <c r="M9" s="57">
        <f t="shared" si="9"/>
        <v>-0.28267016601473988</v>
      </c>
      <c r="N9" s="57">
        <f t="shared" si="9"/>
        <v>0.22906712540683735</v>
      </c>
      <c r="O9" s="57" t="e">
        <f t="shared" si="9"/>
        <v>#DIV/0!</v>
      </c>
      <c r="P9" s="57" t="e">
        <f t="shared" si="9"/>
        <v>#DIV/0!</v>
      </c>
      <c r="Q9" s="57" t="e">
        <f t="shared" si="9"/>
        <v>#DIV/0!</v>
      </c>
      <c r="R9" s="57" t="e">
        <f t="shared" si="9"/>
        <v>#DIV/0!</v>
      </c>
      <c r="S9" s="57" t="e">
        <f t="shared" si="9"/>
        <v>#DIV/0!</v>
      </c>
      <c r="T9" s="57" t="e">
        <f t="shared" si="9"/>
        <v>#DIV/0!</v>
      </c>
      <c r="U9" s="57" t="e">
        <f t="shared" si="9"/>
        <v>#DIV/0!</v>
      </c>
      <c r="V9" s="57" t="e">
        <f t="shared" si="9"/>
        <v>#DIV/0!</v>
      </c>
      <c r="W9" s="57" t="e">
        <f t="shared" si="9"/>
        <v>#DIV/0!</v>
      </c>
      <c r="X9" s="57" t="e">
        <f t="shared" si="9"/>
        <v>#DIV/0!</v>
      </c>
      <c r="Y9" s="57" t="e">
        <f t="shared" si="9"/>
        <v>#DIV/0!</v>
      </c>
      <c r="Z9" s="57" t="e">
        <f t="shared" si="9"/>
        <v>#DIV/0!</v>
      </c>
      <c r="AA9" s="57" t="e">
        <f t="shared" si="9"/>
        <v>#DIV/0!</v>
      </c>
      <c r="AB9" s="57" t="e">
        <f t="shared" si="9"/>
        <v>#DIV/0!</v>
      </c>
      <c r="AC9" s="57" t="e">
        <f t="shared" si="9"/>
        <v>#DIV/0!</v>
      </c>
      <c r="AD9" s="57" t="e">
        <f t="shared" si="9"/>
        <v>#DIV/0!</v>
      </c>
      <c r="AE9" s="57" t="e">
        <f t="shared" si="9"/>
        <v>#DIV/0!</v>
      </c>
      <c r="AF9" s="57" t="e">
        <f t="shared" si="9"/>
        <v>#DIV/0!</v>
      </c>
      <c r="AG9" s="57" t="e">
        <f t="shared" si="9"/>
        <v>#DIV/0!</v>
      </c>
      <c r="AH9" s="57" t="e">
        <f t="shared" si="9"/>
        <v>#DIV/0!</v>
      </c>
      <c r="AI9" s="57" t="e">
        <f t="shared" si="9"/>
        <v>#DIV/0!</v>
      </c>
      <c r="AJ9" s="57" t="e">
        <f t="shared" si="9"/>
        <v>#DIV/0!</v>
      </c>
      <c r="AK9" s="57" t="e">
        <f t="shared" si="9"/>
        <v>#DIV/0!</v>
      </c>
      <c r="AL9" s="57" t="e">
        <f t="shared" si="9"/>
        <v>#DIV/0!</v>
      </c>
      <c r="AM9" s="57" t="e">
        <f t="shared" si="9"/>
        <v>#DIV/0!</v>
      </c>
      <c r="AN9" s="57" t="e">
        <f t="shared" si="9"/>
        <v>#DIV/0!</v>
      </c>
      <c r="AO9" s="57" t="e">
        <f t="shared" si="9"/>
        <v>#DIV/0!</v>
      </c>
      <c r="AP9" s="57" t="e">
        <f t="shared" si="9"/>
        <v>#DIV/0!</v>
      </c>
      <c r="AQ9" s="57" t="e">
        <f t="shared" si="9"/>
        <v>#DIV/0!</v>
      </c>
      <c r="AR9" s="57" t="e">
        <f t="shared" si="9"/>
        <v>#DIV/0!</v>
      </c>
      <c r="AS9" s="57" t="e">
        <f t="shared" si="9"/>
        <v>#DIV/0!</v>
      </c>
      <c r="AT9" s="57" t="e">
        <f t="shared" si="9"/>
        <v>#DIV/0!</v>
      </c>
      <c r="AU9" s="57" t="e">
        <f t="shared" si="9"/>
        <v>#DIV/0!</v>
      </c>
      <c r="AV9" s="57" t="e">
        <f t="shared" si="9"/>
        <v>#DIV/0!</v>
      </c>
      <c r="AW9" s="57" t="e">
        <f t="shared" si="9"/>
        <v>#DIV/0!</v>
      </c>
      <c r="AX9" s="57" t="e">
        <f t="shared" si="9"/>
        <v>#DIV/0!</v>
      </c>
      <c r="AY9" s="57" t="e">
        <f t="shared" si="9"/>
        <v>#DIV/0!</v>
      </c>
      <c r="AZ9" s="57" t="e">
        <f t="shared" si="9"/>
        <v>#DIV/0!</v>
      </c>
      <c r="BA9" s="57" t="e">
        <f t="shared" si="9"/>
        <v>#DIV/0!</v>
      </c>
      <c r="BB9" s="57" t="e">
        <f t="shared" si="9"/>
        <v>#DIV/0!</v>
      </c>
      <c r="BC9" s="57" t="e">
        <f t="shared" si="9"/>
        <v>#DIV/0!</v>
      </c>
      <c r="BD9" s="57" t="e">
        <f t="shared" si="9"/>
        <v>#DIV/0!</v>
      </c>
      <c r="BE9" s="57" t="e">
        <f t="shared" si="9"/>
        <v>#DIV/0!</v>
      </c>
      <c r="BF9" s="57" t="e">
        <f t="shared" si="9"/>
        <v>#DIV/0!</v>
      </c>
      <c r="BG9" s="57" t="e">
        <f t="shared" si="9"/>
        <v>#DIV/0!</v>
      </c>
      <c r="BH9" s="57" t="e">
        <f t="shared" si="9"/>
        <v>#DIV/0!</v>
      </c>
      <c r="BI9" s="57" t="e">
        <f t="shared" si="9"/>
        <v>#DIV/0!</v>
      </c>
      <c r="BJ9" s="57" t="e">
        <f t="shared" si="9"/>
        <v>#DIV/0!</v>
      </c>
      <c r="BK9" s="57" t="e">
        <f t="shared" si="9"/>
        <v>#DIV/0!</v>
      </c>
      <c r="BL9" s="57" t="e">
        <f t="shared" si="9"/>
        <v>#DIV/0!</v>
      </c>
      <c r="BM9" s="57" t="e">
        <f t="shared" si="9"/>
        <v>#DIV/0!</v>
      </c>
      <c r="BN9" s="57" t="e">
        <f t="shared" si="9"/>
        <v>#DIV/0!</v>
      </c>
      <c r="BO9" s="57" t="e">
        <f t="shared" si="9"/>
        <v>#DIV/0!</v>
      </c>
      <c r="BP9" s="57" t="e">
        <f t="shared" si="9"/>
        <v>#DIV/0!</v>
      </c>
      <c r="BQ9" s="57" t="e">
        <f t="shared" si="9"/>
        <v>#DIV/0!</v>
      </c>
      <c r="BR9" s="57" t="e">
        <f t="shared" ref="BR9:CK9" si="10">(BR7-BV7)/BV7</f>
        <v>#DIV/0!</v>
      </c>
      <c r="BS9" s="57" t="e">
        <f t="shared" si="10"/>
        <v>#DIV/0!</v>
      </c>
      <c r="BT9" s="57" t="e">
        <f t="shared" si="10"/>
        <v>#DIV/0!</v>
      </c>
      <c r="BU9" s="57" t="e">
        <f t="shared" si="10"/>
        <v>#DIV/0!</v>
      </c>
      <c r="BV9" s="57" t="e">
        <f t="shared" si="10"/>
        <v>#DIV/0!</v>
      </c>
      <c r="BW9" s="57" t="e">
        <f t="shared" si="10"/>
        <v>#DIV/0!</v>
      </c>
      <c r="BX9" s="57" t="e">
        <f t="shared" si="10"/>
        <v>#DIV/0!</v>
      </c>
      <c r="BY9" s="57" t="e">
        <f t="shared" si="10"/>
        <v>#DIV/0!</v>
      </c>
      <c r="BZ9" s="57" t="e">
        <f t="shared" si="10"/>
        <v>#DIV/0!</v>
      </c>
      <c r="CA9" s="57" t="e">
        <f t="shared" si="10"/>
        <v>#DIV/0!</v>
      </c>
      <c r="CB9" s="57" t="e">
        <f t="shared" si="10"/>
        <v>#DIV/0!</v>
      </c>
      <c r="CC9" s="57" t="e">
        <f t="shared" si="10"/>
        <v>#DIV/0!</v>
      </c>
      <c r="CD9" s="57" t="e">
        <f t="shared" si="10"/>
        <v>#DIV/0!</v>
      </c>
      <c r="CE9" s="57" t="e">
        <f t="shared" si="10"/>
        <v>#DIV/0!</v>
      </c>
      <c r="CF9" s="57" t="e">
        <f t="shared" si="10"/>
        <v>#DIV/0!</v>
      </c>
      <c r="CG9" s="57" t="e">
        <f t="shared" si="10"/>
        <v>#DIV/0!</v>
      </c>
      <c r="CH9" s="57" t="e">
        <f t="shared" si="10"/>
        <v>#DIV/0!</v>
      </c>
      <c r="CI9" s="57" t="e">
        <f t="shared" si="10"/>
        <v>#DIV/0!</v>
      </c>
      <c r="CJ9" s="57" t="e">
        <f t="shared" si="10"/>
        <v>#DIV/0!</v>
      </c>
      <c r="CK9" s="57" t="e">
        <f t="shared" si="10"/>
        <v>#DIV/0!</v>
      </c>
    </row>
    <row r="10" spans="1:89" s="27" customFormat="1">
      <c r="A10" s="132" t="s">
        <v>362</v>
      </c>
      <c r="E10" s="27">
        <f>股权价值增加表!E8</f>
        <v>2397024.87</v>
      </c>
      <c r="F10" s="27">
        <f>股权价值增加表!F8</f>
        <v>1266084.77</v>
      </c>
      <c r="G10" s="27">
        <f>股权价值增加表!G8</f>
        <v>984904.94</v>
      </c>
      <c r="H10" s="27">
        <f>股权价值增加表!H8</f>
        <v>139833.49</v>
      </c>
      <c r="I10" s="27">
        <f>股权价值增加表!I8</f>
        <v>2195669.7200000002</v>
      </c>
      <c r="J10" s="27">
        <f>股权价值增加表!J8</f>
        <v>1259674.06</v>
      </c>
      <c r="K10" s="27">
        <f>股权价值增加表!K8</f>
        <v>927673.42</v>
      </c>
      <c r="L10" s="27">
        <f>股权价值增加表!L8</f>
        <v>142314.60999999999</v>
      </c>
      <c r="M10" s="27">
        <f>股权价值增加表!M8</f>
        <v>1747049.33</v>
      </c>
      <c r="N10" s="27">
        <f>股权价值增加表!N8</f>
        <v>1136002.7</v>
      </c>
      <c r="O10" s="27">
        <f>股权价值增加表!O8</f>
        <v>2231414.33</v>
      </c>
      <c r="P10" s="27">
        <f>股权价值增加表!P8</f>
        <v>3475309.93</v>
      </c>
      <c r="Q10" s="27">
        <f>股权价值增加表!Q8</f>
        <v>2926714.87</v>
      </c>
      <c r="R10" s="27">
        <f>股权价值增加表!R8</f>
        <v>1473764.86</v>
      </c>
      <c r="S10" s="27">
        <f>股权价值增加表!S8</f>
        <v>0</v>
      </c>
      <c r="T10" s="27">
        <f>股权价值增加表!T8</f>
        <v>0</v>
      </c>
      <c r="U10" s="27">
        <f>股权价值增加表!U8</f>
        <v>0</v>
      </c>
      <c r="V10" s="27">
        <f>股权价值增加表!V8</f>
        <v>0</v>
      </c>
      <c r="W10" s="27">
        <f>股权价值增加表!W8</f>
        <v>0</v>
      </c>
      <c r="X10" s="27">
        <f>股权价值增加表!X8</f>
        <v>0</v>
      </c>
      <c r="Y10" s="27">
        <f>股权价值增加表!Y8</f>
        <v>0</v>
      </c>
      <c r="Z10" s="27">
        <f>股权价值增加表!Z8</f>
        <v>0</v>
      </c>
      <c r="AA10" s="27">
        <f>股权价值增加表!AA8</f>
        <v>0</v>
      </c>
      <c r="AB10" s="27">
        <f>股权价值增加表!AB8</f>
        <v>0</v>
      </c>
      <c r="AC10" s="27">
        <f>股权价值增加表!AC8</f>
        <v>0</v>
      </c>
      <c r="AD10" s="27">
        <f>股权价值增加表!AD8</f>
        <v>0</v>
      </c>
      <c r="AE10" s="27">
        <f>股权价值增加表!AE8</f>
        <v>0</v>
      </c>
      <c r="AF10" s="27">
        <f>股权价值增加表!AF8</f>
        <v>0</v>
      </c>
      <c r="AG10" s="27">
        <f>股权价值增加表!AG8</f>
        <v>0</v>
      </c>
      <c r="AH10" s="27">
        <f>股权价值增加表!AH8</f>
        <v>0</v>
      </c>
      <c r="AI10" s="27">
        <f>股权价值增加表!AI8</f>
        <v>0</v>
      </c>
      <c r="AJ10" s="27">
        <f>股权价值增加表!AJ8</f>
        <v>0</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c r="A11" s="20" t="s">
        <v>363</v>
      </c>
      <c r="E11" s="57">
        <f>E10/E2</f>
        <v>1.2469641476530371E-2</v>
      </c>
      <c r="F11" s="57">
        <f t="shared" ref="F11:BQ11" si="11">F10/F2</f>
        <v>1.2391144406406705E-2</v>
      </c>
      <c r="G11" s="57">
        <f t="shared" si="11"/>
        <v>1.2640244245491929E-2</v>
      </c>
      <c r="H11" s="57">
        <f t="shared" si="11"/>
        <v>8.1972214328782309E-3</v>
      </c>
      <c r="I11" s="57">
        <f t="shared" si="11"/>
        <v>1.3248163411847452E-2</v>
      </c>
      <c r="J11" s="57">
        <f t="shared" si="11"/>
        <v>1.1609621640629075E-2</v>
      </c>
      <c r="K11" s="57">
        <f t="shared" si="11"/>
        <v>1.1456627409471259E-2</v>
      </c>
      <c r="L11" s="57">
        <f t="shared" si="11"/>
        <v>9.5054447194962179E-3</v>
      </c>
      <c r="M11" s="57">
        <f t="shared" si="11"/>
        <v>1.1763040910315554E-2</v>
      </c>
      <c r="N11" s="57">
        <f t="shared" si="11"/>
        <v>1.291533418513254E-2</v>
      </c>
      <c r="O11" s="57">
        <f t="shared" si="11"/>
        <v>1.244521110958996E-2</v>
      </c>
      <c r="P11" s="57">
        <f t="shared" si="11"/>
        <v>1.664514015030118E-2</v>
      </c>
      <c r="Q11" s="57">
        <f t="shared" si="11"/>
        <v>1.5125658663259177E-2</v>
      </c>
      <c r="R11" s="57">
        <f t="shared" si="11"/>
        <v>1.7927469176709215E-2</v>
      </c>
      <c r="S11" s="57" t="e">
        <f t="shared" si="11"/>
        <v>#DIV/0!</v>
      </c>
      <c r="T11" s="57" t="e">
        <f t="shared" si="11"/>
        <v>#DIV/0!</v>
      </c>
      <c r="U11" s="57" t="e">
        <f t="shared" si="11"/>
        <v>#DIV/0!</v>
      </c>
      <c r="V11" s="57" t="e">
        <f t="shared" si="11"/>
        <v>#DIV/0!</v>
      </c>
      <c r="W11" s="57" t="e">
        <f t="shared" si="11"/>
        <v>#DIV/0!</v>
      </c>
      <c r="X11" s="57" t="e">
        <f t="shared" si="11"/>
        <v>#DIV/0!</v>
      </c>
      <c r="Y11" s="57" t="e">
        <f t="shared" si="11"/>
        <v>#DIV/0!</v>
      </c>
      <c r="Z11" s="57" t="e">
        <f t="shared" si="11"/>
        <v>#DIV/0!</v>
      </c>
      <c r="AA11" s="57" t="e">
        <f t="shared" si="11"/>
        <v>#DIV/0!</v>
      </c>
      <c r="AB11" s="57" t="e">
        <f t="shared" si="11"/>
        <v>#DIV/0!</v>
      </c>
      <c r="AC11" s="57" t="e">
        <f t="shared" si="11"/>
        <v>#DIV/0!</v>
      </c>
      <c r="AD11" s="57" t="e">
        <f t="shared" si="11"/>
        <v>#DIV/0!</v>
      </c>
      <c r="AE11" s="57" t="e">
        <f t="shared" si="11"/>
        <v>#DIV/0!</v>
      </c>
      <c r="AF11" s="57" t="e">
        <f t="shared" si="11"/>
        <v>#DIV/0!</v>
      </c>
      <c r="AG11" s="57" t="e">
        <f t="shared" si="11"/>
        <v>#DIV/0!</v>
      </c>
      <c r="AH11" s="57" t="e">
        <f t="shared" si="11"/>
        <v>#DIV/0!</v>
      </c>
      <c r="AI11" s="57" t="e">
        <f t="shared" si="11"/>
        <v>#DIV/0!</v>
      </c>
      <c r="AJ11" s="57" t="e">
        <f t="shared" si="11"/>
        <v>#DIV/0!</v>
      </c>
      <c r="AK11" s="57" t="e">
        <f t="shared" si="11"/>
        <v>#DIV/0!</v>
      </c>
      <c r="AL11" s="57" t="e">
        <f t="shared" si="11"/>
        <v>#DIV/0!</v>
      </c>
      <c r="AM11" s="57" t="e">
        <f t="shared" si="11"/>
        <v>#DIV/0!</v>
      </c>
      <c r="AN11" s="57" t="e">
        <f t="shared" si="11"/>
        <v>#DIV/0!</v>
      </c>
      <c r="AO11" s="57" t="e">
        <f t="shared" si="11"/>
        <v>#DIV/0!</v>
      </c>
      <c r="AP11" s="57" t="e">
        <f t="shared" si="11"/>
        <v>#DIV/0!</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c r="A12" s="132" t="s">
        <v>364</v>
      </c>
      <c r="E12" s="27">
        <f>股权价值增加表!E9</f>
        <v>20566807.210000001</v>
      </c>
      <c r="F12" s="27">
        <f>股权价值增加表!F9</f>
        <v>13350279.67</v>
      </c>
      <c r="G12" s="27">
        <f>股权价值增加表!G9</f>
        <v>9627779.7100000009</v>
      </c>
      <c r="H12" s="27">
        <f>股权价值增加表!H9</f>
        <v>3370993.09</v>
      </c>
      <c r="I12" s="27">
        <f>股权价值增加表!I9</f>
        <v>16118234.609999999</v>
      </c>
      <c r="J12" s="27">
        <f>股权价值增加表!J9</f>
        <v>10352105.4</v>
      </c>
      <c r="K12" s="27">
        <f>股权价值增加表!K9</f>
        <v>7227577.8700000001</v>
      </c>
      <c r="L12" s="27">
        <f>股权价值增加表!L9</f>
        <v>2658685.62</v>
      </c>
      <c r="M12" s="27">
        <f>股权价值增加表!M9</f>
        <v>14305084.869999999</v>
      </c>
      <c r="N12" s="27">
        <f>股权价值增加表!N9</f>
        <v>8136169.1799999997</v>
      </c>
      <c r="O12" s="27">
        <f>股权价值增加表!O9</f>
        <v>13333535.85</v>
      </c>
      <c r="P12" s="27">
        <f>股权价值增加表!P9</f>
        <v>14138156.1</v>
      </c>
      <c r="Q12" s="27">
        <f>股权价值增加表!Q9</f>
        <v>16608992.76</v>
      </c>
      <c r="R12" s="27">
        <f>股权价值增加表!R9</f>
        <v>4499025.5999999996</v>
      </c>
      <c r="S12" s="27">
        <f>股权价值增加表!S9</f>
        <v>0</v>
      </c>
      <c r="T12" s="27">
        <f>股权价值增加表!T9</f>
        <v>0</v>
      </c>
      <c r="U12" s="27">
        <f>股权价值增加表!U9</f>
        <v>0</v>
      </c>
      <c r="V12" s="27">
        <f>股权价值增加表!V9</f>
        <v>0</v>
      </c>
      <c r="W12" s="27">
        <f>股权价值增加表!W9</f>
        <v>0</v>
      </c>
      <c r="X12" s="27">
        <f>股权价值增加表!X9</f>
        <v>0</v>
      </c>
      <c r="Y12" s="27">
        <f>股权价值增加表!Y9</f>
        <v>0</v>
      </c>
      <c r="Z12" s="27">
        <f>股权价值增加表!Z9</f>
        <v>0</v>
      </c>
      <c r="AA12" s="27">
        <f>股权价值增加表!AA9</f>
        <v>0</v>
      </c>
      <c r="AB12" s="27">
        <f>股权价值增加表!AB9</f>
        <v>0</v>
      </c>
      <c r="AC12" s="27">
        <f>股权价值增加表!AC9</f>
        <v>0</v>
      </c>
      <c r="AD12" s="27">
        <f>股权价值增加表!AD9</f>
        <v>0</v>
      </c>
      <c r="AE12" s="27">
        <f>股权价值增加表!AE9</f>
        <v>0</v>
      </c>
      <c r="AF12" s="27">
        <f>股权价值增加表!AF9</f>
        <v>0</v>
      </c>
      <c r="AG12" s="27">
        <f>股权价值增加表!AG9</f>
        <v>0</v>
      </c>
      <c r="AH12" s="27">
        <f>股权价值增加表!AH9</f>
        <v>0</v>
      </c>
      <c r="AI12" s="27">
        <f>股权价值增加表!AI9</f>
        <v>0</v>
      </c>
      <c r="AJ12" s="27">
        <f>股权价值增加表!AJ9</f>
        <v>0</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c r="A13" s="20" t="s">
        <v>365</v>
      </c>
      <c r="E13" s="57">
        <f>E12/E2</f>
        <v>0.10699126047266247</v>
      </c>
      <c r="F13" s="57">
        <f t="shared" ref="F13:BQ13" si="13">F12/F2</f>
        <v>0.13065889992254281</v>
      </c>
      <c r="G13" s="57">
        <f t="shared" si="13"/>
        <v>0.12356267303948285</v>
      </c>
      <c r="H13" s="57">
        <f t="shared" si="13"/>
        <v>0.19761200844970983</v>
      </c>
      <c r="I13" s="57">
        <f t="shared" si="13"/>
        <v>9.7253700808778862E-2</v>
      </c>
      <c r="J13" s="57">
        <f t="shared" si="13"/>
        <v>9.540882891397566E-2</v>
      </c>
      <c r="K13" s="57">
        <f t="shared" si="13"/>
        <v>8.9259501182571227E-2</v>
      </c>
      <c r="L13" s="57">
        <f t="shared" si="13"/>
        <v>0.17757831882074182</v>
      </c>
      <c r="M13" s="57">
        <f t="shared" si="13"/>
        <v>9.6317428284263762E-2</v>
      </c>
      <c r="N13" s="57">
        <f t="shared" si="13"/>
        <v>9.2500963198833747E-2</v>
      </c>
      <c r="O13" s="57">
        <f t="shared" si="13"/>
        <v>7.4364794677345289E-2</v>
      </c>
      <c r="P13" s="57">
        <f t="shared" si="13"/>
        <v>6.771528136810967E-2</v>
      </c>
      <c r="Q13" s="57">
        <f t="shared" si="13"/>
        <v>8.5837523088917428E-2</v>
      </c>
      <c r="R13" s="57">
        <f t="shared" si="13"/>
        <v>5.4727958956237888E-2</v>
      </c>
      <c r="S13" s="57" t="e">
        <f t="shared" si="13"/>
        <v>#DIV/0!</v>
      </c>
      <c r="T13" s="57" t="e">
        <f t="shared" si="13"/>
        <v>#DIV/0!</v>
      </c>
      <c r="U13" s="57" t="e">
        <f t="shared" si="13"/>
        <v>#DIV/0!</v>
      </c>
      <c r="V13" s="57" t="e">
        <f t="shared" si="13"/>
        <v>#DIV/0!</v>
      </c>
      <c r="W13" s="57" t="e">
        <f t="shared" si="13"/>
        <v>#DIV/0!</v>
      </c>
      <c r="X13" s="57" t="e">
        <f t="shared" si="13"/>
        <v>#DIV/0!</v>
      </c>
      <c r="Y13" s="57" t="e">
        <f t="shared" si="13"/>
        <v>#DIV/0!</v>
      </c>
      <c r="Z13" s="57" t="e">
        <f t="shared" si="13"/>
        <v>#DIV/0!</v>
      </c>
      <c r="AA13" s="57" t="e">
        <f t="shared" si="13"/>
        <v>#DIV/0!</v>
      </c>
      <c r="AB13" s="57" t="e">
        <f t="shared" si="13"/>
        <v>#DIV/0!</v>
      </c>
      <c r="AC13" s="57" t="e">
        <f t="shared" si="13"/>
        <v>#DIV/0!</v>
      </c>
      <c r="AD13" s="57" t="e">
        <f t="shared" si="13"/>
        <v>#DIV/0!</v>
      </c>
      <c r="AE13" s="57" t="e">
        <f t="shared" si="13"/>
        <v>#DIV/0!</v>
      </c>
      <c r="AF13" s="57" t="e">
        <f t="shared" si="13"/>
        <v>#DIV/0!</v>
      </c>
      <c r="AG13" s="57" t="e">
        <f t="shared" si="13"/>
        <v>#DIV/0!</v>
      </c>
      <c r="AH13" s="57" t="e">
        <f t="shared" si="13"/>
        <v>#DIV/0!</v>
      </c>
      <c r="AI13" s="57" t="e">
        <f t="shared" si="13"/>
        <v>#DIV/0!</v>
      </c>
      <c r="AJ13" s="57" t="e">
        <f t="shared" si="13"/>
        <v>#DIV/0!</v>
      </c>
      <c r="AK13" s="57" t="e">
        <f t="shared" si="13"/>
        <v>#DIV/0!</v>
      </c>
      <c r="AL13" s="57" t="e">
        <f t="shared" si="13"/>
        <v>#DIV/0!</v>
      </c>
      <c r="AM13" s="57" t="e">
        <f t="shared" si="13"/>
        <v>#DIV/0!</v>
      </c>
      <c r="AN13" s="57" t="e">
        <f t="shared" si="13"/>
        <v>#DIV/0!</v>
      </c>
      <c r="AO13" s="57" t="e">
        <f t="shared" si="13"/>
        <v>#DIV/0!</v>
      </c>
      <c r="AP13" s="57" t="e">
        <f t="shared" si="13"/>
        <v>#DIV/0!</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c r="A14" s="132" t="s">
        <v>366</v>
      </c>
      <c r="E14" s="26">
        <f>股权价值增加表!E10</f>
        <v>38524427.229999997</v>
      </c>
      <c r="F14" s="26">
        <f>股权价值增加表!F10</f>
        <v>22539345.670000002</v>
      </c>
      <c r="G14" s="26">
        <f>股权价值增加表!G10</f>
        <v>14877141.970000001</v>
      </c>
      <c r="H14" s="26">
        <f>股权价值增加表!H10</f>
        <v>5424224.0199999996</v>
      </c>
      <c r="I14" s="26">
        <f>股权价值增加表!I10</f>
        <v>22577434.48</v>
      </c>
      <c r="J14" s="26">
        <f>股权价值增加表!J10</f>
        <v>14471188.65</v>
      </c>
      <c r="K14" s="26">
        <f>股权价值增加表!K10</f>
        <v>9701188.6500000004</v>
      </c>
      <c r="L14" s="26">
        <f>股权价值增加表!L10</f>
        <v>4277425.83</v>
      </c>
      <c r="M14" s="26">
        <f>股权价值增加表!M10</f>
        <v>22058886.629999999</v>
      </c>
      <c r="N14" s="26">
        <f>股权价值增加表!N10</f>
        <v>11482716.140000001</v>
      </c>
      <c r="O14" s="26">
        <f>股权价值增加表!O10</f>
        <v>23007124.91</v>
      </c>
      <c r="P14" s="26">
        <f>股权价值增加表!P10</f>
        <v>20900968.23</v>
      </c>
      <c r="Q14" s="26">
        <f>股权价值增加表!Q10</f>
        <v>23044046.52</v>
      </c>
      <c r="R14" s="26">
        <f>股权价值增加表!R10</f>
        <v>10039312.09</v>
      </c>
      <c r="S14" s="26">
        <f>股权价值增加表!S10</f>
        <v>0</v>
      </c>
      <c r="T14" s="26">
        <f>股权价值增加表!T10</f>
        <v>0</v>
      </c>
      <c r="U14" s="26">
        <f>股权价值增加表!U10</f>
        <v>0</v>
      </c>
      <c r="V14" s="26">
        <f>股权价值增加表!V10</f>
        <v>0</v>
      </c>
      <c r="W14" s="26">
        <f>股权价值增加表!W10</f>
        <v>0</v>
      </c>
      <c r="X14" s="26">
        <f>股权价值增加表!X10</f>
        <v>0</v>
      </c>
      <c r="Y14" s="26">
        <f>股权价值增加表!Y10</f>
        <v>0</v>
      </c>
      <c r="Z14" s="26">
        <f>股权价值增加表!Z10</f>
        <v>0</v>
      </c>
      <c r="AA14" s="26">
        <f>股权价值增加表!AA10</f>
        <v>0</v>
      </c>
      <c r="AB14" s="26">
        <f>股权价值增加表!AB10</f>
        <v>0</v>
      </c>
      <c r="AC14" s="26">
        <f>股权价值增加表!AC10</f>
        <v>0</v>
      </c>
      <c r="AD14" s="26">
        <f>股权价值增加表!AD10</f>
        <v>0</v>
      </c>
      <c r="AE14" s="26">
        <f>股权价值增加表!AE10</f>
        <v>0</v>
      </c>
      <c r="AF14" s="26">
        <f>股权价值增加表!AF10</f>
        <v>0</v>
      </c>
      <c r="AG14" s="26">
        <f>股权价值增加表!AG10</f>
        <v>0</v>
      </c>
      <c r="AH14" s="26">
        <f>股权价值增加表!AH10</f>
        <v>0</v>
      </c>
      <c r="AI14" s="26">
        <f>股权价值增加表!AI10</f>
        <v>0</v>
      </c>
      <c r="AJ14" s="26">
        <f>股权价值增加表!AJ10</f>
        <v>0</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c r="A15" s="20" t="s">
        <v>367</v>
      </c>
      <c r="E15" s="57">
        <f>E14/E2</f>
        <v>0.20040918292465776</v>
      </c>
      <c r="F15" s="57">
        <f t="shared" ref="F15:BQ15" si="15">F14/F2</f>
        <v>0.22059209117797673</v>
      </c>
      <c r="G15" s="57">
        <f t="shared" si="15"/>
        <v>0.19093285101774285</v>
      </c>
      <c r="H15" s="57">
        <f t="shared" si="15"/>
        <v>0.31797508160224647</v>
      </c>
      <c r="I15" s="57">
        <f t="shared" si="15"/>
        <v>0.13622701934028544</v>
      </c>
      <c r="J15" s="57">
        <f t="shared" si="15"/>
        <v>0.13337182232415412</v>
      </c>
      <c r="K15" s="57">
        <f t="shared" si="15"/>
        <v>0.11980822280328079</v>
      </c>
      <c r="L15" s="57">
        <f t="shared" si="15"/>
        <v>0.28569684285267855</v>
      </c>
      <c r="M15" s="57">
        <f t="shared" si="15"/>
        <v>0.14852447575976735</v>
      </c>
      <c r="N15" s="57">
        <f t="shared" si="15"/>
        <v>0.13054820758886856</v>
      </c>
      <c r="O15" s="57">
        <f t="shared" si="15"/>
        <v>0.12831706002786847</v>
      </c>
      <c r="P15" s="57">
        <f t="shared" si="15"/>
        <v>0.10010604880507518</v>
      </c>
      <c r="Q15" s="57">
        <f t="shared" si="15"/>
        <v>0.11909475209034814</v>
      </c>
      <c r="R15" s="57">
        <f t="shared" si="15"/>
        <v>0.12212223464796085</v>
      </c>
      <c r="S15" s="57" t="e">
        <f t="shared" si="15"/>
        <v>#DIV/0!</v>
      </c>
      <c r="T15" s="57" t="e">
        <f t="shared" si="15"/>
        <v>#DIV/0!</v>
      </c>
      <c r="U15" s="57" t="e">
        <f t="shared" si="15"/>
        <v>#DIV/0!</v>
      </c>
      <c r="V15" s="57" t="e">
        <f t="shared" si="15"/>
        <v>#DIV/0!</v>
      </c>
      <c r="W15" s="57" t="e">
        <f t="shared" si="15"/>
        <v>#DIV/0!</v>
      </c>
      <c r="X15" s="57" t="e">
        <f t="shared" si="15"/>
        <v>#DIV/0!</v>
      </c>
      <c r="Y15" s="57" t="e">
        <f t="shared" si="15"/>
        <v>#DIV/0!</v>
      </c>
      <c r="Z15" s="57" t="e">
        <f t="shared" si="15"/>
        <v>#DIV/0!</v>
      </c>
      <c r="AA15" s="57" t="e">
        <f t="shared" si="15"/>
        <v>#DIV/0!</v>
      </c>
      <c r="AB15" s="57" t="e">
        <f t="shared" si="15"/>
        <v>#DIV/0!</v>
      </c>
      <c r="AC15" s="57" t="e">
        <f t="shared" si="15"/>
        <v>#DIV/0!</v>
      </c>
      <c r="AD15" s="57" t="e">
        <f t="shared" si="15"/>
        <v>#DIV/0!</v>
      </c>
      <c r="AE15" s="57" t="e">
        <f t="shared" si="15"/>
        <v>#DIV/0!</v>
      </c>
      <c r="AF15" s="57" t="e">
        <f t="shared" si="15"/>
        <v>#DIV/0!</v>
      </c>
      <c r="AG15" s="57" t="e">
        <f t="shared" si="15"/>
        <v>#DIV/0!</v>
      </c>
      <c r="AH15" s="57" t="e">
        <f t="shared" si="15"/>
        <v>#DIV/0!</v>
      </c>
      <c r="AI15" s="57" t="e">
        <f t="shared" si="15"/>
        <v>#DIV/0!</v>
      </c>
      <c r="AJ15" s="57" t="e">
        <f t="shared" si="15"/>
        <v>#DIV/0!</v>
      </c>
      <c r="AK15" s="57" t="e">
        <f t="shared" si="15"/>
        <v>#DIV/0!</v>
      </c>
      <c r="AL15" s="57" t="e">
        <f t="shared" si="15"/>
        <v>#DIV/0!</v>
      </c>
      <c r="AM15" s="57" t="e">
        <f t="shared" si="15"/>
        <v>#DIV/0!</v>
      </c>
      <c r="AN15" s="57" t="e">
        <f t="shared" si="15"/>
        <v>#DIV/0!</v>
      </c>
      <c r="AO15" s="57" t="e">
        <f t="shared" si="15"/>
        <v>#DIV/0!</v>
      </c>
      <c r="AP15" s="57" t="e">
        <f t="shared" si="15"/>
        <v>#DIV/0!</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c r="A16" s="132" t="s">
        <v>368</v>
      </c>
      <c r="E16" s="26">
        <f>股权价值增加表!E11</f>
        <v>915363.83999999997</v>
      </c>
      <c r="F16" s="26">
        <f>股权价值增加表!F11</f>
        <v>-646444.65</v>
      </c>
      <c r="G16" s="26">
        <f>股权价值增加表!G11</f>
        <v>830765.05</v>
      </c>
      <c r="H16" s="26">
        <f>股权价值增加表!H11</f>
        <v>-863721.48</v>
      </c>
      <c r="I16" s="26">
        <f>股权价值增加表!I11</f>
        <v>1464140.71</v>
      </c>
      <c r="J16" s="26">
        <f>股权价值增加表!J11</f>
        <v>1903352.37</v>
      </c>
      <c r="K16" s="26">
        <f>股权价值增加表!K11</f>
        <v>1508300.74</v>
      </c>
      <c r="L16" s="26">
        <f>股权价值增加表!L11</f>
        <v>-94731.69</v>
      </c>
      <c r="M16" s="26">
        <f>股权价值增加表!M11</f>
        <v>1510110.78</v>
      </c>
      <c r="N16" s="26">
        <f>股权价值增加表!N11</f>
        <v>1536238.17</v>
      </c>
      <c r="O16" s="26">
        <f>股权价值增加表!O11</f>
        <v>-30251.43</v>
      </c>
      <c r="P16" s="26">
        <f>股权价值增加表!P11</f>
        <v>2486104.23</v>
      </c>
      <c r="Q16" s="26">
        <f>股权价值增加表!Q11</f>
        <v>450874.54</v>
      </c>
      <c r="R16" s="26">
        <f>股权价值增加表!R11</f>
        <v>750922.39</v>
      </c>
      <c r="S16" s="26">
        <f>股权价值增加表!S11</f>
        <v>0</v>
      </c>
      <c r="T16" s="26">
        <f>股权价值增加表!T11</f>
        <v>0</v>
      </c>
      <c r="U16" s="26">
        <f>股权价值增加表!U11</f>
        <v>0</v>
      </c>
      <c r="V16" s="26">
        <f>股权价值增加表!V11</f>
        <v>0</v>
      </c>
      <c r="W16" s="26">
        <f>股权价值增加表!W11</f>
        <v>0</v>
      </c>
      <c r="X16" s="26">
        <f>股权价值增加表!X11</f>
        <v>0</v>
      </c>
      <c r="Y16" s="26">
        <f>股权价值增加表!Y11</f>
        <v>0</v>
      </c>
      <c r="Z16" s="26">
        <f>股权价值增加表!Z11</f>
        <v>0</v>
      </c>
      <c r="AA16" s="26">
        <f>股权价值增加表!AA11</f>
        <v>0</v>
      </c>
      <c r="AB16" s="26">
        <f>股权价值增加表!AB11</f>
        <v>0</v>
      </c>
      <c r="AC16" s="26">
        <f>股权价值增加表!AC11</f>
        <v>0</v>
      </c>
      <c r="AD16" s="26">
        <f>股权价值增加表!AD11</f>
        <v>0</v>
      </c>
      <c r="AE16" s="26">
        <f>股权价值增加表!AE11</f>
        <v>0</v>
      </c>
      <c r="AF16" s="26">
        <f>股权价值增加表!AF11</f>
        <v>0</v>
      </c>
      <c r="AG16" s="26">
        <f>股权价值增加表!AG11</f>
        <v>0</v>
      </c>
      <c r="AH16" s="26">
        <f>股权价值增加表!AH11</f>
        <v>0</v>
      </c>
      <c r="AI16" s="26">
        <f>股权价值增加表!AI11</f>
        <v>0</v>
      </c>
      <c r="AJ16" s="26">
        <f>股权价值增加表!AJ11</f>
        <v>0</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c r="A17" s="20" t="s">
        <v>369</v>
      </c>
      <c r="E17" s="57">
        <f>E16/E2</f>
        <v>4.7618441711787954E-3</v>
      </c>
      <c r="F17" s="57">
        <f t="shared" ref="F17:BQ17" si="17">F16/F2</f>
        <v>-6.3267398824322319E-3</v>
      </c>
      <c r="G17" s="57">
        <f t="shared" si="17"/>
        <v>1.066201692786546E-2</v>
      </c>
      <c r="H17" s="57">
        <f t="shared" si="17"/>
        <v>-5.0632478871072348E-2</v>
      </c>
      <c r="I17" s="57">
        <f t="shared" si="17"/>
        <v>8.8342865082724504E-3</v>
      </c>
      <c r="J17" s="57">
        <f t="shared" si="17"/>
        <v>1.7541998812371066E-2</v>
      </c>
      <c r="K17" s="57">
        <f t="shared" si="17"/>
        <v>1.8627287606892716E-2</v>
      </c>
      <c r="L17" s="57">
        <f t="shared" si="17"/>
        <v>-6.3272972639945597E-3</v>
      </c>
      <c r="M17" s="57">
        <f t="shared" si="17"/>
        <v>1.0167712255868889E-2</v>
      </c>
      <c r="N17" s="57">
        <f t="shared" si="17"/>
        <v>1.7465653341762703E-2</v>
      </c>
      <c r="O17" s="57">
        <f t="shared" si="17"/>
        <v>-1.6872054089434076E-4</v>
      </c>
      <c r="P17" s="57">
        <f t="shared" si="17"/>
        <v>1.1907298678425091E-2</v>
      </c>
      <c r="Q17" s="57">
        <f t="shared" si="17"/>
        <v>2.3301806615668016E-3</v>
      </c>
      <c r="R17" s="57">
        <f t="shared" si="17"/>
        <v>9.1345223150630806E-3</v>
      </c>
      <c r="S17" s="57" t="e">
        <f t="shared" si="17"/>
        <v>#DIV/0!</v>
      </c>
      <c r="T17" s="57" t="e">
        <f t="shared" si="17"/>
        <v>#DIV/0!</v>
      </c>
      <c r="U17" s="57" t="e">
        <f t="shared" si="17"/>
        <v>#DIV/0!</v>
      </c>
      <c r="V17" s="57" t="e">
        <f t="shared" si="17"/>
        <v>#DIV/0!</v>
      </c>
      <c r="W17" s="57" t="e">
        <f t="shared" si="17"/>
        <v>#DIV/0!</v>
      </c>
      <c r="X17" s="57" t="e">
        <f t="shared" si="17"/>
        <v>#DIV/0!</v>
      </c>
      <c r="Y17" s="57" t="e">
        <f t="shared" si="17"/>
        <v>#DIV/0!</v>
      </c>
      <c r="Z17" s="57" t="e">
        <f t="shared" si="17"/>
        <v>#DIV/0!</v>
      </c>
      <c r="AA17" s="57" t="e">
        <f t="shared" si="17"/>
        <v>#DIV/0!</v>
      </c>
      <c r="AB17" s="57" t="e">
        <f t="shared" si="17"/>
        <v>#DIV/0!</v>
      </c>
      <c r="AC17" s="57" t="e">
        <f t="shared" si="17"/>
        <v>#DIV/0!</v>
      </c>
      <c r="AD17" s="57" t="e">
        <f t="shared" si="17"/>
        <v>#DIV/0!</v>
      </c>
      <c r="AE17" s="57" t="e">
        <f t="shared" si="17"/>
        <v>#DIV/0!</v>
      </c>
      <c r="AF17" s="57" t="e">
        <f t="shared" si="17"/>
        <v>#DIV/0!</v>
      </c>
      <c r="AG17" s="57" t="e">
        <f t="shared" si="17"/>
        <v>#DIV/0!</v>
      </c>
      <c r="AH17" s="57" t="e">
        <f t="shared" si="17"/>
        <v>#DIV/0!</v>
      </c>
      <c r="AI17" s="57" t="e">
        <f t="shared" si="17"/>
        <v>#DIV/0!</v>
      </c>
      <c r="AJ17" s="57" t="e">
        <f t="shared" si="17"/>
        <v>#DIV/0!</v>
      </c>
      <c r="AK17" s="57" t="e">
        <f t="shared" si="17"/>
        <v>#DIV/0!</v>
      </c>
      <c r="AL17" s="57" t="e">
        <f t="shared" si="17"/>
        <v>#DIV/0!</v>
      </c>
      <c r="AM17" s="57" t="e">
        <f t="shared" si="17"/>
        <v>#DIV/0!</v>
      </c>
      <c r="AN17" s="57" t="e">
        <f t="shared" si="17"/>
        <v>#DIV/0!</v>
      </c>
      <c r="AO17" s="57" t="e">
        <f t="shared" si="17"/>
        <v>#DIV/0!</v>
      </c>
      <c r="AP17" s="57" t="e">
        <f t="shared" si="17"/>
        <v>#DIV/0!</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c r="A18" s="132" t="s">
        <v>370</v>
      </c>
      <c r="E18" s="26">
        <f>股权价值增加表!E12</f>
        <v>0</v>
      </c>
      <c r="F18" s="26">
        <f>股权价值增加表!F12</f>
        <v>1204</v>
      </c>
      <c r="G18" s="26">
        <f>股权价值增加表!G12</f>
        <v>868</v>
      </c>
      <c r="H18" s="26">
        <f>股权价值增加表!H12</f>
        <v>644</v>
      </c>
      <c r="I18" s="26">
        <f>股权价值增加表!I12</f>
        <v>0</v>
      </c>
      <c r="J18" s="26">
        <f>股权价值增加表!J12</f>
        <v>0</v>
      </c>
      <c r="K18" s="26">
        <f>股权价值增加表!K12</f>
        <v>0</v>
      </c>
      <c r="L18" s="26">
        <f>股权价值增加表!L12</f>
        <v>0</v>
      </c>
      <c r="M18" s="26">
        <f>股权价值增加表!M12</f>
        <v>0</v>
      </c>
      <c r="N18" s="26">
        <f>股权价值增加表!N12</f>
        <v>0</v>
      </c>
      <c r="O18" s="26">
        <f>股权价值增加表!O12</f>
        <v>0</v>
      </c>
      <c r="P18" s="26">
        <f>股权价值增加表!P12</f>
        <v>0</v>
      </c>
      <c r="Q18" s="26">
        <f>股权价值增加表!Q12</f>
        <v>0</v>
      </c>
      <c r="R18" s="26">
        <f>股权价值增加表!R12</f>
        <v>0</v>
      </c>
      <c r="S18" s="26">
        <f>股权价值增加表!S12</f>
        <v>0</v>
      </c>
      <c r="T18" s="26">
        <f>股权价值增加表!T12</f>
        <v>0</v>
      </c>
      <c r="U18" s="26">
        <f>股权价值增加表!U12</f>
        <v>0</v>
      </c>
      <c r="V18" s="26">
        <f>股权价值增加表!V12</f>
        <v>0</v>
      </c>
      <c r="W18" s="26">
        <f>股权价值增加表!W12</f>
        <v>0</v>
      </c>
      <c r="X18" s="26">
        <f>股权价值增加表!X12</f>
        <v>0</v>
      </c>
      <c r="Y18" s="26">
        <f>股权价值增加表!Y12</f>
        <v>0</v>
      </c>
      <c r="Z18" s="26">
        <f>股权价值增加表!Z12</f>
        <v>0</v>
      </c>
      <c r="AA18" s="26">
        <f>股权价值增加表!AA12</f>
        <v>0</v>
      </c>
      <c r="AB18" s="26">
        <f>股权价值增加表!AB12</f>
        <v>0</v>
      </c>
      <c r="AC18" s="26">
        <f>股权价值增加表!AC12</f>
        <v>331430.78000000003</v>
      </c>
      <c r="AD18" s="26">
        <f>股权价值增加表!AD12</f>
        <v>0</v>
      </c>
      <c r="AE18" s="26">
        <f>股权价值增加表!AE12</f>
        <v>0</v>
      </c>
      <c r="AF18" s="26">
        <f>股权价值增加表!AF12</f>
        <v>0</v>
      </c>
      <c r="AG18" s="26">
        <f>股权价值增加表!AG12</f>
        <v>66967.98</v>
      </c>
      <c r="AH18" s="26">
        <f>股权价值增加表!AH12</f>
        <v>0</v>
      </c>
      <c r="AI18" s="26">
        <f>股权价值增加表!AI12</f>
        <v>0</v>
      </c>
      <c r="AJ18" s="26">
        <f>股权价值增加表!AJ12</f>
        <v>0</v>
      </c>
      <c r="AK18" s="26">
        <f>股权价值增加表!AK12</f>
        <v>350489.64</v>
      </c>
      <c r="AL18" s="26">
        <f>股权价值增加表!AL12</f>
        <v>0</v>
      </c>
      <c r="AM18" s="26">
        <f>股权价值增加表!AM12</f>
        <v>0</v>
      </c>
      <c r="AN18" s="26">
        <f>股权价值增加表!AN12</f>
        <v>0</v>
      </c>
      <c r="AO18" s="26">
        <f>股权价值增加表!AO12</f>
        <v>286174.01</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c r="A19" s="20" t="s">
        <v>371</v>
      </c>
      <c r="E19" s="57">
        <f>E18/E2</f>
        <v>0</v>
      </c>
      <c r="F19" s="57">
        <f t="shared" ref="F19:BQ19" si="19">F18/F2</f>
        <v>1.1783522098061152E-5</v>
      </c>
      <c r="G19" s="57">
        <f t="shared" si="19"/>
        <v>1.1139889302501615E-5</v>
      </c>
      <c r="H19" s="57">
        <f t="shared" si="19"/>
        <v>3.7752119344039697E-5</v>
      </c>
      <c r="I19" s="57">
        <f t="shared" si="19"/>
        <v>0</v>
      </c>
      <c r="J19" s="57">
        <f t="shared" si="19"/>
        <v>0</v>
      </c>
      <c r="K19" s="57">
        <f t="shared" si="19"/>
        <v>0</v>
      </c>
      <c r="L19" s="57">
        <f t="shared" si="19"/>
        <v>0</v>
      </c>
      <c r="M19" s="57">
        <f t="shared" si="19"/>
        <v>0</v>
      </c>
      <c r="N19" s="57">
        <f t="shared" si="19"/>
        <v>0</v>
      </c>
      <c r="O19" s="57">
        <f t="shared" si="19"/>
        <v>0</v>
      </c>
      <c r="P19" s="57">
        <f t="shared" si="19"/>
        <v>0</v>
      </c>
      <c r="Q19" s="57">
        <f t="shared" si="19"/>
        <v>0</v>
      </c>
      <c r="R19" s="57">
        <f t="shared" si="19"/>
        <v>0</v>
      </c>
      <c r="S19" s="57" t="e">
        <f t="shared" si="19"/>
        <v>#DIV/0!</v>
      </c>
      <c r="T19" s="57" t="e">
        <f t="shared" si="19"/>
        <v>#DIV/0!</v>
      </c>
      <c r="U19" s="57" t="e">
        <f t="shared" si="19"/>
        <v>#DIV/0!</v>
      </c>
      <c r="V19" s="57" t="e">
        <f t="shared" si="19"/>
        <v>#DIV/0!</v>
      </c>
      <c r="W19" s="57" t="e">
        <f t="shared" si="19"/>
        <v>#DIV/0!</v>
      </c>
      <c r="X19" s="57" t="e">
        <f t="shared" si="19"/>
        <v>#DIV/0!</v>
      </c>
      <c r="Y19" s="57" t="e">
        <f t="shared" si="19"/>
        <v>#DIV/0!</v>
      </c>
      <c r="Z19" s="57" t="e">
        <f t="shared" si="19"/>
        <v>#DIV/0!</v>
      </c>
      <c r="AA19" s="57" t="e">
        <f t="shared" si="19"/>
        <v>#DIV/0!</v>
      </c>
      <c r="AB19" s="57" t="e">
        <f t="shared" si="19"/>
        <v>#DIV/0!</v>
      </c>
      <c r="AC19" s="57" t="e">
        <f t="shared" si="19"/>
        <v>#DIV/0!</v>
      </c>
      <c r="AD19" s="57" t="e">
        <f t="shared" si="19"/>
        <v>#DIV/0!</v>
      </c>
      <c r="AE19" s="57" t="e">
        <f t="shared" si="19"/>
        <v>#DIV/0!</v>
      </c>
      <c r="AF19" s="57" t="e">
        <f t="shared" si="19"/>
        <v>#DIV/0!</v>
      </c>
      <c r="AG19" s="57" t="e">
        <f t="shared" si="19"/>
        <v>#DIV/0!</v>
      </c>
      <c r="AH19" s="57" t="e">
        <f t="shared" si="19"/>
        <v>#DIV/0!</v>
      </c>
      <c r="AI19" s="57" t="e">
        <f t="shared" si="19"/>
        <v>#DIV/0!</v>
      </c>
      <c r="AJ19" s="57" t="e">
        <f t="shared" si="19"/>
        <v>#DIV/0!</v>
      </c>
      <c r="AK19" s="57" t="e">
        <f t="shared" si="19"/>
        <v>#DIV/0!</v>
      </c>
      <c r="AL19" s="57" t="e">
        <f t="shared" si="19"/>
        <v>#DIV/0!</v>
      </c>
      <c r="AM19" s="57" t="e">
        <f t="shared" si="19"/>
        <v>#DIV/0!</v>
      </c>
      <c r="AN19" s="57" t="e">
        <f t="shared" si="19"/>
        <v>#DIV/0!</v>
      </c>
      <c r="AO19" s="57" t="e">
        <f t="shared" si="19"/>
        <v>#DIV/0!</v>
      </c>
      <c r="AP19" s="57" t="e">
        <f t="shared" si="19"/>
        <v>#DIV/0!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c r="A20" s="132" t="s">
        <v>372</v>
      </c>
      <c r="E20" s="26">
        <f>股权价值增加表!E13-股权价值增加表!E14</f>
        <v>3978857.77</v>
      </c>
      <c r="F20" s="26">
        <f>股权价值增加表!F13-股权价值增加表!F14</f>
        <v>4247793.91</v>
      </c>
      <c r="G20" s="26">
        <f>股权价值增加表!G13-股权价值增加表!G14</f>
        <v>149934.39999999999</v>
      </c>
      <c r="H20" s="26">
        <f>股权价值增加表!H13-股权价值增加表!H14</f>
        <v>100000</v>
      </c>
      <c r="I20" s="26">
        <f>股权价值增加表!I13-股权价值增加表!I14</f>
        <v>14460964.16</v>
      </c>
      <c r="J20" s="26">
        <f>股权价值增加表!J13-股权价值增加表!J14</f>
        <v>10265785.880000001</v>
      </c>
      <c r="K20" s="26">
        <f>股权价值增加表!K13-股权价值增加表!K14</f>
        <v>4531110.71</v>
      </c>
      <c r="L20" s="26">
        <f>股权价值增加表!L13-股权价值增加表!L14</f>
        <v>4148365.5</v>
      </c>
      <c r="M20" s="26">
        <f>股权价值增加表!M13-股权价值增加表!M14</f>
        <v>20729811.969999999</v>
      </c>
      <c r="N20" s="26">
        <f>股权价值增加表!N13-股权价值增加表!N14</f>
        <v>13211846.02</v>
      </c>
      <c r="O20" s="26">
        <f>股权价值增加表!O13-股权价值增加表!O14</f>
        <v>16611905.1</v>
      </c>
      <c r="P20" s="26">
        <f>股权价值增加表!P13-股权价值增加表!P14</f>
        <v>18018665.239999998</v>
      </c>
      <c r="Q20" s="26">
        <f>股权价值增加表!Q13-股权价值增加表!Q14</f>
        <v>6500774.3199999994</v>
      </c>
      <c r="R20" s="26">
        <f>股权价值增加表!R13-股权价值增加表!R14</f>
        <v>3514910.37</v>
      </c>
      <c r="S20" s="26">
        <f>股权价值增加表!S13-股权价值增加表!S14</f>
        <v>0</v>
      </c>
      <c r="T20" s="26">
        <f>股权价值增加表!T13-股权价值增加表!T14</f>
        <v>0</v>
      </c>
      <c r="U20" s="26">
        <f>股权价值增加表!U13-股权价值增加表!U14</f>
        <v>0</v>
      </c>
      <c r="V20" s="26">
        <f>股权价值增加表!V13-股权价值增加表!V14</f>
        <v>0</v>
      </c>
      <c r="W20" s="26">
        <f>股权价值增加表!W13-股权价值增加表!W14</f>
        <v>0</v>
      </c>
      <c r="X20" s="26">
        <f>股权价值增加表!X13-股权价值增加表!X14</f>
        <v>0</v>
      </c>
      <c r="Y20" s="26">
        <f>股权价值增加表!Y13-股权价值增加表!Y14</f>
        <v>0</v>
      </c>
      <c r="Z20" s="26">
        <f>股权价值增加表!Z13-股权价值增加表!Z14</f>
        <v>0</v>
      </c>
      <c r="AA20" s="26">
        <f>股权价值增加表!AA13-股权价值增加表!AA14</f>
        <v>0</v>
      </c>
      <c r="AB20" s="26">
        <f>股权价值增加表!AB13-股权价值增加表!AB14</f>
        <v>0</v>
      </c>
      <c r="AC20" s="26">
        <f>股权价值增加表!AC13-股权价值增加表!AC14</f>
        <v>0</v>
      </c>
      <c r="AD20" s="26">
        <f>股权价值增加表!AD13-股权价值增加表!AD14</f>
        <v>0</v>
      </c>
      <c r="AE20" s="26">
        <f>股权价值增加表!AE13-股权价值增加表!AE14</f>
        <v>0</v>
      </c>
      <c r="AF20" s="26">
        <f>股权价值增加表!AF13-股权价值增加表!AF14</f>
        <v>0</v>
      </c>
      <c r="AG20" s="26">
        <f>股权价值增加表!AG13-股权价值增加表!AG14</f>
        <v>0</v>
      </c>
      <c r="AH20" s="26">
        <f>股权价值增加表!AH13-股权价值增加表!AH14</f>
        <v>0</v>
      </c>
      <c r="AI20" s="26">
        <f>股权价值增加表!AI13-股权价值增加表!AI14</f>
        <v>0</v>
      </c>
      <c r="AJ20" s="26">
        <f>股权价值增加表!AJ13-股权价值增加表!AJ14</f>
        <v>0</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c r="A21" s="20" t="s">
        <v>373</v>
      </c>
      <c r="E21" s="57">
        <f>E20/E2</f>
        <v>2.0698546143164187E-2</v>
      </c>
      <c r="F21" s="57">
        <f t="shared" ref="F21:BQ21" si="21">F20/F2</f>
        <v>4.1573067613367598E-2</v>
      </c>
      <c r="G21" s="57">
        <f t="shared" si="21"/>
        <v>1.9242541689366336E-3</v>
      </c>
      <c r="H21" s="57">
        <f t="shared" si="21"/>
        <v>5.8621303329254183E-3</v>
      </c>
      <c r="I21" s="57">
        <f t="shared" si="21"/>
        <v>8.7254114104442504E-2</v>
      </c>
      <c r="J21" s="57">
        <f t="shared" si="21"/>
        <v>9.4613276318885539E-2</v>
      </c>
      <c r="K21" s="57">
        <f t="shared" si="21"/>
        <v>5.5958536739723314E-2</v>
      </c>
      <c r="L21" s="57">
        <f t="shared" si="21"/>
        <v>0.27707667495638921</v>
      </c>
      <c r="M21" s="57">
        <f t="shared" si="21"/>
        <v>0.13957569604875383</v>
      </c>
      <c r="N21" s="57">
        <f t="shared" si="21"/>
        <v>0.15020686707066214</v>
      </c>
      <c r="O21" s="57">
        <f t="shared" si="21"/>
        <v>9.2649161172131636E-2</v>
      </c>
      <c r="P21" s="57">
        <f t="shared" si="21"/>
        <v>8.6301139835652074E-2</v>
      </c>
      <c r="Q21" s="57">
        <f t="shared" si="21"/>
        <v>3.3596881752680191E-2</v>
      </c>
      <c r="R21" s="57">
        <f t="shared" si="21"/>
        <v>4.275678503901266E-2</v>
      </c>
      <c r="S21" s="57" t="e">
        <f t="shared" si="21"/>
        <v>#DIV/0!</v>
      </c>
      <c r="T21" s="57" t="e">
        <f t="shared" si="21"/>
        <v>#DIV/0!</v>
      </c>
      <c r="U21" s="57" t="e">
        <f t="shared" si="21"/>
        <v>#DIV/0!</v>
      </c>
      <c r="V21" s="57" t="e">
        <f t="shared" si="21"/>
        <v>#DIV/0!</v>
      </c>
      <c r="W21" s="57" t="e">
        <f t="shared" si="21"/>
        <v>#DIV/0!</v>
      </c>
      <c r="X21" s="57" t="e">
        <f t="shared" si="21"/>
        <v>#DIV/0!</v>
      </c>
      <c r="Y21" s="57" t="e">
        <f t="shared" si="21"/>
        <v>#DIV/0!</v>
      </c>
      <c r="Z21" s="57" t="e">
        <f t="shared" si="21"/>
        <v>#DIV/0!</v>
      </c>
      <c r="AA21" s="57" t="e">
        <f t="shared" si="21"/>
        <v>#DIV/0!</v>
      </c>
      <c r="AB21" s="57" t="e">
        <f t="shared" si="21"/>
        <v>#DIV/0!</v>
      </c>
      <c r="AC21" s="57" t="e">
        <f t="shared" si="21"/>
        <v>#DIV/0!</v>
      </c>
      <c r="AD21" s="57" t="e">
        <f t="shared" si="21"/>
        <v>#DIV/0!</v>
      </c>
      <c r="AE21" s="57" t="e">
        <f t="shared" si="21"/>
        <v>#DIV/0!</v>
      </c>
      <c r="AF21" s="57" t="e">
        <f t="shared" si="21"/>
        <v>#DIV/0!</v>
      </c>
      <c r="AG21" s="57" t="e">
        <f t="shared" si="21"/>
        <v>#DIV/0!</v>
      </c>
      <c r="AH21" s="57" t="e">
        <f t="shared" si="21"/>
        <v>#DIV/0!</v>
      </c>
      <c r="AI21" s="57" t="e">
        <f t="shared" si="21"/>
        <v>#DIV/0!</v>
      </c>
      <c r="AJ21" s="57" t="e">
        <f t="shared" si="21"/>
        <v>#DIV/0!</v>
      </c>
      <c r="AK21" s="57" t="e">
        <f t="shared" si="21"/>
        <v>#DIV/0!</v>
      </c>
      <c r="AL21" s="57" t="e">
        <f t="shared" si="21"/>
        <v>#DIV/0!</v>
      </c>
      <c r="AM21" s="57" t="e">
        <f t="shared" si="21"/>
        <v>#DIV/0!</v>
      </c>
      <c r="AN21" s="57" t="e">
        <f t="shared" si="21"/>
        <v>#DIV/0!</v>
      </c>
      <c r="AO21" s="57" t="e">
        <f t="shared" si="21"/>
        <v>#DIV/0!</v>
      </c>
      <c r="AP21" s="57" t="e">
        <f t="shared" si="21"/>
        <v>#DIV/0!</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57" customFormat="1">
      <c r="A22" s="20" t="s">
        <v>374</v>
      </c>
      <c r="E22" s="57">
        <f>E11+E13+E15+E17+E19+E21</f>
        <v>0.3453304751881936</v>
      </c>
      <c r="F22" s="57">
        <f t="shared" ref="F22:BQ22" si="23">F11+F13+F15+F17+F19+F21</f>
        <v>0.39890024675995972</v>
      </c>
      <c r="G22" s="57">
        <f t="shared" si="23"/>
        <v>0.33973317928882224</v>
      </c>
      <c r="H22" s="57">
        <f t="shared" si="23"/>
        <v>0.47905171506603161</v>
      </c>
      <c r="I22" s="57">
        <f t="shared" si="23"/>
        <v>0.34281728417362672</v>
      </c>
      <c r="J22" s="57">
        <f t="shared" si="23"/>
        <v>0.35254554801001547</v>
      </c>
      <c r="K22" s="57">
        <f t="shared" si="23"/>
        <v>0.29511017574193932</v>
      </c>
      <c r="L22" s="57">
        <f t="shared" si="23"/>
        <v>0.74352998408531124</v>
      </c>
      <c r="M22" s="57">
        <f t="shared" si="23"/>
        <v>0.40634835325896934</v>
      </c>
      <c r="N22" s="57">
        <f t="shared" si="23"/>
        <v>0.4036370253852597</v>
      </c>
      <c r="O22" s="57">
        <f t="shared" si="23"/>
        <v>0.30760750644604101</v>
      </c>
      <c r="P22" s="57">
        <f t="shared" si="23"/>
        <v>0.28267490883756319</v>
      </c>
      <c r="Q22" s="57">
        <f t="shared" si="23"/>
        <v>0.25598499625677174</v>
      </c>
      <c r="R22" s="57">
        <f t="shared" si="23"/>
        <v>0.24666897013498373</v>
      </c>
      <c r="S22" s="57" t="e">
        <f t="shared" si="23"/>
        <v>#DIV/0!</v>
      </c>
      <c r="T22" s="57" t="e">
        <f t="shared" si="23"/>
        <v>#DIV/0!</v>
      </c>
      <c r="U22" s="57" t="e">
        <f t="shared" si="23"/>
        <v>#DIV/0!</v>
      </c>
      <c r="V22" s="57" t="e">
        <f t="shared" si="23"/>
        <v>#DIV/0!</v>
      </c>
      <c r="W22" s="57" t="e">
        <f t="shared" si="23"/>
        <v>#DIV/0!</v>
      </c>
      <c r="X22" s="57" t="e">
        <f t="shared" si="23"/>
        <v>#DIV/0!</v>
      </c>
      <c r="Y22" s="57" t="e">
        <f t="shared" si="23"/>
        <v>#DIV/0!</v>
      </c>
      <c r="Z22" s="57" t="e">
        <f t="shared" si="23"/>
        <v>#DIV/0!</v>
      </c>
      <c r="AA22" s="57" t="e">
        <f t="shared" si="23"/>
        <v>#DIV/0!</v>
      </c>
      <c r="AB22" s="57" t="e">
        <f t="shared" si="23"/>
        <v>#DIV/0!</v>
      </c>
      <c r="AC22" s="57" t="e">
        <f t="shared" si="23"/>
        <v>#DIV/0!</v>
      </c>
      <c r="AD22" s="57" t="e">
        <f t="shared" si="23"/>
        <v>#DIV/0!</v>
      </c>
      <c r="AE22" s="57" t="e">
        <f t="shared" si="23"/>
        <v>#DIV/0!</v>
      </c>
      <c r="AF22" s="57" t="e">
        <f t="shared" si="23"/>
        <v>#DIV/0!</v>
      </c>
      <c r="AG22" s="57" t="e">
        <f t="shared" si="23"/>
        <v>#DIV/0!</v>
      </c>
      <c r="AH22" s="57" t="e">
        <f t="shared" si="23"/>
        <v>#DIV/0!</v>
      </c>
      <c r="AI22" s="57" t="e">
        <f t="shared" si="23"/>
        <v>#DIV/0!</v>
      </c>
      <c r="AJ22" s="57" t="e">
        <f t="shared" si="23"/>
        <v>#DIV/0!</v>
      </c>
      <c r="AK22" s="57" t="e">
        <f t="shared" si="23"/>
        <v>#DIV/0!</v>
      </c>
      <c r="AL22" s="57" t="e">
        <f t="shared" si="23"/>
        <v>#DIV/0!</v>
      </c>
      <c r="AM22" s="57" t="e">
        <f t="shared" si="23"/>
        <v>#DIV/0!</v>
      </c>
      <c r="AN22" s="57" t="e">
        <f t="shared" si="23"/>
        <v>#DIV/0!</v>
      </c>
      <c r="AO22" s="57" t="e">
        <f t="shared" si="23"/>
        <v>#DIV/0!</v>
      </c>
      <c r="AP22" s="57" t="e">
        <f t="shared" si="23"/>
        <v>#DIV/0!</v>
      </c>
      <c r="AQ22" s="57" t="e">
        <f t="shared" si="23"/>
        <v>#DIV/0!</v>
      </c>
      <c r="AR22" s="57" t="e">
        <f t="shared" si="23"/>
        <v>#DIV/0!</v>
      </c>
      <c r="AS22" s="57" t="e">
        <f t="shared" si="23"/>
        <v>#DIV/0!</v>
      </c>
      <c r="AT22" s="57" t="e">
        <f t="shared" si="23"/>
        <v>#DIV/0!</v>
      </c>
      <c r="AU22" s="57" t="e">
        <f t="shared" si="23"/>
        <v>#DIV/0!</v>
      </c>
      <c r="AV22" s="57" t="e">
        <f t="shared" si="23"/>
        <v>#DIV/0!</v>
      </c>
      <c r="AW22" s="57" t="e">
        <f t="shared" si="23"/>
        <v>#DIV/0!</v>
      </c>
      <c r="AX22" s="57" t="e">
        <f t="shared" si="23"/>
        <v>#DIV/0!</v>
      </c>
      <c r="AY22" s="57" t="e">
        <f t="shared" si="23"/>
        <v>#DIV/0!</v>
      </c>
      <c r="AZ22" s="57" t="e">
        <f t="shared" si="23"/>
        <v>#DIV/0!</v>
      </c>
      <c r="BA22" s="57" t="e">
        <f t="shared" si="23"/>
        <v>#DIV/0!</v>
      </c>
      <c r="BB22" s="57" t="e">
        <f t="shared" si="23"/>
        <v>#DIV/0!</v>
      </c>
      <c r="BC22" s="57" t="e">
        <f t="shared" si="23"/>
        <v>#DIV/0!</v>
      </c>
      <c r="BD22" s="57" t="e">
        <f t="shared" si="23"/>
        <v>#DIV/0!</v>
      </c>
      <c r="BE22" s="57" t="e">
        <f t="shared" si="23"/>
        <v>#DIV/0!</v>
      </c>
      <c r="BF22" s="57" t="e">
        <f t="shared" si="23"/>
        <v>#DIV/0!</v>
      </c>
      <c r="BG22" s="57" t="e">
        <f t="shared" si="23"/>
        <v>#DIV/0!</v>
      </c>
      <c r="BH22" s="57" t="e">
        <f t="shared" si="23"/>
        <v>#DIV/0!</v>
      </c>
      <c r="BI22" s="57" t="e">
        <f t="shared" si="23"/>
        <v>#DIV/0!</v>
      </c>
      <c r="BJ22" s="57" t="e">
        <f t="shared" si="23"/>
        <v>#DIV/0!</v>
      </c>
      <c r="BK22" s="57" t="e">
        <f t="shared" si="23"/>
        <v>#DIV/0!</v>
      </c>
      <c r="BL22" s="57" t="e">
        <f t="shared" si="23"/>
        <v>#DIV/0!</v>
      </c>
      <c r="BM22" s="57" t="e">
        <f t="shared" si="23"/>
        <v>#DIV/0!</v>
      </c>
      <c r="BN22" s="57" t="e">
        <f t="shared" si="23"/>
        <v>#DIV/0!</v>
      </c>
      <c r="BO22" s="57" t="e">
        <f t="shared" si="23"/>
        <v>#DIV/0!</v>
      </c>
      <c r="BP22" s="57" t="e">
        <f t="shared" si="23"/>
        <v>#DIV/0!</v>
      </c>
      <c r="BQ22" s="57" t="e">
        <f t="shared" si="23"/>
        <v>#DIV/0!</v>
      </c>
      <c r="BR22" s="57" t="e">
        <f t="shared" ref="BR22:CJ22" si="24">BR11+BR13+BR15+BR17+BR19+BR21</f>
        <v>#DIV/0!</v>
      </c>
      <c r="BS22" s="57" t="e">
        <f t="shared" si="24"/>
        <v>#DIV/0!</v>
      </c>
      <c r="BT22" s="57" t="e">
        <f t="shared" si="24"/>
        <v>#DIV/0!</v>
      </c>
      <c r="BU22" s="57" t="e">
        <f t="shared" si="24"/>
        <v>#DIV/0!</v>
      </c>
      <c r="BV22" s="57" t="e">
        <f t="shared" si="24"/>
        <v>#DIV/0!</v>
      </c>
      <c r="BW22" s="57" t="e">
        <f t="shared" si="24"/>
        <v>#DIV/0!</v>
      </c>
      <c r="BX22" s="57" t="e">
        <f t="shared" si="24"/>
        <v>#DIV/0!</v>
      </c>
      <c r="BY22" s="57" t="e">
        <f t="shared" si="24"/>
        <v>#DIV/0!</v>
      </c>
      <c r="BZ22" s="57" t="e">
        <f t="shared" si="24"/>
        <v>#DIV/0!</v>
      </c>
      <c r="CA22" s="57" t="e">
        <f t="shared" si="24"/>
        <v>#DIV/0!</v>
      </c>
      <c r="CB22" s="57" t="e">
        <f t="shared" si="24"/>
        <v>#DIV/0!</v>
      </c>
      <c r="CC22" s="57" t="e">
        <f t="shared" si="24"/>
        <v>#DIV/0!</v>
      </c>
      <c r="CD22" s="57" t="e">
        <f t="shared" si="24"/>
        <v>#DIV/0!</v>
      </c>
      <c r="CE22" s="57" t="e">
        <f t="shared" si="24"/>
        <v>#DIV/0!</v>
      </c>
      <c r="CF22" s="57" t="e">
        <f t="shared" si="24"/>
        <v>#DIV/0!</v>
      </c>
      <c r="CG22" s="57" t="e">
        <f t="shared" si="24"/>
        <v>#DIV/0!</v>
      </c>
      <c r="CH22" s="57" t="e">
        <f t="shared" si="24"/>
        <v>#DIV/0!</v>
      </c>
      <c r="CI22" s="57" t="e">
        <f t="shared" si="24"/>
        <v>#DIV/0!</v>
      </c>
      <c r="CJ22" s="57" t="e">
        <f t="shared" si="24"/>
        <v>#DIV/0!</v>
      </c>
    </row>
    <row r="23" spans="1:89" s="27" customFormat="1">
      <c r="A23" s="132" t="s">
        <v>375</v>
      </c>
      <c r="E23" s="27">
        <f>股权价值增加表!E17</f>
        <v>48507586.573575623</v>
      </c>
      <c r="F23" s="27">
        <f>股权价值增加表!F17</f>
        <v>22940788.576918207</v>
      </c>
      <c r="G23" s="27">
        <f>股权价值增加表!G17</f>
        <v>15012563.747866862</v>
      </c>
      <c r="H23" s="27">
        <f>股权价值增加表!H17</f>
        <v>-620449.63173821371</v>
      </c>
      <c r="I23" s="27">
        <f>股权价值增加表!I17</f>
        <v>60339600.824431486</v>
      </c>
      <c r="J23" s="27">
        <f>股权价值增加表!J17</f>
        <v>38770725.142906204</v>
      </c>
      <c r="K23" s="27">
        <f>股权价值增加表!K17</f>
        <v>28828594.752084602</v>
      </c>
      <c r="L23" s="27">
        <f>股权价值增加表!L17</f>
        <v>5360999.0065189153</v>
      </c>
      <c r="M23" s="27">
        <f>股权价值增加表!M17</f>
        <v>55769944.116749756</v>
      </c>
      <c r="N23" s="27">
        <f>股权价值增加表!N17</f>
        <v>39652236.686679408</v>
      </c>
      <c r="O23" s="27">
        <f>股权价值增加表!O17</f>
        <v>70766229.305764616</v>
      </c>
      <c r="P23" s="27">
        <f>股权价值增加表!P17</f>
        <v>79284873.484563708</v>
      </c>
      <c r="Q23" s="27">
        <f>股权价值增加表!Q17</f>
        <v>67723843.615144178</v>
      </c>
      <c r="R23" s="27">
        <f>股权价值增加表!R17</f>
        <v>26692230.583806403</v>
      </c>
      <c r="S23" s="27" t="e">
        <f>股权价值增加表!S17</f>
        <v>#DIV/0!</v>
      </c>
      <c r="T23" s="27">
        <f>股权价值增加表!T17</f>
        <v>0</v>
      </c>
      <c r="U23" s="27">
        <f>股权价值增加表!U17</f>
        <v>0</v>
      </c>
      <c r="V23" s="27">
        <f>股权价值增加表!V17</f>
        <v>0</v>
      </c>
      <c r="W23" s="27">
        <f>股权价值增加表!W17</f>
        <v>0</v>
      </c>
      <c r="X23" s="27">
        <f>股权价值增加表!X17</f>
        <v>0</v>
      </c>
      <c r="Y23" s="27">
        <f>股权价值增加表!Y17</f>
        <v>0</v>
      </c>
      <c r="Z23" s="27">
        <f>股权价值增加表!Z17</f>
        <v>0</v>
      </c>
      <c r="AA23" s="27">
        <f>股权价值增加表!AA17</f>
        <v>0</v>
      </c>
      <c r="AB23" s="27">
        <f>股权价值增加表!AB17</f>
        <v>0</v>
      </c>
      <c r="AC23" s="27">
        <f>股权价值增加表!AC17</f>
        <v>1610413.9297069919</v>
      </c>
      <c r="AD23" s="27">
        <f>股权价值增加表!AD17</f>
        <v>0</v>
      </c>
      <c r="AE23" s="27">
        <f>股权价值增加表!AE17</f>
        <v>0</v>
      </c>
      <c r="AF23" s="27">
        <f>股权价值增加表!AF17</f>
        <v>0</v>
      </c>
      <c r="AG23" s="27">
        <f>股权价值增加表!AG17</f>
        <v>-219717.24026850861</v>
      </c>
      <c r="AH23" s="27">
        <f>股权价值增加表!AH17</f>
        <v>0</v>
      </c>
      <c r="AI23" s="27">
        <f>股权价值增加表!AI17</f>
        <v>0</v>
      </c>
      <c r="AJ23" s="27">
        <f>股权价值增加表!AJ17</f>
        <v>0</v>
      </c>
      <c r="AK23" s="27">
        <f>股权价值增加表!AK17</f>
        <v>-945836.89967821585</v>
      </c>
      <c r="AL23" s="27">
        <f>股权价值增加表!AL17</f>
        <v>0</v>
      </c>
      <c r="AM23" s="27">
        <f>股权价值增加表!AM17</f>
        <v>0</v>
      </c>
      <c r="AN23" s="27">
        <f>股权价值增加表!AN17</f>
        <v>0</v>
      </c>
      <c r="AO23" s="27">
        <f>股权价值增加表!AO17</f>
        <v>-286174.01</v>
      </c>
      <c r="AP23" s="27">
        <f>股权价值增加表!AP17</f>
        <v>0</v>
      </c>
      <c r="AQ23" s="27">
        <f>股权价值增加表!AQ17</f>
        <v>0</v>
      </c>
      <c r="AR23" s="27">
        <f>股权价值增加表!AR17</f>
        <v>0</v>
      </c>
      <c r="AS23" s="27" t="e">
        <f>股权价值增加表!AS17</f>
        <v>#DIV/0!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c r="A24" s="20" t="s">
        <v>376</v>
      </c>
      <c r="E24" s="57">
        <f>E23/E2</f>
        <v>0.25234290266844261</v>
      </c>
      <c r="F24" s="57">
        <f t="shared" ref="F24:BQ24" si="25">F23/F2</f>
        <v>0.22452100427164831</v>
      </c>
      <c r="G24" s="57">
        <f t="shared" si="25"/>
        <v>0.19267085057371611</v>
      </c>
      <c r="H24" s="57">
        <f t="shared" si="25"/>
        <v>-3.6371566062649879E-2</v>
      </c>
      <c r="I24" s="57">
        <f t="shared" si="25"/>
        <v>0.36407519976534247</v>
      </c>
      <c r="J24" s="57">
        <f t="shared" si="25"/>
        <v>0.35732533036519432</v>
      </c>
      <c r="K24" s="57">
        <f t="shared" si="25"/>
        <v>0.35602881541358783</v>
      </c>
      <c r="L24" s="57">
        <f t="shared" si="25"/>
        <v>0.35807061339478569</v>
      </c>
      <c r="M24" s="57">
        <f t="shared" si="25"/>
        <v>0.37550407017490434</v>
      </c>
      <c r="N24" s="57">
        <f t="shared" si="25"/>
        <v>0.45081044965512601</v>
      </c>
      <c r="O24" s="57">
        <f t="shared" si="25"/>
        <v>0.39468271369391644</v>
      </c>
      <c r="P24" s="57">
        <f t="shared" si="25"/>
        <v>0.37973816940967353</v>
      </c>
      <c r="Q24" s="57">
        <f t="shared" si="25"/>
        <v>0.35000599217463751</v>
      </c>
      <c r="R24" s="57">
        <f t="shared" si="25"/>
        <v>0.32469504059745619</v>
      </c>
      <c r="S24" s="57" t="e">
        <f t="shared" si="25"/>
        <v>#DIV/0!</v>
      </c>
      <c r="T24" s="57" t="e">
        <f t="shared" si="25"/>
        <v>#DIV/0!</v>
      </c>
      <c r="U24" s="57" t="e">
        <f t="shared" si="25"/>
        <v>#DIV/0!</v>
      </c>
      <c r="V24" s="57" t="e">
        <f t="shared" si="25"/>
        <v>#DIV/0!</v>
      </c>
      <c r="W24" s="57" t="e">
        <f t="shared" si="25"/>
        <v>#DIV/0!</v>
      </c>
      <c r="X24" s="57" t="e">
        <f t="shared" si="25"/>
        <v>#DIV/0!</v>
      </c>
      <c r="Y24" s="57" t="e">
        <f t="shared" si="25"/>
        <v>#DIV/0!</v>
      </c>
      <c r="Z24" s="57" t="e">
        <f t="shared" si="25"/>
        <v>#DIV/0!</v>
      </c>
      <c r="AA24" s="57" t="e">
        <f t="shared" si="25"/>
        <v>#DIV/0!</v>
      </c>
      <c r="AB24" s="57" t="e">
        <f t="shared" si="25"/>
        <v>#DIV/0!</v>
      </c>
      <c r="AC24" s="57" t="e">
        <f t="shared" si="25"/>
        <v>#DIV/0!</v>
      </c>
      <c r="AD24" s="57" t="e">
        <f t="shared" si="25"/>
        <v>#DIV/0!</v>
      </c>
      <c r="AE24" s="57" t="e">
        <f t="shared" si="25"/>
        <v>#DIV/0!</v>
      </c>
      <c r="AF24" s="57" t="e">
        <f t="shared" si="25"/>
        <v>#DIV/0!</v>
      </c>
      <c r="AG24" s="57" t="e">
        <f t="shared" si="25"/>
        <v>#DIV/0!</v>
      </c>
      <c r="AH24" s="57" t="e">
        <f t="shared" si="25"/>
        <v>#DIV/0!</v>
      </c>
      <c r="AI24" s="57" t="e">
        <f t="shared" si="25"/>
        <v>#DIV/0!</v>
      </c>
      <c r="AJ24" s="57" t="e">
        <f t="shared" si="25"/>
        <v>#DIV/0!</v>
      </c>
      <c r="AK24" s="57" t="e">
        <f t="shared" si="25"/>
        <v>#DIV/0!</v>
      </c>
      <c r="AL24" s="57" t="e">
        <f t="shared" si="25"/>
        <v>#DIV/0!</v>
      </c>
      <c r="AM24" s="57" t="e">
        <f t="shared" si="25"/>
        <v>#DIV/0!</v>
      </c>
      <c r="AN24" s="57" t="e">
        <f t="shared" si="25"/>
        <v>#DIV/0!</v>
      </c>
      <c r="AO24" s="57" t="e">
        <f t="shared" si="25"/>
        <v>#DIV/0!</v>
      </c>
      <c r="AP24" s="57" t="e">
        <f t="shared" si="25"/>
        <v>#DIV/0!</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108.75" customHeight="1" thickBot="1">
      <c r="A25" s="237" t="s">
        <v>651</v>
      </c>
      <c r="B25" s="238"/>
      <c r="C25" s="238"/>
      <c r="D25" s="238"/>
      <c r="E25" s="238"/>
      <c r="F25" s="238"/>
      <c r="G25" s="238"/>
      <c r="H25" s="238"/>
      <c r="I25" s="238"/>
      <c r="J25" s="238"/>
      <c r="K25" s="238"/>
      <c r="L25" s="238"/>
      <c r="M25" s="238"/>
      <c r="N25" s="238"/>
      <c r="O25" s="238"/>
      <c r="P25" s="238"/>
      <c r="Q25" s="238"/>
      <c r="R25" s="238"/>
      <c r="S25" s="238"/>
      <c r="T25" s="238"/>
      <c r="U25" s="238"/>
      <c r="V25" s="238"/>
      <c r="W25" s="238"/>
      <c r="X25" s="238"/>
      <c r="Y25" s="238"/>
      <c r="Z25" s="238"/>
      <c r="AA25" s="238"/>
      <c r="AB25" s="238"/>
      <c r="AC25" s="238"/>
      <c r="AD25" s="238"/>
      <c r="AE25" s="238"/>
      <c r="AF25" s="238"/>
      <c r="AG25" s="238"/>
    </row>
    <row r="26" spans="1:89" s="63" customFormat="1" ht="14.25" thickBot="1">
      <c r="A26" s="158" t="s">
        <v>608</v>
      </c>
      <c r="B26" s="159"/>
      <c r="C26" s="159"/>
      <c r="D26" s="159"/>
      <c r="E26" s="160" t="e">
        <f>POWER(E2/Y2,1/6)-1</f>
        <v>#DIV/0!</v>
      </c>
    </row>
    <row r="27" spans="1:89" s="26" customFormat="1">
      <c r="A27" s="20" t="s">
        <v>382</v>
      </c>
      <c r="B27" s="1">
        <v>43373</v>
      </c>
      <c r="C27" s="1">
        <v>43281</v>
      </c>
      <c r="D27" s="1">
        <v>43190</v>
      </c>
      <c r="E27" s="1">
        <v>43100</v>
      </c>
      <c r="F27" s="1">
        <v>43008</v>
      </c>
      <c r="G27" s="1">
        <v>42916</v>
      </c>
      <c r="H27" s="1">
        <v>42825</v>
      </c>
      <c r="I27" s="1">
        <v>42735</v>
      </c>
      <c r="J27" s="1">
        <v>42643</v>
      </c>
      <c r="K27" s="1">
        <v>42551</v>
      </c>
      <c r="L27" s="1">
        <v>42460</v>
      </c>
      <c r="M27" s="1">
        <v>42369</v>
      </c>
      <c r="N27" s="1">
        <v>42277</v>
      </c>
      <c r="O27" s="1">
        <v>42004</v>
      </c>
      <c r="P27" s="1">
        <v>41639</v>
      </c>
      <c r="Q27" s="1">
        <v>41274</v>
      </c>
      <c r="R27" s="1">
        <v>40908</v>
      </c>
      <c r="S27" s="1">
        <v>25569</v>
      </c>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c r="A28" s="17" t="s">
        <v>378</v>
      </c>
      <c r="E28" s="26">
        <f>股权价值增加表!E15</f>
        <v>55221126.170000009</v>
      </c>
      <c r="F28" s="26">
        <f>股权价值增加表!F15</f>
        <v>24639880.629999988</v>
      </c>
      <c r="G28" s="26">
        <f>股权价值增加表!G15</f>
        <v>16061535.899999993</v>
      </c>
      <c r="H28" s="26">
        <f>股权价值增加表!H15</f>
        <v>-615412.91999999993</v>
      </c>
      <c r="I28" s="26">
        <f>股权价值增加表!I15</f>
        <v>63838963.180000007</v>
      </c>
      <c r="J28" s="26">
        <f>股权价值增加表!J15</f>
        <v>39529590.109999992</v>
      </c>
      <c r="K28" s="26">
        <f>股权价值增加表!K15</f>
        <v>29185341.380000003</v>
      </c>
      <c r="L28" s="26">
        <f>股权价值增加表!L15</f>
        <v>5603276.8999999994</v>
      </c>
      <c r="M28" s="26">
        <f>股权价值增加表!M15</f>
        <v>62618959.270000011</v>
      </c>
      <c r="N28" s="26">
        <f>股权价值增加表!N15</f>
        <v>44752786.049999997</v>
      </c>
      <c r="O28" s="26">
        <f>股权价值增加表!O15</f>
        <v>80774498.729999989</v>
      </c>
      <c r="P28" s="26">
        <f>股权价值增加表!P15</f>
        <v>89816651.859999999</v>
      </c>
      <c r="Q28" s="26">
        <f>股权价值增加表!Q15</f>
        <v>77100270.920000017</v>
      </c>
      <c r="R28" s="26">
        <f>股权价值增加表!R15</f>
        <v>30551011.699999999</v>
      </c>
      <c r="S28" s="26">
        <f>股权价值增加表!S15</f>
        <v>0</v>
      </c>
      <c r="T28" s="26">
        <f>股权价值增加表!T15</f>
        <v>0</v>
      </c>
      <c r="U28" s="26">
        <f>股权价值增加表!U15</f>
        <v>0</v>
      </c>
      <c r="V28" s="26">
        <f>股权价值增加表!V15</f>
        <v>0</v>
      </c>
      <c r="W28" s="26">
        <f>股权价值增加表!W15</f>
        <v>0</v>
      </c>
      <c r="X28" s="26">
        <f>股权价值增加表!X15</f>
        <v>0</v>
      </c>
      <c r="Y28" s="26">
        <f>股权价值增加表!Y15</f>
        <v>0</v>
      </c>
      <c r="Z28" s="26">
        <f>股权价值增加表!Z15</f>
        <v>0</v>
      </c>
      <c r="AA28" s="26">
        <f>股权价值增加表!AA15</f>
        <v>0</v>
      </c>
      <c r="AB28" s="26">
        <f>股权价值增加表!AB15</f>
        <v>0</v>
      </c>
      <c r="AC28" s="26">
        <f>股权价值增加表!AC15</f>
        <v>-331430.78000000003</v>
      </c>
      <c r="AD28" s="26">
        <f>股权价值增加表!AD15</f>
        <v>0</v>
      </c>
      <c r="AE28" s="26">
        <f>股权价值增加表!AE15</f>
        <v>0</v>
      </c>
      <c r="AF28" s="26">
        <f>股权价值增加表!AF15</f>
        <v>0</v>
      </c>
      <c r="AG28" s="26">
        <f>股权价值增加表!AG15</f>
        <v>-66967.98</v>
      </c>
      <c r="AH28" s="26">
        <f>股权价值增加表!AH15</f>
        <v>0</v>
      </c>
      <c r="AI28" s="26">
        <f>股权价值增加表!AI15</f>
        <v>0</v>
      </c>
      <c r="AJ28" s="26">
        <f>股权价值增加表!AJ15</f>
        <v>0</v>
      </c>
      <c r="AK28" s="26">
        <f>股权价值增加表!AK15</f>
        <v>-350489.64</v>
      </c>
      <c r="AL28" s="26">
        <f>股权价值增加表!AL15</f>
        <v>0</v>
      </c>
      <c r="AM28" s="26">
        <f>股权价值增加表!AM15</f>
        <v>0</v>
      </c>
      <c r="AN28" s="26">
        <f>股权价值增加表!AN15</f>
        <v>0</v>
      </c>
      <c r="AO28" s="26">
        <f>股权价值增加表!AO15</f>
        <v>-286174.01</v>
      </c>
      <c r="AP28" s="26">
        <f>股权价值增加表!AP15</f>
        <v>0</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c r="A29" s="150" t="s">
        <v>383</v>
      </c>
      <c r="E29" s="59">
        <f t="shared" ref="E29:AJ29" si="27">E28/E34</f>
        <v>0.80336232594000068</v>
      </c>
      <c r="F29" s="59">
        <f t="shared" si="27"/>
        <v>0.99871390642160118</v>
      </c>
      <c r="G29" s="59">
        <f t="shared" si="27"/>
        <v>0.99852746824711192</v>
      </c>
      <c r="H29" s="59">
        <f t="shared" si="27"/>
        <v>1.0263606030430736</v>
      </c>
      <c r="I29" s="59">
        <f t="shared" si="27"/>
        <v>0.97675651815365361</v>
      </c>
      <c r="J29" s="59">
        <f t="shared" si="27"/>
        <v>1</v>
      </c>
      <c r="K29" s="59">
        <f t="shared" si="27"/>
        <v>1</v>
      </c>
      <c r="L29" s="59">
        <f t="shared" si="27"/>
        <v>1</v>
      </c>
      <c r="M29" s="59">
        <f t="shared" si="27"/>
        <v>0.96884695222627715</v>
      </c>
      <c r="N29" s="59">
        <f t="shared" si="27"/>
        <v>1</v>
      </c>
      <c r="O29" s="59">
        <f t="shared" si="27"/>
        <v>1</v>
      </c>
      <c r="P29" s="59">
        <f t="shared" si="27"/>
        <v>1</v>
      </c>
      <c r="Q29" s="59">
        <f t="shared" si="27"/>
        <v>1</v>
      </c>
      <c r="R29" s="59">
        <f t="shared" si="27"/>
        <v>1</v>
      </c>
      <c r="S29" s="59" t="e">
        <f t="shared" si="27"/>
        <v>#DIV/0!</v>
      </c>
      <c r="T29" s="59">
        <f t="shared" si="27"/>
        <v>0</v>
      </c>
      <c r="U29" s="59">
        <f t="shared" si="27"/>
        <v>0</v>
      </c>
      <c r="V29" s="59">
        <f t="shared" si="27"/>
        <v>0</v>
      </c>
      <c r="W29" s="59">
        <f t="shared" si="27"/>
        <v>0</v>
      </c>
      <c r="X29" s="59">
        <f t="shared" si="27"/>
        <v>0</v>
      </c>
      <c r="Y29" s="59">
        <f t="shared" si="27"/>
        <v>0</v>
      </c>
      <c r="Z29" s="59" t="e">
        <f t="shared" si="27"/>
        <v>#DIV/0!</v>
      </c>
      <c r="AA29" s="59" t="e">
        <f t="shared" si="27"/>
        <v>#DIV/0!</v>
      </c>
      <c r="AB29" s="59" t="e">
        <f t="shared" si="27"/>
        <v>#DIV/0!</v>
      </c>
      <c r="AC29" s="59">
        <f t="shared" si="27"/>
        <v>-9.9988653488198801E-3</v>
      </c>
      <c r="AD29" s="59" t="e">
        <f t="shared" si="27"/>
        <v>#DIV/0!</v>
      </c>
      <c r="AE29" s="59" t="e">
        <f t="shared" si="27"/>
        <v>#DIV/0!</v>
      </c>
      <c r="AF29" s="59" t="e">
        <f t="shared" si="27"/>
        <v>#DIV/0!</v>
      </c>
      <c r="AG29" s="59">
        <f t="shared" si="27"/>
        <v>-6.6623966482826258E-2</v>
      </c>
      <c r="AH29" s="59" t="e">
        <f t="shared" si="27"/>
        <v>#DIV/0!</v>
      </c>
      <c r="AI29" s="59" t="e">
        <f t="shared" si="27"/>
        <v>#DIV/0!</v>
      </c>
      <c r="AJ29" s="59" t="e">
        <f t="shared" si="27"/>
        <v>#DIV/0!</v>
      </c>
      <c r="AK29" s="59">
        <f t="shared" ref="AK29:BP29" si="28">AK28/AK34</f>
        <v>-9.5203025910507028E-2</v>
      </c>
      <c r="AL29" s="59">
        <f t="shared" si="28"/>
        <v>0</v>
      </c>
      <c r="AM29" s="59" t="e">
        <f t="shared" si="28"/>
        <v>#DIV/0!</v>
      </c>
      <c r="AN29" s="59">
        <f t="shared" si="28"/>
        <v>0</v>
      </c>
      <c r="AO29" s="59">
        <f t="shared" si="28"/>
        <v>-0.29561690371142302</v>
      </c>
      <c r="AP29" s="59" t="e">
        <f t="shared" si="28"/>
        <v>#DIV/0!</v>
      </c>
      <c r="AQ29" s="59" t="e">
        <f t="shared" si="28"/>
        <v>#DIV/0!</v>
      </c>
      <c r="AR29" s="59" t="e">
        <f t="shared" si="28"/>
        <v>#DIV/0!</v>
      </c>
      <c r="AS29" s="59" t="e">
        <f t="shared" si="28"/>
        <v>#DIV/0!</v>
      </c>
      <c r="AT29" s="59">
        <f t="shared" si="28"/>
        <v>0</v>
      </c>
      <c r="AU29" s="59">
        <f t="shared" si="28"/>
        <v>0</v>
      </c>
      <c r="AV29" s="59" t="e">
        <f t="shared" si="28"/>
        <v>#DIV/0!</v>
      </c>
      <c r="AW29" s="59">
        <f t="shared" si="28"/>
        <v>0</v>
      </c>
      <c r="AX29" s="59">
        <f t="shared" si="28"/>
        <v>0</v>
      </c>
      <c r="AY29" s="59">
        <f t="shared" si="28"/>
        <v>0</v>
      </c>
      <c r="AZ29" s="59">
        <f t="shared" si="28"/>
        <v>0</v>
      </c>
      <c r="BA29" s="59">
        <f t="shared" si="28"/>
        <v>0</v>
      </c>
      <c r="BB29" s="59">
        <f t="shared" si="28"/>
        <v>0</v>
      </c>
      <c r="BC29" s="59">
        <f t="shared" si="28"/>
        <v>0</v>
      </c>
      <c r="BD29" s="59">
        <f t="shared" si="28"/>
        <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c r="A30" s="17" t="s">
        <v>379</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c r="A31" s="150" t="s">
        <v>384</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0</v>
      </c>
      <c r="S31" s="59" t="e">
        <f t="shared" si="30"/>
        <v>#DIV/0!</v>
      </c>
      <c r="T31" s="59">
        <f t="shared" si="30"/>
        <v>0</v>
      </c>
      <c r="U31" s="59">
        <f t="shared" si="30"/>
        <v>0</v>
      </c>
      <c r="V31" s="59">
        <f t="shared" si="30"/>
        <v>0</v>
      </c>
      <c r="W31" s="59">
        <f t="shared" si="30"/>
        <v>0</v>
      </c>
      <c r="X31" s="59">
        <f t="shared" si="30"/>
        <v>0</v>
      </c>
      <c r="Y31" s="59">
        <f t="shared" si="30"/>
        <v>0</v>
      </c>
      <c r="Z31" s="59" t="e">
        <f t="shared" si="30"/>
        <v>#DIV/0!</v>
      </c>
      <c r="AA31" s="59" t="e">
        <f t="shared" si="30"/>
        <v>#DIV/0!</v>
      </c>
      <c r="AB31" s="59" t="e">
        <f t="shared" si="30"/>
        <v>#DIV/0!</v>
      </c>
      <c r="AC31" s="59">
        <f t="shared" si="30"/>
        <v>0</v>
      </c>
      <c r="AD31" s="59" t="e">
        <f t="shared" si="30"/>
        <v>#DIV/0!</v>
      </c>
      <c r="AE31" s="59" t="e">
        <f t="shared" si="30"/>
        <v>#DIV/0!</v>
      </c>
      <c r="AF31" s="59" t="e">
        <f t="shared" si="30"/>
        <v>#DIV/0!</v>
      </c>
      <c r="AG31" s="59">
        <f t="shared" si="30"/>
        <v>0</v>
      </c>
      <c r="AH31" s="59" t="e">
        <f t="shared" si="30"/>
        <v>#DIV/0!</v>
      </c>
      <c r="AI31" s="59" t="e">
        <f t="shared" si="30"/>
        <v>#DIV/0!</v>
      </c>
      <c r="AJ31" s="59" t="e">
        <f t="shared" si="30"/>
        <v>#DIV/0!</v>
      </c>
      <c r="AK31" s="59">
        <f t="shared" si="30"/>
        <v>0</v>
      </c>
      <c r="AL31" s="59">
        <f t="shared" si="30"/>
        <v>0</v>
      </c>
      <c r="AM31" s="59" t="e">
        <f t="shared" si="30"/>
        <v>#DIV/0!</v>
      </c>
      <c r="AN31" s="59">
        <f t="shared" si="30"/>
        <v>0</v>
      </c>
      <c r="AO31" s="59">
        <f t="shared" si="30"/>
        <v>0</v>
      </c>
      <c r="AP31" s="59" t="e">
        <f t="shared" si="30"/>
        <v>#DIV/0!</v>
      </c>
      <c r="AQ31" s="59" t="e">
        <f t="shared" si="30"/>
        <v>#DIV/0!</v>
      </c>
      <c r="AR31" s="59" t="e">
        <f t="shared" si="30"/>
        <v>#DIV/0!</v>
      </c>
      <c r="AS31" s="59" t="e">
        <f t="shared" si="30"/>
        <v>#DIV/0!</v>
      </c>
      <c r="AT31" s="59">
        <f t="shared" si="30"/>
        <v>0</v>
      </c>
      <c r="AU31" s="59">
        <f t="shared" si="30"/>
        <v>0</v>
      </c>
      <c r="AV31" s="59" t="e">
        <f t="shared" si="30"/>
        <v>#DIV/0!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c r="A32" s="17" t="s">
        <v>380</v>
      </c>
      <c r="E32" s="26">
        <f>股权价值增加表!E27</f>
        <v>13516384.15</v>
      </c>
      <c r="F32" s="26">
        <f>股权价值增加表!F27</f>
        <v>31730</v>
      </c>
      <c r="G32" s="26">
        <f>股权价值增加表!G27</f>
        <v>23686</v>
      </c>
      <c r="H32" s="26">
        <f>股权价值增加表!H27</f>
        <v>15806</v>
      </c>
      <c r="I32" s="26">
        <f>股权价值增加表!I27</f>
        <v>1519150.12</v>
      </c>
      <c r="J32" s="26">
        <f>股权价值增加表!J27</f>
        <v>0</v>
      </c>
      <c r="K32" s="26">
        <f>股权价值增加表!K27</f>
        <v>0</v>
      </c>
      <c r="L32" s="26">
        <f>股权价值增加表!L27</f>
        <v>0</v>
      </c>
      <c r="M32" s="26">
        <f>股权价值增加表!M27</f>
        <v>2013498.0299999998</v>
      </c>
      <c r="N32" s="26">
        <f>股权价值增加表!N27</f>
        <v>0</v>
      </c>
      <c r="O32" s="26">
        <f>股权价值增加表!O27</f>
        <v>0</v>
      </c>
      <c r="P32" s="26">
        <f>股权价值增加表!P27</f>
        <v>0</v>
      </c>
      <c r="Q32" s="26">
        <f>股权价值增加表!Q27</f>
        <v>0</v>
      </c>
      <c r="R32" s="26">
        <f>股权价值增加表!R27</f>
        <v>0</v>
      </c>
      <c r="S32" s="26">
        <f>股权价值增加表!S27</f>
        <v>0</v>
      </c>
      <c r="T32" s="26">
        <f>股权价值增加表!T27</f>
        <v>2625796.42</v>
      </c>
      <c r="U32" s="26">
        <f>股权价值增加表!U27</f>
        <v>10656664.34</v>
      </c>
      <c r="V32" s="26">
        <f>股权价值增加表!V27</f>
        <v>6762262.5199999996</v>
      </c>
      <c r="W32" s="26">
        <f>股权价值增加表!W27</f>
        <v>3988448.61</v>
      </c>
      <c r="X32" s="26">
        <f>股权价值增加表!X27</f>
        <v>396219.44</v>
      </c>
      <c r="Y32" s="26">
        <f>股权价值增加表!Y27</f>
        <v>1100350.93</v>
      </c>
      <c r="Z32" s="26">
        <f>股权价值增加表!Z27</f>
        <v>0</v>
      </c>
      <c r="AA32" s="26">
        <f>股权价值增加表!AA27</f>
        <v>0</v>
      </c>
      <c r="AB32" s="26">
        <f>股权价值增加表!AB27</f>
        <v>0</v>
      </c>
      <c r="AC32" s="26">
        <f>股权价值增加表!AC27</f>
        <v>33478269.789999999</v>
      </c>
      <c r="AD32" s="26">
        <f>股权价值增加表!AD27</f>
        <v>0</v>
      </c>
      <c r="AE32" s="26">
        <f>股权价值增加表!AE27</f>
        <v>0</v>
      </c>
      <c r="AF32" s="26">
        <f>股权价值增加表!AF27</f>
        <v>0</v>
      </c>
      <c r="AG32" s="26">
        <f>股权价值增加表!AG27</f>
        <v>1072131.49</v>
      </c>
      <c r="AH32" s="26">
        <f>股权价值增加表!AH27</f>
        <v>0</v>
      </c>
      <c r="AI32" s="26">
        <f>股权价值增加表!AI27</f>
        <v>0</v>
      </c>
      <c r="AJ32" s="26">
        <f>股权价值增加表!AJ27</f>
        <v>0</v>
      </c>
      <c r="AK32" s="26">
        <f>股权价值增加表!AK27</f>
        <v>4031986.49</v>
      </c>
      <c r="AL32" s="26">
        <f>股权价值增加表!AL27</f>
        <v>666438.85</v>
      </c>
      <c r="AM32" s="26">
        <f>股权价值增加表!AM27</f>
        <v>0</v>
      </c>
      <c r="AN32" s="26">
        <f>股权价值增加表!AN27</f>
        <v>987723.72</v>
      </c>
      <c r="AO32" s="26">
        <f>股权价值增加表!AO27</f>
        <v>1254231</v>
      </c>
      <c r="AP32" s="26">
        <f>股权价值增加表!AP27</f>
        <v>0</v>
      </c>
      <c r="AQ32" s="26">
        <f>股权价值增加表!AQ27</f>
        <v>0</v>
      </c>
      <c r="AR32" s="26">
        <f>股权价值增加表!AR27</f>
        <v>0</v>
      </c>
      <c r="AS32" s="26">
        <f>股权价值增加表!AS27</f>
        <v>0</v>
      </c>
      <c r="AT32" s="26">
        <f>股权价值增加表!AT27</f>
        <v>3145948.9100000262</v>
      </c>
      <c r="AU32" s="26">
        <f>股权价值增加表!AU27</f>
        <v>3221938.3999999762</v>
      </c>
      <c r="AV32" s="26">
        <f>股权价值增加表!AV27</f>
        <v>0</v>
      </c>
      <c r="AW32" s="26">
        <f>股权价值增加表!AW27</f>
        <v>106002085.7</v>
      </c>
      <c r="AX32" s="26">
        <f>股权价值增加表!AX27</f>
        <v>78146813.989999995</v>
      </c>
      <c r="AY32" s="26">
        <f>股权价值增加表!AY27</f>
        <v>31508275.550000001</v>
      </c>
      <c r="AZ32" s="26">
        <f>股权价值增加表!AZ27</f>
        <v>6818330.1399999997</v>
      </c>
      <c r="BA32" s="26">
        <f>股权价值增加表!BA27</f>
        <v>-52414533.450000003</v>
      </c>
      <c r="BB32" s="26">
        <f>股权价值增加表!BB27</f>
        <v>-47415743.689999998</v>
      </c>
      <c r="BC32" s="26">
        <f>股权价值增加表!BC27</f>
        <v>-4476487.08</v>
      </c>
      <c r="BD32" s="26">
        <f>股权价值增加表!BD27</f>
        <v>13731417.210000001</v>
      </c>
      <c r="BE32" s="26">
        <f>股权价值增加表!BE27</f>
        <v>74080792.579999998</v>
      </c>
      <c r="BF32" s="26">
        <f>股权价值增加表!BF27</f>
        <v>53634658.140000001</v>
      </c>
      <c r="BG32" s="26">
        <f>股权价值增加表!BG27</f>
        <v>44718368.039999999</v>
      </c>
      <c r="BH32" s="26">
        <f>股权价值增加表!BH27</f>
        <v>13012623.23</v>
      </c>
      <c r="BI32" s="26">
        <f>股权价值增加表!BI27</f>
        <v>129351232.81999999</v>
      </c>
      <c r="BJ32" s="26">
        <f>股权价值增加表!BJ27</f>
        <v>126231548.87</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c r="A33" s="150" t="s">
        <v>385</v>
      </c>
      <c r="E33" s="59">
        <f>E32/E34</f>
        <v>0.19663767405999932</v>
      </c>
      <c r="F33" s="59">
        <f t="shared" ref="F33:BQ33" si="32">F32/F34</f>
        <v>1.2860935783988584E-3</v>
      </c>
      <c r="G33" s="59">
        <f t="shared" si="32"/>
        <v>1.4725317528880351E-3</v>
      </c>
      <c r="H33" s="59">
        <f t="shared" si="32"/>
        <v>-2.6360603043073621E-2</v>
      </c>
      <c r="I33" s="59">
        <f t="shared" si="32"/>
        <v>2.3243481846346382E-2</v>
      </c>
      <c r="J33" s="59">
        <f t="shared" si="32"/>
        <v>0</v>
      </c>
      <c r="K33" s="59">
        <f t="shared" si="32"/>
        <v>0</v>
      </c>
      <c r="L33" s="59">
        <f t="shared" si="32"/>
        <v>0</v>
      </c>
      <c r="M33" s="59">
        <f t="shared" si="32"/>
        <v>3.1153047773722808E-2</v>
      </c>
      <c r="N33" s="59">
        <f t="shared" si="32"/>
        <v>0</v>
      </c>
      <c r="O33" s="59">
        <f t="shared" si="32"/>
        <v>0</v>
      </c>
      <c r="P33" s="59">
        <f t="shared" si="32"/>
        <v>0</v>
      </c>
      <c r="Q33" s="59">
        <f t="shared" si="32"/>
        <v>0</v>
      </c>
      <c r="R33" s="59">
        <f t="shared" si="32"/>
        <v>0</v>
      </c>
      <c r="S33" s="59" t="e">
        <f t="shared" si="32"/>
        <v>#DIV/0!</v>
      </c>
      <c r="T33" s="59">
        <f t="shared" si="32"/>
        <v>1</v>
      </c>
      <c r="U33" s="59">
        <f t="shared" si="32"/>
        <v>1</v>
      </c>
      <c r="V33" s="59">
        <f t="shared" si="32"/>
        <v>1</v>
      </c>
      <c r="W33" s="59">
        <f t="shared" si="32"/>
        <v>1</v>
      </c>
      <c r="X33" s="59">
        <f t="shared" si="32"/>
        <v>1</v>
      </c>
      <c r="Y33" s="59">
        <f t="shared" si="32"/>
        <v>1</v>
      </c>
      <c r="Z33" s="59" t="e">
        <f t="shared" si="32"/>
        <v>#DIV/0!</v>
      </c>
      <c r="AA33" s="59" t="e">
        <f t="shared" si="32"/>
        <v>#DIV/0!</v>
      </c>
      <c r="AB33" s="59" t="e">
        <f t="shared" si="32"/>
        <v>#DIV/0!</v>
      </c>
      <c r="AC33" s="59">
        <f t="shared" si="32"/>
        <v>1.0099988653488199</v>
      </c>
      <c r="AD33" s="59" t="e">
        <f t="shared" si="32"/>
        <v>#DIV/0!</v>
      </c>
      <c r="AE33" s="59" t="e">
        <f t="shared" si="32"/>
        <v>#DIV/0!</v>
      </c>
      <c r="AF33" s="59" t="e">
        <f t="shared" si="32"/>
        <v>#DIV/0!</v>
      </c>
      <c r="AG33" s="59">
        <f t="shared" si="32"/>
        <v>1.0666239664828263</v>
      </c>
      <c r="AH33" s="59" t="e">
        <f t="shared" si="32"/>
        <v>#DIV/0!</v>
      </c>
      <c r="AI33" s="59" t="e">
        <f t="shared" si="32"/>
        <v>#DIV/0!</v>
      </c>
      <c r="AJ33" s="59" t="e">
        <f t="shared" si="32"/>
        <v>#DIV/0!</v>
      </c>
      <c r="AK33" s="59">
        <f t="shared" si="32"/>
        <v>1.095203025910507</v>
      </c>
      <c r="AL33" s="59">
        <f t="shared" si="32"/>
        <v>1</v>
      </c>
      <c r="AM33" s="59" t="e">
        <f t="shared" si="32"/>
        <v>#DIV/0!</v>
      </c>
      <c r="AN33" s="59">
        <f t="shared" si="32"/>
        <v>1</v>
      </c>
      <c r="AO33" s="59">
        <f t="shared" si="32"/>
        <v>1.2956169037114231</v>
      </c>
      <c r="AP33" s="59" t="e">
        <f t="shared" si="32"/>
        <v>#DIV/0!</v>
      </c>
      <c r="AQ33" s="59" t="e">
        <f t="shared" si="32"/>
        <v>#DIV/0!</v>
      </c>
      <c r="AR33" s="59" t="e">
        <f t="shared" si="32"/>
        <v>#DIV/0!</v>
      </c>
      <c r="AS33" s="59" t="e">
        <f t="shared" si="32"/>
        <v>#DIV/0!</v>
      </c>
      <c r="AT33" s="59">
        <f t="shared" si="32"/>
        <v>1</v>
      </c>
      <c r="AU33" s="59">
        <f t="shared" si="32"/>
        <v>1</v>
      </c>
      <c r="AV33" s="59" t="e">
        <f t="shared" si="32"/>
        <v>#DIV/0!</v>
      </c>
      <c r="AW33" s="59">
        <f t="shared" si="32"/>
        <v>1</v>
      </c>
      <c r="AX33" s="59">
        <f t="shared" si="32"/>
        <v>1</v>
      </c>
      <c r="AY33" s="59">
        <f t="shared" si="32"/>
        <v>1</v>
      </c>
      <c r="AZ33" s="59">
        <f t="shared" si="32"/>
        <v>1</v>
      </c>
      <c r="BA33" s="59">
        <f t="shared" si="32"/>
        <v>1</v>
      </c>
      <c r="BB33" s="59">
        <f t="shared" si="32"/>
        <v>1</v>
      </c>
      <c r="BC33" s="59">
        <f t="shared" si="32"/>
        <v>1</v>
      </c>
      <c r="BD33" s="59">
        <f t="shared" si="32"/>
        <v>1</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c r="A34" s="150" t="s">
        <v>381</v>
      </c>
      <c r="E34" s="58">
        <f>股权价值增加表!E31</f>
        <v>68737510.320000008</v>
      </c>
      <c r="F34" s="58">
        <f>股权价值增加表!F31</f>
        <v>24671610.629999988</v>
      </c>
      <c r="G34" s="58">
        <f>股权价值增加表!G31</f>
        <v>16085221.899999993</v>
      </c>
      <c r="H34" s="58">
        <f>股权价值增加表!H31</f>
        <v>-599606.91999999993</v>
      </c>
      <c r="I34" s="58">
        <f>股权价值增加表!I31</f>
        <v>65358113.300000004</v>
      </c>
      <c r="J34" s="58">
        <f>股权价值增加表!J31</f>
        <v>39529590.109999992</v>
      </c>
      <c r="K34" s="58">
        <f>股权价值增加表!K31</f>
        <v>29185341.380000003</v>
      </c>
      <c r="L34" s="58">
        <f>股权价值增加表!L31</f>
        <v>5603276.8999999994</v>
      </c>
      <c r="M34" s="58">
        <f>股权价值增加表!M31</f>
        <v>64632457.300000012</v>
      </c>
      <c r="N34" s="58">
        <f>股权价值增加表!N31</f>
        <v>44752786.049999997</v>
      </c>
      <c r="O34" s="58">
        <f>股权价值增加表!O31</f>
        <v>80774498.729999989</v>
      </c>
      <c r="P34" s="58">
        <f>股权价值增加表!P31</f>
        <v>89816651.859999999</v>
      </c>
      <c r="Q34" s="58">
        <f>股权价值增加表!Q31</f>
        <v>77100270.920000017</v>
      </c>
      <c r="R34" s="58">
        <f>股权价值增加表!R31</f>
        <v>30551011.699999999</v>
      </c>
      <c r="S34" s="58">
        <f>股权价值增加表!S31</f>
        <v>0</v>
      </c>
      <c r="T34" s="58">
        <f>股权价值增加表!T31</f>
        <v>2625796.42</v>
      </c>
      <c r="U34" s="58">
        <f>股权价值增加表!U31</f>
        <v>10656664.34</v>
      </c>
      <c r="V34" s="58">
        <f>股权价值增加表!V31</f>
        <v>6762262.5199999996</v>
      </c>
      <c r="W34" s="58">
        <f>股权价值增加表!W31</f>
        <v>3988448.61</v>
      </c>
      <c r="X34" s="58">
        <f>股权价值增加表!X31</f>
        <v>396219.44</v>
      </c>
      <c r="Y34" s="58">
        <f>股权价值增加表!Y31</f>
        <v>1100350.93</v>
      </c>
      <c r="Z34" s="58">
        <f>股权价值增加表!Z31</f>
        <v>0</v>
      </c>
      <c r="AA34" s="58">
        <f>股权价值增加表!AA31</f>
        <v>0</v>
      </c>
      <c r="AB34" s="58">
        <f>股权价值增加表!AB31</f>
        <v>0</v>
      </c>
      <c r="AC34" s="58">
        <f>股权价值增加表!AC31</f>
        <v>33146839.009999998</v>
      </c>
      <c r="AD34" s="58">
        <f>股权价值增加表!AD31</f>
        <v>0</v>
      </c>
      <c r="AE34" s="58">
        <f>股权价值增加表!AE31</f>
        <v>0</v>
      </c>
      <c r="AF34" s="58">
        <f>股权价值增加表!AF31</f>
        <v>0</v>
      </c>
      <c r="AG34" s="58">
        <f>股权价值增加表!AG31</f>
        <v>1005163.51</v>
      </c>
      <c r="AH34" s="58">
        <f>股权价值增加表!AH31</f>
        <v>0</v>
      </c>
      <c r="AI34" s="58">
        <f>股权价值增加表!AI31</f>
        <v>0</v>
      </c>
      <c r="AJ34" s="58">
        <f>股权价值增加表!AJ31</f>
        <v>0</v>
      </c>
      <c r="AK34" s="58">
        <f>股权价值增加表!AK31</f>
        <v>3681496.85</v>
      </c>
      <c r="AL34" s="58">
        <f>股权价值增加表!AL31</f>
        <v>666438.85</v>
      </c>
      <c r="AM34" s="58">
        <f>股权价值增加表!AM31</f>
        <v>0</v>
      </c>
      <c r="AN34" s="58">
        <f>股权价值增加表!AN31</f>
        <v>987723.72</v>
      </c>
      <c r="AO34" s="58">
        <f>股权价值增加表!AO31</f>
        <v>968056.99</v>
      </c>
      <c r="AP34" s="58">
        <f>股权价值增加表!AP31</f>
        <v>0</v>
      </c>
      <c r="AQ34" s="58">
        <f>股权价值增加表!AQ31</f>
        <v>0</v>
      </c>
      <c r="AR34" s="58">
        <f>股权价值增加表!AR31</f>
        <v>0</v>
      </c>
      <c r="AS34" s="58">
        <f>股权价值增加表!AS31</f>
        <v>0</v>
      </c>
      <c r="AT34" s="58">
        <f>股权价值增加表!AT31</f>
        <v>3145948.9100000262</v>
      </c>
      <c r="AU34" s="58">
        <f>股权价值增加表!AU31</f>
        <v>3221938.3999999762</v>
      </c>
      <c r="AV34" s="58">
        <f>股权价值增加表!AV31</f>
        <v>0</v>
      </c>
      <c r="AW34" s="58">
        <f>股权价值增加表!AW31</f>
        <v>106002085.7</v>
      </c>
      <c r="AX34" s="58">
        <f>股权价值增加表!AX31</f>
        <v>78146813.989999995</v>
      </c>
      <c r="AY34" s="58">
        <f>股权价值增加表!AY31</f>
        <v>31508275.550000001</v>
      </c>
      <c r="AZ34" s="58">
        <f>股权价值增加表!AZ31</f>
        <v>6818330.1399999997</v>
      </c>
      <c r="BA34" s="58">
        <f>股权价值增加表!BA31</f>
        <v>-52414533.450000003</v>
      </c>
      <c r="BB34" s="58">
        <f>股权价值增加表!BB31</f>
        <v>-47415743.689999998</v>
      </c>
      <c r="BC34" s="58">
        <f>股权价值增加表!BC31</f>
        <v>-4476487.08</v>
      </c>
      <c r="BD34" s="58">
        <f>股权价值增加表!BD31</f>
        <v>13731417.210000001</v>
      </c>
      <c r="BE34" s="58">
        <f>股权价值增加表!BE31</f>
        <v>74080792.579999998</v>
      </c>
      <c r="BF34" s="58">
        <f>股权价值增加表!BF31</f>
        <v>53634658.140000001</v>
      </c>
      <c r="BG34" s="58">
        <f>股权价值增加表!BG31</f>
        <v>44718368.039999999</v>
      </c>
      <c r="BH34" s="58">
        <f>股权价值增加表!BH31</f>
        <v>13012623.23</v>
      </c>
      <c r="BI34" s="58">
        <f>股权价值增加表!BI31</f>
        <v>129351232.81999999</v>
      </c>
      <c r="BJ34" s="58">
        <f>股权价值增加表!BJ31</f>
        <v>126231548.87</v>
      </c>
      <c r="BK34" s="58">
        <f>股权价值增加表!BK31</f>
        <v>99137772.019999996</v>
      </c>
      <c r="BL34" s="58">
        <f>股权价值增加表!BL31</f>
        <v>21058739.870000001</v>
      </c>
      <c r="BM34" s="58">
        <f>股权价值增加表!BM31</f>
        <v>80579243.650000006</v>
      </c>
      <c r="BN34" s="58">
        <f>股权价值增加表!BN31</f>
        <v>68017088.620000005</v>
      </c>
      <c r="BO34" s="58">
        <f>股权价值增加表!BO31</f>
        <v>47536007.049999997</v>
      </c>
      <c r="BP34" s="58">
        <f>股权价值增加表!BP31</f>
        <v>23536334.48</v>
      </c>
      <c r="BQ34" s="58">
        <f>股权价值增加表!BQ31</f>
        <v>47111894.539999999</v>
      </c>
      <c r="BR34" s="58">
        <f>股权价值增加表!BR31</f>
        <v>43130624.329999998</v>
      </c>
      <c r="BS34" s="58">
        <f>股权价值增加表!BS31</f>
        <v>110636895.03</v>
      </c>
      <c r="BT34" s="58">
        <f>股权价值增加表!BT31</f>
        <v>55492097.759999998</v>
      </c>
      <c r="BU34" s="58">
        <f>股权价值增加表!BU31</f>
        <v>42252799.109999999</v>
      </c>
      <c r="BV34" s="58">
        <f>股权价值增加表!BV31</f>
        <v>-8467811.9100000001</v>
      </c>
      <c r="BW34" s="58">
        <f>股权价值增加表!BW31</f>
        <v>44423828.259999998</v>
      </c>
      <c r="BX34" s="58">
        <f>股权价值增加表!BX31</f>
        <v>-2405395.41</v>
      </c>
      <c r="BY34" s="58">
        <f>股权价值增加表!BY31</f>
        <v>43588942.600000001</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c r="A35" s="237" t="s">
        <v>652</v>
      </c>
      <c r="B35" s="238"/>
      <c r="C35" s="238"/>
      <c r="D35" s="238"/>
      <c r="E35" s="238"/>
      <c r="F35" s="238"/>
      <c r="G35" s="238"/>
      <c r="H35" s="238"/>
      <c r="I35" s="238"/>
      <c r="J35" s="238"/>
      <c r="K35" s="238"/>
      <c r="L35" s="238"/>
      <c r="M35" s="238"/>
      <c r="N35" s="238"/>
      <c r="O35" s="238"/>
      <c r="P35" s="238"/>
      <c r="Q35" s="238"/>
      <c r="R35" s="238"/>
      <c r="S35" s="238"/>
      <c r="T35" s="238"/>
      <c r="U35" s="238"/>
      <c r="V35" s="238"/>
      <c r="W35" s="238"/>
      <c r="X35" s="238"/>
      <c r="Y35" s="238"/>
      <c r="Z35" s="238"/>
      <c r="AA35" s="238"/>
      <c r="AB35" s="238"/>
      <c r="AC35" s="238"/>
      <c r="AD35" s="238"/>
      <c r="AE35" s="238"/>
      <c r="AF35" s="238"/>
      <c r="AG35" s="238"/>
    </row>
    <row r="38" spans="1:89">
      <c r="A38" s="20" t="s">
        <v>386</v>
      </c>
      <c r="B38" s="1">
        <v>43373</v>
      </c>
      <c r="C38" s="1">
        <v>43281</v>
      </c>
      <c r="D38" s="1">
        <v>43190</v>
      </c>
      <c r="E38" s="1">
        <v>43100</v>
      </c>
      <c r="F38" s="1">
        <v>43008</v>
      </c>
      <c r="G38" s="1">
        <v>42916</v>
      </c>
      <c r="H38" s="1">
        <v>42825</v>
      </c>
      <c r="I38" s="1">
        <v>42735</v>
      </c>
      <c r="J38" s="1">
        <v>42643</v>
      </c>
      <c r="K38" s="1">
        <v>42551</v>
      </c>
      <c r="L38" s="1">
        <v>42460</v>
      </c>
      <c r="M38" s="1">
        <v>42369</v>
      </c>
      <c r="N38" s="1">
        <v>42277</v>
      </c>
      <c r="O38" s="1">
        <v>42004</v>
      </c>
      <c r="P38" s="1">
        <v>41639</v>
      </c>
      <c r="Q38" s="1">
        <v>41274</v>
      </c>
      <c r="R38" s="1">
        <v>40908</v>
      </c>
      <c r="S38" s="1">
        <v>25569</v>
      </c>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c r="A39" s="17" t="s">
        <v>381</v>
      </c>
      <c r="E39" s="26">
        <f>股权价值增加表!E31</f>
        <v>68737510.320000008</v>
      </c>
      <c r="F39" s="26">
        <f>股权价值增加表!F31</f>
        <v>24671610.629999988</v>
      </c>
      <c r="G39" s="26">
        <f>股权价值增加表!G31</f>
        <v>16085221.899999993</v>
      </c>
      <c r="H39" s="26">
        <f>股权价值增加表!H31</f>
        <v>-599606.91999999993</v>
      </c>
      <c r="I39" s="26">
        <f>股权价值增加表!I31</f>
        <v>65358113.300000004</v>
      </c>
      <c r="J39" s="26">
        <f>股权价值增加表!J31</f>
        <v>39529590.109999992</v>
      </c>
      <c r="K39" s="26">
        <f>股权价值增加表!K31</f>
        <v>29185341.380000003</v>
      </c>
      <c r="L39" s="26">
        <f>股权价值增加表!L31</f>
        <v>5603276.8999999994</v>
      </c>
      <c r="M39" s="26">
        <f>股权价值增加表!M31</f>
        <v>64632457.300000012</v>
      </c>
      <c r="N39" s="26">
        <f>股权价值增加表!N31</f>
        <v>44752786.049999997</v>
      </c>
      <c r="O39" s="26">
        <f>股权价值增加表!O31</f>
        <v>80774498.729999989</v>
      </c>
      <c r="P39" s="26">
        <f>股权价值增加表!P31</f>
        <v>89816651.859999999</v>
      </c>
      <c r="Q39" s="26">
        <f>股权价值增加表!Q31</f>
        <v>77100270.920000017</v>
      </c>
      <c r="R39" s="26">
        <f>股权价值增加表!R31</f>
        <v>30551011.699999999</v>
      </c>
      <c r="S39" s="26">
        <f>股权价值增加表!S31</f>
        <v>0</v>
      </c>
      <c r="T39" s="26">
        <f>股权价值增加表!T31</f>
        <v>2625796.42</v>
      </c>
      <c r="U39" s="26">
        <f>股权价值增加表!U31</f>
        <v>10656664.34</v>
      </c>
      <c r="V39" s="26">
        <f>股权价值增加表!V31</f>
        <v>6762262.5199999996</v>
      </c>
      <c r="W39" s="26">
        <f>股权价值增加表!W31</f>
        <v>3988448.61</v>
      </c>
      <c r="X39" s="26">
        <f>股权价值增加表!X31</f>
        <v>396219.44</v>
      </c>
      <c r="Y39" s="26">
        <f>股权价值增加表!Y31</f>
        <v>1100350.93</v>
      </c>
      <c r="Z39" s="26">
        <f>股权价值增加表!Z31</f>
        <v>0</v>
      </c>
      <c r="AA39" s="26">
        <f>股权价值增加表!AA31</f>
        <v>0</v>
      </c>
      <c r="AB39" s="26">
        <f>股权价值增加表!AB31</f>
        <v>0</v>
      </c>
      <c r="AC39" s="26">
        <f>股权价值增加表!AC31</f>
        <v>33146839.009999998</v>
      </c>
      <c r="AD39" s="26">
        <f>股权价值增加表!AD31</f>
        <v>0</v>
      </c>
      <c r="AE39" s="26">
        <f>股权价值增加表!AE31</f>
        <v>0</v>
      </c>
      <c r="AF39" s="26">
        <f>股权价值增加表!AF31</f>
        <v>0</v>
      </c>
      <c r="AG39" s="26">
        <f>股权价值增加表!AG31</f>
        <v>1005163.51</v>
      </c>
      <c r="AH39" s="26">
        <f>股权价值增加表!AH31</f>
        <v>0</v>
      </c>
      <c r="AI39" s="26">
        <f>股权价值增加表!AI31</f>
        <v>0</v>
      </c>
      <c r="AJ39" s="26">
        <f>股权价值增加表!AJ31</f>
        <v>0</v>
      </c>
      <c r="AK39" s="26">
        <f>股权价值增加表!AK31</f>
        <v>3681496.85</v>
      </c>
      <c r="AL39" s="26">
        <f>股权价值增加表!AL31</f>
        <v>666438.85</v>
      </c>
      <c r="AM39" s="26">
        <f>股权价值增加表!AM31</f>
        <v>0</v>
      </c>
      <c r="AN39" s="26">
        <f>股权价值增加表!AN31</f>
        <v>987723.72</v>
      </c>
      <c r="AO39" s="26">
        <f>股权价值增加表!AO31</f>
        <v>968056.99</v>
      </c>
      <c r="AP39" s="26">
        <f>股权价值增加表!AP31</f>
        <v>0</v>
      </c>
      <c r="AQ39" s="26">
        <f>股权价值增加表!AQ31</f>
        <v>0</v>
      </c>
      <c r="AR39" s="26">
        <f>股权价值增加表!AR31</f>
        <v>0</v>
      </c>
      <c r="AS39" s="26">
        <f>股权价值增加表!AS31</f>
        <v>0</v>
      </c>
      <c r="AT39" s="26">
        <f>股权价值增加表!AT31</f>
        <v>3145948.9100000262</v>
      </c>
      <c r="AU39" s="26">
        <f>股权价值增加表!AU31</f>
        <v>3221938.3999999762</v>
      </c>
      <c r="AV39" s="26">
        <f>股权价值增加表!AV31</f>
        <v>0</v>
      </c>
      <c r="AW39" s="26">
        <f>股权价值增加表!AW31</f>
        <v>106002085.7</v>
      </c>
      <c r="AX39" s="26">
        <f>股权价值增加表!AX31</f>
        <v>78146813.989999995</v>
      </c>
      <c r="AY39" s="26">
        <f>股权价值增加表!AY31</f>
        <v>31508275.550000001</v>
      </c>
      <c r="AZ39" s="26">
        <f>股权价值增加表!AZ31</f>
        <v>6818330.1399999997</v>
      </c>
      <c r="BA39" s="26">
        <f>股权价值增加表!BA31</f>
        <v>-52414533.450000003</v>
      </c>
      <c r="BB39" s="26">
        <f>股权价值增加表!BB31</f>
        <v>-47415743.689999998</v>
      </c>
      <c r="BC39" s="26">
        <f>股权价值增加表!BC31</f>
        <v>-4476487.08</v>
      </c>
      <c r="BD39" s="26">
        <f>股权价值增加表!BD31</f>
        <v>13731417.210000001</v>
      </c>
      <c r="BE39" s="26">
        <f>股权价值增加表!BE31</f>
        <v>74080792.579999998</v>
      </c>
      <c r="BF39" s="26">
        <f>股权价值增加表!BF31</f>
        <v>53634658.140000001</v>
      </c>
      <c r="BG39" s="26">
        <f>股权价值增加表!BG31</f>
        <v>44718368.039999999</v>
      </c>
      <c r="BH39" s="26">
        <f>股权价值增加表!BH31</f>
        <v>13012623.23</v>
      </c>
      <c r="BI39" s="26">
        <f>股权价值增加表!BI31</f>
        <v>129351232.81999999</v>
      </c>
      <c r="BJ39" s="26">
        <f>股权价值增加表!BJ31</f>
        <v>126231548.87</v>
      </c>
      <c r="BK39" s="26">
        <f>股权价值增加表!BK31</f>
        <v>99137772.019999996</v>
      </c>
      <c r="BL39" s="26">
        <f>股权价值增加表!BL31</f>
        <v>21058739.870000001</v>
      </c>
      <c r="BM39" s="26">
        <f>股权价值增加表!BM31</f>
        <v>80579243.650000006</v>
      </c>
      <c r="BN39" s="26">
        <f>股权价值增加表!BN31</f>
        <v>68017088.620000005</v>
      </c>
      <c r="BO39" s="26">
        <f>股权价值增加表!BO31</f>
        <v>47536007.049999997</v>
      </c>
      <c r="BP39" s="26">
        <f>股权价值增加表!BP31</f>
        <v>23536334.48</v>
      </c>
      <c r="BQ39" s="26">
        <f>股权价值增加表!BQ31</f>
        <v>47111894.539999999</v>
      </c>
      <c r="BR39" s="26">
        <f>股权价值增加表!BR31</f>
        <v>43130624.329999998</v>
      </c>
      <c r="BS39" s="26">
        <f>股权价值增加表!BS31</f>
        <v>110636895.03</v>
      </c>
      <c r="BT39" s="26">
        <f>股权价值增加表!BT31</f>
        <v>55492097.759999998</v>
      </c>
      <c r="BU39" s="26">
        <f>股权价值增加表!BU31</f>
        <v>42252799.109999999</v>
      </c>
      <c r="BV39" s="26">
        <f>股权价值增加表!BV31</f>
        <v>-8467811.9100000001</v>
      </c>
      <c r="BW39" s="26">
        <f>股权价值增加表!BW31</f>
        <v>44423828.259999998</v>
      </c>
      <c r="BX39" s="26">
        <f>股权价值增加表!BX31</f>
        <v>-2405395.41</v>
      </c>
      <c r="BY39" s="26">
        <f>股权价值增加表!BY31</f>
        <v>43588942.600000001</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c r="A40" s="17" t="s">
        <v>387</v>
      </c>
      <c r="E40" s="26">
        <f>股权价值增加表!E38</f>
        <v>68552718.730000004</v>
      </c>
      <c r="F40" s="26">
        <f>股权价值增加表!F38</f>
        <v>34274019.779999986</v>
      </c>
      <c r="G40" s="26">
        <f>股权价值增加表!G38</f>
        <v>21137559.379999995</v>
      </c>
      <c r="H40" s="26">
        <f>股权价值增加表!H38</f>
        <v>1747331.44</v>
      </c>
      <c r="I40" s="26">
        <f>股权价值增加表!I38</f>
        <v>65338427.550000004</v>
      </c>
      <c r="J40" s="26">
        <f>股权价值增加表!J38</f>
        <v>40669850.459999993</v>
      </c>
      <c r="K40" s="26">
        <f>股权价值增加表!K38</f>
        <v>30019226.380000003</v>
      </c>
      <c r="L40" s="26">
        <f>股权价值增加表!L38</f>
        <v>6242300.8599999994</v>
      </c>
      <c r="M40" s="26">
        <f>股权价值增加表!M38</f>
        <v>64470367.280000009</v>
      </c>
      <c r="N40" s="26">
        <f>股权价值增加表!N38</f>
        <v>46618412.159999996</v>
      </c>
      <c r="O40" s="26">
        <f>股权价值增加表!O38</f>
        <v>82225209.589999989</v>
      </c>
      <c r="P40" s="26">
        <f>股权价值增加表!P38</f>
        <v>90820773.989999995</v>
      </c>
      <c r="Q40" s="26">
        <f>股权价值增加表!Q38</f>
        <v>77524210.210000023</v>
      </c>
      <c r="R40" s="26">
        <f>股权价值增加表!R38</f>
        <v>30657610.09</v>
      </c>
      <c r="S40" s="26">
        <f>股权价值增加表!S38</f>
        <v>0</v>
      </c>
      <c r="T40" s="26">
        <f>股权价值增加表!T38</f>
        <v>5502638.1099999994</v>
      </c>
      <c r="U40" s="26">
        <f>股权价值增加表!U38</f>
        <v>25665974.149999999</v>
      </c>
      <c r="V40" s="26">
        <f>股权价值增加表!V38</f>
        <v>18602494.780000001</v>
      </c>
      <c r="W40" s="26">
        <f>股权价值增加表!W38</f>
        <v>12345911.529999999</v>
      </c>
      <c r="X40" s="26">
        <f>股权价值增加表!X38</f>
        <v>4671619.6000000006</v>
      </c>
      <c r="Y40" s="26">
        <f>股权价值增加表!Y38</f>
        <v>14248413.879999999</v>
      </c>
      <c r="Z40" s="26">
        <f>股权价值增加表!Z38</f>
        <v>10178527.93</v>
      </c>
      <c r="AA40" s="26">
        <f>股权价值增加表!AA38</f>
        <v>6197878.7800000003</v>
      </c>
      <c r="AB40" s="26">
        <f>股权价值增加表!AB38</f>
        <v>3242186.46</v>
      </c>
      <c r="AC40" s="26">
        <f>股权价值增加表!AC38</f>
        <v>12833832.989999998</v>
      </c>
      <c r="AD40" s="26">
        <f>股权价值增加表!AD38</f>
        <v>8810880.1899999995</v>
      </c>
      <c r="AE40" s="26">
        <f>股权价值增加表!AE38</f>
        <v>5510384.21</v>
      </c>
      <c r="AF40" s="26">
        <f>股权价值增加表!AF38</f>
        <v>1621693.85</v>
      </c>
      <c r="AG40" s="26">
        <f>股权价值增加表!AG38</f>
        <v>-23957562.469999995</v>
      </c>
      <c r="AH40" s="26">
        <f>股权价值增加表!AH38</f>
        <v>-18279179.75</v>
      </c>
      <c r="AI40" s="26">
        <f>股权价值增加表!AI38</f>
        <v>-12063791.359999999</v>
      </c>
      <c r="AJ40" s="26">
        <f>股权价值增加表!AJ38</f>
        <v>-5378055.4400000004</v>
      </c>
      <c r="AK40" s="26">
        <f>股权价值增加表!AK38</f>
        <v>-17114867.199999996</v>
      </c>
      <c r="AL40" s="26">
        <f>股权价值增加表!AL38</f>
        <v>-11806444.9</v>
      </c>
      <c r="AM40" s="26">
        <f>股权价值增加表!AM38</f>
        <v>-12428777.24</v>
      </c>
      <c r="AN40" s="26">
        <f>股权价值增加表!AN38</f>
        <v>-8784689.2199999988</v>
      </c>
      <c r="AO40" s="26">
        <f>股权价值增加表!AO38</f>
        <v>-287177.33000000007</v>
      </c>
      <c r="AP40" s="26">
        <f>股权价值增加表!AP38</f>
        <v>-989032.06</v>
      </c>
      <c r="AQ40" s="26">
        <f>股权价值增加表!AQ38</f>
        <v>-342462.79</v>
      </c>
      <c r="AR40" s="26">
        <f>股权价值增加表!AR38</f>
        <v>229725.21</v>
      </c>
      <c r="AS40" s="26">
        <f>股权价值增加表!AS38</f>
        <v>0</v>
      </c>
      <c r="AT40" s="26">
        <f>股权价值增加表!AT38</f>
        <v>25795350.260000028</v>
      </c>
      <c r="AU40" s="26">
        <f>股权价值增加表!AU38</f>
        <v>11567145.859999977</v>
      </c>
      <c r="AV40" s="26">
        <f>股权价值增加表!AV38</f>
        <v>6288958.1900000004</v>
      </c>
      <c r="AW40" s="26">
        <f>股权价值增加表!AW38</f>
        <v>128652930.08</v>
      </c>
      <c r="AX40" s="26">
        <f>股权价值增加表!AX38</f>
        <v>91516728.729999989</v>
      </c>
      <c r="AY40" s="26">
        <f>股权价值增加表!AY38</f>
        <v>39569571.590000004</v>
      </c>
      <c r="AZ40" s="26">
        <f>股权价值增加表!AZ38</f>
        <v>10345318.74</v>
      </c>
      <c r="BA40" s="26">
        <f>股权价值增加表!BA38</f>
        <v>-44081420.550000004</v>
      </c>
      <c r="BB40" s="26">
        <f>股权价值增加表!BB38</f>
        <v>-46593904.899999999</v>
      </c>
      <c r="BC40" s="26">
        <f>股权价值增加表!BC38</f>
        <v>-2404836.39</v>
      </c>
      <c r="BD40" s="26">
        <f>股权价值增加表!BD38</f>
        <v>17364907.609999999</v>
      </c>
      <c r="BE40" s="26">
        <f>股权价值增加表!BE38</f>
        <v>86656961.140000001</v>
      </c>
      <c r="BF40" s="26">
        <f>股权价值增加表!BF38</f>
        <v>60767912.130000003</v>
      </c>
      <c r="BG40" s="26">
        <f>股权价值增加表!BG38</f>
        <v>47659187.700000003</v>
      </c>
      <c r="BH40" s="26">
        <f>股权价值增加表!BH38</f>
        <v>15529502.800000001</v>
      </c>
      <c r="BI40" s="26">
        <f>股权价值增加表!BI38</f>
        <v>120606282.16999999</v>
      </c>
      <c r="BJ40" s="26">
        <f>股权价值增加表!BJ38</f>
        <v>111581155.38000001</v>
      </c>
      <c r="BK40" s="26">
        <f>股权价值增加表!BK38</f>
        <v>83210734.969999999</v>
      </c>
      <c r="BL40" s="26">
        <f>股权价值增加表!BL38</f>
        <v>14665538.030000001</v>
      </c>
      <c r="BM40" s="26">
        <f>股权价值增加表!BM38</f>
        <v>73218411.960000008</v>
      </c>
      <c r="BN40" s="26">
        <f>股权价值增加表!BN38</f>
        <v>59722776.710000008</v>
      </c>
      <c r="BO40" s="26">
        <f>股权价值增加表!BO38</f>
        <v>42681175.309999995</v>
      </c>
      <c r="BP40" s="26">
        <f>股权价值增加表!BP38</f>
        <v>15198146.09</v>
      </c>
      <c r="BQ40" s="26">
        <f>股权价值增加表!BQ38</f>
        <v>41603777.589999996</v>
      </c>
      <c r="BR40" s="26">
        <f>股权价值增加表!BR38</f>
        <v>39361911.009999998</v>
      </c>
      <c r="BS40" s="26">
        <f>股权价值增加表!BS38</f>
        <v>107226093</v>
      </c>
      <c r="BT40" s="26">
        <f>股权价值增加表!BT38</f>
        <v>55579527.460000001</v>
      </c>
      <c r="BU40" s="26">
        <f>股权价值增加表!BU38</f>
        <v>48821463.519999996</v>
      </c>
      <c r="BV40" s="26">
        <f>股权价值增加表!BV38</f>
        <v>-14400267.780000001</v>
      </c>
      <c r="BW40" s="26">
        <f>股权价值增加表!BW38</f>
        <v>43555220.869999997</v>
      </c>
      <c r="BX40" s="26">
        <f>股权价值增加表!BX38</f>
        <v>-19842125.949999999</v>
      </c>
      <c r="BY40" s="26">
        <f>股权价值增加表!BY38</f>
        <v>20704606.790000003</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c r="A41" s="59" t="s">
        <v>388</v>
      </c>
      <c r="E41" s="59">
        <f>1-E40/E39</f>
        <v>2.688366063008818E-3</v>
      </c>
      <c r="F41" s="59">
        <f t="shared" ref="F41:BQ41" si="34">1-F40/F39</f>
        <v>-0.38920884793487054</v>
      </c>
      <c r="G41" s="59">
        <f t="shared" si="34"/>
        <v>-0.31409809024767044</v>
      </c>
      <c r="H41" s="59">
        <f t="shared" si="34"/>
        <v>3.914128209194117</v>
      </c>
      <c r="I41" s="59">
        <f t="shared" si="34"/>
        <v>3.011982599565588E-4</v>
      </c>
      <c r="J41" s="59">
        <f t="shared" si="34"/>
        <v>-2.8845741805745284E-2</v>
      </c>
      <c r="K41" s="59">
        <f t="shared" si="34"/>
        <v>-2.8572048863250155E-2</v>
      </c>
      <c r="L41" s="59">
        <f t="shared" si="34"/>
        <v>-0.11404468695809045</v>
      </c>
      <c r="M41" s="59">
        <f t="shared" si="34"/>
        <v>2.5078733932030195E-3</v>
      </c>
      <c r="N41" s="59">
        <f t="shared" si="34"/>
        <v>-4.1687373561852148E-2</v>
      </c>
      <c r="O41" s="59">
        <f t="shared" si="34"/>
        <v>-1.7960010681702832E-2</v>
      </c>
      <c r="P41" s="59">
        <f t="shared" si="34"/>
        <v>-1.1179687832999496E-2</v>
      </c>
      <c r="Q41" s="59">
        <f t="shared" si="34"/>
        <v>-5.4985447514170893E-3</v>
      </c>
      <c r="R41" s="59">
        <f t="shared" si="34"/>
        <v>-3.4891934527980784E-3</v>
      </c>
      <c r="S41" s="59" t="e">
        <f t="shared" si="34"/>
        <v>#DIV/0!</v>
      </c>
      <c r="T41" s="59">
        <f t="shared" si="34"/>
        <v>-1.0956072862647894</v>
      </c>
      <c r="U41" s="59">
        <f t="shared" si="34"/>
        <v>-1.408443517702088</v>
      </c>
      <c r="V41" s="59">
        <f t="shared" si="34"/>
        <v>-1.7509276259212725</v>
      </c>
      <c r="W41" s="59">
        <f t="shared" si="34"/>
        <v>-2.0954169746717635</v>
      </c>
      <c r="X41" s="59">
        <f t="shared" si="34"/>
        <v>-10.790485595557858</v>
      </c>
      <c r="Y41" s="59">
        <f t="shared" si="34"/>
        <v>-11.948972451906775</v>
      </c>
      <c r="Z41" s="59" t="e">
        <f t="shared" si="34"/>
        <v>#DIV/0!</v>
      </c>
      <c r="AA41" s="59" t="e">
        <f t="shared" si="34"/>
        <v>#DIV/0!</v>
      </c>
      <c r="AB41" s="59" t="e">
        <f t="shared" si="34"/>
        <v>#DIV/0!</v>
      </c>
      <c r="AC41" s="59">
        <f t="shared" si="34"/>
        <v>0.61281879740845913</v>
      </c>
      <c r="AD41" s="59" t="e">
        <f t="shared" si="34"/>
        <v>#DIV/0!</v>
      </c>
      <c r="AE41" s="59" t="e">
        <f t="shared" si="34"/>
        <v>#DIV/0!</v>
      </c>
      <c r="AF41" s="59" t="e">
        <f t="shared" si="34"/>
        <v>#DIV/0!</v>
      </c>
      <c r="AG41" s="59">
        <f t="shared" si="34"/>
        <v>24.834492827938007</v>
      </c>
      <c r="AH41" s="59" t="e">
        <f t="shared" si="34"/>
        <v>#DIV/0!</v>
      </c>
      <c r="AI41" s="59" t="e">
        <f t="shared" si="34"/>
        <v>#DIV/0!</v>
      </c>
      <c r="AJ41" s="59" t="e">
        <f t="shared" si="34"/>
        <v>#DIV/0!</v>
      </c>
      <c r="AK41" s="59">
        <f t="shared" si="34"/>
        <v>5.6488881825336872</v>
      </c>
      <c r="AL41" s="59">
        <f t="shared" si="34"/>
        <v>18.715721254845814</v>
      </c>
      <c r="AM41" s="59" t="e">
        <f t="shared" si="34"/>
        <v>#DIV/0!</v>
      </c>
      <c r="AN41" s="59">
        <f t="shared" si="34"/>
        <v>9.8938728939302969</v>
      </c>
      <c r="AO41" s="59">
        <f t="shared" si="34"/>
        <v>1.2966533302961845</v>
      </c>
      <c r="AP41" s="59" t="e">
        <f t="shared" si="34"/>
        <v>#DIV/0!</v>
      </c>
      <c r="AQ41" s="59" t="e">
        <f t="shared" si="34"/>
        <v>#DIV/0!</v>
      </c>
      <c r="AR41" s="59" t="e">
        <f t="shared" si="34"/>
        <v>#DIV/0!</v>
      </c>
      <c r="AS41" s="59" t="e">
        <f t="shared" si="34"/>
        <v>#DIV/0!</v>
      </c>
      <c r="AT41" s="59">
        <f t="shared" si="34"/>
        <v>-7.1995451922325753</v>
      </c>
      <c r="AU41" s="59">
        <f t="shared" si="34"/>
        <v>-2.5901201152697588</v>
      </c>
      <c r="AV41" s="59" t="e">
        <f t="shared" si="34"/>
        <v>#DIV/0!</v>
      </c>
      <c r="AW41" s="59">
        <f t="shared" si="34"/>
        <v>-0.21368300661653872</v>
      </c>
      <c r="AX41" s="59">
        <f t="shared" si="34"/>
        <v>-0.17108713788012997</v>
      </c>
      <c r="AY41" s="59">
        <f t="shared" si="34"/>
        <v>-0.25584694494649995</v>
      </c>
      <c r="AZ41" s="59">
        <f t="shared" si="34"/>
        <v>-0.5172804084842979</v>
      </c>
      <c r="BA41" s="59">
        <f t="shared" si="34"/>
        <v>0.15898477676900891</v>
      </c>
      <c r="BB41" s="59">
        <f t="shared" si="34"/>
        <v>1.7332614149703329E-2</v>
      </c>
      <c r="BC41" s="59">
        <f t="shared" si="34"/>
        <v>0.46278491437084635</v>
      </c>
      <c r="BD41" s="59">
        <f t="shared" si="34"/>
        <v>-0.26461146321836937</v>
      </c>
      <c r="BE41" s="59">
        <f t="shared" si="34"/>
        <v>-0.16976287809581647</v>
      </c>
      <c r="BF41" s="59">
        <f t="shared" si="34"/>
        <v>-0.1329970999606338</v>
      </c>
      <c r="BG41" s="59">
        <f t="shared" si="34"/>
        <v>-6.5763125733244054E-2</v>
      </c>
      <c r="BH41" s="59">
        <f t="shared" si="34"/>
        <v>-0.1934183081699814</v>
      </c>
      <c r="BI41" s="59">
        <f t="shared" si="34"/>
        <v>6.7606241234431264E-2</v>
      </c>
      <c r="BJ41" s="59">
        <f t="shared" si="34"/>
        <v>0.11605968255279631</v>
      </c>
      <c r="BK41" s="59">
        <f t="shared" si="34"/>
        <v>0.16065558793057089</v>
      </c>
      <c r="BL41" s="59">
        <f t="shared" si="34"/>
        <v>0.3035890029254632</v>
      </c>
      <c r="BM41" s="59">
        <f t="shared" si="34"/>
        <v>9.1348979669902852E-2</v>
      </c>
      <c r="BN41" s="59">
        <f t="shared" si="34"/>
        <v>0.12194453009212014</v>
      </c>
      <c r="BO41" s="59">
        <f t="shared" si="34"/>
        <v>0.10212956538174367</v>
      </c>
      <c r="BP41" s="59">
        <f t="shared" si="34"/>
        <v>0.35426877524558364</v>
      </c>
      <c r="BQ41" s="59">
        <f t="shared" si="34"/>
        <v>0.1169156325335925</v>
      </c>
      <c r="BR41" s="59">
        <f t="shared" ref="BR41:CK41" si="35">1-BR40/BR39</f>
        <v>8.73790578862228E-2</v>
      </c>
      <c r="BS41" s="59">
        <f t="shared" si="35"/>
        <v>3.0828793858279746E-2</v>
      </c>
      <c r="BT41" s="59">
        <f t="shared" si="35"/>
        <v>-1.5755342387331339E-3</v>
      </c>
      <c r="BU41" s="59">
        <f t="shared" si="35"/>
        <v>-0.15546104751307199</v>
      </c>
      <c r="BV41" s="59">
        <f t="shared" si="35"/>
        <v>-0.70058899902985683</v>
      </c>
      <c r="BW41" s="59">
        <f t="shared" si="35"/>
        <v>1.9552736088305767E-2</v>
      </c>
      <c r="BX41" s="59">
        <f t="shared" si="35"/>
        <v>-7.2490079874227398</v>
      </c>
      <c r="BY41" s="59">
        <f t="shared" si="35"/>
        <v>0.52500323350353528</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c r="A42" s="21" t="s">
        <v>433</v>
      </c>
      <c r="E42" s="157">
        <f>E39/(E39-E40)</f>
        <v>371.973152674311</v>
      </c>
      <c r="F42" s="29">
        <f t="shared" ref="F42:BQ42" si="36">F39/(F39-F40)</f>
        <v>-2.5693146630811907</v>
      </c>
      <c r="G42" s="29">
        <f t="shared" si="36"/>
        <v>-3.1837188160280983</v>
      </c>
      <c r="H42" s="29">
        <f t="shared" si="36"/>
        <v>0.25548473288407963</v>
      </c>
      <c r="I42" s="29">
        <f t="shared" si="36"/>
        <v>3320.072301029933</v>
      </c>
      <c r="J42" s="29">
        <f t="shared" si="36"/>
        <v>-34.667161854746539</v>
      </c>
      <c r="K42" s="29">
        <f t="shared" si="36"/>
        <v>-34.999240159014732</v>
      </c>
      <c r="L42" s="29">
        <f t="shared" si="36"/>
        <v>-8.7684926555805518</v>
      </c>
      <c r="M42" s="29">
        <f t="shared" si="36"/>
        <v>398.74421201255143</v>
      </c>
      <c r="N42" s="29">
        <f t="shared" si="36"/>
        <v>-23.98807875282149</v>
      </c>
      <c r="O42" s="29">
        <f t="shared" si="36"/>
        <v>-55.679254189907986</v>
      </c>
      <c r="P42" s="29">
        <f t="shared" si="36"/>
        <v>-89.447935840235317</v>
      </c>
      <c r="Q42" s="29">
        <f t="shared" si="36"/>
        <v>-181.86630194148512</v>
      </c>
      <c r="R42" s="29">
        <f t="shared" si="36"/>
        <v>-286.59918503459414</v>
      </c>
      <c r="S42" s="29" t="e">
        <f t="shared" si="36"/>
        <v>#DIV/0!</v>
      </c>
      <c r="T42" s="29">
        <f t="shared" si="36"/>
        <v>-0.91273580646698715</v>
      </c>
      <c r="U42" s="29">
        <f t="shared" si="36"/>
        <v>-0.71000362274486228</v>
      </c>
      <c r="V42" s="29">
        <f t="shared" si="36"/>
        <v>-0.5711258336413747</v>
      </c>
      <c r="W42" s="29">
        <f t="shared" si="36"/>
        <v>-0.47723198393801547</v>
      </c>
      <c r="X42" s="29">
        <f t="shared" si="36"/>
        <v>-9.2674235199542113E-2</v>
      </c>
      <c r="Y42" s="29">
        <f t="shared" si="36"/>
        <v>-8.3689204575948584E-2</v>
      </c>
      <c r="Z42" s="29">
        <f t="shared" si="36"/>
        <v>0</v>
      </c>
      <c r="AA42" s="29">
        <f t="shared" si="36"/>
        <v>0</v>
      </c>
      <c r="AB42" s="29">
        <f t="shared" si="36"/>
        <v>0</v>
      </c>
      <c r="AC42" s="29">
        <f t="shared" si="36"/>
        <v>1.6318037309378988</v>
      </c>
      <c r="AD42" s="29">
        <f t="shared" si="36"/>
        <v>0</v>
      </c>
      <c r="AE42" s="29">
        <f t="shared" si="36"/>
        <v>0</v>
      </c>
      <c r="AF42" s="29">
        <f t="shared" si="36"/>
        <v>0</v>
      </c>
      <c r="AG42" s="29">
        <f t="shared" si="36"/>
        <v>4.0266576286793823E-2</v>
      </c>
      <c r="AH42" s="29">
        <f t="shared" si="36"/>
        <v>0</v>
      </c>
      <c r="AI42" s="29">
        <f t="shared" si="36"/>
        <v>0</v>
      </c>
      <c r="AJ42" s="29">
        <f t="shared" si="36"/>
        <v>0</v>
      </c>
      <c r="AK42" s="29">
        <f t="shared" si="36"/>
        <v>0.17702598594392277</v>
      </c>
      <c r="AL42" s="29">
        <f t="shared" si="36"/>
        <v>5.3431015902797939E-2</v>
      </c>
      <c r="AM42" s="29">
        <f t="shared" si="36"/>
        <v>0</v>
      </c>
      <c r="AN42" s="29">
        <f t="shared" si="36"/>
        <v>0.10107265483605321</v>
      </c>
      <c r="AO42" s="29">
        <f t="shared" si="36"/>
        <v>0.77121615827075218</v>
      </c>
      <c r="AP42" s="29">
        <f t="shared" si="36"/>
        <v>0</v>
      </c>
      <c r="AQ42" s="29">
        <f t="shared" si="36"/>
        <v>0</v>
      </c>
      <c r="AR42" s="29">
        <f t="shared" si="36"/>
        <v>0</v>
      </c>
      <c r="AS42" s="29" t="e">
        <f t="shared" si="36"/>
        <v>#DIV/0!</v>
      </c>
      <c r="AT42" s="29">
        <f t="shared" si="36"/>
        <v>-0.13889766274109608</v>
      </c>
      <c r="AU42" s="29">
        <f t="shared" si="36"/>
        <v>-0.38608248092612135</v>
      </c>
      <c r="AV42" s="29">
        <f t="shared" si="36"/>
        <v>0</v>
      </c>
      <c r="AW42" s="29">
        <f t="shared" si="36"/>
        <v>-4.6798293221067118</v>
      </c>
      <c r="AX42" s="29">
        <f t="shared" si="36"/>
        <v>-5.8449747443939213</v>
      </c>
      <c r="AY42" s="29">
        <f t="shared" si="36"/>
        <v>-3.9085868319010388</v>
      </c>
      <c r="AZ42" s="29">
        <f t="shared" si="36"/>
        <v>-1.9331874619611753</v>
      </c>
      <c r="BA42" s="29">
        <f t="shared" si="36"/>
        <v>6.2899103947097625</v>
      </c>
      <c r="BB42" s="29">
        <f t="shared" si="36"/>
        <v>57.694701524127439</v>
      </c>
      <c r="BC42" s="29">
        <f t="shared" si="36"/>
        <v>2.1608310231103682</v>
      </c>
      <c r="BD42" s="29">
        <f t="shared" si="36"/>
        <v>-3.7791257711868473</v>
      </c>
      <c r="BE42" s="29">
        <f t="shared" si="36"/>
        <v>-5.8905693118349856</v>
      </c>
      <c r="BF42" s="29">
        <f t="shared" si="36"/>
        <v>-7.5189609419753722</v>
      </c>
      <c r="BG42" s="29">
        <f t="shared" si="36"/>
        <v>-15.206089869516154</v>
      </c>
      <c r="BH42" s="29">
        <f t="shared" si="36"/>
        <v>-5.1701413866218475</v>
      </c>
      <c r="BI42" s="29">
        <f t="shared" si="36"/>
        <v>14.791533765830904</v>
      </c>
      <c r="BJ42" s="29">
        <f t="shared" si="36"/>
        <v>8.6162565501167343</v>
      </c>
      <c r="BK42" s="29">
        <f t="shared" si="36"/>
        <v>6.2244955988220054</v>
      </c>
      <c r="BL42" s="29">
        <f t="shared" si="36"/>
        <v>3.2939269550732662</v>
      </c>
      <c r="BM42" s="29">
        <f t="shared" si="36"/>
        <v>10.947029771033934</v>
      </c>
      <c r="BN42" s="29">
        <f t="shared" si="36"/>
        <v>8.2004498212799959</v>
      </c>
      <c r="BO42" s="29">
        <f t="shared" si="36"/>
        <v>9.7914839474951556</v>
      </c>
      <c r="BP42" s="29">
        <f t="shared" si="36"/>
        <v>2.8227156042944719</v>
      </c>
      <c r="BQ42" s="29">
        <f t="shared" si="36"/>
        <v>8.5531761521512308</v>
      </c>
      <c r="BR42" s="29">
        <f t="shared" ref="BR42:CK42" si="37">BR39/(BR39-BR40)</f>
        <v>11.444389813656613</v>
      </c>
      <c r="BS42" s="29">
        <f t="shared" si="37"/>
        <v>32.437208039893179</v>
      </c>
      <c r="BT42" s="29">
        <f t="shared" si="37"/>
        <v>-634.70534337871572</v>
      </c>
      <c r="BU42" s="29">
        <f t="shared" si="37"/>
        <v>-6.4324794924330781</v>
      </c>
      <c r="BV42" s="29">
        <f t="shared" si="37"/>
        <v>-1.4273704003128131</v>
      </c>
      <c r="BW42" s="29">
        <f t="shared" si="37"/>
        <v>51.143737402464382</v>
      </c>
      <c r="BX42" s="29">
        <f t="shared" si="37"/>
        <v>-0.13794991007528642</v>
      </c>
      <c r="BY42" s="29">
        <f t="shared" si="37"/>
        <v>1.9047501733020584</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28.5" customHeight="1">
      <c r="A43" s="237"/>
      <c r="B43" s="238"/>
      <c r="C43" s="238"/>
      <c r="D43" s="238"/>
      <c r="E43" s="238"/>
      <c r="F43" s="238"/>
      <c r="G43" s="238"/>
      <c r="H43" s="238"/>
      <c r="I43" s="238"/>
      <c r="J43" s="238"/>
      <c r="K43" s="238"/>
      <c r="L43" s="238"/>
      <c r="M43" s="238"/>
      <c r="N43" s="238"/>
      <c r="O43" s="238"/>
      <c r="P43" s="238"/>
      <c r="Q43" s="238"/>
      <c r="R43" s="238"/>
      <c r="S43" s="238"/>
      <c r="T43" s="238"/>
      <c r="U43" s="238"/>
      <c r="V43" s="238"/>
      <c r="W43" s="238"/>
      <c r="X43" s="238"/>
      <c r="Y43" s="238"/>
      <c r="Z43" s="238"/>
      <c r="AA43" s="238"/>
      <c r="AB43" s="238"/>
      <c r="AC43" s="238"/>
      <c r="AD43" s="238"/>
      <c r="AE43" s="238"/>
      <c r="AF43" s="238"/>
      <c r="AG43" s="238"/>
    </row>
    <row r="45" spans="1:89">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c r="A46" s="20" t="s">
        <v>428</v>
      </c>
      <c r="B46" s="1">
        <v>43373</v>
      </c>
      <c r="C46" s="1">
        <v>43281</v>
      </c>
      <c r="D46" s="1">
        <v>43190</v>
      </c>
      <c r="E46" s="1">
        <v>43100</v>
      </c>
      <c r="F46" s="1">
        <v>43008</v>
      </c>
      <c r="G46" s="1">
        <v>42916</v>
      </c>
      <c r="H46" s="1">
        <v>42825</v>
      </c>
      <c r="I46" s="1">
        <v>42735</v>
      </c>
      <c r="J46" s="1">
        <v>42643</v>
      </c>
      <c r="K46" s="1">
        <v>42551</v>
      </c>
      <c r="L46" s="1">
        <v>42460</v>
      </c>
      <c r="M46" s="1">
        <v>42369</v>
      </c>
      <c r="N46" s="1">
        <v>42277</v>
      </c>
      <c r="O46" s="1">
        <v>42004</v>
      </c>
      <c r="P46" s="1">
        <v>41639</v>
      </c>
      <c r="Q46" s="1">
        <v>41274</v>
      </c>
      <c r="R46" s="1">
        <v>40908</v>
      </c>
      <c r="S46" s="1">
        <v>25569</v>
      </c>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c r="A47" s="17" t="s">
        <v>429</v>
      </c>
      <c r="E47" s="26">
        <f>股权价值增加表!E42</f>
        <v>60218383.240000002</v>
      </c>
      <c r="F47" s="26">
        <f>股权价值增加表!F42</f>
        <v>31910586.469999988</v>
      </c>
      <c r="G47" s="26">
        <f>股权价值增加表!G42</f>
        <v>19757074.269999996</v>
      </c>
      <c r="H47" s="26">
        <f>股权价值增加表!H42</f>
        <v>1761632.0899999999</v>
      </c>
      <c r="I47" s="26">
        <f>股权价值增加表!I42</f>
        <v>61756871.360000007</v>
      </c>
      <c r="J47" s="26">
        <f>股权价值增加表!J42</f>
        <v>39889095.469999991</v>
      </c>
      <c r="K47" s="26">
        <f>股权价值增加表!K42</f>
        <v>29652286.770000003</v>
      </c>
      <c r="L47" s="26">
        <f>股权价值增加表!L42</f>
        <v>5972392.459999999</v>
      </c>
      <c r="M47" s="26">
        <f>股权价值增加表!M42</f>
        <v>57418852.410000011</v>
      </c>
      <c r="N47" s="26">
        <f>股权价值增加表!N42</f>
        <v>41305234.289999999</v>
      </c>
      <c r="O47" s="26">
        <f>股权价值增加表!O42</f>
        <v>72037191.539999992</v>
      </c>
      <c r="P47" s="26">
        <f>股权价值增加表!P42</f>
        <v>80171253.61999999</v>
      </c>
      <c r="Q47" s="26">
        <f>股权价值增加表!Q42</f>
        <v>68096226.200000018</v>
      </c>
      <c r="R47" s="26">
        <f>股权价值增加表!R42</f>
        <v>26785364.940000001</v>
      </c>
      <c r="S47" s="26">
        <f>股权价值增加表!S42</f>
        <v>0</v>
      </c>
      <c r="T47" s="26">
        <f>股权价值增加表!T42</f>
        <v>-11066558.640000001</v>
      </c>
      <c r="U47" s="26">
        <f>股权价值增加表!U42</f>
        <v>-84034454.390000015</v>
      </c>
      <c r="V47" s="26">
        <f>股权价值增加表!V42</f>
        <v>-63888102.739999995</v>
      </c>
      <c r="W47" s="26">
        <f>股权价值增加表!W42</f>
        <v>-32316572.780000001</v>
      </c>
      <c r="X47" s="26">
        <f>股权价值增加表!X42</f>
        <v>-11661678.75</v>
      </c>
      <c r="Y47" s="26">
        <f>股权价值增加表!Y42</f>
        <v>-70537286.090000004</v>
      </c>
      <c r="Z47" s="26">
        <f>股权价值增加表!Z42</f>
        <v>-63091413.130000003</v>
      </c>
      <c r="AA47" s="26">
        <f>股权价值增加表!AA42</f>
        <v>-36622980.57</v>
      </c>
      <c r="AB47" s="26">
        <f>股权价值增加表!AB42</f>
        <v>-10646044.530000001</v>
      </c>
      <c r="AC47" s="26">
        <f>股权价值增加表!AC42</f>
        <v>-62359275.800000012</v>
      </c>
      <c r="AD47" s="26">
        <f>股权价值增加表!AD42</f>
        <v>-54793381.890000001</v>
      </c>
      <c r="AE47" s="26">
        <f>股权价值增加表!AE42</f>
        <v>-29394152.939999998</v>
      </c>
      <c r="AF47" s="26">
        <f>股权价值增加表!AF42</f>
        <v>-9707939.5899999999</v>
      </c>
      <c r="AG47" s="26">
        <f>股权价值增加表!AG42</f>
        <v>-78603080.299999997</v>
      </c>
      <c r="AH47" s="26">
        <f>股权价值增加表!AH42</f>
        <v>-66045740.140000001</v>
      </c>
      <c r="AI47" s="26">
        <f>股权价值增加表!AI42</f>
        <v>-35683813.409999996</v>
      </c>
      <c r="AJ47" s="26">
        <f>股权价值增加表!AJ42</f>
        <v>-8294344.1100000003</v>
      </c>
      <c r="AK47" s="26">
        <f>股权价值增加表!AK42</f>
        <v>-46186451.989999995</v>
      </c>
      <c r="AL47" s="26">
        <f>股权价值增加表!AL42</f>
        <v>-35823249.020000003</v>
      </c>
      <c r="AM47" s="26">
        <f>股权价值增加表!AM42</f>
        <v>-35733277.469999999</v>
      </c>
      <c r="AN47" s="26">
        <f>股权价值增加表!AN42</f>
        <v>-19545940.589999996</v>
      </c>
      <c r="AO47" s="26">
        <f>股权价值增加表!AO42</f>
        <v>-287177.33000000007</v>
      </c>
      <c r="AP47" s="26">
        <f>股权价值增加表!AP42</f>
        <v>-27615171.18</v>
      </c>
      <c r="AQ47" s="26">
        <f>股权价值增加表!AQ42</f>
        <v>-31120172.960000001</v>
      </c>
      <c r="AR47" s="26">
        <f>股权价值增加表!AR42</f>
        <v>-16785423.550000001</v>
      </c>
      <c r="AS47" s="26">
        <f>股权价值增加表!AS42</f>
        <v>0</v>
      </c>
      <c r="AT47" s="26">
        <f>股权价值增加表!AT42</f>
        <v>-106619839.65999997</v>
      </c>
      <c r="AU47" s="26">
        <f>股权价值增加表!AU42</f>
        <v>-72785587.700000018</v>
      </c>
      <c r="AV47" s="26">
        <f>股权价值增加表!AV42</f>
        <v>-23361350.959999997</v>
      </c>
      <c r="AW47" s="26">
        <f>股权价值增加表!AW42</f>
        <v>16493193.060000002</v>
      </c>
      <c r="AX47" s="26">
        <f>股权价值增加表!AX42</f>
        <v>23385217.719999984</v>
      </c>
      <c r="AY47" s="26">
        <f>股权价值增加表!AY42</f>
        <v>-1787194.7899999991</v>
      </c>
      <c r="AZ47" s="26">
        <f>股权价值增加表!AZ42</f>
        <v>-10916220.51</v>
      </c>
      <c r="BA47" s="26">
        <f>股权价值增加表!BA42</f>
        <v>-152691416.41</v>
      </c>
      <c r="BB47" s="26">
        <f>股权价值增加表!BB42</f>
        <v>-140598232.16999999</v>
      </c>
      <c r="BC47" s="26">
        <f>股权价值增加表!BC42</f>
        <v>-70267390.840000004</v>
      </c>
      <c r="BD47" s="26">
        <f>股权价值增加表!BD42</f>
        <v>-11610048.350000001</v>
      </c>
      <c r="BE47" s="26">
        <f>股权价值增加表!BE42</f>
        <v>-45811920.870000005</v>
      </c>
      <c r="BF47" s="26">
        <f>股权价值增加表!BF42</f>
        <v>-32869288.240000002</v>
      </c>
      <c r="BG47" s="26">
        <f>股权价值增加表!BG42</f>
        <v>-18208413.089999996</v>
      </c>
      <c r="BH47" s="26">
        <f>股权价值增加表!BH42</f>
        <v>-17425628.109999999</v>
      </c>
      <c r="BI47" s="26">
        <f>股权价值增加表!BI42</f>
        <v>-35340046.76000002</v>
      </c>
      <c r="BJ47" s="26">
        <f>股权价值增加表!BJ42</f>
        <v>3215018.0400000066</v>
      </c>
      <c r="BK47" s="26">
        <f>股权价值增加表!BK42</f>
        <v>14343451.069999993</v>
      </c>
      <c r="BL47" s="26">
        <f>股权价值增加表!BL42</f>
        <v>-13341328.849999998</v>
      </c>
      <c r="BM47" s="26">
        <f>股权价值增加表!BM42</f>
        <v>-70449845.280000001</v>
      </c>
      <c r="BN47" s="26">
        <f>股权价值增加表!BN42</f>
        <v>-39043200.889999986</v>
      </c>
      <c r="BO47" s="26">
        <f>股权价值增加表!BO42</f>
        <v>-21483611.610000007</v>
      </c>
      <c r="BP47" s="26">
        <f>股权价值增加表!BP42</f>
        <v>-10123473.469999999</v>
      </c>
      <c r="BQ47" s="26">
        <f>股权价值增加表!BQ42</f>
        <v>-71856244.340000004</v>
      </c>
      <c r="BR47" s="26">
        <f>股权价值增加表!BR42</f>
        <v>-13069490.830000006</v>
      </c>
      <c r="BS47" s="26">
        <f>股权价值增加表!BS42</f>
        <v>6434359.1299999952</v>
      </c>
      <c r="BT47" s="26">
        <f>股权价值增加表!BT42</f>
        <v>8349549.6600000039</v>
      </c>
      <c r="BU47" s="26">
        <f>股权价值增加表!BU42</f>
        <v>-48634244.549999997</v>
      </c>
      <c r="BV47" s="26">
        <f>股权价值增加表!BV42</f>
        <v>-53633082.609999999</v>
      </c>
      <c r="BW47" s="26">
        <f>股权价值增加表!BW42</f>
        <v>40758225.219999999</v>
      </c>
      <c r="BX47" s="26">
        <f>股权价值增加表!BX42</f>
        <v>-19842125.949999999</v>
      </c>
      <c r="BY47" s="26">
        <f>股权价值增加表!BY42</f>
        <v>12527909.500000004</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c r="A48" s="63" t="s">
        <v>432</v>
      </c>
      <c r="E48" s="63">
        <f>股权价值增加表!E43</f>
        <v>0.31326402103583739</v>
      </c>
      <c r="F48" s="63">
        <f>股权价值增加表!F43</f>
        <v>0.3123082232818406</v>
      </c>
      <c r="G48" s="63">
        <f>股权价值增加表!G43</f>
        <v>0.25356177454965767</v>
      </c>
      <c r="H48" s="63">
        <f>股权价值增加表!H43</f>
        <v>0.103269169102438</v>
      </c>
      <c r="I48" s="63">
        <f>股权价值增加表!I43</f>
        <v>0.37262668247832914</v>
      </c>
      <c r="J48" s="63">
        <f>股权价值增加表!J43</f>
        <v>0.36763264458556133</v>
      </c>
      <c r="K48" s="63">
        <f>股权价值增加表!K43</f>
        <v>0.36620128812430996</v>
      </c>
      <c r="L48" s="63">
        <f>股权价值增加表!L43</f>
        <v>0.39890666440828548</v>
      </c>
      <c r="M48" s="63">
        <f>股权价值增加表!M43</f>
        <v>0.38660631862192524</v>
      </c>
      <c r="N48" s="63">
        <f>股权价值增加表!N43</f>
        <v>0.46960355327548586</v>
      </c>
      <c r="O48" s="63">
        <f>股权价值增加表!O43</f>
        <v>0.40177121944774274</v>
      </c>
      <c r="P48" s="63">
        <f>股权价值增加表!P43</f>
        <v>0.38398352360194837</v>
      </c>
      <c r="Q48" s="63">
        <f>股权价值增加表!Q43</f>
        <v>0.35193051578587387</v>
      </c>
      <c r="R48" s="63">
        <f>股权价值增加表!R43</f>
        <v>0.32582796440726486</v>
      </c>
      <c r="S48" s="63" t="e">
        <f>股权价值增加表!S43</f>
        <v>#DIV/0!</v>
      </c>
      <c r="T48" s="63" t="e">
        <f>股权价值增加表!T43</f>
        <v>#DIV/0!</v>
      </c>
      <c r="U48" s="63" t="e">
        <f>股权价值增加表!U43</f>
        <v>#DIV/0!</v>
      </c>
      <c r="V48" s="63" t="e">
        <f>股权价值增加表!V43</f>
        <v>#DIV/0!</v>
      </c>
      <c r="W48" s="63" t="e">
        <f>股权价值增加表!W43</f>
        <v>#DIV/0!</v>
      </c>
      <c r="X48" s="63" t="e">
        <f>股权价值增加表!X43</f>
        <v>#DIV/0!</v>
      </c>
      <c r="Y48" s="63" t="e">
        <f>股权价值增加表!Y43</f>
        <v>#DIV/0!</v>
      </c>
      <c r="Z48" s="63" t="e">
        <f>股权价值增加表!Z43</f>
        <v>#DIV/0!</v>
      </c>
      <c r="AA48" s="63" t="e">
        <f>股权价值增加表!AA43</f>
        <v>#DIV/0!</v>
      </c>
      <c r="AB48" s="63" t="e">
        <f>股权价值增加表!AB43</f>
        <v>#DIV/0!</v>
      </c>
      <c r="AC48" s="63" t="e">
        <f>股权价值增加表!AC43</f>
        <v>#DIV/0!</v>
      </c>
      <c r="AD48" s="63" t="e">
        <f>股权价值增加表!AD43</f>
        <v>#DIV/0!</v>
      </c>
      <c r="AE48" s="63" t="e">
        <f>股权价值增加表!AE43</f>
        <v>#DIV/0!</v>
      </c>
      <c r="AF48" s="63" t="e">
        <f>股权价值增加表!AF43</f>
        <v>#DIV/0!</v>
      </c>
      <c r="AG48" s="63" t="e">
        <f>股权价值增加表!AG43</f>
        <v>#DIV/0!</v>
      </c>
      <c r="AH48" s="63" t="e">
        <f>股权价值增加表!AH43</f>
        <v>#DIV/0!</v>
      </c>
      <c r="AI48" s="63" t="e">
        <f>股权价值增加表!AI43</f>
        <v>#DIV/0!</v>
      </c>
      <c r="AJ48" s="63" t="e">
        <f>股权价值增加表!AJ43</f>
        <v>#DIV/0!</v>
      </c>
      <c r="AK48" s="63" t="e">
        <f>股权价值增加表!AK43</f>
        <v>#DIV/0!</v>
      </c>
      <c r="AL48" s="63" t="e">
        <f>股权价值增加表!AL43</f>
        <v>#DIV/0!</v>
      </c>
      <c r="AM48" s="63" t="e">
        <f>股权价值增加表!AM43</f>
        <v>#DIV/0!</v>
      </c>
      <c r="AN48" s="63" t="e">
        <f>股权价值增加表!AN43</f>
        <v>#DIV/0!</v>
      </c>
      <c r="AO48" s="63" t="e">
        <f>股权价值增加表!AO43</f>
        <v>#DIV/0!</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c r="A49" s="59" t="s">
        <v>430</v>
      </c>
      <c r="E49" s="59">
        <f>(E47-I47)/I47</f>
        <v>-2.4912015231984132E-2</v>
      </c>
      <c r="F49" s="59">
        <f t="shared" ref="F49:BQ49" si="38">(F47-J47)/J47</f>
        <v>-0.20001729560402101</v>
      </c>
      <c r="G49" s="59">
        <f t="shared" si="38"/>
        <v>-0.33370824236096536</v>
      </c>
      <c r="H49" s="59">
        <f t="shared" si="38"/>
        <v>-0.70503745328216427</v>
      </c>
      <c r="I49" s="59">
        <f t="shared" si="38"/>
        <v>7.5550429308902212E-2</v>
      </c>
      <c r="J49" s="59">
        <f t="shared" si="38"/>
        <v>-3.4284730357838814E-2</v>
      </c>
      <c r="K49" s="59">
        <f t="shared" si="38"/>
        <v>-0.58837530814155881</v>
      </c>
      <c r="L49" s="59">
        <f t="shared" si="38"/>
        <v>-0.92550456441272255</v>
      </c>
      <c r="M49" s="59">
        <f t="shared" si="38"/>
        <v>-0.15679831887659001</v>
      </c>
      <c r="N49" s="59">
        <f t="shared" si="38"/>
        <v>0.54208219236605248</v>
      </c>
      <c r="O49" s="59" t="e">
        <f t="shared" si="38"/>
        <v>#DIV/0!</v>
      </c>
      <c r="P49" s="59">
        <f t="shared" si="38"/>
        <v>-8.2444611037636886</v>
      </c>
      <c r="Q49" s="59">
        <f t="shared" si="38"/>
        <v>-1.8103369825425246</v>
      </c>
      <c r="R49" s="59">
        <f t="shared" si="38"/>
        <v>-1.4192543492644654</v>
      </c>
      <c r="S49" s="59">
        <f t="shared" si="38"/>
        <v>-1</v>
      </c>
      <c r="T49" s="59">
        <f t="shared" si="38"/>
        <v>-5.103211319382292E-2</v>
      </c>
      <c r="U49" s="59">
        <f t="shared" si="38"/>
        <v>0.19134799548112316</v>
      </c>
      <c r="V49" s="59">
        <f t="shared" si="38"/>
        <v>1.2627544232658272E-2</v>
      </c>
      <c r="W49" s="59">
        <f t="shared" si="38"/>
        <v>-0.11758758361485265</v>
      </c>
      <c r="X49" s="59">
        <f t="shared" si="38"/>
        <v>9.5400147645258698E-2</v>
      </c>
      <c r="Y49" s="59">
        <f t="shared" si="38"/>
        <v>0.13114344554334914</v>
      </c>
      <c r="Z49" s="59">
        <f t="shared" si="38"/>
        <v>0.15144221717612988</v>
      </c>
      <c r="AA49" s="59">
        <f t="shared" si="38"/>
        <v>0.24592740075741074</v>
      </c>
      <c r="AB49" s="59">
        <f t="shared" si="38"/>
        <v>9.6632754180539904E-2</v>
      </c>
      <c r="AC49" s="59">
        <f t="shared" si="38"/>
        <v>-0.20665608062690624</v>
      </c>
      <c r="AD49" s="59">
        <f t="shared" si="38"/>
        <v>-0.1703722030542453</v>
      </c>
      <c r="AE49" s="59">
        <f t="shared" si="38"/>
        <v>-0.17626088326752068</v>
      </c>
      <c r="AF49" s="59">
        <f t="shared" si="38"/>
        <v>0.1704288441922383</v>
      </c>
      <c r="AG49" s="59">
        <f t="shared" si="38"/>
        <v>0.70186444104904722</v>
      </c>
      <c r="AH49" s="59">
        <f t="shared" si="38"/>
        <v>0.84365578072292879</v>
      </c>
      <c r="AI49" s="59">
        <f t="shared" si="38"/>
        <v>-1.3842575745124446E-3</v>
      </c>
      <c r="AJ49" s="59">
        <f t="shared" si="38"/>
        <v>-0.57564876083561245</v>
      </c>
      <c r="AK49" s="59">
        <f t="shared" si="38"/>
        <v>159.82903197825533</v>
      </c>
      <c r="AL49" s="59">
        <f t="shared" si="38"/>
        <v>0.29723074271379563</v>
      </c>
      <c r="AM49" s="59">
        <f t="shared" si="38"/>
        <v>0.14823518223788168</v>
      </c>
      <c r="AN49" s="59">
        <f t="shared" si="38"/>
        <v>0.1644591828009008</v>
      </c>
      <c r="AO49" s="59" t="e">
        <f t="shared" si="38"/>
        <v>#DIV/0!</v>
      </c>
      <c r="AP49" s="59">
        <f t="shared" si="38"/>
        <v>-0.74099406575678561</v>
      </c>
      <c r="AQ49" s="59">
        <f t="shared" si="38"/>
        <v>-0.57244045224629003</v>
      </c>
      <c r="AR49" s="59">
        <f t="shared" si="38"/>
        <v>-0.28148746282950399</v>
      </c>
      <c r="AS49" s="59">
        <f t="shared" si="38"/>
        <v>-1</v>
      </c>
      <c r="AT49" s="59">
        <f t="shared" si="38"/>
        <v>-5.5592836011449389</v>
      </c>
      <c r="AU49" s="59">
        <f t="shared" si="38"/>
        <v>39.72616376640179</v>
      </c>
      <c r="AV49" s="59">
        <f t="shared" si="38"/>
        <v>1.1400585430277277</v>
      </c>
      <c r="AW49" s="59">
        <f t="shared" si="38"/>
        <v>-1.1080165044491646</v>
      </c>
      <c r="AX49" s="59">
        <f t="shared" si="38"/>
        <v>-1.1663265416575401</v>
      </c>
      <c r="AY49" s="59">
        <f t="shared" si="38"/>
        <v>-0.97456580116843294</v>
      </c>
      <c r="AZ49" s="59">
        <f t="shared" si="38"/>
        <v>-5.9760977653465296E-2</v>
      </c>
      <c r="BA49" s="59">
        <f t="shared" si="38"/>
        <v>2.3330062025403997</v>
      </c>
      <c r="BB49" s="59">
        <f t="shared" si="38"/>
        <v>3.2774954889014039</v>
      </c>
      <c r="BC49" s="59">
        <f t="shared" si="38"/>
        <v>2.8590617695613814</v>
      </c>
      <c r="BD49" s="59">
        <f t="shared" si="38"/>
        <v>-0.33373716707879392</v>
      </c>
      <c r="BE49" s="59">
        <f t="shared" si="38"/>
        <v>0.29631749445936439</v>
      </c>
      <c r="BF49" s="59">
        <f t="shared" si="38"/>
        <v>-11.223671478994232</v>
      </c>
      <c r="BG49" s="59">
        <f t="shared" si="38"/>
        <v>-2.2694583054759923</v>
      </c>
      <c r="BH49" s="59">
        <f t="shared" si="38"/>
        <v>0.30613886412072078</v>
      </c>
      <c r="BI49" s="59">
        <f t="shared" si="38"/>
        <v>-0.49836587121600534</v>
      </c>
      <c r="BJ49" s="59">
        <f t="shared" si="38"/>
        <v>-1.0823451450371084</v>
      </c>
      <c r="BK49" s="59">
        <f t="shared" si="38"/>
        <v>-1.6676461728308067</v>
      </c>
      <c r="BL49" s="59">
        <f t="shared" si="38"/>
        <v>0.31786080039976627</v>
      </c>
      <c r="BM49" s="59">
        <f t="shared" si="38"/>
        <v>-1.9572398653976218E-2</v>
      </c>
      <c r="BN49" s="59">
        <f t="shared" si="38"/>
        <v>1.9873543964221878</v>
      </c>
      <c r="BO49" s="59">
        <f t="shared" si="38"/>
        <v>-4.3388891070492708</v>
      </c>
      <c r="BP49" s="59">
        <f t="shared" si="38"/>
        <v>-2.2124574237216996</v>
      </c>
      <c r="BQ49" s="59">
        <f t="shared" si="38"/>
        <v>0.47748248183696745</v>
      </c>
      <c r="BR49" s="59">
        <f t="shared" ref="BR49:CJ49" si="39">(BR47-BV47)/BV47</f>
        <v>-0.75631662037708103</v>
      </c>
      <c r="BS49" s="59">
        <f t="shared" si="39"/>
        <v>-0.8421334811496487</v>
      </c>
      <c r="BT49" s="59">
        <f t="shared" si="39"/>
        <v>-1.4207991462729328</v>
      </c>
      <c r="BU49" s="59">
        <f t="shared" si="39"/>
        <v>-4.8820718293024052</v>
      </c>
      <c r="BV49" s="59">
        <f t="shared" si="39"/>
        <v>-113.82042769589668</v>
      </c>
      <c r="BW49" s="59">
        <f t="shared" si="39"/>
        <v>-1.8778178949887783</v>
      </c>
      <c r="BX49" s="59">
        <f t="shared" si="39"/>
        <v>1.9774310642351474</v>
      </c>
      <c r="BY49" s="59">
        <f t="shared" si="39"/>
        <v>-1.2999087074699003</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c r="A50" s="17" t="s">
        <v>431</v>
      </c>
      <c r="E50" s="26">
        <f>股权价值增加表!E47</f>
        <v>5755927.1176000014</v>
      </c>
      <c r="F50" s="26">
        <f>股权价值增加表!F47</f>
        <v>-19574866.819600012</v>
      </c>
      <c r="G50" s="26">
        <f>股权价值增加表!G47</f>
        <v>-27693733.942000002</v>
      </c>
      <c r="H50" s="26">
        <f>股权价值增加表!H47</f>
        <v>-44984015.655600011</v>
      </c>
      <c r="I50" s="26">
        <f>股权价值增加表!I47</f>
        <v>15152286.341600001</v>
      </c>
      <c r="J50" s="26">
        <f>股权价值增加表!J47</f>
        <v>17504365.453199994</v>
      </c>
      <c r="K50" s="26">
        <f>股权价值增加表!K47</f>
        <v>8086670.4684000053</v>
      </c>
      <c r="L50" s="26">
        <f>股权价值增加表!L47</f>
        <v>-13219493.643200001</v>
      </c>
      <c r="M50" s="26">
        <f>股权价值增加表!M47</f>
        <v>40470986.770000011</v>
      </c>
      <c r="N50" s="26">
        <f>股权价值增加表!N47</f>
        <v>27716479.982000001</v>
      </c>
      <c r="O50" s="26">
        <f>股权价值增加表!O47</f>
        <v>63591340.971999988</v>
      </c>
      <c r="P50" s="26">
        <f>股权价值增加表!P47</f>
        <v>75194476.568799987</v>
      </c>
      <c r="Q50" s="26">
        <f>股权价值增加表!Q47</f>
        <v>68096226.200000018</v>
      </c>
      <c r="R50" s="26">
        <f>股权价值增加表!R47</f>
        <v>26785364.940000001</v>
      </c>
      <c r="S50" s="26">
        <f>股权价值增加表!S47</f>
        <v>0</v>
      </c>
      <c r="T50" s="26">
        <f>股权价值增加表!T47</f>
        <v>-269710904.3624</v>
      </c>
      <c r="U50" s="26">
        <f>股权价值增加表!U47</f>
        <v>-338622543.15400004</v>
      </c>
      <c r="V50" s="26">
        <f>股权价值增加表!V47</f>
        <v>-313762176.04879999</v>
      </c>
      <c r="W50" s="26">
        <f>股权价值增加表!W47</f>
        <v>-272983141.29040003</v>
      </c>
      <c r="X50" s="26">
        <f>股权价值增加表!X47</f>
        <v>-250043489.63560003</v>
      </c>
      <c r="Y50" s="26">
        <f>股权价值增加表!Y47</f>
        <v>-305136449.58360004</v>
      </c>
      <c r="Z50" s="26">
        <f>股权价值增加表!Z47</f>
        <v>-290941711.84200001</v>
      </c>
      <c r="AA50" s="26">
        <f>股权价值增加表!AA47</f>
        <v>-257253242.97080001</v>
      </c>
      <c r="AB50" s="26">
        <f>股权价值增加表!AB47</f>
        <v>-230274872.03080001</v>
      </c>
      <c r="AC50" s="26">
        <f>股权价值增加表!AC47</f>
        <v>-278715939.17919999</v>
      </c>
      <c r="AD50" s="26">
        <f>股权价值增加表!AD47</f>
        <v>-268605924.7852</v>
      </c>
      <c r="AE50" s="26">
        <f>股权价值增加表!AE47</f>
        <v>-236323036.25599998</v>
      </c>
      <c r="AF50" s="26">
        <f>股权价值增加表!AF47</f>
        <v>-214445650.69800001</v>
      </c>
      <c r="AG50" s="26">
        <f>股权价值增加表!AG47</f>
        <v>-281214258.09360003</v>
      </c>
      <c r="AH50" s="26">
        <f>股权价值增加表!AH47</f>
        <v>-96801167.886399999</v>
      </c>
      <c r="AI50" s="26">
        <f>股权价值增加表!AI47</f>
        <v>-60640981.471599996</v>
      </c>
      <c r="AJ50" s="26">
        <f>股权价值增加表!AJ47</f>
        <v>-29580807.5964</v>
      </c>
      <c r="AK50" s="26">
        <f>股权价值增加表!AK47</f>
        <v>-60231249.3116</v>
      </c>
      <c r="AL50" s="26">
        <f>股权价值增加表!AL47</f>
        <v>-46185636.591200002</v>
      </c>
      <c r="AM50" s="26">
        <f>股权价值增加表!AM47</f>
        <v>-35733277.469999999</v>
      </c>
      <c r="AN50" s="26">
        <f>股权价值增加表!AN47</f>
        <v>-19545940.589999996</v>
      </c>
      <c r="AO50" s="26">
        <f>股权价值增加表!AO47</f>
        <v>-287177.33000000007</v>
      </c>
      <c r="AP50" s="26">
        <f>股权价值增加表!AP47</f>
        <v>-36136129.286399998</v>
      </c>
      <c r="AQ50" s="26">
        <f>股权价值增加表!AQ47</f>
        <v>-31120172.960000001</v>
      </c>
      <c r="AR50" s="26">
        <f>股权价值增加表!AR47</f>
        <v>-16785423.550000001</v>
      </c>
      <c r="AS50" s="26">
        <f>股权价值增加表!AS47</f>
        <v>0</v>
      </c>
      <c r="AT50" s="26">
        <f>股权价值增加表!AT47</f>
        <v>-551211614.52399993</v>
      </c>
      <c r="AU50" s="26">
        <f>股权价值增加表!AU47</f>
        <v>-496320397.45679998</v>
      </c>
      <c r="AV50" s="26">
        <f>股权价值增加表!AV47</f>
        <v>-445505388.23360002</v>
      </c>
      <c r="AW50" s="26">
        <f>股权价值增加表!AW47</f>
        <v>-398055066.47280002</v>
      </c>
      <c r="AX50" s="26">
        <f>股权价值增加表!AX47</f>
        <v>-377567714.57360005</v>
      </c>
      <c r="AY50" s="26">
        <f>股权价值增加表!AY47</f>
        <v>-387409290.14840001</v>
      </c>
      <c r="AZ50" s="26">
        <f>股权价值增加表!AZ47</f>
        <v>-411743268.77480006</v>
      </c>
      <c r="BA50" s="26">
        <f>股权价值增加表!BA47</f>
        <v>-544316182.85319996</v>
      </c>
      <c r="BB50" s="26">
        <f>股权价值增加表!BB47</f>
        <v>-531683858.44279993</v>
      </c>
      <c r="BC50" s="26">
        <f>股权价值增加表!BC47</f>
        <v>-454875507.8448</v>
      </c>
      <c r="BD50" s="26">
        <f>股权价值增加表!BD47</f>
        <v>-417115730.546</v>
      </c>
      <c r="BE50" s="26">
        <f>股权价值增加表!BE47</f>
        <v>-439952204.87879997</v>
      </c>
      <c r="BF50" s="26">
        <f>股权价值增加表!BF47</f>
        <v>-417533251.67519999</v>
      </c>
      <c r="BG50" s="26">
        <f>股权价值增加表!BG47</f>
        <v>-398320315.3308</v>
      </c>
      <c r="BH50" s="26">
        <f>股权价值增加表!BH47</f>
        <v>-401893920.58120006</v>
      </c>
      <c r="BI50" s="26">
        <f>股权价值增加表!BI47</f>
        <v>-407190740.5424</v>
      </c>
      <c r="BJ50" s="26">
        <f>股权价值增加表!BJ47</f>
        <v>-355900380.39039999</v>
      </c>
      <c r="BK50" s="26">
        <f>股权价值增加表!BK47</f>
        <v>-329089631.60519999</v>
      </c>
      <c r="BL50" s="26">
        <f>股权价值增加表!BL47</f>
        <v>-356588493.17480004</v>
      </c>
      <c r="BM50" s="26">
        <f>股权价值增加表!BM47</f>
        <v>-406912335.89759994</v>
      </c>
      <c r="BN50" s="26">
        <f>股权价值增加表!BN47</f>
        <v>-369068809.83399999</v>
      </c>
      <c r="BO50" s="26">
        <f>股权价值增加表!BO47</f>
        <v>-337805848.72119999</v>
      </c>
      <c r="BP50" s="26">
        <f>股权价值增加表!BP47</f>
        <v>-329201658.89320004</v>
      </c>
      <c r="BQ50" s="26">
        <f>股权价值增加表!BQ47</f>
        <v>-381930577.79279995</v>
      </c>
      <c r="BR50" s="26">
        <f>股权价值增加表!BR47</f>
        <v>-316699207.17080003</v>
      </c>
      <c r="BS50" s="26">
        <f>股权价值增加表!BS47</f>
        <v>-281528970.51560003</v>
      </c>
      <c r="BT50" s="26">
        <f>股权价值增加表!BT47</f>
        <v>-290105071.28399998</v>
      </c>
      <c r="BU50" s="26">
        <f>股权价值增加表!BU47</f>
        <v>-336479452.12200004</v>
      </c>
      <c r="BV50" s="26">
        <f>股权价值增加表!BV47</f>
        <v>-228928071.36839998</v>
      </c>
      <c r="BW50" s="26">
        <f>股权价值增加表!BW47</f>
        <v>-127930477.604</v>
      </c>
      <c r="BX50" s="26">
        <f>股权价值增加表!BX47</f>
        <v>-118210057.0932</v>
      </c>
      <c r="BY50" s="26">
        <f>股权价值增加表!BY47</f>
        <v>-86922966.762400001</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52.5" customHeight="1">
      <c r="A51" s="237" t="s">
        <v>653</v>
      </c>
      <c r="B51" s="238"/>
      <c r="C51" s="238"/>
      <c r="D51" s="238"/>
      <c r="E51" s="238"/>
      <c r="F51" s="238"/>
      <c r="G51" s="238"/>
      <c r="H51" s="238"/>
      <c r="I51" s="238"/>
      <c r="J51" s="238"/>
      <c r="K51" s="238"/>
      <c r="L51" s="238"/>
      <c r="M51" s="238"/>
      <c r="N51" s="238"/>
      <c r="O51" s="238"/>
      <c r="P51" s="238"/>
      <c r="Q51" s="238"/>
      <c r="R51" s="238"/>
      <c r="S51" s="238"/>
      <c r="T51" s="238"/>
      <c r="U51" s="238"/>
      <c r="V51" s="238"/>
      <c r="W51" s="238"/>
      <c r="X51" s="238"/>
      <c r="Y51" s="238"/>
      <c r="Z51" s="238"/>
      <c r="AA51" s="238"/>
      <c r="AB51" s="238"/>
      <c r="AC51" s="238"/>
      <c r="AD51" s="238"/>
      <c r="AE51" s="238"/>
      <c r="AF51" s="238"/>
      <c r="AG51" s="238"/>
    </row>
  </sheetData>
  <mergeCells count="4">
    <mergeCell ref="A25:AG25"/>
    <mergeCell ref="A35:AG35"/>
    <mergeCell ref="A43:AG43"/>
    <mergeCell ref="A51:AG51"/>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0"/>
  <sheetViews>
    <sheetView topLeftCell="A91" workbookViewId="0">
      <selection activeCell="I105" sqref="I105"/>
    </sheetView>
  </sheetViews>
  <sheetFormatPr defaultRowHeight="13.5"/>
  <cols>
    <col min="1" max="1" width="48.875" style="17" bestFit="1" customWidth="1"/>
    <col min="2" max="4" width="11.625" hidden="1" customWidth="1"/>
    <col min="5" max="5" width="17.25" bestFit="1" customWidth="1"/>
    <col min="6" max="8" width="17.25" hidden="1" customWidth="1"/>
    <col min="9" max="9" width="17.25" bestFit="1" customWidth="1"/>
    <col min="10" max="12" width="17.25" hidden="1" customWidth="1"/>
    <col min="13" max="13" width="17.25" bestFit="1" customWidth="1"/>
    <col min="14" max="14" width="17.25" hidden="1" customWidth="1"/>
    <col min="15" max="17" width="17.25" bestFit="1" customWidth="1"/>
    <col min="18" max="18" width="19.375" bestFit="1" customWidth="1"/>
    <col min="19" max="19" width="19.375" hidden="1" customWidth="1"/>
    <col min="20" max="33" width="19.375" bestFit="1" customWidth="1"/>
    <col min="34" max="43" width="17.25" bestFit="1" customWidth="1"/>
    <col min="44" max="84" width="19.375" bestFit="1" customWidth="1"/>
    <col min="85" max="87" width="17.25" bestFit="1" customWidth="1"/>
    <col min="88" max="89" width="16.125" bestFit="1" customWidth="1"/>
  </cols>
  <sheetData>
    <row r="1" spans="1:89" s="26" customFormat="1">
      <c r="A1" s="17">
        <v>300559</v>
      </c>
      <c r="B1" s="1">
        <v>43373</v>
      </c>
      <c r="C1" s="1">
        <v>43281</v>
      </c>
      <c r="D1" s="1">
        <v>43190</v>
      </c>
      <c r="E1" s="1">
        <v>43100</v>
      </c>
      <c r="F1" s="1">
        <v>43008</v>
      </c>
      <c r="G1" s="1">
        <v>42916</v>
      </c>
      <c r="H1" s="1">
        <v>42825</v>
      </c>
      <c r="I1" s="1">
        <v>42735</v>
      </c>
      <c r="J1" s="1">
        <v>42643</v>
      </c>
      <c r="K1" s="1">
        <v>42551</v>
      </c>
      <c r="L1" s="1">
        <v>42460</v>
      </c>
      <c r="M1" s="1">
        <v>42369</v>
      </c>
      <c r="N1" s="1">
        <v>42277</v>
      </c>
      <c r="O1" s="1">
        <v>42004</v>
      </c>
      <c r="P1" s="1">
        <v>41639</v>
      </c>
      <c r="Q1" s="1">
        <v>41274</v>
      </c>
      <c r="R1" s="1">
        <v>40908</v>
      </c>
      <c r="S1" s="1">
        <v>25569</v>
      </c>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429</v>
      </c>
      <c r="E2" s="26">
        <f>股权价值增加表!E42</f>
        <v>60218383.240000002</v>
      </c>
      <c r="F2" s="26">
        <f>股权价值增加表!F42</f>
        <v>31910586.469999988</v>
      </c>
      <c r="G2" s="26">
        <f>股权价值增加表!G42</f>
        <v>19757074.269999996</v>
      </c>
      <c r="H2" s="26">
        <f>股权价值增加表!H42</f>
        <v>1761632.0899999999</v>
      </c>
      <c r="I2" s="26">
        <f>股权价值增加表!I42</f>
        <v>61756871.360000007</v>
      </c>
      <c r="J2" s="26">
        <f>股权价值增加表!J42</f>
        <v>39889095.469999991</v>
      </c>
      <c r="K2" s="26">
        <f>股权价值增加表!K42</f>
        <v>29652286.770000003</v>
      </c>
      <c r="L2" s="26">
        <f>股权价值增加表!L42</f>
        <v>5972392.459999999</v>
      </c>
      <c r="M2" s="26">
        <f>股权价值增加表!M42</f>
        <v>57418852.410000011</v>
      </c>
      <c r="N2" s="26">
        <f>股权价值增加表!N42</f>
        <v>41305234.289999999</v>
      </c>
      <c r="O2" s="26">
        <f>股权价值增加表!O42</f>
        <v>72037191.539999992</v>
      </c>
      <c r="P2" s="26">
        <f>股权价值增加表!P42</f>
        <v>80171253.61999999</v>
      </c>
      <c r="Q2" s="26">
        <f>股权价值增加表!Q42</f>
        <v>68096226.200000018</v>
      </c>
      <c r="R2" s="26">
        <f>股权价值增加表!R42</f>
        <v>26785364.940000001</v>
      </c>
      <c r="S2" s="26">
        <f>股权价值增加表!S42</f>
        <v>0</v>
      </c>
      <c r="T2" s="26">
        <f>股权价值增加表!T42</f>
        <v>-11066558.640000001</v>
      </c>
      <c r="U2" s="26">
        <f>股权价值增加表!U42</f>
        <v>-84034454.390000015</v>
      </c>
      <c r="V2" s="26">
        <f>股权价值增加表!V42</f>
        <v>-63888102.739999995</v>
      </c>
      <c r="W2" s="26">
        <f>股权价值增加表!W42</f>
        <v>-32316572.780000001</v>
      </c>
      <c r="X2" s="26">
        <f>股权价值增加表!X42</f>
        <v>-11661678.75</v>
      </c>
      <c r="Y2" s="26">
        <f>股权价值增加表!Y42</f>
        <v>-70537286.090000004</v>
      </c>
      <c r="Z2" s="26">
        <f>股权价值增加表!Z42</f>
        <v>-63091413.130000003</v>
      </c>
      <c r="AA2" s="26">
        <f>股权价值增加表!AA42</f>
        <v>-36622980.57</v>
      </c>
      <c r="AB2" s="26">
        <f>股权价值增加表!AB42</f>
        <v>-10646044.530000001</v>
      </c>
      <c r="AC2" s="26">
        <f>股权价值增加表!AC42</f>
        <v>-62359275.800000012</v>
      </c>
      <c r="AD2" s="26">
        <f>股权价值增加表!AD42</f>
        <v>-54793381.890000001</v>
      </c>
      <c r="AE2" s="26">
        <f>股权价值增加表!AE42</f>
        <v>-29394152.939999998</v>
      </c>
      <c r="AF2" s="26">
        <f>股权价值增加表!AF42</f>
        <v>-9707939.5899999999</v>
      </c>
      <c r="AG2" s="26">
        <f>股权价值增加表!AG42</f>
        <v>-78603080.299999997</v>
      </c>
      <c r="AH2" s="26">
        <f>股权价值增加表!AH42</f>
        <v>-66045740.140000001</v>
      </c>
      <c r="AI2" s="26">
        <f>股权价值增加表!AI42</f>
        <v>-35683813.409999996</v>
      </c>
      <c r="AJ2" s="26">
        <f>股权价值增加表!AJ42</f>
        <v>-8294344.1100000003</v>
      </c>
      <c r="AK2" s="26">
        <f>股权价值增加表!AK42</f>
        <v>-46186451.989999995</v>
      </c>
      <c r="AL2" s="26">
        <f>股权价值增加表!AL42</f>
        <v>-35823249.020000003</v>
      </c>
      <c r="AM2" s="26">
        <f>股权价值增加表!AM42</f>
        <v>-35733277.469999999</v>
      </c>
      <c r="AN2" s="26">
        <f>股权价值增加表!AN42</f>
        <v>-19545940.589999996</v>
      </c>
      <c r="AO2" s="26">
        <f>股权价值增加表!AO42</f>
        <v>-287177.33000000007</v>
      </c>
      <c r="AP2" s="26">
        <f>股权价值增加表!AP42</f>
        <v>-27615171.18</v>
      </c>
      <c r="AQ2" s="26">
        <f>股权价值增加表!AQ42</f>
        <v>-31120172.960000001</v>
      </c>
      <c r="AR2" s="26">
        <f>股权价值增加表!AR42</f>
        <v>-16785423.550000001</v>
      </c>
      <c r="AS2" s="26">
        <f>股权价值增加表!AS42</f>
        <v>0</v>
      </c>
      <c r="AT2" s="26">
        <f>股权价值增加表!AT42</f>
        <v>-106619839.65999997</v>
      </c>
      <c r="AU2" s="26">
        <f>股权价值增加表!AU42</f>
        <v>-72785587.700000018</v>
      </c>
      <c r="AV2" s="26">
        <f>股权价值增加表!AV42</f>
        <v>-23361350.959999997</v>
      </c>
      <c r="AW2" s="26">
        <f>股权价值增加表!AW42</f>
        <v>16493193.060000002</v>
      </c>
      <c r="AX2" s="26">
        <f>股权价值增加表!AX42</f>
        <v>23385217.719999984</v>
      </c>
      <c r="AY2" s="26">
        <f>股权价值增加表!AY42</f>
        <v>-1787194.7899999991</v>
      </c>
      <c r="AZ2" s="26">
        <f>股权价值增加表!AZ42</f>
        <v>-10916220.51</v>
      </c>
      <c r="BA2" s="26">
        <f>股权价值增加表!BA42</f>
        <v>-152691416.41</v>
      </c>
      <c r="BB2" s="26">
        <f>股权价值增加表!BB42</f>
        <v>-140598232.16999999</v>
      </c>
      <c r="BC2" s="26">
        <f>股权价值增加表!BC42</f>
        <v>-70267390.840000004</v>
      </c>
      <c r="BD2" s="26">
        <f>股权价值增加表!BD42</f>
        <v>-11610048.350000001</v>
      </c>
      <c r="BE2" s="26">
        <f>股权价值增加表!BE42</f>
        <v>-45811920.870000005</v>
      </c>
      <c r="BF2" s="26">
        <f>股权价值增加表!BF42</f>
        <v>-32869288.240000002</v>
      </c>
      <c r="BG2" s="26">
        <f>股权价值增加表!BG42</f>
        <v>-18208413.089999996</v>
      </c>
      <c r="BH2" s="26">
        <f>股权价值增加表!BH42</f>
        <v>-17425628.109999999</v>
      </c>
      <c r="BI2" s="26">
        <f>股权价值增加表!BI42</f>
        <v>-35340046.76000002</v>
      </c>
      <c r="BJ2" s="26">
        <f>股权价值增加表!BJ42</f>
        <v>3215018.0400000066</v>
      </c>
      <c r="BK2" s="26">
        <f>股权价值增加表!BK42</f>
        <v>14343451.069999993</v>
      </c>
      <c r="BL2" s="26">
        <f>股权价值增加表!BL42</f>
        <v>-13341328.849999998</v>
      </c>
      <c r="BM2" s="26">
        <f>股权价值增加表!BM42</f>
        <v>-70449845.280000001</v>
      </c>
      <c r="BN2" s="26">
        <f>股权价值增加表!BN42</f>
        <v>-39043200.889999986</v>
      </c>
      <c r="BO2" s="26">
        <f>股权价值增加表!BO42</f>
        <v>-21483611.610000007</v>
      </c>
      <c r="BP2" s="26">
        <f>股权价值增加表!BP42</f>
        <v>-10123473.469999999</v>
      </c>
      <c r="BQ2" s="26">
        <f>股权价值增加表!BQ42</f>
        <v>-71856244.340000004</v>
      </c>
      <c r="BR2" s="26">
        <f>股权价值增加表!BR42</f>
        <v>-13069490.830000006</v>
      </c>
      <c r="BS2" s="26">
        <f>股权价值增加表!BS42</f>
        <v>6434359.1299999952</v>
      </c>
      <c r="BT2" s="26">
        <f>股权价值增加表!BT42</f>
        <v>8349549.6600000039</v>
      </c>
      <c r="BU2" s="26">
        <f>股权价值增加表!BU42</f>
        <v>-48634244.549999997</v>
      </c>
      <c r="BV2" s="26">
        <f>股权价值增加表!BV42</f>
        <v>-53633082.609999999</v>
      </c>
      <c r="BW2" s="26">
        <f>股权价值增加表!BW42</f>
        <v>40758225.219999999</v>
      </c>
      <c r="BX2" s="26">
        <f>股权价值增加表!BX42</f>
        <v>-19842125.949999999</v>
      </c>
      <c r="BY2" s="26">
        <f>股权价值增加表!BY42</f>
        <v>12527909.500000004</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434</v>
      </c>
      <c r="E3" s="26">
        <f>资产资本表!E107</f>
        <v>680780701.52999997</v>
      </c>
      <c r="F3" s="26">
        <f>资产资本表!F107</f>
        <v>643568166.12</v>
      </c>
      <c r="G3" s="26">
        <f>资产资本表!G107</f>
        <v>593135102.64999998</v>
      </c>
      <c r="H3" s="26">
        <f>资产资本表!H107</f>
        <v>584320596.82000005</v>
      </c>
      <c r="I3" s="26">
        <f>资产资本表!I107</f>
        <v>582557312.73000002</v>
      </c>
      <c r="J3" s="26">
        <f>资产资本表!J107</f>
        <v>279809125.20999998</v>
      </c>
      <c r="K3" s="26">
        <f>资产资本表!K107</f>
        <v>269570203.76999998</v>
      </c>
      <c r="L3" s="26">
        <f>资产资本表!L107</f>
        <v>239898576.28999999</v>
      </c>
      <c r="M3" s="26">
        <f>资产资本表!M107</f>
        <v>211848320.5</v>
      </c>
      <c r="N3" s="26">
        <f>资产资本表!N107</f>
        <v>169859428.84999999</v>
      </c>
      <c r="O3" s="26">
        <f>资产资本表!O107</f>
        <v>105573132.09999999</v>
      </c>
      <c r="P3" s="26">
        <f>资产资本表!P107</f>
        <v>62209713.140000001</v>
      </c>
      <c r="Q3" s="26">
        <f>资产资本表!Q107</f>
        <v>0</v>
      </c>
      <c r="R3" s="26">
        <f>资产资本表!R107</f>
        <v>3468348851.6599998</v>
      </c>
      <c r="S3" s="26">
        <f>资产资本表!S107</f>
        <v>3301696612.6900001</v>
      </c>
      <c r="T3" s="26">
        <f>资产资本表!T107</f>
        <v>3233054321.5300002</v>
      </c>
      <c r="U3" s="26">
        <f>资产资本表!U107</f>
        <v>3182351109.5500002</v>
      </c>
      <c r="V3" s="26">
        <f>资产资本表!V107</f>
        <v>3123425916.3600001</v>
      </c>
      <c r="W3" s="26">
        <f>资产资本表!W107</f>
        <v>3008332106.3799996</v>
      </c>
      <c r="X3" s="26">
        <f>资产资本表!X107</f>
        <v>2979772636.0699997</v>
      </c>
      <c r="Y3" s="26">
        <f>资产资本表!Y107</f>
        <v>2932489543.6699996</v>
      </c>
      <c r="Z3" s="26">
        <f>资产资本表!Z107</f>
        <v>2848128733.9000001</v>
      </c>
      <c r="AA3" s="26">
        <f>资产资本表!AA107</f>
        <v>2757878280.0100002</v>
      </c>
      <c r="AB3" s="26">
        <f>资产资本表!AB107</f>
        <v>2745360343.7600002</v>
      </c>
      <c r="AC3" s="26">
        <f>资产资本表!AC107</f>
        <v>2704458292.2399998</v>
      </c>
      <c r="AD3" s="26">
        <f>资产资本表!AD107</f>
        <v>2672656786.1900001</v>
      </c>
      <c r="AE3" s="26">
        <f>资产资本表!AE107</f>
        <v>2586611041.4499998</v>
      </c>
      <c r="AF3" s="26">
        <f>资产资本表!AF107</f>
        <v>2559221388.8499999</v>
      </c>
      <c r="AG3" s="26">
        <f>资产资本表!AG107</f>
        <v>2532639722.4200001</v>
      </c>
      <c r="AH3" s="26">
        <f>资产资本表!AH107</f>
        <v>384442846.82999998</v>
      </c>
      <c r="AI3" s="26">
        <f>资产资本表!AI107</f>
        <v>311964600.76999998</v>
      </c>
      <c r="AJ3" s="26">
        <f>资产资本表!AJ107</f>
        <v>266080793.58000001</v>
      </c>
      <c r="AK3" s="26">
        <f>资产资本表!AK107</f>
        <v>175559966.52000001</v>
      </c>
      <c r="AL3" s="26">
        <f>资产资本表!AL107</f>
        <v>129529844.64</v>
      </c>
      <c r="AM3" s="26">
        <f>资产资本表!AM107</f>
        <v>0</v>
      </c>
      <c r="AN3" s="26">
        <f>资产资本表!AN107</f>
        <v>238736715.93000001</v>
      </c>
      <c r="AO3" s="26">
        <f>资产资本表!AO107</f>
        <v>174139245.78</v>
      </c>
      <c r="AP3" s="26">
        <f>资产资本表!AP107</f>
        <v>106511976.33</v>
      </c>
      <c r="AQ3" s="26">
        <f>资产资本表!AQ107</f>
        <v>0</v>
      </c>
      <c r="AR3" s="26">
        <f>资产资本表!AR107</f>
        <v>5856405893.5</v>
      </c>
      <c r="AS3" s="26">
        <f>资产资本表!AS107</f>
        <v>5658752935.3099995</v>
      </c>
      <c r="AT3" s="26">
        <f>资产资本表!AT107</f>
        <v>5557397185.8000002</v>
      </c>
      <c r="AU3" s="26">
        <f>资产资本表!AU107</f>
        <v>5294185121.96</v>
      </c>
      <c r="AV3" s="26">
        <f>资产资本表!AV107</f>
        <v>5276800465.9200001</v>
      </c>
      <c r="AW3" s="26">
        <f>资产资本表!AW107</f>
        <v>5181853244.1599998</v>
      </c>
      <c r="AX3" s="26">
        <f>资产资本表!AX107</f>
        <v>5011911653.6700001</v>
      </c>
      <c r="AY3" s="26">
        <f>资产资本表!AY107</f>
        <v>4820276191.9800005</v>
      </c>
      <c r="AZ3" s="26">
        <f>资产资本表!AZ107</f>
        <v>5010338103.3099995</v>
      </c>
      <c r="BA3" s="26">
        <f>资产资本表!BA107</f>
        <v>4895309580.54</v>
      </c>
      <c r="BB3" s="26">
        <f>资产资本表!BB107</f>
        <v>4888570328.4099998</v>
      </c>
      <c r="BC3" s="26">
        <f>资产资本表!BC107</f>
        <v>4807601462.5599995</v>
      </c>
      <c r="BD3" s="26">
        <f>资产资本表!BD107</f>
        <v>5068821027.4499998</v>
      </c>
      <c r="BE3" s="26">
        <f>资产资本表!BE107</f>
        <v>4926753550.1099997</v>
      </c>
      <c r="BF3" s="26">
        <f>资产资本表!BF107</f>
        <v>4808299542.9399996</v>
      </c>
      <c r="BG3" s="26">
        <f>资产资本表!BG107</f>
        <v>4751398778.0100002</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c r="A4" s="150" t="s">
        <v>435</v>
      </c>
      <c r="E4" s="59">
        <f>E2/E3</f>
        <v>8.8454891721613166E-2</v>
      </c>
      <c r="F4" s="59">
        <f t="shared" ref="F4:BQ4" si="0">F2/F3</f>
        <v>4.9583848533691965E-2</v>
      </c>
      <c r="G4" s="59">
        <f t="shared" si="0"/>
        <v>3.3309568396356314E-2</v>
      </c>
      <c r="H4" s="59">
        <f t="shared" si="0"/>
        <v>3.0148382576058166E-3</v>
      </c>
      <c r="I4" s="59">
        <f t="shared" si="0"/>
        <v>0.10600994959722133</v>
      </c>
      <c r="J4" s="59">
        <f t="shared" si="0"/>
        <v>0.14255823658382394</v>
      </c>
      <c r="K4" s="59">
        <f t="shared" si="0"/>
        <v>0.10999838392858742</v>
      </c>
      <c r="L4" s="59">
        <f t="shared" si="0"/>
        <v>2.4895489387066254E-2</v>
      </c>
      <c r="M4" s="59">
        <f t="shared" si="0"/>
        <v>0.2710375625092577</v>
      </c>
      <c r="N4" s="59">
        <f t="shared" si="0"/>
        <v>0.2431730435551856</v>
      </c>
      <c r="O4" s="59">
        <f t="shared" si="0"/>
        <v>0.6823439838060843</v>
      </c>
      <c r="P4" s="59">
        <f t="shared" si="0"/>
        <v>1.2887256599235299</v>
      </c>
      <c r="Q4" s="59" t="e">
        <f t="shared" si="0"/>
        <v>#DIV/0!</v>
      </c>
      <c r="R4" s="59">
        <f t="shared" si="0"/>
        <v>7.7228001235170318E-3</v>
      </c>
      <c r="S4" s="59">
        <f t="shared" si="0"/>
        <v>0</v>
      </c>
      <c r="T4" s="59">
        <f t="shared" si="0"/>
        <v>-3.4229423756675075E-3</v>
      </c>
      <c r="U4" s="59">
        <f t="shared" si="0"/>
        <v>-2.6406405672151901E-2</v>
      </c>
      <c r="V4" s="59">
        <f t="shared" si="0"/>
        <v>-2.0454495944777957E-2</v>
      </c>
      <c r="W4" s="59">
        <f t="shared" si="0"/>
        <v>-1.0742355443889915E-2</v>
      </c>
      <c r="X4" s="59">
        <f t="shared" si="0"/>
        <v>-3.9136136122722778E-3</v>
      </c>
      <c r="Y4" s="59">
        <f t="shared" si="0"/>
        <v>-2.4053721262965819E-2</v>
      </c>
      <c r="Z4" s="59">
        <f t="shared" si="0"/>
        <v>-2.2151882525200207E-2</v>
      </c>
      <c r="AA4" s="59">
        <f t="shared" si="0"/>
        <v>-1.327940425632824E-2</v>
      </c>
      <c r="AB4" s="59">
        <f t="shared" si="0"/>
        <v>-3.8778313944097241E-3</v>
      </c>
      <c r="AC4" s="59">
        <f t="shared" si="0"/>
        <v>-2.3057954333749478E-2</v>
      </c>
      <c r="AD4" s="59">
        <f t="shared" si="0"/>
        <v>-2.0501465872133393E-2</v>
      </c>
      <c r="AE4" s="59">
        <f t="shared" si="0"/>
        <v>-1.1363963297520856E-2</v>
      </c>
      <c r="AF4" s="59">
        <f t="shared" si="0"/>
        <v>-3.7933176208574575E-3</v>
      </c>
      <c r="AG4" s="59">
        <f t="shared" si="0"/>
        <v>-3.1036029169159839E-2</v>
      </c>
      <c r="AH4" s="59">
        <f t="shared" si="0"/>
        <v>-0.17179599174387897</v>
      </c>
      <c r="AI4" s="59">
        <f t="shared" si="0"/>
        <v>-0.11438417474907148</v>
      </c>
      <c r="AJ4" s="59">
        <f t="shared" si="0"/>
        <v>-3.1172276654783119E-2</v>
      </c>
      <c r="AK4" s="59">
        <f t="shared" si="0"/>
        <v>-0.26308077465222335</v>
      </c>
      <c r="AL4" s="59">
        <f t="shared" si="0"/>
        <v>-0.2765636685472983</v>
      </c>
      <c r="AM4" s="59" t="e">
        <f t="shared" si="0"/>
        <v>#DIV/0!</v>
      </c>
      <c r="AN4" s="59">
        <f t="shared" si="0"/>
        <v>-8.1872369375019224E-2</v>
      </c>
      <c r="AO4" s="59">
        <f t="shared" si="0"/>
        <v>-1.6491246916436489E-3</v>
      </c>
      <c r="AP4" s="59">
        <f t="shared" si="0"/>
        <v>-0.25926822627383689</v>
      </c>
      <c r="AQ4" s="59" t="e">
        <f t="shared" si="0"/>
        <v>#DIV/0!</v>
      </c>
      <c r="AR4" s="59">
        <f t="shared" si="0"/>
        <v>-2.8661646503412735E-3</v>
      </c>
      <c r="AS4" s="59">
        <f t="shared" si="0"/>
        <v>0</v>
      </c>
      <c r="AT4" s="59">
        <f t="shared" si="0"/>
        <v>-1.9185211367010076E-2</v>
      </c>
      <c r="AU4" s="59">
        <f t="shared" si="0"/>
        <v>-1.3748213563233603E-2</v>
      </c>
      <c r="AV4" s="59">
        <f t="shared" si="0"/>
        <v>-4.4271810372361678E-3</v>
      </c>
      <c r="AW4" s="59">
        <f t="shared" si="0"/>
        <v>3.1828753696542824E-3</v>
      </c>
      <c r="AX4" s="59">
        <f t="shared" si="0"/>
        <v>4.6659277608925983E-3</v>
      </c>
      <c r="AY4" s="59">
        <f t="shared" si="0"/>
        <v>-3.7076605547490052E-4</v>
      </c>
      <c r="AZ4" s="59">
        <f t="shared" si="0"/>
        <v>-2.1787392956152747E-3</v>
      </c>
      <c r="BA4" s="59">
        <f t="shared" si="0"/>
        <v>-3.119137082095565E-2</v>
      </c>
      <c r="BB4" s="59">
        <f t="shared" si="0"/>
        <v>-2.8760603351231595E-2</v>
      </c>
      <c r="BC4" s="59">
        <f t="shared" si="0"/>
        <v>-1.4615893473537494E-2</v>
      </c>
      <c r="BD4" s="59">
        <f t="shared" si="0"/>
        <v>-2.2904829914345455E-3</v>
      </c>
      <c r="BE4" s="59">
        <f t="shared" si="0"/>
        <v>-9.2986020924422253E-3</v>
      </c>
      <c r="BF4" s="59">
        <f t="shared" si="0"/>
        <v>-6.8359485399077935E-3</v>
      </c>
      <c r="BG4" s="59">
        <f t="shared" si="0"/>
        <v>-3.8322216131953706E-3</v>
      </c>
      <c r="BH4" s="59">
        <f t="shared" si="0"/>
        <v>-3.6259173411665063E-3</v>
      </c>
      <c r="BI4" s="59">
        <f t="shared" si="0"/>
        <v>-7.6030616268109698E-3</v>
      </c>
      <c r="BJ4" s="59">
        <f t="shared" si="0"/>
        <v>7.1620833950357214E-4</v>
      </c>
      <c r="BK4" s="59">
        <f t="shared" si="0"/>
        <v>3.3411926325257919E-3</v>
      </c>
      <c r="BL4" s="59">
        <f t="shared" si="0"/>
        <v>-3.1094395494846798E-3</v>
      </c>
      <c r="BM4" s="59">
        <f t="shared" si="0"/>
        <v>-1.6750715992307961E-2</v>
      </c>
      <c r="BN4" s="59">
        <f t="shared" si="0"/>
        <v>-9.4642839420682606E-3</v>
      </c>
      <c r="BO4" s="59">
        <f t="shared" si="0"/>
        <v>-5.4333484249980578E-3</v>
      </c>
      <c r="BP4" s="59">
        <f t="shared" si="0"/>
        <v>-2.538180027963498E-3</v>
      </c>
      <c r="BQ4" s="59">
        <f t="shared" si="0"/>
        <v>-1.8539101521845392E-2</v>
      </c>
      <c r="BR4" s="59">
        <f t="shared" ref="BR4:CJ4" si="1">BR2/BR3</f>
        <v>-3.4435340486451073E-3</v>
      </c>
      <c r="BS4" s="59">
        <f t="shared" si="1"/>
        <v>1.7875495849888497E-3</v>
      </c>
      <c r="BT4" s="59">
        <f t="shared" si="1"/>
        <v>2.238075492640245E-3</v>
      </c>
      <c r="BU4" s="59">
        <f t="shared" si="1"/>
        <v>-1.3516777287413382E-2</v>
      </c>
      <c r="BV4" s="59">
        <f t="shared" si="1"/>
        <v>-2.4476721435052407E-2</v>
      </c>
      <c r="BW4" s="59">
        <f t="shared" si="1"/>
        <v>1.9329439156349323E-2</v>
      </c>
      <c r="BX4" s="59">
        <f t="shared" si="1"/>
        <v>-1.6137068834854031E-2</v>
      </c>
      <c r="BY4" s="59">
        <f t="shared" si="1"/>
        <v>1.0077666458720994E-2</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c r="A5" s="20" t="s">
        <v>431</v>
      </c>
      <c r="E5" s="26">
        <f>股权价值增加表!E47</f>
        <v>5755927.1176000014</v>
      </c>
      <c r="F5" s="26">
        <f>股权价值增加表!F47</f>
        <v>-19574866.819600012</v>
      </c>
      <c r="G5" s="26">
        <f>股权价值增加表!G47</f>
        <v>-27693733.942000002</v>
      </c>
      <c r="H5" s="26">
        <f>股权价值增加表!H47</f>
        <v>-44984015.655600011</v>
      </c>
      <c r="I5" s="26">
        <f>股权价值增加表!I47</f>
        <v>15152286.341600001</v>
      </c>
      <c r="J5" s="26">
        <f>股权价值增加表!J47</f>
        <v>17504365.453199994</v>
      </c>
      <c r="K5" s="26">
        <f>股权价值增加表!K47</f>
        <v>8086670.4684000053</v>
      </c>
      <c r="L5" s="26">
        <f>股权价值增加表!L47</f>
        <v>-13219493.643200001</v>
      </c>
      <c r="M5" s="26">
        <f>股权价值增加表!M47</f>
        <v>40470986.770000011</v>
      </c>
      <c r="N5" s="26">
        <f>股权价值增加表!N47</f>
        <v>27716479.982000001</v>
      </c>
      <c r="O5" s="26">
        <f>股权价值增加表!O47</f>
        <v>63591340.971999988</v>
      </c>
      <c r="P5" s="26">
        <f>股权价值增加表!P47</f>
        <v>75194476.568799987</v>
      </c>
      <c r="Q5" s="26">
        <f>股权价值增加表!Q47</f>
        <v>68096226.200000018</v>
      </c>
      <c r="R5" s="26">
        <f>股权价值增加表!R47</f>
        <v>26785364.940000001</v>
      </c>
      <c r="S5" s="26">
        <f>股权价值增加表!S47</f>
        <v>0</v>
      </c>
      <c r="T5" s="26">
        <f>股权价值增加表!T47</f>
        <v>-269710904.3624</v>
      </c>
      <c r="U5" s="26">
        <f>股权价值增加表!U47</f>
        <v>-338622543.15400004</v>
      </c>
      <c r="V5" s="26">
        <f>股权价值增加表!V47</f>
        <v>-313762176.04879999</v>
      </c>
      <c r="W5" s="26">
        <f>股权价值增加表!W47</f>
        <v>-272983141.29040003</v>
      </c>
      <c r="X5" s="26">
        <f>股权价值增加表!X47</f>
        <v>-250043489.63560003</v>
      </c>
      <c r="Y5" s="26">
        <f>股权价值增加表!Y47</f>
        <v>-305136449.58360004</v>
      </c>
      <c r="Z5" s="26">
        <f>股权价值增加表!Z47</f>
        <v>-290941711.84200001</v>
      </c>
      <c r="AA5" s="26">
        <f>股权价值增加表!AA47</f>
        <v>-257253242.97080001</v>
      </c>
      <c r="AB5" s="26">
        <f>股权价值增加表!AB47</f>
        <v>-230274872.03080001</v>
      </c>
      <c r="AC5" s="26">
        <f>股权价值增加表!AC47</f>
        <v>-278715939.17919999</v>
      </c>
      <c r="AD5" s="26">
        <f>股权价值增加表!AD47</f>
        <v>-268605924.7852</v>
      </c>
      <c r="AE5" s="26">
        <f>股权价值增加表!AE47</f>
        <v>-236323036.25599998</v>
      </c>
      <c r="AF5" s="26">
        <f>股权价值增加表!AF47</f>
        <v>-214445650.69800001</v>
      </c>
      <c r="AG5" s="26">
        <f>股权价值增加表!AG47</f>
        <v>-281214258.09360003</v>
      </c>
      <c r="AH5" s="26">
        <f>股权价值增加表!AH47</f>
        <v>-96801167.886399999</v>
      </c>
      <c r="AI5" s="26">
        <f>股权价值增加表!AI47</f>
        <v>-60640981.471599996</v>
      </c>
      <c r="AJ5" s="26">
        <f>股权价值增加表!AJ47</f>
        <v>-29580807.5964</v>
      </c>
      <c r="AK5" s="26">
        <f>股权价值增加表!AK47</f>
        <v>-60231249.3116</v>
      </c>
      <c r="AL5" s="26">
        <f>股权价值增加表!AL47</f>
        <v>-46185636.591200002</v>
      </c>
      <c r="AM5" s="26">
        <f>股权价值增加表!AM47</f>
        <v>-35733277.469999999</v>
      </c>
      <c r="AN5" s="26">
        <f>股权价值增加表!AN47</f>
        <v>-19545940.589999996</v>
      </c>
      <c r="AO5" s="26">
        <f>股权价值增加表!AO47</f>
        <v>-287177.33000000007</v>
      </c>
      <c r="AP5" s="26">
        <f>股权价值增加表!AP47</f>
        <v>-36136129.286399998</v>
      </c>
      <c r="AQ5" s="26">
        <f>股权价值增加表!AQ47</f>
        <v>-31120172.960000001</v>
      </c>
      <c r="AR5" s="26">
        <f>股权价值增加表!AR47</f>
        <v>-16785423.550000001</v>
      </c>
      <c r="AS5" s="26">
        <f>股权价值增加表!AS47</f>
        <v>0</v>
      </c>
      <c r="AT5" s="26">
        <f>股权价值增加表!AT47</f>
        <v>-551211614.52399993</v>
      </c>
      <c r="AU5" s="26">
        <f>股权价值增加表!AU47</f>
        <v>-496320397.45679998</v>
      </c>
      <c r="AV5" s="26">
        <f>股权价值增加表!AV47</f>
        <v>-445505388.23360002</v>
      </c>
      <c r="AW5" s="26">
        <f>股权价值增加表!AW47</f>
        <v>-398055066.47280002</v>
      </c>
      <c r="AX5" s="26">
        <f>股权价值增加表!AX47</f>
        <v>-377567714.57360005</v>
      </c>
      <c r="AY5" s="26">
        <f>股权价值增加表!AY47</f>
        <v>-387409290.14840001</v>
      </c>
      <c r="AZ5" s="26">
        <f>股权价值增加表!AZ47</f>
        <v>-411743268.77480006</v>
      </c>
      <c r="BA5" s="26">
        <f>股权价值增加表!BA47</f>
        <v>-544316182.85319996</v>
      </c>
      <c r="BB5" s="26">
        <f>股权价值增加表!BB47</f>
        <v>-531683858.44279993</v>
      </c>
      <c r="BC5" s="26">
        <f>股权价值增加表!BC47</f>
        <v>-454875507.8448</v>
      </c>
      <c r="BD5" s="26">
        <f>股权价值增加表!BD47</f>
        <v>-417115730.546</v>
      </c>
      <c r="BE5" s="26">
        <f>股权价值增加表!BE47</f>
        <v>-439952204.87879997</v>
      </c>
      <c r="BF5" s="26">
        <f>股权价值增加表!BF47</f>
        <v>-417533251.67519999</v>
      </c>
      <c r="BG5" s="26">
        <f>股权价值增加表!BG47</f>
        <v>-398320315.3308</v>
      </c>
      <c r="BH5" s="26">
        <f>股权价值增加表!BH47</f>
        <v>-401893920.58120006</v>
      </c>
      <c r="BI5" s="26">
        <f>股权价值增加表!BI47</f>
        <v>-407190740.5424</v>
      </c>
      <c r="BJ5" s="26">
        <f>股权价值增加表!BJ47</f>
        <v>-355900380.39039999</v>
      </c>
      <c r="BK5" s="26">
        <f>股权价值增加表!BK47</f>
        <v>-329089631.60519999</v>
      </c>
      <c r="BL5" s="26">
        <f>股权价值增加表!BL47</f>
        <v>-356588493.17480004</v>
      </c>
      <c r="BM5" s="26">
        <f>股权价值增加表!BM47</f>
        <v>-406912335.89759994</v>
      </c>
      <c r="BN5" s="26">
        <f>股权价值增加表!BN47</f>
        <v>-369068809.83399999</v>
      </c>
      <c r="BO5" s="26">
        <f>股权价值增加表!BO47</f>
        <v>-337805848.72119999</v>
      </c>
      <c r="BP5" s="26">
        <f>股权价值增加表!BP47</f>
        <v>-329201658.89320004</v>
      </c>
      <c r="BQ5" s="26">
        <f>股权价值增加表!BQ47</f>
        <v>-381930577.79279995</v>
      </c>
      <c r="BR5" s="26">
        <f>股权价值增加表!BR47</f>
        <v>-316699207.17080003</v>
      </c>
      <c r="BS5" s="26">
        <f>股权价值增加表!BS47</f>
        <v>-281528970.51560003</v>
      </c>
      <c r="BT5" s="26">
        <f>股权价值增加表!BT47</f>
        <v>-290105071.28399998</v>
      </c>
      <c r="BU5" s="26">
        <f>股权价值增加表!BU47</f>
        <v>-336479452.12200004</v>
      </c>
      <c r="BV5" s="26">
        <f>股权价值增加表!BV47</f>
        <v>-228928071.36839998</v>
      </c>
      <c r="BW5" s="26">
        <f>股权价值增加表!BW47</f>
        <v>-127930477.604</v>
      </c>
      <c r="BX5" s="26">
        <f>股权价值增加表!BX47</f>
        <v>-118210057.0932</v>
      </c>
      <c r="BY5" s="26">
        <f>股权价值增加表!BY47</f>
        <v>-86922966.762400001</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65" customFormat="1">
      <c r="A6" s="165" t="s">
        <v>442</v>
      </c>
      <c r="E6" s="165">
        <f>股权价值增加表!E31/股权价值增加表!E4</f>
        <v>0.35758165065667696</v>
      </c>
      <c r="F6" s="165">
        <f>股权价值增加表!F31/股权价值增加表!F4</f>
        <v>0.2414605224695725</v>
      </c>
      <c r="G6" s="165">
        <f>股权价值增加表!G31/股权价值增加表!G4</f>
        <v>0.2064373172490491</v>
      </c>
      <c r="H6" s="165">
        <f>股权价值增加表!H31/股权价值增加表!H4</f>
        <v>-3.5149739135639839E-2</v>
      </c>
      <c r="I6" s="165">
        <f>股权价值增加表!I31/股权价值增加表!I4</f>
        <v>0.39435574367188536</v>
      </c>
      <c r="J6" s="165">
        <f>股权价值增加表!J31/股权价值增加表!J4</f>
        <v>0.36431931033512982</v>
      </c>
      <c r="K6" s="165">
        <f>股权价值增加表!K31/股权价值增加表!K4</f>
        <v>0.36043458268846784</v>
      </c>
      <c r="L6" s="165">
        <f>股权价值增加表!L31/股权价值增加表!L4</f>
        <v>0.37425278276756085</v>
      </c>
      <c r="M6" s="165">
        <f>股权价值增加表!M31/股权价值增加表!M4</f>
        <v>0.43517617178796164</v>
      </c>
      <c r="N6" s="165">
        <f>股权价值增加表!N31/股权价值增加表!N4</f>
        <v>0.5087991318607672</v>
      </c>
      <c r="O6" s="165">
        <f>股权价值增加表!O31/股权价值增加表!O4</f>
        <v>0.45050158343571989</v>
      </c>
      <c r="P6" s="165">
        <f>股权价值增加表!P31/股权价值增加表!P4</f>
        <v>0.43018055602324629</v>
      </c>
      <c r="Q6" s="165">
        <f>股权价值增加表!Q31/股权价值增加表!Q4</f>
        <v>0.39846463785545594</v>
      </c>
      <c r="R6" s="165">
        <f>股权价值增加表!R31/股权价值增加表!R4</f>
        <v>0.37163480785464825</v>
      </c>
      <c r="S6" s="165" t="e">
        <f>股权价值增加表!S31/股权价值增加表!S4</f>
        <v>#DIV/0!</v>
      </c>
      <c r="T6" s="165" t="e">
        <f>股权价值增加表!T31/股权价值增加表!T4</f>
        <v>#DIV/0!</v>
      </c>
      <c r="U6" s="165" t="e">
        <f>股权价值增加表!U31/股权价值增加表!U4</f>
        <v>#DIV/0!</v>
      </c>
      <c r="V6" s="165" t="e">
        <f>股权价值增加表!V31/股权价值增加表!V4</f>
        <v>#DIV/0!</v>
      </c>
      <c r="W6" s="165" t="e">
        <f>股权价值增加表!W31/股权价值增加表!W4</f>
        <v>#DIV/0!</v>
      </c>
      <c r="X6" s="165" t="e">
        <f>股权价值增加表!X31/股权价值增加表!X4</f>
        <v>#DIV/0!</v>
      </c>
      <c r="Y6" s="165" t="e">
        <f>股权价值增加表!Y31/股权价值增加表!Y4</f>
        <v>#DIV/0!</v>
      </c>
      <c r="Z6" s="165" t="e">
        <f>股权价值增加表!Z31/股权价值增加表!Z4</f>
        <v>#DIV/0!</v>
      </c>
      <c r="AA6" s="165" t="e">
        <f>股权价值增加表!AA31/股权价值增加表!AA4</f>
        <v>#DIV/0!</v>
      </c>
      <c r="AB6" s="165" t="e">
        <f>股权价值增加表!AB31/股权价值增加表!AB4</f>
        <v>#DIV/0!</v>
      </c>
      <c r="AC6" s="165" t="e">
        <f>股权价值增加表!AC31/股权价值增加表!AC4</f>
        <v>#DIV/0!</v>
      </c>
      <c r="AD6" s="165" t="e">
        <f>股权价值增加表!AD31/股权价值增加表!AD4</f>
        <v>#DIV/0!</v>
      </c>
      <c r="AE6" s="165" t="e">
        <f>股权价值增加表!AE31/股权价值增加表!AE4</f>
        <v>#DIV/0!</v>
      </c>
      <c r="AF6" s="165" t="e">
        <f>股权价值增加表!AF31/股权价值增加表!AF4</f>
        <v>#DIV/0!</v>
      </c>
      <c r="AG6" s="165" t="e">
        <f>股权价值增加表!AG31/股权价值增加表!AG4</f>
        <v>#DIV/0!</v>
      </c>
      <c r="AH6" s="165" t="e">
        <f>股权价值增加表!AH31/股权价值增加表!AH4</f>
        <v>#DIV/0!</v>
      </c>
      <c r="AI6" s="165" t="e">
        <f>股权价值增加表!AI31/股权价值增加表!AI4</f>
        <v>#DIV/0!</v>
      </c>
      <c r="AJ6" s="165" t="e">
        <f>股权价值增加表!AJ31/股权价值增加表!AJ4</f>
        <v>#DIV/0!</v>
      </c>
      <c r="AK6" s="165" t="e">
        <f>股权价值增加表!AK31/股权价值增加表!AK4</f>
        <v>#DIV/0!</v>
      </c>
      <c r="AL6" s="165" t="e">
        <f>股权价值增加表!AL31/股权价值增加表!AL4</f>
        <v>#DIV/0!</v>
      </c>
      <c r="AM6" s="165" t="e">
        <f>股权价值增加表!AM31/股权价值增加表!AM4</f>
        <v>#DIV/0!</v>
      </c>
      <c r="AN6" s="165" t="e">
        <f>股权价值增加表!AN31/股权价值增加表!AN4</f>
        <v>#DIV/0!</v>
      </c>
      <c r="AO6" s="165" t="e">
        <f>股权价值增加表!AO31/股权价值增加表!AO4</f>
        <v>#DIV/0!</v>
      </c>
      <c r="AP6" s="165" t="e">
        <f>股权价值增加表!AP31/股权价值增加表!AP4</f>
        <v>#DIV/0!</v>
      </c>
      <c r="AQ6" s="165" t="e">
        <f>股权价值增加表!AQ31/股权价值增加表!AQ4</f>
        <v>#DIV/0!</v>
      </c>
      <c r="AR6" s="165" t="e">
        <f>股权价值增加表!AR31/股权价值增加表!AR4</f>
        <v>#DIV/0!</v>
      </c>
      <c r="AS6" s="165" t="e">
        <f>股权价值增加表!AS31/股权价值增加表!AS4</f>
        <v>#DIV/0!</v>
      </c>
      <c r="AT6" s="165" t="e">
        <f>股权价值增加表!AT31/股权价值增加表!AT4</f>
        <v>#DIV/0!</v>
      </c>
      <c r="AU6" s="165" t="e">
        <f>股权价值增加表!AU31/股权价值增加表!AU4</f>
        <v>#DIV/0!</v>
      </c>
      <c r="AV6" s="165" t="e">
        <f>股权价值增加表!AV31/股权价值增加表!AV4</f>
        <v>#DIV/0!</v>
      </c>
      <c r="AW6" s="165" t="e">
        <f>股权价值增加表!AW31/股权价值增加表!AW4</f>
        <v>#DIV/0!</v>
      </c>
      <c r="AX6" s="165" t="e">
        <f>股权价值增加表!AX31/股权价值增加表!AX4</f>
        <v>#DIV/0!</v>
      </c>
      <c r="AY6" s="165" t="e">
        <f>股权价值增加表!AY31/股权价值增加表!AY4</f>
        <v>#DIV/0!</v>
      </c>
      <c r="AZ6" s="165" t="e">
        <f>股权价值增加表!AZ31/股权价值增加表!AZ4</f>
        <v>#DIV/0!</v>
      </c>
      <c r="BA6" s="165" t="e">
        <f>股权价值增加表!BA31/股权价值增加表!BA4</f>
        <v>#DIV/0!</v>
      </c>
      <c r="BB6" s="165" t="e">
        <f>股权价值增加表!BB31/股权价值增加表!BB4</f>
        <v>#DIV/0!</v>
      </c>
      <c r="BC6" s="165" t="e">
        <f>股权价值增加表!BC31/股权价值增加表!BC4</f>
        <v>#DIV/0!</v>
      </c>
      <c r="BD6" s="165" t="e">
        <f>股权价值增加表!BD31/股权价值增加表!BD4</f>
        <v>#DIV/0!</v>
      </c>
      <c r="BE6" s="165" t="e">
        <f>股权价值增加表!BE31/股权价值增加表!BE4</f>
        <v>#DIV/0!</v>
      </c>
      <c r="BF6" s="165" t="e">
        <f>股权价值增加表!BF31/股权价值增加表!BF4</f>
        <v>#DIV/0!</v>
      </c>
      <c r="BG6" s="165" t="e">
        <f>股权价值增加表!BG31/股权价值增加表!BG4</f>
        <v>#DIV/0!</v>
      </c>
      <c r="BH6" s="165" t="e">
        <f>股权价值增加表!BH31/股权价值增加表!BH4</f>
        <v>#DIV/0!</v>
      </c>
      <c r="BI6" s="165" t="e">
        <f>股权价值增加表!BI31/股权价值增加表!BI4</f>
        <v>#DIV/0!</v>
      </c>
      <c r="BJ6" s="165" t="e">
        <f>股权价值增加表!BJ31/股权价值增加表!BJ4</f>
        <v>#DIV/0!</v>
      </c>
      <c r="BK6" s="165" t="e">
        <f>股权价值增加表!BK31/股权价值增加表!BK4</f>
        <v>#DIV/0!</v>
      </c>
      <c r="BL6" s="165" t="e">
        <f>股权价值增加表!BL31/股权价值增加表!BL4</f>
        <v>#DIV/0!</v>
      </c>
      <c r="BM6" s="165" t="e">
        <f>股权价值增加表!BM31/股权价值增加表!BM4</f>
        <v>#DIV/0!</v>
      </c>
      <c r="BN6" s="165" t="e">
        <f>股权价值增加表!BN31/股权价值增加表!BN4</f>
        <v>#DIV/0!</v>
      </c>
      <c r="BO6" s="165" t="e">
        <f>股权价值增加表!BO31/股权价值增加表!BO4</f>
        <v>#DIV/0!</v>
      </c>
      <c r="BP6" s="165" t="e">
        <f>股权价值增加表!BP31/股权价值增加表!BP4</f>
        <v>#DIV/0!</v>
      </c>
      <c r="BQ6" s="165" t="e">
        <f>股权价值增加表!BQ31/股权价值增加表!BQ4</f>
        <v>#DIV/0!</v>
      </c>
      <c r="BR6" s="165" t="e">
        <f>股权价值增加表!BR31/股权价值增加表!BR4</f>
        <v>#DIV/0!</v>
      </c>
      <c r="BS6" s="165" t="e">
        <f>股权价值增加表!BS31/股权价值增加表!BS4</f>
        <v>#DIV/0!</v>
      </c>
      <c r="BT6" s="165" t="e">
        <f>股权价值增加表!BT31/股权价值增加表!BT4</f>
        <v>#DIV/0!</v>
      </c>
      <c r="BU6" s="165" t="e">
        <f>股权价值增加表!BU31/股权价值增加表!BU4</f>
        <v>#DIV/0!</v>
      </c>
      <c r="BV6" s="165" t="e">
        <f>股权价值增加表!BV31/股权价值增加表!BV4</f>
        <v>#DIV/0!</v>
      </c>
      <c r="BW6" s="165" t="e">
        <f>股权价值增加表!BW31/股权价值增加表!BW4</f>
        <v>#DIV/0!</v>
      </c>
      <c r="BX6" s="165" t="e">
        <f>股权价值增加表!BX31/股权价值增加表!BX4</f>
        <v>#DIV/0!</v>
      </c>
      <c r="BY6" s="165" t="e">
        <f>股权价值增加表!BY31/股权价值增加表!BY4</f>
        <v>#DIV/0!</v>
      </c>
      <c r="BZ6" s="165" t="e">
        <f>股权价值增加表!BZ31/股权价值增加表!BZ4</f>
        <v>#DIV/0!</v>
      </c>
      <c r="CA6" s="165" t="e">
        <f>股权价值增加表!CA31/股权价值增加表!CA4</f>
        <v>#DIV/0!</v>
      </c>
      <c r="CB6" s="165" t="e">
        <f>股权价值增加表!CB31/股权价值增加表!CB4</f>
        <v>#DIV/0!</v>
      </c>
      <c r="CC6" s="165" t="e">
        <f>股权价值增加表!CC31/股权价值增加表!CC4</f>
        <v>#DIV/0!</v>
      </c>
      <c r="CD6" s="165" t="e">
        <f>股权价值增加表!CD31/股权价值增加表!CD4</f>
        <v>#DIV/0!</v>
      </c>
      <c r="CE6" s="165" t="e">
        <f>股权价值增加表!CE31/股权价值增加表!CE4</f>
        <v>#DIV/0!</v>
      </c>
      <c r="CF6" s="165" t="e">
        <f>股权价值增加表!CF31/股权价值增加表!CF4</f>
        <v>#DIV/0!</v>
      </c>
      <c r="CG6" s="165" t="e">
        <f>股权价值增加表!CG31/股权价值增加表!CG4</f>
        <v>#DIV/0!</v>
      </c>
      <c r="CH6" s="165" t="e">
        <f>股权价值增加表!CH31/股权价值增加表!CH4</f>
        <v>#DIV/0!</v>
      </c>
      <c r="CI6" s="165" t="e">
        <f>股权价值增加表!CI31/股权价值增加表!CI4</f>
        <v>#DIV/0!</v>
      </c>
      <c r="CJ6" s="165" t="e">
        <f>股权价值增加表!CJ31/股权价值增加表!CJ4</f>
        <v>#DIV/0!</v>
      </c>
    </row>
    <row r="7" spans="1:89" s="61" customFormat="1">
      <c r="A7" s="151" t="s">
        <v>436</v>
      </c>
      <c r="E7" s="61">
        <f>股权价值增加表!E4/资产资本表!E70</f>
        <v>0.28236530779732899</v>
      </c>
      <c r="F7" s="61">
        <f>股权价值增加表!F4/资产资本表!F70</f>
        <v>0.15876574754467906</v>
      </c>
      <c r="G7" s="61">
        <f>股权价值增加表!G4/资产资本表!G70</f>
        <v>0.13136667960112006</v>
      </c>
      <c r="H7" s="61">
        <f>股权价值增加表!H4/资产资本表!H70</f>
        <v>2.9193981938745374E-2</v>
      </c>
      <c r="I7" s="61">
        <f>股权价值增加表!I4/资产资本表!I70</f>
        <v>0.28449371604886764</v>
      </c>
      <c r="J7" s="61">
        <f>股权价值增加表!J4/资产资本表!J70</f>
        <v>0.3877736068420482</v>
      </c>
      <c r="K7" s="61">
        <f>股权价值增加表!K4/资产资本表!K70</f>
        <v>0.30037683507887497</v>
      </c>
      <c r="L7" s="61">
        <f>股权价值增加表!L4/资产资本表!L70</f>
        <v>6.2409309265350946E-2</v>
      </c>
      <c r="M7" s="61">
        <f>股权价值增加表!M4/资产资本表!M70</f>
        <v>0.7010686309405979</v>
      </c>
      <c r="N7" s="61">
        <f>股权价值增加表!N4/资产资本表!N70</f>
        <v>0.51782624270845712</v>
      </c>
      <c r="O7" s="61">
        <f>股权价值增加表!O4/资产资本表!O70</f>
        <v>1.6983396290655279</v>
      </c>
      <c r="P7" s="61">
        <f>股权价值增加表!P4/资产资本表!P70</f>
        <v>3.3562004115037785</v>
      </c>
      <c r="Q7" s="61" t="e">
        <f>股权价值增加表!Q4/资产资本表!Q70</f>
        <v>#DIV/0!</v>
      </c>
      <c r="R7" s="61" t="e">
        <f>股权价值增加表!R4/资产资本表!R70</f>
        <v>#DIV/0!</v>
      </c>
      <c r="S7" s="61" t="e">
        <f>股权价值增加表!S4/资产资本表!S70</f>
        <v>#DIV/0!</v>
      </c>
      <c r="T7" s="61" t="e">
        <f>股权价值增加表!T4/资产资本表!T70</f>
        <v>#DIV/0!</v>
      </c>
      <c r="U7" s="61" t="e">
        <f>股权价值增加表!U4/资产资本表!U70</f>
        <v>#DIV/0!</v>
      </c>
      <c r="V7" s="61" t="e">
        <f>股权价值增加表!V4/资产资本表!V70</f>
        <v>#DIV/0!</v>
      </c>
      <c r="W7" s="61" t="e">
        <f>股权价值增加表!W4/资产资本表!W70</f>
        <v>#DIV/0!</v>
      </c>
      <c r="X7" s="61" t="e">
        <f>股权价值增加表!X4/资产资本表!X70</f>
        <v>#DIV/0!</v>
      </c>
      <c r="Y7" s="61" t="e">
        <f>股权价值增加表!Y4/资产资本表!Y70</f>
        <v>#DIV/0!</v>
      </c>
      <c r="Z7" s="61" t="e">
        <f>股权价值增加表!Z4/资产资本表!Z70</f>
        <v>#DIV/0!</v>
      </c>
      <c r="AA7" s="61" t="e">
        <f>股权价值增加表!AA4/资产资本表!AA70</f>
        <v>#DIV/0!</v>
      </c>
      <c r="AB7" s="61" t="e">
        <f>股权价值增加表!AB4/资产资本表!AB70</f>
        <v>#DIV/0!</v>
      </c>
      <c r="AC7" s="61" t="e">
        <f>股权价值增加表!AC4/资产资本表!AC70</f>
        <v>#DIV/0!</v>
      </c>
      <c r="AD7" s="61" t="e">
        <f>股权价值增加表!AD4/资产资本表!AD70</f>
        <v>#DIV/0!</v>
      </c>
      <c r="AE7" s="61" t="e">
        <f>股权价值增加表!AE4/资产资本表!AE70</f>
        <v>#DIV/0!</v>
      </c>
      <c r="AF7" s="61" t="e">
        <f>股权价值增加表!AF4/资产资本表!AF70</f>
        <v>#DIV/0!</v>
      </c>
      <c r="AG7" s="61" t="e">
        <f>股权价值增加表!AG4/资产资本表!AG70</f>
        <v>#DIV/0!</v>
      </c>
      <c r="AH7" s="61" t="e">
        <f>股权价值增加表!AH4/资产资本表!AH70</f>
        <v>#DIV/0!</v>
      </c>
      <c r="AI7" s="61" t="e">
        <f>股权价值增加表!AI4/资产资本表!AI70</f>
        <v>#DIV/0!</v>
      </c>
      <c r="AJ7" s="61" t="e">
        <f>股权价值增加表!AJ4/资产资本表!AJ70</f>
        <v>#DIV/0!</v>
      </c>
      <c r="AK7" s="61" t="e">
        <f>股权价值增加表!AK4/资产资本表!AK70</f>
        <v>#DIV/0!</v>
      </c>
      <c r="AL7" s="61" t="e">
        <f>股权价值增加表!AL4/资产资本表!AL70</f>
        <v>#DIV/0!</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c r="A8" s="20" t="s">
        <v>443</v>
      </c>
      <c r="E8" s="63">
        <f>股权价值增加表!E31/资产资本表!E70</f>
        <v>0.10096865285034956</v>
      </c>
      <c r="F8" s="63">
        <f>股权价值增加表!F31/资产资本表!F70</f>
        <v>3.8335660352410456E-2</v>
      </c>
      <c r="G8" s="63">
        <f>股权价值增加表!G31/资产资本表!G70</f>
        <v>2.7118984912770604E-2</v>
      </c>
      <c r="H8" s="63">
        <f>股权价值增加表!H31/资产资本表!H70</f>
        <v>-1.0261608494774809E-3</v>
      </c>
      <c r="I8" s="63">
        <f>股权价值增加表!I31/资产资本表!I70</f>
        <v>0.11219173096242939</v>
      </c>
      <c r="J8" s="63">
        <f>股权价值增加表!J31/资产资本表!J70</f>
        <v>0.14127341301086077</v>
      </c>
      <c r="K8" s="63">
        <f>股权价值增加表!K31/资产资本表!K70</f>
        <v>0.10826619920093702</v>
      </c>
      <c r="L8" s="63">
        <f>股权价值增加表!L31/资产资本表!L70</f>
        <v>2.3356857663158911E-2</v>
      </c>
      <c r="M8" s="63">
        <f>股权价值增加表!M31/资产资本表!M70</f>
        <v>0.30508836297335673</v>
      </c>
      <c r="N8" s="63">
        <f>股权价值增加表!N31/资产资本表!N70</f>
        <v>0.2634695427447859</v>
      </c>
      <c r="O8" s="63">
        <f>股权价值增加表!O31/资产资本表!O70</f>
        <v>0.76510469210565346</v>
      </c>
      <c r="P8" s="63">
        <f>股权价值增加表!P31/资产资本表!P70</f>
        <v>1.4437721591461432</v>
      </c>
      <c r="Q8" s="63" t="e">
        <f>股权价值增加表!Q31/资产资本表!Q70</f>
        <v>#DIV/0!</v>
      </c>
      <c r="R8" s="63" t="e">
        <f>股权价值增加表!R31/资产资本表!R70</f>
        <v>#DIV/0!</v>
      </c>
      <c r="S8" s="63" t="e">
        <f>股权价值增加表!S31/资产资本表!S70</f>
        <v>#DIV/0!</v>
      </c>
      <c r="T8" s="63" t="e">
        <f>股权价值增加表!T31/资产资本表!T70</f>
        <v>#DIV/0!</v>
      </c>
      <c r="U8" s="63" t="e">
        <f>股权价值增加表!U31/资产资本表!U70</f>
        <v>#DIV/0!</v>
      </c>
      <c r="V8" s="63" t="e">
        <f>股权价值增加表!V31/资产资本表!V70</f>
        <v>#DIV/0!</v>
      </c>
      <c r="W8" s="63" t="e">
        <f>股权价值增加表!W31/资产资本表!W70</f>
        <v>#DIV/0!</v>
      </c>
      <c r="X8" s="63" t="e">
        <f>股权价值增加表!X31/资产资本表!X70</f>
        <v>#DIV/0!</v>
      </c>
      <c r="Y8" s="63" t="e">
        <f>股权价值增加表!Y31/资产资本表!Y70</f>
        <v>#DIV/0!</v>
      </c>
      <c r="Z8" s="63" t="e">
        <f>股权价值增加表!Z31/资产资本表!Z70</f>
        <v>#DIV/0!</v>
      </c>
      <c r="AA8" s="63" t="e">
        <f>股权价值增加表!AA31/资产资本表!AA70</f>
        <v>#DIV/0!</v>
      </c>
      <c r="AB8" s="63" t="e">
        <f>股权价值增加表!AB31/资产资本表!AB70</f>
        <v>#DIV/0!</v>
      </c>
      <c r="AC8" s="63" t="e">
        <f>股权价值增加表!AC31/资产资本表!AC70</f>
        <v>#DIV/0!</v>
      </c>
      <c r="AD8" s="63" t="e">
        <f>股权价值增加表!AD31/资产资本表!AD70</f>
        <v>#DIV/0!</v>
      </c>
      <c r="AE8" s="63" t="e">
        <f>股权价值增加表!AE31/资产资本表!AE70</f>
        <v>#DIV/0!</v>
      </c>
      <c r="AF8" s="63" t="e">
        <f>股权价值增加表!AF31/资产资本表!AF70</f>
        <v>#DIV/0!</v>
      </c>
      <c r="AG8" s="63" t="e">
        <f>股权价值增加表!AG31/资产资本表!AG70</f>
        <v>#DIV/0!</v>
      </c>
      <c r="AH8" s="63" t="e">
        <f>股权价值增加表!AH31/资产资本表!AH70</f>
        <v>#DIV/0!</v>
      </c>
      <c r="AI8" s="63" t="e">
        <f>股权价值增加表!AI31/资产资本表!AI70</f>
        <v>#DIV/0!</v>
      </c>
      <c r="AJ8" s="63" t="e">
        <f>股权价值增加表!AJ31/资产资本表!AJ70</f>
        <v>#DIV/0!</v>
      </c>
      <c r="AK8" s="63" t="e">
        <f>股权价值增加表!AK31/资产资本表!AK70</f>
        <v>#DIV/0!</v>
      </c>
      <c r="AL8" s="63" t="e">
        <f>股权价值增加表!AL31/资产资本表!AL70</f>
        <v>#DIV/0!</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65" customFormat="1">
      <c r="A9" s="165" t="s">
        <v>437</v>
      </c>
      <c r="E9" s="165">
        <f>股权价值增加表!E38/股权价值增加表!E31</f>
        <v>0.99731163393699118</v>
      </c>
      <c r="F9" s="165">
        <f>股权价值增加表!F38/股权价值增加表!F31</f>
        <v>1.3892088479348705</v>
      </c>
      <c r="G9" s="165">
        <f>股权价值增加表!G38/股权价值增加表!G31</f>
        <v>1.3140980902476704</v>
      </c>
      <c r="H9" s="165">
        <f>股权价值增加表!H38/股权价值增加表!H31</f>
        <v>-2.914128209194117</v>
      </c>
      <c r="I9" s="165">
        <f>股权价值增加表!I38/股权价值增加表!I31</f>
        <v>0.99969880174004344</v>
      </c>
      <c r="J9" s="165">
        <f>股权价值增加表!J38/股权价值增加表!J31</f>
        <v>1.0288457418057453</v>
      </c>
      <c r="K9" s="165">
        <f>股权价值增加表!K38/股权价值增加表!K31</f>
        <v>1.0285720488632502</v>
      </c>
      <c r="L9" s="165">
        <f>股权价值增加表!L38/股权价值增加表!L31</f>
        <v>1.1140446869580904</v>
      </c>
      <c r="M9" s="165">
        <f>股权价值增加表!M38/股权价值增加表!M31</f>
        <v>0.99749212660679698</v>
      </c>
      <c r="N9" s="165">
        <f>股权价值增加表!N38/股权价值增加表!N31</f>
        <v>1.0416873735618521</v>
      </c>
      <c r="O9" s="165">
        <f>股权价值增加表!O38/股权价值增加表!O31</f>
        <v>1.0179600106817028</v>
      </c>
      <c r="P9" s="165">
        <f>股权价值增加表!P38/股权价值增加表!P31</f>
        <v>1.0111796878329995</v>
      </c>
      <c r="Q9" s="165">
        <f>股权价值增加表!Q38/股权价值增加表!Q31</f>
        <v>1.0054985447514171</v>
      </c>
      <c r="R9" s="165">
        <f>股权价值增加表!R38/股权价值增加表!R31</f>
        <v>1.0034891934527981</v>
      </c>
      <c r="S9" s="165" t="e">
        <f>股权价值增加表!S38/股权价值增加表!S31</f>
        <v>#DIV/0!</v>
      </c>
      <c r="T9" s="165">
        <f>股权价值增加表!T38/股权价值增加表!T31</f>
        <v>2.0956072862647894</v>
      </c>
      <c r="U9" s="165">
        <f>股权价值增加表!U38/股权价值增加表!U31</f>
        <v>2.408443517702088</v>
      </c>
      <c r="V9" s="165">
        <f>股权价值增加表!V38/股权价值增加表!V31</f>
        <v>2.7509276259212725</v>
      </c>
      <c r="W9" s="165">
        <f>股权价值增加表!W38/股权价值增加表!W31</f>
        <v>3.0954169746717635</v>
      </c>
      <c r="X9" s="165">
        <f>股权价值增加表!X38/股权价值增加表!X31</f>
        <v>11.790485595557858</v>
      </c>
      <c r="Y9" s="165">
        <f>股权价值增加表!Y38/股权价值增加表!Y31</f>
        <v>12.948972451906775</v>
      </c>
      <c r="Z9" s="165" t="e">
        <f>股权价值增加表!Z38/股权价值增加表!Z31</f>
        <v>#DIV/0!</v>
      </c>
      <c r="AA9" s="165" t="e">
        <f>股权价值增加表!AA38/股权价值增加表!AA31</f>
        <v>#DIV/0!</v>
      </c>
      <c r="AB9" s="165" t="e">
        <f>股权价值增加表!AB38/股权价值增加表!AB31</f>
        <v>#DIV/0!</v>
      </c>
      <c r="AC9" s="165">
        <f>股权价值增加表!AC38/股权价值增加表!AC31</f>
        <v>0.38718120259154082</v>
      </c>
      <c r="AD9" s="165" t="e">
        <f>股权价值增加表!AD38/股权价值增加表!AD31</f>
        <v>#DIV/0!</v>
      </c>
      <c r="AE9" s="165" t="e">
        <f>股权价值增加表!AE38/股权价值增加表!AE31</f>
        <v>#DIV/0!</v>
      </c>
      <c r="AF9" s="165" t="e">
        <f>股权价值增加表!AF38/股权价值增加表!AF31</f>
        <v>#DIV/0!</v>
      </c>
      <c r="AG9" s="165">
        <f>股权价值增加表!AG38/股权价值增加表!AG31</f>
        <v>-23.834492827938007</v>
      </c>
      <c r="AH9" s="165" t="e">
        <f>股权价值增加表!AH38/股权价值增加表!AH31</f>
        <v>#DIV/0!</v>
      </c>
      <c r="AI9" s="165" t="e">
        <f>股权价值增加表!AI38/股权价值增加表!AI31</f>
        <v>#DIV/0!</v>
      </c>
      <c r="AJ9" s="165" t="e">
        <f>股权价值增加表!AJ38/股权价值增加表!AJ31</f>
        <v>#DIV/0!</v>
      </c>
      <c r="AK9" s="165">
        <f>股权价值增加表!AK38/股权价值增加表!AK31</f>
        <v>-4.6488881825336872</v>
      </c>
      <c r="AL9" s="165">
        <f>股权价值增加表!AL38/股权价值增加表!AL31</f>
        <v>-17.715721254845814</v>
      </c>
      <c r="AM9" s="165" t="e">
        <f>股权价值增加表!AM38/股权价值增加表!AM31</f>
        <v>#DIV/0!</v>
      </c>
      <c r="AN9" s="165">
        <f>股权价值增加表!AN38/股权价值增加表!AN31</f>
        <v>-8.8938728939302969</v>
      </c>
      <c r="AO9" s="165">
        <f>股权价值增加表!AO38/股权价值增加表!AO31</f>
        <v>-0.2966533302961844</v>
      </c>
      <c r="AP9" s="165" t="e">
        <f>股权价值增加表!AP38/股权价值增加表!AP31</f>
        <v>#DIV/0!</v>
      </c>
      <c r="AQ9" s="165" t="e">
        <f>股权价值增加表!AQ38/股权价值增加表!AQ31</f>
        <v>#DIV/0!</v>
      </c>
      <c r="AR9" s="165" t="e">
        <f>股权价值增加表!AR38/股权价值增加表!AR31</f>
        <v>#DIV/0!</v>
      </c>
      <c r="AS9" s="165" t="e">
        <f>股权价值增加表!AS38/股权价值增加表!AS31</f>
        <v>#DIV/0!</v>
      </c>
      <c r="AT9" s="165">
        <f>股权价值增加表!AT38/股权价值增加表!AT31</f>
        <v>8.1995451922325753</v>
      </c>
      <c r="AU9" s="165">
        <f>股权价值增加表!AU38/股权价值增加表!AU31</f>
        <v>3.5901201152697588</v>
      </c>
      <c r="AV9" s="165" t="e">
        <f>股权价值增加表!AV38/股权价值增加表!AV31</f>
        <v>#DIV/0!</v>
      </c>
      <c r="AW9" s="165">
        <f>股权价值增加表!AW38/股权价值增加表!AW31</f>
        <v>1.2136830066165387</v>
      </c>
      <c r="AX9" s="165">
        <f>股权价值增加表!AX38/股权价值增加表!AX31</f>
        <v>1.17108713788013</v>
      </c>
      <c r="AY9" s="165">
        <f>股权价值增加表!AY38/股权价值增加表!AY31</f>
        <v>1.2558469449465</v>
      </c>
      <c r="AZ9" s="165">
        <f>股权价值增加表!AZ38/股权价值增加表!AZ31</f>
        <v>1.5172804084842979</v>
      </c>
      <c r="BA9" s="165">
        <f>股权价值增加表!BA38/股权价值增加表!BA31</f>
        <v>0.84101522323099109</v>
      </c>
      <c r="BB9" s="165">
        <f>股权价值增加表!BB38/股权价值增加表!BB31</f>
        <v>0.98266738585029667</v>
      </c>
      <c r="BC9" s="165">
        <f>股权价值增加表!BC38/股权价值增加表!BC31</f>
        <v>0.53721508562915365</v>
      </c>
      <c r="BD9" s="165">
        <f>股权价值增加表!BD38/股权价值增加表!BD31</f>
        <v>1.2646114632183694</v>
      </c>
      <c r="BE9" s="165">
        <f>股权价值增加表!BE38/股权价值增加表!BE31</f>
        <v>1.1697628780958165</v>
      </c>
      <c r="BF9" s="165">
        <f>股权价值增加表!BF38/股权价值增加表!BF31</f>
        <v>1.1329970999606338</v>
      </c>
      <c r="BG9" s="165">
        <f>股权价值增加表!BG38/股权价值增加表!BG31</f>
        <v>1.0657631257332441</v>
      </c>
      <c r="BH9" s="165">
        <f>股权价值增加表!BH38/股权价值增加表!BH31</f>
        <v>1.1934183081699814</v>
      </c>
      <c r="BI9" s="165">
        <f>股权价值增加表!BI38/股权价值增加表!BI31</f>
        <v>0.93239375876556874</v>
      </c>
      <c r="BJ9" s="165">
        <f>股权价值增加表!BJ38/股权价值增加表!BJ31</f>
        <v>0.88394031744720369</v>
      </c>
      <c r="BK9" s="165">
        <f>股权价值增加表!BK38/股权价值增加表!BK31</f>
        <v>0.83934441206942911</v>
      </c>
      <c r="BL9" s="165">
        <f>股权价值增加表!BL38/股权价值增加表!BL31</f>
        <v>0.6964109970745368</v>
      </c>
      <c r="BM9" s="165">
        <f>股权价值增加表!BM38/股权价值增加表!BM31</f>
        <v>0.90865102033009715</v>
      </c>
      <c r="BN9" s="165">
        <f>股权价值增加表!BN38/股权价值增加表!BN31</f>
        <v>0.87805546990787986</v>
      </c>
      <c r="BO9" s="165">
        <f>股权价值增加表!BO38/股权价值增加表!BO31</f>
        <v>0.89787043461825633</v>
      </c>
      <c r="BP9" s="165">
        <f>股权价值增加表!BP38/股权价值增加表!BP31</f>
        <v>0.64573122475441636</v>
      </c>
      <c r="BQ9" s="165">
        <f>股权价值增加表!BQ38/股权价值增加表!BQ31</f>
        <v>0.8830843674664075</v>
      </c>
      <c r="BR9" s="165">
        <f>股权价值增加表!BR38/股权价值增加表!BR31</f>
        <v>0.9126209421137772</v>
      </c>
      <c r="BS9" s="165">
        <f>股权价值增加表!BS38/股权价值增加表!BS31</f>
        <v>0.96917120614172025</v>
      </c>
      <c r="BT9" s="165">
        <f>股权价值增加表!BT38/股权价值增加表!BT31</f>
        <v>1.0015755342387331</v>
      </c>
      <c r="BU9" s="165">
        <f>股权价值增加表!BU38/股权价值增加表!BU31</f>
        <v>1.155461047513072</v>
      </c>
      <c r="BV9" s="165">
        <f>股权价值增加表!BV38/股权价值增加表!BV31</f>
        <v>1.7005889990298568</v>
      </c>
      <c r="BW9" s="165">
        <f>股权价值增加表!BW38/股权价值增加表!BW31</f>
        <v>0.98044726391169423</v>
      </c>
      <c r="BX9" s="165">
        <f>股权价值增加表!BX38/股权价值增加表!BX31</f>
        <v>8.2490079874227398</v>
      </c>
      <c r="BY9" s="165">
        <f>股权价值增加表!BY38/股权价值增加表!BY31</f>
        <v>0.47499676649646466</v>
      </c>
      <c r="BZ9" s="165">
        <f>股权价值增加表!BZ38/股权价值增加表!BZ31</f>
        <v>1</v>
      </c>
      <c r="CA9" s="165">
        <f>股权价值增加表!CA38/股权价值增加表!CA31</f>
        <v>-8.4222826859939399</v>
      </c>
      <c r="CB9" s="165">
        <f>股权价值增加表!CB38/股权价值增加表!CB31</f>
        <v>1</v>
      </c>
      <c r="CC9" s="165">
        <f>股权价值增加表!CC38/股权价值增加表!CC31</f>
        <v>-1.2626486558086338</v>
      </c>
      <c r="CD9" s="165">
        <f>股权价值增加表!CD38/股权价值增加表!CD31</f>
        <v>1</v>
      </c>
      <c r="CE9" s="165">
        <f>股权价值增加表!CE38/股权价值增加表!CE31</f>
        <v>1</v>
      </c>
      <c r="CF9" s="165">
        <f>股权价值增加表!CF38/股权价值增加表!CF31</f>
        <v>1</v>
      </c>
      <c r="CG9" s="165" t="e">
        <f>股权价值增加表!CG38/股权价值增加表!CG31</f>
        <v>#DIV/0!</v>
      </c>
      <c r="CH9" s="165" t="e">
        <f>股权价值增加表!CH38/股权价值增加表!CH31</f>
        <v>#DIV/0!</v>
      </c>
      <c r="CI9" s="165" t="e">
        <f>股权价值增加表!CI38/股权价值增加表!CI31</f>
        <v>#DIV/0!</v>
      </c>
      <c r="CJ9" s="165" t="e">
        <f>股权价值增加表!CJ38/股权价值增加表!CJ31</f>
        <v>#DIV/0!</v>
      </c>
    </row>
    <row r="10" spans="1:89" s="61" customFormat="1">
      <c r="A10" s="151" t="s">
        <v>438</v>
      </c>
      <c r="E10" s="61">
        <f>资产资本表!E70/资产资本表!E107</f>
        <v>1</v>
      </c>
      <c r="F10" s="61">
        <f>资产资本表!F70/资产资本表!F107</f>
        <v>1</v>
      </c>
      <c r="G10" s="61">
        <f>资产资本表!G70/资产资本表!G107</f>
        <v>1</v>
      </c>
      <c r="H10" s="61">
        <f>资产资本表!H70/资产资本表!H107</f>
        <v>1</v>
      </c>
      <c r="I10" s="61">
        <f>资产资本表!I70/资产资本表!I107</f>
        <v>1</v>
      </c>
      <c r="J10" s="61">
        <f>资产资本表!J70/资产资本表!J107</f>
        <v>1.0000000000000002</v>
      </c>
      <c r="K10" s="61">
        <f>资产资本表!K70/资产资本表!K107</f>
        <v>1</v>
      </c>
      <c r="L10" s="61">
        <f>资产资本表!L70/资产资本表!L107</f>
        <v>1.0000000000000002</v>
      </c>
      <c r="M10" s="61">
        <f>资产资本表!M70/资产资本表!M107</f>
        <v>1</v>
      </c>
      <c r="N10" s="61">
        <f>资产资本表!N70/资产资本表!N107</f>
        <v>1</v>
      </c>
      <c r="O10" s="61">
        <f>资产资本表!O70/资产资本表!O107</f>
        <v>1.0000000000000002</v>
      </c>
      <c r="P10" s="61">
        <f>资产资本表!P70/资产资本表!P107</f>
        <v>1</v>
      </c>
      <c r="Q10" s="61" t="e">
        <f>资产资本表!Q70/资产资本表!Q107</f>
        <v>#DIV/0!</v>
      </c>
      <c r="R10" s="61">
        <f>资产资本表!R70/资产资本表!R107</f>
        <v>0</v>
      </c>
      <c r="S10" s="61">
        <f>资产资本表!S70/资产资本表!S107</f>
        <v>0</v>
      </c>
      <c r="T10" s="61">
        <f>资产资本表!T70/资产资本表!T107</f>
        <v>0</v>
      </c>
      <c r="U10" s="61">
        <f>资产资本表!U70/资产资本表!U107</f>
        <v>0</v>
      </c>
      <c r="V10" s="61">
        <f>资产资本表!V70/资产资本表!V107</f>
        <v>0</v>
      </c>
      <c r="W10" s="61">
        <f>资产资本表!W70/资产资本表!W107</f>
        <v>0</v>
      </c>
      <c r="X10" s="61">
        <f>资产资本表!X70/资产资本表!X107</f>
        <v>0</v>
      </c>
      <c r="Y10" s="61">
        <f>资产资本表!Y70/资产资本表!Y107</f>
        <v>0</v>
      </c>
      <c r="Z10" s="61">
        <f>资产资本表!Z70/资产资本表!Z107</f>
        <v>0</v>
      </c>
      <c r="AA10" s="61">
        <f>资产资本表!AA70/资产资本表!AA107</f>
        <v>0</v>
      </c>
      <c r="AB10" s="61">
        <f>资产资本表!AB70/资产资本表!AB107</f>
        <v>0</v>
      </c>
      <c r="AC10" s="61">
        <f>资产资本表!AC70/资产资本表!AC107</f>
        <v>0</v>
      </c>
      <c r="AD10" s="61">
        <f>资产资本表!AD70/资产资本表!AD107</f>
        <v>0</v>
      </c>
      <c r="AE10" s="61">
        <f>资产资本表!AE70/资产资本表!AE107</f>
        <v>0</v>
      </c>
      <c r="AF10" s="61">
        <f>资产资本表!AF70/资产资本表!AF107</f>
        <v>0</v>
      </c>
      <c r="AG10" s="61">
        <f>资产资本表!AG70/资产资本表!AG107</f>
        <v>0</v>
      </c>
      <c r="AH10" s="61">
        <f>资产资本表!AH70/资产资本表!AH107</f>
        <v>0</v>
      </c>
      <c r="AI10" s="61">
        <f>资产资本表!AI70/资产资本表!AI107</f>
        <v>0</v>
      </c>
      <c r="AJ10" s="61">
        <f>资产资本表!AJ70/资产资本表!AJ107</f>
        <v>0</v>
      </c>
      <c r="AK10" s="61">
        <f>资产资本表!AK70/资产资本表!AK107</f>
        <v>0</v>
      </c>
      <c r="AL10" s="61">
        <f>资产资本表!AL70/资产资本表!AL107</f>
        <v>0</v>
      </c>
      <c r="AM10" s="61" t="e">
        <f>资产资本表!AM70/资产资本表!AM107</f>
        <v>#DIV/0!</v>
      </c>
      <c r="AN10" s="61">
        <f>资产资本表!AN70/资产资本表!AN107</f>
        <v>0</v>
      </c>
      <c r="AO10" s="61">
        <f>资产资本表!AO70/资产资本表!AO107</f>
        <v>0</v>
      </c>
      <c r="AP10" s="61">
        <f>资产资本表!AP70/资产资本表!AP107</f>
        <v>0</v>
      </c>
      <c r="AQ10" s="61" t="e">
        <f>资产资本表!AQ70/资产资本表!AQ107</f>
        <v>#DIV/0!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c r="A11" s="20" t="s">
        <v>444</v>
      </c>
      <c r="E11" s="28">
        <f>E9*E10</f>
        <v>0.99731163393699118</v>
      </c>
      <c r="F11" s="28">
        <f t="shared" ref="F11:BQ11" si="2">F9*F10</f>
        <v>1.3892088479348705</v>
      </c>
      <c r="G11" s="28">
        <f t="shared" si="2"/>
        <v>1.3140980902476704</v>
      </c>
      <c r="H11" s="28">
        <f t="shared" si="2"/>
        <v>-2.914128209194117</v>
      </c>
      <c r="I11" s="28">
        <f t="shared" si="2"/>
        <v>0.99969880174004344</v>
      </c>
      <c r="J11" s="28">
        <f t="shared" si="2"/>
        <v>1.0288457418057455</v>
      </c>
      <c r="K11" s="28">
        <f t="shared" si="2"/>
        <v>1.0285720488632502</v>
      </c>
      <c r="L11" s="28">
        <f t="shared" si="2"/>
        <v>1.1140446869580907</v>
      </c>
      <c r="M11" s="28">
        <f t="shared" si="2"/>
        <v>0.99749212660679698</v>
      </c>
      <c r="N11" s="28">
        <f t="shared" si="2"/>
        <v>1.0416873735618521</v>
      </c>
      <c r="O11" s="28">
        <f t="shared" si="2"/>
        <v>1.0179600106817031</v>
      </c>
      <c r="P11" s="28">
        <f t="shared" si="2"/>
        <v>1.0111796878329995</v>
      </c>
      <c r="Q11" s="28" t="e">
        <f t="shared" si="2"/>
        <v>#DIV/0!</v>
      </c>
      <c r="R11" s="28">
        <f t="shared" si="2"/>
        <v>0</v>
      </c>
      <c r="S11" s="28" t="e">
        <f t="shared" si="2"/>
        <v>#DIV/0!</v>
      </c>
      <c r="T11" s="28">
        <f t="shared" si="2"/>
        <v>0</v>
      </c>
      <c r="U11" s="28">
        <f t="shared" si="2"/>
        <v>0</v>
      </c>
      <c r="V11" s="28">
        <f t="shared" si="2"/>
        <v>0</v>
      </c>
      <c r="W11" s="28">
        <f t="shared" si="2"/>
        <v>0</v>
      </c>
      <c r="X11" s="28">
        <f t="shared" si="2"/>
        <v>0</v>
      </c>
      <c r="Y11" s="28">
        <f t="shared" si="2"/>
        <v>0</v>
      </c>
      <c r="Z11" s="28" t="e">
        <f t="shared" si="2"/>
        <v>#DIV/0!</v>
      </c>
      <c r="AA11" s="28" t="e">
        <f t="shared" si="2"/>
        <v>#DIV/0!</v>
      </c>
      <c r="AB11" s="28" t="e">
        <f t="shared" si="2"/>
        <v>#DIV/0!</v>
      </c>
      <c r="AC11" s="28">
        <f t="shared" si="2"/>
        <v>0</v>
      </c>
      <c r="AD11" s="28" t="e">
        <f t="shared" si="2"/>
        <v>#DIV/0!</v>
      </c>
      <c r="AE11" s="28" t="e">
        <f t="shared" si="2"/>
        <v>#DIV/0!</v>
      </c>
      <c r="AF11" s="28" t="e">
        <f t="shared" si="2"/>
        <v>#DIV/0!</v>
      </c>
      <c r="AG11" s="28">
        <f t="shared" si="2"/>
        <v>0</v>
      </c>
      <c r="AH11" s="28" t="e">
        <f t="shared" si="2"/>
        <v>#DIV/0!</v>
      </c>
      <c r="AI11" s="28" t="e">
        <f t="shared" si="2"/>
        <v>#DIV/0!</v>
      </c>
      <c r="AJ11" s="28" t="e">
        <f t="shared" si="2"/>
        <v>#DIV/0!</v>
      </c>
      <c r="AK11" s="28">
        <f t="shared" si="2"/>
        <v>0</v>
      </c>
      <c r="AL11" s="28">
        <f t="shared" si="2"/>
        <v>0</v>
      </c>
      <c r="AM11" s="28" t="e">
        <f t="shared" si="2"/>
        <v>#DIV/0!</v>
      </c>
      <c r="AN11" s="28">
        <f t="shared" si="2"/>
        <v>0</v>
      </c>
      <c r="AO11" s="28">
        <f t="shared" si="2"/>
        <v>0</v>
      </c>
      <c r="AP11" s="28" t="e">
        <f t="shared" si="2"/>
        <v>#DIV/0!</v>
      </c>
      <c r="AQ11" s="28" t="e">
        <f t="shared" si="2"/>
        <v>#DIV/0!</v>
      </c>
      <c r="AR11" s="28" t="e">
        <f t="shared" si="2"/>
        <v>#DIV/0!</v>
      </c>
      <c r="AS11" s="28" t="e">
        <f t="shared" si="2"/>
        <v>#DIV/0!</v>
      </c>
      <c r="AT11" s="28">
        <f t="shared" si="2"/>
        <v>0</v>
      </c>
      <c r="AU11" s="28">
        <f t="shared" si="2"/>
        <v>0</v>
      </c>
      <c r="AV11" s="28" t="e">
        <f t="shared" si="2"/>
        <v>#DIV/0!</v>
      </c>
      <c r="AW11" s="28">
        <f t="shared" si="2"/>
        <v>0</v>
      </c>
      <c r="AX11" s="28">
        <f t="shared" si="2"/>
        <v>0</v>
      </c>
      <c r="AY11" s="28">
        <f t="shared" si="2"/>
        <v>0</v>
      </c>
      <c r="AZ11" s="28">
        <f t="shared" si="2"/>
        <v>0</v>
      </c>
      <c r="BA11" s="28">
        <f t="shared" si="2"/>
        <v>0</v>
      </c>
      <c r="BB11" s="28">
        <f t="shared" si="2"/>
        <v>0</v>
      </c>
      <c r="BC11" s="28">
        <f t="shared" si="2"/>
        <v>0</v>
      </c>
      <c r="BD11" s="28">
        <f t="shared" si="2"/>
        <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65" customFormat="1">
      <c r="A12" s="165" t="s">
        <v>439</v>
      </c>
      <c r="E12" s="165">
        <f>E2/股权价值增加表!E38</f>
        <v>0.87842443531925551</v>
      </c>
      <c r="F12" s="165">
        <f>F2/股权价值增加表!F38</f>
        <v>0.93104300793514916</v>
      </c>
      <c r="G12" s="165">
        <f>G2/股权价值增加表!G38</f>
        <v>0.93469042072538466</v>
      </c>
      <c r="H12" s="165">
        <f>H2/股权价值增加表!H38</f>
        <v>1.0081842801386325</v>
      </c>
      <c r="I12" s="165">
        <f>I2/股权价值增加表!I38</f>
        <v>0.94518453650787315</v>
      </c>
      <c r="J12" s="165">
        <f>J2/股权价值增加表!J38</f>
        <v>0.98080260976695999</v>
      </c>
      <c r="K12" s="165">
        <f>K2/股权价值增加表!K38</f>
        <v>0.98777651344658002</v>
      </c>
      <c r="L12" s="165">
        <f>L2/股权价值增加表!L38</f>
        <v>0.95676139198455734</v>
      </c>
      <c r="M12" s="165">
        <f>M2/股权价值增加表!M38</f>
        <v>0.89062393829129749</v>
      </c>
      <c r="N12" s="165">
        <f>N2/股权价值增加表!N38</f>
        <v>0.88602833893688759</v>
      </c>
      <c r="O12" s="165">
        <f>O2/股权价值增加表!O38</f>
        <v>0.87609617414415153</v>
      </c>
      <c r="P12" s="165">
        <f>P2/股权价值增加表!P38</f>
        <v>0.88274136079073062</v>
      </c>
      <c r="Q12" s="165">
        <f>Q2/股权价值增加表!Q38</f>
        <v>0.87838658421077509</v>
      </c>
      <c r="R12" s="165">
        <f>R2/股权价值增加表!R38</f>
        <v>0.87369383527833888</v>
      </c>
      <c r="S12" s="165" t="e">
        <f>S2/股权价值增加表!S38</f>
        <v>#DIV/0!</v>
      </c>
      <c r="T12" s="165">
        <f>T2/股权价值增加表!T38</f>
        <v>-2.0111369162890491</v>
      </c>
      <c r="U12" s="165">
        <f>U2/股权价值增加表!U38</f>
        <v>-3.2741579921680088</v>
      </c>
      <c r="V12" s="165">
        <f>V2/股权价值增加表!V38</f>
        <v>-3.434383586479361</v>
      </c>
      <c r="W12" s="165">
        <f>W2/股权价值增加表!W38</f>
        <v>-2.6175930956148687</v>
      </c>
      <c r="X12" s="165">
        <f>X2/股权价值增加表!X38</f>
        <v>-2.4962817499096026</v>
      </c>
      <c r="Y12" s="165">
        <f>Y2/股权价值增加表!Y38</f>
        <v>-4.9505360164341328</v>
      </c>
      <c r="Z12" s="165">
        <f>Z2/股权价值增加表!Z38</f>
        <v>-6.1984811127791444</v>
      </c>
      <c r="AA12" s="165">
        <f>AA2/股权价值增加表!AA38</f>
        <v>-5.9089539937726885</v>
      </c>
      <c r="AB12" s="165">
        <f>AB2/股权价值增加表!AB38</f>
        <v>-3.2836003300069305</v>
      </c>
      <c r="AC12" s="165">
        <f>AC2/股权价值增加表!AC38</f>
        <v>-4.8589751673245063</v>
      </c>
      <c r="AD12" s="165">
        <f>AD2/股权价值增加表!AD38</f>
        <v>-6.2188317975527942</v>
      </c>
      <c r="AE12" s="165">
        <f>AE2/股权价值增加表!AE38</f>
        <v>-5.3343200437197824</v>
      </c>
      <c r="AF12" s="165">
        <f>AF2/股权价值增加表!AF38</f>
        <v>-5.9862961125492333</v>
      </c>
      <c r="AG12" s="165">
        <f>AG2/股权价值增加表!AG38</f>
        <v>3.2809297856753128</v>
      </c>
      <c r="AH12" s="165">
        <f>AH2/股权价值增加表!AH38</f>
        <v>3.6131676061667921</v>
      </c>
      <c r="AI12" s="165">
        <f>AI2/股权价值增加表!AI38</f>
        <v>2.957926935666102</v>
      </c>
      <c r="AJ12" s="165">
        <f>AJ2/股权价值增加表!AJ38</f>
        <v>1.5422570857692757</v>
      </c>
      <c r="AK12" s="165">
        <f>AK2/股权价值增加表!AK38</f>
        <v>2.6986158554592818</v>
      </c>
      <c r="AL12" s="165">
        <f>AL2/股权价值增加表!AL38</f>
        <v>3.034211341637651</v>
      </c>
      <c r="AM12" s="165">
        <f>AM2/股权价值增加表!AM38</f>
        <v>2.8750436812881519</v>
      </c>
      <c r="AN12" s="165">
        <f>AN2/股权价值增加表!AN38</f>
        <v>2.2250008054354367</v>
      </c>
      <c r="AO12" s="165">
        <f>AO2/股权价值增加表!AO38</f>
        <v>1</v>
      </c>
      <c r="AP12" s="165">
        <f>AP2/股权价值增加表!AP38</f>
        <v>27.921411546557952</v>
      </c>
      <c r="AQ12" s="165">
        <f>AQ2/股权价值增加表!AQ38</f>
        <v>90.871691374119806</v>
      </c>
      <c r="AR12" s="165">
        <f>AR2/股权价值增加表!AR38</f>
        <v>-73.067398871895691</v>
      </c>
      <c r="AS12" s="165" t="e">
        <f>AS2/股权价值增加表!AS38</f>
        <v>#DIV/0!</v>
      </c>
      <c r="AT12" s="165">
        <f>AT2/股权价值增加表!AT38</f>
        <v>-4.133296837815446</v>
      </c>
      <c r="AU12" s="165">
        <f>AU2/股权价值增加表!AU38</f>
        <v>-6.2924414182151729</v>
      </c>
      <c r="AV12" s="165">
        <f>AV2/股权价值增加表!AV38</f>
        <v>-3.7146615153439262</v>
      </c>
      <c r="AW12" s="165">
        <f>AW2/股权价值增加表!AW38</f>
        <v>0.1281991249615852</v>
      </c>
      <c r="AX12" s="165">
        <f>AX2/股权价值增加表!AX38</f>
        <v>0.25552943209970863</v>
      </c>
      <c r="AY12" s="165">
        <f>AY2/股权价值增加表!AY38</f>
        <v>-4.5165886770724042E-2</v>
      </c>
      <c r="AZ12" s="165">
        <f>AZ2/股权价值增加表!AZ38</f>
        <v>-1.0551845510368489</v>
      </c>
      <c r="BA12" s="165">
        <f>BA2/股权价值增加表!BA38</f>
        <v>3.4638497240987842</v>
      </c>
      <c r="BB12" s="165">
        <f>BB2/股权价值增加表!BB38</f>
        <v>3.0175241262081895</v>
      </c>
      <c r="BC12" s="165">
        <f>BC2/股权价值增加表!BC38</f>
        <v>29.219198084406898</v>
      </c>
      <c r="BD12" s="165">
        <f>BD2/股权价值增加表!BD38</f>
        <v>-0.66859257824752694</v>
      </c>
      <c r="BE12" s="165">
        <f>BE2/股权价值增加表!BE38</f>
        <v>-0.52865828973609919</v>
      </c>
      <c r="BF12" s="165">
        <f>BF2/股权价值增加表!BF38</f>
        <v>-0.54089875870151938</v>
      </c>
      <c r="BG12" s="165">
        <f>BG2/股权价值增加表!BG38</f>
        <v>-0.38205462511481275</v>
      </c>
      <c r="BH12" s="165">
        <f>BH2/股权价值增加表!BH38</f>
        <v>-1.1220982625406397</v>
      </c>
      <c r="BI12" s="165">
        <f>BI2/股权价值增加表!BI38</f>
        <v>-0.29301994990763941</v>
      </c>
      <c r="BJ12" s="165">
        <f>BJ2/股权价值增加表!BJ38</f>
        <v>2.8813270744965522E-2</v>
      </c>
      <c r="BK12" s="165">
        <f>BK2/股权价值增加表!BK38</f>
        <v>0.17237500756568541</v>
      </c>
      <c r="BL12" s="165">
        <f>BL2/股权价值增加表!BL38</f>
        <v>-0.90970606211028981</v>
      </c>
      <c r="BM12" s="165">
        <f>BM2/股权价值增加表!BM38</f>
        <v>-0.96218756176366538</v>
      </c>
      <c r="BN12" s="165">
        <f>BN2/股权价值增加表!BN38</f>
        <v>-0.65374054993431974</v>
      </c>
      <c r="BO12" s="165">
        <f>BO2/股权价值增加表!BO38</f>
        <v>-0.50335098445535309</v>
      </c>
      <c r="BP12" s="165">
        <f>BP2/股权价值增加表!BP38</f>
        <v>-0.66609923408099037</v>
      </c>
      <c r="BQ12" s="165">
        <f>BQ2/股权价值增加表!BQ38</f>
        <v>-1.7271567271639192</v>
      </c>
      <c r="BR12" s="165">
        <f>BR2/股权价值增加表!BR38</f>
        <v>-0.33203395096035015</v>
      </c>
      <c r="BS12" s="165">
        <f>BS2/股权价值增加表!BS38</f>
        <v>6.0007400717286184E-2</v>
      </c>
      <c r="BT12" s="165">
        <f>BT2/股权价值增加表!BT38</f>
        <v>0.15022707175783542</v>
      </c>
      <c r="BU12" s="165">
        <f>BU2/股权价值增加表!BU38</f>
        <v>-0.99616523232812748</v>
      </c>
      <c r="BV12" s="165">
        <f>BV2/股权价值增加表!BV38</f>
        <v>3.7244503664361717</v>
      </c>
      <c r="BW12" s="165">
        <f>BW2/股权价值增加表!BW38</f>
        <v>0.93578276968567697</v>
      </c>
      <c r="BX12" s="165">
        <f>BX2/股权价值增加表!BX38</f>
        <v>1</v>
      </c>
      <c r="BY12" s="165">
        <f>BY2/股权价值增加表!BY38</f>
        <v>0.60507835898872442</v>
      </c>
      <c r="BZ12" s="165">
        <f>BZ2/股权价值增加表!BZ38</f>
        <v>0.22637357142857142</v>
      </c>
      <c r="CA12" s="165">
        <f>CA2/股权价值增加表!CA38</f>
        <v>1.0403277752162126</v>
      </c>
      <c r="CB12" s="165">
        <f>CB2/股权价值增加表!CB38</f>
        <v>-2.1966168493593825</v>
      </c>
      <c r="CC12" s="165">
        <f>CC2/股权价值增加表!CC38</f>
        <v>3.1089259931778246</v>
      </c>
      <c r="CD12" s="165">
        <f>CD2/股权价值增加表!CD38</f>
        <v>-2.4075993091537131</v>
      </c>
      <c r="CE12" s="165">
        <f>CE2/股权价值增加表!CE38</f>
        <v>-2.5981368870487773</v>
      </c>
      <c r="CF12" s="165">
        <f>CF2/股权价值增加表!CF38</f>
        <v>-6.859739633359264</v>
      </c>
      <c r="CG12" s="165" t="e">
        <f>CG2/股权价值增加表!CG38</f>
        <v>#DIV/0!</v>
      </c>
      <c r="CH12" s="165" t="e">
        <f>CH2/股权价值增加表!CH38</f>
        <v>#DIV/0!</v>
      </c>
      <c r="CI12" s="165" t="e">
        <f>CI2/股权价值增加表!CI38</f>
        <v>#DIV/0!</v>
      </c>
      <c r="CJ12" s="165" t="e">
        <f>CJ2/股权价值增加表!CJ38</f>
        <v>#DIV/0!</v>
      </c>
    </row>
    <row r="13" spans="1:89" s="63" customFormat="1">
      <c r="A13" s="17" t="s">
        <v>440</v>
      </c>
      <c r="E13" s="63">
        <f>1-E2/股权价值增加表!E38</f>
        <v>0.12157556468074449</v>
      </c>
      <c r="F13" s="63">
        <f>1-F2/股权价值增加表!F38</f>
        <v>6.8956992064850842E-2</v>
      </c>
      <c r="G13" s="63">
        <f>1-G2/股权价值增加表!G38</f>
        <v>6.5309579274615337E-2</v>
      </c>
      <c r="H13" s="63">
        <f>1-H2/股权价值增加表!H38</f>
        <v>-8.1842801386324826E-3</v>
      </c>
      <c r="I13" s="63">
        <f>1-I2/股权价值增加表!I38</f>
        <v>5.4815463492126848E-2</v>
      </c>
      <c r="J13" s="63">
        <f>1-J2/股权价值增加表!J38</f>
        <v>1.9197390233040013E-2</v>
      </c>
      <c r="K13" s="63">
        <f>1-K2/股权价值增加表!K38</f>
        <v>1.2223486553419982E-2</v>
      </c>
      <c r="L13" s="63">
        <f>1-L2/股权价值增加表!L38</f>
        <v>4.3238608015442659E-2</v>
      </c>
      <c r="M13" s="63">
        <f>1-M2/股权价值增加表!M38</f>
        <v>0.10937606170870251</v>
      </c>
      <c r="N13" s="63">
        <f>1-N2/股权价值增加表!N38</f>
        <v>0.11397166106311241</v>
      </c>
      <c r="O13" s="63">
        <f>1-O2/股权价值增加表!O38</f>
        <v>0.12390382585584847</v>
      </c>
      <c r="P13" s="63">
        <f>1-P2/股权价值增加表!P38</f>
        <v>0.11725863920926938</v>
      </c>
      <c r="Q13" s="63">
        <f>1-Q2/股权价值增加表!Q38</f>
        <v>0.12161341578922491</v>
      </c>
      <c r="R13" s="63">
        <f>1-R2/股权价值增加表!R38</f>
        <v>0.12630616472166112</v>
      </c>
      <c r="S13" s="63" t="e">
        <f>1-S2/股权价值增加表!S38</f>
        <v>#DIV/0!</v>
      </c>
      <c r="T13" s="63">
        <f>1-T2/股权价值增加表!T38</f>
        <v>3.0111369162890491</v>
      </c>
      <c r="U13" s="63">
        <f>1-U2/股权价值增加表!U38</f>
        <v>4.2741579921680088</v>
      </c>
      <c r="V13" s="63">
        <f>1-V2/股权价值增加表!V38</f>
        <v>4.4343835864793615</v>
      </c>
      <c r="W13" s="63">
        <f>1-W2/股权价值增加表!W38</f>
        <v>3.6175930956148687</v>
      </c>
      <c r="X13" s="63">
        <f>1-X2/股权价值增加表!X38</f>
        <v>3.4962817499096026</v>
      </c>
      <c r="Y13" s="63">
        <f>1-Y2/股权价值增加表!Y38</f>
        <v>5.9505360164341328</v>
      </c>
      <c r="Z13" s="63">
        <f>1-Z2/股权价值增加表!Z38</f>
        <v>7.1984811127791444</v>
      </c>
      <c r="AA13" s="63">
        <f>1-AA2/股权价值增加表!AA38</f>
        <v>6.9089539937726885</v>
      </c>
      <c r="AB13" s="63">
        <f>1-AB2/股权价值增加表!AB38</f>
        <v>4.2836003300069301</v>
      </c>
      <c r="AC13" s="63">
        <f>1-AC2/股权价值增加表!AC38</f>
        <v>5.8589751673245063</v>
      </c>
      <c r="AD13" s="63">
        <f>1-AD2/股权价值增加表!AD38</f>
        <v>7.2188317975527942</v>
      </c>
      <c r="AE13" s="63">
        <f>1-AE2/股权价值增加表!AE38</f>
        <v>6.3343200437197824</v>
      </c>
      <c r="AF13" s="63">
        <f>1-AF2/股权价值增加表!AF38</f>
        <v>6.9862961125492333</v>
      </c>
      <c r="AG13" s="63">
        <f>1-AG2/股权价值增加表!AG38</f>
        <v>-2.2809297856753128</v>
      </c>
      <c r="AH13" s="63">
        <f>1-AH2/股权价值增加表!AH38</f>
        <v>-2.6131676061667921</v>
      </c>
      <c r="AI13" s="63">
        <f>1-AI2/股权价值增加表!AI38</f>
        <v>-1.957926935666102</v>
      </c>
      <c r="AJ13" s="63">
        <f>1-AJ2/股权价值增加表!AJ38</f>
        <v>-0.54225708576927567</v>
      </c>
      <c r="AK13" s="63">
        <f>1-AK2/股权价值增加表!AK38</f>
        <v>-1.6986158554592818</v>
      </c>
      <c r="AL13" s="63">
        <f>1-AL2/股权价值增加表!AL38</f>
        <v>-2.034211341637651</v>
      </c>
      <c r="AM13" s="63">
        <f>1-AM2/股权价值增加表!AM38</f>
        <v>-1.8750436812881519</v>
      </c>
      <c r="AN13" s="63">
        <f>1-AN2/股权价值增加表!AN38</f>
        <v>-1.2250008054354367</v>
      </c>
      <c r="AO13" s="63">
        <f>1-AO2/股权价值增加表!AO38</f>
        <v>0</v>
      </c>
      <c r="AP13" s="63">
        <f>1-AP2/股权价值增加表!AP38</f>
        <v>-26.921411546557952</v>
      </c>
      <c r="AQ13" s="63">
        <f>1-AQ2/股权价值增加表!AQ38</f>
        <v>-89.871691374119806</v>
      </c>
      <c r="AR13" s="63">
        <f>1-AR2/股权价值增加表!AR38</f>
        <v>74.067398871895691</v>
      </c>
      <c r="AS13" s="63" t="e">
        <f>1-AS2/股权价值增加表!AS38</f>
        <v>#DIV/0!</v>
      </c>
      <c r="AT13" s="63">
        <f>1-AT2/股权价值增加表!AT38</f>
        <v>5.133296837815446</v>
      </c>
      <c r="AU13" s="63">
        <f>1-AU2/股权价值增加表!AU38</f>
        <v>7.2924414182151729</v>
      </c>
      <c r="AV13" s="63">
        <f>1-AV2/股权价值增加表!AV38</f>
        <v>4.7146615153439262</v>
      </c>
      <c r="AW13" s="63">
        <f>1-AW2/股权价值增加表!AW38</f>
        <v>0.87180087503841475</v>
      </c>
      <c r="AX13" s="63">
        <f>1-AX2/股权价值增加表!AX38</f>
        <v>0.74447056790029142</v>
      </c>
      <c r="AY13" s="63">
        <f>1-AY2/股权价值增加表!AY38</f>
        <v>1.0451658867707241</v>
      </c>
      <c r="AZ13" s="63">
        <f>1-AZ2/股权价值增加表!AZ38</f>
        <v>2.0551845510368487</v>
      </c>
      <c r="BA13" s="63">
        <f>1-BA2/股权价值增加表!BA38</f>
        <v>-2.4638497240987842</v>
      </c>
      <c r="BB13" s="63">
        <f>1-BB2/股权价值增加表!BB38</f>
        <v>-2.0175241262081895</v>
      </c>
      <c r="BC13" s="63">
        <f>1-BC2/股权价值增加表!BC38</f>
        <v>-28.219198084406898</v>
      </c>
      <c r="BD13" s="63">
        <f>1-BD2/股权价值增加表!BD38</f>
        <v>1.668592578247527</v>
      </c>
      <c r="BE13" s="63">
        <f>1-BE2/股权价值增加表!BE38</f>
        <v>1.5286582897360992</v>
      </c>
      <c r="BF13" s="63">
        <f>1-BF2/股权价值增加表!BF38</f>
        <v>1.5408987587015193</v>
      </c>
      <c r="BG13" s="63">
        <f>1-BG2/股权价值增加表!BG38</f>
        <v>1.3820546251148127</v>
      </c>
      <c r="BH13" s="63">
        <f>1-BH2/股权价值增加表!BH38</f>
        <v>2.1220982625406397</v>
      </c>
      <c r="BI13" s="63">
        <f>1-BI2/股权价值增加表!BI38</f>
        <v>1.2930199499076394</v>
      </c>
      <c r="BJ13" s="63">
        <f>1-BJ2/股权价值增加表!BJ38</f>
        <v>0.97118672925503446</v>
      </c>
      <c r="BK13" s="63">
        <f>1-BK2/股权价值增加表!BK38</f>
        <v>0.82762499243431464</v>
      </c>
      <c r="BL13" s="63">
        <f>1-BL2/股权价值增加表!BL38</f>
        <v>1.9097060621102897</v>
      </c>
      <c r="BM13" s="63">
        <f>1-BM2/股权价值增加表!BM38</f>
        <v>1.9621875617636655</v>
      </c>
      <c r="BN13" s="63">
        <f>1-BN2/股权价值增加表!BN38</f>
        <v>1.6537405499343198</v>
      </c>
      <c r="BO13" s="63">
        <f>1-BO2/股权价值增加表!BO38</f>
        <v>1.503350984455353</v>
      </c>
      <c r="BP13" s="63">
        <f>1-BP2/股权价值增加表!BP38</f>
        <v>1.6660992340809904</v>
      </c>
      <c r="BQ13" s="63">
        <f>1-BQ2/股权价值增加表!BQ38</f>
        <v>2.7271567271639192</v>
      </c>
      <c r="BR13" s="63">
        <f>1-BR2/股权价值增加表!BR38</f>
        <v>1.33203395096035</v>
      </c>
      <c r="BS13" s="63">
        <f>1-BS2/股权价值增加表!BS38</f>
        <v>0.93999259928271384</v>
      </c>
      <c r="BT13" s="63">
        <f>1-BT2/股权价值增加表!BT38</f>
        <v>0.84977292824216455</v>
      </c>
      <c r="BU13" s="63">
        <f>1-BU2/股权价值增加表!BU38</f>
        <v>1.9961652323281274</v>
      </c>
      <c r="BV13" s="63">
        <f>1-BV2/股权价值增加表!BV38</f>
        <v>-2.7244503664361717</v>
      </c>
      <c r="BW13" s="63">
        <f>1-BW2/股权价值增加表!BW38</f>
        <v>6.4217230314323026E-2</v>
      </c>
      <c r="BX13" s="63">
        <f>1-BX2/股权价值增加表!BX38</f>
        <v>0</v>
      </c>
      <c r="BY13" s="63">
        <f>1-BY2/股权价值增加表!BY38</f>
        <v>0.39492164101127558</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c r="A14" s="150" t="s">
        <v>441</v>
      </c>
      <c r="E14" s="59">
        <f>E6*E7*E9*E10*E12</f>
        <v>8.8454891721613166E-2</v>
      </c>
      <c r="F14" s="59">
        <f t="shared" ref="F14:BQ14" si="4">F6*F7*F9*F10*F12</f>
        <v>4.9583848533691965E-2</v>
      </c>
      <c r="G14" s="59">
        <f t="shared" si="4"/>
        <v>3.330956839635632E-2</v>
      </c>
      <c r="H14" s="59">
        <f t="shared" si="4"/>
        <v>3.0148382576058166E-3</v>
      </c>
      <c r="I14" s="59">
        <f t="shared" si="4"/>
        <v>0.10600994959722132</v>
      </c>
      <c r="J14" s="59">
        <f t="shared" si="4"/>
        <v>0.14255823658382394</v>
      </c>
      <c r="K14" s="59">
        <f t="shared" si="4"/>
        <v>0.10999838392858742</v>
      </c>
      <c r="L14" s="59">
        <f t="shared" si="4"/>
        <v>2.4895489387066254E-2</v>
      </c>
      <c r="M14" s="59">
        <f t="shared" si="4"/>
        <v>0.2710375625092577</v>
      </c>
      <c r="N14" s="59">
        <f t="shared" si="4"/>
        <v>0.24317304355518557</v>
      </c>
      <c r="O14" s="59">
        <f t="shared" si="4"/>
        <v>0.6823439838060843</v>
      </c>
      <c r="P14" s="59">
        <f t="shared" si="4"/>
        <v>1.2887256599235302</v>
      </c>
      <c r="Q14" s="59" t="e">
        <f t="shared" si="4"/>
        <v>#DIV/0!</v>
      </c>
      <c r="R14" s="59" t="e">
        <f t="shared" si="4"/>
        <v>#DIV/0!</v>
      </c>
      <c r="S14" s="59" t="e">
        <f t="shared" si="4"/>
        <v>#DIV/0!</v>
      </c>
      <c r="T14" s="59" t="e">
        <f t="shared" si="4"/>
        <v>#DIV/0!</v>
      </c>
      <c r="U14" s="59" t="e">
        <f t="shared" si="4"/>
        <v>#DIV/0!</v>
      </c>
      <c r="V14" s="59" t="e">
        <f t="shared" si="4"/>
        <v>#DIV/0!</v>
      </c>
      <c r="W14" s="59" t="e">
        <f t="shared" si="4"/>
        <v>#DIV/0!</v>
      </c>
      <c r="X14" s="59" t="e">
        <f t="shared" si="4"/>
        <v>#DIV/0!</v>
      </c>
      <c r="Y14" s="59" t="e">
        <f t="shared" si="4"/>
        <v>#DIV/0!</v>
      </c>
      <c r="Z14" s="59" t="e">
        <f t="shared" si="4"/>
        <v>#DIV/0!</v>
      </c>
      <c r="AA14" s="59" t="e">
        <f t="shared" si="4"/>
        <v>#DIV/0!</v>
      </c>
      <c r="AB14" s="59" t="e">
        <f t="shared" si="4"/>
        <v>#DIV/0!</v>
      </c>
      <c r="AC14" s="59" t="e">
        <f t="shared" si="4"/>
        <v>#DIV/0!</v>
      </c>
      <c r="AD14" s="59" t="e">
        <f t="shared" si="4"/>
        <v>#DIV/0!</v>
      </c>
      <c r="AE14" s="59" t="e">
        <f t="shared" si="4"/>
        <v>#DIV/0!</v>
      </c>
      <c r="AF14" s="59" t="e">
        <f t="shared" si="4"/>
        <v>#DIV/0!</v>
      </c>
      <c r="AG14" s="59" t="e">
        <f t="shared" si="4"/>
        <v>#DIV/0!</v>
      </c>
      <c r="AH14" s="59" t="e">
        <f t="shared" si="4"/>
        <v>#DIV/0!</v>
      </c>
      <c r="AI14" s="59" t="e">
        <f t="shared" si="4"/>
        <v>#DIV/0!</v>
      </c>
      <c r="AJ14" s="59" t="e">
        <f t="shared" si="4"/>
        <v>#DIV/0!</v>
      </c>
      <c r="AK14" s="59" t="e">
        <f t="shared" si="4"/>
        <v>#DIV/0!</v>
      </c>
      <c r="AL14" s="59" t="e">
        <f t="shared" si="4"/>
        <v>#DIV/0!</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79.5" customHeight="1">
      <c r="A15" s="235" t="s">
        <v>654</v>
      </c>
      <c r="B15" s="236"/>
      <c r="C15" s="236"/>
      <c r="D15" s="236"/>
      <c r="E15" s="236"/>
      <c r="F15" s="236"/>
      <c r="G15" s="236"/>
      <c r="H15" s="236"/>
      <c r="I15" s="236"/>
      <c r="J15" s="236"/>
      <c r="K15" s="236"/>
      <c r="L15" s="236"/>
      <c r="M15" s="236"/>
      <c r="N15" s="236"/>
      <c r="O15" s="236"/>
      <c r="P15" s="236"/>
      <c r="Q15" s="236"/>
      <c r="R15" s="236"/>
      <c r="S15" s="236"/>
      <c r="T15" s="236"/>
      <c r="U15" s="236"/>
      <c r="V15" s="236"/>
      <c r="W15" s="236"/>
      <c r="X15" s="236"/>
      <c r="Y15" s="236"/>
      <c r="Z15" s="236"/>
      <c r="AA15" s="236"/>
      <c r="AB15" s="236"/>
      <c r="AC15" s="236"/>
      <c r="AD15" s="236"/>
      <c r="AE15" s="236"/>
      <c r="AF15" s="236"/>
      <c r="AG15" s="236"/>
    </row>
    <row r="17" spans="1:89" ht="14.25" thickBot="1"/>
    <row r="18" spans="1:89" s="115" customFormat="1">
      <c r="A18" s="68" t="s">
        <v>445</v>
      </c>
      <c r="B18" s="1">
        <v>43373</v>
      </c>
      <c r="C18" s="1">
        <v>43281</v>
      </c>
      <c r="D18" s="1">
        <v>43190</v>
      </c>
      <c r="E18" s="1">
        <v>43100</v>
      </c>
      <c r="F18" s="1">
        <v>43008</v>
      </c>
      <c r="G18" s="1">
        <v>42916</v>
      </c>
      <c r="H18" s="1">
        <v>42825</v>
      </c>
      <c r="I18" s="1">
        <v>42735</v>
      </c>
      <c r="J18" s="1">
        <v>42643</v>
      </c>
      <c r="K18" s="1">
        <v>42551</v>
      </c>
      <c r="L18" s="1">
        <v>42460</v>
      </c>
      <c r="M18" s="1">
        <v>42369</v>
      </c>
      <c r="N18" s="1">
        <v>42277</v>
      </c>
      <c r="O18" s="1">
        <v>42004</v>
      </c>
      <c r="P18" s="1">
        <v>41639</v>
      </c>
      <c r="Q18" s="1">
        <v>41274</v>
      </c>
      <c r="R18" s="1">
        <v>40908</v>
      </c>
      <c r="S18" s="1">
        <v>25569</v>
      </c>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9" customFormat="1">
      <c r="A19" s="166" t="s">
        <v>451</v>
      </c>
      <c r="B19" s="76">
        <v>43373</v>
      </c>
      <c r="C19" s="76">
        <v>43281</v>
      </c>
      <c r="D19" s="76">
        <v>43190</v>
      </c>
      <c r="E19" s="76">
        <f>股权价值增加表!E4</f>
        <v>192228852.33000001</v>
      </c>
      <c r="F19" s="76">
        <f>股权价值增加表!F4</f>
        <v>102176580.98999999</v>
      </c>
      <c r="G19" s="76">
        <f>股权价值增加表!G4</f>
        <v>77918188.989999995</v>
      </c>
      <c r="H19" s="76">
        <f>股权价值增加表!H4</f>
        <v>17058644.949999999</v>
      </c>
      <c r="I19" s="76">
        <f>股权价值增加表!I4</f>
        <v>165733894.71000001</v>
      </c>
      <c r="J19" s="76">
        <f>股权价值增加表!J4</f>
        <v>108502593.70999999</v>
      </c>
      <c r="K19" s="76">
        <f>股权价值增加表!K4</f>
        <v>80972644.640000001</v>
      </c>
      <c r="L19" s="76">
        <f>股权价值增加表!L4</f>
        <v>14971904.439999999</v>
      </c>
      <c r="M19" s="76">
        <f>股权价值增加表!M4</f>
        <v>148520212.02000001</v>
      </c>
      <c r="N19" s="76">
        <f>股权价值增加表!N4</f>
        <v>87957669.829999998</v>
      </c>
      <c r="O19" s="76">
        <f>股权价值增加表!O4</f>
        <v>179299034.00999999</v>
      </c>
      <c r="P19" s="76">
        <f>股权价值增加表!P4</f>
        <v>208788264.84</v>
      </c>
      <c r="Q19" s="76">
        <f>股权价值增加表!Q4</f>
        <v>193493383.34</v>
      </c>
      <c r="R19" s="76">
        <f>股权价值增加表!R4</f>
        <v>82207078.170000002</v>
      </c>
      <c r="S19" s="76">
        <f>股权价值增加表!S4</f>
        <v>0</v>
      </c>
      <c r="T19" s="76">
        <f>股权价值增加表!T4</f>
        <v>0</v>
      </c>
      <c r="U19" s="76">
        <f>股权价值增加表!U4</f>
        <v>0</v>
      </c>
      <c r="V19" s="76">
        <f>股权价值增加表!V4</f>
        <v>0</v>
      </c>
      <c r="W19" s="76">
        <f>股权价值增加表!W4</f>
        <v>0</v>
      </c>
      <c r="X19" s="76">
        <f>股权价值增加表!X4</f>
        <v>0</v>
      </c>
      <c r="Y19" s="76">
        <f>股权价值增加表!Y4</f>
        <v>0</v>
      </c>
      <c r="Z19" s="76">
        <f>股权价值增加表!Z4</f>
        <v>0</v>
      </c>
      <c r="AA19" s="76">
        <f>股权价值增加表!AA4</f>
        <v>0</v>
      </c>
      <c r="AB19" s="76">
        <f>股权价值增加表!AB4</f>
        <v>0</v>
      </c>
      <c r="AC19" s="76">
        <f>股权价值增加表!AC4</f>
        <v>0</v>
      </c>
      <c r="AD19" s="76">
        <f>股权价值增加表!AD4</f>
        <v>0</v>
      </c>
      <c r="AE19" s="76">
        <f>股权价值增加表!AE4</f>
        <v>0</v>
      </c>
      <c r="AF19" s="76">
        <f>股权价值增加表!AF4</f>
        <v>0</v>
      </c>
      <c r="AG19" s="76">
        <f>股权价值增加表!AG4</f>
        <v>0</v>
      </c>
      <c r="AH19" s="76">
        <f>股权价值增加表!AH4</f>
        <v>0</v>
      </c>
      <c r="AI19" s="76">
        <f>股权价值增加表!AI4</f>
        <v>0</v>
      </c>
      <c r="AJ19" s="76">
        <f>股权价值增加表!AJ4</f>
        <v>0</v>
      </c>
      <c r="AK19" s="76">
        <f>股权价值增加表!AK4</f>
        <v>0</v>
      </c>
      <c r="AL19" s="76">
        <f>股权价值增加表!AL4</f>
        <v>0</v>
      </c>
      <c r="AM19" s="76">
        <f>股权价值增加表!AM4</f>
        <v>0</v>
      </c>
      <c r="AN19" s="76">
        <f>股权价值增加表!AN4</f>
        <v>0</v>
      </c>
      <c r="AO19" s="76">
        <f>股权价值增加表!AO4</f>
        <v>0</v>
      </c>
      <c r="AP19" s="76">
        <f>股权价值增加表!AP4</f>
        <v>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c r="A20" s="166" t="s">
        <v>452</v>
      </c>
      <c r="E20" s="76">
        <f>股权价值增加表!E15</f>
        <v>55221126.170000009</v>
      </c>
      <c r="F20" s="76">
        <f>股权价值增加表!F15</f>
        <v>24639880.629999988</v>
      </c>
      <c r="G20" s="76">
        <f>股权价值增加表!G15</f>
        <v>16061535.899999993</v>
      </c>
      <c r="H20" s="76">
        <f>股权价值增加表!H15</f>
        <v>-615412.91999999993</v>
      </c>
      <c r="I20" s="76">
        <f>股权价值增加表!I15</f>
        <v>63838963.180000007</v>
      </c>
      <c r="J20" s="76">
        <f>股权价值增加表!J15</f>
        <v>39529590.109999992</v>
      </c>
      <c r="K20" s="76">
        <f>股权价值增加表!K15</f>
        <v>29185341.380000003</v>
      </c>
      <c r="L20" s="76">
        <f>股权价值增加表!L15</f>
        <v>5603276.8999999994</v>
      </c>
      <c r="M20" s="76">
        <f>股权价值增加表!M15</f>
        <v>62618959.270000011</v>
      </c>
      <c r="N20" s="76">
        <f>股权价值增加表!N15</f>
        <v>44752786.049999997</v>
      </c>
      <c r="O20" s="76">
        <f>股权价值增加表!O15</f>
        <v>80774498.729999989</v>
      </c>
      <c r="P20" s="76">
        <f>股权价值增加表!P15</f>
        <v>89816651.859999999</v>
      </c>
      <c r="Q20" s="76">
        <f>股权价值增加表!Q15</f>
        <v>77100270.920000017</v>
      </c>
      <c r="R20" s="76">
        <f>股权价值增加表!R15</f>
        <v>30551011.699999999</v>
      </c>
      <c r="S20" s="76">
        <f>股权价值增加表!S15</f>
        <v>0</v>
      </c>
      <c r="T20" s="76">
        <f>股权价值增加表!T15</f>
        <v>0</v>
      </c>
      <c r="U20" s="76">
        <f>股权价值增加表!U15</f>
        <v>0</v>
      </c>
      <c r="V20" s="76">
        <f>股权价值增加表!V15</f>
        <v>0</v>
      </c>
      <c r="W20" s="76">
        <f>股权价值增加表!W15</f>
        <v>0</v>
      </c>
      <c r="X20" s="76">
        <f>股权价值增加表!X15</f>
        <v>0</v>
      </c>
      <c r="Y20" s="76">
        <f>股权价值增加表!Y15</f>
        <v>0</v>
      </c>
      <c r="Z20" s="76">
        <f>股权价值增加表!Z15</f>
        <v>0</v>
      </c>
      <c r="AA20" s="76">
        <f>股权价值增加表!AA15</f>
        <v>0</v>
      </c>
      <c r="AB20" s="76">
        <f>股权价值增加表!AB15</f>
        <v>0</v>
      </c>
      <c r="AC20" s="76">
        <f>股权价值增加表!AC15</f>
        <v>-331430.78000000003</v>
      </c>
      <c r="AD20" s="76">
        <f>股权价值增加表!AD15</f>
        <v>0</v>
      </c>
      <c r="AE20" s="76">
        <f>股权价值增加表!AE15</f>
        <v>0</v>
      </c>
      <c r="AF20" s="76">
        <f>股权价值增加表!AF15</f>
        <v>0</v>
      </c>
      <c r="AG20" s="76">
        <f>股权价值增加表!AG15</f>
        <v>-66967.98</v>
      </c>
      <c r="AH20" s="76">
        <f>股权价值增加表!AH15</f>
        <v>0</v>
      </c>
      <c r="AI20" s="76">
        <f>股权价值增加表!AI15</f>
        <v>0</v>
      </c>
      <c r="AJ20" s="76">
        <f>股权价值增加表!AJ15</f>
        <v>0</v>
      </c>
      <c r="AK20" s="76">
        <f>股权价值增加表!AK15</f>
        <v>-350489.64</v>
      </c>
      <c r="AL20" s="76">
        <f>股权价值增加表!AL15</f>
        <v>0</v>
      </c>
      <c r="AM20" s="76">
        <f>股权价值增加表!AM15</f>
        <v>0</v>
      </c>
      <c r="AN20" s="76">
        <f>股权价值增加表!AN15</f>
        <v>0</v>
      </c>
      <c r="AO20" s="76">
        <f>股权价值增加表!AO15</f>
        <v>-286174.01</v>
      </c>
      <c r="AP20" s="76">
        <f>股权价值增加表!AP15</f>
        <v>0</v>
      </c>
      <c r="AQ20" s="76">
        <f>股权价值增加表!AQ15</f>
        <v>0</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167" customFormat="1">
      <c r="A21" s="57" t="s">
        <v>453</v>
      </c>
      <c r="E21" s="167">
        <f>E20/E19</f>
        <v>0.28726762658501281</v>
      </c>
      <c r="F21" s="167">
        <f t="shared" ref="F21:BQ21" si="6">F20/F19</f>
        <v>0.24114998164218754</v>
      </c>
      <c r="G21" s="167">
        <f t="shared" si="6"/>
        <v>0.20613333174441884</v>
      </c>
      <c r="H21" s="167">
        <f t="shared" si="6"/>
        <v>-3.607630745606203E-2</v>
      </c>
      <c r="I21" s="167">
        <f t="shared" si="6"/>
        <v>0.38518954310284553</v>
      </c>
      <c r="J21" s="167">
        <f t="shared" si="6"/>
        <v>0.36431931033512982</v>
      </c>
      <c r="K21" s="167">
        <f t="shared" si="6"/>
        <v>0.36043458268846784</v>
      </c>
      <c r="L21" s="167">
        <f t="shared" si="6"/>
        <v>0.37425278276756085</v>
      </c>
      <c r="M21" s="167">
        <f t="shared" si="6"/>
        <v>0.4216191077182655</v>
      </c>
      <c r="N21" s="167">
        <f t="shared" si="6"/>
        <v>0.5087991318607672</v>
      </c>
      <c r="O21" s="167">
        <f t="shared" si="6"/>
        <v>0.45050158343571989</v>
      </c>
      <c r="P21" s="167">
        <f t="shared" si="6"/>
        <v>0.43018055602324629</v>
      </c>
      <c r="Q21" s="167">
        <f t="shared" si="6"/>
        <v>0.39846463785545594</v>
      </c>
      <c r="R21" s="167">
        <f t="shared" si="6"/>
        <v>0.37163480785464825</v>
      </c>
      <c r="S21" s="167" t="e">
        <f t="shared" si="6"/>
        <v>#DIV/0!</v>
      </c>
      <c r="T21" s="167" t="e">
        <f t="shared" si="6"/>
        <v>#DIV/0!</v>
      </c>
      <c r="U21" s="167" t="e">
        <f t="shared" si="6"/>
        <v>#DIV/0!</v>
      </c>
      <c r="V21" s="167" t="e">
        <f t="shared" si="6"/>
        <v>#DIV/0!</v>
      </c>
      <c r="W21" s="167" t="e">
        <f t="shared" si="6"/>
        <v>#DIV/0!</v>
      </c>
      <c r="X21" s="167" t="e">
        <f t="shared" si="6"/>
        <v>#DIV/0!</v>
      </c>
      <c r="Y21" s="167" t="e">
        <f t="shared" si="6"/>
        <v>#DIV/0!</v>
      </c>
      <c r="Z21" s="167" t="e">
        <f t="shared" si="6"/>
        <v>#DIV/0!</v>
      </c>
      <c r="AA21" s="167" t="e">
        <f t="shared" si="6"/>
        <v>#DIV/0!</v>
      </c>
      <c r="AB21" s="167" t="e">
        <f t="shared" si="6"/>
        <v>#DIV/0!</v>
      </c>
      <c r="AC21" s="167" t="e">
        <f t="shared" si="6"/>
        <v>#DIV/0!</v>
      </c>
      <c r="AD21" s="167" t="e">
        <f t="shared" si="6"/>
        <v>#DIV/0!</v>
      </c>
      <c r="AE21" s="167" t="e">
        <f t="shared" si="6"/>
        <v>#DIV/0!</v>
      </c>
      <c r="AF21" s="167" t="e">
        <f t="shared" si="6"/>
        <v>#DIV/0!</v>
      </c>
      <c r="AG21" s="167" t="e">
        <f t="shared" si="6"/>
        <v>#DIV/0!</v>
      </c>
      <c r="AH21" s="167" t="e">
        <f t="shared" si="6"/>
        <v>#DIV/0!</v>
      </c>
      <c r="AI21" s="167" t="e">
        <f t="shared" si="6"/>
        <v>#DIV/0!</v>
      </c>
      <c r="AJ21" s="167" t="e">
        <f t="shared" si="6"/>
        <v>#DIV/0!</v>
      </c>
      <c r="AK21" s="167" t="e">
        <f t="shared" si="6"/>
        <v>#DIV/0!</v>
      </c>
      <c r="AL21" s="167" t="e">
        <f t="shared" si="6"/>
        <v>#DIV/0!</v>
      </c>
      <c r="AM21" s="167" t="e">
        <f t="shared" si="6"/>
        <v>#DIV/0!</v>
      </c>
      <c r="AN21" s="167" t="e">
        <f t="shared" si="6"/>
        <v>#DIV/0!</v>
      </c>
      <c r="AO21" s="167" t="e">
        <f t="shared" si="6"/>
        <v>#DIV/0!</v>
      </c>
      <c r="AP21" s="167" t="e">
        <f t="shared" si="6"/>
        <v>#DIV/0!</v>
      </c>
      <c r="AQ21" s="167" t="e">
        <f t="shared" si="6"/>
        <v>#DIV/0!</v>
      </c>
      <c r="AR21" s="167" t="e">
        <f t="shared" si="6"/>
        <v>#DIV/0!</v>
      </c>
      <c r="AS21" s="167" t="e">
        <f t="shared" si="6"/>
        <v>#DIV/0!</v>
      </c>
      <c r="AT21" s="167" t="e">
        <f t="shared" si="6"/>
        <v>#DIV/0!</v>
      </c>
      <c r="AU21" s="167" t="e">
        <f t="shared" si="6"/>
        <v>#DIV/0!</v>
      </c>
      <c r="AV21" s="167" t="e">
        <f t="shared" si="6"/>
        <v>#DIV/0!</v>
      </c>
      <c r="AW21" s="167" t="e">
        <f t="shared" si="6"/>
        <v>#DIV/0!</v>
      </c>
      <c r="AX21" s="167" t="e">
        <f t="shared" si="6"/>
        <v>#DIV/0!</v>
      </c>
      <c r="AY21" s="167" t="e">
        <f t="shared" si="6"/>
        <v>#DIV/0!</v>
      </c>
      <c r="AZ21" s="167" t="e">
        <f t="shared" si="6"/>
        <v>#DIV/0!</v>
      </c>
      <c r="BA21" s="167" t="e">
        <f t="shared" si="6"/>
        <v>#DIV/0!</v>
      </c>
      <c r="BB21" s="167" t="e">
        <f t="shared" si="6"/>
        <v>#DIV/0!</v>
      </c>
      <c r="BC21" s="167" t="e">
        <f t="shared" si="6"/>
        <v>#DIV/0!</v>
      </c>
      <c r="BD21" s="167" t="e">
        <f t="shared" si="6"/>
        <v>#DIV/0!</v>
      </c>
      <c r="BE21" s="167" t="e">
        <f t="shared" si="6"/>
        <v>#DIV/0!</v>
      </c>
      <c r="BF21" s="167" t="e">
        <f t="shared" si="6"/>
        <v>#DIV/0!</v>
      </c>
      <c r="BG21" s="167" t="e">
        <f t="shared" si="6"/>
        <v>#DIV/0!</v>
      </c>
      <c r="BH21" s="167" t="e">
        <f t="shared" si="6"/>
        <v>#DIV/0!</v>
      </c>
      <c r="BI21" s="167" t="e">
        <f t="shared" si="6"/>
        <v>#DIV/0!</v>
      </c>
      <c r="BJ21" s="167" t="e">
        <f t="shared" si="6"/>
        <v>#DIV/0!</v>
      </c>
      <c r="BK21" s="167" t="e">
        <f t="shared" si="6"/>
        <v>#DIV/0!</v>
      </c>
      <c r="BL21" s="167" t="e">
        <f t="shared" si="6"/>
        <v>#DIV/0!</v>
      </c>
      <c r="BM21" s="167" t="e">
        <f t="shared" si="6"/>
        <v>#DIV/0!</v>
      </c>
      <c r="BN21" s="167" t="e">
        <f t="shared" si="6"/>
        <v>#DIV/0!</v>
      </c>
      <c r="BO21" s="167" t="e">
        <f t="shared" si="6"/>
        <v>#DIV/0!</v>
      </c>
      <c r="BP21" s="167" t="e">
        <f t="shared" si="6"/>
        <v>#DIV/0!</v>
      </c>
      <c r="BQ21" s="167" t="e">
        <f t="shared" si="6"/>
        <v>#DIV/0!</v>
      </c>
      <c r="BR21" s="167" t="e">
        <f t="shared" ref="BR21:CK21" si="7">BR20/BR19</f>
        <v>#DIV/0!</v>
      </c>
      <c r="BS21" s="167" t="e">
        <f t="shared" si="7"/>
        <v>#DIV/0!</v>
      </c>
      <c r="BT21" s="167" t="e">
        <f t="shared" si="7"/>
        <v>#DIV/0!</v>
      </c>
      <c r="BU21" s="167" t="e">
        <f t="shared" si="7"/>
        <v>#DIV/0!</v>
      </c>
      <c r="BV21" s="167" t="e">
        <f t="shared" si="7"/>
        <v>#DIV/0!</v>
      </c>
      <c r="BW21" s="167" t="e">
        <f t="shared" si="7"/>
        <v>#DIV/0!</v>
      </c>
      <c r="BX21" s="167" t="e">
        <f t="shared" si="7"/>
        <v>#DIV/0!</v>
      </c>
      <c r="BY21" s="167" t="e">
        <f t="shared" si="7"/>
        <v>#DIV/0!</v>
      </c>
      <c r="BZ21" s="167" t="e">
        <f t="shared" si="7"/>
        <v>#DIV/0!</v>
      </c>
      <c r="CA21" s="167" t="e">
        <f t="shared" si="7"/>
        <v>#DIV/0!</v>
      </c>
      <c r="CB21" s="167" t="e">
        <f t="shared" si="7"/>
        <v>#DIV/0!</v>
      </c>
      <c r="CC21" s="167" t="e">
        <f t="shared" si="7"/>
        <v>#DIV/0!</v>
      </c>
      <c r="CD21" s="167" t="e">
        <f t="shared" si="7"/>
        <v>#DIV/0!</v>
      </c>
      <c r="CE21" s="167" t="e">
        <f t="shared" si="7"/>
        <v>#DIV/0!</v>
      </c>
      <c r="CF21" s="167" t="e">
        <f t="shared" si="7"/>
        <v>#DIV/0!</v>
      </c>
      <c r="CG21" s="167" t="e">
        <f t="shared" si="7"/>
        <v>#DIV/0!</v>
      </c>
      <c r="CH21" s="167" t="e">
        <f t="shared" si="7"/>
        <v>#DIV/0!</v>
      </c>
      <c r="CI21" s="167" t="e">
        <f t="shared" si="7"/>
        <v>#DIV/0!</v>
      </c>
      <c r="CJ21" s="167" t="e">
        <f t="shared" si="7"/>
        <v>#DIV/0!</v>
      </c>
      <c r="CK21" s="167" t="e">
        <f t="shared" si="7"/>
        <v>#DIV/0!</v>
      </c>
    </row>
    <row r="22" spans="1:89" s="26" customFormat="1">
      <c r="A22" s="26" t="s">
        <v>618</v>
      </c>
      <c r="E22" s="26">
        <f>资产资本表!E50</f>
        <v>33893357.269999981</v>
      </c>
      <c r="F22" s="26">
        <f>资产资本表!F50</f>
        <v>358649879.79999995</v>
      </c>
      <c r="G22" s="26">
        <f>资产资本表!G50</f>
        <v>407926947.43000001</v>
      </c>
      <c r="H22" s="26">
        <f>资产资本表!H50</f>
        <v>375783858.84000003</v>
      </c>
      <c r="I22" s="26">
        <f>资产资本表!I50</f>
        <v>347074413.43000007</v>
      </c>
      <c r="J22" s="26">
        <f>资产资本表!J50</f>
        <v>87577078.320000023</v>
      </c>
      <c r="K22" s="26">
        <f>资产资本表!K50</f>
        <v>83471294.189999998</v>
      </c>
      <c r="L22" s="26">
        <f>资产资本表!L50</f>
        <v>48258446.470000014</v>
      </c>
      <c r="M22" s="26">
        <f>资产资本表!M50</f>
        <v>59500874.920000002</v>
      </c>
      <c r="N22" s="26">
        <f>资产资本表!N50</f>
        <v>49952721.640000001</v>
      </c>
      <c r="O22" s="26">
        <f>资产资本表!O50</f>
        <v>24221166.460000008</v>
      </c>
      <c r="P22" s="26">
        <f>资产资本表!P50</f>
        <v>27484403.180000003</v>
      </c>
      <c r="Q22" s="26">
        <f>资产资本表!Q50</f>
        <v>0</v>
      </c>
      <c r="R22" s="26">
        <f>资产资本表!R50</f>
        <v>0</v>
      </c>
      <c r="S22" s="26">
        <f>资产资本表!S50</f>
        <v>0</v>
      </c>
      <c r="T22" s="26">
        <f>资产资本表!T50</f>
        <v>0</v>
      </c>
      <c r="U22" s="26">
        <f>资产资本表!U50</f>
        <v>0</v>
      </c>
      <c r="V22" s="26">
        <f>资产资本表!V50</f>
        <v>0</v>
      </c>
      <c r="W22" s="26">
        <f>资产资本表!W50</f>
        <v>0</v>
      </c>
      <c r="X22" s="26">
        <f>资产资本表!X50</f>
        <v>0</v>
      </c>
      <c r="Y22" s="26">
        <f>资产资本表!Y50</f>
        <v>0</v>
      </c>
      <c r="Z22" s="26">
        <f>资产资本表!Z50</f>
        <v>0</v>
      </c>
      <c r="AA22" s="26">
        <f>资产资本表!AA50</f>
        <v>0</v>
      </c>
      <c r="AB22" s="26">
        <f>资产资本表!AB50</f>
        <v>0</v>
      </c>
      <c r="AC22" s="26">
        <f>资产资本表!AC50</f>
        <v>0</v>
      </c>
      <c r="AD22" s="26">
        <f>资产资本表!AD50</f>
        <v>0</v>
      </c>
      <c r="AE22" s="26">
        <f>资产资本表!AE50</f>
        <v>0</v>
      </c>
      <c r="AF22" s="26">
        <f>资产资本表!AF50</f>
        <v>0</v>
      </c>
      <c r="AG22" s="26">
        <f>资产资本表!AG50</f>
        <v>0</v>
      </c>
      <c r="AH22" s="26">
        <f>资产资本表!AH50</f>
        <v>0</v>
      </c>
      <c r="AI22" s="26">
        <f>资产资本表!AI50</f>
        <v>0</v>
      </c>
      <c r="AJ22" s="26">
        <f>资产资本表!AJ50</f>
        <v>0</v>
      </c>
      <c r="AK22" s="26">
        <f>资产资本表!AK50</f>
        <v>0</v>
      </c>
      <c r="AL22" s="26">
        <f>资产资本表!AL50</f>
        <v>0</v>
      </c>
      <c r="AM22" s="26">
        <f>资产资本表!AM50</f>
        <v>0</v>
      </c>
      <c r="AN22" s="26">
        <f>资产资本表!AN50</f>
        <v>0</v>
      </c>
      <c r="AO22" s="26">
        <f>资产资本表!AO50</f>
        <v>0</v>
      </c>
      <c r="AP22" s="26">
        <f>资产资本表!AP50</f>
        <v>0</v>
      </c>
      <c r="AQ22" s="26">
        <f>资产资本表!AQ50</f>
        <v>0</v>
      </c>
      <c r="AR22" s="26">
        <f>资产资本表!AR50</f>
        <v>0</v>
      </c>
      <c r="AS22" s="26">
        <f>资产资本表!AS50</f>
        <v>0</v>
      </c>
      <c r="AT22" s="26">
        <f>资产资本表!AT50</f>
        <v>0</v>
      </c>
      <c r="AU22" s="26">
        <f>资产资本表!AU50</f>
        <v>0</v>
      </c>
      <c r="AV22" s="26">
        <f>资产资本表!AV50</f>
        <v>0</v>
      </c>
      <c r="AW22" s="26">
        <f>资产资本表!AW50</f>
        <v>0</v>
      </c>
      <c r="AX22" s="26">
        <f>资产资本表!AX50</f>
        <v>0</v>
      </c>
      <c r="AY22" s="26">
        <f>资产资本表!AY50</f>
        <v>0</v>
      </c>
      <c r="AZ22" s="26">
        <f>资产资本表!AZ50</f>
        <v>0</v>
      </c>
      <c r="BA22" s="26">
        <f>资产资本表!BA50</f>
        <v>0</v>
      </c>
      <c r="BB22" s="26">
        <f>资产资本表!BB50</f>
        <v>0</v>
      </c>
      <c r="BC22" s="26">
        <f>资产资本表!BC50</f>
        <v>0</v>
      </c>
      <c r="BD22" s="26">
        <f>资产资本表!BD50</f>
        <v>0</v>
      </c>
      <c r="BE22" s="26">
        <f>资产资本表!BE50</f>
        <v>0</v>
      </c>
      <c r="BF22" s="26">
        <f>资产资本表!BF50</f>
        <v>0</v>
      </c>
      <c r="BG22" s="26">
        <f>资产资本表!BG50</f>
        <v>0</v>
      </c>
      <c r="BH22" s="26">
        <f>资产资本表!BH50</f>
        <v>0</v>
      </c>
      <c r="BI22" s="26">
        <f>资产资本表!BI50</f>
        <v>0</v>
      </c>
      <c r="BJ22" s="26">
        <f>资产资本表!BJ50</f>
        <v>0</v>
      </c>
      <c r="BK22" s="26">
        <f>资产资本表!BK50</f>
        <v>0</v>
      </c>
      <c r="BL22" s="26">
        <f>资产资本表!BL50</f>
        <v>0</v>
      </c>
      <c r="BM22" s="26">
        <f>资产资本表!BM50</f>
        <v>0</v>
      </c>
      <c r="BN22" s="26">
        <f>资产资本表!BN50</f>
        <v>0</v>
      </c>
      <c r="BO22" s="26">
        <f>资产资本表!BO50</f>
        <v>0</v>
      </c>
      <c r="BP22" s="26">
        <f>资产资本表!BP50</f>
        <v>0</v>
      </c>
      <c r="BQ22" s="26">
        <f>资产资本表!BQ50</f>
        <v>0</v>
      </c>
      <c r="BR22" s="26">
        <f>资产资本表!BR50</f>
        <v>0</v>
      </c>
      <c r="BS22" s="26">
        <f>资产资本表!BS50</f>
        <v>0</v>
      </c>
      <c r="BT22" s="26">
        <f>资产资本表!BT50</f>
        <v>0</v>
      </c>
      <c r="BU22" s="26">
        <f>资产资本表!BU50</f>
        <v>0</v>
      </c>
      <c r="BV22" s="26">
        <f>资产资本表!BV50</f>
        <v>0</v>
      </c>
      <c r="BW22" s="26">
        <f>资产资本表!BW50</f>
        <v>0</v>
      </c>
      <c r="BX22" s="26">
        <f>资产资本表!BX50</f>
        <v>0</v>
      </c>
      <c r="BY22" s="26">
        <f>资产资本表!BY50</f>
        <v>0</v>
      </c>
      <c r="BZ22" s="26">
        <f>资产资本表!BZ50</f>
        <v>0</v>
      </c>
      <c r="CA22" s="26">
        <f>资产资本表!CA50</f>
        <v>0</v>
      </c>
      <c r="CB22" s="26">
        <f>资产资本表!CB50</f>
        <v>0</v>
      </c>
      <c r="CC22" s="26">
        <f>资产资本表!CC50</f>
        <v>0</v>
      </c>
      <c r="CD22" s="26">
        <f>资产资本表!CD50</f>
        <v>0</v>
      </c>
      <c r="CE22" s="26">
        <f>资产资本表!CE50</f>
        <v>0</v>
      </c>
      <c r="CF22" s="26">
        <f>资产资本表!CF50</f>
        <v>0</v>
      </c>
      <c r="CG22" s="26">
        <f>资产资本表!CG50</f>
        <v>0</v>
      </c>
      <c r="CH22" s="26">
        <f>资产资本表!CH50</f>
        <v>0</v>
      </c>
      <c r="CI22" s="26">
        <f>资产资本表!CI50</f>
        <v>0</v>
      </c>
      <c r="CJ22" s="26">
        <f>资产资本表!CJ50</f>
        <v>0</v>
      </c>
      <c r="CK22" s="26">
        <f>资产资本表!CK50</f>
        <v>0</v>
      </c>
    </row>
    <row r="23" spans="1:89" s="83" customFormat="1">
      <c r="A23" s="170" t="s">
        <v>619</v>
      </c>
      <c r="E23" s="83">
        <f>E19/E22</f>
        <v>5.6715789704358235</v>
      </c>
      <c r="F23" s="83">
        <f t="shared" ref="F23:BQ23" si="8">F19/F22</f>
        <v>0.28489227724536942</v>
      </c>
      <c r="G23" s="83">
        <f t="shared" si="8"/>
        <v>0.19101015385449793</v>
      </c>
      <c r="H23" s="83">
        <f t="shared" si="8"/>
        <v>4.5394831493449458E-2</v>
      </c>
      <c r="I23" s="83">
        <f t="shared" si="8"/>
        <v>0.47751689060601454</v>
      </c>
      <c r="J23" s="83">
        <f t="shared" si="8"/>
        <v>1.2389382677684191</v>
      </c>
      <c r="K23" s="83">
        <f t="shared" si="8"/>
        <v>0.97006576243669485</v>
      </c>
      <c r="L23" s="83">
        <f t="shared" si="8"/>
        <v>0.3102442273873719</v>
      </c>
      <c r="M23" s="83">
        <f t="shared" si="8"/>
        <v>2.496101313126708</v>
      </c>
      <c r="N23" s="83">
        <f t="shared" si="8"/>
        <v>1.7608183686945951</v>
      </c>
      <c r="O23" s="83">
        <f t="shared" si="8"/>
        <v>7.4025763501565036</v>
      </c>
      <c r="P23" s="83">
        <f t="shared" si="8"/>
        <v>7.5966090103034203</v>
      </c>
      <c r="Q23" s="83" t="e">
        <f t="shared" si="8"/>
        <v>#DIV/0!</v>
      </c>
      <c r="R23" s="83" t="e">
        <f t="shared" si="8"/>
        <v>#DIV/0!</v>
      </c>
      <c r="S23" s="83" t="e">
        <f t="shared" si="8"/>
        <v>#DIV/0!</v>
      </c>
      <c r="T23" s="83" t="e">
        <f t="shared" si="8"/>
        <v>#DIV/0!</v>
      </c>
      <c r="U23" s="83" t="e">
        <f t="shared" si="8"/>
        <v>#DIV/0!</v>
      </c>
      <c r="V23" s="83" t="e">
        <f t="shared" si="8"/>
        <v>#DIV/0!</v>
      </c>
      <c r="W23" s="83" t="e">
        <f t="shared" si="8"/>
        <v>#DIV/0!</v>
      </c>
      <c r="X23" s="83" t="e">
        <f t="shared" si="8"/>
        <v>#DIV/0!</v>
      </c>
      <c r="Y23" s="83" t="e">
        <f t="shared" si="8"/>
        <v>#DIV/0!</v>
      </c>
      <c r="Z23" s="83" t="e">
        <f t="shared" si="8"/>
        <v>#DIV/0!</v>
      </c>
      <c r="AA23" s="83" t="e">
        <f t="shared" si="8"/>
        <v>#DIV/0!</v>
      </c>
      <c r="AB23" s="83" t="e">
        <f t="shared" si="8"/>
        <v>#DIV/0!</v>
      </c>
      <c r="AC23" s="83" t="e">
        <f t="shared" si="8"/>
        <v>#DIV/0!</v>
      </c>
      <c r="AD23" s="83" t="e">
        <f t="shared" si="8"/>
        <v>#DIV/0!</v>
      </c>
      <c r="AE23" s="83" t="e">
        <f t="shared" si="8"/>
        <v>#DIV/0!</v>
      </c>
      <c r="AF23" s="83" t="e">
        <f t="shared" si="8"/>
        <v>#DIV/0!</v>
      </c>
      <c r="AG23" s="83" t="e">
        <f t="shared" si="8"/>
        <v>#DIV/0!</v>
      </c>
      <c r="AH23" s="83" t="e">
        <f t="shared" si="8"/>
        <v>#DIV/0!</v>
      </c>
      <c r="AI23" s="83" t="e">
        <f t="shared" si="8"/>
        <v>#DIV/0!</v>
      </c>
      <c r="AJ23" s="83" t="e">
        <f t="shared" si="8"/>
        <v>#DIV/0!</v>
      </c>
      <c r="AK23" s="83" t="e">
        <f t="shared" si="8"/>
        <v>#DIV/0!</v>
      </c>
      <c r="AL23" s="83" t="e">
        <f t="shared" si="8"/>
        <v>#DIV/0!</v>
      </c>
      <c r="AM23" s="83" t="e">
        <f t="shared" si="8"/>
        <v>#DIV/0!</v>
      </c>
      <c r="AN23" s="83" t="e">
        <f t="shared" si="8"/>
        <v>#DIV/0!</v>
      </c>
      <c r="AO23" s="83" t="e">
        <f t="shared" si="8"/>
        <v>#DIV/0!</v>
      </c>
      <c r="AP23" s="83" t="e">
        <f t="shared" si="8"/>
        <v>#DIV/0!</v>
      </c>
      <c r="AQ23" s="83" t="e">
        <f t="shared" si="8"/>
        <v>#DIV/0!</v>
      </c>
      <c r="AR23" s="83" t="e">
        <f t="shared" si="8"/>
        <v>#DIV/0!</v>
      </c>
      <c r="AS23" s="83" t="e">
        <f t="shared" si="8"/>
        <v>#DIV/0!</v>
      </c>
      <c r="AT23" s="83" t="e">
        <f t="shared" si="8"/>
        <v>#DIV/0!</v>
      </c>
      <c r="AU23" s="83" t="e">
        <f t="shared" si="8"/>
        <v>#DIV/0!</v>
      </c>
      <c r="AV23" s="83" t="e">
        <f t="shared" si="8"/>
        <v>#DIV/0!</v>
      </c>
      <c r="AW23" s="83" t="e">
        <f t="shared" si="8"/>
        <v>#DIV/0!</v>
      </c>
      <c r="AX23" s="83" t="e">
        <f t="shared" si="8"/>
        <v>#DIV/0!</v>
      </c>
      <c r="AY23" s="83" t="e">
        <f t="shared" si="8"/>
        <v>#DIV/0!</v>
      </c>
      <c r="AZ23" s="83" t="e">
        <f t="shared" si="8"/>
        <v>#DIV/0!</v>
      </c>
      <c r="BA23" s="83" t="e">
        <f t="shared" si="8"/>
        <v>#DIV/0!</v>
      </c>
      <c r="BB23" s="83" t="e">
        <f t="shared" si="8"/>
        <v>#DIV/0!</v>
      </c>
      <c r="BC23" s="83" t="e">
        <f t="shared" si="8"/>
        <v>#DIV/0!</v>
      </c>
      <c r="BD23" s="83" t="e">
        <f t="shared" si="8"/>
        <v>#DIV/0!</v>
      </c>
      <c r="BE23" s="83" t="e">
        <f t="shared" si="8"/>
        <v>#DIV/0!</v>
      </c>
      <c r="BF23" s="83" t="e">
        <f t="shared" si="8"/>
        <v>#DIV/0!</v>
      </c>
      <c r="BG23" s="83" t="e">
        <f t="shared" si="8"/>
        <v>#DIV/0!</v>
      </c>
      <c r="BH23" s="83" t="e">
        <f t="shared" si="8"/>
        <v>#DIV/0!</v>
      </c>
      <c r="BI23" s="83" t="e">
        <f t="shared" si="8"/>
        <v>#DIV/0!</v>
      </c>
      <c r="BJ23" s="83" t="e">
        <f t="shared" si="8"/>
        <v>#DIV/0!</v>
      </c>
      <c r="BK23" s="83" t="e">
        <f t="shared" si="8"/>
        <v>#DIV/0!</v>
      </c>
      <c r="BL23" s="83" t="e">
        <f t="shared" si="8"/>
        <v>#DIV/0!</v>
      </c>
      <c r="BM23" s="83" t="e">
        <f t="shared" si="8"/>
        <v>#DIV/0!</v>
      </c>
      <c r="BN23" s="83" t="e">
        <f t="shared" si="8"/>
        <v>#DIV/0!</v>
      </c>
      <c r="BO23" s="83" t="e">
        <f t="shared" si="8"/>
        <v>#DIV/0!</v>
      </c>
      <c r="BP23" s="83" t="e">
        <f t="shared" si="8"/>
        <v>#DIV/0!</v>
      </c>
      <c r="BQ23" s="83" t="e">
        <f t="shared" si="8"/>
        <v>#DIV/0!</v>
      </c>
      <c r="BR23" s="83" t="e">
        <f t="shared" ref="BR23:CK23" si="9">BR19/BR22</f>
        <v>#DIV/0!</v>
      </c>
      <c r="BS23" s="83" t="e">
        <f t="shared" si="9"/>
        <v>#DIV/0!</v>
      </c>
      <c r="BT23" s="83" t="e">
        <f t="shared" si="9"/>
        <v>#DIV/0!</v>
      </c>
      <c r="BU23" s="83" t="e">
        <f t="shared" si="9"/>
        <v>#DIV/0!</v>
      </c>
      <c r="BV23" s="83" t="e">
        <f t="shared" si="9"/>
        <v>#DIV/0!</v>
      </c>
      <c r="BW23" s="83" t="e">
        <f t="shared" si="9"/>
        <v>#DIV/0!</v>
      </c>
      <c r="BX23" s="83" t="e">
        <f t="shared" si="9"/>
        <v>#DIV/0!</v>
      </c>
      <c r="BY23" s="83" t="e">
        <f t="shared" si="9"/>
        <v>#DIV/0!</v>
      </c>
      <c r="BZ23" s="83" t="e">
        <f t="shared" si="9"/>
        <v>#DIV/0!</v>
      </c>
      <c r="CA23" s="83" t="e">
        <f t="shared" si="9"/>
        <v>#DIV/0!</v>
      </c>
      <c r="CB23" s="83" t="e">
        <f t="shared" si="9"/>
        <v>#DIV/0!</v>
      </c>
      <c r="CC23" s="83" t="e">
        <f t="shared" si="9"/>
        <v>#DIV/0!</v>
      </c>
      <c r="CD23" s="83" t="e">
        <f t="shared" si="9"/>
        <v>#DIV/0!</v>
      </c>
      <c r="CE23" s="83" t="e">
        <f t="shared" si="9"/>
        <v>#DIV/0!</v>
      </c>
      <c r="CF23" s="83" t="e">
        <f t="shared" si="9"/>
        <v>#DIV/0!</v>
      </c>
      <c r="CG23" s="83" t="e">
        <f t="shared" si="9"/>
        <v>#DIV/0!</v>
      </c>
      <c r="CH23" s="83" t="e">
        <f t="shared" si="9"/>
        <v>#DIV/0!</v>
      </c>
      <c r="CI23" s="83" t="e">
        <f t="shared" si="9"/>
        <v>#DIV/0!</v>
      </c>
      <c r="CJ23" s="83" t="e">
        <f t="shared" si="9"/>
        <v>#DIV/0!</v>
      </c>
      <c r="CK23" s="83" t="e">
        <f t="shared" si="9"/>
        <v>#DIV/0!</v>
      </c>
    </row>
    <row r="24" spans="1:89" s="169" customFormat="1" ht="14.25" thickBot="1">
      <c r="A24" s="168" t="s">
        <v>620</v>
      </c>
      <c r="E24" s="169">
        <f>E21*E23</f>
        <v>1.6292610298265695</v>
      </c>
      <c r="F24" s="169">
        <f t="shared" ref="F24:BQ24" si="10">F21*F23</f>
        <v>6.8701767427721841E-2</v>
      </c>
      <c r="G24" s="169">
        <f t="shared" si="10"/>
        <v>3.9373559411041703E-2</v>
      </c>
      <c r="H24" s="169">
        <f t="shared" si="10"/>
        <v>-1.6376778978738102E-3</v>
      </c>
      <c r="I24" s="169">
        <f t="shared" si="10"/>
        <v>0.18393451291642221</v>
      </c>
      <c r="J24" s="169">
        <f t="shared" si="10"/>
        <v>0.45136913526119082</v>
      </c>
      <c r="K24" s="169">
        <f t="shared" si="10"/>
        <v>0.34964524826424048</v>
      </c>
      <c r="L24" s="169">
        <f t="shared" si="10"/>
        <v>0.11610976543729584</v>
      </c>
      <c r="M24" s="169">
        <f t="shared" si="10"/>
        <v>1.0524040084148734</v>
      </c>
      <c r="N24" s="169">
        <f t="shared" si="10"/>
        <v>0.89590285735630226</v>
      </c>
      <c r="O24" s="169">
        <f t="shared" si="10"/>
        <v>3.334872367249317</v>
      </c>
      <c r="P24" s="169">
        <f t="shared" si="10"/>
        <v>3.2679134879435279</v>
      </c>
      <c r="Q24" s="169" t="e">
        <f t="shared" si="10"/>
        <v>#DIV/0!</v>
      </c>
      <c r="R24" s="169" t="e">
        <f t="shared" si="10"/>
        <v>#DIV/0!</v>
      </c>
      <c r="S24" s="169" t="e">
        <f t="shared" si="10"/>
        <v>#DIV/0!</v>
      </c>
      <c r="T24" s="169" t="e">
        <f t="shared" si="10"/>
        <v>#DIV/0!</v>
      </c>
      <c r="U24" s="169" t="e">
        <f t="shared" si="10"/>
        <v>#DIV/0!</v>
      </c>
      <c r="V24" s="169" t="e">
        <f t="shared" si="10"/>
        <v>#DIV/0!</v>
      </c>
      <c r="W24" s="169" t="e">
        <f t="shared" si="10"/>
        <v>#DIV/0!</v>
      </c>
      <c r="X24" s="169" t="e">
        <f t="shared" si="10"/>
        <v>#DIV/0!</v>
      </c>
      <c r="Y24" s="169" t="e">
        <f t="shared" si="10"/>
        <v>#DIV/0!</v>
      </c>
      <c r="Z24" s="169" t="e">
        <f t="shared" si="10"/>
        <v>#DIV/0!</v>
      </c>
      <c r="AA24" s="169" t="e">
        <f t="shared" si="10"/>
        <v>#DIV/0!</v>
      </c>
      <c r="AB24" s="169" t="e">
        <f t="shared" si="10"/>
        <v>#DIV/0!</v>
      </c>
      <c r="AC24" s="169" t="e">
        <f t="shared" si="10"/>
        <v>#DIV/0!</v>
      </c>
      <c r="AD24" s="169" t="e">
        <f t="shared" si="10"/>
        <v>#DIV/0!</v>
      </c>
      <c r="AE24" s="169" t="e">
        <f t="shared" si="10"/>
        <v>#DIV/0!</v>
      </c>
      <c r="AF24" s="169" t="e">
        <f t="shared" si="10"/>
        <v>#DIV/0!</v>
      </c>
      <c r="AG24" s="169" t="e">
        <f t="shared" si="10"/>
        <v>#DIV/0!</v>
      </c>
      <c r="AH24" s="169" t="e">
        <f t="shared" si="10"/>
        <v>#DIV/0!</v>
      </c>
      <c r="AI24" s="169" t="e">
        <f t="shared" si="10"/>
        <v>#DIV/0!</v>
      </c>
      <c r="AJ24" s="169" t="e">
        <f t="shared" si="10"/>
        <v>#DIV/0!</v>
      </c>
      <c r="AK24" s="169" t="e">
        <f t="shared" si="10"/>
        <v>#DIV/0!</v>
      </c>
      <c r="AL24" s="169" t="e">
        <f t="shared" si="10"/>
        <v>#DIV/0!</v>
      </c>
      <c r="AM24" s="169" t="e">
        <f t="shared" si="10"/>
        <v>#DIV/0!</v>
      </c>
      <c r="AN24" s="169" t="e">
        <f t="shared" si="10"/>
        <v>#DIV/0!</v>
      </c>
      <c r="AO24" s="169" t="e">
        <f t="shared" si="10"/>
        <v>#DIV/0!</v>
      </c>
      <c r="AP24" s="169" t="e">
        <f t="shared" si="10"/>
        <v>#DIV/0!</v>
      </c>
      <c r="AQ24" s="169" t="e">
        <f t="shared" si="10"/>
        <v>#DIV/0!</v>
      </c>
      <c r="AR24" s="169" t="e">
        <f t="shared" si="10"/>
        <v>#DIV/0!</v>
      </c>
      <c r="AS24" s="169" t="e">
        <f t="shared" si="10"/>
        <v>#DIV/0!</v>
      </c>
      <c r="AT24" s="169" t="e">
        <f t="shared" si="10"/>
        <v>#DIV/0!</v>
      </c>
      <c r="AU24" s="169" t="e">
        <f t="shared" si="10"/>
        <v>#DIV/0!</v>
      </c>
      <c r="AV24" s="169" t="e">
        <f t="shared" si="10"/>
        <v>#DIV/0!</v>
      </c>
      <c r="AW24" s="169" t="e">
        <f t="shared" si="10"/>
        <v>#DIV/0!</v>
      </c>
      <c r="AX24" s="169" t="e">
        <f t="shared" si="10"/>
        <v>#DIV/0!</v>
      </c>
      <c r="AY24" s="169" t="e">
        <f t="shared" si="10"/>
        <v>#DIV/0!</v>
      </c>
      <c r="AZ24" s="169" t="e">
        <f t="shared" si="10"/>
        <v>#DIV/0!</v>
      </c>
      <c r="BA24" s="169" t="e">
        <f t="shared" si="10"/>
        <v>#DIV/0!</v>
      </c>
      <c r="BB24" s="169" t="e">
        <f t="shared" si="10"/>
        <v>#DIV/0!</v>
      </c>
      <c r="BC24" s="169" t="e">
        <f t="shared" si="10"/>
        <v>#DIV/0!</v>
      </c>
      <c r="BD24" s="169" t="e">
        <f t="shared" si="10"/>
        <v>#DIV/0!</v>
      </c>
      <c r="BE24" s="169" t="e">
        <f t="shared" si="10"/>
        <v>#DIV/0!</v>
      </c>
      <c r="BF24" s="169" t="e">
        <f t="shared" si="10"/>
        <v>#DIV/0!</v>
      </c>
      <c r="BG24" s="169" t="e">
        <f t="shared" si="10"/>
        <v>#DIV/0!</v>
      </c>
      <c r="BH24" s="169" t="e">
        <f t="shared" si="10"/>
        <v>#DIV/0!</v>
      </c>
      <c r="BI24" s="169" t="e">
        <f t="shared" si="10"/>
        <v>#DIV/0!</v>
      </c>
      <c r="BJ24" s="169" t="e">
        <f t="shared" si="10"/>
        <v>#DIV/0!</v>
      </c>
      <c r="BK24" s="169" t="e">
        <f t="shared" si="10"/>
        <v>#DIV/0!</v>
      </c>
      <c r="BL24" s="169" t="e">
        <f t="shared" si="10"/>
        <v>#DIV/0!</v>
      </c>
      <c r="BM24" s="169" t="e">
        <f t="shared" si="10"/>
        <v>#DIV/0!</v>
      </c>
      <c r="BN24" s="169" t="e">
        <f t="shared" si="10"/>
        <v>#DIV/0!</v>
      </c>
      <c r="BO24" s="169" t="e">
        <f t="shared" si="10"/>
        <v>#DIV/0!</v>
      </c>
      <c r="BP24" s="169" t="e">
        <f t="shared" si="10"/>
        <v>#DIV/0!</v>
      </c>
      <c r="BQ24" s="169" t="e">
        <f t="shared" si="10"/>
        <v>#DIV/0!</v>
      </c>
      <c r="BR24" s="169" t="e">
        <f t="shared" ref="BR24:CK24" si="11">BR21*BR23</f>
        <v>#DIV/0!</v>
      </c>
      <c r="BS24" s="169" t="e">
        <f t="shared" si="11"/>
        <v>#DIV/0!</v>
      </c>
      <c r="BT24" s="169" t="e">
        <f t="shared" si="11"/>
        <v>#DIV/0!</v>
      </c>
      <c r="BU24" s="169" t="e">
        <f t="shared" si="11"/>
        <v>#DIV/0!</v>
      </c>
      <c r="BV24" s="169" t="e">
        <f t="shared" si="11"/>
        <v>#DIV/0!</v>
      </c>
      <c r="BW24" s="169" t="e">
        <f t="shared" si="11"/>
        <v>#DIV/0!</v>
      </c>
      <c r="BX24" s="169" t="e">
        <f t="shared" si="11"/>
        <v>#DIV/0!</v>
      </c>
      <c r="BY24" s="169" t="e">
        <f t="shared" si="11"/>
        <v>#DIV/0!</v>
      </c>
      <c r="BZ24" s="169" t="e">
        <f t="shared" si="11"/>
        <v>#DIV/0!</v>
      </c>
      <c r="CA24" s="169" t="e">
        <f t="shared" si="11"/>
        <v>#DIV/0!</v>
      </c>
      <c r="CB24" s="169" t="e">
        <f t="shared" si="11"/>
        <v>#DIV/0!</v>
      </c>
      <c r="CC24" s="169" t="e">
        <f t="shared" si="11"/>
        <v>#DIV/0!</v>
      </c>
      <c r="CD24" s="169" t="e">
        <f t="shared" si="11"/>
        <v>#DIV/0!</v>
      </c>
      <c r="CE24" s="169" t="e">
        <f t="shared" si="11"/>
        <v>#DIV/0!</v>
      </c>
      <c r="CF24" s="169" t="e">
        <f t="shared" si="11"/>
        <v>#DIV/0!</v>
      </c>
      <c r="CG24" s="169" t="e">
        <f t="shared" si="11"/>
        <v>#DIV/0!</v>
      </c>
      <c r="CH24" s="169" t="e">
        <f t="shared" si="11"/>
        <v>#DIV/0!</v>
      </c>
      <c r="CI24" s="169" t="e">
        <f t="shared" si="11"/>
        <v>#DIV/0!</v>
      </c>
      <c r="CJ24" s="169" t="e">
        <f t="shared" si="11"/>
        <v>#DIV/0!</v>
      </c>
      <c r="CK24" s="169" t="e">
        <f t="shared" si="11"/>
        <v>#DIV/0!</v>
      </c>
    </row>
    <row r="25" spans="1:89" s="76" customFormat="1">
      <c r="A25" s="153" t="s">
        <v>446</v>
      </c>
      <c r="B25" s="1">
        <v>43373</v>
      </c>
      <c r="C25" s="1">
        <v>43281</v>
      </c>
      <c r="D25" s="1">
        <v>43190</v>
      </c>
      <c r="E25" s="1">
        <v>43100</v>
      </c>
      <c r="F25" s="1">
        <v>43008</v>
      </c>
      <c r="G25" s="1">
        <v>42916</v>
      </c>
      <c r="H25" s="1">
        <v>42825</v>
      </c>
      <c r="I25" s="1">
        <v>42735</v>
      </c>
      <c r="J25" s="1">
        <v>42643</v>
      </c>
      <c r="K25" s="1">
        <v>42551</v>
      </c>
      <c r="L25" s="1">
        <v>42460</v>
      </c>
      <c r="M25" s="1">
        <v>42369</v>
      </c>
      <c r="N25" s="1">
        <v>42277</v>
      </c>
      <c r="O25" s="1">
        <v>42004</v>
      </c>
      <c r="P25" s="1">
        <v>41639</v>
      </c>
      <c r="Q25" s="1">
        <v>41274</v>
      </c>
      <c r="R25" s="1">
        <v>40908</v>
      </c>
      <c r="S25" s="1">
        <v>25569</v>
      </c>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c r="A26" s="152" t="s">
        <v>447</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c r="A27" s="152" t="s">
        <v>448</v>
      </c>
      <c r="E27" s="76">
        <f>资产资本表!E19</f>
        <v>0</v>
      </c>
      <c r="F27" s="76">
        <f>资产资本表!F19</f>
        <v>0</v>
      </c>
      <c r="G27" s="76">
        <f>资产资本表!G19</f>
        <v>0</v>
      </c>
      <c r="H27" s="76">
        <f>资产资本表!H19</f>
        <v>0</v>
      </c>
      <c r="I27" s="76">
        <f>资产资本表!I19</f>
        <v>0</v>
      </c>
      <c r="J27" s="76">
        <f>资产资本表!J19</f>
        <v>0</v>
      </c>
      <c r="K27" s="76">
        <f>资产资本表!K19</f>
        <v>0</v>
      </c>
      <c r="L27" s="76">
        <f>资产资本表!L19</f>
        <v>0</v>
      </c>
      <c r="M27" s="76">
        <f>资产资本表!M19</f>
        <v>0</v>
      </c>
      <c r="N27" s="76">
        <f>资产资本表!N19</f>
        <v>0</v>
      </c>
      <c r="O27" s="76">
        <f>资产资本表!O19</f>
        <v>0</v>
      </c>
      <c r="P27" s="76">
        <f>资产资本表!P19</f>
        <v>0</v>
      </c>
      <c r="Q27" s="76">
        <f>资产资本表!Q19</f>
        <v>0</v>
      </c>
      <c r="R27" s="76">
        <f>资产资本表!R19</f>
        <v>0</v>
      </c>
      <c r="S27" s="76">
        <f>资产资本表!S19</f>
        <v>0</v>
      </c>
      <c r="T27" s="76">
        <f>资产资本表!T19</f>
        <v>0</v>
      </c>
      <c r="U27" s="76">
        <f>资产资本表!U19</f>
        <v>0</v>
      </c>
      <c r="V27" s="76">
        <f>资产资本表!V19</f>
        <v>0</v>
      </c>
      <c r="W27" s="76">
        <f>资产资本表!W19</f>
        <v>0</v>
      </c>
      <c r="X27" s="76">
        <f>资产资本表!X19</f>
        <v>0</v>
      </c>
      <c r="Y27" s="76">
        <f>资产资本表!Y19</f>
        <v>0</v>
      </c>
      <c r="Z27" s="76">
        <f>资产资本表!Z19</f>
        <v>0</v>
      </c>
      <c r="AA27" s="76">
        <f>资产资本表!AA19</f>
        <v>0</v>
      </c>
      <c r="AB27" s="76">
        <f>资产资本表!AB19</f>
        <v>0</v>
      </c>
      <c r="AC27" s="76">
        <f>资产资本表!AC19</f>
        <v>0</v>
      </c>
      <c r="AD27" s="76">
        <f>资产资本表!AD19</f>
        <v>0</v>
      </c>
      <c r="AE27" s="76">
        <f>资产资本表!AE19</f>
        <v>0</v>
      </c>
      <c r="AF27" s="76">
        <f>资产资本表!AF19</f>
        <v>0</v>
      </c>
      <c r="AG27" s="76">
        <f>资产资本表!AG19</f>
        <v>0</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2" customFormat="1">
      <c r="A28" s="149" t="s">
        <v>449</v>
      </c>
      <c r="E28" s="112" t="e">
        <f>E26/E27</f>
        <v>#DIV/0!</v>
      </c>
      <c r="F28" s="112" t="e">
        <f t="shared" ref="F28:BQ28" si="12">F26/F27</f>
        <v>#DIV/0!</v>
      </c>
      <c r="G28" s="112" t="e">
        <f t="shared" si="12"/>
        <v>#DIV/0!</v>
      </c>
      <c r="H28" s="112" t="e">
        <f t="shared" si="12"/>
        <v>#DIV/0!</v>
      </c>
      <c r="I28" s="112" t="e">
        <f t="shared" si="12"/>
        <v>#DIV/0!</v>
      </c>
      <c r="J28" s="112" t="e">
        <f t="shared" si="12"/>
        <v>#DIV/0!</v>
      </c>
      <c r="K28" s="112" t="e">
        <f t="shared" si="12"/>
        <v>#DIV/0!</v>
      </c>
      <c r="L28" s="112" t="e">
        <f t="shared" si="12"/>
        <v>#DIV/0!</v>
      </c>
      <c r="M28" s="112" t="e">
        <f t="shared" si="12"/>
        <v>#DIV/0!</v>
      </c>
      <c r="N28" s="112" t="e">
        <f t="shared" si="12"/>
        <v>#DIV/0!</v>
      </c>
      <c r="O28" s="112" t="e">
        <f t="shared" si="12"/>
        <v>#DIV/0!</v>
      </c>
      <c r="P28" s="112" t="e">
        <f t="shared" si="12"/>
        <v>#DIV/0!</v>
      </c>
      <c r="Q28" s="112" t="e">
        <f t="shared" si="12"/>
        <v>#DIV/0!</v>
      </c>
      <c r="R28" s="112" t="e">
        <f t="shared" si="12"/>
        <v>#DIV/0!</v>
      </c>
      <c r="S28" s="112" t="e">
        <f t="shared" si="12"/>
        <v>#DIV/0!</v>
      </c>
      <c r="T28" s="112" t="e">
        <f t="shared" si="12"/>
        <v>#DIV/0!</v>
      </c>
      <c r="U28" s="112" t="e">
        <f t="shared" si="12"/>
        <v>#DIV/0!</v>
      </c>
      <c r="V28" s="112" t="e">
        <f t="shared" si="12"/>
        <v>#DIV/0!</v>
      </c>
      <c r="W28" s="112" t="e">
        <f t="shared" si="12"/>
        <v>#DIV/0!</v>
      </c>
      <c r="X28" s="112" t="e">
        <f t="shared" si="12"/>
        <v>#DIV/0!</v>
      </c>
      <c r="Y28" s="112" t="e">
        <f t="shared" si="12"/>
        <v>#DIV/0!</v>
      </c>
      <c r="Z28" s="112" t="e">
        <f t="shared" si="12"/>
        <v>#DIV/0!</v>
      </c>
      <c r="AA28" s="112" t="e">
        <f t="shared" si="12"/>
        <v>#DIV/0!</v>
      </c>
      <c r="AB28" s="112" t="e">
        <f t="shared" si="12"/>
        <v>#DIV/0!</v>
      </c>
      <c r="AC28" s="112" t="e">
        <f t="shared" si="12"/>
        <v>#DIV/0!</v>
      </c>
      <c r="AD28" s="112" t="e">
        <f t="shared" si="12"/>
        <v>#DIV/0!</v>
      </c>
      <c r="AE28" s="112" t="e">
        <f t="shared" si="12"/>
        <v>#DIV/0!</v>
      </c>
      <c r="AF28" s="112" t="e">
        <f t="shared" si="12"/>
        <v>#DIV/0!</v>
      </c>
      <c r="AG28" s="112" t="e">
        <f t="shared" si="12"/>
        <v>#DIV/0!</v>
      </c>
      <c r="AH28" s="112" t="e">
        <f t="shared" si="12"/>
        <v>#DIV/0!</v>
      </c>
      <c r="AI28" s="112" t="e">
        <f t="shared" si="12"/>
        <v>#DIV/0!</v>
      </c>
      <c r="AJ28" s="112" t="e">
        <f t="shared" si="12"/>
        <v>#DIV/0!</v>
      </c>
      <c r="AK28" s="112" t="e">
        <f t="shared" si="12"/>
        <v>#DIV/0!</v>
      </c>
      <c r="AL28" s="112" t="e">
        <f t="shared" si="12"/>
        <v>#DIV/0!</v>
      </c>
      <c r="AM28" s="112" t="e">
        <f t="shared" si="12"/>
        <v>#DIV/0!</v>
      </c>
      <c r="AN28" s="112" t="e">
        <f t="shared" si="12"/>
        <v>#DIV/0!</v>
      </c>
      <c r="AO28" s="112" t="e">
        <f t="shared" si="12"/>
        <v>#DIV/0!</v>
      </c>
      <c r="AP28" s="112" t="e">
        <f t="shared" si="12"/>
        <v>#DIV/0!</v>
      </c>
      <c r="AQ28" s="112" t="e">
        <f t="shared" si="12"/>
        <v>#DIV/0!</v>
      </c>
      <c r="AR28" s="112" t="e">
        <f t="shared" si="12"/>
        <v>#DIV/0!</v>
      </c>
      <c r="AS28" s="112" t="e">
        <f t="shared" si="12"/>
        <v>#DIV/0!</v>
      </c>
      <c r="AT28" s="112" t="e">
        <f t="shared" si="12"/>
        <v>#DIV/0!</v>
      </c>
      <c r="AU28" s="112" t="e">
        <f t="shared" si="12"/>
        <v>#DIV/0!</v>
      </c>
      <c r="AV28" s="112" t="e">
        <f t="shared" si="12"/>
        <v>#DIV/0!</v>
      </c>
      <c r="AW28" s="112" t="e">
        <f t="shared" si="12"/>
        <v>#DIV/0!</v>
      </c>
      <c r="AX28" s="112" t="e">
        <f t="shared" si="12"/>
        <v>#DIV/0!</v>
      </c>
      <c r="AY28" s="112" t="e">
        <f t="shared" si="12"/>
        <v>#DIV/0!</v>
      </c>
      <c r="AZ28" s="112" t="e">
        <f t="shared" si="12"/>
        <v>#DIV/0!</v>
      </c>
      <c r="BA28" s="112" t="e">
        <f t="shared" si="12"/>
        <v>#DIV/0!</v>
      </c>
      <c r="BB28" s="112" t="e">
        <f t="shared" si="12"/>
        <v>#DIV/0!</v>
      </c>
      <c r="BC28" s="112" t="e">
        <f t="shared" si="12"/>
        <v>#DIV/0!</v>
      </c>
      <c r="BD28" s="112" t="e">
        <f t="shared" si="12"/>
        <v>#DIV/0!</v>
      </c>
      <c r="BE28" s="112" t="e">
        <f t="shared" si="12"/>
        <v>#DIV/0!</v>
      </c>
      <c r="BF28" s="112" t="e">
        <f t="shared" si="12"/>
        <v>#DIV/0!</v>
      </c>
      <c r="BG28" s="112" t="e">
        <f t="shared" si="12"/>
        <v>#DIV/0!</v>
      </c>
      <c r="BH28" s="112" t="e">
        <f t="shared" si="12"/>
        <v>#DIV/0!</v>
      </c>
      <c r="BI28" s="112" t="e">
        <f t="shared" si="12"/>
        <v>#DIV/0!</v>
      </c>
      <c r="BJ28" s="112" t="e">
        <f t="shared" si="12"/>
        <v>#DIV/0!</v>
      </c>
      <c r="BK28" s="112" t="e">
        <f t="shared" si="12"/>
        <v>#DIV/0!</v>
      </c>
      <c r="BL28" s="112" t="e">
        <f t="shared" si="12"/>
        <v>#DIV/0!</v>
      </c>
      <c r="BM28" s="112" t="e">
        <f t="shared" si="12"/>
        <v>#DIV/0!</v>
      </c>
      <c r="BN28" s="112" t="e">
        <f t="shared" si="12"/>
        <v>#DIV/0!</v>
      </c>
      <c r="BO28" s="112" t="e">
        <f t="shared" si="12"/>
        <v>#DIV/0!</v>
      </c>
      <c r="BP28" s="112" t="e">
        <f t="shared" si="12"/>
        <v>#DIV/0!</v>
      </c>
      <c r="BQ28" s="112" t="e">
        <f t="shared" si="12"/>
        <v>#DIV/0!</v>
      </c>
      <c r="BR28" s="112" t="e">
        <f t="shared" ref="BR28:CJ28" si="13">BR26/BR27</f>
        <v>#DIV/0!</v>
      </c>
      <c r="BS28" s="112" t="e">
        <f t="shared" si="13"/>
        <v>#DIV/0!</v>
      </c>
      <c r="BT28" s="112" t="e">
        <f t="shared" si="13"/>
        <v>#DIV/0!</v>
      </c>
      <c r="BU28" s="112" t="e">
        <f t="shared" si="13"/>
        <v>#DIV/0!</v>
      </c>
      <c r="BV28" s="112" t="e">
        <f t="shared" si="13"/>
        <v>#DIV/0!</v>
      </c>
      <c r="BW28" s="112" t="e">
        <f t="shared" si="13"/>
        <v>#DIV/0!</v>
      </c>
      <c r="BX28" s="112" t="e">
        <f t="shared" si="13"/>
        <v>#DIV/0!</v>
      </c>
      <c r="BY28" s="112" t="e">
        <f t="shared" si="13"/>
        <v>#DIV/0!</v>
      </c>
      <c r="BZ28" s="112" t="e">
        <f t="shared" si="13"/>
        <v>#DIV/0!</v>
      </c>
      <c r="CA28" s="112" t="e">
        <f t="shared" si="13"/>
        <v>#DIV/0!</v>
      </c>
      <c r="CB28" s="112" t="e">
        <f t="shared" si="13"/>
        <v>#DIV/0!</v>
      </c>
      <c r="CC28" s="112" t="e">
        <f t="shared" si="13"/>
        <v>#DIV/0!</v>
      </c>
      <c r="CD28" s="112" t="e">
        <f t="shared" si="13"/>
        <v>#DIV/0!</v>
      </c>
      <c r="CE28" s="112" t="e">
        <f t="shared" si="13"/>
        <v>#DIV/0!</v>
      </c>
      <c r="CF28" s="112" t="e">
        <f t="shared" si="13"/>
        <v>#DIV/0!</v>
      </c>
      <c r="CG28" s="112" t="e">
        <f t="shared" si="13"/>
        <v>#DIV/0!</v>
      </c>
      <c r="CH28" s="112" t="e">
        <f t="shared" si="13"/>
        <v>#DIV/0!</v>
      </c>
      <c r="CI28" s="112" t="e">
        <f t="shared" si="13"/>
        <v>#DIV/0!</v>
      </c>
      <c r="CJ28" s="112" t="e">
        <f t="shared" si="13"/>
        <v>#DIV/0!</v>
      </c>
    </row>
    <row r="29" spans="1:89" s="26" customFormat="1">
      <c r="A29" s="17"/>
    </row>
    <row r="30" spans="1:89" s="26" customFormat="1">
      <c r="A30" s="17"/>
    </row>
    <row r="31" spans="1:89" s="119" customFormat="1">
      <c r="A31" s="121" t="s">
        <v>450</v>
      </c>
      <c r="B31" s="1">
        <v>43373</v>
      </c>
      <c r="C31" s="1">
        <v>43281</v>
      </c>
      <c r="D31" s="1">
        <v>43190</v>
      </c>
      <c r="E31" s="1">
        <v>43100</v>
      </c>
      <c r="F31" s="1">
        <v>43008</v>
      </c>
      <c r="G31" s="1">
        <v>42916</v>
      </c>
      <c r="H31" s="1">
        <v>42825</v>
      </c>
      <c r="I31" s="1">
        <v>42735</v>
      </c>
      <c r="J31" s="1">
        <v>42643</v>
      </c>
      <c r="K31" s="1">
        <v>42551</v>
      </c>
      <c r="L31" s="1">
        <v>42460</v>
      </c>
      <c r="M31" s="1">
        <v>42369</v>
      </c>
      <c r="N31" s="1">
        <v>42277</v>
      </c>
      <c r="O31" s="1">
        <v>42004</v>
      </c>
      <c r="P31" s="1">
        <v>41639</v>
      </c>
      <c r="Q31" s="1">
        <v>41274</v>
      </c>
      <c r="R31" s="1">
        <v>40908</v>
      </c>
      <c r="S31" s="1">
        <v>25569</v>
      </c>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c r="A32" s="152" t="s">
        <v>454</v>
      </c>
      <c r="E32" s="76">
        <f>股权价值增加表!E29</f>
        <v>11873122.114521885</v>
      </c>
      <c r="F32" s="76">
        <f>股权价值增加表!F29</f>
        <v>29541.994641782283</v>
      </c>
      <c r="G32" s="76">
        <f>股权价值增加表!G29</f>
        <v>22139.07730530146</v>
      </c>
      <c r="H32" s="76">
        <f>股权价值增加表!H29</f>
        <v>15935.360731871224</v>
      </c>
      <c r="I32" s="76">
        <f>股权价值增加表!I29</f>
        <v>1435877.2020580801</v>
      </c>
      <c r="J32" s="76">
        <f>股权价值增加表!J29</f>
        <v>0</v>
      </c>
      <c r="K32" s="76">
        <f>股权价值增加表!K29</f>
        <v>0</v>
      </c>
      <c r="L32" s="76">
        <f>股权价值增加表!L29</f>
        <v>0</v>
      </c>
      <c r="M32" s="76">
        <f>股权价值增加表!M29</f>
        <v>1793269.5452203688</v>
      </c>
      <c r="N32" s="76">
        <f>股权价值增加表!N29</f>
        <v>0</v>
      </c>
      <c r="O32" s="76">
        <f>股权价值增加表!O29</f>
        <v>0</v>
      </c>
      <c r="P32" s="76">
        <f>股权价值增加表!P29</f>
        <v>0</v>
      </c>
      <c r="Q32" s="76">
        <f>股权价值增加表!Q29</f>
        <v>0</v>
      </c>
      <c r="R32" s="76">
        <f>股权价值增加表!R29</f>
        <v>0</v>
      </c>
      <c r="S32" s="76" t="e">
        <f>股权价值增加表!S29</f>
        <v>#DIV/0!</v>
      </c>
      <c r="T32" s="76">
        <f>股权价值增加表!T29</f>
        <v>-5280836.1149216248</v>
      </c>
      <c r="U32" s="76">
        <f>股权价值增加表!U29</f>
        <v>-34891602.718662813</v>
      </c>
      <c r="V32" s="76">
        <f>股权价值增加表!V29</f>
        <v>-23224203.406152558</v>
      </c>
      <c r="W32" s="76">
        <f>股权价值增加表!W29</f>
        <v>-10440135.543750722</v>
      </c>
      <c r="X32" s="76">
        <f>股权价值增加表!X29</f>
        <v>-989075.35703140288</v>
      </c>
      <c r="Y32" s="76">
        <f>股权价值增加表!Y29</f>
        <v>-5447326.9096817933</v>
      </c>
      <c r="Z32" s="76">
        <f>股权价值增加表!Z29</f>
        <v>0</v>
      </c>
      <c r="AA32" s="76">
        <f>股权价值增加表!AA29</f>
        <v>0</v>
      </c>
      <c r="AB32" s="76">
        <f>股权价值增加表!AB29</f>
        <v>0</v>
      </c>
      <c r="AC32" s="76">
        <f>股权价值增加表!AC29</f>
        <v>-162670081.55460021</v>
      </c>
      <c r="AD32" s="76">
        <f>股权价值增加表!AD29</f>
        <v>0</v>
      </c>
      <c r="AE32" s="76">
        <f>股权价值增加表!AE29</f>
        <v>0</v>
      </c>
      <c r="AF32" s="76">
        <f>股权价值增加表!AF29</f>
        <v>0</v>
      </c>
      <c r="AG32" s="76">
        <f>股权价值增加表!AG29</f>
        <v>3517588.139701453</v>
      </c>
      <c r="AH32" s="76">
        <f>股权价值增加表!AH29</f>
        <v>0</v>
      </c>
      <c r="AI32" s="76">
        <f>股权价值增加表!AI29</f>
        <v>0</v>
      </c>
      <c r="AJ32" s="76">
        <f>股权价值增加表!AJ29</f>
        <v>0</v>
      </c>
      <c r="AK32" s="76">
        <f>股权价值增加表!AK29</f>
        <v>10880782.670911618</v>
      </c>
      <c r="AL32" s="76">
        <f>股权价值增加表!AL29</f>
        <v>2022116.3171779532</v>
      </c>
      <c r="AM32" s="76">
        <f>股权价值增加表!AM29</f>
        <v>0</v>
      </c>
      <c r="AN32" s="76">
        <f>股权价值增加表!AN29</f>
        <v>2197686.0725476858</v>
      </c>
      <c r="AO32" s="76">
        <f>股权价值增加表!AO29</f>
        <v>1254231</v>
      </c>
      <c r="AP32" s="76">
        <f>股权价值增加表!AP29</f>
        <v>0</v>
      </c>
      <c r="AQ32" s="76">
        <f>股权价值增加表!AQ29</f>
        <v>0</v>
      </c>
      <c r="AR32" s="76">
        <f>股权价值增加表!AR29</f>
        <v>0</v>
      </c>
      <c r="AS32" s="76" t="e">
        <f>股权价值增加表!AS29</f>
        <v>#DIV/0!</v>
      </c>
      <c r="AT32" s="76">
        <f>股权价值增加表!AT29</f>
        <v>-13003140.681632061</v>
      </c>
      <c r="AU32" s="76">
        <f>股权价值增加表!AU29</f>
        <v>-20273858.635097776</v>
      </c>
      <c r="AV32" s="76">
        <f>股权价值增加表!AV29</f>
        <v>0</v>
      </c>
      <c r="AW32" s="76">
        <f>股权价值增加表!AW29</f>
        <v>13589374.630842954</v>
      </c>
      <c r="AX32" s="76">
        <f>股权价值增加表!AX29</f>
        <v>19968810.999266259</v>
      </c>
      <c r="AY32" s="76">
        <f>股权价值增加表!AY29</f>
        <v>-1423099.2058320753</v>
      </c>
      <c r="AZ32" s="76">
        <f>股权价值增加表!AZ29</f>
        <v>-7194596.6275969138</v>
      </c>
      <c r="BA32" s="76">
        <f>股权价值增加表!BA29</f>
        <v>-181556067.22954905</v>
      </c>
      <c r="BB32" s="76">
        <f>股权价值增加表!BB29</f>
        <v>-143078150.54667872</v>
      </c>
      <c r="BC32" s="76">
        <f>股权价值增加表!BC29</f>
        <v>-130799362.71280822</v>
      </c>
      <c r="BD32" s="76">
        <f>股权价值增加表!BD29</f>
        <v>-9180723.6354263648</v>
      </c>
      <c r="BE32" s="76">
        <f>股权价值增加表!BE29</f>
        <v>-39163425.10763751</v>
      </c>
      <c r="BF32" s="76">
        <f>股权价值增加表!BF29</f>
        <v>-29010920.011306331</v>
      </c>
      <c r="BG32" s="76">
        <f>股权价值增加表!BG29</f>
        <v>-17084859.33726842</v>
      </c>
      <c r="BH32" s="76">
        <f>股权价值增加表!BH29</f>
        <v>-14601441.917478967</v>
      </c>
      <c r="BI32" s="76">
        <f>股权价值增加表!BI29</f>
        <v>-37902491.761407793</v>
      </c>
      <c r="BJ32" s="76">
        <f>股权价值增加表!BJ29</f>
        <v>3637143.7941476554</v>
      </c>
      <c r="BK32" s="76">
        <f>股权价值增加表!BK29</f>
        <v>17088874.201992691</v>
      </c>
      <c r="BL32" s="76">
        <f>股权价值增加表!BL29</f>
        <v>-19157263.320142653</v>
      </c>
      <c r="BM32" s="76">
        <f>股权价值增加表!BM29</f>
        <v>-77532345.976353824</v>
      </c>
      <c r="BN32" s="76">
        <f>股权价值增加表!BN29</f>
        <v>-44465528.91937016</v>
      </c>
      <c r="BO32" s="76">
        <f>股权价值增加表!BO29</f>
        <v>-23927295.945694104</v>
      </c>
      <c r="BP32" s="76">
        <f>股权价值增加表!BP29</f>
        <v>-15677534.370202009</v>
      </c>
      <c r="BQ32" s="76">
        <f>股权价值增加表!BQ29</f>
        <v>-81369625.584198147</v>
      </c>
      <c r="BR32" s="76">
        <f>股权价值增加表!BR29</f>
        <v>-14320831.603676498</v>
      </c>
      <c r="BS32" s="76">
        <f>股权价值增加表!BS29</f>
        <v>6639032.4941815287</v>
      </c>
      <c r="BT32" s="76">
        <f>股权价值增加表!BT29</f>
        <v>8336415.3521843404</v>
      </c>
      <c r="BU32" s="76">
        <f>股权价值增加表!BU29</f>
        <v>-42090769.441926852</v>
      </c>
      <c r="BV32" s="76">
        <f>股权价值增加表!BV29</f>
        <v>-31537945.171112079</v>
      </c>
      <c r="BW32" s="76">
        <f>股权价值增加表!BW29</f>
        <v>41571053.049183644</v>
      </c>
      <c r="BX32" s="76">
        <f>股权价值增加表!BX29</f>
        <v>-2405395.41</v>
      </c>
      <c r="BY32" s="76">
        <f>股权价值增加表!BY29</f>
        <v>26374725.858461704</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c r="A33" s="153" t="s">
        <v>455</v>
      </c>
    </row>
    <row r="34" spans="1:89" s="76" customFormat="1">
      <c r="A34" s="152" t="s">
        <v>456</v>
      </c>
      <c r="E34" s="76">
        <f>资产资本表!E4</f>
        <v>462619726.81</v>
      </c>
      <c r="F34" s="76">
        <f>资产资本表!F4</f>
        <v>107296926.2</v>
      </c>
      <c r="G34" s="76">
        <f>资产资本表!G4</f>
        <v>59705580.670000002</v>
      </c>
      <c r="H34" s="76">
        <f>资产资本表!H4</f>
        <v>86686115.099999994</v>
      </c>
      <c r="I34" s="76">
        <f>资产资本表!I4</f>
        <v>113271854.45999999</v>
      </c>
      <c r="J34" s="76">
        <f>资产资本表!J4</f>
        <v>85346380.980000004</v>
      </c>
      <c r="K34" s="76">
        <f>资产资本表!K4</f>
        <v>83238034.700000003</v>
      </c>
      <c r="L34" s="76">
        <f>资产资本表!L4</f>
        <v>101054543.05</v>
      </c>
      <c r="M34" s="76">
        <f>资产资本表!M4</f>
        <v>117877584.94</v>
      </c>
      <c r="N34" s="76">
        <f>资产资本表!N4</f>
        <v>87797003.269999996</v>
      </c>
      <c r="O34" s="76">
        <f>资产资本表!O4</f>
        <v>65376596.740000002</v>
      </c>
      <c r="P34" s="76">
        <f>资产资本表!P4</f>
        <v>33665736.18</v>
      </c>
      <c r="Q34" s="76">
        <f>资产资本表!Q4</f>
        <v>0</v>
      </c>
      <c r="R34" s="76">
        <f>资产资本表!R4</f>
        <v>0</v>
      </c>
      <c r="S34" s="76">
        <f>资产资本表!S4</f>
        <v>0</v>
      </c>
      <c r="T34" s="76">
        <f>资产资本表!T4</f>
        <v>0</v>
      </c>
      <c r="U34" s="76">
        <f>资产资本表!U4</f>
        <v>0</v>
      </c>
      <c r="V34" s="76">
        <f>资产资本表!V4</f>
        <v>0</v>
      </c>
      <c r="W34" s="76">
        <f>资产资本表!W4</f>
        <v>0</v>
      </c>
      <c r="X34" s="76">
        <f>资产资本表!X4</f>
        <v>0</v>
      </c>
      <c r="Y34" s="76">
        <f>资产资本表!Y4</f>
        <v>0</v>
      </c>
      <c r="Z34" s="76">
        <f>资产资本表!Z4</f>
        <v>0</v>
      </c>
      <c r="AA34" s="76">
        <f>资产资本表!AA4</f>
        <v>0</v>
      </c>
      <c r="AB34" s="76">
        <f>资产资本表!AB4</f>
        <v>0</v>
      </c>
      <c r="AC34" s="76">
        <f>资产资本表!AC4</f>
        <v>0</v>
      </c>
      <c r="AD34" s="76">
        <f>资产资本表!AD4</f>
        <v>0</v>
      </c>
      <c r="AE34" s="76">
        <f>资产资本表!AE4</f>
        <v>0</v>
      </c>
      <c r="AF34" s="76">
        <f>资产资本表!AF4</f>
        <v>0</v>
      </c>
      <c r="AG34" s="76">
        <f>资产资本表!AG4</f>
        <v>0</v>
      </c>
      <c r="AH34" s="76">
        <f>资产资本表!AH4</f>
        <v>0</v>
      </c>
      <c r="AI34" s="76">
        <f>资产资本表!AI4</f>
        <v>0</v>
      </c>
      <c r="AJ34" s="76">
        <f>资产资本表!AJ4</f>
        <v>0</v>
      </c>
      <c r="AK34" s="76">
        <f>资产资本表!AK4</f>
        <v>0</v>
      </c>
      <c r="AL34" s="76">
        <f>资产资本表!AL4</f>
        <v>0</v>
      </c>
      <c r="AM34" s="76">
        <f>资产资本表!AM4</f>
        <v>0</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c r="A35" s="152" t="s">
        <v>457</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c r="A36" s="152" t="s">
        <v>458</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c r="A37" s="152" t="s">
        <v>459</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c r="A38" s="152" t="s">
        <v>460</v>
      </c>
      <c r="E38" s="76">
        <f>资产资本表!E8</f>
        <v>0</v>
      </c>
      <c r="F38" s="76">
        <f>资产资本表!F8</f>
        <v>0</v>
      </c>
      <c r="G38" s="76">
        <f>资产资本表!G8</f>
        <v>0</v>
      </c>
      <c r="H38" s="76">
        <f>资产资本表!H8</f>
        <v>0</v>
      </c>
      <c r="I38" s="76">
        <f>资产资本表!I8</f>
        <v>0</v>
      </c>
      <c r="J38" s="76">
        <f>资产资本表!J8</f>
        <v>0</v>
      </c>
      <c r="K38" s="76">
        <f>资产资本表!K8</f>
        <v>0</v>
      </c>
      <c r="L38" s="76">
        <f>资产资本表!L8</f>
        <v>0</v>
      </c>
      <c r="M38" s="76">
        <f>资产资本表!M8</f>
        <v>0</v>
      </c>
      <c r="N38" s="76">
        <f>资产资本表!N8</f>
        <v>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c r="A39" s="152" t="s">
        <v>461</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c r="A40" s="152" t="s">
        <v>462</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c r="A41" s="152" t="s">
        <v>463</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c r="A42" s="152" t="s">
        <v>464</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c r="A43" s="153" t="s">
        <v>465</v>
      </c>
      <c r="E43" s="76">
        <f>SUM(E34:E42)</f>
        <v>462619726.81</v>
      </c>
      <c r="F43" s="76">
        <f t="shared" ref="F43:BQ43" si="14">SUM(F34:F42)</f>
        <v>107296926.2</v>
      </c>
      <c r="G43" s="76">
        <f t="shared" si="14"/>
        <v>59705580.670000002</v>
      </c>
      <c r="H43" s="76">
        <f t="shared" si="14"/>
        <v>86686115.099999994</v>
      </c>
      <c r="I43" s="76">
        <f t="shared" si="14"/>
        <v>113271854.45999999</v>
      </c>
      <c r="J43" s="76">
        <f t="shared" si="14"/>
        <v>85346380.980000004</v>
      </c>
      <c r="K43" s="76">
        <f t="shared" si="14"/>
        <v>83238034.700000003</v>
      </c>
      <c r="L43" s="76">
        <f t="shared" si="14"/>
        <v>101054543.05</v>
      </c>
      <c r="M43" s="76">
        <f t="shared" si="14"/>
        <v>117877584.94</v>
      </c>
      <c r="N43" s="76">
        <f t="shared" si="14"/>
        <v>87797003.269999996</v>
      </c>
      <c r="O43" s="76">
        <f t="shared" si="14"/>
        <v>65376596.740000002</v>
      </c>
      <c r="P43" s="76">
        <f t="shared" si="14"/>
        <v>33665736.18</v>
      </c>
      <c r="Q43" s="76">
        <f t="shared" si="14"/>
        <v>0</v>
      </c>
      <c r="R43" s="76">
        <f t="shared" si="14"/>
        <v>0</v>
      </c>
      <c r="S43" s="76">
        <f t="shared" si="14"/>
        <v>0</v>
      </c>
      <c r="T43" s="76">
        <f t="shared" si="14"/>
        <v>0</v>
      </c>
      <c r="U43" s="76">
        <f t="shared" si="14"/>
        <v>0</v>
      </c>
      <c r="V43" s="76">
        <f t="shared" si="14"/>
        <v>0</v>
      </c>
      <c r="W43" s="76">
        <f t="shared" si="14"/>
        <v>0</v>
      </c>
      <c r="X43" s="76">
        <f t="shared" si="14"/>
        <v>0</v>
      </c>
      <c r="Y43" s="76">
        <f t="shared" si="14"/>
        <v>0</v>
      </c>
      <c r="Z43" s="76">
        <f t="shared" si="14"/>
        <v>0</v>
      </c>
      <c r="AA43" s="76">
        <f t="shared" si="14"/>
        <v>0</v>
      </c>
      <c r="AB43" s="76">
        <f t="shared" si="14"/>
        <v>0</v>
      </c>
      <c r="AC43" s="76">
        <f t="shared" si="14"/>
        <v>0</v>
      </c>
      <c r="AD43" s="76">
        <f t="shared" si="14"/>
        <v>0</v>
      </c>
      <c r="AE43" s="76">
        <f t="shared" si="14"/>
        <v>0</v>
      </c>
      <c r="AF43" s="76">
        <f t="shared" si="14"/>
        <v>0</v>
      </c>
      <c r="AG43" s="76">
        <f t="shared" si="14"/>
        <v>0</v>
      </c>
      <c r="AH43" s="76">
        <f t="shared" si="14"/>
        <v>0</v>
      </c>
      <c r="AI43" s="76">
        <f t="shared" si="14"/>
        <v>0</v>
      </c>
      <c r="AJ43" s="76">
        <f t="shared" si="14"/>
        <v>0</v>
      </c>
      <c r="AK43" s="76">
        <f t="shared" si="14"/>
        <v>0</v>
      </c>
      <c r="AL43" s="76">
        <f t="shared" si="14"/>
        <v>0</v>
      </c>
      <c r="AM43" s="76">
        <f t="shared" si="14"/>
        <v>0</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2" customFormat="1">
      <c r="A44" s="149" t="s">
        <v>466</v>
      </c>
      <c r="E44" s="112">
        <f>E32/E43</f>
        <v>2.5664971522924768E-2</v>
      </c>
      <c r="F44" s="112">
        <f t="shared" ref="F44:BQ44" si="16">F32/F43</f>
        <v>2.7532936578925299E-4</v>
      </c>
      <c r="G44" s="112">
        <f t="shared" si="16"/>
        <v>3.7080415359607387E-4</v>
      </c>
      <c r="H44" s="112">
        <f t="shared" si="16"/>
        <v>1.8382829491768544E-4</v>
      </c>
      <c r="I44" s="112">
        <f t="shared" si="16"/>
        <v>1.2676381161969371E-2</v>
      </c>
      <c r="J44" s="112">
        <f t="shared" si="16"/>
        <v>0</v>
      </c>
      <c r="K44" s="112">
        <f t="shared" si="16"/>
        <v>0</v>
      </c>
      <c r="L44" s="112">
        <f t="shared" si="16"/>
        <v>0</v>
      </c>
      <c r="M44" s="112">
        <f t="shared" si="16"/>
        <v>1.521298172280292E-2</v>
      </c>
      <c r="N44" s="112">
        <f t="shared" si="16"/>
        <v>0</v>
      </c>
      <c r="O44" s="112">
        <f t="shared" si="16"/>
        <v>0</v>
      </c>
      <c r="P44" s="112">
        <f t="shared" si="16"/>
        <v>0</v>
      </c>
      <c r="Q44" s="112" t="e">
        <f t="shared" si="16"/>
        <v>#DIV/0!</v>
      </c>
      <c r="R44" s="112" t="e">
        <f t="shared" si="16"/>
        <v>#DIV/0!</v>
      </c>
      <c r="S44" s="112" t="e">
        <f t="shared" si="16"/>
        <v>#DIV/0!</v>
      </c>
      <c r="T44" s="112" t="e">
        <f t="shared" si="16"/>
        <v>#DIV/0!</v>
      </c>
      <c r="U44" s="112" t="e">
        <f t="shared" si="16"/>
        <v>#DIV/0!</v>
      </c>
      <c r="V44" s="112" t="e">
        <f t="shared" si="16"/>
        <v>#DIV/0!</v>
      </c>
      <c r="W44" s="112" t="e">
        <f t="shared" si="16"/>
        <v>#DIV/0!</v>
      </c>
      <c r="X44" s="112" t="e">
        <f t="shared" si="16"/>
        <v>#DIV/0!</v>
      </c>
      <c r="Y44" s="112" t="e">
        <f t="shared" si="16"/>
        <v>#DIV/0!</v>
      </c>
      <c r="Z44" s="112" t="e">
        <f t="shared" si="16"/>
        <v>#DIV/0!</v>
      </c>
      <c r="AA44" s="112" t="e">
        <f t="shared" si="16"/>
        <v>#DIV/0!</v>
      </c>
      <c r="AB44" s="112" t="e">
        <f t="shared" si="16"/>
        <v>#DIV/0!</v>
      </c>
      <c r="AC44" s="112" t="e">
        <f t="shared" si="16"/>
        <v>#DIV/0!</v>
      </c>
      <c r="AD44" s="112" t="e">
        <f t="shared" si="16"/>
        <v>#DIV/0!</v>
      </c>
      <c r="AE44" s="112" t="e">
        <f t="shared" si="16"/>
        <v>#DIV/0!</v>
      </c>
      <c r="AF44" s="112" t="e">
        <f t="shared" si="16"/>
        <v>#DIV/0!</v>
      </c>
      <c r="AG44" s="112" t="e">
        <f t="shared" si="16"/>
        <v>#DIV/0!</v>
      </c>
      <c r="AH44" s="112" t="e">
        <f t="shared" si="16"/>
        <v>#DIV/0!</v>
      </c>
      <c r="AI44" s="112" t="e">
        <f t="shared" si="16"/>
        <v>#DIV/0!</v>
      </c>
      <c r="AJ44" s="112" t="e">
        <f t="shared" si="16"/>
        <v>#DIV/0!</v>
      </c>
      <c r="AK44" s="112" t="e">
        <f t="shared" si="16"/>
        <v>#DIV/0!</v>
      </c>
      <c r="AL44" s="112" t="e">
        <f t="shared" si="16"/>
        <v>#DIV/0!</v>
      </c>
      <c r="AM44" s="112" t="e">
        <f t="shared" si="16"/>
        <v>#DIV/0!</v>
      </c>
      <c r="AN44" s="112" t="e">
        <f t="shared" si="16"/>
        <v>#DIV/0!</v>
      </c>
      <c r="AO44" s="112" t="e">
        <f t="shared" si="16"/>
        <v>#DIV/0!</v>
      </c>
      <c r="AP44" s="112" t="e">
        <f t="shared" si="16"/>
        <v>#DIV/0!</v>
      </c>
      <c r="AQ44" s="112" t="e">
        <f t="shared" si="16"/>
        <v>#DIV/0!</v>
      </c>
      <c r="AR44" s="112" t="e">
        <f t="shared" si="16"/>
        <v>#DIV/0!</v>
      </c>
      <c r="AS44" s="112" t="e">
        <f t="shared" si="16"/>
        <v>#DIV/0!</v>
      </c>
      <c r="AT44" s="112" t="e">
        <f t="shared" si="16"/>
        <v>#DIV/0!</v>
      </c>
      <c r="AU44" s="112" t="e">
        <f t="shared" si="16"/>
        <v>#DIV/0!</v>
      </c>
      <c r="AV44" s="112" t="e">
        <f t="shared" si="16"/>
        <v>#DIV/0!</v>
      </c>
      <c r="AW44" s="112" t="e">
        <f t="shared" si="16"/>
        <v>#DIV/0!</v>
      </c>
      <c r="AX44" s="112" t="e">
        <f t="shared" si="16"/>
        <v>#DIV/0!</v>
      </c>
      <c r="AY44" s="112" t="e">
        <f t="shared" si="16"/>
        <v>#DIV/0!</v>
      </c>
      <c r="AZ44" s="112" t="e">
        <f t="shared" si="16"/>
        <v>#DIV/0!</v>
      </c>
      <c r="BA44" s="112" t="e">
        <f t="shared" si="16"/>
        <v>#DIV/0!</v>
      </c>
      <c r="BB44" s="112" t="e">
        <f t="shared" si="16"/>
        <v>#DIV/0!</v>
      </c>
      <c r="BC44" s="112" t="e">
        <f t="shared" si="16"/>
        <v>#DIV/0!</v>
      </c>
      <c r="BD44" s="112" t="e">
        <f t="shared" si="16"/>
        <v>#DIV/0!</v>
      </c>
      <c r="BE44" s="112" t="e">
        <f t="shared" si="16"/>
        <v>#DIV/0!</v>
      </c>
      <c r="BF44" s="112" t="e">
        <f t="shared" si="16"/>
        <v>#DIV/0!</v>
      </c>
      <c r="BG44" s="112" t="e">
        <f t="shared" si="16"/>
        <v>#DIV/0!</v>
      </c>
      <c r="BH44" s="112" t="e">
        <f t="shared" si="16"/>
        <v>#DIV/0!</v>
      </c>
      <c r="BI44" s="112" t="e">
        <f t="shared" si="16"/>
        <v>#DIV/0!</v>
      </c>
      <c r="BJ44" s="112" t="e">
        <f t="shared" si="16"/>
        <v>#DIV/0!</v>
      </c>
      <c r="BK44" s="112" t="e">
        <f t="shared" si="16"/>
        <v>#DIV/0!</v>
      </c>
      <c r="BL44" s="112" t="e">
        <f t="shared" si="16"/>
        <v>#DIV/0!</v>
      </c>
      <c r="BM44" s="112" t="e">
        <f t="shared" si="16"/>
        <v>#DIV/0!</v>
      </c>
      <c r="BN44" s="112" t="e">
        <f t="shared" si="16"/>
        <v>#DIV/0!</v>
      </c>
      <c r="BO44" s="112" t="e">
        <f t="shared" si="16"/>
        <v>#DIV/0!</v>
      </c>
      <c r="BP44" s="112" t="e">
        <f t="shared" si="16"/>
        <v>#DIV/0!</v>
      </c>
      <c r="BQ44" s="112" t="e">
        <f t="shared" si="16"/>
        <v>#DIV/0!</v>
      </c>
      <c r="BR44" s="112" t="e">
        <f t="shared" ref="BR44:CK44" si="17">BR32/BR43</f>
        <v>#DIV/0!</v>
      </c>
      <c r="BS44" s="112" t="e">
        <f t="shared" si="17"/>
        <v>#DIV/0!</v>
      </c>
      <c r="BT44" s="112" t="e">
        <f t="shared" si="17"/>
        <v>#DIV/0!</v>
      </c>
      <c r="BU44" s="112" t="e">
        <f t="shared" si="17"/>
        <v>#DIV/0!</v>
      </c>
      <c r="BV44" s="112" t="e">
        <f t="shared" si="17"/>
        <v>#DIV/0!</v>
      </c>
      <c r="BW44" s="112" t="e">
        <f t="shared" si="17"/>
        <v>#DIV/0!</v>
      </c>
      <c r="BX44" s="112" t="e">
        <f t="shared" si="17"/>
        <v>#DIV/0!</v>
      </c>
      <c r="BY44" s="112" t="e">
        <f t="shared" si="17"/>
        <v>#DIV/0!</v>
      </c>
      <c r="BZ44" s="112" t="e">
        <f t="shared" si="17"/>
        <v>#DIV/0!</v>
      </c>
      <c r="CA44" s="112" t="e">
        <f t="shared" si="17"/>
        <v>#DIV/0!</v>
      </c>
      <c r="CB44" s="112" t="e">
        <f t="shared" si="17"/>
        <v>#DIV/0!</v>
      </c>
      <c r="CC44" s="112" t="e">
        <f t="shared" si="17"/>
        <v>#DIV/0!</v>
      </c>
      <c r="CD44" s="112" t="e">
        <f t="shared" si="17"/>
        <v>#DIV/0!</v>
      </c>
      <c r="CE44" s="112" t="e">
        <f t="shared" si="17"/>
        <v>#DIV/0!</v>
      </c>
      <c r="CF44" s="112" t="e">
        <f t="shared" si="17"/>
        <v>#DIV/0!</v>
      </c>
      <c r="CG44" s="112" t="e">
        <f t="shared" si="17"/>
        <v>#DIV/0!</v>
      </c>
      <c r="CH44" s="112" t="e">
        <f t="shared" si="17"/>
        <v>#DIV/0!</v>
      </c>
      <c r="CI44" s="112" t="e">
        <f t="shared" si="17"/>
        <v>#DIV/0!</v>
      </c>
      <c r="CJ44" s="112" t="e">
        <f t="shared" si="17"/>
        <v>#DIV/0!</v>
      </c>
      <c r="CK44" s="112" t="e">
        <f t="shared" si="17"/>
        <v>#DIV/0!</v>
      </c>
    </row>
    <row r="45" spans="1:89" s="16" customFormat="1" ht="28.5" customHeight="1">
      <c r="A45" s="235"/>
      <c r="B45" s="236"/>
      <c r="C45" s="236"/>
      <c r="D45" s="236"/>
      <c r="E45" s="236"/>
      <c r="F45" s="236"/>
      <c r="G45" s="236"/>
      <c r="H45" s="236"/>
      <c r="I45" s="236"/>
      <c r="J45" s="236"/>
      <c r="K45" s="236"/>
      <c r="L45" s="236"/>
      <c r="M45" s="236"/>
      <c r="N45" s="236"/>
      <c r="O45" s="236"/>
      <c r="P45" s="236"/>
      <c r="Q45" s="236"/>
      <c r="R45" s="236"/>
      <c r="S45" s="236"/>
      <c r="T45" s="236"/>
      <c r="U45" s="236"/>
      <c r="V45" s="236"/>
      <c r="W45" s="236"/>
      <c r="X45" s="236"/>
      <c r="Y45" s="236"/>
      <c r="Z45" s="236"/>
      <c r="AA45" s="236"/>
      <c r="AB45" s="236"/>
      <c r="AC45" s="236"/>
      <c r="AD45" s="236"/>
      <c r="AE45" s="236"/>
      <c r="AF45" s="236"/>
      <c r="AG45" s="236"/>
    </row>
    <row r="48" spans="1:89" s="119" customFormat="1">
      <c r="A48" s="121" t="s">
        <v>467</v>
      </c>
      <c r="B48" s="1">
        <v>43373</v>
      </c>
      <c r="C48" s="1">
        <v>43281</v>
      </c>
      <c r="D48" s="1">
        <v>43190</v>
      </c>
      <c r="E48" s="1">
        <v>43100</v>
      </c>
      <c r="F48" s="1">
        <v>43008</v>
      </c>
      <c r="G48" s="1">
        <v>42916</v>
      </c>
      <c r="H48" s="1">
        <v>42825</v>
      </c>
      <c r="I48" s="1">
        <v>42735</v>
      </c>
      <c r="J48" s="1">
        <v>42643</v>
      </c>
      <c r="K48" s="1">
        <v>42551</v>
      </c>
      <c r="L48" s="1">
        <v>42460</v>
      </c>
      <c r="M48" s="1">
        <v>42369</v>
      </c>
      <c r="N48" s="1">
        <v>42277</v>
      </c>
      <c r="O48" s="1">
        <v>42004</v>
      </c>
      <c r="P48" s="1">
        <v>41639</v>
      </c>
      <c r="Q48" s="1">
        <v>41274</v>
      </c>
      <c r="R48" s="1">
        <v>40908</v>
      </c>
      <c r="S48" s="1">
        <v>25569</v>
      </c>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c r="A49" s="152" t="s">
        <v>468</v>
      </c>
      <c r="E49" s="76">
        <f>利润表!E4</f>
        <v>192228852.33000001</v>
      </c>
      <c r="F49" s="76">
        <f>利润表!F4</f>
        <v>102176580.98999999</v>
      </c>
      <c r="G49" s="76">
        <f>利润表!G4</f>
        <v>77918188.989999995</v>
      </c>
      <c r="H49" s="76">
        <f>利润表!H4</f>
        <v>17058644.949999999</v>
      </c>
      <c r="I49" s="76">
        <f>利润表!I4</f>
        <v>165733894.71000001</v>
      </c>
      <c r="J49" s="76">
        <f>利润表!J4</f>
        <v>108502593.70999999</v>
      </c>
      <c r="K49" s="76">
        <f>利润表!K4</f>
        <v>80972644.640000001</v>
      </c>
      <c r="L49" s="76">
        <f>利润表!L4</f>
        <v>14971904.439999999</v>
      </c>
      <c r="M49" s="76">
        <f>利润表!M4</f>
        <v>148520212.02000001</v>
      </c>
      <c r="N49" s="76">
        <f>利润表!N4</f>
        <v>87957669.829999998</v>
      </c>
      <c r="O49" s="76">
        <f>利润表!O4</f>
        <v>179299034.00999999</v>
      </c>
      <c r="P49" s="76">
        <f>利润表!P4</f>
        <v>208788264.84</v>
      </c>
      <c r="Q49" s="76">
        <f>利润表!Q4</f>
        <v>193493383.34</v>
      </c>
      <c r="R49" s="76">
        <f>利润表!R4</f>
        <v>82207078.170000002</v>
      </c>
      <c r="S49" s="76">
        <f>利润表!S4</f>
        <v>0</v>
      </c>
      <c r="T49" s="76">
        <f>利润表!T4</f>
        <v>0</v>
      </c>
      <c r="U49" s="76">
        <f>利润表!U4</f>
        <v>0</v>
      </c>
      <c r="V49" s="76">
        <f>利润表!V4</f>
        <v>0</v>
      </c>
      <c r="W49" s="76">
        <f>利润表!W4</f>
        <v>0</v>
      </c>
      <c r="X49" s="76">
        <f>利润表!X4</f>
        <v>0</v>
      </c>
      <c r="Y49" s="76">
        <f>利润表!Y4</f>
        <v>0</v>
      </c>
      <c r="Z49" s="76">
        <f>利润表!Z4</f>
        <v>0</v>
      </c>
      <c r="AA49" s="76">
        <f>利润表!AA4</f>
        <v>0</v>
      </c>
      <c r="AB49" s="76">
        <f>利润表!AB4</f>
        <v>0</v>
      </c>
      <c r="AC49" s="76">
        <f>利润表!AC4</f>
        <v>0</v>
      </c>
      <c r="AD49" s="76">
        <f>利润表!AD4</f>
        <v>0</v>
      </c>
      <c r="AE49" s="76">
        <f>利润表!AE4</f>
        <v>0</v>
      </c>
      <c r="AF49" s="76">
        <f>利润表!AF4</f>
        <v>0</v>
      </c>
      <c r="AG49" s="76">
        <f>利润表!AG4</f>
        <v>0</v>
      </c>
      <c r="AH49" s="76">
        <f>利润表!AH4</f>
        <v>0</v>
      </c>
      <c r="AI49" s="76">
        <f>利润表!AI4</f>
        <v>0</v>
      </c>
      <c r="AJ49" s="76">
        <f>利润表!AJ4</f>
        <v>0</v>
      </c>
      <c r="AK49" s="76">
        <f>利润表!AK4</f>
        <v>0</v>
      </c>
      <c r="AL49" s="76">
        <f>利润表!AL4</f>
        <v>0</v>
      </c>
      <c r="AM49" s="76">
        <f>利润表!AM4</f>
        <v>0</v>
      </c>
      <c r="AN49" s="76">
        <f>利润表!AN4</f>
        <v>0</v>
      </c>
      <c r="AO49" s="76">
        <f>利润表!AO4</f>
        <v>0</v>
      </c>
      <c r="AP49" s="76">
        <f>利润表!AP4</f>
        <v>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c r="A50" s="152" t="s">
        <v>469</v>
      </c>
      <c r="E50" s="76">
        <f>资产资本表!E50</f>
        <v>33893357.269999981</v>
      </c>
      <c r="F50" s="76">
        <f>资产资本表!F50</f>
        <v>358649879.79999995</v>
      </c>
      <c r="G50" s="76">
        <f>资产资本表!G50</f>
        <v>407926947.43000001</v>
      </c>
      <c r="H50" s="76">
        <f>资产资本表!H50</f>
        <v>375783858.84000003</v>
      </c>
      <c r="I50" s="76">
        <f>资产资本表!I50</f>
        <v>347074413.43000007</v>
      </c>
      <c r="J50" s="76">
        <f>资产资本表!J50</f>
        <v>87577078.320000023</v>
      </c>
      <c r="K50" s="76">
        <f>资产资本表!K50</f>
        <v>83471294.189999998</v>
      </c>
      <c r="L50" s="76">
        <f>资产资本表!L50</f>
        <v>48258446.470000014</v>
      </c>
      <c r="M50" s="76">
        <f>资产资本表!M50</f>
        <v>59500874.920000002</v>
      </c>
      <c r="N50" s="76">
        <f>资产资本表!N50</f>
        <v>49952721.640000001</v>
      </c>
      <c r="O50" s="76">
        <f>资产资本表!O50</f>
        <v>24221166.460000008</v>
      </c>
      <c r="P50" s="76">
        <f>资产资本表!P50</f>
        <v>27484403.180000003</v>
      </c>
      <c r="Q50" s="76">
        <f>资产资本表!Q50</f>
        <v>0</v>
      </c>
      <c r="R50" s="76">
        <f>资产资本表!R50</f>
        <v>0</v>
      </c>
      <c r="S50" s="76">
        <f>资产资本表!S50</f>
        <v>0</v>
      </c>
      <c r="T50" s="76">
        <f>资产资本表!T50</f>
        <v>0</v>
      </c>
      <c r="U50" s="76">
        <f>资产资本表!U50</f>
        <v>0</v>
      </c>
      <c r="V50" s="76">
        <f>资产资本表!V50</f>
        <v>0</v>
      </c>
      <c r="W50" s="76">
        <f>资产资本表!W50</f>
        <v>0</v>
      </c>
      <c r="X50" s="76">
        <f>资产资本表!X50</f>
        <v>0</v>
      </c>
      <c r="Y50" s="76">
        <f>资产资本表!Y50</f>
        <v>0</v>
      </c>
      <c r="Z50" s="76">
        <f>资产资本表!Z50</f>
        <v>0</v>
      </c>
      <c r="AA50" s="76">
        <f>资产资本表!AA50</f>
        <v>0</v>
      </c>
      <c r="AB50" s="76">
        <f>资产资本表!AB50</f>
        <v>0</v>
      </c>
      <c r="AC50" s="76">
        <f>资产资本表!AC50</f>
        <v>0</v>
      </c>
      <c r="AD50" s="76">
        <f>资产资本表!AD50</f>
        <v>0</v>
      </c>
      <c r="AE50" s="76">
        <f>资产资本表!AE50</f>
        <v>0</v>
      </c>
      <c r="AF50" s="76">
        <f>资产资本表!AF50</f>
        <v>0</v>
      </c>
      <c r="AG50" s="76">
        <f>资产资本表!AG50</f>
        <v>0</v>
      </c>
      <c r="AH50" s="76">
        <f>资产资本表!AH50</f>
        <v>0</v>
      </c>
      <c r="AI50" s="76">
        <f>资产资本表!AI50</f>
        <v>0</v>
      </c>
      <c r="AJ50" s="76">
        <f>资产资本表!AJ50</f>
        <v>0</v>
      </c>
      <c r="AK50" s="76">
        <f>资产资本表!AK50</f>
        <v>0</v>
      </c>
      <c r="AL50" s="76">
        <f>资产资本表!AL50</f>
        <v>0</v>
      </c>
      <c r="AM50" s="76">
        <f>资产资本表!AM50</f>
        <v>0</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c r="A51" s="147" t="s">
        <v>470</v>
      </c>
      <c r="E51" s="44">
        <f>E49/E50</f>
        <v>5.6715789704358235</v>
      </c>
      <c r="F51" s="44">
        <f t="shared" ref="F51:BQ51" si="18">F49/F50</f>
        <v>0.28489227724536942</v>
      </c>
      <c r="G51" s="44">
        <f t="shared" si="18"/>
        <v>0.19101015385449793</v>
      </c>
      <c r="H51" s="44">
        <f t="shared" si="18"/>
        <v>4.5394831493449458E-2</v>
      </c>
      <c r="I51" s="44">
        <f t="shared" si="18"/>
        <v>0.47751689060601454</v>
      </c>
      <c r="J51" s="44">
        <f t="shared" si="18"/>
        <v>1.2389382677684191</v>
      </c>
      <c r="K51" s="44">
        <f t="shared" si="18"/>
        <v>0.97006576243669485</v>
      </c>
      <c r="L51" s="44">
        <f t="shared" si="18"/>
        <v>0.3102442273873719</v>
      </c>
      <c r="M51" s="44">
        <f t="shared" si="18"/>
        <v>2.496101313126708</v>
      </c>
      <c r="N51" s="44">
        <f t="shared" si="18"/>
        <v>1.7608183686945951</v>
      </c>
      <c r="O51" s="44">
        <f t="shared" si="18"/>
        <v>7.4025763501565036</v>
      </c>
      <c r="P51" s="44">
        <f t="shared" si="18"/>
        <v>7.5966090103034203</v>
      </c>
      <c r="Q51" s="44" t="e">
        <f t="shared" si="18"/>
        <v>#DIV/0!</v>
      </c>
      <c r="R51" s="44" t="e">
        <f t="shared" si="18"/>
        <v>#DIV/0!</v>
      </c>
      <c r="S51" s="44" t="e">
        <f t="shared" si="18"/>
        <v>#DIV/0!</v>
      </c>
      <c r="T51" s="44" t="e">
        <f t="shared" si="18"/>
        <v>#DIV/0!</v>
      </c>
      <c r="U51" s="44" t="e">
        <f t="shared" si="18"/>
        <v>#DIV/0!</v>
      </c>
      <c r="V51" s="44" t="e">
        <f t="shared" si="18"/>
        <v>#DIV/0!</v>
      </c>
      <c r="W51" s="44" t="e">
        <f t="shared" si="18"/>
        <v>#DIV/0!</v>
      </c>
      <c r="X51" s="44" t="e">
        <f t="shared" si="18"/>
        <v>#DIV/0!</v>
      </c>
      <c r="Y51" s="44" t="e">
        <f t="shared" si="18"/>
        <v>#DIV/0!</v>
      </c>
      <c r="Z51" s="44" t="e">
        <f t="shared" si="18"/>
        <v>#DIV/0!</v>
      </c>
      <c r="AA51" s="44" t="e">
        <f t="shared" si="18"/>
        <v>#DIV/0!</v>
      </c>
      <c r="AB51" s="44" t="e">
        <f t="shared" si="18"/>
        <v>#DIV/0!</v>
      </c>
      <c r="AC51" s="44" t="e">
        <f t="shared" si="18"/>
        <v>#DIV/0!</v>
      </c>
      <c r="AD51" s="44" t="e">
        <f t="shared" si="18"/>
        <v>#DIV/0!</v>
      </c>
      <c r="AE51" s="44" t="e">
        <f t="shared" si="18"/>
        <v>#DIV/0!</v>
      </c>
      <c r="AF51" s="44" t="e">
        <f t="shared" si="18"/>
        <v>#DIV/0!</v>
      </c>
      <c r="AG51" s="44" t="e">
        <f t="shared" si="18"/>
        <v>#DIV/0!</v>
      </c>
      <c r="AH51" s="44" t="e">
        <f t="shared" si="18"/>
        <v>#DIV/0!</v>
      </c>
      <c r="AI51" s="44" t="e">
        <f t="shared" si="18"/>
        <v>#DIV/0!</v>
      </c>
      <c r="AJ51" s="44" t="e">
        <f t="shared" si="18"/>
        <v>#DIV/0!</v>
      </c>
      <c r="AK51" s="44" t="e">
        <f t="shared" si="18"/>
        <v>#DIV/0!</v>
      </c>
      <c r="AL51" s="44" t="e">
        <f t="shared" si="18"/>
        <v>#DIV/0!</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c r="A52" s="152" t="s">
        <v>471</v>
      </c>
      <c r="E52" s="76">
        <f>资产资本表!E68</f>
        <v>184267617.44999999</v>
      </c>
      <c r="F52" s="76">
        <f>资产资本表!F68</f>
        <v>177621360.12</v>
      </c>
      <c r="G52" s="76">
        <f>资产资本表!G68</f>
        <v>125502574.55</v>
      </c>
      <c r="H52" s="76">
        <f>资产资本表!H68</f>
        <v>121850622.88</v>
      </c>
      <c r="I52" s="76">
        <f>资产资本表!I68</f>
        <v>122211044.83999999</v>
      </c>
      <c r="J52" s="76">
        <f>资产资本表!J68</f>
        <v>106885665.91</v>
      </c>
      <c r="K52" s="76">
        <f>资产资本表!K68</f>
        <v>102860874.88</v>
      </c>
      <c r="L52" s="76">
        <f>资产资本表!L68</f>
        <v>90585586.769999996</v>
      </c>
      <c r="M52" s="76">
        <f>资产资本表!M68</f>
        <v>34469860.640000001</v>
      </c>
      <c r="N52" s="76">
        <f>资产资本表!N68</f>
        <v>32109703.940000001</v>
      </c>
      <c r="O52" s="76">
        <f>资产资本表!O68</f>
        <v>15975368.899999999</v>
      </c>
      <c r="P52" s="76">
        <f>资产资本表!P68</f>
        <v>1059573.78</v>
      </c>
      <c r="Q52" s="76">
        <f>资产资本表!Q68</f>
        <v>0</v>
      </c>
      <c r="R52" s="76">
        <f>资产资本表!R68</f>
        <v>0</v>
      </c>
      <c r="S52" s="76">
        <f>资产资本表!S68</f>
        <v>0</v>
      </c>
      <c r="T52" s="76">
        <f>资产资本表!T68</f>
        <v>0</v>
      </c>
      <c r="U52" s="76">
        <f>资产资本表!U68</f>
        <v>0</v>
      </c>
      <c r="V52" s="76">
        <f>资产资本表!V68</f>
        <v>0</v>
      </c>
      <c r="W52" s="76">
        <f>资产资本表!W68</f>
        <v>0</v>
      </c>
      <c r="X52" s="76">
        <f>资产资本表!X68</f>
        <v>0</v>
      </c>
      <c r="Y52" s="76">
        <f>资产资本表!Y68</f>
        <v>0</v>
      </c>
      <c r="Z52" s="76">
        <f>资产资本表!Z68</f>
        <v>0</v>
      </c>
      <c r="AA52" s="76">
        <f>资产资本表!AA68</f>
        <v>0</v>
      </c>
      <c r="AB52" s="76">
        <f>资产资本表!AB68</f>
        <v>0</v>
      </c>
      <c r="AC52" s="76">
        <f>资产资本表!AC68</f>
        <v>0</v>
      </c>
      <c r="AD52" s="76">
        <f>资产资本表!AD68</f>
        <v>0</v>
      </c>
      <c r="AE52" s="76">
        <f>资产资本表!AE68</f>
        <v>0</v>
      </c>
      <c r="AF52" s="76">
        <f>资产资本表!AF68</f>
        <v>0</v>
      </c>
      <c r="AG52" s="76">
        <f>资产资本表!AG68</f>
        <v>0</v>
      </c>
      <c r="AH52" s="76">
        <f>资产资本表!AH68</f>
        <v>0</v>
      </c>
      <c r="AI52" s="76">
        <f>资产资本表!AI68</f>
        <v>0</v>
      </c>
      <c r="AJ52" s="76">
        <f>资产资本表!AJ68</f>
        <v>0</v>
      </c>
      <c r="AK52" s="76">
        <f>资产资本表!AK68</f>
        <v>0</v>
      </c>
      <c r="AL52" s="76">
        <f>资产资本表!AL68</f>
        <v>0</v>
      </c>
      <c r="AM52" s="76">
        <f>资产资本表!AM68</f>
        <v>0</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c r="A53" s="147" t="s">
        <v>472</v>
      </c>
      <c r="E53" s="44">
        <f>E49/E52</f>
        <v>1.0432047420494828</v>
      </c>
      <c r="F53" s="44">
        <f t="shared" ref="F53:BQ53" si="20">F49/F52</f>
        <v>0.57524940086580834</v>
      </c>
      <c r="G53" s="44">
        <f t="shared" si="20"/>
        <v>0.62084932734951603</v>
      </c>
      <c r="H53" s="44">
        <f t="shared" si="20"/>
        <v>0.13999637052983771</v>
      </c>
      <c r="I53" s="44">
        <f t="shared" si="20"/>
        <v>1.3561286128187562</v>
      </c>
      <c r="J53" s="44">
        <f t="shared" si="20"/>
        <v>1.0151276392978783</v>
      </c>
      <c r="K53" s="44">
        <f t="shared" si="20"/>
        <v>0.78720548249725331</v>
      </c>
      <c r="L53" s="44">
        <f t="shared" si="20"/>
        <v>0.16527910204980173</v>
      </c>
      <c r="M53" s="44">
        <f t="shared" si="20"/>
        <v>4.3086977801021948</v>
      </c>
      <c r="N53" s="44">
        <f t="shared" si="20"/>
        <v>2.7392862293080364</v>
      </c>
      <c r="O53" s="44">
        <f t="shared" si="20"/>
        <v>11.223467522555927</v>
      </c>
      <c r="P53" s="44">
        <f t="shared" si="20"/>
        <v>197.04929357538461</v>
      </c>
      <c r="Q53" s="44" t="e">
        <f t="shared" si="20"/>
        <v>#DIV/0!</v>
      </c>
      <c r="R53" s="44" t="e">
        <f t="shared" si="20"/>
        <v>#DIV/0!</v>
      </c>
      <c r="S53" s="44" t="e">
        <f t="shared" si="20"/>
        <v>#DIV/0!</v>
      </c>
      <c r="T53" s="44" t="e">
        <f t="shared" si="20"/>
        <v>#DIV/0!</v>
      </c>
      <c r="U53" s="44" t="e">
        <f t="shared" si="20"/>
        <v>#DIV/0!</v>
      </c>
      <c r="V53" s="44" t="e">
        <f t="shared" si="20"/>
        <v>#DIV/0!</v>
      </c>
      <c r="W53" s="44" t="e">
        <f t="shared" si="20"/>
        <v>#DIV/0!</v>
      </c>
      <c r="X53" s="44" t="e">
        <f t="shared" si="20"/>
        <v>#DIV/0!</v>
      </c>
      <c r="Y53" s="44" t="e">
        <f t="shared" si="20"/>
        <v>#DIV/0!</v>
      </c>
      <c r="Z53" s="44" t="e">
        <f t="shared" si="20"/>
        <v>#DIV/0!</v>
      </c>
      <c r="AA53" s="44" t="e">
        <f t="shared" si="20"/>
        <v>#DIV/0!</v>
      </c>
      <c r="AB53" s="44" t="e">
        <f t="shared" si="20"/>
        <v>#DIV/0!</v>
      </c>
      <c r="AC53" s="44" t="e">
        <f t="shared" si="20"/>
        <v>#DIV/0!</v>
      </c>
      <c r="AD53" s="44" t="e">
        <f t="shared" si="20"/>
        <v>#DIV/0!</v>
      </c>
      <c r="AE53" s="44" t="e">
        <f t="shared" si="20"/>
        <v>#DIV/0!</v>
      </c>
      <c r="AF53" s="44" t="e">
        <f t="shared" si="20"/>
        <v>#DIV/0!</v>
      </c>
      <c r="AG53" s="44" t="e">
        <f t="shared" si="20"/>
        <v>#DIV/0!</v>
      </c>
      <c r="AH53" s="44" t="e">
        <f t="shared" si="20"/>
        <v>#DIV/0!</v>
      </c>
      <c r="AI53" s="44" t="e">
        <f t="shared" si="20"/>
        <v>#DIV/0!</v>
      </c>
      <c r="AJ53" s="44" t="e">
        <f t="shared" si="20"/>
        <v>#DIV/0!</v>
      </c>
      <c r="AK53" s="44" t="e">
        <f t="shared" si="20"/>
        <v>#DIV/0!</v>
      </c>
      <c r="AL53" s="44" t="e">
        <f t="shared" si="20"/>
        <v>#DIV/0!</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c r="A54" s="152" t="s">
        <v>473</v>
      </c>
      <c r="E54" s="76">
        <f>资产资本表!E17</f>
        <v>462619726.81</v>
      </c>
      <c r="F54" s="76">
        <f>资产资本表!F17</f>
        <v>107296926.2</v>
      </c>
      <c r="G54" s="76">
        <f>资产资本表!G17</f>
        <v>59705580.670000002</v>
      </c>
      <c r="H54" s="76">
        <f>资产资本表!H17</f>
        <v>86686115.099999994</v>
      </c>
      <c r="I54" s="76">
        <f>资产资本表!I17</f>
        <v>113271854.45999999</v>
      </c>
      <c r="J54" s="76">
        <f>资产资本表!J17</f>
        <v>85346380.980000004</v>
      </c>
      <c r="K54" s="76">
        <f>资产资本表!K17</f>
        <v>83238034.700000003</v>
      </c>
      <c r="L54" s="76">
        <f>资产资本表!L17</f>
        <v>101054543.05</v>
      </c>
      <c r="M54" s="76">
        <f>资产资本表!M17</f>
        <v>117877584.94</v>
      </c>
      <c r="N54" s="76">
        <f>资产资本表!N17</f>
        <v>87797003.269999996</v>
      </c>
      <c r="O54" s="76">
        <f>资产资本表!O17</f>
        <v>65376596.740000002</v>
      </c>
      <c r="P54" s="76">
        <f>资产资本表!P17</f>
        <v>33665736.18</v>
      </c>
      <c r="Q54" s="76">
        <f>资产资本表!Q17</f>
        <v>0</v>
      </c>
      <c r="R54" s="76">
        <f>资产资本表!R17</f>
        <v>0</v>
      </c>
      <c r="S54" s="76">
        <f>资产资本表!S17</f>
        <v>0</v>
      </c>
      <c r="T54" s="76">
        <f>资产资本表!T17</f>
        <v>0</v>
      </c>
      <c r="U54" s="76">
        <f>资产资本表!U17</f>
        <v>0</v>
      </c>
      <c r="V54" s="76">
        <f>资产资本表!V17</f>
        <v>0</v>
      </c>
      <c r="W54" s="76">
        <f>资产资本表!W17</f>
        <v>0</v>
      </c>
      <c r="X54" s="76">
        <f>资产资本表!X17</f>
        <v>0</v>
      </c>
      <c r="Y54" s="76">
        <f>资产资本表!Y17</f>
        <v>0</v>
      </c>
      <c r="Z54" s="76">
        <f>资产资本表!Z17</f>
        <v>0</v>
      </c>
      <c r="AA54" s="76">
        <f>资产资本表!AA17</f>
        <v>0</v>
      </c>
      <c r="AB54" s="76">
        <f>资产资本表!AB17</f>
        <v>0</v>
      </c>
      <c r="AC54" s="76">
        <f>资产资本表!AC17</f>
        <v>0</v>
      </c>
      <c r="AD54" s="76">
        <f>资产资本表!AD17</f>
        <v>0</v>
      </c>
      <c r="AE54" s="76">
        <f>资产资本表!AE17</f>
        <v>0</v>
      </c>
      <c r="AF54" s="76">
        <f>资产资本表!AF17</f>
        <v>0</v>
      </c>
      <c r="AG54" s="76">
        <f>资产资本表!AG17</f>
        <v>0</v>
      </c>
      <c r="AH54" s="76">
        <f>资产资本表!AH17</f>
        <v>0</v>
      </c>
      <c r="AI54" s="76">
        <f>资产资本表!AI17</f>
        <v>0</v>
      </c>
      <c r="AJ54" s="76">
        <f>资产资本表!AJ17</f>
        <v>0</v>
      </c>
      <c r="AK54" s="76">
        <f>资产资本表!AK17</f>
        <v>0</v>
      </c>
      <c r="AL54" s="76">
        <f>资产资本表!AL17</f>
        <v>0</v>
      </c>
      <c r="AM54" s="76">
        <f>资产资本表!AM17</f>
        <v>0</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c r="A55" s="147" t="s">
        <v>474</v>
      </c>
      <c r="E55" s="44">
        <f>E49/E54</f>
        <v>0.41552238521153523</v>
      </c>
      <c r="F55" s="44">
        <f t="shared" ref="F55:BQ55" si="22">F49/F54</f>
        <v>0.95227873349833192</v>
      </c>
      <c r="G55" s="44">
        <f t="shared" si="22"/>
        <v>1.305040301352453</v>
      </c>
      <c r="H55" s="44">
        <f t="shared" si="22"/>
        <v>0.19678635881099718</v>
      </c>
      <c r="I55" s="44">
        <f t="shared" si="22"/>
        <v>1.4631515966618704</v>
      </c>
      <c r="J55" s="44">
        <f t="shared" si="22"/>
        <v>1.2713203824708912</v>
      </c>
      <c r="K55" s="44">
        <f t="shared" si="22"/>
        <v>0.9727841957325789</v>
      </c>
      <c r="L55" s="44">
        <f t="shared" si="22"/>
        <v>0.14815666854870807</v>
      </c>
      <c r="M55" s="44">
        <f t="shared" si="22"/>
        <v>1.2599529596368741</v>
      </c>
      <c r="N55" s="44">
        <f t="shared" si="22"/>
        <v>1.0018299777215165</v>
      </c>
      <c r="O55" s="44">
        <f t="shared" si="22"/>
        <v>2.742556862099518</v>
      </c>
      <c r="P55" s="44">
        <f t="shared" si="22"/>
        <v>6.2018030356940796</v>
      </c>
      <c r="Q55" s="44" t="e">
        <f t="shared" si="22"/>
        <v>#DIV/0!</v>
      </c>
      <c r="R55" s="44" t="e">
        <f t="shared" si="22"/>
        <v>#DIV/0!</v>
      </c>
      <c r="S55" s="44" t="e">
        <f t="shared" si="22"/>
        <v>#DIV/0!</v>
      </c>
      <c r="T55" s="44" t="e">
        <f t="shared" si="22"/>
        <v>#DIV/0!</v>
      </c>
      <c r="U55" s="44" t="e">
        <f t="shared" si="22"/>
        <v>#DIV/0!</v>
      </c>
      <c r="V55" s="44" t="e">
        <f t="shared" si="22"/>
        <v>#DIV/0!</v>
      </c>
      <c r="W55" s="44" t="e">
        <f t="shared" si="22"/>
        <v>#DIV/0!</v>
      </c>
      <c r="X55" s="44" t="e">
        <f t="shared" si="22"/>
        <v>#DIV/0!</v>
      </c>
      <c r="Y55" s="44" t="e">
        <f t="shared" si="22"/>
        <v>#DIV/0!</v>
      </c>
      <c r="Z55" s="44" t="e">
        <f t="shared" si="22"/>
        <v>#DIV/0!</v>
      </c>
      <c r="AA55" s="44" t="e">
        <f t="shared" si="22"/>
        <v>#DIV/0!</v>
      </c>
      <c r="AB55" s="44" t="e">
        <f t="shared" si="22"/>
        <v>#DIV/0!</v>
      </c>
      <c r="AC55" s="44" t="e">
        <f t="shared" si="22"/>
        <v>#DIV/0!</v>
      </c>
      <c r="AD55" s="44" t="e">
        <f t="shared" si="22"/>
        <v>#DIV/0!</v>
      </c>
      <c r="AE55" s="44" t="e">
        <f t="shared" si="22"/>
        <v>#DIV/0!</v>
      </c>
      <c r="AF55" s="44" t="e">
        <f t="shared" si="22"/>
        <v>#DIV/0!</v>
      </c>
      <c r="AG55" s="44" t="e">
        <f t="shared" si="22"/>
        <v>#DIV/0!</v>
      </c>
      <c r="AH55" s="44" t="e">
        <f t="shared" si="22"/>
        <v>#DIV/0!</v>
      </c>
      <c r="AI55" s="44" t="e">
        <f t="shared" si="22"/>
        <v>#DIV/0!</v>
      </c>
      <c r="AJ55" s="44" t="e">
        <f t="shared" si="22"/>
        <v>#DIV/0!</v>
      </c>
      <c r="AK55" s="44" t="e">
        <f t="shared" si="22"/>
        <v>#DIV/0!</v>
      </c>
      <c r="AL55" s="44" t="e">
        <f t="shared" si="22"/>
        <v>#DIV/0!</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c r="A56" s="152" t="s">
        <v>448</v>
      </c>
      <c r="E56" s="76">
        <f>资产资本表!E19</f>
        <v>0</v>
      </c>
      <c r="F56" s="76">
        <f>资产资本表!F19</f>
        <v>0</v>
      </c>
      <c r="G56" s="76">
        <f>资产资本表!G19</f>
        <v>0</v>
      </c>
      <c r="H56" s="76">
        <f>资产资本表!H19</f>
        <v>0</v>
      </c>
      <c r="I56" s="76">
        <f>资产资本表!I19</f>
        <v>0</v>
      </c>
      <c r="J56" s="76">
        <f>资产资本表!J19</f>
        <v>0</v>
      </c>
      <c r="K56" s="76">
        <f>资产资本表!K19</f>
        <v>0</v>
      </c>
      <c r="L56" s="76">
        <f>资产资本表!L19</f>
        <v>0</v>
      </c>
      <c r="M56" s="76">
        <f>资产资本表!M19</f>
        <v>0</v>
      </c>
      <c r="N56" s="76">
        <f>资产资本表!N19</f>
        <v>0</v>
      </c>
      <c r="O56" s="76">
        <f>资产资本表!O19</f>
        <v>0</v>
      </c>
      <c r="P56" s="76">
        <f>资产资本表!P19</f>
        <v>0</v>
      </c>
      <c r="Q56" s="76">
        <f>资产资本表!Q19</f>
        <v>0</v>
      </c>
      <c r="R56" s="76">
        <f>资产资本表!R19</f>
        <v>0</v>
      </c>
      <c r="S56" s="76">
        <f>资产资本表!S19</f>
        <v>0</v>
      </c>
      <c r="T56" s="76">
        <f>资产资本表!T19</f>
        <v>0</v>
      </c>
      <c r="U56" s="76">
        <f>资产资本表!U19</f>
        <v>0</v>
      </c>
      <c r="V56" s="76">
        <f>资产资本表!V19</f>
        <v>0</v>
      </c>
      <c r="W56" s="76">
        <f>资产资本表!W19</f>
        <v>0</v>
      </c>
      <c r="X56" s="76">
        <f>资产资本表!X19</f>
        <v>0</v>
      </c>
      <c r="Y56" s="76">
        <f>资产资本表!Y19</f>
        <v>0</v>
      </c>
      <c r="Z56" s="76">
        <f>资产资本表!Z19</f>
        <v>0</v>
      </c>
      <c r="AA56" s="76">
        <f>资产资本表!AA19</f>
        <v>0</v>
      </c>
      <c r="AB56" s="76">
        <f>资产资本表!AB19</f>
        <v>0</v>
      </c>
      <c r="AC56" s="76">
        <f>资产资本表!AC19</f>
        <v>0</v>
      </c>
      <c r="AD56" s="76">
        <f>资产资本表!AD19</f>
        <v>0</v>
      </c>
      <c r="AE56" s="76">
        <f>资产资本表!AE19</f>
        <v>0</v>
      </c>
      <c r="AF56" s="76">
        <f>资产资本表!AF19</f>
        <v>0</v>
      </c>
      <c r="AG56" s="76">
        <f>资产资本表!AG19</f>
        <v>0</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20" customFormat="1">
      <c r="A57" s="149" t="s">
        <v>475</v>
      </c>
      <c r="E57" s="120" t="e">
        <f>E49/E56</f>
        <v>#DIV/0!</v>
      </c>
      <c r="F57" s="120" t="e">
        <f t="shared" ref="F57:BQ57" si="24">F49/F56</f>
        <v>#DIV/0!</v>
      </c>
      <c r="G57" s="120" t="e">
        <f t="shared" si="24"/>
        <v>#DIV/0!</v>
      </c>
      <c r="H57" s="120" t="e">
        <f t="shared" si="24"/>
        <v>#DIV/0!</v>
      </c>
      <c r="I57" s="120" t="e">
        <f t="shared" si="24"/>
        <v>#DIV/0!</v>
      </c>
      <c r="J57" s="120" t="e">
        <f t="shared" si="24"/>
        <v>#DIV/0!</v>
      </c>
      <c r="K57" s="120" t="e">
        <f t="shared" si="24"/>
        <v>#DIV/0!</v>
      </c>
      <c r="L57" s="120" t="e">
        <f t="shared" si="24"/>
        <v>#DIV/0!</v>
      </c>
      <c r="M57" s="120" t="e">
        <f t="shared" si="24"/>
        <v>#DIV/0!</v>
      </c>
      <c r="N57" s="120" t="e">
        <f t="shared" si="24"/>
        <v>#DIV/0!</v>
      </c>
      <c r="O57" s="120" t="e">
        <f t="shared" si="24"/>
        <v>#DIV/0!</v>
      </c>
      <c r="P57" s="120" t="e">
        <f t="shared" si="24"/>
        <v>#DIV/0!</v>
      </c>
      <c r="Q57" s="120" t="e">
        <f t="shared" si="24"/>
        <v>#DIV/0!</v>
      </c>
      <c r="R57" s="120" t="e">
        <f t="shared" si="24"/>
        <v>#DIV/0!</v>
      </c>
      <c r="S57" s="120" t="e">
        <f t="shared" si="24"/>
        <v>#DIV/0!</v>
      </c>
      <c r="T57" s="120" t="e">
        <f t="shared" si="24"/>
        <v>#DIV/0!</v>
      </c>
      <c r="U57" s="120" t="e">
        <f t="shared" si="24"/>
        <v>#DIV/0!</v>
      </c>
      <c r="V57" s="120" t="e">
        <f t="shared" si="24"/>
        <v>#DIV/0!</v>
      </c>
      <c r="W57" s="120" t="e">
        <f t="shared" si="24"/>
        <v>#DIV/0!</v>
      </c>
      <c r="X57" s="120" t="e">
        <f t="shared" si="24"/>
        <v>#DIV/0!</v>
      </c>
      <c r="Y57" s="120" t="e">
        <f t="shared" si="24"/>
        <v>#DIV/0!</v>
      </c>
      <c r="Z57" s="120" t="e">
        <f t="shared" si="24"/>
        <v>#DIV/0!</v>
      </c>
      <c r="AA57" s="120" t="e">
        <f t="shared" si="24"/>
        <v>#DIV/0!</v>
      </c>
      <c r="AB57" s="120" t="e">
        <f t="shared" si="24"/>
        <v>#DIV/0!</v>
      </c>
      <c r="AC57" s="120" t="e">
        <f t="shared" si="24"/>
        <v>#DIV/0!</v>
      </c>
      <c r="AD57" s="120" t="e">
        <f t="shared" si="24"/>
        <v>#DIV/0!</v>
      </c>
      <c r="AE57" s="120" t="e">
        <f t="shared" si="24"/>
        <v>#DIV/0!</v>
      </c>
      <c r="AF57" s="120" t="e">
        <f t="shared" si="24"/>
        <v>#DIV/0!</v>
      </c>
      <c r="AG57" s="120" t="e">
        <f t="shared" si="24"/>
        <v>#DIV/0!</v>
      </c>
      <c r="AH57" s="120" t="e">
        <f t="shared" si="24"/>
        <v>#DIV/0!</v>
      </c>
      <c r="AI57" s="120" t="e">
        <f t="shared" si="24"/>
        <v>#DIV/0!</v>
      </c>
      <c r="AJ57" s="120" t="e">
        <f t="shared" si="24"/>
        <v>#DIV/0!</v>
      </c>
      <c r="AK57" s="120" t="e">
        <f t="shared" si="24"/>
        <v>#DIV/0!</v>
      </c>
      <c r="AL57" s="120" t="e">
        <f t="shared" si="24"/>
        <v>#DIV/0!</v>
      </c>
      <c r="AM57" s="120" t="e">
        <f t="shared" si="24"/>
        <v>#DIV/0!</v>
      </c>
      <c r="AN57" s="120" t="e">
        <f t="shared" si="24"/>
        <v>#DIV/0!</v>
      </c>
      <c r="AO57" s="120" t="e">
        <f t="shared" si="24"/>
        <v>#DIV/0!</v>
      </c>
      <c r="AP57" s="120" t="e">
        <f t="shared" si="24"/>
        <v>#DIV/0!</v>
      </c>
      <c r="AQ57" s="120" t="e">
        <f t="shared" si="24"/>
        <v>#DIV/0!</v>
      </c>
      <c r="AR57" s="120" t="e">
        <f t="shared" si="24"/>
        <v>#DIV/0!</v>
      </c>
      <c r="AS57" s="120" t="e">
        <f t="shared" si="24"/>
        <v>#DIV/0!</v>
      </c>
      <c r="AT57" s="120" t="e">
        <f t="shared" si="24"/>
        <v>#DIV/0!</v>
      </c>
      <c r="AU57" s="120" t="e">
        <f t="shared" si="24"/>
        <v>#DIV/0!</v>
      </c>
      <c r="AV57" s="120" t="e">
        <f t="shared" si="24"/>
        <v>#DIV/0!</v>
      </c>
      <c r="AW57" s="120" t="e">
        <f t="shared" si="24"/>
        <v>#DIV/0!</v>
      </c>
      <c r="AX57" s="120" t="e">
        <f t="shared" si="24"/>
        <v>#DIV/0!</v>
      </c>
      <c r="AY57" s="120" t="e">
        <f t="shared" si="24"/>
        <v>#DIV/0!</v>
      </c>
      <c r="AZ57" s="120" t="e">
        <f t="shared" si="24"/>
        <v>#DIV/0!</v>
      </c>
      <c r="BA57" s="120" t="e">
        <f t="shared" si="24"/>
        <v>#DIV/0!</v>
      </c>
      <c r="BB57" s="120" t="e">
        <f t="shared" si="24"/>
        <v>#DIV/0!</v>
      </c>
      <c r="BC57" s="120" t="e">
        <f t="shared" si="24"/>
        <v>#DIV/0!</v>
      </c>
      <c r="BD57" s="120" t="e">
        <f t="shared" si="24"/>
        <v>#DIV/0!</v>
      </c>
      <c r="BE57" s="120" t="e">
        <f t="shared" si="24"/>
        <v>#DIV/0!</v>
      </c>
      <c r="BF57" s="120" t="e">
        <f t="shared" si="24"/>
        <v>#DIV/0!</v>
      </c>
      <c r="BG57" s="120" t="e">
        <f t="shared" si="24"/>
        <v>#DIV/0!</v>
      </c>
      <c r="BH57" s="120" t="e">
        <f t="shared" si="24"/>
        <v>#DIV/0!</v>
      </c>
      <c r="BI57" s="120" t="e">
        <f t="shared" si="24"/>
        <v>#DIV/0!</v>
      </c>
      <c r="BJ57" s="120" t="e">
        <f t="shared" si="24"/>
        <v>#DIV/0!</v>
      </c>
      <c r="BK57" s="120" t="e">
        <f t="shared" si="24"/>
        <v>#DIV/0!</v>
      </c>
      <c r="BL57" s="120" t="e">
        <f t="shared" si="24"/>
        <v>#DIV/0!</v>
      </c>
      <c r="BM57" s="120" t="e">
        <f t="shared" si="24"/>
        <v>#DIV/0!</v>
      </c>
      <c r="BN57" s="120" t="e">
        <f t="shared" si="24"/>
        <v>#DIV/0!</v>
      </c>
      <c r="BO57" s="120" t="e">
        <f t="shared" si="24"/>
        <v>#DIV/0!</v>
      </c>
      <c r="BP57" s="120" t="e">
        <f t="shared" si="24"/>
        <v>#DIV/0!</v>
      </c>
      <c r="BQ57" s="120" t="e">
        <f t="shared" si="24"/>
        <v>#DIV/0!</v>
      </c>
      <c r="BR57" s="120" t="e">
        <f t="shared" ref="BR57:CK57" si="25">BR49/BR56</f>
        <v>#DIV/0!</v>
      </c>
      <c r="BS57" s="120" t="e">
        <f t="shared" si="25"/>
        <v>#DIV/0!</v>
      </c>
      <c r="BT57" s="120" t="e">
        <f t="shared" si="25"/>
        <v>#DIV/0!</v>
      </c>
      <c r="BU57" s="120" t="e">
        <f t="shared" si="25"/>
        <v>#DIV/0!</v>
      </c>
      <c r="BV57" s="120" t="e">
        <f t="shared" si="25"/>
        <v>#DIV/0!</v>
      </c>
      <c r="BW57" s="120" t="e">
        <f t="shared" si="25"/>
        <v>#DIV/0!</v>
      </c>
      <c r="BX57" s="120" t="e">
        <f t="shared" si="25"/>
        <v>#DIV/0!</v>
      </c>
      <c r="BY57" s="120" t="e">
        <f t="shared" si="25"/>
        <v>#DIV/0!</v>
      </c>
      <c r="BZ57" s="120" t="e">
        <f t="shared" si="25"/>
        <v>#DIV/0!</v>
      </c>
      <c r="CA57" s="120" t="e">
        <f t="shared" si="25"/>
        <v>#DIV/0!</v>
      </c>
      <c r="CB57" s="120" t="e">
        <f t="shared" si="25"/>
        <v>#DIV/0!</v>
      </c>
      <c r="CC57" s="120" t="e">
        <f t="shared" si="25"/>
        <v>#DIV/0!</v>
      </c>
      <c r="CD57" s="120" t="e">
        <f t="shared" si="25"/>
        <v>#DIV/0!</v>
      </c>
      <c r="CE57" s="120" t="e">
        <f t="shared" si="25"/>
        <v>#DIV/0!</v>
      </c>
      <c r="CF57" s="120" t="e">
        <f t="shared" si="25"/>
        <v>#DIV/0!</v>
      </c>
      <c r="CG57" s="120" t="e">
        <f t="shared" si="25"/>
        <v>#DIV/0!</v>
      </c>
      <c r="CH57" s="120" t="e">
        <f t="shared" si="25"/>
        <v>#DIV/0!</v>
      </c>
      <c r="CI57" s="120" t="e">
        <f t="shared" si="25"/>
        <v>#DIV/0!</v>
      </c>
      <c r="CJ57" s="120" t="e">
        <f t="shared" si="25"/>
        <v>#DIV/0!</v>
      </c>
      <c r="CK57" s="120" t="e">
        <f t="shared" si="25"/>
        <v>#DIV/0!</v>
      </c>
    </row>
    <row r="58" spans="1:89" s="16" customFormat="1" ht="28.5" customHeight="1">
      <c r="A58" s="235" t="s">
        <v>655</v>
      </c>
      <c r="B58" s="236"/>
      <c r="C58" s="236"/>
      <c r="D58" s="236"/>
      <c r="E58" s="236"/>
      <c r="F58" s="236"/>
      <c r="G58" s="236"/>
      <c r="H58" s="236"/>
      <c r="I58" s="236"/>
      <c r="J58" s="236"/>
      <c r="K58" s="236"/>
      <c r="L58" s="236"/>
      <c r="M58" s="236"/>
      <c r="N58" s="236"/>
      <c r="O58" s="236"/>
      <c r="P58" s="236"/>
      <c r="Q58" s="236"/>
      <c r="R58" s="236"/>
      <c r="S58" s="236"/>
      <c r="T58" s="236"/>
      <c r="U58" s="236"/>
      <c r="V58" s="236"/>
      <c r="W58" s="236"/>
      <c r="X58" s="236"/>
      <c r="Y58" s="236"/>
      <c r="Z58" s="236"/>
      <c r="AA58" s="236"/>
      <c r="AB58" s="236"/>
      <c r="AC58" s="236"/>
      <c r="AD58" s="236"/>
      <c r="AE58" s="236"/>
      <c r="AF58" s="236"/>
      <c r="AG58" s="236"/>
    </row>
    <row r="61" spans="1:89" s="122" customFormat="1">
      <c r="A61" s="121" t="s">
        <v>476</v>
      </c>
      <c r="B61" s="1">
        <v>43373</v>
      </c>
      <c r="C61" s="1">
        <v>43281</v>
      </c>
      <c r="D61" s="1">
        <v>43190</v>
      </c>
      <c r="E61" s="1">
        <v>43100</v>
      </c>
      <c r="F61" s="1">
        <v>43008</v>
      </c>
      <c r="G61" s="1">
        <v>42916</v>
      </c>
      <c r="H61" s="1">
        <v>42825</v>
      </c>
      <c r="I61" s="1">
        <v>42735</v>
      </c>
      <c r="J61" s="1">
        <v>42643</v>
      </c>
      <c r="K61" s="1">
        <v>42551</v>
      </c>
      <c r="L61" s="1">
        <v>42460</v>
      </c>
      <c r="M61" s="1">
        <v>42369</v>
      </c>
      <c r="N61" s="1">
        <v>42277</v>
      </c>
      <c r="O61" s="1">
        <v>42004</v>
      </c>
      <c r="P61" s="1">
        <v>41639</v>
      </c>
      <c r="Q61" s="1">
        <v>41274</v>
      </c>
      <c r="R61" s="1">
        <v>40908</v>
      </c>
      <c r="S61" s="1">
        <v>25569</v>
      </c>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c r="A62" s="152" t="s">
        <v>477</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c r="A63" s="152" t="s">
        <v>468</v>
      </c>
      <c r="E63" s="76">
        <f>E49</f>
        <v>192228852.33000001</v>
      </c>
      <c r="F63" s="76">
        <f t="shared" ref="F63:BQ63" si="26">F49</f>
        <v>102176580.98999999</v>
      </c>
      <c r="G63" s="76">
        <f t="shared" si="26"/>
        <v>77918188.989999995</v>
      </c>
      <c r="H63" s="76">
        <f t="shared" si="26"/>
        <v>17058644.949999999</v>
      </c>
      <c r="I63" s="76">
        <f t="shared" si="26"/>
        <v>165733894.71000001</v>
      </c>
      <c r="J63" s="76">
        <f t="shared" si="26"/>
        <v>108502593.70999999</v>
      </c>
      <c r="K63" s="76">
        <f t="shared" si="26"/>
        <v>80972644.640000001</v>
      </c>
      <c r="L63" s="76">
        <f t="shared" si="26"/>
        <v>14971904.439999999</v>
      </c>
      <c r="M63" s="76">
        <f t="shared" si="26"/>
        <v>148520212.02000001</v>
      </c>
      <c r="N63" s="76">
        <f t="shared" si="26"/>
        <v>87957669.829999998</v>
      </c>
      <c r="O63" s="76">
        <f t="shared" si="26"/>
        <v>179299034.00999999</v>
      </c>
      <c r="P63" s="76">
        <f t="shared" si="26"/>
        <v>208788264.84</v>
      </c>
      <c r="Q63" s="76">
        <f t="shared" si="26"/>
        <v>193493383.34</v>
      </c>
      <c r="R63" s="76">
        <f t="shared" si="26"/>
        <v>82207078.170000002</v>
      </c>
      <c r="S63" s="76">
        <f t="shared" si="26"/>
        <v>0</v>
      </c>
      <c r="T63" s="76">
        <f t="shared" si="26"/>
        <v>0</v>
      </c>
      <c r="U63" s="76">
        <f t="shared" si="26"/>
        <v>0</v>
      </c>
      <c r="V63" s="76">
        <f t="shared" si="26"/>
        <v>0</v>
      </c>
      <c r="W63" s="76">
        <f t="shared" si="26"/>
        <v>0</v>
      </c>
      <c r="X63" s="76">
        <f t="shared" si="26"/>
        <v>0</v>
      </c>
      <c r="Y63" s="76">
        <f t="shared" si="26"/>
        <v>0</v>
      </c>
      <c r="Z63" s="76">
        <f t="shared" si="26"/>
        <v>0</v>
      </c>
      <c r="AA63" s="76">
        <f t="shared" si="26"/>
        <v>0</v>
      </c>
      <c r="AB63" s="76">
        <f t="shared" si="26"/>
        <v>0</v>
      </c>
      <c r="AC63" s="76">
        <f t="shared" si="26"/>
        <v>0</v>
      </c>
      <c r="AD63" s="76">
        <f t="shared" si="26"/>
        <v>0</v>
      </c>
      <c r="AE63" s="76">
        <f t="shared" si="26"/>
        <v>0</v>
      </c>
      <c r="AF63" s="76">
        <f t="shared" si="26"/>
        <v>0</v>
      </c>
      <c r="AG63" s="76">
        <f t="shared" si="26"/>
        <v>0</v>
      </c>
      <c r="AH63" s="76">
        <f t="shared" si="26"/>
        <v>0</v>
      </c>
      <c r="AI63" s="76">
        <f t="shared" si="26"/>
        <v>0</v>
      </c>
      <c r="AJ63" s="76">
        <f t="shared" si="26"/>
        <v>0</v>
      </c>
      <c r="AK63" s="76">
        <f t="shared" si="26"/>
        <v>0</v>
      </c>
      <c r="AL63" s="76">
        <f t="shared" si="26"/>
        <v>0</v>
      </c>
      <c r="AM63" s="76">
        <f t="shared" si="26"/>
        <v>0</v>
      </c>
      <c r="AN63" s="76">
        <f t="shared" si="26"/>
        <v>0</v>
      </c>
      <c r="AO63" s="76">
        <f t="shared" si="26"/>
        <v>0</v>
      </c>
      <c r="AP63" s="76">
        <f t="shared" si="26"/>
        <v>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c r="A64" s="152" t="s">
        <v>478</v>
      </c>
      <c r="E64" s="76">
        <f>资产资本表!E22+资产资本表!E23-资产资本表!E37</f>
        <v>76802975.239999995</v>
      </c>
      <c r="F64" s="76">
        <f>资产资本表!F22+资产资本表!F23-资产资本表!F37</f>
        <v>66476359.689999998</v>
      </c>
      <c r="G64" s="76">
        <f>资产资本表!G22+资产资本表!G23-资产资本表!G37</f>
        <v>83481134.140000001</v>
      </c>
      <c r="H64" s="76">
        <f>资产资本表!H22+资产资本表!H23-资产资本表!H37</f>
        <v>68803442.450000003</v>
      </c>
      <c r="I64" s="76">
        <f>资产资本表!I22+资产资本表!I23-资产资本表!I37</f>
        <v>75916062.409999996</v>
      </c>
      <c r="J64" s="76">
        <f>资产资本表!J22+资产资本表!J23-资产资本表!J37</f>
        <v>93590782.940000013</v>
      </c>
      <c r="K64" s="76">
        <f>资产资本表!K22+资产资本表!K23-资产资本表!K37</f>
        <v>91413146.230000004</v>
      </c>
      <c r="L64" s="76">
        <f>资产资本表!L22+资产资本表!L23-资产资本表!L37</f>
        <v>76162640.150000006</v>
      </c>
      <c r="M64" s="76">
        <f>资产资本表!M22+资产资本表!M23-资产资本表!M37</f>
        <v>73403020.390000001</v>
      </c>
      <c r="N64" s="76">
        <f>资产资本表!N22+资产资本表!N23-资产资本表!N37</f>
        <v>49872947.240000002</v>
      </c>
      <c r="O64" s="76">
        <f>资产资本表!O22+资产资本表!O23-资产资本表!O37</f>
        <v>6572205.4299999997</v>
      </c>
      <c r="P64" s="76">
        <f>资产资本表!P22+资产资本表!P23-资产资本表!P37</f>
        <v>26873520.18</v>
      </c>
      <c r="Q64" s="76">
        <f>资产资本表!Q22+资产资本表!Q23-资产资本表!Q37</f>
        <v>0</v>
      </c>
      <c r="R64" s="76">
        <f>资产资本表!R22+资产资本表!R23-资产资本表!R37</f>
        <v>0</v>
      </c>
      <c r="S64" s="76">
        <f>资产资本表!S22+资产资本表!S23-资产资本表!S37</f>
        <v>0</v>
      </c>
      <c r="T64" s="76">
        <f>资产资本表!T22+资产资本表!T23-资产资本表!T37</f>
        <v>0</v>
      </c>
      <c r="U64" s="76">
        <f>资产资本表!U22+资产资本表!U23-资产资本表!U37</f>
        <v>0</v>
      </c>
      <c r="V64" s="76">
        <f>资产资本表!V22+资产资本表!V23-资产资本表!V37</f>
        <v>0</v>
      </c>
      <c r="W64" s="76">
        <f>资产资本表!W22+资产资本表!W23-资产资本表!W37</f>
        <v>0</v>
      </c>
      <c r="X64" s="76">
        <f>资产资本表!X22+资产资本表!X23-资产资本表!X37</f>
        <v>0</v>
      </c>
      <c r="Y64" s="76">
        <f>资产资本表!Y22+资产资本表!Y23-资产资本表!Y37</f>
        <v>0</v>
      </c>
      <c r="Z64" s="76">
        <f>资产资本表!Z22+资产资本表!Z23-资产资本表!Z37</f>
        <v>0</v>
      </c>
      <c r="AA64" s="76">
        <f>资产资本表!AA22+资产资本表!AA23-资产资本表!AA37</f>
        <v>0</v>
      </c>
      <c r="AB64" s="76">
        <f>资产资本表!AB22+资产资本表!AB23-资产资本表!AB37</f>
        <v>0</v>
      </c>
      <c r="AC64" s="76">
        <f>资产资本表!AC22+资产资本表!AC23-资产资本表!AC37</f>
        <v>0</v>
      </c>
      <c r="AD64" s="76">
        <f>资产资本表!AD22+资产资本表!AD23-资产资本表!AD37</f>
        <v>0</v>
      </c>
      <c r="AE64" s="76">
        <f>资产资本表!AE22+资产资本表!AE23-资产资本表!AE37</f>
        <v>0</v>
      </c>
      <c r="AF64" s="76">
        <f>资产资本表!AF22+资产资本表!AF23-资产资本表!AF37</f>
        <v>0</v>
      </c>
      <c r="AG64" s="76">
        <f>资产资本表!AG22+资产资本表!AG23-资产资本表!AG37</f>
        <v>0</v>
      </c>
      <c r="AH64" s="76">
        <f>资产资本表!AH22+资产资本表!AH23-资产资本表!AH37</f>
        <v>0</v>
      </c>
      <c r="AI64" s="76">
        <f>资产资本表!AI22+资产资本表!AI23-资产资本表!AI37</f>
        <v>0</v>
      </c>
      <c r="AJ64" s="76">
        <f>资产资本表!AJ22+资产资本表!AJ23-资产资本表!AJ37</f>
        <v>0</v>
      </c>
      <c r="AK64" s="76">
        <f>资产资本表!AK22+资产资本表!AK23-资产资本表!AK37</f>
        <v>0</v>
      </c>
      <c r="AL64" s="76">
        <f>资产资本表!AL22+资产资本表!AL23-资产资本表!AL37</f>
        <v>0</v>
      </c>
      <c r="AM64" s="76">
        <f>资产资本表!AM22+资产资本表!AM23-资产资本表!AM37</f>
        <v>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62" customFormat="1">
      <c r="A65" s="161" t="s">
        <v>490</v>
      </c>
      <c r="E65" s="162">
        <f>E63/(E64+I64)*2</f>
        <v>2.517418329606663</v>
      </c>
      <c r="F65" s="162">
        <f t="shared" ref="F65:BQ65" si="28">F63/(F64+J64)*2</f>
        <v>1.2766715181039274</v>
      </c>
      <c r="G65" s="162">
        <f t="shared" si="28"/>
        <v>0.89103187165594089</v>
      </c>
      <c r="H65" s="162">
        <f t="shared" si="28"/>
        <v>0.2353467051609491</v>
      </c>
      <c r="I65" s="162">
        <f t="shared" si="28"/>
        <v>2.2198622118779849</v>
      </c>
      <c r="J65" s="162">
        <f t="shared" si="28"/>
        <v>1.5126135863589323</v>
      </c>
      <c r="K65" s="162">
        <f t="shared" si="28"/>
        <v>1.6527499931003462</v>
      </c>
      <c r="L65" s="162">
        <f t="shared" si="28"/>
        <v>0.29061456467416086</v>
      </c>
      <c r="M65" s="162">
        <f t="shared" si="28"/>
        <v>4.0467057412867318</v>
      </c>
      <c r="N65" s="162">
        <f t="shared" si="28"/>
        <v>3.5272697804173321</v>
      </c>
      <c r="O65" s="162">
        <f t="shared" si="28"/>
        <v>54.562820934220248</v>
      </c>
      <c r="P65" s="162">
        <f t="shared" si="28"/>
        <v>15.538586939226954</v>
      </c>
      <c r="Q65" s="162" t="e">
        <f t="shared" si="28"/>
        <v>#DIV/0!</v>
      </c>
      <c r="R65" s="162" t="e">
        <f t="shared" si="28"/>
        <v>#DIV/0!</v>
      </c>
      <c r="S65" s="162" t="e">
        <f t="shared" si="28"/>
        <v>#DIV/0!</v>
      </c>
      <c r="T65" s="162" t="e">
        <f t="shared" si="28"/>
        <v>#DIV/0!</v>
      </c>
      <c r="U65" s="162" t="e">
        <f t="shared" si="28"/>
        <v>#DIV/0!</v>
      </c>
      <c r="V65" s="162" t="e">
        <f t="shared" si="28"/>
        <v>#DIV/0!</v>
      </c>
      <c r="W65" s="162" t="e">
        <f t="shared" si="28"/>
        <v>#DIV/0!</v>
      </c>
      <c r="X65" s="162" t="e">
        <f t="shared" si="28"/>
        <v>#DIV/0!</v>
      </c>
      <c r="Y65" s="162" t="e">
        <f t="shared" si="28"/>
        <v>#DIV/0!</v>
      </c>
      <c r="Z65" s="162" t="e">
        <f t="shared" si="28"/>
        <v>#DIV/0!</v>
      </c>
      <c r="AA65" s="162" t="e">
        <f t="shared" si="28"/>
        <v>#DIV/0!</v>
      </c>
      <c r="AB65" s="162" t="e">
        <f t="shared" si="28"/>
        <v>#DIV/0!</v>
      </c>
      <c r="AC65" s="162" t="e">
        <f t="shared" si="28"/>
        <v>#DIV/0!</v>
      </c>
      <c r="AD65" s="162" t="e">
        <f t="shared" si="28"/>
        <v>#DIV/0!</v>
      </c>
      <c r="AE65" s="162" t="e">
        <f t="shared" si="28"/>
        <v>#DIV/0!</v>
      </c>
      <c r="AF65" s="162" t="e">
        <f t="shared" si="28"/>
        <v>#DIV/0!</v>
      </c>
      <c r="AG65" s="162" t="e">
        <f t="shared" si="28"/>
        <v>#DIV/0!</v>
      </c>
      <c r="AH65" s="162" t="e">
        <f t="shared" si="28"/>
        <v>#DIV/0!</v>
      </c>
      <c r="AI65" s="162" t="e">
        <f t="shared" si="28"/>
        <v>#DIV/0!</v>
      </c>
      <c r="AJ65" s="162" t="e">
        <f t="shared" si="28"/>
        <v>#DIV/0!</v>
      </c>
      <c r="AK65" s="162" t="e">
        <f t="shared" si="28"/>
        <v>#DIV/0!</v>
      </c>
      <c r="AL65" s="162" t="e">
        <f t="shared" si="28"/>
        <v>#DIV/0!</v>
      </c>
      <c r="AM65" s="162" t="e">
        <f t="shared" si="28"/>
        <v>#DIV/0!</v>
      </c>
      <c r="AN65" s="162" t="e">
        <f t="shared" si="28"/>
        <v>#DIV/0!</v>
      </c>
      <c r="AO65" s="162" t="e">
        <f t="shared" si="28"/>
        <v>#DIV/0!</v>
      </c>
      <c r="AP65" s="162" t="e">
        <f t="shared" si="28"/>
        <v>#DIV/0!</v>
      </c>
      <c r="AQ65" s="162" t="e">
        <f t="shared" si="28"/>
        <v>#DIV/0!</v>
      </c>
      <c r="AR65" s="162" t="e">
        <f t="shared" si="28"/>
        <v>#DIV/0!</v>
      </c>
      <c r="AS65" s="162" t="e">
        <f t="shared" si="28"/>
        <v>#DIV/0!</v>
      </c>
      <c r="AT65" s="162" t="e">
        <f t="shared" si="28"/>
        <v>#DIV/0!</v>
      </c>
      <c r="AU65" s="162" t="e">
        <f t="shared" si="28"/>
        <v>#DIV/0!</v>
      </c>
      <c r="AV65" s="162" t="e">
        <f t="shared" si="28"/>
        <v>#DIV/0!</v>
      </c>
      <c r="AW65" s="162" t="e">
        <f t="shared" si="28"/>
        <v>#DIV/0!</v>
      </c>
      <c r="AX65" s="162" t="e">
        <f t="shared" si="28"/>
        <v>#DIV/0!</v>
      </c>
      <c r="AY65" s="162" t="e">
        <f t="shared" si="28"/>
        <v>#DIV/0!</v>
      </c>
      <c r="AZ65" s="162" t="e">
        <f t="shared" si="28"/>
        <v>#DIV/0!</v>
      </c>
      <c r="BA65" s="162" t="e">
        <f t="shared" si="28"/>
        <v>#DIV/0!</v>
      </c>
      <c r="BB65" s="162" t="e">
        <f t="shared" si="28"/>
        <v>#DIV/0!</v>
      </c>
      <c r="BC65" s="162" t="e">
        <f t="shared" si="28"/>
        <v>#DIV/0!</v>
      </c>
      <c r="BD65" s="162" t="e">
        <f t="shared" si="28"/>
        <v>#DIV/0!</v>
      </c>
      <c r="BE65" s="162" t="e">
        <f t="shared" si="28"/>
        <v>#DIV/0!</v>
      </c>
      <c r="BF65" s="162" t="e">
        <f t="shared" si="28"/>
        <v>#DIV/0!</v>
      </c>
      <c r="BG65" s="162" t="e">
        <f t="shared" si="28"/>
        <v>#DIV/0!</v>
      </c>
      <c r="BH65" s="162" t="e">
        <f t="shared" si="28"/>
        <v>#DIV/0!</v>
      </c>
      <c r="BI65" s="162" t="e">
        <f t="shared" si="28"/>
        <v>#DIV/0!</v>
      </c>
      <c r="BJ65" s="162" t="e">
        <f t="shared" si="28"/>
        <v>#DIV/0!</v>
      </c>
      <c r="BK65" s="162" t="e">
        <f t="shared" si="28"/>
        <v>#DIV/0!</v>
      </c>
      <c r="BL65" s="162" t="e">
        <f t="shared" si="28"/>
        <v>#DIV/0!</v>
      </c>
      <c r="BM65" s="162" t="e">
        <f t="shared" si="28"/>
        <v>#DIV/0!</v>
      </c>
      <c r="BN65" s="162" t="e">
        <f t="shared" si="28"/>
        <v>#DIV/0!</v>
      </c>
      <c r="BO65" s="162" t="e">
        <f t="shared" si="28"/>
        <v>#DIV/0!</v>
      </c>
      <c r="BP65" s="162" t="e">
        <f t="shared" si="28"/>
        <v>#DIV/0!</v>
      </c>
      <c r="BQ65" s="162" t="e">
        <f t="shared" si="28"/>
        <v>#DIV/0!</v>
      </c>
      <c r="BR65" s="162" t="e">
        <f t="shared" ref="BR65:CK65" si="29">BR63/(BR64+BV64)*2</f>
        <v>#DIV/0!</v>
      </c>
      <c r="BS65" s="162" t="e">
        <f t="shared" si="29"/>
        <v>#DIV/0!</v>
      </c>
      <c r="BT65" s="162" t="e">
        <f t="shared" si="29"/>
        <v>#DIV/0!</v>
      </c>
      <c r="BU65" s="162" t="e">
        <f t="shared" si="29"/>
        <v>#DIV/0!</v>
      </c>
      <c r="BV65" s="162" t="e">
        <f t="shared" si="29"/>
        <v>#DIV/0!</v>
      </c>
      <c r="BW65" s="162" t="e">
        <f t="shared" si="29"/>
        <v>#DIV/0!</v>
      </c>
      <c r="BX65" s="162" t="e">
        <f t="shared" si="29"/>
        <v>#DIV/0!</v>
      </c>
      <c r="BY65" s="162" t="e">
        <f t="shared" si="29"/>
        <v>#DIV/0!</v>
      </c>
      <c r="BZ65" s="162" t="e">
        <f t="shared" si="29"/>
        <v>#DIV/0!</v>
      </c>
      <c r="CA65" s="162" t="e">
        <f t="shared" si="29"/>
        <v>#DIV/0!</v>
      </c>
      <c r="CB65" s="162" t="e">
        <f t="shared" si="29"/>
        <v>#DIV/0!</v>
      </c>
      <c r="CC65" s="162" t="e">
        <f t="shared" si="29"/>
        <v>#DIV/0!</v>
      </c>
      <c r="CD65" s="162" t="e">
        <f t="shared" si="29"/>
        <v>#DIV/0!</v>
      </c>
      <c r="CE65" s="162" t="e">
        <f t="shared" si="29"/>
        <v>#DIV/0!</v>
      </c>
      <c r="CF65" s="162" t="e">
        <f t="shared" si="29"/>
        <v>#DIV/0!</v>
      </c>
      <c r="CG65" s="162" t="e">
        <f t="shared" si="29"/>
        <v>#DIV/0!</v>
      </c>
      <c r="CH65" s="162" t="e">
        <f t="shared" si="29"/>
        <v>#DIV/0!</v>
      </c>
      <c r="CI65" s="162" t="e">
        <f t="shared" si="29"/>
        <v>#DIV/0!</v>
      </c>
      <c r="CJ65" s="162" t="e">
        <f t="shared" si="29"/>
        <v>#DIV/0!</v>
      </c>
      <c r="CK65" s="162" t="e">
        <f t="shared" si="29"/>
        <v>#DIV/0!</v>
      </c>
    </row>
    <row r="66" spans="1:89" s="83" customFormat="1">
      <c r="A66" s="153" t="s">
        <v>479</v>
      </c>
      <c r="E66" s="83">
        <f>E62/E65</f>
        <v>144.98980789459409</v>
      </c>
      <c r="F66" s="83">
        <f t="shared" ref="F66:BQ66" si="30">F62/F65</f>
        <v>285.89969684769545</v>
      </c>
      <c r="G66" s="83">
        <f t="shared" si="30"/>
        <v>409.63742331872442</v>
      </c>
      <c r="H66" s="83">
        <f t="shared" si="30"/>
        <v>1550.903377850068</v>
      </c>
      <c r="I66" s="83">
        <f t="shared" si="30"/>
        <v>164.42461971151491</v>
      </c>
      <c r="J66" s="83">
        <f t="shared" si="30"/>
        <v>241.30419248620191</v>
      </c>
      <c r="K66" s="83">
        <f t="shared" si="30"/>
        <v>220.84404872106941</v>
      </c>
      <c r="L66" s="83">
        <f t="shared" si="30"/>
        <v>1255.9590755860452</v>
      </c>
      <c r="M66" s="83">
        <f t="shared" si="30"/>
        <v>90.196822634289418</v>
      </c>
      <c r="N66" s="83">
        <f t="shared" si="30"/>
        <v>103.47946789508534</v>
      </c>
      <c r="O66" s="83">
        <f t="shared" si="30"/>
        <v>6.689536826551473</v>
      </c>
      <c r="P66" s="83">
        <f t="shared" si="30"/>
        <v>23.489909438197522</v>
      </c>
      <c r="Q66" s="83" t="e">
        <f t="shared" si="30"/>
        <v>#DIV/0!</v>
      </c>
      <c r="R66" s="83" t="e">
        <f t="shared" si="30"/>
        <v>#DIV/0!</v>
      </c>
      <c r="S66" s="83" t="e">
        <f t="shared" si="30"/>
        <v>#DIV/0!</v>
      </c>
      <c r="T66" s="83" t="e">
        <f t="shared" si="30"/>
        <v>#DIV/0!</v>
      </c>
      <c r="U66" s="83" t="e">
        <f t="shared" si="30"/>
        <v>#DIV/0!</v>
      </c>
      <c r="V66" s="83" t="e">
        <f t="shared" si="30"/>
        <v>#DIV/0!</v>
      </c>
      <c r="W66" s="83" t="e">
        <f t="shared" si="30"/>
        <v>#DIV/0!</v>
      </c>
      <c r="X66" s="83" t="e">
        <f t="shared" si="30"/>
        <v>#DIV/0!</v>
      </c>
      <c r="Y66" s="83" t="e">
        <f t="shared" si="30"/>
        <v>#DIV/0!</v>
      </c>
      <c r="Z66" s="83" t="e">
        <f t="shared" si="30"/>
        <v>#DIV/0!</v>
      </c>
      <c r="AA66" s="83" t="e">
        <f t="shared" si="30"/>
        <v>#DIV/0!</v>
      </c>
      <c r="AB66" s="83" t="e">
        <f t="shared" si="30"/>
        <v>#DIV/0!</v>
      </c>
      <c r="AC66" s="83" t="e">
        <f t="shared" si="30"/>
        <v>#DIV/0!</v>
      </c>
      <c r="AD66" s="83" t="e">
        <f t="shared" si="30"/>
        <v>#DIV/0!</v>
      </c>
      <c r="AE66" s="83" t="e">
        <f t="shared" si="30"/>
        <v>#DIV/0!</v>
      </c>
      <c r="AF66" s="83" t="e">
        <f t="shared" si="30"/>
        <v>#DIV/0!</v>
      </c>
      <c r="AG66" s="83" t="e">
        <f t="shared" si="30"/>
        <v>#DIV/0!</v>
      </c>
      <c r="AH66" s="83" t="e">
        <f t="shared" si="30"/>
        <v>#DIV/0!</v>
      </c>
      <c r="AI66" s="83" t="e">
        <f t="shared" si="30"/>
        <v>#DIV/0!</v>
      </c>
      <c r="AJ66" s="83" t="e">
        <f t="shared" si="30"/>
        <v>#DIV/0!</v>
      </c>
      <c r="AK66" s="83" t="e">
        <f t="shared" si="30"/>
        <v>#DIV/0!</v>
      </c>
      <c r="AL66" s="83" t="e">
        <f t="shared" si="30"/>
        <v>#DIV/0!</v>
      </c>
      <c r="AM66" s="83" t="e">
        <f t="shared" si="30"/>
        <v>#DIV/0!</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c r="A67" s="152" t="s">
        <v>480</v>
      </c>
      <c r="E67" s="76">
        <f>股权价值增加表!E5</f>
        <v>78582960.780000001</v>
      </c>
      <c r="F67" s="76">
        <f>股权价值增加表!F5</f>
        <v>45274024.810000002</v>
      </c>
      <c r="G67" s="76">
        <f>股权价值增加表!G5</f>
        <v>35685127.82</v>
      </c>
      <c r="H67" s="76">
        <f>股权价值增加表!H5</f>
        <v>9702084.75</v>
      </c>
      <c r="I67" s="76">
        <f>股权价值增加表!I5</f>
        <v>74000416.170000002</v>
      </c>
      <c r="J67" s="76">
        <f>股权价值增加表!J5</f>
        <v>51252469</v>
      </c>
      <c r="K67" s="76">
        <f>股权价值增加表!K5</f>
        <v>36953673.289999999</v>
      </c>
      <c r="L67" s="76">
        <f>股权价值增加表!L5</f>
        <v>6533298.6699999999</v>
      </c>
      <c r="M67" s="76">
        <f>股权价值增加表!M5</f>
        <v>67009933.109999999</v>
      </c>
      <c r="N67" s="76">
        <f>股权价值增加表!N5</f>
        <v>34125603.609999999</v>
      </c>
      <c r="O67" s="76">
        <f>股权价值增加表!O5</f>
        <v>76594616.719999999</v>
      </c>
      <c r="P67" s="76">
        <f>股权价值增加表!P5</f>
        <v>95989739.730000004</v>
      </c>
      <c r="Q67" s="76">
        <f>股权价值增加表!Q5</f>
        <v>79863258.049999997</v>
      </c>
      <c r="R67" s="76">
        <f>股权价值增加表!R5</f>
        <v>38407951.899999999</v>
      </c>
      <c r="S67" s="76">
        <f>股权价值增加表!S5</f>
        <v>0</v>
      </c>
      <c r="T67" s="76">
        <f>股权价值增加表!T5</f>
        <v>0</v>
      </c>
      <c r="U67" s="76">
        <f>股权价值增加表!U5</f>
        <v>0</v>
      </c>
      <c r="V67" s="76">
        <f>股权价值增加表!V5</f>
        <v>0</v>
      </c>
      <c r="W67" s="76">
        <f>股权价值增加表!W5</f>
        <v>0</v>
      </c>
      <c r="X67" s="76">
        <f>股权价值增加表!X5</f>
        <v>0</v>
      </c>
      <c r="Y67" s="76">
        <f>股权价值增加表!Y5</f>
        <v>0</v>
      </c>
      <c r="Z67" s="76">
        <f>股权价值增加表!Z5</f>
        <v>0</v>
      </c>
      <c r="AA67" s="76">
        <f>股权价值增加表!AA5</f>
        <v>0</v>
      </c>
      <c r="AB67" s="76">
        <f>股权价值增加表!AB5</f>
        <v>0</v>
      </c>
      <c r="AC67" s="76">
        <f>股权价值增加表!AC5</f>
        <v>0</v>
      </c>
      <c r="AD67" s="76">
        <f>股权价值增加表!AD5</f>
        <v>0</v>
      </c>
      <c r="AE67" s="76">
        <f>股权价值增加表!AE5</f>
        <v>0</v>
      </c>
      <c r="AF67" s="76">
        <f>股权价值增加表!AF5</f>
        <v>0</v>
      </c>
      <c r="AG67" s="76">
        <f>股权价值增加表!AG5</f>
        <v>0</v>
      </c>
      <c r="AH67" s="76">
        <f>股权价值增加表!AH5</f>
        <v>0</v>
      </c>
      <c r="AI67" s="76">
        <f>股权价值增加表!AI5</f>
        <v>0</v>
      </c>
      <c r="AJ67" s="76">
        <f>股权价值增加表!AJ5</f>
        <v>0</v>
      </c>
      <c r="AK67" s="76">
        <f>股权价值增加表!AK5</f>
        <v>0</v>
      </c>
      <c r="AL67" s="76">
        <f>股权价值增加表!AL5</f>
        <v>0</v>
      </c>
      <c r="AM67" s="76">
        <f>股权价值增加表!AM5</f>
        <v>0</v>
      </c>
      <c r="AN67" s="76">
        <f>股权价值增加表!AN5</f>
        <v>0</v>
      </c>
      <c r="AO67" s="76">
        <f>股权价值增加表!AO5</f>
        <v>0</v>
      </c>
      <c r="AP67" s="76">
        <f>股权价值增加表!AP5</f>
        <v>0</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c r="A68" s="152" t="s">
        <v>481</v>
      </c>
      <c r="E68" s="76">
        <f>资产资本表!E26</f>
        <v>22534308.899999999</v>
      </c>
      <c r="F68" s="76">
        <f>资产资本表!F26</f>
        <v>21500748.109999999</v>
      </c>
      <c r="G68" s="76">
        <f>资产资本表!G26</f>
        <v>18204653.09</v>
      </c>
      <c r="H68" s="76">
        <f>资产资本表!H26</f>
        <v>19175213.84</v>
      </c>
      <c r="I68" s="76">
        <f>资产资本表!I26</f>
        <v>21047282.420000002</v>
      </c>
      <c r="J68" s="76">
        <f>资产资本表!J26</f>
        <v>25415947.68</v>
      </c>
      <c r="K68" s="76">
        <f>资产资本表!K26</f>
        <v>29075881.34</v>
      </c>
      <c r="L68" s="76">
        <f>资产资本表!L26</f>
        <v>26321968.579999998</v>
      </c>
      <c r="M68" s="76">
        <f>资产资本表!M26</f>
        <v>18161671.59</v>
      </c>
      <c r="N68" s="76">
        <f>资产资本表!N26</f>
        <v>16617126.779999999</v>
      </c>
      <c r="O68" s="76">
        <f>资产资本表!O26</f>
        <v>31511637.98</v>
      </c>
      <c r="P68" s="76">
        <f>资产资本表!P26</f>
        <v>4546718.74</v>
      </c>
      <c r="Q68" s="76">
        <f>资产资本表!Q26</f>
        <v>0</v>
      </c>
      <c r="R68" s="76">
        <f>资产资本表!R26</f>
        <v>0</v>
      </c>
      <c r="S68" s="76">
        <f>资产资本表!S26</f>
        <v>0</v>
      </c>
      <c r="T68" s="76">
        <f>资产资本表!T26</f>
        <v>0</v>
      </c>
      <c r="U68" s="76">
        <f>资产资本表!U26</f>
        <v>0</v>
      </c>
      <c r="V68" s="76">
        <f>资产资本表!V26</f>
        <v>0</v>
      </c>
      <c r="W68" s="76">
        <f>资产资本表!W26</f>
        <v>0</v>
      </c>
      <c r="X68" s="76">
        <f>资产资本表!X26</f>
        <v>0</v>
      </c>
      <c r="Y68" s="76">
        <f>资产资本表!Y26</f>
        <v>0</v>
      </c>
      <c r="Z68" s="76">
        <f>资产资本表!Z26</f>
        <v>0</v>
      </c>
      <c r="AA68" s="76">
        <f>资产资本表!AA26</f>
        <v>0</v>
      </c>
      <c r="AB68" s="76">
        <f>资产资本表!AB26</f>
        <v>0</v>
      </c>
      <c r="AC68" s="76">
        <f>资产资本表!AC26</f>
        <v>0</v>
      </c>
      <c r="AD68" s="76">
        <f>资产资本表!AD26</f>
        <v>0</v>
      </c>
      <c r="AE68" s="76">
        <f>资产资本表!AE26</f>
        <v>0</v>
      </c>
      <c r="AF68" s="76">
        <f>资产资本表!AF26</f>
        <v>0</v>
      </c>
      <c r="AG68" s="76">
        <f>资产资本表!AG26</f>
        <v>0</v>
      </c>
      <c r="AH68" s="76">
        <f>资产资本表!AH26</f>
        <v>0</v>
      </c>
      <c r="AI68" s="76">
        <f>资产资本表!AI26</f>
        <v>0</v>
      </c>
      <c r="AJ68" s="76">
        <f>资产资本表!AJ26</f>
        <v>0</v>
      </c>
      <c r="AK68" s="76">
        <f>资产资本表!AK26</f>
        <v>0</v>
      </c>
      <c r="AL68" s="76">
        <f>资产资本表!AL26</f>
        <v>0</v>
      </c>
      <c r="AM68" s="76">
        <f>资产资本表!AM26</f>
        <v>0</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62" customFormat="1">
      <c r="A69" s="161" t="s">
        <v>482</v>
      </c>
      <c r="E69" s="162">
        <f>E67/(E68+I68)*2</f>
        <v>3.6062455913094458</v>
      </c>
      <c r="F69" s="162">
        <f t="shared" ref="F69:BQ69" si="32">F67/(F68+J68)*2</f>
        <v>1.9299749928105498</v>
      </c>
      <c r="G69" s="162">
        <f t="shared" si="32"/>
        <v>1.5095061107159318</v>
      </c>
      <c r="H69" s="162">
        <f t="shared" si="32"/>
        <v>0.42649167416288541</v>
      </c>
      <c r="I69" s="162">
        <f t="shared" si="32"/>
        <v>3.7746692324986095</v>
      </c>
      <c r="J69" s="162">
        <f t="shared" si="32"/>
        <v>2.4386733380054539</v>
      </c>
      <c r="K69" s="162">
        <f t="shared" si="32"/>
        <v>1.2198444070576613</v>
      </c>
      <c r="L69" s="162">
        <f t="shared" si="32"/>
        <v>0.42329617727327445</v>
      </c>
      <c r="M69" s="162">
        <f t="shared" si="32"/>
        <v>7.3792693340954747</v>
      </c>
      <c r="N69" s="162">
        <f t="shared" si="32"/>
        <v>4.1072808869789466</v>
      </c>
      <c r="O69" s="162">
        <f t="shared" si="32"/>
        <v>4.8613541935594426</v>
      </c>
      <c r="P69" s="162">
        <f t="shared" si="32"/>
        <v>42.223742095821834</v>
      </c>
      <c r="Q69" s="162" t="e">
        <f t="shared" si="32"/>
        <v>#DIV/0!</v>
      </c>
      <c r="R69" s="162" t="e">
        <f t="shared" si="32"/>
        <v>#DIV/0!</v>
      </c>
      <c r="S69" s="162" t="e">
        <f t="shared" si="32"/>
        <v>#DIV/0!</v>
      </c>
      <c r="T69" s="162" t="e">
        <f t="shared" si="32"/>
        <v>#DIV/0!</v>
      </c>
      <c r="U69" s="162" t="e">
        <f t="shared" si="32"/>
        <v>#DIV/0!</v>
      </c>
      <c r="V69" s="162" t="e">
        <f t="shared" si="32"/>
        <v>#DIV/0!</v>
      </c>
      <c r="W69" s="162" t="e">
        <f t="shared" si="32"/>
        <v>#DIV/0!</v>
      </c>
      <c r="X69" s="162" t="e">
        <f t="shared" si="32"/>
        <v>#DIV/0!</v>
      </c>
      <c r="Y69" s="162" t="e">
        <f t="shared" si="32"/>
        <v>#DIV/0!</v>
      </c>
      <c r="Z69" s="162" t="e">
        <f t="shared" si="32"/>
        <v>#DIV/0!</v>
      </c>
      <c r="AA69" s="162" t="e">
        <f t="shared" si="32"/>
        <v>#DIV/0!</v>
      </c>
      <c r="AB69" s="162" t="e">
        <f t="shared" si="32"/>
        <v>#DIV/0!</v>
      </c>
      <c r="AC69" s="162" t="e">
        <f t="shared" si="32"/>
        <v>#DIV/0!</v>
      </c>
      <c r="AD69" s="162" t="e">
        <f t="shared" si="32"/>
        <v>#DIV/0!</v>
      </c>
      <c r="AE69" s="162" t="e">
        <f t="shared" si="32"/>
        <v>#DIV/0!</v>
      </c>
      <c r="AF69" s="162" t="e">
        <f t="shared" si="32"/>
        <v>#DIV/0!</v>
      </c>
      <c r="AG69" s="162" t="e">
        <f t="shared" si="32"/>
        <v>#DIV/0!</v>
      </c>
      <c r="AH69" s="162" t="e">
        <f t="shared" si="32"/>
        <v>#DIV/0!</v>
      </c>
      <c r="AI69" s="162" t="e">
        <f t="shared" si="32"/>
        <v>#DIV/0!</v>
      </c>
      <c r="AJ69" s="162" t="e">
        <f t="shared" si="32"/>
        <v>#DIV/0!</v>
      </c>
      <c r="AK69" s="162" t="e">
        <f t="shared" si="32"/>
        <v>#DIV/0!</v>
      </c>
      <c r="AL69" s="162" t="e">
        <f t="shared" si="32"/>
        <v>#DIV/0!</v>
      </c>
      <c r="AM69" s="162" t="e">
        <f t="shared" si="32"/>
        <v>#DIV/0!</v>
      </c>
      <c r="AN69" s="162" t="e">
        <f t="shared" si="32"/>
        <v>#DIV/0!</v>
      </c>
      <c r="AO69" s="162" t="e">
        <f t="shared" si="32"/>
        <v>#DIV/0!</v>
      </c>
      <c r="AP69" s="162" t="e">
        <f t="shared" si="32"/>
        <v>#DIV/0!</v>
      </c>
      <c r="AQ69" s="162" t="e">
        <f t="shared" si="32"/>
        <v>#DIV/0!</v>
      </c>
      <c r="AR69" s="162" t="e">
        <f t="shared" si="32"/>
        <v>#DIV/0!</v>
      </c>
      <c r="AS69" s="162" t="e">
        <f t="shared" si="32"/>
        <v>#DIV/0!</v>
      </c>
      <c r="AT69" s="162" t="e">
        <f t="shared" si="32"/>
        <v>#DIV/0!</v>
      </c>
      <c r="AU69" s="162" t="e">
        <f t="shared" si="32"/>
        <v>#DIV/0!</v>
      </c>
      <c r="AV69" s="162" t="e">
        <f t="shared" si="32"/>
        <v>#DIV/0!</v>
      </c>
      <c r="AW69" s="162" t="e">
        <f t="shared" si="32"/>
        <v>#DIV/0!</v>
      </c>
      <c r="AX69" s="162" t="e">
        <f t="shared" si="32"/>
        <v>#DIV/0!</v>
      </c>
      <c r="AY69" s="162" t="e">
        <f t="shared" si="32"/>
        <v>#DIV/0!</v>
      </c>
      <c r="AZ69" s="162" t="e">
        <f t="shared" si="32"/>
        <v>#DIV/0!</v>
      </c>
      <c r="BA69" s="162" t="e">
        <f t="shared" si="32"/>
        <v>#DIV/0!</v>
      </c>
      <c r="BB69" s="162" t="e">
        <f t="shared" si="32"/>
        <v>#DIV/0!</v>
      </c>
      <c r="BC69" s="162" t="e">
        <f t="shared" si="32"/>
        <v>#DIV/0!</v>
      </c>
      <c r="BD69" s="162" t="e">
        <f t="shared" si="32"/>
        <v>#DIV/0!</v>
      </c>
      <c r="BE69" s="162" t="e">
        <f t="shared" si="32"/>
        <v>#DIV/0!</v>
      </c>
      <c r="BF69" s="162" t="e">
        <f t="shared" si="32"/>
        <v>#DIV/0!</v>
      </c>
      <c r="BG69" s="162" t="e">
        <f t="shared" si="32"/>
        <v>#DIV/0!</v>
      </c>
      <c r="BH69" s="162" t="e">
        <f t="shared" si="32"/>
        <v>#DIV/0!</v>
      </c>
      <c r="BI69" s="162" t="e">
        <f t="shared" si="32"/>
        <v>#DIV/0!</v>
      </c>
      <c r="BJ69" s="162" t="e">
        <f t="shared" si="32"/>
        <v>#DIV/0!</v>
      </c>
      <c r="BK69" s="162" t="e">
        <f t="shared" si="32"/>
        <v>#DIV/0!</v>
      </c>
      <c r="BL69" s="162" t="e">
        <f t="shared" si="32"/>
        <v>#DIV/0!</v>
      </c>
      <c r="BM69" s="162" t="e">
        <f t="shared" si="32"/>
        <v>#DIV/0!</v>
      </c>
      <c r="BN69" s="162" t="e">
        <f t="shared" si="32"/>
        <v>#DIV/0!</v>
      </c>
      <c r="BO69" s="162" t="e">
        <f t="shared" si="32"/>
        <v>#DIV/0!</v>
      </c>
      <c r="BP69" s="162" t="e">
        <f t="shared" si="32"/>
        <v>#DIV/0!</v>
      </c>
      <c r="BQ69" s="162" t="e">
        <f t="shared" si="32"/>
        <v>#DIV/0!</v>
      </c>
      <c r="BR69" s="162" t="e">
        <f t="shared" ref="BR69:CJ69" si="33">BR67/(BR68+BV68)*2</f>
        <v>#DIV/0!</v>
      </c>
      <c r="BS69" s="162" t="e">
        <f t="shared" si="33"/>
        <v>#DIV/0!</v>
      </c>
      <c r="BT69" s="162" t="e">
        <f t="shared" si="33"/>
        <v>#DIV/0!</v>
      </c>
      <c r="BU69" s="162" t="e">
        <f t="shared" si="33"/>
        <v>#DIV/0!</v>
      </c>
      <c r="BV69" s="162" t="e">
        <f t="shared" si="33"/>
        <v>#DIV/0!</v>
      </c>
      <c r="BW69" s="162" t="e">
        <f t="shared" si="33"/>
        <v>#DIV/0!</v>
      </c>
      <c r="BX69" s="162" t="e">
        <f t="shared" si="33"/>
        <v>#DIV/0!</v>
      </c>
      <c r="BY69" s="162" t="e">
        <f t="shared" si="33"/>
        <v>#DIV/0!</v>
      </c>
      <c r="BZ69" s="162" t="e">
        <f t="shared" si="33"/>
        <v>#DIV/0!</v>
      </c>
      <c r="CA69" s="162" t="e">
        <f t="shared" si="33"/>
        <v>#DIV/0!</v>
      </c>
      <c r="CB69" s="162" t="e">
        <f t="shared" si="33"/>
        <v>#DIV/0!</v>
      </c>
      <c r="CC69" s="162" t="e">
        <f t="shared" si="33"/>
        <v>#DIV/0!</v>
      </c>
      <c r="CD69" s="162" t="e">
        <f t="shared" si="33"/>
        <v>#DIV/0!</v>
      </c>
      <c r="CE69" s="162" t="e">
        <f t="shared" si="33"/>
        <v>#DIV/0!</v>
      </c>
      <c r="CF69" s="162" t="e">
        <f t="shared" si="33"/>
        <v>#DIV/0!</v>
      </c>
      <c r="CG69" s="162" t="e">
        <f t="shared" si="33"/>
        <v>#DIV/0!</v>
      </c>
      <c r="CH69" s="162" t="e">
        <f t="shared" si="33"/>
        <v>#DIV/0!</v>
      </c>
      <c r="CI69" s="162" t="e">
        <f t="shared" si="33"/>
        <v>#DIV/0!</v>
      </c>
      <c r="CJ69" s="162" t="e">
        <f t="shared" si="33"/>
        <v>#DIV/0!</v>
      </c>
    </row>
    <row r="70" spans="1:89" s="83" customFormat="1">
      <c r="A70" s="153" t="s">
        <v>483</v>
      </c>
      <c r="E70" s="83">
        <f>E62/E69</f>
        <v>101.21329531177788</v>
      </c>
      <c r="F70" s="83">
        <f t="shared" ref="F70:BQ70" si="34">F62/F69</f>
        <v>189.12162145088951</v>
      </c>
      <c r="G70" s="83">
        <f t="shared" si="34"/>
        <v>241.80094231409703</v>
      </c>
      <c r="H70" s="83">
        <f t="shared" si="34"/>
        <v>855.81975478517654</v>
      </c>
      <c r="I70" s="83">
        <f t="shared" si="34"/>
        <v>96.697214383044482</v>
      </c>
      <c r="J70" s="83">
        <f t="shared" si="34"/>
        <v>149.67154243730189</v>
      </c>
      <c r="K70" s="83">
        <f t="shared" si="34"/>
        <v>299.21848875825248</v>
      </c>
      <c r="L70" s="83">
        <f t="shared" si="34"/>
        <v>862.28040695099594</v>
      </c>
      <c r="M70" s="83">
        <f t="shared" si="34"/>
        <v>49.462891713890862</v>
      </c>
      <c r="N70" s="83">
        <f t="shared" si="34"/>
        <v>88.866578654782643</v>
      </c>
      <c r="O70" s="83">
        <f t="shared" si="34"/>
        <v>75.081959772355134</v>
      </c>
      <c r="P70" s="83">
        <f t="shared" si="34"/>
        <v>8.6444256686599523</v>
      </c>
      <c r="Q70" s="83" t="e">
        <f t="shared" si="34"/>
        <v>#DIV/0!</v>
      </c>
      <c r="R70" s="83" t="e">
        <f t="shared" si="34"/>
        <v>#DIV/0!</v>
      </c>
      <c r="S70" s="83" t="e">
        <f t="shared" si="34"/>
        <v>#DIV/0!</v>
      </c>
      <c r="T70" s="83" t="e">
        <f t="shared" si="34"/>
        <v>#DIV/0!</v>
      </c>
      <c r="U70" s="83" t="e">
        <f t="shared" si="34"/>
        <v>#DIV/0!</v>
      </c>
      <c r="V70" s="83" t="e">
        <f t="shared" si="34"/>
        <v>#DIV/0!</v>
      </c>
      <c r="W70" s="83" t="e">
        <f t="shared" si="34"/>
        <v>#DIV/0!</v>
      </c>
      <c r="X70" s="83" t="e">
        <f t="shared" si="34"/>
        <v>#DIV/0!</v>
      </c>
      <c r="Y70" s="83" t="e">
        <f t="shared" si="34"/>
        <v>#DIV/0!</v>
      </c>
      <c r="Z70" s="83" t="e">
        <f t="shared" si="34"/>
        <v>#DIV/0!</v>
      </c>
      <c r="AA70" s="83" t="e">
        <f t="shared" si="34"/>
        <v>#DIV/0!</v>
      </c>
      <c r="AB70" s="83" t="e">
        <f t="shared" si="34"/>
        <v>#DIV/0!</v>
      </c>
      <c r="AC70" s="83" t="e">
        <f t="shared" si="34"/>
        <v>#DIV/0!</v>
      </c>
      <c r="AD70" s="83" t="e">
        <f t="shared" si="34"/>
        <v>#DIV/0!</v>
      </c>
      <c r="AE70" s="83" t="e">
        <f t="shared" si="34"/>
        <v>#DIV/0!</v>
      </c>
      <c r="AF70" s="83" t="e">
        <f t="shared" si="34"/>
        <v>#DIV/0!</v>
      </c>
      <c r="AG70" s="83" t="e">
        <f t="shared" si="34"/>
        <v>#DIV/0!</v>
      </c>
      <c r="AH70" s="83" t="e">
        <f t="shared" si="34"/>
        <v>#DIV/0!</v>
      </c>
      <c r="AI70" s="83" t="e">
        <f t="shared" si="34"/>
        <v>#DIV/0!</v>
      </c>
      <c r="AJ70" s="83" t="e">
        <f t="shared" si="34"/>
        <v>#DIV/0!</v>
      </c>
      <c r="AK70" s="83" t="e">
        <f t="shared" si="34"/>
        <v>#DIV/0!</v>
      </c>
      <c r="AL70" s="83" t="e">
        <f t="shared" si="34"/>
        <v>#DIV/0!</v>
      </c>
      <c r="AM70" s="83" t="e">
        <f t="shared" si="34"/>
        <v>#DIV/0!</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c r="A71" s="152" t="s">
        <v>484</v>
      </c>
      <c r="E71" s="76">
        <f>资产资本表!E35+资产资本表!E36-资产资本表!E24</f>
        <v>43186038.830000006</v>
      </c>
      <c r="F71" s="76">
        <f>资产资本表!F35+资产资本表!F36-资产资本表!F24</f>
        <v>37186768.509999998</v>
      </c>
      <c r="G71" s="76">
        <f>资产资本表!G35+资产资本表!G36-资产资本表!G24</f>
        <v>39597152.699999996</v>
      </c>
      <c r="H71" s="76">
        <f>资产资本表!H35+资产资本表!H36-资产资本表!H24</f>
        <v>29687978.020000003</v>
      </c>
      <c r="I71" s="76">
        <f>资产资本表!I35+资产资本表!I36-资产资本表!I24</f>
        <v>37225737.75</v>
      </c>
      <c r="J71" s="76">
        <f>资产资本表!J35+资产资本表!J36-资产资本表!J24</f>
        <v>27303844.43</v>
      </c>
      <c r="K71" s="76">
        <f>资产资本表!K35+资产资本表!K36-资产资本表!K24</f>
        <v>30380342.740000002</v>
      </c>
      <c r="L71" s="76">
        <f>资产资本表!L35+资产资本表!L36-资产资本表!L24</f>
        <v>40178368.799999997</v>
      </c>
      <c r="M71" s="76">
        <f>资产资本表!M35+资产资本表!M36-资产资本表!M24</f>
        <v>15729914.18</v>
      </c>
      <c r="N71" s="76">
        <f>资产资本表!N35+资产资本表!N36-资产资本表!N24</f>
        <v>11156456.780000001</v>
      </c>
      <c r="O71" s="76">
        <f>资产资本表!O35+资产资本表!O36-资产资本表!O24</f>
        <v>14631819.49</v>
      </c>
      <c r="P71" s="76">
        <f>资产资本表!P35+资产资本表!P36-资产资本表!P24</f>
        <v>4091501.3900000006</v>
      </c>
      <c r="Q71" s="76">
        <f>资产资本表!Q35+资产资本表!Q36-资产资本表!Q24</f>
        <v>0</v>
      </c>
      <c r="R71" s="76">
        <f>资产资本表!R35+资产资本表!R36-资产资本表!R24</f>
        <v>0</v>
      </c>
      <c r="S71" s="76">
        <f>资产资本表!S35+资产资本表!S36-资产资本表!S24</f>
        <v>0</v>
      </c>
      <c r="T71" s="76">
        <f>资产资本表!T35+资产资本表!T36-资产资本表!T24</f>
        <v>0</v>
      </c>
      <c r="U71" s="76">
        <f>资产资本表!U35+资产资本表!U36-资产资本表!U24</f>
        <v>0</v>
      </c>
      <c r="V71" s="76">
        <f>资产资本表!V35+资产资本表!V36-资产资本表!V24</f>
        <v>0</v>
      </c>
      <c r="W71" s="76">
        <f>资产资本表!W35+资产资本表!W36-资产资本表!W24</f>
        <v>0</v>
      </c>
      <c r="X71" s="76">
        <f>资产资本表!X35+资产资本表!X36-资产资本表!X24</f>
        <v>0</v>
      </c>
      <c r="Y71" s="76">
        <f>资产资本表!Y35+资产资本表!Y36-资产资本表!Y24</f>
        <v>0</v>
      </c>
      <c r="Z71" s="76">
        <f>资产资本表!Z35+资产资本表!Z36-资产资本表!Z24</f>
        <v>0</v>
      </c>
      <c r="AA71" s="76">
        <f>资产资本表!AA35+资产资本表!AA36-资产资本表!AA24</f>
        <v>0</v>
      </c>
      <c r="AB71" s="76">
        <f>资产资本表!AB35+资产资本表!AB36-资产资本表!AB24</f>
        <v>0</v>
      </c>
      <c r="AC71" s="76">
        <f>资产资本表!AC35+资产资本表!AC36-资产资本表!AC24</f>
        <v>0</v>
      </c>
      <c r="AD71" s="76">
        <f>资产资本表!AD35+资产资本表!AD36-资产资本表!AD24</f>
        <v>0</v>
      </c>
      <c r="AE71" s="76">
        <f>资产资本表!AE35+资产资本表!AE36-资产资本表!AE24</f>
        <v>0</v>
      </c>
      <c r="AF71" s="76">
        <f>资产资本表!AF35+资产资本表!AF36-资产资本表!AF24</f>
        <v>0</v>
      </c>
      <c r="AG71" s="76">
        <f>资产资本表!AG35+资产资本表!AG36-资产资本表!AG24</f>
        <v>0</v>
      </c>
      <c r="AH71" s="76">
        <f>资产资本表!AH35+资产资本表!AH36-资产资本表!AH24</f>
        <v>0</v>
      </c>
      <c r="AI71" s="76">
        <f>资产资本表!AI35+资产资本表!AI36-资产资本表!AI24</f>
        <v>0</v>
      </c>
      <c r="AJ71" s="76">
        <f>资产资本表!AJ35+资产资本表!AJ36-资产资本表!AJ24</f>
        <v>0</v>
      </c>
      <c r="AK71" s="76">
        <f>资产资本表!AK35+资产资本表!AK36-资产资本表!AK24</f>
        <v>0</v>
      </c>
      <c r="AL71" s="76">
        <f>资产资本表!AL35+资产资本表!AL36-资产资本表!AL24</f>
        <v>0</v>
      </c>
      <c r="AM71" s="76">
        <f>资产资本表!AM35+资产资本表!AM36-资产资本表!AM24</f>
        <v>0</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62" customFormat="1">
      <c r="A72" s="161" t="s">
        <v>485</v>
      </c>
      <c r="E72" s="162">
        <f>E67/(E71+I71)*2</f>
        <v>1.9545137322471526</v>
      </c>
      <c r="F72" s="162">
        <f t="shared" ref="F72:BQ72" si="36">F67/(F71+J71)*2</f>
        <v>1.404050070112421</v>
      </c>
      <c r="G72" s="162">
        <f t="shared" si="36"/>
        <v>1.0199029729664186</v>
      </c>
      <c r="H72" s="162">
        <f t="shared" si="36"/>
        <v>0.27773270513186971</v>
      </c>
      <c r="I72" s="162">
        <f t="shared" si="36"/>
        <v>2.7948071064376001</v>
      </c>
      <c r="J72" s="162">
        <f t="shared" si="36"/>
        <v>2.6652141240471581</v>
      </c>
      <c r="K72" s="162">
        <f t="shared" si="36"/>
        <v>1.6419417090508428</v>
      </c>
      <c r="L72" s="162">
        <f t="shared" si="36"/>
        <v>0.29515779657631747</v>
      </c>
      <c r="M72" s="162">
        <f t="shared" si="36"/>
        <v>8.5200634082543996</v>
      </c>
      <c r="N72" s="162">
        <f t="shared" si="36"/>
        <v>6.1176418791271461</v>
      </c>
      <c r="O72" s="162">
        <f t="shared" si="36"/>
        <v>10.469595633317917</v>
      </c>
      <c r="P72" s="162">
        <f t="shared" si="36"/>
        <v>46.921523705018217</v>
      </c>
      <c r="Q72" s="162" t="e">
        <f t="shared" si="36"/>
        <v>#DIV/0!</v>
      </c>
      <c r="R72" s="162" t="e">
        <f t="shared" si="36"/>
        <v>#DIV/0!</v>
      </c>
      <c r="S72" s="162" t="e">
        <f t="shared" si="36"/>
        <v>#DIV/0!</v>
      </c>
      <c r="T72" s="162" t="e">
        <f t="shared" si="36"/>
        <v>#DIV/0!</v>
      </c>
      <c r="U72" s="162" t="e">
        <f t="shared" si="36"/>
        <v>#DIV/0!</v>
      </c>
      <c r="V72" s="162" t="e">
        <f t="shared" si="36"/>
        <v>#DIV/0!</v>
      </c>
      <c r="W72" s="162" t="e">
        <f t="shared" si="36"/>
        <v>#DIV/0!</v>
      </c>
      <c r="X72" s="162" t="e">
        <f t="shared" si="36"/>
        <v>#DIV/0!</v>
      </c>
      <c r="Y72" s="162" t="e">
        <f t="shared" si="36"/>
        <v>#DIV/0!</v>
      </c>
      <c r="Z72" s="162" t="e">
        <f t="shared" si="36"/>
        <v>#DIV/0!</v>
      </c>
      <c r="AA72" s="162" t="e">
        <f t="shared" si="36"/>
        <v>#DIV/0!</v>
      </c>
      <c r="AB72" s="162" t="e">
        <f t="shared" si="36"/>
        <v>#DIV/0!</v>
      </c>
      <c r="AC72" s="162" t="e">
        <f t="shared" si="36"/>
        <v>#DIV/0!</v>
      </c>
      <c r="AD72" s="162" t="e">
        <f t="shared" si="36"/>
        <v>#DIV/0!</v>
      </c>
      <c r="AE72" s="162" t="e">
        <f t="shared" si="36"/>
        <v>#DIV/0!</v>
      </c>
      <c r="AF72" s="162" t="e">
        <f t="shared" si="36"/>
        <v>#DIV/0!</v>
      </c>
      <c r="AG72" s="162" t="e">
        <f t="shared" si="36"/>
        <v>#DIV/0!</v>
      </c>
      <c r="AH72" s="162" t="e">
        <f t="shared" si="36"/>
        <v>#DIV/0!</v>
      </c>
      <c r="AI72" s="162" t="e">
        <f t="shared" si="36"/>
        <v>#DIV/0!</v>
      </c>
      <c r="AJ72" s="162" t="e">
        <f t="shared" si="36"/>
        <v>#DIV/0!</v>
      </c>
      <c r="AK72" s="162" t="e">
        <f t="shared" si="36"/>
        <v>#DIV/0!</v>
      </c>
      <c r="AL72" s="162" t="e">
        <f t="shared" si="36"/>
        <v>#DIV/0!</v>
      </c>
      <c r="AM72" s="162" t="e">
        <f t="shared" si="36"/>
        <v>#DIV/0!</v>
      </c>
      <c r="AN72" s="162" t="e">
        <f t="shared" si="36"/>
        <v>#DIV/0!</v>
      </c>
      <c r="AO72" s="162" t="e">
        <f t="shared" si="36"/>
        <v>#DIV/0!</v>
      </c>
      <c r="AP72" s="162" t="e">
        <f t="shared" si="36"/>
        <v>#DIV/0!</v>
      </c>
      <c r="AQ72" s="162" t="e">
        <f t="shared" si="36"/>
        <v>#DIV/0!</v>
      </c>
      <c r="AR72" s="162" t="e">
        <f t="shared" si="36"/>
        <v>#DIV/0!</v>
      </c>
      <c r="AS72" s="162" t="e">
        <f t="shared" si="36"/>
        <v>#DIV/0!</v>
      </c>
      <c r="AT72" s="162" t="e">
        <f t="shared" si="36"/>
        <v>#DIV/0!</v>
      </c>
      <c r="AU72" s="162" t="e">
        <f t="shared" si="36"/>
        <v>#DIV/0!</v>
      </c>
      <c r="AV72" s="162" t="e">
        <f t="shared" si="36"/>
        <v>#DIV/0!</v>
      </c>
      <c r="AW72" s="162" t="e">
        <f t="shared" si="36"/>
        <v>#DIV/0!</v>
      </c>
      <c r="AX72" s="162" t="e">
        <f t="shared" si="36"/>
        <v>#DIV/0!</v>
      </c>
      <c r="AY72" s="162" t="e">
        <f t="shared" si="36"/>
        <v>#DIV/0!</v>
      </c>
      <c r="AZ72" s="162" t="e">
        <f t="shared" si="36"/>
        <v>#DIV/0!</v>
      </c>
      <c r="BA72" s="162" t="e">
        <f t="shared" si="36"/>
        <v>#DIV/0!</v>
      </c>
      <c r="BB72" s="162" t="e">
        <f t="shared" si="36"/>
        <v>#DIV/0!</v>
      </c>
      <c r="BC72" s="162" t="e">
        <f t="shared" si="36"/>
        <v>#DIV/0!</v>
      </c>
      <c r="BD72" s="162" t="e">
        <f t="shared" si="36"/>
        <v>#DIV/0!</v>
      </c>
      <c r="BE72" s="162" t="e">
        <f t="shared" si="36"/>
        <v>#DIV/0!</v>
      </c>
      <c r="BF72" s="162" t="e">
        <f t="shared" si="36"/>
        <v>#DIV/0!</v>
      </c>
      <c r="BG72" s="162" t="e">
        <f t="shared" si="36"/>
        <v>#DIV/0!</v>
      </c>
      <c r="BH72" s="162" t="e">
        <f t="shared" si="36"/>
        <v>#DIV/0!</v>
      </c>
      <c r="BI72" s="162" t="e">
        <f t="shared" si="36"/>
        <v>#DIV/0!</v>
      </c>
      <c r="BJ72" s="162" t="e">
        <f t="shared" si="36"/>
        <v>#DIV/0!</v>
      </c>
      <c r="BK72" s="162" t="e">
        <f t="shared" si="36"/>
        <v>#DIV/0!</v>
      </c>
      <c r="BL72" s="162" t="e">
        <f t="shared" si="36"/>
        <v>#DIV/0!</v>
      </c>
      <c r="BM72" s="162" t="e">
        <f t="shared" si="36"/>
        <v>#DIV/0!</v>
      </c>
      <c r="BN72" s="162" t="e">
        <f t="shared" si="36"/>
        <v>#DIV/0!</v>
      </c>
      <c r="BO72" s="162" t="e">
        <f t="shared" si="36"/>
        <v>#DIV/0!</v>
      </c>
      <c r="BP72" s="162" t="e">
        <f t="shared" si="36"/>
        <v>#DIV/0!</v>
      </c>
      <c r="BQ72" s="162" t="e">
        <f t="shared" si="36"/>
        <v>#DIV/0!</v>
      </c>
      <c r="BR72" s="162" t="e">
        <f t="shared" ref="BR72:CJ72" si="37">BR67/(BR71+BV71)*2</f>
        <v>#DIV/0!</v>
      </c>
      <c r="BS72" s="162" t="e">
        <f t="shared" si="37"/>
        <v>#DIV/0!</v>
      </c>
      <c r="BT72" s="162" t="e">
        <f t="shared" si="37"/>
        <v>#DIV/0!</v>
      </c>
      <c r="BU72" s="162" t="e">
        <f t="shared" si="37"/>
        <v>#DIV/0!</v>
      </c>
      <c r="BV72" s="162" t="e">
        <f t="shared" si="37"/>
        <v>#DIV/0!</v>
      </c>
      <c r="BW72" s="162" t="e">
        <f t="shared" si="37"/>
        <v>#DIV/0!</v>
      </c>
      <c r="BX72" s="162" t="e">
        <f t="shared" si="37"/>
        <v>#DIV/0!</v>
      </c>
      <c r="BY72" s="162" t="e">
        <f t="shared" si="37"/>
        <v>#DIV/0!</v>
      </c>
      <c r="BZ72" s="162" t="e">
        <f t="shared" si="37"/>
        <v>#DIV/0!</v>
      </c>
      <c r="CA72" s="162" t="e">
        <f t="shared" si="37"/>
        <v>#DIV/0!</v>
      </c>
      <c r="CB72" s="162" t="e">
        <f t="shared" si="37"/>
        <v>#DIV/0!</v>
      </c>
      <c r="CC72" s="162" t="e">
        <f t="shared" si="37"/>
        <v>#DIV/0!</v>
      </c>
      <c r="CD72" s="162" t="e">
        <f t="shared" si="37"/>
        <v>#DIV/0!</v>
      </c>
      <c r="CE72" s="162" t="e">
        <f t="shared" si="37"/>
        <v>#DIV/0!</v>
      </c>
      <c r="CF72" s="162" t="e">
        <f t="shared" si="37"/>
        <v>#DIV/0!</v>
      </c>
      <c r="CG72" s="162" t="e">
        <f t="shared" si="37"/>
        <v>#DIV/0!</v>
      </c>
      <c r="CH72" s="162" t="e">
        <f t="shared" si="37"/>
        <v>#DIV/0!</v>
      </c>
      <c r="CI72" s="162" t="e">
        <f t="shared" si="37"/>
        <v>#DIV/0!</v>
      </c>
      <c r="CJ72" s="162" t="e">
        <f t="shared" si="37"/>
        <v>#DIV/0!</v>
      </c>
    </row>
    <row r="73" spans="1:89" s="83" customFormat="1">
      <c r="A73" s="153" t="s">
        <v>486</v>
      </c>
      <c r="E73" s="83">
        <f>E62/E72</f>
        <v>186.74721695628637</v>
      </c>
      <c r="F73" s="83">
        <f t="shared" ref="F73:BQ73" si="38">F62/F72</f>
        <v>259.962239075117</v>
      </c>
      <c r="G73" s="83">
        <f t="shared" si="38"/>
        <v>357.87718015801687</v>
      </c>
      <c r="H73" s="83">
        <f t="shared" si="38"/>
        <v>1314.2132462458646</v>
      </c>
      <c r="I73" s="83">
        <f t="shared" si="38"/>
        <v>130.59935304989514</v>
      </c>
      <c r="J73" s="83">
        <f t="shared" si="38"/>
        <v>136.94959692234534</v>
      </c>
      <c r="K73" s="83">
        <f t="shared" si="38"/>
        <v>222.29778194196402</v>
      </c>
      <c r="L73" s="83">
        <f t="shared" si="38"/>
        <v>1236.6266594811898</v>
      </c>
      <c r="M73" s="83">
        <f t="shared" si="38"/>
        <v>42.840056759012036</v>
      </c>
      <c r="N73" s="83">
        <f t="shared" si="38"/>
        <v>59.663512054431919</v>
      </c>
      <c r="O73" s="83">
        <f t="shared" si="38"/>
        <v>34.862855527910007</v>
      </c>
      <c r="P73" s="83">
        <f t="shared" si="38"/>
        <v>7.7789460183485808</v>
      </c>
      <c r="Q73" s="83" t="e">
        <f t="shared" si="38"/>
        <v>#DIV/0!</v>
      </c>
      <c r="R73" s="83" t="e">
        <f t="shared" si="38"/>
        <v>#DIV/0!</v>
      </c>
      <c r="S73" s="83" t="e">
        <f t="shared" si="38"/>
        <v>#DIV/0!</v>
      </c>
      <c r="T73" s="83" t="e">
        <f t="shared" si="38"/>
        <v>#DIV/0!</v>
      </c>
      <c r="U73" s="83" t="e">
        <f t="shared" si="38"/>
        <v>#DIV/0!</v>
      </c>
      <c r="V73" s="83" t="e">
        <f t="shared" si="38"/>
        <v>#DIV/0!</v>
      </c>
      <c r="W73" s="83" t="e">
        <f t="shared" si="38"/>
        <v>#DIV/0!</v>
      </c>
      <c r="X73" s="83" t="e">
        <f t="shared" si="38"/>
        <v>#DIV/0!</v>
      </c>
      <c r="Y73" s="83" t="e">
        <f t="shared" si="38"/>
        <v>#DIV/0!</v>
      </c>
      <c r="Z73" s="83" t="e">
        <f t="shared" si="38"/>
        <v>#DIV/0!</v>
      </c>
      <c r="AA73" s="83" t="e">
        <f t="shared" si="38"/>
        <v>#DIV/0!</v>
      </c>
      <c r="AB73" s="83" t="e">
        <f t="shared" si="38"/>
        <v>#DIV/0!</v>
      </c>
      <c r="AC73" s="83" t="e">
        <f t="shared" si="38"/>
        <v>#DIV/0!</v>
      </c>
      <c r="AD73" s="83" t="e">
        <f t="shared" si="38"/>
        <v>#DIV/0!</v>
      </c>
      <c r="AE73" s="83" t="e">
        <f t="shared" si="38"/>
        <v>#DIV/0!</v>
      </c>
      <c r="AF73" s="83" t="e">
        <f t="shared" si="38"/>
        <v>#DIV/0!</v>
      </c>
      <c r="AG73" s="83" t="e">
        <f t="shared" si="38"/>
        <v>#DIV/0!</v>
      </c>
      <c r="AH73" s="83" t="e">
        <f t="shared" si="38"/>
        <v>#DIV/0!</v>
      </c>
      <c r="AI73" s="83" t="e">
        <f t="shared" si="38"/>
        <v>#DIV/0!</v>
      </c>
      <c r="AJ73" s="83" t="e">
        <f t="shared" si="38"/>
        <v>#DIV/0!</v>
      </c>
      <c r="AK73" s="83" t="e">
        <f t="shared" si="38"/>
        <v>#DIV/0!</v>
      </c>
      <c r="AL73" s="83" t="e">
        <f t="shared" si="38"/>
        <v>#DIV/0!</v>
      </c>
      <c r="AM73" s="83" t="e">
        <f t="shared" si="38"/>
        <v>#DIV/0!</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76" customFormat="1">
      <c r="A74" s="152" t="s">
        <v>487</v>
      </c>
      <c r="E74" s="76">
        <f>E66+E70</f>
        <v>246.20310320637196</v>
      </c>
      <c r="F74" s="76">
        <f t="shared" ref="F74:BQ74" si="40">F66+F70</f>
        <v>475.02131829858496</v>
      </c>
      <c r="G74" s="76">
        <f t="shared" si="40"/>
        <v>651.43836563282139</v>
      </c>
      <c r="H74" s="76">
        <f t="shared" si="40"/>
        <v>2406.7231326352444</v>
      </c>
      <c r="I74" s="76">
        <f t="shared" si="40"/>
        <v>261.1218340945594</v>
      </c>
      <c r="J74" s="76">
        <f t="shared" si="40"/>
        <v>390.97573492350381</v>
      </c>
      <c r="K74" s="76">
        <f t="shared" si="40"/>
        <v>520.06253747932192</v>
      </c>
      <c r="L74" s="76">
        <f t="shared" si="40"/>
        <v>2118.2394825370411</v>
      </c>
      <c r="M74" s="76">
        <f t="shared" si="40"/>
        <v>139.65971434818027</v>
      </c>
      <c r="N74" s="76">
        <f t="shared" si="40"/>
        <v>192.34604654986799</v>
      </c>
      <c r="O74" s="76">
        <f t="shared" si="40"/>
        <v>81.771496598906609</v>
      </c>
      <c r="P74" s="76">
        <f t="shared" si="40"/>
        <v>32.134335106857478</v>
      </c>
      <c r="Q74" s="76" t="e">
        <f t="shared" si="40"/>
        <v>#DIV/0!</v>
      </c>
      <c r="R74" s="76" t="e">
        <f t="shared" si="40"/>
        <v>#DIV/0!</v>
      </c>
      <c r="S74" s="76" t="e">
        <f t="shared" si="40"/>
        <v>#DIV/0!</v>
      </c>
      <c r="T74" s="76" t="e">
        <f t="shared" si="40"/>
        <v>#DIV/0!</v>
      </c>
      <c r="U74" s="76" t="e">
        <f t="shared" si="40"/>
        <v>#DIV/0!</v>
      </c>
      <c r="V74" s="76" t="e">
        <f t="shared" si="40"/>
        <v>#DIV/0!</v>
      </c>
      <c r="W74" s="76" t="e">
        <f t="shared" si="40"/>
        <v>#DIV/0!</v>
      </c>
      <c r="X74" s="76" t="e">
        <f t="shared" si="40"/>
        <v>#DIV/0!</v>
      </c>
      <c r="Y74" s="76" t="e">
        <f t="shared" si="40"/>
        <v>#DIV/0!</v>
      </c>
      <c r="Z74" s="76" t="e">
        <f t="shared" si="40"/>
        <v>#DIV/0!</v>
      </c>
      <c r="AA74" s="76" t="e">
        <f t="shared" si="40"/>
        <v>#DIV/0!</v>
      </c>
      <c r="AB74" s="76" t="e">
        <f t="shared" si="40"/>
        <v>#DIV/0!</v>
      </c>
      <c r="AC74" s="76" t="e">
        <f t="shared" si="40"/>
        <v>#DIV/0!</v>
      </c>
      <c r="AD74" s="76" t="e">
        <f t="shared" si="40"/>
        <v>#DIV/0!</v>
      </c>
      <c r="AE74" s="76" t="e">
        <f t="shared" si="40"/>
        <v>#DIV/0!</v>
      </c>
      <c r="AF74" s="76" t="e">
        <f t="shared" si="40"/>
        <v>#DIV/0!</v>
      </c>
      <c r="AG74" s="76" t="e">
        <f t="shared" si="40"/>
        <v>#DIV/0!</v>
      </c>
      <c r="AH74" s="76" t="e">
        <f t="shared" si="40"/>
        <v>#DIV/0!</v>
      </c>
      <c r="AI74" s="76" t="e">
        <f t="shared" si="40"/>
        <v>#DIV/0!</v>
      </c>
      <c r="AJ74" s="76" t="e">
        <f t="shared" si="40"/>
        <v>#DIV/0!</v>
      </c>
      <c r="AK74" s="76" t="e">
        <f t="shared" si="40"/>
        <v>#DIV/0!</v>
      </c>
      <c r="AL74" s="76" t="e">
        <f t="shared" si="40"/>
        <v>#DIV/0!</v>
      </c>
      <c r="AM74" s="76" t="e">
        <f t="shared" si="40"/>
        <v>#DIV/0!</v>
      </c>
      <c r="AN74" s="76" t="e">
        <f t="shared" si="40"/>
        <v>#DIV/0!</v>
      </c>
      <c r="AO74" s="76" t="e">
        <f t="shared" si="40"/>
        <v>#DIV/0!</v>
      </c>
      <c r="AP74" s="76" t="e">
        <f t="shared" si="40"/>
        <v>#DIV/0!</v>
      </c>
      <c r="AQ74" s="76" t="e">
        <f t="shared" si="40"/>
        <v>#DIV/0!</v>
      </c>
      <c r="AR74" s="76" t="e">
        <f t="shared" si="40"/>
        <v>#DIV/0!</v>
      </c>
      <c r="AS74" s="76" t="e">
        <f t="shared" si="40"/>
        <v>#DIV/0!</v>
      </c>
      <c r="AT74" s="76" t="e">
        <f t="shared" si="40"/>
        <v>#DIV/0!</v>
      </c>
      <c r="AU74" s="76" t="e">
        <f t="shared" si="40"/>
        <v>#DIV/0!</v>
      </c>
      <c r="AV74" s="76" t="e">
        <f t="shared" si="40"/>
        <v>#DIV/0!</v>
      </c>
      <c r="AW74" s="76" t="e">
        <f t="shared" si="40"/>
        <v>#DIV/0!</v>
      </c>
      <c r="AX74" s="76" t="e">
        <f t="shared" si="40"/>
        <v>#DIV/0!</v>
      </c>
      <c r="AY74" s="76" t="e">
        <f t="shared" si="40"/>
        <v>#DIV/0!</v>
      </c>
      <c r="AZ74" s="76" t="e">
        <f t="shared" si="40"/>
        <v>#DIV/0!</v>
      </c>
      <c r="BA74" s="76" t="e">
        <f t="shared" si="40"/>
        <v>#DIV/0!</v>
      </c>
      <c r="BB74" s="76" t="e">
        <f t="shared" si="40"/>
        <v>#DIV/0!</v>
      </c>
      <c r="BC74" s="76" t="e">
        <f t="shared" si="40"/>
        <v>#DIV/0!</v>
      </c>
      <c r="BD74" s="76" t="e">
        <f t="shared" si="40"/>
        <v>#DIV/0!</v>
      </c>
      <c r="BE74" s="76" t="e">
        <f t="shared" si="40"/>
        <v>#DIV/0!</v>
      </c>
      <c r="BF74" s="76" t="e">
        <f t="shared" si="40"/>
        <v>#DIV/0!</v>
      </c>
      <c r="BG74" s="76" t="e">
        <f t="shared" si="40"/>
        <v>#DIV/0!</v>
      </c>
      <c r="BH74" s="76" t="e">
        <f t="shared" si="40"/>
        <v>#DIV/0!</v>
      </c>
      <c r="BI74" s="76" t="e">
        <f t="shared" si="40"/>
        <v>#DIV/0!</v>
      </c>
      <c r="BJ74" s="76" t="e">
        <f t="shared" si="40"/>
        <v>#DIV/0!</v>
      </c>
      <c r="BK74" s="76" t="e">
        <f t="shared" si="40"/>
        <v>#DIV/0!</v>
      </c>
      <c r="BL74" s="76" t="e">
        <f t="shared" si="40"/>
        <v>#DIV/0!</v>
      </c>
      <c r="BM74" s="76" t="e">
        <f t="shared" si="40"/>
        <v>#DIV/0!</v>
      </c>
      <c r="BN74" s="76" t="e">
        <f t="shared" si="40"/>
        <v>#DIV/0!</v>
      </c>
      <c r="BO74" s="76" t="e">
        <f t="shared" si="40"/>
        <v>#DIV/0!</v>
      </c>
      <c r="BP74" s="76" t="e">
        <f t="shared" si="40"/>
        <v>#DIV/0!</v>
      </c>
      <c r="BQ74" s="76" t="e">
        <f t="shared" si="40"/>
        <v>#DIV/0!</v>
      </c>
      <c r="BR74" s="76" t="e">
        <f t="shared" ref="BR74:CK74" si="41">BR66+BR70</f>
        <v>#DIV/0!</v>
      </c>
      <c r="BS74" s="76" t="e">
        <f t="shared" si="41"/>
        <v>#DIV/0!</v>
      </c>
      <c r="BT74" s="76" t="e">
        <f t="shared" si="41"/>
        <v>#DIV/0!</v>
      </c>
      <c r="BU74" s="76" t="e">
        <f t="shared" si="41"/>
        <v>#DIV/0!</v>
      </c>
      <c r="BV74" s="76" t="e">
        <f t="shared" si="41"/>
        <v>#DIV/0!</v>
      </c>
      <c r="BW74" s="76" t="e">
        <f t="shared" si="41"/>
        <v>#DIV/0!</v>
      </c>
      <c r="BX74" s="76" t="e">
        <f t="shared" si="41"/>
        <v>#DIV/0!</v>
      </c>
      <c r="BY74" s="76" t="e">
        <f t="shared" si="41"/>
        <v>#DIV/0!</v>
      </c>
      <c r="BZ74" s="76" t="e">
        <f t="shared" si="41"/>
        <v>#DIV/0!</v>
      </c>
      <c r="CA74" s="76" t="e">
        <f t="shared" si="41"/>
        <v>#DIV/0!</v>
      </c>
      <c r="CB74" s="76" t="e">
        <f t="shared" si="41"/>
        <v>#DIV/0!</v>
      </c>
      <c r="CC74" s="76" t="e">
        <f t="shared" si="41"/>
        <v>#DIV/0!</v>
      </c>
      <c r="CD74" s="76" t="e">
        <f t="shared" si="41"/>
        <v>#DIV/0!</v>
      </c>
      <c r="CE74" s="76" t="e">
        <f t="shared" si="41"/>
        <v>#DIV/0!</v>
      </c>
      <c r="CF74" s="76" t="e">
        <f t="shared" si="41"/>
        <v>#DIV/0!</v>
      </c>
      <c r="CG74" s="76" t="e">
        <f t="shared" si="41"/>
        <v>#DIV/0!</v>
      </c>
      <c r="CH74" s="76" t="e">
        <f t="shared" si="41"/>
        <v>#DIV/0!</v>
      </c>
      <c r="CI74" s="76" t="e">
        <f t="shared" si="41"/>
        <v>#DIV/0!</v>
      </c>
      <c r="CJ74" s="76" t="e">
        <f t="shared" si="41"/>
        <v>#DIV/0!</v>
      </c>
      <c r="CK74" s="76">
        <f t="shared" si="41"/>
        <v>0</v>
      </c>
    </row>
    <row r="75" spans="1:89" s="76" customFormat="1">
      <c r="A75" s="152" t="s">
        <v>488</v>
      </c>
      <c r="E75" s="76">
        <f>E74-E73</f>
        <v>59.455886250085598</v>
      </c>
      <c r="F75" s="76">
        <f t="shared" ref="F75:BQ75" si="42">F74-F73</f>
        <v>215.05907922346796</v>
      </c>
      <c r="G75" s="76">
        <f t="shared" si="42"/>
        <v>293.56118547480452</v>
      </c>
      <c r="H75" s="76">
        <f t="shared" si="42"/>
        <v>1092.5098863893797</v>
      </c>
      <c r="I75" s="76">
        <f t="shared" si="42"/>
        <v>130.52248104466426</v>
      </c>
      <c r="J75" s="76">
        <f t="shared" si="42"/>
        <v>254.02613800115847</v>
      </c>
      <c r="K75" s="76">
        <f t="shared" si="42"/>
        <v>297.76475553735793</v>
      </c>
      <c r="L75" s="76">
        <f t="shared" si="42"/>
        <v>881.61282305585132</v>
      </c>
      <c r="M75" s="76">
        <f t="shared" si="42"/>
        <v>96.81965758916823</v>
      </c>
      <c r="N75" s="76">
        <f t="shared" si="42"/>
        <v>132.68253449543607</v>
      </c>
      <c r="O75" s="76">
        <f t="shared" si="42"/>
        <v>46.908641070996602</v>
      </c>
      <c r="P75" s="76">
        <f t="shared" si="42"/>
        <v>24.355389088508897</v>
      </c>
      <c r="Q75" s="76" t="e">
        <f t="shared" si="42"/>
        <v>#DIV/0!</v>
      </c>
      <c r="R75" s="76" t="e">
        <f t="shared" si="42"/>
        <v>#DIV/0!</v>
      </c>
      <c r="S75" s="76" t="e">
        <f t="shared" si="42"/>
        <v>#DIV/0!</v>
      </c>
      <c r="T75" s="76" t="e">
        <f t="shared" si="42"/>
        <v>#DIV/0!</v>
      </c>
      <c r="U75" s="76" t="e">
        <f t="shared" si="42"/>
        <v>#DIV/0!</v>
      </c>
      <c r="V75" s="76" t="e">
        <f t="shared" si="42"/>
        <v>#DIV/0!</v>
      </c>
      <c r="W75" s="76" t="e">
        <f t="shared" si="42"/>
        <v>#DIV/0!</v>
      </c>
      <c r="X75" s="76" t="e">
        <f t="shared" si="42"/>
        <v>#DIV/0!</v>
      </c>
      <c r="Y75" s="76" t="e">
        <f t="shared" si="42"/>
        <v>#DIV/0!</v>
      </c>
      <c r="Z75" s="76" t="e">
        <f t="shared" si="42"/>
        <v>#DIV/0!</v>
      </c>
      <c r="AA75" s="76" t="e">
        <f t="shared" si="42"/>
        <v>#DIV/0!</v>
      </c>
      <c r="AB75" s="76" t="e">
        <f t="shared" si="42"/>
        <v>#DIV/0!</v>
      </c>
      <c r="AC75" s="76" t="e">
        <f t="shared" si="42"/>
        <v>#DIV/0!</v>
      </c>
      <c r="AD75" s="76" t="e">
        <f t="shared" si="42"/>
        <v>#DIV/0!</v>
      </c>
      <c r="AE75" s="76" t="e">
        <f t="shared" si="42"/>
        <v>#DIV/0!</v>
      </c>
      <c r="AF75" s="76" t="e">
        <f t="shared" si="42"/>
        <v>#DIV/0!</v>
      </c>
      <c r="AG75" s="76" t="e">
        <f t="shared" si="42"/>
        <v>#DIV/0!</v>
      </c>
      <c r="AH75" s="76" t="e">
        <f t="shared" si="42"/>
        <v>#DIV/0!</v>
      </c>
      <c r="AI75" s="76" t="e">
        <f t="shared" si="42"/>
        <v>#DIV/0!</v>
      </c>
      <c r="AJ75" s="76" t="e">
        <f t="shared" si="42"/>
        <v>#DIV/0!</v>
      </c>
      <c r="AK75" s="76" t="e">
        <f t="shared" si="42"/>
        <v>#DIV/0!</v>
      </c>
      <c r="AL75" s="76" t="e">
        <f t="shared" si="42"/>
        <v>#DIV/0!</v>
      </c>
      <c r="AM75" s="76" t="e">
        <f t="shared" si="42"/>
        <v>#DIV/0!</v>
      </c>
      <c r="AN75" s="76" t="e">
        <f t="shared" si="42"/>
        <v>#DIV/0!</v>
      </c>
      <c r="AO75" s="76" t="e">
        <f t="shared" si="42"/>
        <v>#DIV/0!</v>
      </c>
      <c r="AP75" s="76" t="e">
        <f t="shared" si="42"/>
        <v>#DIV/0!</v>
      </c>
      <c r="AQ75" s="76" t="e">
        <f t="shared" si="42"/>
        <v>#DIV/0!</v>
      </c>
      <c r="AR75" s="76" t="e">
        <f t="shared" si="42"/>
        <v>#DIV/0!</v>
      </c>
      <c r="AS75" s="76" t="e">
        <f t="shared" si="42"/>
        <v>#DIV/0!</v>
      </c>
      <c r="AT75" s="76" t="e">
        <f t="shared" si="42"/>
        <v>#DIV/0!</v>
      </c>
      <c r="AU75" s="76" t="e">
        <f t="shared" si="42"/>
        <v>#DIV/0!</v>
      </c>
      <c r="AV75" s="76" t="e">
        <f t="shared" si="42"/>
        <v>#DIV/0!</v>
      </c>
      <c r="AW75" s="76" t="e">
        <f t="shared" si="42"/>
        <v>#DIV/0!</v>
      </c>
      <c r="AX75" s="76" t="e">
        <f t="shared" si="42"/>
        <v>#DIV/0!</v>
      </c>
      <c r="AY75" s="76" t="e">
        <f t="shared" si="42"/>
        <v>#DIV/0!</v>
      </c>
      <c r="AZ75" s="76" t="e">
        <f t="shared" si="42"/>
        <v>#DIV/0!</v>
      </c>
      <c r="BA75" s="76" t="e">
        <f t="shared" si="42"/>
        <v>#DIV/0!</v>
      </c>
      <c r="BB75" s="76" t="e">
        <f t="shared" si="42"/>
        <v>#DIV/0!</v>
      </c>
      <c r="BC75" s="76" t="e">
        <f t="shared" si="42"/>
        <v>#DIV/0!</v>
      </c>
      <c r="BD75" s="76" t="e">
        <f t="shared" si="42"/>
        <v>#DIV/0!</v>
      </c>
      <c r="BE75" s="76" t="e">
        <f t="shared" si="42"/>
        <v>#DIV/0!</v>
      </c>
      <c r="BF75" s="76" t="e">
        <f t="shared" si="42"/>
        <v>#DIV/0!</v>
      </c>
      <c r="BG75" s="76" t="e">
        <f t="shared" si="42"/>
        <v>#DIV/0!</v>
      </c>
      <c r="BH75" s="76" t="e">
        <f t="shared" si="42"/>
        <v>#DIV/0!</v>
      </c>
      <c r="BI75" s="76" t="e">
        <f t="shared" si="42"/>
        <v>#DIV/0!</v>
      </c>
      <c r="BJ75" s="76" t="e">
        <f t="shared" si="42"/>
        <v>#DIV/0!</v>
      </c>
      <c r="BK75" s="76" t="e">
        <f t="shared" si="42"/>
        <v>#DIV/0!</v>
      </c>
      <c r="BL75" s="76" t="e">
        <f t="shared" si="42"/>
        <v>#DIV/0!</v>
      </c>
      <c r="BM75" s="76" t="e">
        <f t="shared" si="42"/>
        <v>#DIV/0!</v>
      </c>
      <c r="BN75" s="76" t="e">
        <f t="shared" si="42"/>
        <v>#DIV/0!</v>
      </c>
      <c r="BO75" s="76" t="e">
        <f t="shared" si="42"/>
        <v>#DIV/0!</v>
      </c>
      <c r="BP75" s="76" t="e">
        <f t="shared" si="42"/>
        <v>#DIV/0!</v>
      </c>
      <c r="BQ75" s="76" t="e">
        <f t="shared" si="42"/>
        <v>#DIV/0!</v>
      </c>
      <c r="BR75" s="76" t="e">
        <f t="shared" ref="BR75:CJ75" si="43">BR74-BR73</f>
        <v>#DIV/0!</v>
      </c>
      <c r="BS75" s="76" t="e">
        <f t="shared" si="43"/>
        <v>#DIV/0!</v>
      </c>
      <c r="BT75" s="76" t="e">
        <f t="shared" si="43"/>
        <v>#DIV/0!</v>
      </c>
      <c r="BU75" s="76" t="e">
        <f t="shared" si="43"/>
        <v>#DIV/0!</v>
      </c>
      <c r="BV75" s="76" t="e">
        <f t="shared" si="43"/>
        <v>#DIV/0!</v>
      </c>
      <c r="BW75" s="76" t="e">
        <f t="shared" si="43"/>
        <v>#DIV/0!</v>
      </c>
      <c r="BX75" s="76" t="e">
        <f t="shared" si="43"/>
        <v>#DIV/0!</v>
      </c>
      <c r="BY75" s="76" t="e">
        <f t="shared" si="43"/>
        <v>#DIV/0!</v>
      </c>
      <c r="BZ75" s="76" t="e">
        <f t="shared" si="43"/>
        <v>#DIV/0!</v>
      </c>
      <c r="CA75" s="76" t="e">
        <f t="shared" si="43"/>
        <v>#DIV/0!</v>
      </c>
      <c r="CB75" s="76" t="e">
        <f t="shared" si="43"/>
        <v>#DIV/0!</v>
      </c>
      <c r="CC75" s="76" t="e">
        <f t="shared" si="43"/>
        <v>#DIV/0!</v>
      </c>
      <c r="CD75" s="76" t="e">
        <f t="shared" si="43"/>
        <v>#DIV/0!</v>
      </c>
      <c r="CE75" s="76" t="e">
        <f t="shared" si="43"/>
        <v>#DIV/0!</v>
      </c>
      <c r="CF75" s="76" t="e">
        <f t="shared" si="43"/>
        <v>#DIV/0!</v>
      </c>
      <c r="CG75" s="76" t="e">
        <f t="shared" si="43"/>
        <v>#DIV/0!</v>
      </c>
      <c r="CH75" s="76" t="e">
        <f t="shared" si="43"/>
        <v>#DIV/0!</v>
      </c>
      <c r="CI75" s="76" t="e">
        <f t="shared" si="43"/>
        <v>#DIV/0!</v>
      </c>
      <c r="CJ75" s="76" t="e">
        <f t="shared" si="43"/>
        <v>#DIV/0!</v>
      </c>
    </row>
    <row r="76" spans="1:89" s="123" customFormat="1">
      <c r="A76" s="154" t="s">
        <v>489</v>
      </c>
      <c r="E76" s="123">
        <f>E71-E64-E68</f>
        <v>-56151245.309999987</v>
      </c>
      <c r="F76" s="123">
        <f t="shared" ref="F76:BQ76" si="44">F71-F64-F68</f>
        <v>-50790339.289999999</v>
      </c>
      <c r="G76" s="123">
        <f t="shared" si="44"/>
        <v>-62088634.530000001</v>
      </c>
      <c r="H76" s="123">
        <f t="shared" si="44"/>
        <v>-58290678.269999996</v>
      </c>
      <c r="I76" s="123">
        <f t="shared" si="44"/>
        <v>-59737607.079999998</v>
      </c>
      <c r="J76" s="123">
        <f t="shared" si="44"/>
        <v>-91702886.190000013</v>
      </c>
      <c r="K76" s="123">
        <f t="shared" si="44"/>
        <v>-90108684.829999998</v>
      </c>
      <c r="L76" s="123">
        <f t="shared" si="44"/>
        <v>-62306239.930000007</v>
      </c>
      <c r="M76" s="123">
        <f t="shared" si="44"/>
        <v>-75834777.799999997</v>
      </c>
      <c r="N76" s="123">
        <f t="shared" si="44"/>
        <v>-55333617.240000002</v>
      </c>
      <c r="O76" s="123">
        <f t="shared" si="44"/>
        <v>-23452023.920000002</v>
      </c>
      <c r="P76" s="123">
        <f t="shared" si="44"/>
        <v>-27328737.530000001</v>
      </c>
      <c r="Q76" s="123">
        <f t="shared" si="44"/>
        <v>0</v>
      </c>
      <c r="R76" s="123">
        <f t="shared" si="44"/>
        <v>0</v>
      </c>
      <c r="S76" s="123">
        <f t="shared" si="44"/>
        <v>0</v>
      </c>
      <c r="T76" s="123">
        <f t="shared" si="44"/>
        <v>0</v>
      </c>
      <c r="U76" s="123">
        <f t="shared" si="44"/>
        <v>0</v>
      </c>
      <c r="V76" s="123">
        <f t="shared" si="44"/>
        <v>0</v>
      </c>
      <c r="W76" s="123">
        <f t="shared" si="44"/>
        <v>0</v>
      </c>
      <c r="X76" s="123">
        <f t="shared" si="44"/>
        <v>0</v>
      </c>
      <c r="Y76" s="123">
        <f t="shared" si="44"/>
        <v>0</v>
      </c>
      <c r="Z76" s="123">
        <f t="shared" si="44"/>
        <v>0</v>
      </c>
      <c r="AA76" s="123">
        <f t="shared" si="44"/>
        <v>0</v>
      </c>
      <c r="AB76" s="123">
        <f t="shared" si="44"/>
        <v>0</v>
      </c>
      <c r="AC76" s="123">
        <f t="shared" si="44"/>
        <v>0</v>
      </c>
      <c r="AD76" s="123">
        <f t="shared" si="44"/>
        <v>0</v>
      </c>
      <c r="AE76" s="123">
        <f t="shared" si="44"/>
        <v>0</v>
      </c>
      <c r="AF76" s="123">
        <f t="shared" si="44"/>
        <v>0</v>
      </c>
      <c r="AG76" s="123">
        <f t="shared" si="44"/>
        <v>0</v>
      </c>
      <c r="AH76" s="123">
        <f t="shared" si="44"/>
        <v>0</v>
      </c>
      <c r="AI76" s="123">
        <f t="shared" si="44"/>
        <v>0</v>
      </c>
      <c r="AJ76" s="123">
        <f t="shared" si="44"/>
        <v>0</v>
      </c>
      <c r="AK76" s="123">
        <f t="shared" si="44"/>
        <v>0</v>
      </c>
      <c r="AL76" s="123">
        <f t="shared" si="44"/>
        <v>0</v>
      </c>
      <c r="AM76" s="123">
        <f t="shared" si="44"/>
        <v>0</v>
      </c>
      <c r="AN76" s="123">
        <f t="shared" si="44"/>
        <v>0</v>
      </c>
      <c r="AO76" s="123">
        <f t="shared" si="44"/>
        <v>0</v>
      </c>
      <c r="AP76" s="123">
        <f t="shared" si="44"/>
        <v>0</v>
      </c>
      <c r="AQ76" s="123">
        <f t="shared" si="44"/>
        <v>0</v>
      </c>
      <c r="AR76" s="123">
        <f t="shared" si="44"/>
        <v>0</v>
      </c>
      <c r="AS76" s="123">
        <f t="shared" si="44"/>
        <v>0</v>
      </c>
      <c r="AT76" s="123">
        <f t="shared" si="44"/>
        <v>0</v>
      </c>
      <c r="AU76" s="123">
        <f t="shared" si="44"/>
        <v>0</v>
      </c>
      <c r="AV76" s="123">
        <f t="shared" si="44"/>
        <v>0</v>
      </c>
      <c r="AW76" s="123">
        <f t="shared" si="44"/>
        <v>0</v>
      </c>
      <c r="AX76" s="123">
        <f t="shared" si="44"/>
        <v>0</v>
      </c>
      <c r="AY76" s="123">
        <f t="shared" si="44"/>
        <v>0</v>
      </c>
      <c r="AZ76" s="123">
        <f t="shared" si="44"/>
        <v>0</v>
      </c>
      <c r="BA76" s="123">
        <f t="shared" si="44"/>
        <v>0</v>
      </c>
      <c r="BB76" s="123">
        <f t="shared" si="44"/>
        <v>0</v>
      </c>
      <c r="BC76" s="123">
        <f t="shared" si="44"/>
        <v>0</v>
      </c>
      <c r="BD76" s="123">
        <f t="shared" si="44"/>
        <v>0</v>
      </c>
      <c r="BE76" s="123">
        <f t="shared" si="44"/>
        <v>0</v>
      </c>
      <c r="BF76" s="123">
        <f t="shared" si="44"/>
        <v>0</v>
      </c>
      <c r="BG76" s="123">
        <f t="shared" si="44"/>
        <v>0</v>
      </c>
      <c r="BH76" s="123">
        <f t="shared" si="44"/>
        <v>0</v>
      </c>
      <c r="BI76" s="123">
        <f t="shared" si="44"/>
        <v>0</v>
      </c>
      <c r="BJ76" s="123">
        <f t="shared" si="44"/>
        <v>0</v>
      </c>
      <c r="BK76" s="123">
        <f t="shared" si="44"/>
        <v>0</v>
      </c>
      <c r="BL76" s="123">
        <f t="shared" si="44"/>
        <v>0</v>
      </c>
      <c r="BM76" s="123">
        <f t="shared" si="44"/>
        <v>0</v>
      </c>
      <c r="BN76" s="123">
        <f t="shared" si="44"/>
        <v>0</v>
      </c>
      <c r="BO76" s="123">
        <f t="shared" si="44"/>
        <v>0</v>
      </c>
      <c r="BP76" s="123">
        <f t="shared" si="44"/>
        <v>0</v>
      </c>
      <c r="BQ76" s="123">
        <f t="shared" si="44"/>
        <v>0</v>
      </c>
      <c r="BR76" s="123">
        <f t="shared" ref="BR76:CJ76" si="45">BR71-BR64-BR68</f>
        <v>0</v>
      </c>
      <c r="BS76" s="123">
        <f t="shared" si="45"/>
        <v>0</v>
      </c>
      <c r="BT76" s="123">
        <f t="shared" si="45"/>
        <v>0</v>
      </c>
      <c r="BU76" s="123">
        <f t="shared" si="45"/>
        <v>0</v>
      </c>
      <c r="BV76" s="123">
        <f t="shared" si="45"/>
        <v>0</v>
      </c>
      <c r="BW76" s="123">
        <f t="shared" si="45"/>
        <v>0</v>
      </c>
      <c r="BX76" s="123">
        <f t="shared" si="45"/>
        <v>0</v>
      </c>
      <c r="BY76" s="123">
        <f t="shared" si="45"/>
        <v>0</v>
      </c>
      <c r="BZ76" s="123">
        <f t="shared" si="45"/>
        <v>0</v>
      </c>
      <c r="CA76" s="123">
        <f t="shared" si="45"/>
        <v>0</v>
      </c>
      <c r="CB76" s="123">
        <f t="shared" si="45"/>
        <v>0</v>
      </c>
      <c r="CC76" s="123">
        <f t="shared" si="45"/>
        <v>0</v>
      </c>
      <c r="CD76" s="123">
        <f t="shared" si="45"/>
        <v>0</v>
      </c>
      <c r="CE76" s="123">
        <f t="shared" si="45"/>
        <v>0</v>
      </c>
      <c r="CF76" s="123">
        <f t="shared" si="45"/>
        <v>0</v>
      </c>
      <c r="CG76" s="123">
        <f t="shared" si="45"/>
        <v>0</v>
      </c>
      <c r="CH76" s="123">
        <f t="shared" si="45"/>
        <v>0</v>
      </c>
      <c r="CI76" s="123">
        <f t="shared" si="45"/>
        <v>0</v>
      </c>
      <c r="CJ76" s="123">
        <f t="shared" si="45"/>
        <v>0</v>
      </c>
    </row>
    <row r="77" spans="1:89" s="16" customFormat="1" ht="59.25" customHeight="1">
      <c r="A77" s="235" t="s">
        <v>656</v>
      </c>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c r="AE77" s="236"/>
      <c r="AF77" s="236"/>
      <c r="AG77" s="236"/>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115" customFormat="1">
      <c r="A80" s="124" t="s">
        <v>586</v>
      </c>
      <c r="B80" s="1">
        <v>43373</v>
      </c>
      <c r="C80" s="1">
        <v>43281</v>
      </c>
      <c r="D80" s="1">
        <v>43190</v>
      </c>
      <c r="E80" s="1">
        <v>43100</v>
      </c>
      <c r="F80" s="1">
        <v>43008</v>
      </c>
      <c r="G80" s="1">
        <v>42916</v>
      </c>
      <c r="H80" s="1">
        <v>42825</v>
      </c>
      <c r="I80" s="1">
        <v>42735</v>
      </c>
      <c r="J80" s="1">
        <v>42643</v>
      </c>
      <c r="K80" s="1">
        <v>42551</v>
      </c>
      <c r="L80" s="1">
        <v>42460</v>
      </c>
      <c r="M80" s="1">
        <v>42369</v>
      </c>
      <c r="N80" s="1">
        <v>42277</v>
      </c>
      <c r="O80" s="1">
        <v>42004</v>
      </c>
      <c r="P80" s="1">
        <v>41639</v>
      </c>
      <c r="Q80" s="1">
        <v>41274</v>
      </c>
      <c r="R80" s="1">
        <v>40908</v>
      </c>
      <c r="S80" s="1">
        <v>25569</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c r="A81" s="70" t="s">
        <v>587</v>
      </c>
      <c r="E81" s="76">
        <f>股权价值增加表!E4</f>
        <v>192228852.33000001</v>
      </c>
      <c r="F81" s="76">
        <f>股权价值增加表!F4</f>
        <v>102176580.98999999</v>
      </c>
      <c r="G81" s="76">
        <f>股权价值增加表!G4</f>
        <v>77918188.989999995</v>
      </c>
      <c r="H81" s="76">
        <f>股权价值增加表!H4</f>
        <v>17058644.949999999</v>
      </c>
      <c r="I81" s="76">
        <f>股权价值增加表!I4</f>
        <v>165733894.71000001</v>
      </c>
      <c r="J81" s="76">
        <f>股权价值增加表!J4</f>
        <v>108502593.70999999</v>
      </c>
      <c r="K81" s="76">
        <f>股权价值增加表!K4</f>
        <v>80972644.640000001</v>
      </c>
      <c r="L81" s="76">
        <f>股权价值增加表!L4</f>
        <v>14971904.439999999</v>
      </c>
      <c r="M81" s="76">
        <f>股权价值增加表!M4</f>
        <v>148520212.02000001</v>
      </c>
      <c r="N81" s="76">
        <f>股权价值增加表!N4</f>
        <v>87957669.829999998</v>
      </c>
      <c r="O81" s="76">
        <f>股权价值增加表!O4</f>
        <v>179299034.00999999</v>
      </c>
      <c r="P81" s="76">
        <f>股权价值增加表!P4</f>
        <v>208788264.84</v>
      </c>
      <c r="Q81" s="76">
        <f>股权价值增加表!Q4</f>
        <v>193493383.34</v>
      </c>
      <c r="R81" s="76">
        <f>股权价值增加表!R4</f>
        <v>82207078.170000002</v>
      </c>
      <c r="S81" s="76">
        <f>股权价值增加表!S4</f>
        <v>0</v>
      </c>
      <c r="T81" s="76">
        <f>股权价值增加表!T4</f>
        <v>0</v>
      </c>
      <c r="U81" s="76">
        <f>股权价值增加表!U4</f>
        <v>0</v>
      </c>
      <c r="V81" s="76">
        <f>股权价值增加表!V4</f>
        <v>0</v>
      </c>
      <c r="W81" s="76">
        <f>股权价值增加表!W4</f>
        <v>0</v>
      </c>
      <c r="X81" s="76">
        <f>股权价值增加表!X4</f>
        <v>0</v>
      </c>
      <c r="Y81" s="76">
        <f>股权价值增加表!Y4</f>
        <v>0</v>
      </c>
      <c r="Z81" s="76">
        <f>股权价值增加表!Z4</f>
        <v>0</v>
      </c>
      <c r="AA81" s="76">
        <f>股权价值增加表!AA4</f>
        <v>0</v>
      </c>
      <c r="AB81" s="76">
        <f>股权价值增加表!AB4</f>
        <v>0</v>
      </c>
      <c r="AC81" s="76">
        <f>股权价值增加表!AC4</f>
        <v>0</v>
      </c>
      <c r="AD81" s="76">
        <f>股权价值增加表!AD4</f>
        <v>0</v>
      </c>
      <c r="AE81" s="76">
        <f>股权价值增加表!AE4</f>
        <v>0</v>
      </c>
      <c r="AF81" s="76">
        <f>股权价值增加表!AF4</f>
        <v>0</v>
      </c>
      <c r="AG81" s="76">
        <f>股权价值增加表!AG4</f>
        <v>0</v>
      </c>
      <c r="AH81" s="76">
        <f>股权价值增加表!AH4</f>
        <v>0</v>
      </c>
      <c r="AI81" s="76">
        <f>股权价值增加表!AI4</f>
        <v>0</v>
      </c>
      <c r="AJ81" s="76">
        <f>股权价值增加表!AJ4</f>
        <v>0</v>
      </c>
      <c r="AK81" s="76">
        <f>股权价值增加表!AK4</f>
        <v>0</v>
      </c>
      <c r="AL81" s="76">
        <f>股权价值增加表!AL4</f>
        <v>0</v>
      </c>
      <c r="AM81" s="76">
        <f>股权价值增加表!AM4</f>
        <v>0</v>
      </c>
      <c r="AN81" s="76">
        <f>股权价值增加表!AN4</f>
        <v>0</v>
      </c>
      <c r="AO81" s="76">
        <f>股权价值增加表!AO4</f>
        <v>0</v>
      </c>
      <c r="AP81" s="76">
        <f>股权价值增加表!AP4</f>
        <v>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c r="A82" s="70" t="s">
        <v>588</v>
      </c>
      <c r="E82" s="76">
        <f>投资和筹资活动现金流表!E34</f>
        <v>141058262.70000002</v>
      </c>
      <c r="F82" s="76">
        <f>投资和筹资活动现金流表!F34</f>
        <v>134377364.66000003</v>
      </c>
      <c r="G82" s="76">
        <f>投资和筹资活动现金流表!G34</f>
        <v>125502574.55</v>
      </c>
      <c r="H82" s="76">
        <f>投资和筹资活动现金流表!H34</f>
        <v>121850622.88</v>
      </c>
      <c r="I82" s="76">
        <f>投资和筹资活动现金流表!I34</f>
        <v>122211044.84</v>
      </c>
      <c r="J82" s="76">
        <f>投资和筹资活动现金流表!J34</f>
        <v>106885665.91</v>
      </c>
      <c r="K82" s="76">
        <f>投资和筹资活动现金流表!K34</f>
        <v>102860874.88</v>
      </c>
      <c r="L82" s="76">
        <f>投资和筹资活动现金流表!L34</f>
        <v>90585586.769999996</v>
      </c>
      <c r="M82" s="76">
        <f>投资和筹资活动现金流表!M34</f>
        <v>34469860.640000001</v>
      </c>
      <c r="N82" s="76">
        <f>投资和筹资活动现金流表!N34</f>
        <v>32109703.940000001</v>
      </c>
      <c r="O82" s="76">
        <f>投资和筹资活动现金流表!O34</f>
        <v>15975368.9</v>
      </c>
      <c r="P82" s="76">
        <f>投资和筹资活动现金流表!P34</f>
        <v>1059573.78</v>
      </c>
      <c r="Q82" s="76">
        <f>投资和筹资活动现金流表!Q34</f>
        <v>0</v>
      </c>
      <c r="R82" s="76">
        <f>投资和筹资活动现金流表!R34</f>
        <v>0</v>
      </c>
      <c r="S82" s="76">
        <f>投资和筹资活动现金流表!S34</f>
        <v>0</v>
      </c>
      <c r="T82" s="76">
        <f>投资和筹资活动现金流表!T34</f>
        <v>2422226331.04</v>
      </c>
      <c r="U82" s="76">
        <f>投资和筹资活动现金流表!U34</f>
        <v>2191422276.9000001</v>
      </c>
      <c r="V82" s="76">
        <f>投资和筹资活动现金流表!V34</f>
        <v>2071315053.45</v>
      </c>
      <c r="W82" s="76">
        <f>投资和筹资活动现金流表!W34</f>
        <v>1845921264.79</v>
      </c>
      <c r="X82" s="76">
        <f>投资和筹资活动现金流表!X34</f>
        <v>1761621349.98</v>
      </c>
      <c r="Y82" s="76">
        <f>投资和筹资活动现金流表!Y34</f>
        <v>1692988956.96</v>
      </c>
      <c r="Z82" s="76">
        <f>投资和筹资活动现金流表!Z34</f>
        <v>1564687134.1800001</v>
      </c>
      <c r="AA82" s="76">
        <f>投资和筹资活动现金流表!AA34</f>
        <v>1478062969.8499999</v>
      </c>
      <c r="AB82" s="76">
        <f>投资和筹资活动现金流表!AB34</f>
        <v>1099582577.6300001</v>
      </c>
      <c r="AC82" s="76">
        <f>投资和筹资活动现金流表!AC34</f>
        <v>0</v>
      </c>
      <c r="AD82" s="76">
        <f>投资和筹资活动现金流表!AD34</f>
        <v>0</v>
      </c>
      <c r="AE82" s="76">
        <f>投资和筹资活动现金流表!AE34</f>
        <v>0</v>
      </c>
      <c r="AF82" s="76">
        <f>投资和筹资活动现金流表!AF34</f>
        <v>0</v>
      </c>
      <c r="AG82" s="76">
        <f>投资和筹资活动现金流表!AG34</f>
        <v>0</v>
      </c>
      <c r="AH82" s="76">
        <f>投资和筹资活动现金流表!AH34</f>
        <v>0</v>
      </c>
      <c r="AI82" s="76">
        <f>投资和筹资活动现金流表!AI34</f>
        <v>0</v>
      </c>
      <c r="AJ82" s="76">
        <f>投资和筹资活动现金流表!AJ34</f>
        <v>0</v>
      </c>
      <c r="AK82" s="76">
        <f>投资和筹资活动现金流表!AK34</f>
        <v>0</v>
      </c>
      <c r="AL82" s="76">
        <f>投资和筹资活动现金流表!AL34</f>
        <v>0</v>
      </c>
      <c r="AM82" s="76">
        <f>投资和筹资活动现金流表!AM34</f>
        <v>0</v>
      </c>
      <c r="AN82" s="76">
        <f>投资和筹资活动现金流表!AN34</f>
        <v>0</v>
      </c>
      <c r="AO82" s="76">
        <f>投资和筹资活动现金流表!AO34</f>
        <v>0</v>
      </c>
      <c r="AP82" s="76">
        <f>投资和筹资活动现金流表!AP34</f>
        <v>0</v>
      </c>
      <c r="AQ82" s="76">
        <f>投资和筹资活动现金流表!AQ34</f>
        <v>0</v>
      </c>
      <c r="AR82" s="76">
        <f>投资和筹资活动现金流表!AR34</f>
        <v>0</v>
      </c>
      <c r="AS82" s="76">
        <f>投资和筹资活动现金流表!AS34</f>
        <v>0</v>
      </c>
      <c r="AT82" s="76">
        <f>投资和筹资活动现金流表!AT34</f>
        <v>0</v>
      </c>
      <c r="AU82" s="76">
        <f>投资和筹资活动现金流表!AU34</f>
        <v>0</v>
      </c>
      <c r="AV82" s="76">
        <f>投资和筹资活动现金流表!AV34</f>
        <v>0</v>
      </c>
      <c r="AW82" s="76">
        <f>投资和筹资活动现金流表!AW34</f>
        <v>0</v>
      </c>
      <c r="AX82" s="76">
        <f>投资和筹资活动现金流表!AX34</f>
        <v>0</v>
      </c>
      <c r="AY82" s="76">
        <f>投资和筹资活动现金流表!AY34</f>
        <v>0</v>
      </c>
      <c r="AZ82" s="76">
        <f>投资和筹资活动现金流表!AZ34</f>
        <v>0</v>
      </c>
      <c r="BA82" s="76">
        <f>投资和筹资活动现金流表!BA34</f>
        <v>0</v>
      </c>
      <c r="BB82" s="76">
        <f>投资和筹资活动现金流表!BB34</f>
        <v>0</v>
      </c>
      <c r="BC82" s="76">
        <f>投资和筹资活动现金流表!BC34</f>
        <v>0</v>
      </c>
      <c r="BD82" s="76">
        <f>投资和筹资活动现金流表!BD34</f>
        <v>0</v>
      </c>
      <c r="BE82" s="76">
        <f>投资和筹资活动现金流表!BE34</f>
        <v>0</v>
      </c>
      <c r="BF82" s="76">
        <f>投资和筹资活动现金流表!BF34</f>
        <v>0</v>
      </c>
      <c r="BG82" s="76">
        <f>投资和筹资活动现金流表!BG34</f>
        <v>0</v>
      </c>
      <c r="BH82" s="76">
        <f>投资和筹资活动现金流表!BH34</f>
        <v>0</v>
      </c>
      <c r="BI82" s="76">
        <f>投资和筹资活动现金流表!BI34</f>
        <v>0</v>
      </c>
      <c r="BJ82" s="76">
        <f>投资和筹资活动现金流表!BJ34</f>
        <v>0</v>
      </c>
      <c r="BK82" s="76">
        <f>投资和筹资活动现金流表!BK34</f>
        <v>0</v>
      </c>
      <c r="BL82" s="76">
        <f>投资和筹资活动现金流表!BL34</f>
        <v>0</v>
      </c>
      <c r="BM82" s="76">
        <f>投资和筹资活动现金流表!BM34</f>
        <v>0</v>
      </c>
      <c r="BN82" s="76">
        <f>投资和筹资活动现金流表!BN34</f>
        <v>0</v>
      </c>
      <c r="BO82" s="76">
        <f>投资和筹资活动现金流表!BO34</f>
        <v>0</v>
      </c>
      <c r="BP82" s="76">
        <f>投资和筹资活动现金流表!BP34</f>
        <v>0</v>
      </c>
      <c r="BQ82" s="76">
        <f>投资和筹资活动现金流表!BQ34</f>
        <v>0</v>
      </c>
      <c r="BR82" s="76">
        <f>投资和筹资活动现金流表!BR34</f>
        <v>0</v>
      </c>
      <c r="BS82" s="76">
        <f>投资和筹资活动现金流表!BS34</f>
        <v>0</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44" customFormat="1">
      <c r="A83" s="155" t="s">
        <v>589</v>
      </c>
      <c r="E83" s="44">
        <f>E81/E82</f>
        <v>1.3627620860383671</v>
      </c>
      <c r="F83" s="44">
        <f t="shared" ref="F83:BQ83" si="46">F81/F82</f>
        <v>0.76037047793373491</v>
      </c>
      <c r="G83" s="44">
        <f t="shared" si="46"/>
        <v>0.62084932734951603</v>
      </c>
      <c r="H83" s="44">
        <f t="shared" si="46"/>
        <v>0.13999637052983771</v>
      </c>
      <c r="I83" s="44">
        <f t="shared" si="46"/>
        <v>1.3561286128187562</v>
      </c>
      <c r="J83" s="44">
        <f t="shared" si="46"/>
        <v>1.0151276392978783</v>
      </c>
      <c r="K83" s="44">
        <f t="shared" si="46"/>
        <v>0.78720548249725331</v>
      </c>
      <c r="L83" s="44">
        <f t="shared" si="46"/>
        <v>0.16527910204980173</v>
      </c>
      <c r="M83" s="44">
        <f t="shared" si="46"/>
        <v>4.3086977801021948</v>
      </c>
      <c r="N83" s="44">
        <f t="shared" si="46"/>
        <v>2.7392862293080364</v>
      </c>
      <c r="O83" s="44">
        <f t="shared" si="46"/>
        <v>11.223467522555925</v>
      </c>
      <c r="P83" s="44">
        <f t="shared" si="46"/>
        <v>197.04929357538461</v>
      </c>
      <c r="Q83" s="44" t="e">
        <f t="shared" si="46"/>
        <v>#DIV/0!</v>
      </c>
      <c r="R83" s="44" t="e">
        <f t="shared" si="46"/>
        <v>#DIV/0!</v>
      </c>
      <c r="S83" s="44" t="e">
        <f t="shared" si="46"/>
        <v>#DIV/0!</v>
      </c>
      <c r="T83" s="44">
        <f t="shared" si="46"/>
        <v>0</v>
      </c>
      <c r="U83" s="44">
        <f t="shared" si="46"/>
        <v>0</v>
      </c>
      <c r="V83" s="44">
        <f t="shared" si="46"/>
        <v>0</v>
      </c>
      <c r="W83" s="44">
        <f t="shared" si="46"/>
        <v>0</v>
      </c>
      <c r="X83" s="44">
        <f t="shared" si="46"/>
        <v>0</v>
      </c>
      <c r="Y83" s="44">
        <f t="shared" si="46"/>
        <v>0</v>
      </c>
      <c r="Z83" s="44">
        <f t="shared" si="46"/>
        <v>0</v>
      </c>
      <c r="AA83" s="44">
        <f t="shared" si="46"/>
        <v>0</v>
      </c>
      <c r="AB83" s="44">
        <f t="shared" si="46"/>
        <v>0</v>
      </c>
      <c r="AC83" s="44" t="e">
        <f t="shared" si="46"/>
        <v>#DIV/0!</v>
      </c>
      <c r="AD83" s="44" t="e">
        <f t="shared" si="46"/>
        <v>#DIV/0!</v>
      </c>
      <c r="AE83" s="44" t="e">
        <f t="shared" si="46"/>
        <v>#DIV/0!</v>
      </c>
      <c r="AF83" s="44" t="e">
        <f t="shared" si="46"/>
        <v>#DIV/0!</v>
      </c>
      <c r="AG83" s="44" t="e">
        <f t="shared" si="46"/>
        <v>#DIV/0!</v>
      </c>
      <c r="AH83" s="44" t="e">
        <f t="shared" si="46"/>
        <v>#DIV/0!</v>
      </c>
      <c r="AI83" s="44" t="e">
        <f t="shared" si="46"/>
        <v>#DIV/0!</v>
      </c>
      <c r="AJ83" s="44" t="e">
        <f t="shared" si="46"/>
        <v>#DIV/0!</v>
      </c>
      <c r="AK83" s="44" t="e">
        <f t="shared" si="46"/>
        <v>#DIV/0!</v>
      </c>
      <c r="AL83" s="44" t="e">
        <f t="shared" si="46"/>
        <v>#DIV/0!</v>
      </c>
      <c r="AM83" s="44" t="e">
        <f t="shared" si="46"/>
        <v>#DIV/0!</v>
      </c>
      <c r="AN83" s="44" t="e">
        <f t="shared" si="46"/>
        <v>#DIV/0!</v>
      </c>
      <c r="AO83" s="44" t="e">
        <f t="shared" si="46"/>
        <v>#DIV/0!</v>
      </c>
      <c r="AP83" s="44" t="e">
        <f t="shared" si="46"/>
        <v>#DIV/0!</v>
      </c>
      <c r="AQ83" s="44" t="e">
        <f t="shared" si="46"/>
        <v>#DIV/0!</v>
      </c>
      <c r="AR83" s="44" t="e">
        <f t="shared" si="46"/>
        <v>#DIV/0!</v>
      </c>
      <c r="AS83" s="44" t="e">
        <f t="shared" si="46"/>
        <v>#DIV/0!</v>
      </c>
      <c r="AT83" s="44" t="e">
        <f t="shared" si="46"/>
        <v>#DIV/0!</v>
      </c>
      <c r="AU83" s="44" t="e">
        <f t="shared" si="46"/>
        <v>#DIV/0!</v>
      </c>
      <c r="AV83" s="44" t="e">
        <f t="shared" si="46"/>
        <v>#DIV/0!</v>
      </c>
      <c r="AW83" s="44" t="e">
        <f t="shared" si="46"/>
        <v>#DIV/0!</v>
      </c>
      <c r="AX83" s="44" t="e">
        <f t="shared" si="46"/>
        <v>#DIV/0!</v>
      </c>
      <c r="AY83" s="44" t="e">
        <f t="shared" si="46"/>
        <v>#DIV/0!</v>
      </c>
      <c r="AZ83" s="44" t="e">
        <f t="shared" si="46"/>
        <v>#DIV/0!</v>
      </c>
      <c r="BA83" s="44" t="e">
        <f t="shared" si="46"/>
        <v>#DIV/0!</v>
      </c>
      <c r="BB83" s="44" t="e">
        <f t="shared" si="46"/>
        <v>#DIV/0!</v>
      </c>
      <c r="BC83" s="44" t="e">
        <f t="shared" si="46"/>
        <v>#DIV/0!</v>
      </c>
      <c r="BD83" s="44" t="e">
        <f t="shared" si="46"/>
        <v>#DIV/0!</v>
      </c>
      <c r="BE83" s="44" t="e">
        <f t="shared" si="46"/>
        <v>#DIV/0!</v>
      </c>
      <c r="BF83" s="44" t="e">
        <f t="shared" si="46"/>
        <v>#DIV/0!</v>
      </c>
      <c r="BG83" s="44" t="e">
        <f t="shared" si="46"/>
        <v>#DIV/0!</v>
      </c>
      <c r="BH83" s="44" t="e">
        <f t="shared" si="46"/>
        <v>#DIV/0!</v>
      </c>
      <c r="BI83" s="44" t="e">
        <f t="shared" si="46"/>
        <v>#DIV/0!</v>
      </c>
      <c r="BJ83" s="44" t="e">
        <f t="shared" si="46"/>
        <v>#DIV/0!</v>
      </c>
      <c r="BK83" s="44" t="e">
        <f t="shared" si="46"/>
        <v>#DIV/0!</v>
      </c>
      <c r="BL83" s="44" t="e">
        <f t="shared" si="46"/>
        <v>#DIV/0!</v>
      </c>
      <c r="BM83" s="44" t="e">
        <f t="shared" si="46"/>
        <v>#DIV/0!</v>
      </c>
      <c r="BN83" s="44" t="e">
        <f t="shared" si="46"/>
        <v>#DIV/0!</v>
      </c>
      <c r="BO83" s="44" t="e">
        <f t="shared" si="46"/>
        <v>#DIV/0!</v>
      </c>
      <c r="BP83" s="44" t="e">
        <f t="shared" si="46"/>
        <v>#DIV/0!</v>
      </c>
      <c r="BQ83" s="44" t="e">
        <f t="shared" si="46"/>
        <v>#DIV/0!</v>
      </c>
      <c r="BR83" s="44" t="e">
        <f t="shared" ref="BR83:CK83" si="47">BR81/BR82</f>
        <v>#DIV/0!</v>
      </c>
      <c r="BS83" s="44" t="e">
        <f t="shared" si="47"/>
        <v>#DIV/0!</v>
      </c>
      <c r="BT83" s="44" t="e">
        <f t="shared" si="47"/>
        <v>#DIV/0!</v>
      </c>
      <c r="BU83" s="44" t="e">
        <f t="shared" si="47"/>
        <v>#DIV/0!</v>
      </c>
      <c r="BV83" s="44" t="e">
        <f t="shared" si="47"/>
        <v>#DIV/0!</v>
      </c>
      <c r="BW83" s="44" t="e">
        <f t="shared" si="47"/>
        <v>#DIV/0!</v>
      </c>
      <c r="BX83" s="44" t="e">
        <f t="shared" si="47"/>
        <v>#DIV/0!</v>
      </c>
      <c r="BY83" s="44" t="e">
        <f t="shared" si="47"/>
        <v>#DIV/0!</v>
      </c>
      <c r="BZ83" s="44" t="e">
        <f t="shared" si="47"/>
        <v>#DIV/0!</v>
      </c>
      <c r="CA83" s="44" t="e">
        <f t="shared" si="47"/>
        <v>#DIV/0!</v>
      </c>
      <c r="CB83" s="44" t="e">
        <f t="shared" si="47"/>
        <v>#DIV/0!</v>
      </c>
      <c r="CC83" s="44" t="e">
        <f t="shared" si="47"/>
        <v>#DIV/0!</v>
      </c>
      <c r="CD83" s="44" t="e">
        <f t="shared" si="47"/>
        <v>#DIV/0!</v>
      </c>
      <c r="CE83" s="44" t="e">
        <f t="shared" si="47"/>
        <v>#DIV/0!</v>
      </c>
      <c r="CF83" s="44" t="e">
        <f t="shared" si="47"/>
        <v>#DIV/0!</v>
      </c>
      <c r="CG83" s="44" t="e">
        <f t="shared" si="47"/>
        <v>#DIV/0!</v>
      </c>
      <c r="CH83" s="44" t="e">
        <f t="shared" si="47"/>
        <v>#DIV/0!</v>
      </c>
      <c r="CI83" s="44" t="e">
        <f t="shared" si="47"/>
        <v>#DIV/0!</v>
      </c>
      <c r="CJ83" s="44" t="e">
        <f t="shared" si="47"/>
        <v>#DIV/0!</v>
      </c>
      <c r="CK83" s="44" t="e">
        <f t="shared" si="47"/>
        <v>#DIV/0!</v>
      </c>
    </row>
    <row r="84" spans="1:89" s="76" customFormat="1">
      <c r="A84" s="70" t="s">
        <v>590</v>
      </c>
      <c r="E84" s="76">
        <f>资产资本表!E52</f>
        <v>14353784.66</v>
      </c>
      <c r="F84" s="76">
        <f>资产资本表!F52</f>
        <v>11609021.5</v>
      </c>
      <c r="G84" s="76">
        <f>资产资本表!G52</f>
        <v>11534553.560000001</v>
      </c>
      <c r="H84" s="76">
        <f>资产资本表!H52</f>
        <v>11705890.439999999</v>
      </c>
      <c r="I84" s="76">
        <f>资产资本表!I52</f>
        <v>11984733.529999999</v>
      </c>
      <c r="J84" s="76">
        <f>资产资本表!J52</f>
        <v>12239249.52</v>
      </c>
      <c r="K84" s="76">
        <f>资产资本表!K52</f>
        <v>12616761.41</v>
      </c>
      <c r="L84" s="76">
        <f>资产资本表!L52</f>
        <v>13286209.310000001</v>
      </c>
      <c r="M84" s="76">
        <f>资产资本表!M52</f>
        <v>14880771</v>
      </c>
      <c r="N84" s="76">
        <f>资产资本表!N52</f>
        <v>15860142.1</v>
      </c>
      <c r="O84" s="76">
        <f>资产资本表!O52</f>
        <v>15402839.289999999</v>
      </c>
      <c r="P84" s="76">
        <f>资产资本表!P52</f>
        <v>677324.71</v>
      </c>
      <c r="Q84" s="76">
        <f>资产资本表!Q52</f>
        <v>0</v>
      </c>
      <c r="R84" s="76">
        <f>资产资本表!R52</f>
        <v>0</v>
      </c>
      <c r="S84" s="76">
        <f>资产资本表!S52</f>
        <v>0</v>
      </c>
      <c r="T84" s="76">
        <f>资产资本表!T52</f>
        <v>0</v>
      </c>
      <c r="U84" s="76">
        <f>资产资本表!U52</f>
        <v>0</v>
      </c>
      <c r="V84" s="76">
        <f>资产资本表!V52</f>
        <v>0</v>
      </c>
      <c r="W84" s="76">
        <f>资产资本表!W52</f>
        <v>0</v>
      </c>
      <c r="X84" s="76">
        <f>资产资本表!X52</f>
        <v>0</v>
      </c>
      <c r="Y84" s="76">
        <f>资产资本表!Y52</f>
        <v>0</v>
      </c>
      <c r="Z84" s="76">
        <f>资产资本表!Z52</f>
        <v>0</v>
      </c>
      <c r="AA84" s="76">
        <f>资产资本表!AA52</f>
        <v>0</v>
      </c>
      <c r="AB84" s="76">
        <f>资产资本表!AB52</f>
        <v>0</v>
      </c>
      <c r="AC84" s="76">
        <f>资产资本表!AC52</f>
        <v>0</v>
      </c>
      <c r="AD84" s="76">
        <f>资产资本表!AD52</f>
        <v>0</v>
      </c>
      <c r="AE84" s="76">
        <f>资产资本表!AE52</f>
        <v>0</v>
      </c>
      <c r="AF84" s="76">
        <f>资产资本表!AF52</f>
        <v>0</v>
      </c>
      <c r="AG84" s="76">
        <f>资产资本表!AG52</f>
        <v>0</v>
      </c>
      <c r="AH84" s="76">
        <f>资产资本表!AH52</f>
        <v>0</v>
      </c>
      <c r="AI84" s="76">
        <f>资产资本表!AI52</f>
        <v>0</v>
      </c>
      <c r="AJ84" s="76">
        <f>资产资本表!AJ52</f>
        <v>0</v>
      </c>
      <c r="AK84" s="76">
        <f>资产资本表!AK52</f>
        <v>0</v>
      </c>
      <c r="AL84" s="76">
        <f>资产资本表!AL52</f>
        <v>0</v>
      </c>
      <c r="AM84" s="76">
        <f>资产资本表!AM52</f>
        <v>0</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44" customFormat="1">
      <c r="A85" s="155" t="s">
        <v>591</v>
      </c>
      <c r="E85" s="44">
        <f>E81/E84</f>
        <v>13.392206786109051</v>
      </c>
      <c r="F85" s="44">
        <f t="shared" ref="F85:BQ85" si="48">F81/F84</f>
        <v>8.801480899143824</v>
      </c>
      <c r="G85" s="44">
        <f t="shared" si="48"/>
        <v>6.75519764026307</v>
      </c>
      <c r="H85" s="44">
        <f t="shared" si="48"/>
        <v>1.4572701698718444</v>
      </c>
      <c r="I85" s="44">
        <f t="shared" si="48"/>
        <v>13.828750910075513</v>
      </c>
      <c r="J85" s="44">
        <f t="shared" si="48"/>
        <v>8.8651345438049365</v>
      </c>
      <c r="K85" s="44">
        <f t="shared" si="48"/>
        <v>6.4178628737340926</v>
      </c>
      <c r="L85" s="44">
        <f t="shared" si="48"/>
        <v>1.126875551232754</v>
      </c>
      <c r="M85" s="44">
        <f t="shared" si="48"/>
        <v>9.9806799002551685</v>
      </c>
      <c r="N85" s="44">
        <f t="shared" si="48"/>
        <v>5.5458311328749064</v>
      </c>
      <c r="O85" s="44">
        <f t="shared" si="48"/>
        <v>11.640648235965591</v>
      </c>
      <c r="P85" s="44">
        <f t="shared" si="48"/>
        <v>308.254315481861</v>
      </c>
      <c r="Q85" s="44" t="e">
        <f t="shared" si="48"/>
        <v>#DIV/0!</v>
      </c>
      <c r="R85" s="44" t="e">
        <f t="shared" si="48"/>
        <v>#DIV/0!</v>
      </c>
      <c r="S85" s="44" t="e">
        <f t="shared" si="48"/>
        <v>#DIV/0!</v>
      </c>
      <c r="T85" s="44" t="e">
        <f t="shared" si="48"/>
        <v>#DIV/0!</v>
      </c>
      <c r="U85" s="44" t="e">
        <f t="shared" si="48"/>
        <v>#DIV/0!</v>
      </c>
      <c r="V85" s="44" t="e">
        <f t="shared" si="48"/>
        <v>#DIV/0!</v>
      </c>
      <c r="W85" s="44" t="e">
        <f t="shared" si="48"/>
        <v>#DIV/0!</v>
      </c>
      <c r="X85" s="44" t="e">
        <f t="shared" si="48"/>
        <v>#DIV/0!</v>
      </c>
      <c r="Y85" s="44" t="e">
        <f t="shared" si="48"/>
        <v>#DIV/0!</v>
      </c>
      <c r="Z85" s="44" t="e">
        <f t="shared" si="48"/>
        <v>#DIV/0!</v>
      </c>
      <c r="AA85" s="44" t="e">
        <f t="shared" si="48"/>
        <v>#DIV/0!</v>
      </c>
      <c r="AB85" s="44" t="e">
        <f t="shared" si="48"/>
        <v>#DIV/0!</v>
      </c>
      <c r="AC85" s="44" t="e">
        <f t="shared" si="48"/>
        <v>#DIV/0!</v>
      </c>
      <c r="AD85" s="44" t="e">
        <f t="shared" si="48"/>
        <v>#DIV/0!</v>
      </c>
      <c r="AE85" s="44" t="e">
        <f t="shared" si="48"/>
        <v>#DIV/0!</v>
      </c>
      <c r="AF85" s="44" t="e">
        <f t="shared" si="48"/>
        <v>#DIV/0!</v>
      </c>
      <c r="AG85" s="44" t="e">
        <f t="shared" si="48"/>
        <v>#DIV/0!</v>
      </c>
      <c r="AH85" s="44" t="e">
        <f t="shared" si="48"/>
        <v>#DIV/0!</v>
      </c>
      <c r="AI85" s="44" t="e">
        <f t="shared" si="48"/>
        <v>#DIV/0!</v>
      </c>
      <c r="AJ85" s="44" t="e">
        <f t="shared" si="48"/>
        <v>#DIV/0!</v>
      </c>
      <c r="AK85" s="44" t="e">
        <f t="shared" si="48"/>
        <v>#DIV/0!</v>
      </c>
      <c r="AL85" s="44" t="e">
        <f t="shared" si="48"/>
        <v>#DIV/0!</v>
      </c>
      <c r="AM85" s="44" t="e">
        <f t="shared" si="48"/>
        <v>#DIV/0!</v>
      </c>
      <c r="AN85" s="44" t="e">
        <f t="shared" si="48"/>
        <v>#DIV/0!</v>
      </c>
      <c r="AO85" s="44" t="e">
        <f t="shared" si="48"/>
        <v>#DIV/0!</v>
      </c>
      <c r="AP85" s="44" t="e">
        <f t="shared" si="48"/>
        <v>#DIV/0!</v>
      </c>
      <c r="AQ85" s="44" t="e">
        <f t="shared" si="48"/>
        <v>#DIV/0!</v>
      </c>
      <c r="AR85" s="44" t="e">
        <f t="shared" si="48"/>
        <v>#DIV/0!</v>
      </c>
      <c r="AS85" s="44" t="e">
        <f t="shared" si="48"/>
        <v>#DIV/0!</v>
      </c>
      <c r="AT85" s="44" t="e">
        <f t="shared" si="48"/>
        <v>#DIV/0!</v>
      </c>
      <c r="AU85" s="44" t="e">
        <f t="shared" si="48"/>
        <v>#DIV/0!</v>
      </c>
      <c r="AV85" s="44" t="e">
        <f t="shared" si="48"/>
        <v>#DIV/0!</v>
      </c>
      <c r="AW85" s="44" t="e">
        <f t="shared" si="48"/>
        <v>#DIV/0!</v>
      </c>
      <c r="AX85" s="44" t="e">
        <f t="shared" si="48"/>
        <v>#DIV/0!</v>
      </c>
      <c r="AY85" s="44" t="e">
        <f t="shared" si="48"/>
        <v>#DIV/0!</v>
      </c>
      <c r="AZ85" s="44" t="e">
        <f t="shared" si="48"/>
        <v>#DIV/0!</v>
      </c>
      <c r="BA85" s="44" t="e">
        <f t="shared" si="48"/>
        <v>#DIV/0!</v>
      </c>
      <c r="BB85" s="44" t="e">
        <f t="shared" si="48"/>
        <v>#DIV/0!</v>
      </c>
      <c r="BC85" s="44" t="e">
        <f t="shared" si="48"/>
        <v>#DIV/0!</v>
      </c>
      <c r="BD85" s="44" t="e">
        <f t="shared" si="48"/>
        <v>#DIV/0!</v>
      </c>
      <c r="BE85" s="44" t="e">
        <f t="shared" si="48"/>
        <v>#DIV/0!</v>
      </c>
      <c r="BF85" s="44" t="e">
        <f t="shared" si="48"/>
        <v>#DIV/0!</v>
      </c>
      <c r="BG85" s="44" t="e">
        <f t="shared" si="48"/>
        <v>#DIV/0!</v>
      </c>
      <c r="BH85" s="44" t="e">
        <f t="shared" si="48"/>
        <v>#DIV/0!</v>
      </c>
      <c r="BI85" s="44" t="e">
        <f t="shared" si="48"/>
        <v>#DIV/0!</v>
      </c>
      <c r="BJ85" s="44" t="e">
        <f t="shared" si="48"/>
        <v>#DIV/0!</v>
      </c>
      <c r="BK85" s="44" t="e">
        <f t="shared" si="48"/>
        <v>#DIV/0!</v>
      </c>
      <c r="BL85" s="44" t="e">
        <f t="shared" si="48"/>
        <v>#DIV/0!</v>
      </c>
      <c r="BM85" s="44" t="e">
        <f t="shared" si="48"/>
        <v>#DIV/0!</v>
      </c>
      <c r="BN85" s="44" t="e">
        <f t="shared" si="48"/>
        <v>#DIV/0!</v>
      </c>
      <c r="BO85" s="44" t="e">
        <f t="shared" si="48"/>
        <v>#DIV/0!</v>
      </c>
      <c r="BP85" s="44" t="e">
        <f t="shared" si="48"/>
        <v>#DIV/0!</v>
      </c>
      <c r="BQ85" s="44" t="e">
        <f t="shared" si="48"/>
        <v>#DIV/0!</v>
      </c>
      <c r="BR85" s="44" t="e">
        <f t="shared" ref="BR85:CK85" si="49">BR81/BR84</f>
        <v>#DIV/0!</v>
      </c>
      <c r="BS85" s="44" t="e">
        <f t="shared" si="49"/>
        <v>#DIV/0!</v>
      </c>
      <c r="BT85" s="44" t="e">
        <f t="shared" si="49"/>
        <v>#DIV/0!</v>
      </c>
      <c r="BU85" s="44" t="e">
        <f t="shared" si="49"/>
        <v>#DIV/0!</v>
      </c>
      <c r="BV85" s="44" t="e">
        <f t="shared" si="49"/>
        <v>#DIV/0!</v>
      </c>
      <c r="BW85" s="44" t="e">
        <f t="shared" si="49"/>
        <v>#DIV/0!</v>
      </c>
      <c r="BX85" s="44" t="e">
        <f t="shared" si="49"/>
        <v>#DIV/0!</v>
      </c>
      <c r="BY85" s="44" t="e">
        <f t="shared" si="49"/>
        <v>#DIV/0!</v>
      </c>
      <c r="BZ85" s="44" t="e">
        <f t="shared" si="49"/>
        <v>#DIV/0!</v>
      </c>
      <c r="CA85" s="44" t="e">
        <f t="shared" si="49"/>
        <v>#DIV/0!</v>
      </c>
      <c r="CB85" s="44" t="e">
        <f t="shared" si="49"/>
        <v>#DIV/0!</v>
      </c>
      <c r="CC85" s="44" t="e">
        <f t="shared" si="49"/>
        <v>#DIV/0!</v>
      </c>
      <c r="CD85" s="44" t="e">
        <f t="shared" si="49"/>
        <v>#DIV/0!</v>
      </c>
      <c r="CE85" s="44" t="e">
        <f t="shared" si="49"/>
        <v>#DIV/0!</v>
      </c>
      <c r="CF85" s="44" t="e">
        <f t="shared" si="49"/>
        <v>#DIV/0!</v>
      </c>
      <c r="CG85" s="44" t="e">
        <f t="shared" si="49"/>
        <v>#DIV/0!</v>
      </c>
      <c r="CH85" s="44" t="e">
        <f t="shared" si="49"/>
        <v>#DIV/0!</v>
      </c>
      <c r="CI85" s="44" t="e">
        <f t="shared" si="49"/>
        <v>#DIV/0!</v>
      </c>
      <c r="CJ85" s="44" t="e">
        <f t="shared" si="49"/>
        <v>#DIV/0!</v>
      </c>
      <c r="CK85" s="44" t="e">
        <f t="shared" si="49"/>
        <v>#DIV/0!</v>
      </c>
    </row>
    <row r="86" spans="1:89" s="76" customFormat="1">
      <c r="A86" s="70" t="s">
        <v>592</v>
      </c>
      <c r="E86" s="76">
        <f>资产资本表!E53</f>
        <v>97568192.680000007</v>
      </c>
      <c r="F86" s="76">
        <f>资产资本表!F53</f>
        <v>92627744.790000007</v>
      </c>
      <c r="G86" s="76">
        <f>资产资本表!G53</f>
        <v>92083473.989999995</v>
      </c>
      <c r="H86" s="76">
        <f>资产资本表!H53</f>
        <v>88049174.219999999</v>
      </c>
      <c r="I86" s="76">
        <f>资产资本表!I53</f>
        <v>87466865.629999995</v>
      </c>
      <c r="J86" s="76">
        <f>资产资本表!J53</f>
        <v>79183559.030000001</v>
      </c>
      <c r="K86" s="76">
        <f>资产资本表!K53</f>
        <v>74724642.560000002</v>
      </c>
      <c r="L86" s="76">
        <f>资产资本表!L53</f>
        <v>61562018.020000003</v>
      </c>
      <c r="M86" s="76">
        <f>资产资本表!M53</f>
        <v>3648597.38</v>
      </c>
      <c r="N86" s="76">
        <f>资产资本表!N53</f>
        <v>0</v>
      </c>
      <c r="O86" s="76">
        <f>资产资本表!O53</f>
        <v>0</v>
      </c>
      <c r="P86" s="76">
        <f>资产资本表!P53</f>
        <v>0</v>
      </c>
      <c r="Q86" s="76">
        <f>资产资本表!Q53</f>
        <v>0</v>
      </c>
      <c r="R86" s="76">
        <f>资产资本表!R53</f>
        <v>0</v>
      </c>
      <c r="S86" s="76">
        <f>资产资本表!S53</f>
        <v>0</v>
      </c>
      <c r="T86" s="76">
        <f>资产资本表!T53</f>
        <v>0</v>
      </c>
      <c r="U86" s="76">
        <f>资产资本表!U53</f>
        <v>0</v>
      </c>
      <c r="V86" s="76">
        <f>资产资本表!V53</f>
        <v>0</v>
      </c>
      <c r="W86" s="76">
        <f>资产资本表!W53</f>
        <v>0</v>
      </c>
      <c r="X86" s="76">
        <f>资产资本表!X53</f>
        <v>0</v>
      </c>
      <c r="Y86" s="76">
        <f>资产资本表!Y53</f>
        <v>0</v>
      </c>
      <c r="Z86" s="76">
        <f>资产资本表!Z53</f>
        <v>0</v>
      </c>
      <c r="AA86" s="76">
        <f>资产资本表!AA53</f>
        <v>0</v>
      </c>
      <c r="AB86" s="76">
        <f>资产资本表!AB53</f>
        <v>0</v>
      </c>
      <c r="AC86" s="76">
        <f>资产资本表!AC53</f>
        <v>0</v>
      </c>
      <c r="AD86" s="76">
        <f>资产资本表!AD53</f>
        <v>0</v>
      </c>
      <c r="AE86" s="76">
        <f>资产资本表!AE53</f>
        <v>0</v>
      </c>
      <c r="AF86" s="76">
        <f>资产资本表!AF53</f>
        <v>0</v>
      </c>
      <c r="AG86" s="76">
        <f>资产资本表!AG53</f>
        <v>0</v>
      </c>
      <c r="AH86" s="76">
        <f>资产资本表!AH53</f>
        <v>0</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44" customFormat="1">
      <c r="A87" s="155" t="s">
        <v>593</v>
      </c>
      <c r="E87" s="44">
        <f>E81/E86</f>
        <v>1.9701999908972794</v>
      </c>
      <c r="F87" s="44">
        <f t="shared" ref="F87:BQ87" si="50">F81/F86</f>
        <v>1.1030882941352889</v>
      </c>
      <c r="G87" s="44">
        <f t="shared" si="50"/>
        <v>0.84616908565441062</v>
      </c>
      <c r="H87" s="44">
        <f t="shared" si="50"/>
        <v>0.1937399765655633</v>
      </c>
      <c r="I87" s="44">
        <f t="shared" si="50"/>
        <v>1.8948191811409261</v>
      </c>
      <c r="J87" s="44">
        <f t="shared" si="50"/>
        <v>1.37026669474268</v>
      </c>
      <c r="K87" s="44">
        <f t="shared" si="50"/>
        <v>1.0836136763716624</v>
      </c>
      <c r="L87" s="44">
        <f t="shared" si="50"/>
        <v>0.24320035180029334</v>
      </c>
      <c r="M87" s="44">
        <f t="shared" si="50"/>
        <v>40.706111568824298</v>
      </c>
      <c r="N87" s="44" t="e">
        <f t="shared" si="50"/>
        <v>#DIV/0!</v>
      </c>
      <c r="O87" s="44" t="e">
        <f t="shared" si="50"/>
        <v>#DIV/0!</v>
      </c>
      <c r="P87" s="44" t="e">
        <f t="shared" si="50"/>
        <v>#DIV/0!</v>
      </c>
      <c r="Q87" s="44" t="e">
        <f t="shared" si="50"/>
        <v>#DIV/0!</v>
      </c>
      <c r="R87" s="44" t="e">
        <f t="shared" si="50"/>
        <v>#DIV/0!</v>
      </c>
      <c r="S87" s="44" t="e">
        <f t="shared" si="50"/>
        <v>#DIV/0!</v>
      </c>
      <c r="T87" s="44" t="e">
        <f t="shared" si="50"/>
        <v>#DIV/0!</v>
      </c>
      <c r="U87" s="44" t="e">
        <f t="shared" si="50"/>
        <v>#DIV/0!</v>
      </c>
      <c r="V87" s="44" t="e">
        <f t="shared" si="50"/>
        <v>#DIV/0!</v>
      </c>
      <c r="W87" s="44" t="e">
        <f t="shared" si="50"/>
        <v>#DIV/0!</v>
      </c>
      <c r="X87" s="44" t="e">
        <f t="shared" si="50"/>
        <v>#DIV/0!</v>
      </c>
      <c r="Y87" s="44" t="e">
        <f t="shared" si="50"/>
        <v>#DIV/0!</v>
      </c>
      <c r="Z87" s="44" t="e">
        <f t="shared" si="50"/>
        <v>#DIV/0!</v>
      </c>
      <c r="AA87" s="44" t="e">
        <f t="shared" si="50"/>
        <v>#DIV/0!</v>
      </c>
      <c r="AB87" s="44" t="e">
        <f t="shared" si="50"/>
        <v>#DIV/0!</v>
      </c>
      <c r="AC87" s="44" t="e">
        <f t="shared" si="50"/>
        <v>#DIV/0!</v>
      </c>
      <c r="AD87" s="44" t="e">
        <f t="shared" si="50"/>
        <v>#DIV/0!</v>
      </c>
      <c r="AE87" s="44" t="e">
        <f t="shared" si="50"/>
        <v>#DIV/0!</v>
      </c>
      <c r="AF87" s="44" t="e">
        <f t="shared" si="50"/>
        <v>#DIV/0!</v>
      </c>
      <c r="AG87" s="44" t="e">
        <f t="shared" si="50"/>
        <v>#DIV/0!</v>
      </c>
      <c r="AH87" s="44" t="e">
        <f t="shared" si="50"/>
        <v>#DIV/0!</v>
      </c>
      <c r="AI87" s="44" t="e">
        <f t="shared" si="50"/>
        <v>#DIV/0!</v>
      </c>
      <c r="AJ87" s="44" t="e">
        <f t="shared" si="50"/>
        <v>#DIV/0!</v>
      </c>
      <c r="AK87" s="44" t="e">
        <f t="shared" si="50"/>
        <v>#DIV/0!</v>
      </c>
      <c r="AL87" s="44" t="e">
        <f t="shared" si="50"/>
        <v>#DIV/0!</v>
      </c>
      <c r="AM87" s="44" t="e">
        <f t="shared" si="50"/>
        <v>#DIV/0!</v>
      </c>
      <c r="AN87" s="44" t="e">
        <f t="shared" si="50"/>
        <v>#DIV/0!</v>
      </c>
      <c r="AO87" s="44" t="e">
        <f t="shared" si="50"/>
        <v>#DIV/0!</v>
      </c>
      <c r="AP87" s="44" t="e">
        <f t="shared" si="50"/>
        <v>#DIV/0!</v>
      </c>
      <c r="AQ87" s="44" t="e">
        <f t="shared" si="50"/>
        <v>#DIV/0!</v>
      </c>
      <c r="AR87" s="44" t="e">
        <f t="shared" si="50"/>
        <v>#DIV/0!</v>
      </c>
      <c r="AS87" s="44" t="e">
        <f t="shared" si="50"/>
        <v>#DIV/0!</v>
      </c>
      <c r="AT87" s="44" t="e">
        <f t="shared" si="50"/>
        <v>#DIV/0!</v>
      </c>
      <c r="AU87" s="44" t="e">
        <f t="shared" si="50"/>
        <v>#DIV/0!</v>
      </c>
      <c r="AV87" s="44" t="e">
        <f t="shared" si="50"/>
        <v>#DIV/0!</v>
      </c>
      <c r="AW87" s="44" t="e">
        <f t="shared" si="50"/>
        <v>#DIV/0!</v>
      </c>
      <c r="AX87" s="44" t="e">
        <f t="shared" si="50"/>
        <v>#DIV/0!</v>
      </c>
      <c r="AY87" s="44" t="e">
        <f t="shared" si="50"/>
        <v>#DIV/0!</v>
      </c>
      <c r="AZ87" s="44" t="e">
        <f t="shared" si="50"/>
        <v>#DIV/0!</v>
      </c>
      <c r="BA87" s="44" t="e">
        <f t="shared" si="50"/>
        <v>#DIV/0!</v>
      </c>
      <c r="BB87" s="44" t="e">
        <f t="shared" si="50"/>
        <v>#DIV/0!</v>
      </c>
      <c r="BC87" s="44" t="e">
        <f t="shared" si="50"/>
        <v>#DIV/0!</v>
      </c>
      <c r="BD87" s="44" t="e">
        <f t="shared" si="50"/>
        <v>#DIV/0!</v>
      </c>
      <c r="BE87" s="44" t="e">
        <f t="shared" si="50"/>
        <v>#DIV/0!</v>
      </c>
      <c r="BF87" s="44" t="e">
        <f t="shared" si="50"/>
        <v>#DIV/0!</v>
      </c>
      <c r="BG87" s="44" t="e">
        <f t="shared" si="50"/>
        <v>#DIV/0!</v>
      </c>
      <c r="BH87" s="44" t="e">
        <f t="shared" si="50"/>
        <v>#DIV/0!</v>
      </c>
      <c r="BI87" s="44" t="e">
        <f t="shared" si="50"/>
        <v>#DIV/0!</v>
      </c>
      <c r="BJ87" s="44" t="e">
        <f t="shared" si="50"/>
        <v>#DIV/0!</v>
      </c>
      <c r="BK87" s="44" t="e">
        <f t="shared" si="50"/>
        <v>#DIV/0!</v>
      </c>
      <c r="BL87" s="44" t="e">
        <f t="shared" si="50"/>
        <v>#DIV/0!</v>
      </c>
      <c r="BM87" s="44" t="e">
        <f t="shared" si="50"/>
        <v>#DIV/0!</v>
      </c>
      <c r="BN87" s="44" t="e">
        <f t="shared" si="50"/>
        <v>#DIV/0!</v>
      </c>
      <c r="BO87" s="44" t="e">
        <f t="shared" si="50"/>
        <v>#DIV/0!</v>
      </c>
      <c r="BP87" s="44" t="e">
        <f t="shared" si="50"/>
        <v>#DIV/0!</v>
      </c>
      <c r="BQ87" s="44" t="e">
        <f t="shared" si="50"/>
        <v>#DIV/0!</v>
      </c>
      <c r="BR87" s="44" t="e">
        <f t="shared" ref="BR87:CK87" si="51">BR81/BR86</f>
        <v>#DIV/0!</v>
      </c>
      <c r="BS87" s="44" t="e">
        <f t="shared" si="51"/>
        <v>#DIV/0!</v>
      </c>
      <c r="BT87" s="44" t="e">
        <f t="shared" si="51"/>
        <v>#DIV/0!</v>
      </c>
      <c r="BU87" s="44" t="e">
        <f t="shared" si="51"/>
        <v>#DIV/0!</v>
      </c>
      <c r="BV87" s="44" t="e">
        <f t="shared" si="51"/>
        <v>#DIV/0!</v>
      </c>
      <c r="BW87" s="44" t="e">
        <f t="shared" si="51"/>
        <v>#DIV/0!</v>
      </c>
      <c r="BX87" s="44" t="e">
        <f t="shared" si="51"/>
        <v>#DIV/0!</v>
      </c>
      <c r="BY87" s="44" t="e">
        <f t="shared" si="51"/>
        <v>#DIV/0!</v>
      </c>
      <c r="BZ87" s="44" t="e">
        <f t="shared" si="51"/>
        <v>#DIV/0!</v>
      </c>
      <c r="CA87" s="44" t="e">
        <f t="shared" si="51"/>
        <v>#DIV/0!</v>
      </c>
      <c r="CB87" s="44" t="e">
        <f t="shared" si="51"/>
        <v>#DIV/0!</v>
      </c>
      <c r="CC87" s="44" t="e">
        <f t="shared" si="51"/>
        <v>#DIV/0!</v>
      </c>
      <c r="CD87" s="44" t="e">
        <f t="shared" si="51"/>
        <v>#DIV/0!</v>
      </c>
      <c r="CE87" s="44" t="e">
        <f t="shared" si="51"/>
        <v>#DIV/0!</v>
      </c>
      <c r="CF87" s="44" t="e">
        <f t="shared" si="51"/>
        <v>#DIV/0!</v>
      </c>
      <c r="CG87" s="44" t="e">
        <f t="shared" si="51"/>
        <v>#DIV/0!</v>
      </c>
      <c r="CH87" s="44" t="e">
        <f t="shared" si="51"/>
        <v>#DIV/0!</v>
      </c>
      <c r="CI87" s="44" t="e">
        <f t="shared" si="51"/>
        <v>#DIV/0!</v>
      </c>
      <c r="CJ87" s="44" t="e">
        <f t="shared" si="51"/>
        <v>#DIV/0!</v>
      </c>
      <c r="CK87" s="44" t="e">
        <f t="shared" si="51"/>
        <v>#DIV/0!</v>
      </c>
    </row>
    <row r="88" spans="1:89" s="76" customFormat="1">
      <c r="A88" s="70" t="s">
        <v>594</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c r="A89" s="70" t="s">
        <v>595</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c r="A90" s="70" t="s">
        <v>596</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c r="A91" s="70" t="s">
        <v>597</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c r="A92" s="70" t="s">
        <v>598</v>
      </c>
      <c r="E92" s="76">
        <f>资产资本表!E58</f>
        <v>27717310.609999999</v>
      </c>
      <c r="F92" s="76">
        <f>资产资本表!F58</f>
        <v>28671663.600000001</v>
      </c>
      <c r="G92" s="76">
        <f>资产资本表!G58</f>
        <v>20477017.260000002</v>
      </c>
      <c r="H92" s="76">
        <f>资产资本表!H58</f>
        <v>21046539.030000001</v>
      </c>
      <c r="I92" s="76">
        <f>资产资本表!I58</f>
        <v>21767187.800000001</v>
      </c>
      <c r="J92" s="76">
        <f>资产资本表!J58</f>
        <v>14564241.83</v>
      </c>
      <c r="K92" s="76">
        <f>资产资本表!K58</f>
        <v>14662126.970000001</v>
      </c>
      <c r="L92" s="76">
        <f>资产资本表!L58</f>
        <v>14766917.619999999</v>
      </c>
      <c r="M92" s="76">
        <f>资产资本表!M58</f>
        <v>15148795.539999999</v>
      </c>
      <c r="N92" s="76">
        <f>资产资本表!N58</f>
        <v>15450758.960000001</v>
      </c>
      <c r="O92" s="76">
        <f>资产资本表!O58</f>
        <v>107458.67</v>
      </c>
      <c r="P92" s="76">
        <f>资产资本表!P58</f>
        <v>83562.89</v>
      </c>
      <c r="Q92" s="76">
        <f>资产资本表!Q58</f>
        <v>0</v>
      </c>
      <c r="R92" s="76">
        <f>资产资本表!R58</f>
        <v>0</v>
      </c>
      <c r="S92" s="76">
        <f>资产资本表!S58</f>
        <v>0</v>
      </c>
      <c r="T92" s="76">
        <f>资产资本表!T58</f>
        <v>0</v>
      </c>
      <c r="U92" s="76">
        <f>资产资本表!U58</f>
        <v>0</v>
      </c>
      <c r="V92" s="76">
        <f>资产资本表!V58</f>
        <v>0</v>
      </c>
      <c r="W92" s="76">
        <f>资产资本表!W58</f>
        <v>0</v>
      </c>
      <c r="X92" s="76">
        <f>资产资本表!X58</f>
        <v>0</v>
      </c>
      <c r="Y92" s="76">
        <f>资产资本表!Y58</f>
        <v>0</v>
      </c>
      <c r="Z92" s="76">
        <f>资产资本表!Z58</f>
        <v>0</v>
      </c>
      <c r="AA92" s="76">
        <f>资产资本表!AA58</f>
        <v>0</v>
      </c>
      <c r="AB92" s="76">
        <f>资产资本表!AB58</f>
        <v>0</v>
      </c>
      <c r="AC92" s="76">
        <f>资产资本表!AC58</f>
        <v>0</v>
      </c>
      <c r="AD92" s="76">
        <f>资产资本表!AD58</f>
        <v>0</v>
      </c>
      <c r="AE92" s="76">
        <f>资产资本表!AE58</f>
        <v>0</v>
      </c>
      <c r="AF92" s="76">
        <f>资产资本表!AF58</f>
        <v>0</v>
      </c>
      <c r="AG92" s="76">
        <f>资产资本表!AG58</f>
        <v>0</v>
      </c>
      <c r="AH92" s="76">
        <f>资产资本表!AH58</f>
        <v>0</v>
      </c>
      <c r="AI92" s="76">
        <f>资产资本表!AI58</f>
        <v>0</v>
      </c>
      <c r="AJ92" s="76">
        <f>资产资本表!AJ58</f>
        <v>0</v>
      </c>
      <c r="AK92" s="76">
        <f>资产资本表!AK58</f>
        <v>0</v>
      </c>
      <c r="AL92" s="76">
        <f>资产资本表!AL58</f>
        <v>0</v>
      </c>
      <c r="AM92" s="76">
        <f>资产资本表!AM58</f>
        <v>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44" customFormat="1">
      <c r="A93" s="155" t="s">
        <v>599</v>
      </c>
      <c r="E93" s="44">
        <f>E81/E92</f>
        <v>6.9353356476312191</v>
      </c>
      <c r="F93" s="44">
        <f t="shared" ref="F93:BQ93" si="52">F81/F92</f>
        <v>3.5636781463214429</v>
      </c>
      <c r="G93" s="44">
        <f t="shared" si="52"/>
        <v>3.8051532603923777</v>
      </c>
      <c r="H93" s="44">
        <f t="shared" si="52"/>
        <v>0.81052019648857199</v>
      </c>
      <c r="I93" s="44">
        <f t="shared" si="52"/>
        <v>7.6139323201869926</v>
      </c>
      <c r="J93" s="44">
        <f t="shared" si="52"/>
        <v>7.4499307946467948</v>
      </c>
      <c r="K93" s="44">
        <f t="shared" si="52"/>
        <v>5.5225715072361021</v>
      </c>
      <c r="L93" s="44">
        <f t="shared" si="52"/>
        <v>1.0138814900492417</v>
      </c>
      <c r="M93" s="44">
        <f t="shared" si="52"/>
        <v>9.80409377285714</v>
      </c>
      <c r="N93" s="44">
        <f t="shared" si="52"/>
        <v>5.6927734137663357</v>
      </c>
      <c r="O93" s="44">
        <f t="shared" si="52"/>
        <v>1668.5394860182059</v>
      </c>
      <c r="P93" s="44">
        <f t="shared" si="52"/>
        <v>2498.5763996434302</v>
      </c>
      <c r="Q93" s="44" t="e">
        <f t="shared" si="52"/>
        <v>#DIV/0!</v>
      </c>
      <c r="R93" s="44" t="e">
        <f t="shared" si="52"/>
        <v>#DIV/0!</v>
      </c>
      <c r="S93" s="44" t="e">
        <f t="shared" si="52"/>
        <v>#DIV/0!</v>
      </c>
      <c r="T93" s="44" t="e">
        <f t="shared" si="52"/>
        <v>#DIV/0!</v>
      </c>
      <c r="U93" s="44" t="e">
        <f t="shared" si="52"/>
        <v>#DIV/0!</v>
      </c>
      <c r="V93" s="44" t="e">
        <f t="shared" si="52"/>
        <v>#DIV/0!</v>
      </c>
      <c r="W93" s="44" t="e">
        <f t="shared" si="52"/>
        <v>#DIV/0!</v>
      </c>
      <c r="X93" s="44" t="e">
        <f t="shared" si="52"/>
        <v>#DIV/0!</v>
      </c>
      <c r="Y93" s="44" t="e">
        <f t="shared" si="52"/>
        <v>#DIV/0!</v>
      </c>
      <c r="Z93" s="44" t="e">
        <f t="shared" si="52"/>
        <v>#DIV/0!</v>
      </c>
      <c r="AA93" s="44" t="e">
        <f t="shared" si="52"/>
        <v>#DIV/0!</v>
      </c>
      <c r="AB93" s="44" t="e">
        <f t="shared" si="52"/>
        <v>#DIV/0!</v>
      </c>
      <c r="AC93" s="44" t="e">
        <f t="shared" si="52"/>
        <v>#DIV/0!</v>
      </c>
      <c r="AD93" s="44" t="e">
        <f t="shared" si="52"/>
        <v>#DIV/0!</v>
      </c>
      <c r="AE93" s="44" t="e">
        <f t="shared" si="52"/>
        <v>#DIV/0!</v>
      </c>
      <c r="AF93" s="44" t="e">
        <f t="shared" si="52"/>
        <v>#DIV/0!</v>
      </c>
      <c r="AG93" s="44" t="e">
        <f t="shared" si="52"/>
        <v>#DIV/0!</v>
      </c>
      <c r="AH93" s="44" t="e">
        <f t="shared" si="52"/>
        <v>#DIV/0!</v>
      </c>
      <c r="AI93" s="44" t="e">
        <f t="shared" si="52"/>
        <v>#DIV/0!</v>
      </c>
      <c r="AJ93" s="44" t="e">
        <f t="shared" si="52"/>
        <v>#DIV/0!</v>
      </c>
      <c r="AK93" s="44" t="e">
        <f t="shared" si="52"/>
        <v>#DIV/0!</v>
      </c>
      <c r="AL93" s="44" t="e">
        <f t="shared" si="52"/>
        <v>#DIV/0!</v>
      </c>
      <c r="AM93" s="44" t="e">
        <f t="shared" si="52"/>
        <v>#DIV/0!</v>
      </c>
      <c r="AN93" s="44" t="e">
        <f t="shared" si="52"/>
        <v>#DIV/0!</v>
      </c>
      <c r="AO93" s="44" t="e">
        <f t="shared" si="52"/>
        <v>#DIV/0!</v>
      </c>
      <c r="AP93" s="44" t="e">
        <f t="shared" si="52"/>
        <v>#DIV/0!</v>
      </c>
      <c r="AQ93" s="44" t="e">
        <f t="shared" si="52"/>
        <v>#DIV/0!</v>
      </c>
      <c r="AR93" s="44" t="e">
        <f t="shared" si="52"/>
        <v>#DIV/0!</v>
      </c>
      <c r="AS93" s="44" t="e">
        <f t="shared" si="52"/>
        <v>#DIV/0!</v>
      </c>
      <c r="AT93" s="44" t="e">
        <f t="shared" si="52"/>
        <v>#DIV/0!</v>
      </c>
      <c r="AU93" s="44" t="e">
        <f t="shared" si="52"/>
        <v>#DIV/0!</v>
      </c>
      <c r="AV93" s="44" t="e">
        <f t="shared" si="52"/>
        <v>#DIV/0!</v>
      </c>
      <c r="AW93" s="44" t="e">
        <f t="shared" si="52"/>
        <v>#DIV/0!</v>
      </c>
      <c r="AX93" s="44" t="e">
        <f t="shared" si="52"/>
        <v>#DIV/0!</v>
      </c>
      <c r="AY93" s="44" t="e">
        <f t="shared" si="52"/>
        <v>#DIV/0!</v>
      </c>
      <c r="AZ93" s="44" t="e">
        <f t="shared" si="52"/>
        <v>#DIV/0!</v>
      </c>
      <c r="BA93" s="44" t="e">
        <f t="shared" si="52"/>
        <v>#DIV/0!</v>
      </c>
      <c r="BB93" s="44" t="e">
        <f t="shared" si="52"/>
        <v>#DIV/0!</v>
      </c>
      <c r="BC93" s="44" t="e">
        <f t="shared" si="52"/>
        <v>#DIV/0!</v>
      </c>
      <c r="BD93" s="44" t="e">
        <f t="shared" si="52"/>
        <v>#DIV/0!</v>
      </c>
      <c r="BE93" s="44" t="e">
        <f t="shared" si="52"/>
        <v>#DIV/0!</v>
      </c>
      <c r="BF93" s="44" t="e">
        <f t="shared" si="52"/>
        <v>#DIV/0!</v>
      </c>
      <c r="BG93" s="44" t="e">
        <f t="shared" si="52"/>
        <v>#DIV/0!</v>
      </c>
      <c r="BH93" s="44" t="e">
        <f t="shared" si="52"/>
        <v>#DIV/0!</v>
      </c>
      <c r="BI93" s="44" t="e">
        <f t="shared" si="52"/>
        <v>#DIV/0!</v>
      </c>
      <c r="BJ93" s="44" t="e">
        <f t="shared" si="52"/>
        <v>#DIV/0!</v>
      </c>
      <c r="BK93" s="44" t="e">
        <f t="shared" si="52"/>
        <v>#DIV/0!</v>
      </c>
      <c r="BL93" s="44" t="e">
        <f t="shared" si="52"/>
        <v>#DIV/0!</v>
      </c>
      <c r="BM93" s="44" t="e">
        <f t="shared" si="52"/>
        <v>#DIV/0!</v>
      </c>
      <c r="BN93" s="44" t="e">
        <f t="shared" si="52"/>
        <v>#DIV/0!</v>
      </c>
      <c r="BO93" s="44" t="e">
        <f t="shared" si="52"/>
        <v>#DIV/0!</v>
      </c>
      <c r="BP93" s="44" t="e">
        <f t="shared" si="52"/>
        <v>#DIV/0!</v>
      </c>
      <c r="BQ93" s="44" t="e">
        <f t="shared" si="52"/>
        <v>#DIV/0!</v>
      </c>
      <c r="BR93" s="44" t="e">
        <f t="shared" ref="BR93:CK93" si="53">BR81/BR92</f>
        <v>#DIV/0!</v>
      </c>
      <c r="BS93" s="44" t="e">
        <f t="shared" si="53"/>
        <v>#DIV/0!</v>
      </c>
      <c r="BT93" s="44" t="e">
        <f t="shared" si="53"/>
        <v>#DIV/0!</v>
      </c>
      <c r="BU93" s="44" t="e">
        <f t="shared" si="53"/>
        <v>#DIV/0!</v>
      </c>
      <c r="BV93" s="44" t="e">
        <f t="shared" si="53"/>
        <v>#DIV/0!</v>
      </c>
      <c r="BW93" s="44" t="e">
        <f t="shared" si="53"/>
        <v>#DIV/0!</v>
      </c>
      <c r="BX93" s="44" t="e">
        <f t="shared" si="53"/>
        <v>#DIV/0!</v>
      </c>
      <c r="BY93" s="44" t="e">
        <f t="shared" si="53"/>
        <v>#DIV/0!</v>
      </c>
      <c r="BZ93" s="44" t="e">
        <f t="shared" si="53"/>
        <v>#DIV/0!</v>
      </c>
      <c r="CA93" s="44" t="e">
        <f t="shared" si="53"/>
        <v>#DIV/0!</v>
      </c>
      <c r="CB93" s="44" t="e">
        <f t="shared" si="53"/>
        <v>#DIV/0!</v>
      </c>
      <c r="CC93" s="44" t="e">
        <f t="shared" si="53"/>
        <v>#DIV/0!</v>
      </c>
      <c r="CD93" s="44" t="e">
        <f t="shared" si="53"/>
        <v>#DIV/0!</v>
      </c>
      <c r="CE93" s="44" t="e">
        <f t="shared" si="53"/>
        <v>#DIV/0!</v>
      </c>
      <c r="CF93" s="44" t="e">
        <f t="shared" si="53"/>
        <v>#DIV/0!</v>
      </c>
      <c r="CG93" s="44" t="e">
        <f t="shared" si="53"/>
        <v>#DIV/0!</v>
      </c>
      <c r="CH93" s="44" t="e">
        <f t="shared" si="53"/>
        <v>#DIV/0!</v>
      </c>
      <c r="CI93" s="44" t="e">
        <f t="shared" si="53"/>
        <v>#DIV/0!</v>
      </c>
      <c r="CJ93" s="44" t="e">
        <f t="shared" si="53"/>
        <v>#DIV/0!</v>
      </c>
      <c r="CK93" s="44" t="e">
        <f t="shared" si="53"/>
        <v>#DIV/0!</v>
      </c>
    </row>
    <row r="94" spans="1:89" s="76" customFormat="1">
      <c r="A94" s="70" t="s">
        <v>600</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c r="A95" s="70" t="s">
        <v>601</v>
      </c>
      <c r="E95" s="76">
        <f>资产资本表!E60</f>
        <v>44500991.07</v>
      </c>
      <c r="F95" s="76">
        <f>资产资本表!F60</f>
        <v>44855227.609999999</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c r="A96" s="70" t="s">
        <v>602</v>
      </c>
      <c r="E96" s="76">
        <f>资产资本表!E61</f>
        <v>0</v>
      </c>
      <c r="F96" s="76">
        <f>资产资本表!F61</f>
        <v>0</v>
      </c>
      <c r="G96" s="76">
        <f>资产资本表!G61</f>
        <v>0</v>
      </c>
      <c r="H96" s="76">
        <f>资产资本表!H61</f>
        <v>0</v>
      </c>
      <c r="I96" s="76">
        <f>资产资本表!I61</f>
        <v>0</v>
      </c>
      <c r="J96" s="76">
        <f>资产资本表!J61</f>
        <v>0</v>
      </c>
      <c r="K96" s="76">
        <f>资产资本表!K61</f>
        <v>0</v>
      </c>
      <c r="L96" s="76">
        <f>资产资本表!L61</f>
        <v>0</v>
      </c>
      <c r="M96" s="76">
        <f>资产资本表!M61</f>
        <v>0</v>
      </c>
      <c r="N96" s="76">
        <f>资产资本表!N61</f>
        <v>0</v>
      </c>
      <c r="O96" s="76">
        <f>资产资本表!O61</f>
        <v>0</v>
      </c>
      <c r="P96" s="76">
        <f>资产资本表!P61</f>
        <v>0</v>
      </c>
      <c r="Q96" s="76">
        <f>资产资本表!Q61</f>
        <v>0</v>
      </c>
      <c r="R96" s="76">
        <f>资产资本表!R61</f>
        <v>0</v>
      </c>
      <c r="S96" s="76">
        <f>资产资本表!S61</f>
        <v>0</v>
      </c>
      <c r="T96" s="76">
        <f>资产资本表!T61</f>
        <v>0</v>
      </c>
      <c r="U96" s="76">
        <f>资产资本表!U61</f>
        <v>0</v>
      </c>
      <c r="V96" s="76">
        <f>资产资本表!V61</f>
        <v>0</v>
      </c>
      <c r="W96" s="76">
        <f>资产资本表!W61</f>
        <v>0</v>
      </c>
      <c r="X96" s="76">
        <f>资产资本表!X61</f>
        <v>0</v>
      </c>
      <c r="Y96" s="76">
        <f>资产资本表!Y61</f>
        <v>0</v>
      </c>
      <c r="Z96" s="76">
        <f>资产资本表!Z61</f>
        <v>0</v>
      </c>
      <c r="AA96" s="76">
        <f>资产资本表!AA61</f>
        <v>0</v>
      </c>
      <c r="AB96" s="76">
        <f>资产资本表!AB61</f>
        <v>0</v>
      </c>
      <c r="AC96" s="76">
        <f>资产资本表!AC61</f>
        <v>0</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c r="A97" s="70" t="s">
        <v>603</v>
      </c>
      <c r="E97" s="76">
        <f>资产资本表!E62</f>
        <v>1418974.75</v>
      </c>
      <c r="F97" s="76">
        <f>资产资本表!F62</f>
        <v>1468934.77</v>
      </c>
      <c r="G97" s="76">
        <f>资产资本表!G62</f>
        <v>1407529.74</v>
      </c>
      <c r="H97" s="76">
        <f>资产资本表!H62</f>
        <v>1049019.19</v>
      </c>
      <c r="I97" s="76">
        <f>资产资本表!I62</f>
        <v>992257.88</v>
      </c>
      <c r="J97" s="76">
        <f>资产资本表!J62</f>
        <v>898615.53</v>
      </c>
      <c r="K97" s="76">
        <f>资产资本表!K62</f>
        <v>857343.94</v>
      </c>
      <c r="L97" s="76">
        <f>资产资本表!L62</f>
        <v>970441.82</v>
      </c>
      <c r="M97" s="76">
        <f>资产资本表!M62</f>
        <v>791696.72</v>
      </c>
      <c r="N97" s="76">
        <f>资产资本表!N62</f>
        <v>798802.88</v>
      </c>
      <c r="O97" s="76">
        <f>资产资本表!O62</f>
        <v>465070.94</v>
      </c>
      <c r="P97" s="76">
        <f>资产资本表!P62</f>
        <v>298686.18</v>
      </c>
      <c r="Q97" s="76">
        <f>资产资本表!Q62</f>
        <v>0</v>
      </c>
      <c r="R97" s="76">
        <f>资产资本表!R62</f>
        <v>0</v>
      </c>
      <c r="S97" s="76">
        <f>资产资本表!S62</f>
        <v>0</v>
      </c>
      <c r="T97" s="76">
        <f>资产资本表!T62</f>
        <v>0</v>
      </c>
      <c r="U97" s="76">
        <f>资产资本表!U62</f>
        <v>0</v>
      </c>
      <c r="V97" s="76">
        <f>资产资本表!V62</f>
        <v>0</v>
      </c>
      <c r="W97" s="76">
        <f>资产资本表!W62</f>
        <v>0</v>
      </c>
      <c r="X97" s="76">
        <f>资产资本表!X62</f>
        <v>0</v>
      </c>
      <c r="Y97" s="76">
        <f>资产资本表!Y62</f>
        <v>0</v>
      </c>
      <c r="Z97" s="76">
        <f>资产资本表!Z62</f>
        <v>0</v>
      </c>
      <c r="AA97" s="76">
        <f>资产资本表!AA62</f>
        <v>0</v>
      </c>
      <c r="AB97" s="76">
        <f>资产资本表!AB62</f>
        <v>0</v>
      </c>
      <c r="AC97" s="76">
        <f>资产资本表!AC62</f>
        <v>0</v>
      </c>
      <c r="AD97" s="76">
        <f>资产资本表!AD62</f>
        <v>0</v>
      </c>
      <c r="AE97" s="76">
        <f>资产资本表!AE62</f>
        <v>0</v>
      </c>
      <c r="AF97" s="76">
        <f>资产资本表!AF62</f>
        <v>0</v>
      </c>
      <c r="AG97" s="76">
        <f>资产资本表!AG62</f>
        <v>0</v>
      </c>
      <c r="AH97" s="76">
        <f>资产资本表!AH62</f>
        <v>0</v>
      </c>
      <c r="AI97" s="76">
        <f>资产资本表!AI62</f>
        <v>0</v>
      </c>
      <c r="AJ97" s="76">
        <f>资产资本表!AJ62</f>
        <v>0</v>
      </c>
      <c r="AK97" s="76">
        <f>资产资本表!AK62</f>
        <v>0</v>
      </c>
      <c r="AL97" s="76">
        <f>资产资本表!AL62</f>
        <v>0</v>
      </c>
      <c r="AM97" s="76">
        <f>资产资本表!AM62</f>
        <v>0</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c r="A98" s="70" t="s">
        <v>604</v>
      </c>
      <c r="E98" s="76">
        <f>资产资本表!E63</f>
        <v>1291636.32</v>
      </c>
      <c r="F98" s="76">
        <f>资产资本表!F63</f>
        <v>1611232.15</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4.25" thickBot="1">
      <c r="A99" s="74" t="s">
        <v>605</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ht="204.75" customHeight="1">
      <c r="A100" s="239" t="s">
        <v>657</v>
      </c>
      <c r="B100" s="240"/>
      <c r="C100" s="240"/>
      <c r="D100" s="240"/>
      <c r="E100" s="240"/>
      <c r="F100" s="240"/>
      <c r="G100" s="240"/>
      <c r="H100" s="240"/>
      <c r="I100" s="240"/>
      <c r="J100" s="240"/>
      <c r="K100" s="240"/>
      <c r="L100" s="240"/>
      <c r="M100" s="240"/>
      <c r="N100" s="240"/>
      <c r="O100" s="240"/>
      <c r="P100" s="240"/>
      <c r="Q100" s="240"/>
      <c r="R100" s="240"/>
      <c r="S100" s="240"/>
      <c r="T100" s="240"/>
      <c r="U100" s="240"/>
      <c r="V100" s="240"/>
      <c r="W100" s="240"/>
      <c r="X100" s="240"/>
      <c r="Y100" s="240"/>
      <c r="Z100" s="240"/>
      <c r="AA100" s="240"/>
      <c r="AB100" s="240"/>
      <c r="AC100" s="240"/>
      <c r="AD100" s="240"/>
      <c r="AE100" s="240"/>
      <c r="AF100" s="240"/>
      <c r="AG100" s="240"/>
      <c r="AH100" s="240"/>
      <c r="AI100" s="240"/>
      <c r="AJ100" s="240"/>
      <c r="AK100" s="240"/>
    </row>
  </sheetData>
  <mergeCells count="5">
    <mergeCell ref="A15:AG15"/>
    <mergeCell ref="A45:AG45"/>
    <mergeCell ref="A58:AG58"/>
    <mergeCell ref="A77:AG77"/>
    <mergeCell ref="A100:AK100"/>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topLeftCell="A22" workbookViewId="0">
      <selection activeCell="A40" sqref="A40"/>
    </sheetView>
  </sheetViews>
  <sheetFormatPr defaultRowHeight="13.5"/>
  <cols>
    <col min="1" max="1" width="60.75" style="17" bestFit="1" customWidth="1"/>
    <col min="2" max="4" width="9.5" hidden="1" customWidth="1"/>
    <col min="5" max="5" width="18.25" bestFit="1" customWidth="1"/>
    <col min="6" max="8" width="18.25" hidden="1" customWidth="1"/>
    <col min="9" max="9" width="18.25" bestFit="1" customWidth="1"/>
    <col min="10" max="10" width="17.25" hidden="1" customWidth="1"/>
    <col min="11" max="12" width="18.25" hidden="1" customWidth="1"/>
    <col min="13" max="13" width="18.25" bestFit="1" customWidth="1"/>
    <col min="14" max="14" width="18.25" hidden="1" customWidth="1"/>
    <col min="15" max="18" width="18.25" bestFit="1" customWidth="1"/>
    <col min="19" max="19" width="9.625" hidden="1" customWidth="1"/>
    <col min="20" max="20" width="17.25" hidden="1" customWidth="1"/>
    <col min="21" max="21" width="17.25" bestFit="1" customWidth="1"/>
    <col min="22" max="24" width="17.25" hidden="1" customWidth="1"/>
    <col min="25" max="25" width="17.25" bestFit="1" customWidth="1"/>
    <col min="26" max="28" width="17.25" hidden="1" customWidth="1"/>
    <col min="29" max="29" width="17.25" bestFit="1" customWidth="1"/>
    <col min="30" max="31" width="17.25" hidden="1" customWidth="1"/>
    <col min="32" max="32" width="16.125" hidden="1" customWidth="1"/>
    <col min="33" max="33" width="17.25" bestFit="1" customWidth="1"/>
    <col min="34" max="35" width="17.25" hidden="1" customWidth="1"/>
    <col min="36" max="36" width="16.125" hidden="1" customWidth="1"/>
    <col min="37" max="37" width="17.25" bestFit="1" customWidth="1"/>
    <col min="38" max="38" width="17.25" hidden="1" customWidth="1"/>
    <col min="39" max="40" width="17.25" bestFit="1" customWidth="1"/>
    <col min="41" max="41" width="13.875" hidden="1" customWidth="1"/>
    <col min="42" max="42" width="17.25" hidden="1" customWidth="1"/>
    <col min="43" max="44" width="17.25" bestFit="1" customWidth="1"/>
    <col min="45" max="45" width="9.625" hidden="1" customWidth="1"/>
    <col min="46" max="46" width="18.375" bestFit="1" customWidth="1"/>
    <col min="47" max="48" width="17.25" bestFit="1" customWidth="1"/>
    <col min="49" max="51" width="16.125" bestFit="1" customWidth="1"/>
    <col min="52" max="52" width="17.25" bestFit="1" customWidth="1"/>
    <col min="53" max="54" width="18.375" bestFit="1" customWidth="1"/>
    <col min="55" max="61" width="17.25" bestFit="1" customWidth="1"/>
    <col min="62" max="62" width="15" bestFit="1" customWidth="1"/>
    <col min="63" max="63" width="16.125" bestFit="1" customWidth="1"/>
    <col min="64" max="70" width="17.25" bestFit="1" customWidth="1"/>
    <col min="71" max="72" width="15" bestFit="1" customWidth="1"/>
    <col min="73" max="74" width="17.25" bestFit="1" customWidth="1"/>
    <col min="75" max="75" width="16.125" bestFit="1" customWidth="1"/>
    <col min="76" max="76" width="17.25" bestFit="1" customWidth="1"/>
    <col min="77" max="77" width="16.125" bestFit="1" customWidth="1"/>
    <col min="78" max="78" width="12.75" bestFit="1" customWidth="1"/>
    <col min="79" max="79" width="17.25" bestFit="1" customWidth="1"/>
    <col min="80" max="80" width="16.125" bestFit="1" customWidth="1"/>
    <col min="81" max="84" width="17.25" bestFit="1" customWidth="1"/>
    <col min="85" max="86" width="16.125" bestFit="1" customWidth="1"/>
    <col min="87" max="87" width="17.25" bestFit="1" customWidth="1"/>
    <col min="88" max="88" width="16.125" bestFit="1" customWidth="1"/>
    <col min="89" max="90" width="9.625" bestFit="1" customWidth="1"/>
  </cols>
  <sheetData>
    <row r="1" spans="1:90">
      <c r="A1" s="17">
        <v>300559</v>
      </c>
      <c r="B1" s="1">
        <v>43373</v>
      </c>
      <c r="C1" s="1">
        <v>43281</v>
      </c>
      <c r="D1" s="1">
        <v>43190</v>
      </c>
      <c r="E1" s="1">
        <v>43100</v>
      </c>
      <c r="F1" s="1">
        <v>43008</v>
      </c>
      <c r="G1" s="1">
        <v>42916</v>
      </c>
      <c r="H1" s="1">
        <v>42825</v>
      </c>
      <c r="I1" s="1">
        <v>42735</v>
      </c>
      <c r="J1" s="1">
        <v>42643</v>
      </c>
      <c r="K1" s="1">
        <v>42551</v>
      </c>
      <c r="L1" s="1">
        <v>42460</v>
      </c>
      <c r="M1" s="1">
        <v>42369</v>
      </c>
      <c r="N1" s="1">
        <v>42277</v>
      </c>
      <c r="O1" s="1">
        <v>42004</v>
      </c>
      <c r="P1" s="1">
        <v>41639</v>
      </c>
      <c r="Q1" s="1">
        <v>41274</v>
      </c>
      <c r="R1" s="1">
        <v>40908</v>
      </c>
      <c r="S1" s="1">
        <v>25569</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39813</v>
      </c>
      <c r="AN1" s="1">
        <v>39447</v>
      </c>
      <c r="AO1" s="1">
        <v>25569</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40"/>
      <c r="BX1" s="40"/>
      <c r="BY1" s="40"/>
      <c r="BZ1" s="40"/>
      <c r="CA1" s="40"/>
      <c r="CB1" s="40"/>
      <c r="CC1" s="40"/>
      <c r="CD1" s="40"/>
      <c r="CE1" s="40"/>
      <c r="CF1" s="40"/>
      <c r="CG1" s="40"/>
      <c r="CH1" s="40"/>
      <c r="CI1" s="40"/>
      <c r="CJ1" s="40"/>
      <c r="CK1" s="40"/>
      <c r="CL1" s="40"/>
    </row>
    <row r="2" spans="1:90" s="26" customFormat="1">
      <c r="A2" s="17" t="s">
        <v>491</v>
      </c>
      <c r="E2" s="26">
        <f>现金流量表!E4</f>
        <v>226913834.66999999</v>
      </c>
      <c r="F2" s="26">
        <f>现金流量表!F4</f>
        <v>136188223.49000001</v>
      </c>
      <c r="G2" s="26">
        <f>现金流量表!G4</f>
        <v>83431292.930000007</v>
      </c>
      <c r="H2" s="26">
        <f>现金流量表!H4</f>
        <v>27995837.739999998</v>
      </c>
      <c r="I2" s="26">
        <f>现金流量表!I4</f>
        <v>194404831.69</v>
      </c>
      <c r="J2" s="26">
        <f>现金流量表!J4</f>
        <v>107490544.98</v>
      </c>
      <c r="K2" s="26">
        <f>现金流量表!K4</f>
        <v>78071551.620000005</v>
      </c>
      <c r="L2" s="26">
        <f>现金流量表!L4</f>
        <v>18878180.190000001</v>
      </c>
      <c r="M2" s="26">
        <f>现金流量表!M4</f>
        <v>168865490.47</v>
      </c>
      <c r="N2" s="26">
        <f>现金流量表!N4</f>
        <v>125397172.45</v>
      </c>
      <c r="O2" s="26">
        <f>现金流量表!O4</f>
        <v>186450395.44999999</v>
      </c>
      <c r="P2" s="26">
        <f>现金流量表!P4</f>
        <v>196694748.21000001</v>
      </c>
      <c r="Q2" s="26">
        <f>现金流量表!Q4</f>
        <v>241875378.59999999</v>
      </c>
      <c r="R2" s="26">
        <f>现金流量表!R4</f>
        <v>77762849.969999999</v>
      </c>
      <c r="S2" s="26">
        <f>现金流量表!S4</f>
        <v>0</v>
      </c>
      <c r="T2" s="26">
        <f>现金流量表!T4</f>
        <v>0</v>
      </c>
      <c r="U2" s="26">
        <f>现金流量表!U4</f>
        <v>0</v>
      </c>
      <c r="V2" s="26">
        <f>现金流量表!V4</f>
        <v>0</v>
      </c>
      <c r="W2" s="26">
        <f>现金流量表!W4</f>
        <v>0</v>
      </c>
      <c r="X2" s="26">
        <f>现金流量表!X4</f>
        <v>0</v>
      </c>
      <c r="Y2" s="26">
        <f>现金流量表!Y4</f>
        <v>0</v>
      </c>
      <c r="Z2" s="26">
        <f>现金流量表!Z4</f>
        <v>0</v>
      </c>
      <c r="AA2" s="26">
        <f>现金流量表!AA4</f>
        <v>0</v>
      </c>
      <c r="AB2" s="26">
        <f>现金流量表!AB4</f>
        <v>0</v>
      </c>
      <c r="AC2" s="26">
        <f>现金流量表!AC4</f>
        <v>0</v>
      </c>
      <c r="AD2" s="26">
        <f>现金流量表!AD4</f>
        <v>0</v>
      </c>
      <c r="AE2" s="26">
        <f>现金流量表!AE4</f>
        <v>0</v>
      </c>
      <c r="AF2" s="26">
        <f>现金流量表!AF4</f>
        <v>0</v>
      </c>
      <c r="AG2" s="26">
        <f>现金流量表!AG4</f>
        <v>0</v>
      </c>
      <c r="AH2" s="26">
        <f>现金流量表!AH4</f>
        <v>0</v>
      </c>
      <c r="AI2" s="26">
        <f>现金流量表!AI4</f>
        <v>0</v>
      </c>
      <c r="AJ2" s="26">
        <f>现金流量表!AJ4</f>
        <v>0</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492</v>
      </c>
      <c r="E3" s="26">
        <f>利润表!E3</f>
        <v>192228852.33000001</v>
      </c>
      <c r="F3" s="26">
        <f>利润表!F3</f>
        <v>102176580.98999999</v>
      </c>
      <c r="G3" s="26">
        <f>利润表!G3</f>
        <v>77918188.989999995</v>
      </c>
      <c r="H3" s="26">
        <f>利润表!H3</f>
        <v>17058644.949999999</v>
      </c>
      <c r="I3" s="26">
        <f>利润表!I3</f>
        <v>165733894.71000001</v>
      </c>
      <c r="J3" s="26">
        <f>利润表!J3</f>
        <v>108502593.70999999</v>
      </c>
      <c r="K3" s="26">
        <f>利润表!K3</f>
        <v>80972644.640000001</v>
      </c>
      <c r="L3" s="26">
        <f>利润表!L3</f>
        <v>14971904.439999999</v>
      </c>
      <c r="M3" s="26">
        <f>利润表!M3</f>
        <v>148520212.02000001</v>
      </c>
      <c r="N3" s="26">
        <f>利润表!N3</f>
        <v>87957669.829999998</v>
      </c>
      <c r="O3" s="26">
        <f>利润表!O3</f>
        <v>179299034.00999999</v>
      </c>
      <c r="P3" s="26">
        <f>利润表!P3</f>
        <v>208788264.84</v>
      </c>
      <c r="Q3" s="26">
        <f>利润表!Q3</f>
        <v>193493383.34</v>
      </c>
      <c r="R3" s="26">
        <f>利润表!R3</f>
        <v>82207078.170000002</v>
      </c>
      <c r="S3" s="26">
        <f>利润表!S3</f>
        <v>0</v>
      </c>
      <c r="T3" s="26">
        <f>利润表!T3</f>
        <v>0</v>
      </c>
      <c r="U3" s="26">
        <f>利润表!U3</f>
        <v>0</v>
      </c>
      <c r="V3" s="26">
        <f>利润表!V3</f>
        <v>0</v>
      </c>
      <c r="W3" s="26">
        <f>利润表!W3</f>
        <v>0</v>
      </c>
      <c r="X3" s="26">
        <f>利润表!X3</f>
        <v>0</v>
      </c>
      <c r="Y3" s="26">
        <f>利润表!Y3</f>
        <v>0</v>
      </c>
      <c r="Z3" s="26">
        <f>利润表!Z3</f>
        <v>0</v>
      </c>
      <c r="AA3" s="26">
        <f>利润表!AA3</f>
        <v>0</v>
      </c>
      <c r="AB3" s="26">
        <f>利润表!AB3</f>
        <v>0</v>
      </c>
      <c r="AC3" s="26">
        <f>利润表!AC3</f>
        <v>0</v>
      </c>
      <c r="AD3" s="26">
        <f>利润表!AD3</f>
        <v>0</v>
      </c>
      <c r="AE3" s="26">
        <f>利润表!AE3</f>
        <v>0</v>
      </c>
      <c r="AF3" s="26">
        <f>利润表!AF3</f>
        <v>0</v>
      </c>
      <c r="AG3" s="26">
        <f>利润表!AG3</f>
        <v>0</v>
      </c>
      <c r="AH3" s="26">
        <f>利润表!AH3</f>
        <v>0</v>
      </c>
      <c r="AI3" s="26">
        <f>利润表!AI3</f>
        <v>0</v>
      </c>
      <c r="AJ3" s="26">
        <f>利润表!AJ3</f>
        <v>0</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c r="A4" s="17" t="s">
        <v>517</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c r="A5" s="20" t="s">
        <v>493</v>
      </c>
      <c r="E5" s="28">
        <f>(E2/(1+E4))/E3</f>
        <v>1.0089195564823639</v>
      </c>
      <c r="F5" s="28">
        <f t="shared" ref="F5:BQ5" si="2">(F2/(1+F4))/F3</f>
        <v>1.139206165339258</v>
      </c>
      <c r="G5" s="28">
        <f t="shared" si="2"/>
        <v>0.91517524085704993</v>
      </c>
      <c r="H5" s="28">
        <f t="shared" si="2"/>
        <v>1.4026944411223263</v>
      </c>
      <c r="I5" s="28">
        <f t="shared" si="2"/>
        <v>1.0025588072624545</v>
      </c>
      <c r="J5" s="28">
        <f t="shared" si="2"/>
        <v>0.84672870505029585</v>
      </c>
      <c r="K5" s="28">
        <f t="shared" si="2"/>
        <v>0.82407857856321964</v>
      </c>
      <c r="L5" s="28">
        <f t="shared" si="2"/>
        <v>1.0776983521536387</v>
      </c>
      <c r="M5" s="28">
        <f t="shared" si="2"/>
        <v>0.9717834163524649</v>
      </c>
      <c r="N5" s="28">
        <f t="shared" si="2"/>
        <v>1.2185073874425247</v>
      </c>
      <c r="O5" s="28">
        <f t="shared" si="2"/>
        <v>0.88879069109507558</v>
      </c>
      <c r="P5" s="28">
        <f t="shared" si="2"/>
        <v>0.80519453303128674</v>
      </c>
      <c r="Q5" s="28">
        <f t="shared" si="2"/>
        <v>1.068414274700298</v>
      </c>
      <c r="R5" s="28">
        <f t="shared" si="2"/>
        <v>0.80849454588191616</v>
      </c>
      <c r="S5" s="28" t="e">
        <f t="shared" si="2"/>
        <v>#DIV/0!</v>
      </c>
      <c r="T5" s="28" t="e">
        <f t="shared" si="2"/>
        <v>#DIV/0!</v>
      </c>
      <c r="U5" s="28" t="e">
        <f t="shared" si="2"/>
        <v>#DIV/0!</v>
      </c>
      <c r="V5" s="28" t="e">
        <f t="shared" si="2"/>
        <v>#DIV/0!</v>
      </c>
      <c r="W5" s="28" t="e">
        <f t="shared" si="2"/>
        <v>#DIV/0!</v>
      </c>
      <c r="X5" s="28" t="e">
        <f t="shared" si="2"/>
        <v>#DIV/0!</v>
      </c>
      <c r="Y5" s="28" t="e">
        <f t="shared" si="2"/>
        <v>#DIV/0!</v>
      </c>
      <c r="Z5" s="28" t="e">
        <f t="shared" si="2"/>
        <v>#DIV/0!</v>
      </c>
      <c r="AA5" s="28" t="e">
        <f t="shared" si="2"/>
        <v>#DIV/0!</v>
      </c>
      <c r="AB5" s="28" t="e">
        <f t="shared" si="2"/>
        <v>#DIV/0!</v>
      </c>
      <c r="AC5" s="28" t="e">
        <f t="shared" si="2"/>
        <v>#DIV/0!</v>
      </c>
      <c r="AD5" s="28" t="e">
        <f t="shared" si="2"/>
        <v>#DIV/0!</v>
      </c>
      <c r="AE5" s="28" t="e">
        <f t="shared" si="2"/>
        <v>#DIV/0!</v>
      </c>
      <c r="AF5" s="28" t="e">
        <f t="shared" si="2"/>
        <v>#DIV/0!</v>
      </c>
      <c r="AG5" s="28" t="e">
        <f t="shared" si="2"/>
        <v>#DIV/0!</v>
      </c>
      <c r="AH5" s="28" t="e">
        <f t="shared" si="2"/>
        <v>#DIV/0!</v>
      </c>
      <c r="AI5" s="28" t="e">
        <f t="shared" si="2"/>
        <v>#DIV/0!</v>
      </c>
      <c r="AJ5" s="28" t="e">
        <f t="shared" si="2"/>
        <v>#DIV/0!</v>
      </c>
      <c r="AK5" s="28" t="e">
        <f t="shared" si="2"/>
        <v>#DIV/0!</v>
      </c>
      <c r="AL5" s="28" t="e">
        <f t="shared" si="2"/>
        <v>#DIV/0!</v>
      </c>
      <c r="AM5" s="28" t="e">
        <f t="shared" si="2"/>
        <v>#DIV/0!</v>
      </c>
      <c r="AN5" s="28" t="e">
        <f t="shared" si="2"/>
        <v>#DIV/0!</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c r="A6" s="17" t="s">
        <v>494</v>
      </c>
      <c r="E6" s="26">
        <f>现金流量表!E8</f>
        <v>77444748.329999998</v>
      </c>
      <c r="F6" s="26">
        <f>现金流量表!F8</f>
        <v>49649763.090000004</v>
      </c>
      <c r="G6" s="26">
        <f>现金流量表!G8</f>
        <v>26988415.82</v>
      </c>
      <c r="H6" s="26">
        <f>现金流量表!H8</f>
        <v>13606254.75</v>
      </c>
      <c r="I6" s="26">
        <f>现金流量表!I8</f>
        <v>79007579.329999998</v>
      </c>
      <c r="J6" s="26">
        <f>现金流量表!J8</f>
        <v>61492974.009999998</v>
      </c>
      <c r="K6" s="26">
        <f>现金流量表!K8</f>
        <v>50576420.979999997</v>
      </c>
      <c r="L6" s="26">
        <f>现金流量表!L8</f>
        <v>9849661.1699999999</v>
      </c>
      <c r="M6" s="26">
        <f>现金流量表!M8</f>
        <v>74771909.349999994</v>
      </c>
      <c r="N6" s="26">
        <f>现金流量表!N8</f>
        <v>41906152.090000004</v>
      </c>
      <c r="O6" s="26">
        <f>现金流量表!O8</f>
        <v>83250053.530000001</v>
      </c>
      <c r="P6" s="26">
        <f>现金流量表!P8</f>
        <v>94579275.390000001</v>
      </c>
      <c r="Q6" s="26">
        <f>现金流量表!Q8</f>
        <v>112427728.34999999</v>
      </c>
      <c r="R6" s="26">
        <f>现金流量表!R8</f>
        <v>38465265.899999999</v>
      </c>
      <c r="S6" s="26">
        <f>现金流量表!S8</f>
        <v>0</v>
      </c>
      <c r="T6" s="26">
        <f>现金流量表!T8</f>
        <v>0</v>
      </c>
      <c r="U6" s="26">
        <f>现金流量表!U8</f>
        <v>0</v>
      </c>
      <c r="V6" s="26">
        <f>现金流量表!V8</f>
        <v>0</v>
      </c>
      <c r="W6" s="26">
        <f>现金流量表!W8</f>
        <v>0</v>
      </c>
      <c r="X6" s="26">
        <f>现金流量表!X8</f>
        <v>0</v>
      </c>
      <c r="Y6" s="26">
        <f>现金流量表!Y8</f>
        <v>0</v>
      </c>
      <c r="Z6" s="26">
        <f>现金流量表!Z8</f>
        <v>0</v>
      </c>
      <c r="AA6" s="26">
        <f>现金流量表!AA8</f>
        <v>0</v>
      </c>
      <c r="AB6" s="26">
        <f>现金流量表!AB8</f>
        <v>0</v>
      </c>
      <c r="AC6" s="26">
        <f>现金流量表!AC8</f>
        <v>0</v>
      </c>
      <c r="AD6" s="26">
        <f>现金流量表!AD8</f>
        <v>0</v>
      </c>
      <c r="AE6" s="26">
        <f>现金流量表!AE8</f>
        <v>0</v>
      </c>
      <c r="AF6" s="26">
        <f>现金流量表!AF8</f>
        <v>0</v>
      </c>
      <c r="AG6" s="26">
        <f>现金流量表!AG8</f>
        <v>0</v>
      </c>
      <c r="AH6" s="26">
        <f>现金流量表!AH8</f>
        <v>0</v>
      </c>
      <c r="AI6" s="26">
        <f>现金流量表!AI8</f>
        <v>0</v>
      </c>
      <c r="AJ6" s="26">
        <f>现金流量表!AJ8</f>
        <v>0</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495</v>
      </c>
      <c r="E7" s="26">
        <f>现金流量表!E9</f>
        <v>34662885.560000002</v>
      </c>
      <c r="F7" s="26">
        <f>现金流量表!F9</f>
        <v>24514587.449999999</v>
      </c>
      <c r="G7" s="26">
        <f>现金流量表!G9</f>
        <v>16639117.6</v>
      </c>
      <c r="H7" s="26">
        <f>现金流量表!H9</f>
        <v>10644466.32</v>
      </c>
      <c r="I7" s="26">
        <f>现金流量表!I9</f>
        <v>26631190.93</v>
      </c>
      <c r="J7" s="26">
        <f>现金流量表!J9</f>
        <v>20426429.850000001</v>
      </c>
      <c r="K7" s="26">
        <f>现金流量表!K9</f>
        <v>15311871.24</v>
      </c>
      <c r="L7" s="26">
        <f>现金流量表!L9</f>
        <v>10489821.15</v>
      </c>
      <c r="M7" s="26">
        <f>现金流量表!M9</f>
        <v>25669486.039999999</v>
      </c>
      <c r="N7" s="26">
        <f>现金流量表!N9</f>
        <v>21366220.25</v>
      </c>
      <c r="O7" s="26">
        <f>现金流量表!O9</f>
        <v>21939836.18</v>
      </c>
      <c r="P7" s="26">
        <f>现金流量表!P9</f>
        <v>21042842.449999999</v>
      </c>
      <c r="Q7" s="26">
        <f>现金流量表!Q9</f>
        <v>9170460.0299999993</v>
      </c>
      <c r="R7" s="26">
        <f>现金流量表!R9</f>
        <v>4537849.05</v>
      </c>
      <c r="S7" s="26">
        <f>现金流量表!S9</f>
        <v>0</v>
      </c>
      <c r="T7" s="26">
        <f>现金流量表!T9</f>
        <v>0</v>
      </c>
      <c r="U7" s="26">
        <f>现金流量表!U9</f>
        <v>0</v>
      </c>
      <c r="V7" s="26">
        <f>现金流量表!V9</f>
        <v>0</v>
      </c>
      <c r="W7" s="26">
        <f>现金流量表!W9</f>
        <v>0</v>
      </c>
      <c r="X7" s="26">
        <f>现金流量表!X9</f>
        <v>0</v>
      </c>
      <c r="Y7" s="26">
        <f>现金流量表!Y9</f>
        <v>0</v>
      </c>
      <c r="Z7" s="26">
        <f>现金流量表!Z9</f>
        <v>0</v>
      </c>
      <c r="AA7" s="26">
        <f>现金流量表!AA9</f>
        <v>0</v>
      </c>
      <c r="AB7" s="26">
        <f>现金流量表!AB9</f>
        <v>0</v>
      </c>
      <c r="AC7" s="26">
        <f>现金流量表!AC9</f>
        <v>0</v>
      </c>
      <c r="AD7" s="26">
        <f>现金流量表!AD9</f>
        <v>0</v>
      </c>
      <c r="AE7" s="26">
        <f>现金流量表!AE9</f>
        <v>0</v>
      </c>
      <c r="AF7" s="26">
        <f>现金流量表!AF9</f>
        <v>0</v>
      </c>
      <c r="AG7" s="26">
        <f>现金流量表!AG9</f>
        <v>0</v>
      </c>
      <c r="AH7" s="26">
        <f>现金流量表!AH9</f>
        <v>0</v>
      </c>
      <c r="AI7" s="26">
        <f>现金流量表!AI9</f>
        <v>0</v>
      </c>
      <c r="AJ7" s="26">
        <f>现金流量表!AJ9</f>
        <v>0</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c r="A8" s="150" t="s">
        <v>496</v>
      </c>
      <c r="E8" s="58">
        <f>利润表!E6</f>
        <v>78582960.780000001</v>
      </c>
      <c r="F8" s="58">
        <f>利润表!F6</f>
        <v>45274024.810000002</v>
      </c>
      <c r="G8" s="58">
        <f>利润表!G6</f>
        <v>35685127.82</v>
      </c>
      <c r="H8" s="58">
        <f>利润表!H6</f>
        <v>9702084.75</v>
      </c>
      <c r="I8" s="58">
        <f>利润表!I6</f>
        <v>74000416.170000002</v>
      </c>
      <c r="J8" s="58">
        <f>利润表!J6</f>
        <v>51252469</v>
      </c>
      <c r="K8" s="58">
        <f>利润表!K6</f>
        <v>36953673.289999999</v>
      </c>
      <c r="L8" s="58">
        <f>利润表!L6</f>
        <v>6533298.6699999999</v>
      </c>
      <c r="M8" s="58">
        <f>利润表!M6</f>
        <v>67009933.109999999</v>
      </c>
      <c r="N8" s="58">
        <f>利润表!N6</f>
        <v>34125603.609999999</v>
      </c>
      <c r="O8" s="58">
        <f>利润表!O6</f>
        <v>76594616.719999999</v>
      </c>
      <c r="P8" s="58">
        <f>利润表!P6</f>
        <v>95989739.730000004</v>
      </c>
      <c r="Q8" s="58">
        <f>利润表!Q6</f>
        <v>79863258.049999997</v>
      </c>
      <c r="R8" s="58">
        <f>利润表!R6</f>
        <v>38407951.899999999</v>
      </c>
      <c r="S8" s="58">
        <f>利润表!S6</f>
        <v>0</v>
      </c>
      <c r="T8" s="58">
        <f>利润表!T6</f>
        <v>0</v>
      </c>
      <c r="U8" s="58">
        <f>利润表!U6</f>
        <v>0</v>
      </c>
      <c r="V8" s="58">
        <f>利润表!V6</f>
        <v>0</v>
      </c>
      <c r="W8" s="58">
        <f>利润表!W6</f>
        <v>0</v>
      </c>
      <c r="X8" s="58">
        <f>利润表!X6</f>
        <v>0</v>
      </c>
      <c r="Y8" s="58">
        <f>利润表!Y6</f>
        <v>0</v>
      </c>
      <c r="Z8" s="58">
        <f>利润表!Z6</f>
        <v>0</v>
      </c>
      <c r="AA8" s="58">
        <f>利润表!AA6</f>
        <v>0</v>
      </c>
      <c r="AB8" s="58">
        <f>利润表!AB6</f>
        <v>0</v>
      </c>
      <c r="AC8" s="58">
        <f>利润表!AC6</f>
        <v>0</v>
      </c>
      <c r="AD8" s="58">
        <f>利润表!AD6</f>
        <v>0</v>
      </c>
      <c r="AE8" s="58">
        <f>利润表!AE6</f>
        <v>0</v>
      </c>
      <c r="AF8" s="58">
        <f>利润表!AF6</f>
        <v>0</v>
      </c>
      <c r="AG8" s="58">
        <f>利润表!AG6</f>
        <v>0</v>
      </c>
      <c r="AH8" s="58">
        <f>利润表!AH6</f>
        <v>0</v>
      </c>
      <c r="AI8" s="58">
        <f>利润表!AI6</f>
        <v>0</v>
      </c>
      <c r="AJ8" s="58">
        <f>利润表!AJ6</f>
        <v>0</v>
      </c>
      <c r="AK8" s="58">
        <f>利润表!AK6</f>
        <v>0</v>
      </c>
      <c r="AL8" s="58">
        <f>利润表!AL6</f>
        <v>0</v>
      </c>
      <c r="AM8" s="58">
        <f>利润表!AM6</f>
        <v>0</v>
      </c>
      <c r="AN8" s="58">
        <f>利润表!AN6</f>
        <v>0</v>
      </c>
      <c r="AO8" s="58">
        <f>利润表!AO6</f>
        <v>0</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c r="A9" s="150" t="s">
        <v>497</v>
      </c>
      <c r="E9" s="58">
        <f>利润表!E7</f>
        <v>2397024.87</v>
      </c>
      <c r="F9" s="58">
        <f>利润表!F7</f>
        <v>1266084.77</v>
      </c>
      <c r="G9" s="58">
        <f>利润表!G7</f>
        <v>984904.94</v>
      </c>
      <c r="H9" s="58">
        <f>利润表!H7</f>
        <v>139833.49</v>
      </c>
      <c r="I9" s="58">
        <f>利润表!I7</f>
        <v>2195669.7200000002</v>
      </c>
      <c r="J9" s="58">
        <f>利润表!J7</f>
        <v>1259674.06</v>
      </c>
      <c r="K9" s="58">
        <f>利润表!K7</f>
        <v>927673.42</v>
      </c>
      <c r="L9" s="58">
        <f>利润表!L7</f>
        <v>142314.60999999999</v>
      </c>
      <c r="M9" s="58">
        <f>利润表!M7</f>
        <v>1747049.33</v>
      </c>
      <c r="N9" s="58">
        <f>利润表!N7</f>
        <v>1136002.7</v>
      </c>
      <c r="O9" s="58">
        <f>利润表!O7</f>
        <v>2231414.33</v>
      </c>
      <c r="P9" s="58">
        <f>利润表!P7</f>
        <v>3475309.93</v>
      </c>
      <c r="Q9" s="58">
        <f>利润表!Q7</f>
        <v>2926714.87</v>
      </c>
      <c r="R9" s="58">
        <f>利润表!R7</f>
        <v>1473764.86</v>
      </c>
      <c r="S9" s="58">
        <f>利润表!S7</f>
        <v>0</v>
      </c>
      <c r="T9" s="58">
        <f>利润表!T7</f>
        <v>0</v>
      </c>
      <c r="U9" s="58">
        <f>利润表!U7</f>
        <v>0</v>
      </c>
      <c r="V9" s="58">
        <f>利润表!V7</f>
        <v>0</v>
      </c>
      <c r="W9" s="58">
        <f>利润表!W7</f>
        <v>0</v>
      </c>
      <c r="X9" s="58">
        <f>利润表!X7</f>
        <v>0</v>
      </c>
      <c r="Y9" s="58">
        <f>利润表!Y7</f>
        <v>0</v>
      </c>
      <c r="Z9" s="58">
        <f>利润表!Z7</f>
        <v>0</v>
      </c>
      <c r="AA9" s="58">
        <f>利润表!AA7</f>
        <v>0</v>
      </c>
      <c r="AB9" s="58">
        <f>利润表!AB7</f>
        <v>0</v>
      </c>
      <c r="AC9" s="58">
        <f>利润表!AC7</f>
        <v>0</v>
      </c>
      <c r="AD9" s="58">
        <f>利润表!AD7</f>
        <v>0</v>
      </c>
      <c r="AE9" s="58">
        <f>利润表!AE7</f>
        <v>0</v>
      </c>
      <c r="AF9" s="58">
        <f>利润表!AF7</f>
        <v>0</v>
      </c>
      <c r="AG9" s="58">
        <f>利润表!AG7</f>
        <v>0</v>
      </c>
      <c r="AH9" s="58">
        <f>利润表!AH7</f>
        <v>0</v>
      </c>
      <c r="AI9" s="58">
        <f>利润表!AI7</f>
        <v>0</v>
      </c>
      <c r="AJ9" s="58">
        <f>利润表!AJ7</f>
        <v>0</v>
      </c>
      <c r="AK9" s="58">
        <f>利润表!AK7</f>
        <v>0</v>
      </c>
      <c r="AL9" s="58">
        <f>利润表!AL7</f>
        <v>0</v>
      </c>
      <c r="AM9" s="58">
        <f>利润表!AM7</f>
        <v>0</v>
      </c>
      <c r="AN9" s="58">
        <f>利润表!AN7</f>
        <v>0</v>
      </c>
      <c r="AO9" s="58">
        <f>利润表!AO7</f>
        <v>0</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c r="A10" s="150" t="s">
        <v>498</v>
      </c>
      <c r="E10" s="58">
        <f>利润表!E8</f>
        <v>20566807.210000001</v>
      </c>
      <c r="F10" s="58">
        <f>利润表!F8</f>
        <v>13350279.67</v>
      </c>
      <c r="G10" s="58">
        <f>利润表!G8</f>
        <v>9627779.7100000009</v>
      </c>
      <c r="H10" s="58">
        <f>利润表!H8</f>
        <v>3370993.09</v>
      </c>
      <c r="I10" s="58">
        <f>利润表!I8</f>
        <v>16118234.609999999</v>
      </c>
      <c r="J10" s="58">
        <f>利润表!J8</f>
        <v>10352105.4</v>
      </c>
      <c r="K10" s="58">
        <f>利润表!K8</f>
        <v>7227577.8700000001</v>
      </c>
      <c r="L10" s="58">
        <f>利润表!L8</f>
        <v>2658685.62</v>
      </c>
      <c r="M10" s="58">
        <f>利润表!M8</f>
        <v>14305084.869999999</v>
      </c>
      <c r="N10" s="58">
        <f>利润表!N8</f>
        <v>8136169.1799999997</v>
      </c>
      <c r="O10" s="58">
        <f>利润表!O8</f>
        <v>13333535.85</v>
      </c>
      <c r="P10" s="58">
        <f>利润表!P8</f>
        <v>14138156.1</v>
      </c>
      <c r="Q10" s="58">
        <f>利润表!Q8</f>
        <v>16608992.76</v>
      </c>
      <c r="R10" s="58">
        <f>利润表!R8</f>
        <v>4499025.5999999996</v>
      </c>
      <c r="S10" s="58">
        <f>利润表!S8</f>
        <v>0</v>
      </c>
      <c r="T10" s="58">
        <f>利润表!T8</f>
        <v>0</v>
      </c>
      <c r="U10" s="58">
        <f>利润表!U8</f>
        <v>0</v>
      </c>
      <c r="V10" s="58">
        <f>利润表!V8</f>
        <v>0</v>
      </c>
      <c r="W10" s="58">
        <f>利润表!W8</f>
        <v>0</v>
      </c>
      <c r="X10" s="58">
        <f>利润表!X8</f>
        <v>0</v>
      </c>
      <c r="Y10" s="58">
        <f>利润表!Y8</f>
        <v>0</v>
      </c>
      <c r="Z10" s="58">
        <f>利润表!Z8</f>
        <v>0</v>
      </c>
      <c r="AA10" s="58">
        <f>利润表!AA8</f>
        <v>0</v>
      </c>
      <c r="AB10" s="58">
        <f>利润表!AB8</f>
        <v>0</v>
      </c>
      <c r="AC10" s="58">
        <f>利润表!AC8</f>
        <v>0</v>
      </c>
      <c r="AD10" s="58">
        <f>利润表!AD8</f>
        <v>0</v>
      </c>
      <c r="AE10" s="58">
        <f>利润表!AE8</f>
        <v>0</v>
      </c>
      <c r="AF10" s="58">
        <f>利润表!AF8</f>
        <v>0</v>
      </c>
      <c r="AG10" s="58">
        <f>利润表!AG8</f>
        <v>0</v>
      </c>
      <c r="AH10" s="58">
        <f>利润表!AH8</f>
        <v>0</v>
      </c>
      <c r="AI10" s="58">
        <f>利润表!AI8</f>
        <v>0</v>
      </c>
      <c r="AJ10" s="58">
        <f>利润表!AJ8</f>
        <v>0</v>
      </c>
      <c r="AK10" s="58">
        <f>利润表!AK8</f>
        <v>0</v>
      </c>
      <c r="AL10" s="58">
        <f>利润表!AL8</f>
        <v>0</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c r="A11" s="150" t="s">
        <v>499</v>
      </c>
      <c r="E11" s="58">
        <f>利润表!E9</f>
        <v>38524427.229999997</v>
      </c>
      <c r="F11" s="58">
        <f>利润表!F9</f>
        <v>22539345.670000002</v>
      </c>
      <c r="G11" s="58">
        <f>利润表!G9</f>
        <v>14877141.970000001</v>
      </c>
      <c r="H11" s="58">
        <f>利润表!H9</f>
        <v>5424224.0199999996</v>
      </c>
      <c r="I11" s="58">
        <f>利润表!I9</f>
        <v>22577434.48</v>
      </c>
      <c r="J11" s="58">
        <f>利润表!J9</f>
        <v>14471188.65</v>
      </c>
      <c r="K11" s="58">
        <f>利润表!K9</f>
        <v>9701188.6500000004</v>
      </c>
      <c r="L11" s="58">
        <f>利润表!L9</f>
        <v>4277425.83</v>
      </c>
      <c r="M11" s="58">
        <f>利润表!M9</f>
        <v>22058886.629999999</v>
      </c>
      <c r="N11" s="58">
        <f>利润表!N9</f>
        <v>11482716.140000001</v>
      </c>
      <c r="O11" s="58">
        <f>利润表!O9</f>
        <v>23007124.91</v>
      </c>
      <c r="P11" s="58">
        <f>利润表!P9</f>
        <v>20900968.23</v>
      </c>
      <c r="Q11" s="58">
        <f>利润表!Q9</f>
        <v>23044046.52</v>
      </c>
      <c r="R11" s="58">
        <f>利润表!R9</f>
        <v>10039312.09</v>
      </c>
      <c r="S11" s="58">
        <f>利润表!S9</f>
        <v>0</v>
      </c>
      <c r="T11" s="58">
        <f>利润表!T9</f>
        <v>0</v>
      </c>
      <c r="U11" s="58">
        <f>利润表!U9</f>
        <v>0</v>
      </c>
      <c r="V11" s="58">
        <f>利润表!V9</f>
        <v>0</v>
      </c>
      <c r="W11" s="58">
        <f>利润表!W9</f>
        <v>0</v>
      </c>
      <c r="X11" s="58">
        <f>利润表!X9</f>
        <v>0</v>
      </c>
      <c r="Y11" s="58">
        <f>利润表!Y9</f>
        <v>0</v>
      </c>
      <c r="Z11" s="58">
        <f>利润表!Z9</f>
        <v>0</v>
      </c>
      <c r="AA11" s="58">
        <f>利润表!AA9</f>
        <v>0</v>
      </c>
      <c r="AB11" s="58">
        <f>利润表!AB9</f>
        <v>0</v>
      </c>
      <c r="AC11" s="58">
        <f>利润表!AC9</f>
        <v>0</v>
      </c>
      <c r="AD11" s="58">
        <f>利润表!AD9</f>
        <v>0</v>
      </c>
      <c r="AE11" s="58">
        <f>利润表!AE9</f>
        <v>0</v>
      </c>
      <c r="AF11" s="58">
        <f>利润表!AF9</f>
        <v>0</v>
      </c>
      <c r="AG11" s="58">
        <f>利润表!AG9</f>
        <v>0</v>
      </c>
      <c r="AH11" s="58">
        <f>利润表!AH9</f>
        <v>0</v>
      </c>
      <c r="AI11" s="58">
        <f>利润表!AI9</f>
        <v>0</v>
      </c>
      <c r="AJ11" s="58">
        <f>利润表!AJ9</f>
        <v>0</v>
      </c>
      <c r="AK11" s="58">
        <f>利润表!AK9</f>
        <v>0</v>
      </c>
      <c r="AL11" s="58">
        <f>利润表!AL9</f>
        <v>0</v>
      </c>
      <c r="AM11" s="58">
        <f>利润表!AM9</f>
        <v>0</v>
      </c>
      <c r="AN11" s="58">
        <f>利润表!AN9</f>
        <v>0</v>
      </c>
      <c r="AO11" s="58">
        <f>利润表!AO9</f>
        <v>0</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c r="A12" s="150" t="s">
        <v>500</v>
      </c>
      <c r="E12" s="58">
        <f>SUM(E8:E11)</f>
        <v>140071220.09</v>
      </c>
      <c r="F12" s="58">
        <f t="shared" ref="F12:BQ12" si="4">SUM(F8:F11)</f>
        <v>82429734.920000017</v>
      </c>
      <c r="G12" s="58">
        <f t="shared" si="4"/>
        <v>61174954.439999998</v>
      </c>
      <c r="H12" s="58">
        <f t="shared" si="4"/>
        <v>18637135.350000001</v>
      </c>
      <c r="I12" s="58">
        <f t="shared" si="4"/>
        <v>114891754.98</v>
      </c>
      <c r="J12" s="58">
        <f t="shared" si="4"/>
        <v>77335437.109999999</v>
      </c>
      <c r="K12" s="58">
        <f t="shared" si="4"/>
        <v>54810113.229999997</v>
      </c>
      <c r="L12" s="58">
        <f t="shared" si="4"/>
        <v>13611724.73</v>
      </c>
      <c r="M12" s="58">
        <f t="shared" si="4"/>
        <v>105120953.94</v>
      </c>
      <c r="N12" s="58">
        <f t="shared" si="4"/>
        <v>54880491.630000003</v>
      </c>
      <c r="O12" s="58">
        <f t="shared" si="4"/>
        <v>115166691.80999999</v>
      </c>
      <c r="P12" s="58">
        <f t="shared" si="4"/>
        <v>134504173.99000001</v>
      </c>
      <c r="Q12" s="58">
        <f t="shared" si="4"/>
        <v>122443012.2</v>
      </c>
      <c r="R12" s="58">
        <f t="shared" si="4"/>
        <v>54420054.450000003</v>
      </c>
      <c r="S12" s="58">
        <f t="shared" si="4"/>
        <v>0</v>
      </c>
      <c r="T12" s="58">
        <f t="shared" si="4"/>
        <v>0</v>
      </c>
      <c r="U12" s="58">
        <f t="shared" si="4"/>
        <v>0</v>
      </c>
      <c r="V12" s="58">
        <f t="shared" si="4"/>
        <v>0</v>
      </c>
      <c r="W12" s="58">
        <f t="shared" si="4"/>
        <v>0</v>
      </c>
      <c r="X12" s="58">
        <f t="shared" si="4"/>
        <v>0</v>
      </c>
      <c r="Y12" s="58">
        <f t="shared" si="4"/>
        <v>0</v>
      </c>
      <c r="Z12" s="58">
        <f t="shared" si="4"/>
        <v>0</v>
      </c>
      <c r="AA12" s="58">
        <f t="shared" si="4"/>
        <v>0</v>
      </c>
      <c r="AB12" s="58">
        <f t="shared" si="4"/>
        <v>0</v>
      </c>
      <c r="AC12" s="58">
        <f t="shared" si="4"/>
        <v>0</v>
      </c>
      <c r="AD12" s="58">
        <f t="shared" si="4"/>
        <v>0</v>
      </c>
      <c r="AE12" s="58">
        <f t="shared" si="4"/>
        <v>0</v>
      </c>
      <c r="AF12" s="58">
        <f t="shared" si="4"/>
        <v>0</v>
      </c>
      <c r="AG12" s="58">
        <f t="shared" si="4"/>
        <v>0</v>
      </c>
      <c r="AH12" s="58">
        <f t="shared" si="4"/>
        <v>0</v>
      </c>
      <c r="AI12" s="58">
        <f t="shared" si="4"/>
        <v>0</v>
      </c>
      <c r="AJ12" s="58">
        <f t="shared" si="4"/>
        <v>0</v>
      </c>
      <c r="AK12" s="58">
        <f t="shared" si="4"/>
        <v>0</v>
      </c>
      <c r="AL12" s="58">
        <f t="shared" si="4"/>
        <v>0</v>
      </c>
      <c r="AM12" s="58">
        <f t="shared" si="4"/>
        <v>0</v>
      </c>
      <c r="AN12" s="58">
        <f t="shared" si="4"/>
        <v>0</v>
      </c>
      <c r="AO12" s="58">
        <f t="shared" si="4"/>
        <v>0</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c r="A13" s="20" t="s">
        <v>501</v>
      </c>
      <c r="E13" s="28">
        <f>(E6/(1+E4)+E7)/E12</f>
        <v>0.72002641288439695</v>
      </c>
      <c r="F13" s="28">
        <f t="shared" ref="F13:BQ13" si="6">(F6/(1+F4)+F7)/F12</f>
        <v>0.81221033239637086</v>
      </c>
      <c r="G13" s="28">
        <f t="shared" si="6"/>
        <v>0.64905875340405195</v>
      </c>
      <c r="H13" s="28">
        <f t="shared" si="6"/>
        <v>1.1951270120545947</v>
      </c>
      <c r="I13" s="28">
        <f t="shared" si="6"/>
        <v>0.81954563691352345</v>
      </c>
      <c r="J13" s="28">
        <f t="shared" si="6"/>
        <v>0.94373976564757844</v>
      </c>
      <c r="K13" s="28">
        <f t="shared" si="6"/>
        <v>1.0680434326721102</v>
      </c>
      <c r="L13" s="28">
        <f t="shared" si="6"/>
        <v>1.3891211691079226</v>
      </c>
      <c r="M13" s="28">
        <f t="shared" si="6"/>
        <v>0.85213363760176541</v>
      </c>
      <c r="N13" s="28">
        <f t="shared" si="6"/>
        <v>1.0419630466154228</v>
      </c>
      <c r="O13" s="28">
        <f t="shared" si="6"/>
        <v>0.80833899648317886</v>
      </c>
      <c r="P13" s="28">
        <f t="shared" si="6"/>
        <v>0.75744734858856488</v>
      </c>
      <c r="Q13" s="28">
        <f t="shared" si="6"/>
        <v>0.85968593594286391</v>
      </c>
      <c r="R13" s="28">
        <f t="shared" si="6"/>
        <v>0.68750656479774319</v>
      </c>
      <c r="S13" s="28" t="e">
        <f t="shared" si="6"/>
        <v>#DIV/0!</v>
      </c>
      <c r="T13" s="28" t="e">
        <f t="shared" si="6"/>
        <v>#DIV/0!</v>
      </c>
      <c r="U13" s="28" t="e">
        <f t="shared" si="6"/>
        <v>#DIV/0!</v>
      </c>
      <c r="V13" s="28" t="e">
        <f t="shared" si="6"/>
        <v>#DIV/0!</v>
      </c>
      <c r="W13" s="28" t="e">
        <f t="shared" si="6"/>
        <v>#DIV/0!</v>
      </c>
      <c r="X13" s="28" t="e">
        <f t="shared" si="6"/>
        <v>#DIV/0!</v>
      </c>
      <c r="Y13" s="28" t="e">
        <f t="shared" si="6"/>
        <v>#DIV/0!</v>
      </c>
      <c r="Z13" s="28" t="e">
        <f t="shared" si="6"/>
        <v>#DIV/0!</v>
      </c>
      <c r="AA13" s="28" t="e">
        <f t="shared" si="6"/>
        <v>#DIV/0!</v>
      </c>
      <c r="AB13" s="28" t="e">
        <f t="shared" si="6"/>
        <v>#DIV/0!</v>
      </c>
      <c r="AC13" s="28" t="e">
        <f t="shared" si="6"/>
        <v>#DIV/0!</v>
      </c>
      <c r="AD13" s="28" t="e">
        <f t="shared" si="6"/>
        <v>#DIV/0!</v>
      </c>
      <c r="AE13" s="28" t="e">
        <f t="shared" si="6"/>
        <v>#DIV/0!</v>
      </c>
      <c r="AF13" s="28" t="e">
        <f t="shared" si="6"/>
        <v>#DIV/0!</v>
      </c>
      <c r="AG13" s="28" t="e">
        <f t="shared" si="6"/>
        <v>#DIV/0!</v>
      </c>
      <c r="AH13" s="28" t="e">
        <f t="shared" si="6"/>
        <v>#DIV/0!</v>
      </c>
      <c r="AI13" s="28" t="e">
        <f t="shared" si="6"/>
        <v>#DIV/0!</v>
      </c>
      <c r="AJ13" s="28" t="e">
        <f t="shared" si="6"/>
        <v>#DIV/0!</v>
      </c>
      <c r="AK13" s="28" t="e">
        <f t="shared" si="6"/>
        <v>#DIV/0!</v>
      </c>
      <c r="AL13" s="28" t="e">
        <f t="shared" si="6"/>
        <v>#DIV/0!</v>
      </c>
      <c r="AM13" s="28" t="e">
        <f t="shared" si="6"/>
        <v>#DIV/0!</v>
      </c>
      <c r="AN13" s="28" t="e">
        <f t="shared" si="6"/>
        <v>#DIV/0!</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c r="A14" s="17" t="s">
        <v>502</v>
      </c>
      <c r="E14" s="26">
        <f>现金流量表!E13</f>
        <v>87436220.879999995</v>
      </c>
      <c r="F14" s="26">
        <f>现金流量表!F13</f>
        <v>44430363.68</v>
      </c>
      <c r="G14" s="26">
        <f>现金流量表!G13</f>
        <v>24256948.899999999</v>
      </c>
      <c r="H14" s="26">
        <f>现金流量表!H13</f>
        <v>-4803632.99</v>
      </c>
      <c r="I14" s="26">
        <f>现金流量表!I13</f>
        <v>67175954.819999993</v>
      </c>
      <c r="J14" s="26">
        <f>现金流量表!J13</f>
        <v>9880850.3900000006</v>
      </c>
      <c r="K14" s="26">
        <f>现金流量表!K13</f>
        <v>-25621.62</v>
      </c>
      <c r="L14" s="26">
        <f>现金流量表!L13</f>
        <v>-3837841.01</v>
      </c>
      <c r="M14" s="26">
        <f>现金流量表!M13</f>
        <v>54359761.829999998</v>
      </c>
      <c r="N14" s="26">
        <f>现金流量表!N13</f>
        <v>49422045.369999997</v>
      </c>
      <c r="O14" s="26">
        <f>现金流量表!O13</f>
        <v>65883707.280000001</v>
      </c>
      <c r="P14" s="26">
        <f>现金流量表!P13</f>
        <v>50278339.369999997</v>
      </c>
      <c r="Q14" s="26">
        <f>现金流量表!Q13</f>
        <v>73274843.280000001</v>
      </c>
      <c r="R14" s="26">
        <f>现金流量表!R13</f>
        <v>17194183.879999999</v>
      </c>
      <c r="S14" s="26">
        <f>现金流量表!S13</f>
        <v>0</v>
      </c>
      <c r="T14" s="26">
        <f>现金流量表!T13</f>
        <v>0</v>
      </c>
      <c r="U14" s="26">
        <f>现金流量表!U13</f>
        <v>0</v>
      </c>
      <c r="V14" s="26">
        <f>现金流量表!V13</f>
        <v>0</v>
      </c>
      <c r="W14" s="26">
        <f>现金流量表!W13</f>
        <v>0</v>
      </c>
      <c r="X14" s="26">
        <f>现金流量表!X13</f>
        <v>0</v>
      </c>
      <c r="Y14" s="26">
        <f>现金流量表!Y13</f>
        <v>0</v>
      </c>
      <c r="Z14" s="26">
        <f>现金流量表!Z13</f>
        <v>0</v>
      </c>
      <c r="AA14" s="26">
        <f>现金流量表!AA13</f>
        <v>0</v>
      </c>
      <c r="AB14" s="26">
        <f>现金流量表!AB13</f>
        <v>0</v>
      </c>
      <c r="AC14" s="26">
        <f>现金流量表!AC13</f>
        <v>0</v>
      </c>
      <c r="AD14" s="26">
        <f>现金流量表!AD13</f>
        <v>0</v>
      </c>
      <c r="AE14" s="26">
        <f>现金流量表!AE13</f>
        <v>0</v>
      </c>
      <c r="AF14" s="26">
        <f>现金流量表!AF13</f>
        <v>0</v>
      </c>
      <c r="AG14" s="26">
        <f>现金流量表!AG13</f>
        <v>0</v>
      </c>
      <c r="AH14" s="26">
        <f>现金流量表!AH13</f>
        <v>0</v>
      </c>
      <c r="AI14" s="26">
        <f>现金流量表!AI13</f>
        <v>0</v>
      </c>
      <c r="AJ14" s="26">
        <f>现金流量表!AJ13</f>
        <v>0</v>
      </c>
      <c r="AK14" s="26">
        <f>现金流量表!AK13</f>
        <v>0</v>
      </c>
      <c r="AL14" s="26">
        <f>现金流量表!AL13</f>
        <v>0</v>
      </c>
      <c r="AM14" s="26">
        <f>现金流量表!AM13</f>
        <v>0</v>
      </c>
      <c r="AN14" s="26">
        <f>现金流量表!AN13</f>
        <v>0</v>
      </c>
      <c r="AO14" s="26">
        <f>现金流量表!AO13</f>
        <v>0</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c r="A15" s="17" t="s">
        <v>503</v>
      </c>
      <c r="E15" s="26">
        <f>股权价值增加表!E17</f>
        <v>48507586.573575623</v>
      </c>
      <c r="F15" s="26">
        <f>股权价值增加表!F17</f>
        <v>22940788.576918207</v>
      </c>
      <c r="G15" s="26">
        <f>股权价值增加表!G17</f>
        <v>15012563.747866862</v>
      </c>
      <c r="H15" s="26">
        <f>股权价值增加表!H17</f>
        <v>-620449.63173821371</v>
      </c>
      <c r="I15" s="26">
        <f>股权价值增加表!I17</f>
        <v>60339600.824431486</v>
      </c>
      <c r="J15" s="26">
        <f>股权价值增加表!J17</f>
        <v>38770725.142906204</v>
      </c>
      <c r="K15" s="26">
        <f>股权价值增加表!K17</f>
        <v>28828594.752084602</v>
      </c>
      <c r="L15" s="26">
        <f>股权价值增加表!L17</f>
        <v>5360999.0065189153</v>
      </c>
      <c r="M15" s="26">
        <f>股权价值增加表!M17</f>
        <v>55769944.116749756</v>
      </c>
      <c r="N15" s="26">
        <f>股权价值增加表!N17</f>
        <v>39652236.686679408</v>
      </c>
      <c r="O15" s="26">
        <f>股权价值增加表!O17</f>
        <v>70766229.305764616</v>
      </c>
      <c r="P15" s="26">
        <f>股权价值增加表!P17</f>
        <v>79284873.484563708</v>
      </c>
      <c r="Q15" s="26">
        <f>股权价值增加表!Q17</f>
        <v>67723843.615144178</v>
      </c>
      <c r="R15" s="26">
        <f>股权价值增加表!R17</f>
        <v>26692230.583806403</v>
      </c>
      <c r="S15" s="26" t="e">
        <f>股权价值增加表!S17</f>
        <v>#DIV/0!</v>
      </c>
      <c r="T15" s="26">
        <f>股权价值增加表!T17</f>
        <v>0</v>
      </c>
      <c r="U15" s="26">
        <f>股权价值增加表!U17</f>
        <v>0</v>
      </c>
      <c r="V15" s="26">
        <f>股权价值增加表!V17</f>
        <v>0</v>
      </c>
      <c r="W15" s="26">
        <f>股权价值增加表!W17</f>
        <v>0</v>
      </c>
      <c r="X15" s="26">
        <f>股权价值增加表!X17</f>
        <v>0</v>
      </c>
      <c r="Y15" s="26">
        <f>股权价值增加表!Y17</f>
        <v>0</v>
      </c>
      <c r="Z15" s="26">
        <f>股权价值增加表!Z17</f>
        <v>0</v>
      </c>
      <c r="AA15" s="26">
        <f>股权价值增加表!AA17</f>
        <v>0</v>
      </c>
      <c r="AB15" s="26">
        <f>股权价值增加表!AB17</f>
        <v>0</v>
      </c>
      <c r="AC15" s="26">
        <f>股权价值增加表!AC17</f>
        <v>1610413.9297069919</v>
      </c>
      <c r="AD15" s="26">
        <f>股权价值增加表!AD17</f>
        <v>0</v>
      </c>
      <c r="AE15" s="26">
        <f>股权价值增加表!AE17</f>
        <v>0</v>
      </c>
      <c r="AF15" s="26">
        <f>股权价值增加表!AF17</f>
        <v>0</v>
      </c>
      <c r="AG15" s="26">
        <f>股权价值增加表!AG17</f>
        <v>-219717.24026850861</v>
      </c>
      <c r="AH15" s="26">
        <f>股权价值增加表!AH17</f>
        <v>0</v>
      </c>
      <c r="AI15" s="26">
        <f>股权价值增加表!AI17</f>
        <v>0</v>
      </c>
      <c r="AJ15" s="26">
        <f>股权价值增加表!AJ17</f>
        <v>0</v>
      </c>
      <c r="AK15" s="26">
        <f>股权价值增加表!AK17</f>
        <v>-945836.89967821585</v>
      </c>
      <c r="AL15" s="26">
        <f>股权价值增加表!AL17</f>
        <v>0</v>
      </c>
      <c r="AM15" s="26">
        <f>股权价值增加表!AM17</f>
        <v>0</v>
      </c>
      <c r="AN15" s="26">
        <f>股权价值增加表!AN17</f>
        <v>0</v>
      </c>
      <c r="AO15" s="26">
        <f>股权价值增加表!AO17</f>
        <v>-286174.01</v>
      </c>
      <c r="AP15" s="26">
        <f>股权价值增加表!AP17</f>
        <v>0</v>
      </c>
      <c r="AQ15" s="26">
        <f>股权价值增加表!AQ17</f>
        <v>0</v>
      </c>
      <c r="AR15" s="26">
        <f>股权价值增加表!AR17</f>
        <v>0</v>
      </c>
      <c r="AS15" s="26" t="e">
        <f>股权价值增加表!AS17</f>
        <v>#DIV/0!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504</v>
      </c>
      <c r="E16" s="28">
        <f>E14/E15</f>
        <v>1.8025267191427463</v>
      </c>
      <c r="F16" s="28">
        <f t="shared" ref="F16:BQ16" si="8">F14/F15</f>
        <v>1.9367409071850064</v>
      </c>
      <c r="G16" s="28">
        <f t="shared" si="8"/>
        <v>1.61577657936318</v>
      </c>
      <c r="H16" s="28">
        <f t="shared" si="8"/>
        <v>7.7421804192911452</v>
      </c>
      <c r="I16" s="28">
        <f t="shared" si="8"/>
        <v>1.1132979652195589</v>
      </c>
      <c r="J16" s="28">
        <f t="shared" si="8"/>
        <v>0.25485338109049732</v>
      </c>
      <c r="K16" s="28">
        <f t="shared" si="8"/>
        <v>-8.8875716004670311E-4</v>
      </c>
      <c r="L16" s="28">
        <f t="shared" si="8"/>
        <v>-0.7158816864791856</v>
      </c>
      <c r="M16" s="28">
        <f t="shared" si="8"/>
        <v>0.97471429622024264</v>
      </c>
      <c r="N16" s="28">
        <f t="shared" si="8"/>
        <v>1.2463873289297351</v>
      </c>
      <c r="O16" s="28">
        <f t="shared" si="8"/>
        <v>0.93100491472184621</v>
      </c>
      <c r="P16" s="28">
        <f t="shared" si="8"/>
        <v>0.63414794222745263</v>
      </c>
      <c r="Q16" s="28">
        <f t="shared" si="8"/>
        <v>1.0819652188732909</v>
      </c>
      <c r="R16" s="28">
        <f t="shared" si="8"/>
        <v>0.64416436932892884</v>
      </c>
      <c r="S16" s="28" t="e">
        <f t="shared" si="8"/>
        <v>#DIV/0!</v>
      </c>
      <c r="T16" s="28" t="e">
        <f t="shared" si="8"/>
        <v>#DIV/0!</v>
      </c>
      <c r="U16" s="28" t="e">
        <f t="shared" si="8"/>
        <v>#DIV/0!</v>
      </c>
      <c r="V16" s="28" t="e">
        <f t="shared" si="8"/>
        <v>#DIV/0!</v>
      </c>
      <c r="W16" s="28" t="e">
        <f t="shared" si="8"/>
        <v>#DIV/0!</v>
      </c>
      <c r="X16" s="28" t="e">
        <f t="shared" si="8"/>
        <v>#DIV/0!</v>
      </c>
      <c r="Y16" s="28" t="e">
        <f t="shared" si="8"/>
        <v>#DIV/0!</v>
      </c>
      <c r="Z16" s="28" t="e">
        <f t="shared" si="8"/>
        <v>#DIV/0!</v>
      </c>
      <c r="AA16" s="28" t="e">
        <f t="shared" si="8"/>
        <v>#DIV/0!</v>
      </c>
      <c r="AB16" s="28" t="e">
        <f t="shared" si="8"/>
        <v>#DIV/0!</v>
      </c>
      <c r="AC16" s="28">
        <f t="shared" si="8"/>
        <v>0</v>
      </c>
      <c r="AD16" s="28" t="e">
        <f t="shared" si="8"/>
        <v>#DIV/0!</v>
      </c>
      <c r="AE16" s="28" t="e">
        <f t="shared" si="8"/>
        <v>#DIV/0!</v>
      </c>
      <c r="AF16" s="28" t="e">
        <f t="shared" si="8"/>
        <v>#DIV/0!</v>
      </c>
      <c r="AG16" s="28">
        <f t="shared" si="8"/>
        <v>0</v>
      </c>
      <c r="AH16" s="28" t="e">
        <f t="shared" si="8"/>
        <v>#DIV/0!</v>
      </c>
      <c r="AI16" s="28" t="e">
        <f t="shared" si="8"/>
        <v>#DIV/0!</v>
      </c>
      <c r="AJ16" s="28" t="e">
        <f t="shared" si="8"/>
        <v>#DIV/0!</v>
      </c>
      <c r="AK16" s="28">
        <f t="shared" si="8"/>
        <v>0</v>
      </c>
      <c r="AL16" s="28" t="e">
        <f t="shared" si="8"/>
        <v>#DIV/0!</v>
      </c>
      <c r="AM16" s="28" t="e">
        <f t="shared" si="8"/>
        <v>#DIV/0!</v>
      </c>
      <c r="AN16" s="28" t="e">
        <f t="shared" si="8"/>
        <v>#DIV/0!</v>
      </c>
      <c r="AO16" s="28">
        <f t="shared" si="8"/>
        <v>0</v>
      </c>
      <c r="AP16" s="28" t="e">
        <f t="shared" si="8"/>
        <v>#DIV/0!</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c r="A17" s="17" t="s">
        <v>505</v>
      </c>
      <c r="E17" s="26">
        <f>股权价值增加表!E42</f>
        <v>60218383.240000002</v>
      </c>
      <c r="F17" s="26">
        <f>股权价值增加表!F42</f>
        <v>31910586.469999988</v>
      </c>
      <c r="G17" s="26">
        <f>股权价值增加表!G42</f>
        <v>19757074.269999996</v>
      </c>
      <c r="H17" s="26">
        <f>股权价值增加表!H42</f>
        <v>1761632.0899999999</v>
      </c>
      <c r="I17" s="26">
        <f>股权价值增加表!I42</f>
        <v>61756871.360000007</v>
      </c>
      <c r="J17" s="26">
        <f>股权价值增加表!J42</f>
        <v>39889095.469999991</v>
      </c>
      <c r="K17" s="26">
        <f>股权价值增加表!K42</f>
        <v>29652286.770000003</v>
      </c>
      <c r="L17" s="26">
        <f>股权价值增加表!L42</f>
        <v>5972392.459999999</v>
      </c>
      <c r="M17" s="26">
        <f>股权价值增加表!M42</f>
        <v>57418852.410000011</v>
      </c>
      <c r="N17" s="26">
        <f>股权价值增加表!N42</f>
        <v>41305234.289999999</v>
      </c>
      <c r="O17" s="26">
        <f>股权价值增加表!O42</f>
        <v>72037191.539999992</v>
      </c>
      <c r="P17" s="26">
        <f>股权价值增加表!P42</f>
        <v>80171253.61999999</v>
      </c>
      <c r="Q17" s="26">
        <f>股权价值增加表!Q42</f>
        <v>68096226.200000018</v>
      </c>
      <c r="R17" s="26">
        <f>股权价值增加表!R42</f>
        <v>26785364.940000001</v>
      </c>
      <c r="S17" s="26">
        <f>股权价值增加表!S42</f>
        <v>0</v>
      </c>
      <c r="T17" s="26">
        <f>股权价值增加表!T42</f>
        <v>-11066558.640000001</v>
      </c>
      <c r="U17" s="26">
        <f>股权价值增加表!U42</f>
        <v>-84034454.390000015</v>
      </c>
      <c r="V17" s="26">
        <f>股权价值增加表!V42</f>
        <v>-63888102.739999995</v>
      </c>
      <c r="W17" s="26">
        <f>股权价值增加表!W42</f>
        <v>-32316572.780000001</v>
      </c>
      <c r="X17" s="26">
        <f>股权价值增加表!X42</f>
        <v>-11661678.75</v>
      </c>
      <c r="Y17" s="26">
        <f>股权价值增加表!Y42</f>
        <v>-70537286.090000004</v>
      </c>
      <c r="Z17" s="26">
        <f>股权价值增加表!Z42</f>
        <v>-63091413.130000003</v>
      </c>
      <c r="AA17" s="26">
        <f>股权价值增加表!AA42</f>
        <v>-36622980.57</v>
      </c>
      <c r="AB17" s="26">
        <f>股权价值增加表!AB42</f>
        <v>-10646044.530000001</v>
      </c>
      <c r="AC17" s="26">
        <f>股权价值增加表!AC42</f>
        <v>-62359275.800000012</v>
      </c>
      <c r="AD17" s="26">
        <f>股权价值增加表!AD42</f>
        <v>-54793381.890000001</v>
      </c>
      <c r="AE17" s="26">
        <f>股权价值增加表!AE42</f>
        <v>-29394152.939999998</v>
      </c>
      <c r="AF17" s="26">
        <f>股权价值增加表!AF42</f>
        <v>-9707939.5899999999</v>
      </c>
      <c r="AG17" s="26">
        <f>股权价值增加表!AG42</f>
        <v>-78603080.299999997</v>
      </c>
      <c r="AH17" s="26">
        <f>股权价值增加表!AH42</f>
        <v>-66045740.140000001</v>
      </c>
      <c r="AI17" s="26">
        <f>股权价值增加表!AI42</f>
        <v>-35683813.409999996</v>
      </c>
      <c r="AJ17" s="26">
        <f>股权价值增加表!AJ42</f>
        <v>-8294344.1100000003</v>
      </c>
      <c r="AK17" s="26">
        <f>股权价值增加表!AK42</f>
        <v>-46186451.989999995</v>
      </c>
      <c r="AL17" s="26">
        <f>股权价值增加表!AL42</f>
        <v>-35823249.020000003</v>
      </c>
      <c r="AM17" s="26">
        <f>股权价值增加表!AM42</f>
        <v>-35733277.469999999</v>
      </c>
      <c r="AN17" s="26">
        <f>股权价值增加表!AN42</f>
        <v>-19545940.589999996</v>
      </c>
      <c r="AO17" s="26">
        <f>股权价值增加表!AO42</f>
        <v>-287177.33000000007</v>
      </c>
      <c r="AP17" s="26">
        <f>股权价值增加表!AP42</f>
        <v>-27615171.18</v>
      </c>
      <c r="AQ17" s="26">
        <f>股权价值增加表!AQ42</f>
        <v>-31120172.960000001</v>
      </c>
      <c r="AR17" s="26">
        <f>股权价值增加表!AR42</f>
        <v>-16785423.550000001</v>
      </c>
      <c r="AS17" s="26">
        <f>股权价值增加表!AS42</f>
        <v>0</v>
      </c>
      <c r="AT17" s="26">
        <f>股权价值增加表!AT42</f>
        <v>-106619839.65999997</v>
      </c>
      <c r="AU17" s="26">
        <f>股权价值增加表!AU42</f>
        <v>-72785587.700000018</v>
      </c>
      <c r="AV17" s="26">
        <f>股权价值增加表!AV42</f>
        <v>-23361350.959999997</v>
      </c>
      <c r="AW17" s="26">
        <f>股权价值增加表!AW42</f>
        <v>16493193.060000002</v>
      </c>
      <c r="AX17" s="26">
        <f>股权价值增加表!AX42</f>
        <v>23385217.719999984</v>
      </c>
      <c r="AY17" s="26">
        <f>股权价值增加表!AY42</f>
        <v>-1787194.7899999991</v>
      </c>
      <c r="AZ17" s="26">
        <f>股权价值增加表!AZ42</f>
        <v>-10916220.51</v>
      </c>
      <c r="BA17" s="26">
        <f>股权价值增加表!BA42</f>
        <v>-152691416.41</v>
      </c>
      <c r="BB17" s="26">
        <f>股权价值增加表!BB42</f>
        <v>-140598232.16999999</v>
      </c>
      <c r="BC17" s="26">
        <f>股权价值增加表!BC42</f>
        <v>-70267390.840000004</v>
      </c>
      <c r="BD17" s="26">
        <f>股权价值增加表!BD42</f>
        <v>-11610048.350000001</v>
      </c>
      <c r="BE17" s="26">
        <f>股权价值增加表!BE42</f>
        <v>-45811920.870000005</v>
      </c>
      <c r="BF17" s="26">
        <f>股权价值增加表!BF42</f>
        <v>-32869288.240000002</v>
      </c>
      <c r="BG17" s="26">
        <f>股权价值增加表!BG42</f>
        <v>-18208413.089999996</v>
      </c>
      <c r="BH17" s="26">
        <f>股权价值增加表!BH42</f>
        <v>-17425628.109999999</v>
      </c>
      <c r="BI17" s="26">
        <f>股权价值增加表!BI42</f>
        <v>-35340046.76000002</v>
      </c>
      <c r="BJ17" s="26">
        <f>股权价值增加表!BJ42</f>
        <v>3215018.0400000066</v>
      </c>
      <c r="BK17" s="26">
        <f>股权价值增加表!BK42</f>
        <v>14343451.069999993</v>
      </c>
      <c r="BL17" s="26">
        <f>股权价值增加表!BL42</f>
        <v>-13341328.849999998</v>
      </c>
      <c r="BM17" s="26">
        <f>股权价值增加表!BM42</f>
        <v>-70449845.280000001</v>
      </c>
      <c r="BN17" s="26">
        <f>股权价值增加表!BN42</f>
        <v>-39043200.889999986</v>
      </c>
      <c r="BO17" s="26">
        <f>股权价值增加表!BO42</f>
        <v>-21483611.610000007</v>
      </c>
      <c r="BP17" s="26">
        <f>股权价值增加表!BP42</f>
        <v>-10123473.469999999</v>
      </c>
      <c r="BQ17" s="26">
        <f>股权价值增加表!BQ42</f>
        <v>-71856244.340000004</v>
      </c>
      <c r="BR17" s="26">
        <f>股权价值增加表!BR42</f>
        <v>-13069490.830000006</v>
      </c>
      <c r="BS17" s="26">
        <f>股权价值增加表!BS42</f>
        <v>6434359.1299999952</v>
      </c>
      <c r="BT17" s="26">
        <f>股权价值增加表!BT42</f>
        <v>8349549.6600000039</v>
      </c>
      <c r="BU17" s="26">
        <f>股权价值增加表!BU42</f>
        <v>-48634244.549999997</v>
      </c>
      <c r="BV17" s="26">
        <f>股权价值增加表!BV42</f>
        <v>-53633082.609999999</v>
      </c>
      <c r="BW17" s="26">
        <f>股权价值增加表!BW42</f>
        <v>40758225.219999999</v>
      </c>
      <c r="BX17" s="26">
        <f>股权价值增加表!BX42</f>
        <v>-19842125.949999999</v>
      </c>
      <c r="BY17" s="26">
        <f>股权价值增加表!BY42</f>
        <v>12527909.500000004</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c r="A18" s="20" t="s">
        <v>506</v>
      </c>
      <c r="E18" s="28">
        <f>E14/E17</f>
        <v>1.4519855262723256</v>
      </c>
      <c r="F18" s="28">
        <f t="shared" ref="F18:BQ18" si="10">F14/F17</f>
        <v>1.3923393016223691</v>
      </c>
      <c r="G18" s="28">
        <f t="shared" si="10"/>
        <v>1.2277601717999718</v>
      </c>
      <c r="H18" s="28">
        <f t="shared" si="10"/>
        <v>-2.726808291735876</v>
      </c>
      <c r="I18" s="28">
        <f t="shared" si="10"/>
        <v>1.0877486721827352</v>
      </c>
      <c r="J18" s="28">
        <f t="shared" si="10"/>
        <v>0.24770805839483737</v>
      </c>
      <c r="K18" s="28">
        <f t="shared" si="10"/>
        <v>-8.6406894006981155E-4</v>
      </c>
      <c r="L18" s="28">
        <f t="shared" si="10"/>
        <v>-0.64259692170330018</v>
      </c>
      <c r="M18" s="28">
        <f t="shared" si="10"/>
        <v>0.94672323720166784</v>
      </c>
      <c r="N18" s="28">
        <f t="shared" si="10"/>
        <v>1.1965080508444199</v>
      </c>
      <c r="O18" s="28">
        <f t="shared" si="10"/>
        <v>0.91457906494615138</v>
      </c>
      <c r="P18" s="28">
        <f t="shared" si="10"/>
        <v>0.62713674914342699</v>
      </c>
      <c r="Q18" s="28">
        <f t="shared" si="10"/>
        <v>1.0760485179426871</v>
      </c>
      <c r="R18" s="28">
        <f t="shared" si="10"/>
        <v>0.64192457032097461</v>
      </c>
      <c r="S18" s="28" t="e">
        <f t="shared" si="10"/>
        <v>#DIV/0!</v>
      </c>
      <c r="T18" s="28">
        <f t="shared" si="10"/>
        <v>0</v>
      </c>
      <c r="U18" s="28">
        <f t="shared" si="10"/>
        <v>0</v>
      </c>
      <c r="V18" s="28">
        <f t="shared" si="10"/>
        <v>0</v>
      </c>
      <c r="W18" s="28">
        <f t="shared" si="10"/>
        <v>0</v>
      </c>
      <c r="X18" s="28">
        <f t="shared" si="10"/>
        <v>0</v>
      </c>
      <c r="Y18" s="28">
        <f t="shared" si="10"/>
        <v>0</v>
      </c>
      <c r="Z18" s="28">
        <f t="shared" si="10"/>
        <v>0</v>
      </c>
      <c r="AA18" s="28">
        <f t="shared" si="10"/>
        <v>0</v>
      </c>
      <c r="AB18" s="28">
        <f t="shared" si="10"/>
        <v>0</v>
      </c>
      <c r="AC18" s="28">
        <f t="shared" si="10"/>
        <v>0</v>
      </c>
      <c r="AD18" s="28">
        <f t="shared" si="10"/>
        <v>0</v>
      </c>
      <c r="AE18" s="28">
        <f t="shared" si="10"/>
        <v>0</v>
      </c>
      <c r="AF18" s="28">
        <f t="shared" si="10"/>
        <v>0</v>
      </c>
      <c r="AG18" s="28">
        <f t="shared" si="10"/>
        <v>0</v>
      </c>
      <c r="AH18" s="28">
        <f t="shared" si="10"/>
        <v>0</v>
      </c>
      <c r="AI18" s="28">
        <f t="shared" si="10"/>
        <v>0</v>
      </c>
      <c r="AJ18" s="28">
        <f t="shared" si="10"/>
        <v>0</v>
      </c>
      <c r="AK18" s="28">
        <f t="shared" si="10"/>
        <v>0</v>
      </c>
      <c r="AL18" s="28">
        <f t="shared" si="10"/>
        <v>0</v>
      </c>
      <c r="AM18" s="28">
        <f t="shared" si="10"/>
        <v>0</v>
      </c>
      <c r="AN18" s="28">
        <f t="shared" si="10"/>
        <v>0</v>
      </c>
      <c r="AO18" s="28">
        <f t="shared" si="10"/>
        <v>0</v>
      </c>
      <c r="AP18" s="28">
        <f t="shared" si="10"/>
        <v>0</v>
      </c>
      <c r="AQ18" s="28">
        <f t="shared" si="10"/>
        <v>0</v>
      </c>
      <c r="AR18" s="28">
        <f t="shared" si="10"/>
        <v>0</v>
      </c>
      <c r="AS18" s="28" t="e">
        <f t="shared" si="10"/>
        <v>#DIV/0!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c r="A19" s="17" t="s">
        <v>507</v>
      </c>
      <c r="E19" s="26">
        <f>现金流量表!E48</f>
        <v>915363.83999999997</v>
      </c>
      <c r="F19" s="26">
        <f>现金流量表!F48</f>
        <v>0</v>
      </c>
      <c r="G19" s="26">
        <f>现金流量表!G48</f>
        <v>830765.05</v>
      </c>
      <c r="H19" s="26">
        <f>现金流量表!H48</f>
        <v>0</v>
      </c>
      <c r="I19" s="26">
        <f>现金流量表!I48</f>
        <v>1464140.71</v>
      </c>
      <c r="J19" s="26">
        <f>现金流量表!J48</f>
        <v>0</v>
      </c>
      <c r="K19" s="26">
        <f>现金流量表!K48</f>
        <v>1508300.74</v>
      </c>
      <c r="L19" s="26">
        <f>现金流量表!L48</f>
        <v>0</v>
      </c>
      <c r="M19" s="26">
        <f>现金流量表!M48</f>
        <v>1510110.78</v>
      </c>
      <c r="N19" s="26">
        <f>现金流量表!N48</f>
        <v>0</v>
      </c>
      <c r="O19" s="26">
        <f>现金流量表!O48</f>
        <v>-30251.43</v>
      </c>
      <c r="P19" s="26">
        <f>现金流量表!P48</f>
        <v>2486104.23</v>
      </c>
      <c r="Q19" s="26">
        <f>现金流量表!Q48</f>
        <v>450900</v>
      </c>
      <c r="R19" s="26">
        <f>现金流量表!R48</f>
        <v>0</v>
      </c>
      <c r="S19" s="26">
        <f>现金流量表!S48</f>
        <v>0</v>
      </c>
      <c r="T19" s="26">
        <f>现金流量表!T48</f>
        <v>0</v>
      </c>
      <c r="U19" s="26">
        <f>现金流量表!U48</f>
        <v>0</v>
      </c>
      <c r="V19" s="26">
        <f>现金流量表!V48</f>
        <v>0</v>
      </c>
      <c r="W19" s="26">
        <f>现金流量表!W48</f>
        <v>0</v>
      </c>
      <c r="X19" s="26">
        <f>现金流量表!X48</f>
        <v>0</v>
      </c>
      <c r="Y19" s="26">
        <f>现金流量表!Y48</f>
        <v>0</v>
      </c>
      <c r="Z19" s="26">
        <f>现金流量表!Z48</f>
        <v>0</v>
      </c>
      <c r="AA19" s="26">
        <f>现金流量表!AA48</f>
        <v>0</v>
      </c>
      <c r="AB19" s="26">
        <f>现金流量表!AB48</f>
        <v>0</v>
      </c>
      <c r="AC19" s="26">
        <f>现金流量表!AC48</f>
        <v>0</v>
      </c>
      <c r="AD19" s="26">
        <f>现金流量表!AD48</f>
        <v>0</v>
      </c>
      <c r="AE19" s="26">
        <f>现金流量表!AE48</f>
        <v>0</v>
      </c>
      <c r="AF19" s="26">
        <f>现金流量表!AF48</f>
        <v>0</v>
      </c>
      <c r="AG19" s="26">
        <f>现金流量表!AG48</f>
        <v>0</v>
      </c>
      <c r="AH19" s="26">
        <f>现金流量表!AH48</f>
        <v>0</v>
      </c>
      <c r="AI19" s="26">
        <f>现金流量表!AI48</f>
        <v>0</v>
      </c>
      <c r="AJ19" s="26">
        <f>现金流量表!AJ48</f>
        <v>0</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508</v>
      </c>
      <c r="E20" s="26">
        <f>现金流量表!E49</f>
        <v>1582152.92</v>
      </c>
      <c r="F20" s="26">
        <f>现金流量表!F49</f>
        <v>0</v>
      </c>
      <c r="G20" s="26">
        <f>现金流量表!G49</f>
        <v>759294.41</v>
      </c>
      <c r="H20" s="26">
        <f>现金流量表!H49</f>
        <v>0</v>
      </c>
      <c r="I20" s="26">
        <f>现金流量表!I49</f>
        <v>1494372.54</v>
      </c>
      <c r="J20" s="26">
        <f>现金流量表!J49</f>
        <v>0</v>
      </c>
      <c r="K20" s="26">
        <f>现金流量表!K49</f>
        <v>749552.73</v>
      </c>
      <c r="L20" s="26">
        <f>现金流量表!L49</f>
        <v>0</v>
      </c>
      <c r="M20" s="26">
        <f>现金流量表!M49</f>
        <v>1558046.33</v>
      </c>
      <c r="N20" s="26">
        <f>现金流量表!N49</f>
        <v>0</v>
      </c>
      <c r="O20" s="26">
        <f>现金流量表!O49</f>
        <v>1534397.08</v>
      </c>
      <c r="P20" s="26">
        <f>现金流量表!P49</f>
        <v>1385958.51</v>
      </c>
      <c r="Q20" s="26">
        <f>现金流量表!Q49</f>
        <v>844800</v>
      </c>
      <c r="R20" s="26">
        <f>现金流量表!R49</f>
        <v>0</v>
      </c>
      <c r="S20" s="26">
        <f>现金流量表!S49</f>
        <v>0</v>
      </c>
      <c r="T20" s="26">
        <f>现金流量表!T49</f>
        <v>0</v>
      </c>
      <c r="U20" s="26">
        <f>现金流量表!U49</f>
        <v>0</v>
      </c>
      <c r="V20" s="26">
        <f>现金流量表!V49</f>
        <v>0</v>
      </c>
      <c r="W20" s="26">
        <f>现金流量表!W49</f>
        <v>0</v>
      </c>
      <c r="X20" s="26">
        <f>现金流量表!X49</f>
        <v>0</v>
      </c>
      <c r="Y20" s="26">
        <f>现金流量表!Y49</f>
        <v>0</v>
      </c>
      <c r="Z20" s="26">
        <f>现金流量表!Z49</f>
        <v>0</v>
      </c>
      <c r="AA20" s="26">
        <f>现金流量表!AA49</f>
        <v>0</v>
      </c>
      <c r="AB20" s="26">
        <f>现金流量表!AB49</f>
        <v>0</v>
      </c>
      <c r="AC20" s="26">
        <f>现金流量表!AC49</f>
        <v>0</v>
      </c>
      <c r="AD20" s="26">
        <f>现金流量表!AD49</f>
        <v>0</v>
      </c>
      <c r="AE20" s="26">
        <f>现金流量表!AE49</f>
        <v>0</v>
      </c>
      <c r="AF20" s="26">
        <f>现金流量表!AF49</f>
        <v>0</v>
      </c>
      <c r="AG20" s="26">
        <f>现金流量表!AG49</f>
        <v>0</v>
      </c>
      <c r="AH20" s="26">
        <f>现金流量表!AH49</f>
        <v>0</v>
      </c>
      <c r="AI20" s="26">
        <f>现金流量表!AI49</f>
        <v>0</v>
      </c>
      <c r="AJ20" s="26">
        <f>现金流量表!AJ49</f>
        <v>0</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509</v>
      </c>
      <c r="E21" s="26">
        <f>现金流量表!E50</f>
        <v>3124889.66</v>
      </c>
      <c r="F21" s="26">
        <f>现金流量表!F50</f>
        <v>0</v>
      </c>
      <c r="G21" s="26">
        <f>现金流量表!G50</f>
        <v>1442989.68</v>
      </c>
      <c r="H21" s="26">
        <f>现金流量表!H50</f>
        <v>0</v>
      </c>
      <c r="I21" s="26">
        <f>现金流量表!I50</f>
        <v>611128.18999999994</v>
      </c>
      <c r="J21" s="26">
        <f>现金流量表!J50</f>
        <v>0</v>
      </c>
      <c r="K21" s="26">
        <f>现金流量表!K50</f>
        <v>191744.36</v>
      </c>
      <c r="L21" s="26">
        <f>现金流量表!L50</f>
        <v>0</v>
      </c>
      <c r="M21" s="26">
        <f>现金流量表!M50</f>
        <v>381877.92</v>
      </c>
      <c r="N21" s="26">
        <f>现金流量表!N50</f>
        <v>0</v>
      </c>
      <c r="O21" s="26">
        <f>现金流量表!O50</f>
        <v>372476.24</v>
      </c>
      <c r="P21" s="26">
        <f>现金流量表!P50</f>
        <v>262583.09000000003</v>
      </c>
      <c r="Q21" s="26">
        <f>现金流量表!Q50</f>
        <v>27400</v>
      </c>
      <c r="R21" s="26">
        <f>现金流量表!R50</f>
        <v>0</v>
      </c>
      <c r="S21" s="26">
        <f>现金流量表!S50</f>
        <v>0</v>
      </c>
      <c r="T21" s="26">
        <f>现金流量表!T50</f>
        <v>0</v>
      </c>
      <c r="U21" s="26">
        <f>现金流量表!U50</f>
        <v>0</v>
      </c>
      <c r="V21" s="26">
        <f>现金流量表!V50</f>
        <v>0</v>
      </c>
      <c r="W21" s="26">
        <f>现金流量表!W50</f>
        <v>0</v>
      </c>
      <c r="X21" s="26">
        <f>现金流量表!X50</f>
        <v>0</v>
      </c>
      <c r="Y21" s="26">
        <f>现金流量表!Y50</f>
        <v>0</v>
      </c>
      <c r="Z21" s="26">
        <f>现金流量表!Z50</f>
        <v>0</v>
      </c>
      <c r="AA21" s="26">
        <f>现金流量表!AA50</f>
        <v>0</v>
      </c>
      <c r="AB21" s="26">
        <f>现金流量表!AB50</f>
        <v>0</v>
      </c>
      <c r="AC21" s="26">
        <f>现金流量表!AC50</f>
        <v>0</v>
      </c>
      <c r="AD21" s="26">
        <f>现金流量表!AD50</f>
        <v>0</v>
      </c>
      <c r="AE21" s="26">
        <f>现金流量表!AE50</f>
        <v>0</v>
      </c>
      <c r="AF21" s="26">
        <f>现金流量表!AF50</f>
        <v>0</v>
      </c>
      <c r="AG21" s="26">
        <f>现金流量表!AG50</f>
        <v>0</v>
      </c>
      <c r="AH21" s="26">
        <f>现金流量表!AH50</f>
        <v>0</v>
      </c>
      <c r="AI21" s="26">
        <f>现金流量表!AI50</f>
        <v>0</v>
      </c>
      <c r="AJ21" s="26">
        <f>现金流量表!AJ50</f>
        <v>0</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510</v>
      </c>
      <c r="E22" s="26">
        <f>现金流量表!E51</f>
        <v>0</v>
      </c>
      <c r="F22" s="26">
        <f>现金流量表!F51</f>
        <v>0</v>
      </c>
      <c r="G22" s="26">
        <f>现金流量表!G51</f>
        <v>0</v>
      </c>
      <c r="H22" s="26">
        <f>现金流量表!H51</f>
        <v>0</v>
      </c>
      <c r="I22" s="26">
        <f>现金流量表!I51</f>
        <v>0</v>
      </c>
      <c r="J22" s="26">
        <f>现金流量表!J51</f>
        <v>0</v>
      </c>
      <c r="K22" s="26">
        <f>现金流量表!K51</f>
        <v>0</v>
      </c>
      <c r="L22" s="26">
        <f>现金流量表!L51</f>
        <v>0</v>
      </c>
      <c r="M22" s="26">
        <f>现金流量表!M51</f>
        <v>0</v>
      </c>
      <c r="N22" s="26">
        <f>现金流量表!N51</f>
        <v>0</v>
      </c>
      <c r="O22" s="26">
        <f>现金流量表!O51</f>
        <v>0</v>
      </c>
      <c r="P22" s="26">
        <f>现金流量表!P51</f>
        <v>0</v>
      </c>
      <c r="Q22" s="26">
        <f>现金流量表!Q51</f>
        <v>0</v>
      </c>
      <c r="R22" s="26">
        <f>现金流量表!R51</f>
        <v>0</v>
      </c>
      <c r="S22" s="26">
        <f>现金流量表!S51</f>
        <v>0</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511</v>
      </c>
      <c r="E23" s="26">
        <f>现金流量表!E54</f>
        <v>-23240.42</v>
      </c>
      <c r="F23" s="26">
        <f>现金流量表!F54</f>
        <v>0</v>
      </c>
      <c r="G23" s="26">
        <f>现金流量表!G54</f>
        <v>0</v>
      </c>
      <c r="H23" s="26">
        <f>现金流量表!H54</f>
        <v>0</v>
      </c>
      <c r="I23" s="26">
        <f>现金流量表!I54</f>
        <v>0</v>
      </c>
      <c r="J23" s="26">
        <f>现金流量表!J54</f>
        <v>0</v>
      </c>
      <c r="K23" s="26">
        <f>现金流量表!K54</f>
        <v>0</v>
      </c>
      <c r="L23" s="26">
        <f>现金流量表!L54</f>
        <v>0</v>
      </c>
      <c r="M23" s="26">
        <f>现金流量表!M54</f>
        <v>62000.1</v>
      </c>
      <c r="N23" s="26">
        <f>现金流量表!N54</f>
        <v>0</v>
      </c>
      <c r="O23" s="26">
        <f>现金流量表!O54</f>
        <v>0</v>
      </c>
      <c r="P23" s="26">
        <f>现金流量表!P54</f>
        <v>0</v>
      </c>
      <c r="Q23" s="26">
        <f>现金流量表!Q54</f>
        <v>600</v>
      </c>
      <c r="R23" s="26">
        <f>现金流量表!R54</f>
        <v>0</v>
      </c>
      <c r="S23" s="26">
        <f>现金流量表!S54</f>
        <v>0</v>
      </c>
      <c r="T23" s="26">
        <f>现金流量表!T54</f>
        <v>0</v>
      </c>
      <c r="U23" s="26">
        <f>现金流量表!U54</f>
        <v>0</v>
      </c>
      <c r="V23" s="26">
        <f>现金流量表!V54</f>
        <v>0</v>
      </c>
      <c r="W23" s="26">
        <f>现金流量表!W54</f>
        <v>0</v>
      </c>
      <c r="X23" s="26">
        <f>现金流量表!X54</f>
        <v>0</v>
      </c>
      <c r="Y23" s="26">
        <f>现金流量表!Y54</f>
        <v>0</v>
      </c>
      <c r="Z23" s="26">
        <f>现金流量表!Z54</f>
        <v>0</v>
      </c>
      <c r="AA23" s="26">
        <f>现金流量表!AA54</f>
        <v>0</v>
      </c>
      <c r="AB23" s="26">
        <f>现金流量表!AB54</f>
        <v>0</v>
      </c>
      <c r="AC23" s="26">
        <f>现金流量表!AC54</f>
        <v>0</v>
      </c>
      <c r="AD23" s="26">
        <f>现金流量表!AD54</f>
        <v>0</v>
      </c>
      <c r="AE23" s="26">
        <f>现金流量表!AE54</f>
        <v>0</v>
      </c>
      <c r="AF23" s="26">
        <f>现金流量表!AF54</f>
        <v>0</v>
      </c>
      <c r="AG23" s="26">
        <f>现金流量表!AG54</f>
        <v>0</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512</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513</v>
      </c>
      <c r="E25" s="28">
        <f>SUM(E19:E24)</f>
        <v>5599166</v>
      </c>
      <c r="F25" s="28">
        <f t="shared" ref="F25:BQ25" si="12">SUM(F19:F24)</f>
        <v>0</v>
      </c>
      <c r="G25" s="28">
        <f t="shared" si="12"/>
        <v>3033049.1399999997</v>
      </c>
      <c r="H25" s="28">
        <f t="shared" si="12"/>
        <v>0</v>
      </c>
      <c r="I25" s="28">
        <f t="shared" si="12"/>
        <v>3569641.44</v>
      </c>
      <c r="J25" s="28">
        <f t="shared" si="12"/>
        <v>0</v>
      </c>
      <c r="K25" s="28">
        <f t="shared" si="12"/>
        <v>2449597.8299999996</v>
      </c>
      <c r="L25" s="28">
        <f t="shared" si="12"/>
        <v>0</v>
      </c>
      <c r="M25" s="28">
        <f t="shared" si="12"/>
        <v>3512035.1300000004</v>
      </c>
      <c r="N25" s="28">
        <f t="shared" si="12"/>
        <v>0</v>
      </c>
      <c r="O25" s="28">
        <f t="shared" si="12"/>
        <v>1876621.8900000001</v>
      </c>
      <c r="P25" s="28">
        <f t="shared" si="12"/>
        <v>4134645.83</v>
      </c>
      <c r="Q25" s="28">
        <f t="shared" si="12"/>
        <v>1323700</v>
      </c>
      <c r="R25" s="28">
        <f t="shared" si="12"/>
        <v>0</v>
      </c>
      <c r="S25" s="28">
        <f t="shared" si="12"/>
        <v>0</v>
      </c>
      <c r="T25" s="28">
        <f t="shared" si="12"/>
        <v>0</v>
      </c>
      <c r="U25" s="28">
        <f t="shared" si="12"/>
        <v>0</v>
      </c>
      <c r="V25" s="28">
        <f t="shared" si="12"/>
        <v>0</v>
      </c>
      <c r="W25" s="28">
        <f t="shared" si="12"/>
        <v>0</v>
      </c>
      <c r="X25" s="28">
        <f t="shared" si="12"/>
        <v>0</v>
      </c>
      <c r="Y25" s="28">
        <f t="shared" si="12"/>
        <v>0</v>
      </c>
      <c r="Z25" s="28">
        <f t="shared" si="12"/>
        <v>0</v>
      </c>
      <c r="AA25" s="28">
        <f t="shared" si="12"/>
        <v>0</v>
      </c>
      <c r="AB25" s="28">
        <f t="shared" si="12"/>
        <v>0</v>
      </c>
      <c r="AC25" s="28">
        <f t="shared" si="12"/>
        <v>0</v>
      </c>
      <c r="AD25" s="28">
        <f t="shared" si="12"/>
        <v>0</v>
      </c>
      <c r="AE25" s="28">
        <f t="shared" si="12"/>
        <v>0</v>
      </c>
      <c r="AF25" s="28">
        <f t="shared" si="12"/>
        <v>0</v>
      </c>
      <c r="AG25" s="28">
        <f t="shared" si="12"/>
        <v>0</v>
      </c>
      <c r="AH25" s="28">
        <f t="shared" si="12"/>
        <v>0</v>
      </c>
      <c r="AI25" s="28">
        <f t="shared" si="12"/>
        <v>0</v>
      </c>
      <c r="AJ25" s="28">
        <f t="shared" si="12"/>
        <v>0</v>
      </c>
      <c r="AK25" s="28">
        <f t="shared" si="12"/>
        <v>0</v>
      </c>
      <c r="AL25" s="28">
        <f t="shared" si="12"/>
        <v>0</v>
      </c>
      <c r="AM25" s="28">
        <f t="shared" si="12"/>
        <v>0</v>
      </c>
      <c r="AN25" s="28">
        <f t="shared" si="12"/>
        <v>0</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c r="A26" s="20" t="s">
        <v>514</v>
      </c>
      <c r="E26" s="28">
        <f>E14-E25</f>
        <v>81837054.879999995</v>
      </c>
      <c r="F26" s="28">
        <f t="shared" ref="F26:BQ26" si="14">F14-F25</f>
        <v>44430363.68</v>
      </c>
      <c r="G26" s="28">
        <f t="shared" si="14"/>
        <v>21223899.759999998</v>
      </c>
      <c r="H26" s="28">
        <f t="shared" si="14"/>
        <v>-4803632.99</v>
      </c>
      <c r="I26" s="28">
        <f t="shared" si="14"/>
        <v>63606313.379999995</v>
      </c>
      <c r="J26" s="28">
        <f t="shared" si="14"/>
        <v>9880850.3900000006</v>
      </c>
      <c r="K26" s="28">
        <f t="shared" si="14"/>
        <v>-2475219.4499999997</v>
      </c>
      <c r="L26" s="28">
        <f t="shared" si="14"/>
        <v>-3837841.01</v>
      </c>
      <c r="M26" s="28">
        <f t="shared" si="14"/>
        <v>50847726.699999996</v>
      </c>
      <c r="N26" s="28">
        <f t="shared" si="14"/>
        <v>49422045.369999997</v>
      </c>
      <c r="O26" s="28">
        <f t="shared" si="14"/>
        <v>64007085.390000001</v>
      </c>
      <c r="P26" s="28">
        <f t="shared" si="14"/>
        <v>46143693.539999999</v>
      </c>
      <c r="Q26" s="28">
        <f t="shared" si="14"/>
        <v>71951143.280000001</v>
      </c>
      <c r="R26" s="28">
        <f t="shared" si="14"/>
        <v>17194183.879999999</v>
      </c>
      <c r="S26" s="28">
        <f t="shared" si="14"/>
        <v>0</v>
      </c>
      <c r="T26" s="28">
        <f t="shared" si="14"/>
        <v>0</v>
      </c>
      <c r="U26" s="28">
        <f t="shared" si="14"/>
        <v>0</v>
      </c>
      <c r="V26" s="28">
        <f t="shared" si="14"/>
        <v>0</v>
      </c>
      <c r="W26" s="28">
        <f t="shared" si="14"/>
        <v>0</v>
      </c>
      <c r="X26" s="28">
        <f t="shared" si="14"/>
        <v>0</v>
      </c>
      <c r="Y26" s="28">
        <f t="shared" si="14"/>
        <v>0</v>
      </c>
      <c r="Z26" s="28">
        <f t="shared" si="14"/>
        <v>0</v>
      </c>
      <c r="AA26" s="28">
        <f t="shared" si="14"/>
        <v>0</v>
      </c>
      <c r="AB26" s="28">
        <f t="shared" si="14"/>
        <v>0</v>
      </c>
      <c r="AC26" s="28">
        <f t="shared" si="14"/>
        <v>0</v>
      </c>
      <c r="AD26" s="28">
        <f t="shared" si="14"/>
        <v>0</v>
      </c>
      <c r="AE26" s="28">
        <f t="shared" si="14"/>
        <v>0</v>
      </c>
      <c r="AF26" s="28">
        <f t="shared" si="14"/>
        <v>0</v>
      </c>
      <c r="AG26" s="28">
        <f t="shared" si="14"/>
        <v>0</v>
      </c>
      <c r="AH26" s="28">
        <f t="shared" si="14"/>
        <v>0</v>
      </c>
      <c r="AI26" s="28">
        <f t="shared" si="14"/>
        <v>0</v>
      </c>
      <c r="AJ26" s="28">
        <f t="shared" si="14"/>
        <v>0</v>
      </c>
      <c r="AK26" s="28">
        <f t="shared" si="14"/>
        <v>0</v>
      </c>
      <c r="AL26" s="28">
        <f t="shared" si="14"/>
        <v>0</v>
      </c>
      <c r="AM26" s="28">
        <f t="shared" si="14"/>
        <v>0</v>
      </c>
      <c r="AN26" s="28">
        <f t="shared" si="14"/>
        <v>0</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c r="A27" s="17" t="s">
        <v>515</v>
      </c>
      <c r="E27" s="26">
        <f>E26-E24</f>
        <v>81837054.879999995</v>
      </c>
      <c r="F27" s="26">
        <f t="shared" ref="F27:BQ27" si="16">F26-F24</f>
        <v>44430363.68</v>
      </c>
      <c r="G27" s="26">
        <f t="shared" si="16"/>
        <v>21223899.759999998</v>
      </c>
      <c r="H27" s="26">
        <f t="shared" si="16"/>
        <v>-4803632.99</v>
      </c>
      <c r="I27" s="26">
        <f t="shared" si="16"/>
        <v>63606313.379999995</v>
      </c>
      <c r="J27" s="26">
        <f t="shared" si="16"/>
        <v>9880850.3900000006</v>
      </c>
      <c r="K27" s="26">
        <f t="shared" si="16"/>
        <v>-2475219.4499999997</v>
      </c>
      <c r="L27" s="26">
        <f t="shared" si="16"/>
        <v>-3837841.01</v>
      </c>
      <c r="M27" s="26">
        <f t="shared" si="16"/>
        <v>50847726.699999996</v>
      </c>
      <c r="N27" s="26">
        <f t="shared" si="16"/>
        <v>49422045.369999997</v>
      </c>
      <c r="O27" s="26">
        <f t="shared" si="16"/>
        <v>64007085.390000001</v>
      </c>
      <c r="P27" s="26">
        <f t="shared" si="16"/>
        <v>46143693.539999999</v>
      </c>
      <c r="Q27" s="26">
        <f t="shared" si="16"/>
        <v>71951143.280000001</v>
      </c>
      <c r="R27" s="26">
        <f t="shared" si="16"/>
        <v>17194183.879999999</v>
      </c>
      <c r="S27" s="26">
        <f t="shared" si="16"/>
        <v>0</v>
      </c>
      <c r="T27" s="26">
        <f t="shared" si="16"/>
        <v>0</v>
      </c>
      <c r="U27" s="26">
        <f t="shared" si="16"/>
        <v>0</v>
      </c>
      <c r="V27" s="26">
        <f t="shared" si="16"/>
        <v>0</v>
      </c>
      <c r="W27" s="26">
        <f t="shared" si="16"/>
        <v>0</v>
      </c>
      <c r="X27" s="26">
        <f t="shared" si="16"/>
        <v>0</v>
      </c>
      <c r="Y27" s="26">
        <f t="shared" si="16"/>
        <v>0</v>
      </c>
      <c r="Z27" s="26">
        <f t="shared" si="16"/>
        <v>0</v>
      </c>
      <c r="AA27" s="26">
        <f t="shared" si="16"/>
        <v>0</v>
      </c>
      <c r="AB27" s="26">
        <f t="shared" si="16"/>
        <v>0</v>
      </c>
      <c r="AC27" s="26">
        <f t="shared" si="16"/>
        <v>0</v>
      </c>
      <c r="AD27" s="26">
        <f t="shared" si="16"/>
        <v>0</v>
      </c>
      <c r="AE27" s="26">
        <f t="shared" si="16"/>
        <v>0</v>
      </c>
      <c r="AF27" s="26">
        <f t="shared" si="16"/>
        <v>0</v>
      </c>
      <c r="AG27" s="26">
        <f t="shared" si="16"/>
        <v>0</v>
      </c>
      <c r="AH27" s="26">
        <f t="shared" si="16"/>
        <v>0</v>
      </c>
      <c r="AI27" s="26">
        <f t="shared" si="16"/>
        <v>0</v>
      </c>
      <c r="AJ27" s="26">
        <f t="shared" si="16"/>
        <v>0</v>
      </c>
      <c r="AK27" s="26">
        <f t="shared" si="16"/>
        <v>0</v>
      </c>
      <c r="AL27" s="26">
        <f t="shared" si="16"/>
        <v>0</v>
      </c>
      <c r="AM27" s="26">
        <f t="shared" si="16"/>
        <v>0</v>
      </c>
      <c r="AN27" s="26">
        <f t="shared" si="16"/>
        <v>0</v>
      </c>
      <c r="AO27" s="26">
        <f t="shared" si="16"/>
        <v>0</v>
      </c>
      <c r="AP27" s="26">
        <f t="shared" si="16"/>
        <v>0</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c r="A28" s="17" t="s">
        <v>516</v>
      </c>
      <c r="E28" s="63">
        <f>(E27-I27)/I27</f>
        <v>0.28661842718481417</v>
      </c>
      <c r="F28" s="63">
        <f t="shared" ref="F28:BQ28" si="18">(F27-J27)/J27</f>
        <v>3.4966133405851516</v>
      </c>
      <c r="G28" s="63">
        <f t="shared" si="18"/>
        <v>-9.5745527573322846</v>
      </c>
      <c r="H28" s="63">
        <f t="shared" si="18"/>
        <v>0.2516498149567693</v>
      </c>
      <c r="I28" s="63">
        <f t="shared" si="18"/>
        <v>0.25091754357624019</v>
      </c>
      <c r="J28" s="63">
        <f t="shared" si="18"/>
        <v>-0.8000720060040688</v>
      </c>
      <c r="K28" s="63">
        <f t="shared" si="18"/>
        <v>-1.0386710226675422</v>
      </c>
      <c r="L28" s="63">
        <f t="shared" si="18"/>
        <v>-1.0831715173964811</v>
      </c>
      <c r="M28" s="63">
        <f t="shared" si="18"/>
        <v>-0.29330203271232863</v>
      </c>
      <c r="N28" s="63">
        <f t="shared" si="18"/>
        <v>1.8743466811173826</v>
      </c>
      <c r="O28" s="63" t="e">
        <f t="shared" si="18"/>
        <v>#DIV/0!</v>
      </c>
      <c r="P28" s="63" t="e">
        <f t="shared" si="18"/>
        <v>#DIV/0!</v>
      </c>
      <c r="Q28" s="63" t="e">
        <f t="shared" si="18"/>
        <v>#DIV/0!</v>
      </c>
      <c r="R28" s="63" t="e">
        <f t="shared" si="18"/>
        <v>#DIV/0!</v>
      </c>
      <c r="S28" s="63" t="e">
        <f t="shared" si="18"/>
        <v>#DIV/0!</v>
      </c>
      <c r="T28" s="63" t="e">
        <f t="shared" si="18"/>
        <v>#DIV/0!</v>
      </c>
      <c r="U28" s="63" t="e">
        <f t="shared" si="18"/>
        <v>#DIV/0!</v>
      </c>
      <c r="V28" s="63" t="e">
        <f t="shared" si="18"/>
        <v>#DIV/0!</v>
      </c>
      <c r="W28" s="63" t="e">
        <f t="shared" si="18"/>
        <v>#DIV/0!</v>
      </c>
      <c r="X28" s="63" t="e">
        <f t="shared" si="18"/>
        <v>#DIV/0!</v>
      </c>
      <c r="Y28" s="63" t="e">
        <f t="shared" si="18"/>
        <v>#DIV/0!</v>
      </c>
      <c r="Z28" s="63" t="e">
        <f t="shared" si="18"/>
        <v>#DIV/0!</v>
      </c>
      <c r="AA28" s="63" t="e">
        <f t="shared" si="18"/>
        <v>#DIV/0!</v>
      </c>
      <c r="AB28" s="63" t="e">
        <f t="shared" si="18"/>
        <v>#DIV/0!</v>
      </c>
      <c r="AC28" s="63" t="e">
        <f t="shared" si="18"/>
        <v>#DIV/0!</v>
      </c>
      <c r="AD28" s="63" t="e">
        <f t="shared" si="18"/>
        <v>#DIV/0!</v>
      </c>
      <c r="AE28" s="63" t="e">
        <f t="shared" si="18"/>
        <v>#DIV/0!</v>
      </c>
      <c r="AF28" s="63" t="e">
        <f t="shared" si="18"/>
        <v>#DIV/0!</v>
      </c>
      <c r="AG28" s="63" t="e">
        <f t="shared" si="18"/>
        <v>#DIV/0!</v>
      </c>
      <c r="AH28" s="63" t="e">
        <f t="shared" si="18"/>
        <v>#DIV/0!</v>
      </c>
      <c r="AI28" s="63" t="e">
        <f t="shared" si="18"/>
        <v>#DIV/0!</v>
      </c>
      <c r="AJ28" s="63" t="e">
        <f t="shared" si="18"/>
        <v>#DIV/0!</v>
      </c>
      <c r="AK28" s="63" t="e">
        <f t="shared" si="18"/>
        <v>#DIV/0!</v>
      </c>
      <c r="AL28" s="63" t="e">
        <f t="shared" si="18"/>
        <v>#DIV/0!</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71.25" customHeight="1">
      <c r="A29" s="235" t="s">
        <v>658</v>
      </c>
      <c r="B29" s="236"/>
      <c r="C29" s="236"/>
      <c r="D29" s="236"/>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36"/>
      <c r="AC29" s="236"/>
    </row>
    <row r="30" spans="1:90">
      <c r="A30" s="113" t="s">
        <v>575</v>
      </c>
      <c r="B30" s="96"/>
      <c r="C30" s="96"/>
      <c r="D30" s="96"/>
      <c r="E30" s="96" t="s">
        <v>574</v>
      </c>
      <c r="F30" s="96"/>
      <c r="G30" s="96"/>
      <c r="H30" s="96"/>
      <c r="I30" s="96" t="s">
        <v>609</v>
      </c>
      <c r="M30" s="96" t="s">
        <v>576</v>
      </c>
      <c r="Q30" s="117" t="s">
        <v>615</v>
      </c>
      <c r="R30" s="117"/>
      <c r="S30" s="117"/>
      <c r="T30" s="117"/>
      <c r="U30" s="117" t="s">
        <v>612</v>
      </c>
      <c r="V30" s="117"/>
      <c r="W30" s="117"/>
      <c r="X30" s="117"/>
      <c r="Y30" s="117" t="s">
        <v>613</v>
      </c>
      <c r="Z30" s="117"/>
      <c r="AA30" s="117"/>
      <c r="AB30" s="117"/>
      <c r="AC30" s="117" t="s">
        <v>614</v>
      </c>
    </row>
    <row r="31" spans="1:90" s="63" customFormat="1">
      <c r="A31" s="113" t="s">
        <v>577</v>
      </c>
      <c r="B31" s="114"/>
      <c r="C31" s="114"/>
      <c r="D31" s="114"/>
      <c r="E31" s="114" t="e">
        <f>POWER(E27/U27,1/5)-1</f>
        <v>#DIV/0!</v>
      </c>
      <c r="F31" s="114"/>
      <c r="G31" s="114"/>
      <c r="H31" s="114"/>
      <c r="I31" s="114" t="e">
        <f>POWER(E27/Y27,1/6)-1</f>
        <v>#DIV/0!</v>
      </c>
      <c r="M31" s="114" t="e">
        <f>POWER(E27/AC27,1/7)-1</f>
        <v>#DIV/0!</v>
      </c>
      <c r="Q31" s="118" t="s">
        <v>611</v>
      </c>
      <c r="R31" s="118"/>
      <c r="S31" s="118"/>
      <c r="T31" s="118"/>
      <c r="U31" s="118" t="e">
        <f>POWER(E14/U14,1/5)-1</f>
        <v>#DIV/0!</v>
      </c>
      <c r="V31" s="118"/>
      <c r="W31" s="118"/>
      <c r="X31" s="118"/>
      <c r="Y31" s="118" t="e">
        <f>POWER(E14/Y14,1/6)-1</f>
        <v>#DIV/0!</v>
      </c>
      <c r="Z31" s="118"/>
      <c r="AA31" s="118"/>
      <c r="AB31" s="118"/>
      <c r="AC31" s="118" t="e">
        <f>POWER(E14/AC14,1/7)-1</f>
        <v>#DIV/0!</v>
      </c>
    </row>
    <row r="32" spans="1:90" s="66" customFormat="1">
      <c r="A32" s="46" t="s">
        <v>518</v>
      </c>
      <c r="E32" s="66">
        <v>0.17</v>
      </c>
    </row>
    <row r="39" spans="1:1" ht="40.5">
      <c r="A39" s="67" t="s">
        <v>519</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71"/>
  <sheetViews>
    <sheetView tabSelected="1" topLeftCell="A34" workbookViewId="0">
      <selection activeCell="S41" sqref="S41"/>
    </sheetView>
  </sheetViews>
  <sheetFormatPr defaultRowHeight="13.5"/>
  <cols>
    <col min="1" max="1" width="42.5" style="17" bestFit="1" customWidth="1"/>
    <col min="2" max="2" width="22" style="26" bestFit="1" customWidth="1"/>
    <col min="3" max="3" width="37.125" bestFit="1" customWidth="1"/>
    <col min="4" max="4" width="16.125" bestFit="1" customWidth="1"/>
    <col min="5" max="8" width="17.25" bestFit="1" customWidth="1"/>
    <col min="9" max="9" width="19.375" bestFit="1" customWidth="1"/>
    <col min="10" max="11" width="15" bestFit="1" customWidth="1"/>
    <col min="12" max="12" width="38.25" bestFit="1" customWidth="1"/>
    <col min="13" max="18" width="15" bestFit="1" customWidth="1"/>
    <col min="19" max="19" width="19.375" bestFit="1" customWidth="1"/>
    <col min="20" max="74" width="9.5" bestFit="1" customWidth="1"/>
  </cols>
  <sheetData>
    <row r="1" spans="1:10">
      <c r="A1" s="68" t="s">
        <v>520</v>
      </c>
      <c r="B1" s="69">
        <f>自由现金流分析表!E1</f>
        <v>43100</v>
      </c>
    </row>
    <row r="2" spans="1:10">
      <c r="A2" s="70" t="s">
        <v>521</v>
      </c>
      <c r="B2" s="71">
        <f>自由现金流分析表!E27</f>
        <v>81837054.879999995</v>
      </c>
      <c r="C2" t="s">
        <v>554</v>
      </c>
    </row>
    <row r="3" spans="1:10" s="63" customFormat="1">
      <c r="A3" s="72" t="s">
        <v>522</v>
      </c>
      <c r="B3" s="98">
        <v>0</v>
      </c>
    </row>
    <row r="4" spans="1:10" s="63" customFormat="1">
      <c r="A4" s="72" t="s">
        <v>523</v>
      </c>
      <c r="B4" s="98">
        <v>0.08</v>
      </c>
      <c r="F4" s="23"/>
    </row>
    <row r="5" spans="1:10">
      <c r="A5" s="70" t="s">
        <v>524</v>
      </c>
      <c r="B5" s="71">
        <f>B2*(1+B3)/(B4-B3)</f>
        <v>1022963185.9999999</v>
      </c>
    </row>
    <row r="6" spans="1:10">
      <c r="A6" s="70" t="s">
        <v>525</v>
      </c>
      <c r="B6" s="71">
        <f>资产资本表!E17</f>
        <v>462619726.81</v>
      </c>
    </row>
    <row r="7" spans="1:10">
      <c r="A7" s="70" t="s">
        <v>526</v>
      </c>
      <c r="B7" s="71">
        <f>资产资本表!E19</f>
        <v>0</v>
      </c>
    </row>
    <row r="8" spans="1:10">
      <c r="A8" s="70" t="s">
        <v>527</v>
      </c>
      <c r="B8" s="71">
        <f>资产资本表!E89</f>
        <v>0</v>
      </c>
    </row>
    <row r="9" spans="1:10">
      <c r="A9" s="70" t="s">
        <v>528</v>
      </c>
      <c r="B9" s="71">
        <f>B5+B6+B7-B8</f>
        <v>1485582912.8099999</v>
      </c>
    </row>
    <row r="10" spans="1:10">
      <c r="A10" s="70" t="s">
        <v>529</v>
      </c>
      <c r="B10" s="73">
        <f>资产资本表!E103/资产资本表!E107</f>
        <v>5.5827418469095925E-2</v>
      </c>
    </row>
    <row r="11" spans="1:10">
      <c r="A11" s="70" t="s">
        <v>555</v>
      </c>
      <c r="B11" s="71">
        <f>B9*(1-B10)</f>
        <v>1402646653.8660176</v>
      </c>
    </row>
    <row r="12" spans="1:10">
      <c r="A12" s="70" t="s">
        <v>530</v>
      </c>
      <c r="B12" s="102">
        <f>B55</f>
        <v>139524600</v>
      </c>
    </row>
    <row r="13" spans="1:10" ht="14.25" thickBot="1">
      <c r="A13" s="74" t="s">
        <v>531</v>
      </c>
      <c r="B13" s="75">
        <f>B11/B12</f>
        <v>10.05304192856326</v>
      </c>
    </row>
    <row r="14" spans="1:10" s="16" customFormat="1" ht="53.25" customHeight="1">
      <c r="A14" s="235"/>
      <c r="B14" s="236"/>
      <c r="C14" s="236"/>
      <c r="D14" s="236"/>
      <c r="E14" s="236"/>
      <c r="F14" s="236"/>
      <c r="G14" s="236"/>
      <c r="H14" s="236"/>
      <c r="I14" s="236"/>
    </row>
    <row r="16" spans="1:10">
      <c r="A16" s="88"/>
      <c r="B16" s="76"/>
      <c r="C16" s="77"/>
      <c r="D16" s="77"/>
      <c r="E16" s="77"/>
      <c r="F16" s="77"/>
      <c r="G16" s="77"/>
      <c r="H16" s="77"/>
      <c r="I16" s="78"/>
      <c r="J16" s="77"/>
    </row>
    <row r="17" spans="1:10" s="63" customFormat="1">
      <c r="A17" s="90"/>
      <c r="B17" s="90"/>
      <c r="C17" s="90" t="s">
        <v>547</v>
      </c>
      <c r="D17" s="90">
        <v>0.09</v>
      </c>
      <c r="E17" s="90"/>
      <c r="F17" s="90"/>
      <c r="G17" s="90"/>
      <c r="H17" s="90" t="s">
        <v>548</v>
      </c>
      <c r="I17" s="90">
        <v>0.05</v>
      </c>
      <c r="J17" s="78"/>
    </row>
    <row r="18" spans="1:10" s="2" customFormat="1">
      <c r="A18" s="260" t="s">
        <v>532</v>
      </c>
      <c r="B18" s="260"/>
      <c r="C18" s="65" t="s">
        <v>546</v>
      </c>
      <c r="D18" s="97">
        <v>1</v>
      </c>
      <c r="E18" s="97">
        <v>2</v>
      </c>
      <c r="F18" s="97">
        <v>3</v>
      </c>
      <c r="G18" s="97">
        <v>4</v>
      </c>
      <c r="H18" s="97">
        <v>5</v>
      </c>
      <c r="I18" s="96">
        <v>6</v>
      </c>
      <c r="J18" s="80"/>
    </row>
    <row r="19" spans="1:10" s="26" customFormat="1">
      <c r="A19" s="99" t="s">
        <v>533</v>
      </c>
      <c r="B19" s="94"/>
      <c r="C19" s="89">
        <f>B2</f>
        <v>81837054.879999995</v>
      </c>
      <c r="D19" s="89">
        <f>C19*(1+$D$17)</f>
        <v>89202389.819199994</v>
      </c>
      <c r="E19" s="89">
        <f>D19*(1+$D$17)</f>
        <v>97230604.902927995</v>
      </c>
      <c r="F19" s="89">
        <f>E19*(1+$D$17)</f>
        <v>105981359.34419152</v>
      </c>
      <c r="G19" s="89">
        <f>F19*(1+$D$17)</f>
        <v>115519681.68516877</v>
      </c>
      <c r="H19" s="89">
        <f>G19*(1+$D$17)</f>
        <v>125916453.03683397</v>
      </c>
      <c r="I19" s="89">
        <f>H19*(1+I17)</f>
        <v>132212275.68867567</v>
      </c>
      <c r="J19" s="76"/>
    </row>
    <row r="20" spans="1:10" s="26" customFormat="1">
      <c r="A20" s="99" t="s">
        <v>534</v>
      </c>
      <c r="B20" s="95">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c r="A21" s="261" t="s">
        <v>535</v>
      </c>
      <c r="B21" s="261"/>
      <c r="C21" s="89"/>
      <c r="D21" s="89">
        <f>D19/D20</f>
        <v>82594805.388148144</v>
      </c>
      <c r="E21" s="89">
        <f>E19/E20</f>
        <v>83359572.104705065</v>
      </c>
      <c r="F21" s="89">
        <f>F19/F20</f>
        <v>84131419.994563445</v>
      </c>
      <c r="G21" s="89">
        <f>G19/G20</f>
        <v>84910414.624142736</v>
      </c>
      <c r="H21" s="89">
        <f>H19/H20</f>
        <v>85696622.166958883</v>
      </c>
      <c r="I21" s="89">
        <f>I19/((B20-I17)*I20)</f>
        <v>2777205348.0032969</v>
      </c>
      <c r="J21" s="76"/>
    </row>
    <row r="22" spans="1:10" s="26" customFormat="1">
      <c r="A22" s="261" t="s">
        <v>553</v>
      </c>
      <c r="B22" s="261"/>
      <c r="C22" s="89"/>
      <c r="D22" s="257">
        <f>SUM(D21:H21)</f>
        <v>420692834.27851826</v>
      </c>
      <c r="E22" s="258"/>
      <c r="F22" s="258"/>
      <c r="G22" s="258"/>
      <c r="H22" s="259"/>
      <c r="I22" s="89">
        <f>I21</f>
        <v>2777205348.0032969</v>
      </c>
      <c r="J22" s="76"/>
    </row>
    <row r="23" spans="1:10">
      <c r="A23" s="92" t="s">
        <v>536</v>
      </c>
      <c r="B23" s="76">
        <f>D22+I22</f>
        <v>3197898182.2818151</v>
      </c>
      <c r="C23" s="77"/>
      <c r="D23" s="77"/>
      <c r="E23" s="77"/>
      <c r="F23" s="77"/>
      <c r="G23" s="77"/>
      <c r="H23" s="77"/>
      <c r="I23" s="79"/>
      <c r="J23" s="77"/>
    </row>
    <row r="24" spans="1:10">
      <c r="A24" s="92" t="s">
        <v>537</v>
      </c>
      <c r="B24" s="76">
        <f>B23</f>
        <v>3197898182.2818151</v>
      </c>
      <c r="C24" s="77"/>
      <c r="D24" s="77"/>
      <c r="E24" s="77"/>
      <c r="F24" s="77"/>
      <c r="G24" s="77"/>
      <c r="H24" s="77"/>
      <c r="I24" s="79"/>
      <c r="J24" s="77"/>
    </row>
    <row r="25" spans="1:10">
      <c r="A25" s="70" t="s">
        <v>538</v>
      </c>
      <c r="B25" s="71">
        <f>资产资本表!E17</f>
        <v>462619726.81</v>
      </c>
      <c r="C25" s="77"/>
      <c r="D25" s="77"/>
      <c r="E25" s="77"/>
      <c r="F25" s="77"/>
      <c r="G25" s="77"/>
      <c r="H25" s="77"/>
      <c r="I25" s="79"/>
      <c r="J25" s="77"/>
    </row>
    <row r="26" spans="1:10">
      <c r="A26" s="70" t="s">
        <v>539</v>
      </c>
      <c r="B26" s="71">
        <f>资产资本表!E19</f>
        <v>0</v>
      </c>
      <c r="C26" s="77"/>
      <c r="D26" s="77"/>
      <c r="E26" s="77"/>
      <c r="F26" s="77"/>
      <c r="G26" s="77"/>
      <c r="H26" s="77"/>
      <c r="I26" s="79"/>
      <c r="J26" s="77"/>
    </row>
    <row r="27" spans="1:10">
      <c r="A27" s="70" t="s">
        <v>540</v>
      </c>
      <c r="B27" s="71">
        <f>资产资本表!E89</f>
        <v>0</v>
      </c>
      <c r="C27" s="77"/>
      <c r="D27" s="77"/>
      <c r="E27" s="77"/>
      <c r="F27" s="77"/>
      <c r="G27" s="77"/>
      <c r="H27" s="77"/>
      <c r="I27" s="79"/>
      <c r="J27" s="77"/>
    </row>
    <row r="28" spans="1:10" s="2" customFormat="1">
      <c r="A28" s="82" t="s">
        <v>541</v>
      </c>
      <c r="B28" s="83">
        <f>B24+B25+B26-B27</f>
        <v>3660517909.091815</v>
      </c>
      <c r="C28" s="80"/>
      <c r="D28" s="80"/>
      <c r="E28" s="80"/>
      <c r="F28" s="80"/>
      <c r="G28" s="80"/>
      <c r="H28" s="80"/>
      <c r="I28" s="81"/>
      <c r="J28" s="80"/>
    </row>
    <row r="29" spans="1:10">
      <c r="A29" s="70" t="s">
        <v>542</v>
      </c>
      <c r="B29" s="78">
        <f>资产资本表!E103/资产资本表!E107</f>
        <v>5.5827418469095925E-2</v>
      </c>
      <c r="C29" s="262" t="s">
        <v>549</v>
      </c>
      <c r="D29" s="262"/>
      <c r="E29" s="262"/>
      <c r="F29" s="77"/>
      <c r="G29" s="77"/>
      <c r="H29" s="77"/>
      <c r="I29" s="79"/>
      <c r="J29" s="77"/>
    </row>
    <row r="30" spans="1:10" s="2" customFormat="1">
      <c r="A30" s="82" t="s">
        <v>543</v>
      </c>
      <c r="B30" s="83">
        <f>B28*(1-B29)</f>
        <v>3456160643.9673262</v>
      </c>
      <c r="C30" s="91">
        <v>0.4</v>
      </c>
      <c r="D30" s="91">
        <v>0.3</v>
      </c>
      <c r="E30" s="91">
        <v>0.2</v>
      </c>
      <c r="F30" s="80"/>
      <c r="G30" s="80"/>
      <c r="H30" s="80"/>
      <c r="I30" s="81"/>
      <c r="J30" s="80"/>
    </row>
    <row r="31" spans="1:10">
      <c r="A31" s="70" t="s">
        <v>545</v>
      </c>
      <c r="B31" s="101">
        <f>B55</f>
        <v>139524600</v>
      </c>
      <c r="C31" s="64">
        <f>$B$32*(1-C30)</f>
        <v>14.862586141658142</v>
      </c>
      <c r="D31" s="64">
        <f>$B$32*(1-D30)</f>
        <v>17.339683831934497</v>
      </c>
      <c r="E31" s="64">
        <f>$B$32*(1-E30)</f>
        <v>19.81678152221086</v>
      </c>
      <c r="F31" s="77"/>
      <c r="G31" s="77"/>
      <c r="H31" s="77"/>
      <c r="I31" s="79"/>
      <c r="J31" s="77"/>
    </row>
    <row r="32" spans="1:10" s="2" customFormat="1" ht="14.25" thickBot="1">
      <c r="A32" s="84" t="s">
        <v>544</v>
      </c>
      <c r="B32" s="85">
        <f>B30/B31</f>
        <v>24.770976902763572</v>
      </c>
      <c r="C32" s="86"/>
      <c r="D32" s="86"/>
      <c r="E32" s="86"/>
      <c r="F32" s="86"/>
      <c r="G32" s="86"/>
      <c r="H32" s="86"/>
      <c r="I32" s="87"/>
      <c r="J32" s="80"/>
    </row>
    <row r="33" spans="1:19" ht="63" customHeight="1">
      <c r="A33" s="263"/>
      <c r="B33" s="264"/>
      <c r="C33" s="264"/>
      <c r="D33" s="264"/>
      <c r="E33" s="264"/>
      <c r="F33" s="264"/>
      <c r="G33" s="264"/>
      <c r="H33" s="264"/>
      <c r="I33" s="264"/>
    </row>
    <row r="37" spans="1:19" s="63" customFormat="1">
      <c r="A37" s="216"/>
      <c r="B37" s="216"/>
      <c r="C37" s="227" t="s">
        <v>547</v>
      </c>
      <c r="D37" s="227">
        <v>0.15</v>
      </c>
      <c r="E37" s="227"/>
      <c r="F37" s="227"/>
      <c r="G37" s="227"/>
      <c r="H37" s="227" t="s">
        <v>660</v>
      </c>
      <c r="I37" s="227">
        <v>0.09</v>
      </c>
      <c r="J37" s="227"/>
      <c r="K37" s="227"/>
      <c r="L37" s="227"/>
      <c r="M37" s="227"/>
      <c r="N37" s="227"/>
      <c r="O37" s="227"/>
      <c r="P37" s="227"/>
      <c r="Q37" s="227"/>
      <c r="R37" s="227" t="s">
        <v>552</v>
      </c>
      <c r="S37" s="227">
        <v>0.02</v>
      </c>
    </row>
    <row r="38" spans="1:19" s="24" customFormat="1">
      <c r="A38" s="247" t="s">
        <v>550</v>
      </c>
      <c r="B38" s="248"/>
      <c r="C38" s="229" t="s">
        <v>546</v>
      </c>
      <c r="D38" s="230">
        <v>1</v>
      </c>
      <c r="E38" s="230">
        <v>2</v>
      </c>
      <c r="F38" s="230">
        <v>3</v>
      </c>
      <c r="G38" s="230">
        <v>4</v>
      </c>
      <c r="H38" s="230">
        <v>5</v>
      </c>
      <c r="I38" s="231">
        <v>6</v>
      </c>
      <c r="J38" s="231">
        <v>7</v>
      </c>
      <c r="K38" s="231">
        <v>8</v>
      </c>
      <c r="L38" s="231">
        <v>9</v>
      </c>
      <c r="M38" s="231">
        <v>10</v>
      </c>
      <c r="N38" s="231">
        <v>11</v>
      </c>
      <c r="O38" s="231">
        <v>12</v>
      </c>
      <c r="P38" s="231">
        <v>13</v>
      </c>
      <c r="Q38" s="231">
        <v>14</v>
      </c>
      <c r="R38" s="231">
        <v>15</v>
      </c>
      <c r="S38" s="232">
        <v>16</v>
      </c>
    </row>
    <row r="39" spans="1:19" s="23" customFormat="1">
      <c r="A39" s="222" t="s">
        <v>533</v>
      </c>
      <c r="B39" s="223"/>
      <c r="C39" s="228">
        <f>B2</f>
        <v>81837054.879999995</v>
      </c>
      <c r="D39" s="228">
        <f>$C$39*(1+$D$37)^D38</f>
        <v>94112613.111999989</v>
      </c>
      <c r="E39" s="228">
        <f>$C$39*(1+$D$37)^E38</f>
        <v>108229505.07879998</v>
      </c>
      <c r="F39" s="228">
        <f>$C$39*(1+$D$37)^F38</f>
        <v>124463930.84061995</v>
      </c>
      <c r="G39" s="228">
        <f>$C$39*(1+$D$37)^G38</f>
        <v>143133520.46671295</v>
      </c>
      <c r="H39" s="228">
        <f>$C$39*(1+$D$37)^H38</f>
        <v>164603548.53671989</v>
      </c>
      <c r="I39" s="228">
        <f>H39*(1+$I$37)</f>
        <v>179417867.90502468</v>
      </c>
      <c r="J39" s="228">
        <f t="shared" ref="J39:N39" si="1">I39*(1+$I$37)</f>
        <v>195565476.0164769</v>
      </c>
      <c r="K39" s="228">
        <f t="shared" si="1"/>
        <v>213166368.85795984</v>
      </c>
      <c r="L39" s="228">
        <f t="shared" si="1"/>
        <v>232351342.05517623</v>
      </c>
      <c r="M39" s="228">
        <f t="shared" si="1"/>
        <v>253262962.8401421</v>
      </c>
      <c r="N39" s="228">
        <f t="shared" si="1"/>
        <v>276056629.4957549</v>
      </c>
      <c r="O39" s="228">
        <f t="shared" ref="O39" si="2">N39*(1+$I$37)</f>
        <v>300901726.15037286</v>
      </c>
      <c r="P39" s="228">
        <f t="shared" ref="P39" si="3">O39*(1+$I$37)</f>
        <v>327982881.50390643</v>
      </c>
      <c r="Q39" s="228">
        <f t="shared" ref="Q39" si="4">P39*(1+$I$37)</f>
        <v>357501340.83925802</v>
      </c>
      <c r="R39" s="228">
        <f t="shared" ref="R39" si="5">Q39*(1+$I$37)</f>
        <v>389676461.51479125</v>
      </c>
      <c r="S39" s="228">
        <f>R39*(1+S37)</f>
        <v>397469990.74508709</v>
      </c>
    </row>
    <row r="40" spans="1:19" s="23" customFormat="1">
      <c r="A40" s="222" t="s">
        <v>534</v>
      </c>
      <c r="B40" s="221">
        <v>0.09</v>
      </c>
      <c r="C40" s="228"/>
      <c r="D40" s="228">
        <f>(1+$B$40)^D38</f>
        <v>1.0900000000000001</v>
      </c>
      <c r="E40" s="228">
        <f t="shared" ref="E40:R40" si="6">(1+$B$40)^E38</f>
        <v>1.1881000000000002</v>
      </c>
      <c r="F40" s="228">
        <f t="shared" si="6"/>
        <v>1.2950290000000002</v>
      </c>
      <c r="G40" s="228">
        <f t="shared" si="6"/>
        <v>1.4115816100000003</v>
      </c>
      <c r="H40" s="228">
        <f t="shared" si="6"/>
        <v>1.5386239549000005</v>
      </c>
      <c r="I40" s="228">
        <f t="shared" si="6"/>
        <v>1.6771001108410006</v>
      </c>
      <c r="J40" s="228">
        <f t="shared" si="6"/>
        <v>1.8280391208166906</v>
      </c>
      <c r="K40" s="228">
        <f t="shared" si="6"/>
        <v>1.9925626416901929</v>
      </c>
      <c r="L40" s="228">
        <f t="shared" si="6"/>
        <v>2.1718932794423105</v>
      </c>
      <c r="M40" s="228">
        <f t="shared" si="6"/>
        <v>2.3673636745921187</v>
      </c>
      <c r="N40" s="228">
        <f t="shared" si="6"/>
        <v>2.5804264053054093</v>
      </c>
      <c r="O40" s="228">
        <f t="shared" si="6"/>
        <v>2.812664781782896</v>
      </c>
      <c r="P40" s="228">
        <f t="shared" si="6"/>
        <v>3.0658046121433573</v>
      </c>
      <c r="Q40" s="228">
        <f t="shared" si="6"/>
        <v>3.3417270272362596</v>
      </c>
      <c r="R40" s="228">
        <f t="shared" si="6"/>
        <v>3.6424824596875229</v>
      </c>
      <c r="S40" s="195">
        <f>(1+$B$40)^S38</f>
        <v>3.9703058810594003</v>
      </c>
    </row>
    <row r="41" spans="1:19" s="23" customFormat="1">
      <c r="A41" s="249" t="s">
        <v>535</v>
      </c>
      <c r="B41" s="250"/>
      <c r="C41" s="228"/>
      <c r="D41" s="228">
        <f t="shared" ref="D41:R41" si="7">D39/D40</f>
        <v>86341846.891743109</v>
      </c>
      <c r="E41" s="228">
        <f t="shared" si="7"/>
        <v>91094609.105967477</v>
      </c>
      <c r="F41" s="228">
        <f t="shared" si="7"/>
        <v>96108991.258589521</v>
      </c>
      <c r="G41" s="228">
        <f t="shared" si="7"/>
        <v>101399394.44713573</v>
      </c>
      <c r="H41" s="228">
        <f t="shared" si="7"/>
        <v>106981012.49009731</v>
      </c>
      <c r="I41" s="228">
        <f t="shared" si="7"/>
        <v>106981012.49009731</v>
      </c>
      <c r="J41" s="228">
        <f t="shared" si="7"/>
        <v>106981012.49009731</v>
      </c>
      <c r="K41" s="228">
        <f t="shared" si="7"/>
        <v>106981012.49009731</v>
      </c>
      <c r="L41" s="228">
        <f t="shared" si="7"/>
        <v>106981012.49009731</v>
      </c>
      <c r="M41" s="228">
        <f t="shared" si="7"/>
        <v>106981012.4900973</v>
      </c>
      <c r="N41" s="228">
        <f t="shared" si="7"/>
        <v>106981012.49009731</v>
      </c>
      <c r="O41" s="228">
        <f t="shared" si="7"/>
        <v>106981012.49009733</v>
      </c>
      <c r="P41" s="228">
        <f t="shared" si="7"/>
        <v>106981012.4900973</v>
      </c>
      <c r="Q41" s="228">
        <f t="shared" si="7"/>
        <v>106981012.4900973</v>
      </c>
      <c r="R41" s="228">
        <f t="shared" si="7"/>
        <v>106981012.4900973</v>
      </c>
      <c r="S41" s="228">
        <f>S39/((B40-S37)*S40)</f>
        <v>1430152460.5491383</v>
      </c>
    </row>
    <row r="42" spans="1:19" s="23" customFormat="1">
      <c r="A42" s="249" t="s">
        <v>553</v>
      </c>
      <c r="B42" s="250"/>
      <c r="C42" s="228"/>
      <c r="D42" s="244">
        <f>SUM(D41:H41)</f>
        <v>481925854.19353318</v>
      </c>
      <c r="E42" s="245"/>
      <c r="F42" s="245"/>
      <c r="G42" s="245"/>
      <c r="H42" s="246"/>
      <c r="I42" s="244">
        <f>SUM(I41:R41)</f>
        <v>1069810124.900973</v>
      </c>
      <c r="J42" s="245"/>
      <c r="K42" s="245"/>
      <c r="L42" s="245"/>
      <c r="M42" s="245"/>
      <c r="N42" s="245"/>
      <c r="O42" s="245"/>
      <c r="P42" s="245"/>
      <c r="Q42" s="245"/>
      <c r="R42" s="246"/>
      <c r="S42" s="228">
        <f>S41</f>
        <v>1430152460.5491383</v>
      </c>
    </row>
    <row r="43" spans="1:19">
      <c r="A43" s="218" t="s">
        <v>551</v>
      </c>
      <c r="B43" s="209">
        <f>D42+I42+S42</f>
        <v>2981888439.6436443</v>
      </c>
      <c r="C43" s="210"/>
      <c r="D43" s="210"/>
      <c r="E43" s="210"/>
      <c r="F43" s="210"/>
      <c r="G43" s="210"/>
      <c r="H43" s="210"/>
      <c r="I43" s="210"/>
      <c r="J43" s="210"/>
      <c r="K43" s="210"/>
      <c r="L43" s="210"/>
      <c r="M43" s="210"/>
      <c r="N43" s="210"/>
      <c r="O43" s="210"/>
      <c r="P43" s="210"/>
      <c r="Q43" s="210"/>
      <c r="R43" s="210"/>
      <c r="S43" s="212"/>
    </row>
    <row r="44" spans="1:19">
      <c r="A44" s="218" t="s">
        <v>537</v>
      </c>
      <c r="B44" s="209">
        <f>B43</f>
        <v>2981888439.6436443</v>
      </c>
      <c r="C44" s="210"/>
      <c r="D44" s="210"/>
      <c r="E44" s="210"/>
      <c r="F44" s="210"/>
      <c r="G44" s="210"/>
      <c r="H44" s="210"/>
      <c r="I44" s="210"/>
      <c r="J44" s="210"/>
      <c r="K44" s="210"/>
      <c r="L44" s="210"/>
      <c r="M44" s="210"/>
      <c r="N44" s="210"/>
      <c r="O44" s="210"/>
      <c r="P44" s="210"/>
      <c r="Q44" s="210"/>
      <c r="R44" s="210"/>
      <c r="S44" s="212"/>
    </row>
    <row r="45" spans="1:19">
      <c r="A45" s="208" t="s">
        <v>538</v>
      </c>
      <c r="B45" s="209">
        <f>资产资本表!E17</f>
        <v>462619726.81</v>
      </c>
      <c r="C45" s="210"/>
      <c r="D45" s="210"/>
      <c r="E45" s="210"/>
      <c r="F45" s="210"/>
      <c r="G45" s="210"/>
      <c r="H45" s="210"/>
      <c r="I45" s="210"/>
      <c r="J45" s="210"/>
      <c r="K45" s="210"/>
      <c r="L45" s="210"/>
      <c r="M45" s="210"/>
      <c r="N45" s="210"/>
      <c r="O45" s="210"/>
      <c r="P45" s="210"/>
      <c r="Q45" s="210"/>
      <c r="R45" s="210"/>
      <c r="S45" s="212"/>
    </row>
    <row r="46" spans="1:19">
      <c r="A46" s="208" t="s">
        <v>539</v>
      </c>
      <c r="B46" s="209">
        <f>资产资本表!E19</f>
        <v>0</v>
      </c>
      <c r="C46" s="210"/>
      <c r="D46" s="210"/>
      <c r="E46" s="210"/>
      <c r="F46" s="210"/>
      <c r="G46" s="210"/>
      <c r="H46" s="210"/>
      <c r="I46" s="210"/>
      <c r="J46" s="210"/>
      <c r="K46" s="210"/>
      <c r="L46" s="210"/>
      <c r="M46" s="210"/>
      <c r="N46" s="210"/>
      <c r="O46" s="210"/>
      <c r="P46" s="210"/>
      <c r="Q46" s="210"/>
      <c r="R46" s="210"/>
      <c r="S46" s="212"/>
    </row>
    <row r="47" spans="1:19">
      <c r="A47" s="208" t="s">
        <v>540</v>
      </c>
      <c r="B47" s="209">
        <f>资产资本表!E89</f>
        <v>0</v>
      </c>
      <c r="C47" s="210"/>
      <c r="D47" s="210"/>
      <c r="E47" s="210"/>
      <c r="F47" s="210"/>
      <c r="G47" s="210"/>
      <c r="H47" s="210"/>
      <c r="I47" s="210"/>
      <c r="J47" s="210"/>
      <c r="K47" s="210"/>
      <c r="L47" s="210"/>
      <c r="M47" s="210"/>
      <c r="N47" s="210"/>
      <c r="O47" s="210"/>
      <c r="P47" s="210"/>
      <c r="Q47" s="210"/>
      <c r="R47" s="210"/>
      <c r="S47" s="212"/>
    </row>
    <row r="48" spans="1:19">
      <c r="A48" s="213" t="s">
        <v>541</v>
      </c>
      <c r="B48" s="209">
        <f>B44+B45+B46-B47</f>
        <v>3444508166.4536443</v>
      </c>
      <c r="C48" s="210"/>
      <c r="D48" s="210"/>
      <c r="E48" s="210"/>
      <c r="F48" s="210"/>
      <c r="G48" s="210"/>
      <c r="H48" s="210"/>
      <c r="I48" s="210"/>
      <c r="J48" s="210"/>
      <c r="K48" s="210"/>
      <c r="L48" s="210"/>
      <c r="M48" s="210"/>
      <c r="N48" s="210"/>
      <c r="O48" s="210"/>
      <c r="P48" s="210"/>
      <c r="Q48" s="210"/>
      <c r="R48" s="210"/>
      <c r="S48" s="212"/>
    </row>
    <row r="49" spans="1:74">
      <c r="A49" s="208" t="s">
        <v>542</v>
      </c>
      <c r="B49" s="211">
        <f>资产资本表!E103/资产资本表!E107</f>
        <v>5.5827418469095925E-2</v>
      </c>
      <c r="C49" s="210"/>
      <c r="D49" s="210"/>
      <c r="E49" s="210"/>
      <c r="F49" s="210"/>
      <c r="G49" s="210"/>
      <c r="H49" s="210"/>
      <c r="I49" s="210"/>
      <c r="J49" s="210"/>
      <c r="K49" s="210"/>
      <c r="L49" s="210"/>
      <c r="M49" s="210"/>
      <c r="N49" s="210"/>
      <c r="O49" s="210"/>
      <c r="P49" s="210"/>
      <c r="Q49" s="210"/>
      <c r="R49" s="210"/>
      <c r="S49" s="212"/>
      <c r="T49" s="202"/>
      <c r="U49" s="202"/>
      <c r="V49" s="202"/>
      <c r="W49" s="202"/>
      <c r="X49" s="202"/>
      <c r="Y49" s="202"/>
      <c r="Z49" s="202"/>
      <c r="AA49" s="202"/>
      <c r="AB49" s="202"/>
      <c r="AC49" s="202"/>
      <c r="AD49" s="202"/>
      <c r="AE49" s="202"/>
      <c r="AF49" s="202"/>
      <c r="AG49" s="202"/>
      <c r="AH49" s="202"/>
      <c r="AI49" s="202"/>
      <c r="AJ49" s="202"/>
      <c r="AK49" s="202"/>
      <c r="AL49" s="202"/>
      <c r="AM49" s="202"/>
      <c r="AN49" s="202"/>
      <c r="AO49" s="202"/>
      <c r="AP49" s="202"/>
      <c r="AQ49" s="202"/>
      <c r="AR49" s="202"/>
      <c r="AS49" s="202"/>
      <c r="AT49" s="202"/>
      <c r="AU49" s="202"/>
      <c r="AV49" s="202"/>
      <c r="AW49" s="202"/>
      <c r="AX49" s="202"/>
      <c r="AY49" s="202"/>
      <c r="AZ49" s="202"/>
      <c r="BA49" s="202"/>
      <c r="BB49" s="202"/>
      <c r="BC49" s="202"/>
      <c r="BD49" s="202"/>
      <c r="BE49" s="202"/>
      <c r="BF49" s="202"/>
      <c r="BG49" s="202"/>
      <c r="BH49" s="202"/>
      <c r="BI49" s="202"/>
      <c r="BJ49" s="202"/>
      <c r="BK49" s="202"/>
      <c r="BL49" s="202"/>
      <c r="BM49" s="202"/>
      <c r="BN49" s="202"/>
      <c r="BO49" s="202"/>
      <c r="BP49" s="202"/>
      <c r="BQ49" s="202"/>
      <c r="BR49" s="202"/>
      <c r="BS49" s="202"/>
      <c r="BT49" s="202"/>
      <c r="BU49" s="202"/>
      <c r="BV49" s="202"/>
    </row>
    <row r="50" spans="1:74">
      <c r="A50" s="213" t="s">
        <v>543</v>
      </c>
      <c r="B50" s="209">
        <f>B48*(1-B49)</f>
        <v>3252210167.6248183</v>
      </c>
      <c r="C50" s="241" t="s">
        <v>549</v>
      </c>
      <c r="D50" s="242"/>
      <c r="E50" s="243"/>
      <c r="F50" s="210"/>
      <c r="G50" s="210"/>
      <c r="H50" s="210"/>
      <c r="I50" s="210"/>
      <c r="J50" s="210"/>
      <c r="K50" s="210"/>
      <c r="L50" s="210"/>
      <c r="M50" s="210"/>
      <c r="N50" s="210"/>
      <c r="O50" s="210"/>
      <c r="P50" s="210"/>
      <c r="Q50" s="210"/>
      <c r="R50" s="210"/>
      <c r="S50" s="212"/>
      <c r="T50" s="202"/>
      <c r="U50" s="202"/>
      <c r="V50" s="202"/>
      <c r="W50" s="202"/>
      <c r="X50" s="202"/>
      <c r="Y50" s="202"/>
      <c r="Z50" s="202"/>
      <c r="AA50" s="202"/>
      <c r="AB50" s="202"/>
      <c r="AC50" s="202"/>
      <c r="AD50" s="202"/>
      <c r="AE50" s="202"/>
      <c r="AF50" s="202"/>
      <c r="AG50" s="202"/>
      <c r="AH50" s="202"/>
      <c r="AI50" s="202"/>
      <c r="AJ50" s="202"/>
      <c r="AK50" s="202"/>
      <c r="AL50" s="202"/>
      <c r="AM50" s="202"/>
      <c r="AN50" s="202"/>
      <c r="AO50" s="202"/>
      <c r="AP50" s="202"/>
      <c r="AQ50" s="202"/>
      <c r="AR50" s="202"/>
      <c r="AS50" s="202"/>
      <c r="AT50" s="202"/>
      <c r="AU50" s="202"/>
      <c r="AV50" s="202"/>
      <c r="AW50" s="202"/>
      <c r="AX50" s="202"/>
      <c r="AY50" s="202"/>
      <c r="AZ50" s="202"/>
      <c r="BA50" s="202"/>
      <c r="BB50" s="202"/>
      <c r="BC50" s="202"/>
      <c r="BD50" s="202"/>
      <c r="BE50" s="202"/>
      <c r="BF50" s="202"/>
      <c r="BG50" s="202"/>
      <c r="BH50" s="202"/>
      <c r="BI50" s="202"/>
      <c r="BJ50" s="202"/>
      <c r="BK50" s="202"/>
      <c r="BL50" s="202"/>
      <c r="BM50" s="202"/>
      <c r="BN50" s="202"/>
      <c r="BO50" s="202"/>
      <c r="BP50" s="202"/>
      <c r="BQ50" s="202"/>
      <c r="BR50" s="202"/>
      <c r="BS50" s="202"/>
      <c r="BT50" s="202"/>
      <c r="BU50" s="202"/>
      <c r="BV50" s="202"/>
    </row>
    <row r="51" spans="1:74">
      <c r="A51" s="208" t="s">
        <v>545</v>
      </c>
      <c r="B51" s="224">
        <f>B55</f>
        <v>139524600</v>
      </c>
      <c r="C51" s="217">
        <v>0.4</v>
      </c>
      <c r="D51" s="217">
        <v>0.3</v>
      </c>
      <c r="E51" s="217">
        <v>0.2</v>
      </c>
      <c r="F51" s="210"/>
      <c r="G51" s="210"/>
      <c r="H51" s="210"/>
      <c r="I51" s="210"/>
      <c r="J51" s="210"/>
      <c r="K51" s="210"/>
      <c r="L51" s="210"/>
      <c r="M51" s="210"/>
      <c r="N51" s="210"/>
      <c r="O51" s="210"/>
      <c r="P51" s="210"/>
      <c r="Q51" s="210"/>
      <c r="R51" s="210"/>
      <c r="S51" s="212"/>
      <c r="T51" s="202"/>
      <c r="U51" s="202"/>
      <c r="V51" s="202"/>
      <c r="W51" s="202"/>
      <c r="X51" s="202"/>
      <c r="Y51" s="202"/>
      <c r="Z51" s="202"/>
      <c r="AA51" s="202"/>
      <c r="AB51" s="202"/>
      <c r="AC51" s="202"/>
      <c r="AD51" s="202"/>
      <c r="AE51" s="202"/>
      <c r="AF51" s="202"/>
      <c r="AG51" s="202"/>
      <c r="AH51" s="202"/>
      <c r="AI51" s="202"/>
      <c r="AJ51" s="202"/>
      <c r="AK51" s="202"/>
      <c r="AL51" s="202"/>
      <c r="AM51" s="202"/>
      <c r="AN51" s="202"/>
      <c r="AO51" s="202"/>
      <c r="AP51" s="202"/>
      <c r="AQ51" s="202"/>
      <c r="AR51" s="202"/>
      <c r="AS51" s="202"/>
      <c r="AT51" s="202"/>
      <c r="AU51" s="202"/>
      <c r="AV51" s="202"/>
      <c r="AW51" s="202"/>
      <c r="AX51" s="202"/>
      <c r="AY51" s="202"/>
      <c r="AZ51" s="202"/>
      <c r="BA51" s="202"/>
      <c r="BB51" s="202"/>
      <c r="BC51" s="202"/>
      <c r="BD51" s="202"/>
      <c r="BE51" s="202"/>
      <c r="BF51" s="202"/>
      <c r="BG51" s="202"/>
      <c r="BH51" s="202"/>
      <c r="BI51" s="202"/>
      <c r="BJ51" s="202"/>
      <c r="BK51" s="202"/>
      <c r="BL51" s="202"/>
      <c r="BM51" s="202"/>
      <c r="BN51" s="202"/>
      <c r="BO51" s="202"/>
      <c r="BP51" s="202"/>
      <c r="BQ51" s="202"/>
      <c r="BR51" s="202"/>
      <c r="BS51" s="202"/>
      <c r="BT51" s="202"/>
      <c r="BU51" s="202"/>
      <c r="BV51" s="202"/>
    </row>
    <row r="52" spans="1:74" ht="14.25" thickBot="1">
      <c r="A52" s="214" t="s">
        <v>544</v>
      </c>
      <c r="B52" s="219">
        <f>B50/B51</f>
        <v>23.309224091126715</v>
      </c>
      <c r="C52" s="220">
        <f>$B$52*(1-C51)</f>
        <v>13.98553445467603</v>
      </c>
      <c r="D52" s="220">
        <f>$B$52*(1-D51)</f>
        <v>16.316456863788702</v>
      </c>
      <c r="E52" s="220">
        <f>$B$52*(1-E51)</f>
        <v>18.647379272901372</v>
      </c>
      <c r="F52" s="206"/>
      <c r="G52" s="206"/>
      <c r="H52" s="206"/>
      <c r="I52" s="206"/>
      <c r="J52" s="206"/>
      <c r="K52" s="206"/>
      <c r="L52" s="206"/>
      <c r="M52" s="206"/>
      <c r="N52" s="206"/>
      <c r="O52" s="206"/>
      <c r="P52" s="206"/>
      <c r="Q52" s="206"/>
      <c r="R52" s="206"/>
      <c r="S52" s="215"/>
      <c r="T52" s="202"/>
      <c r="U52" s="202"/>
      <c r="V52" s="202"/>
      <c r="W52" s="202"/>
      <c r="X52" s="202"/>
      <c r="Y52" s="202"/>
      <c r="Z52" s="202"/>
      <c r="AA52" s="202"/>
      <c r="AB52" s="202"/>
      <c r="AC52" s="202"/>
      <c r="AD52" s="202"/>
      <c r="AE52" s="202"/>
      <c r="AF52" s="202"/>
      <c r="AG52" s="202"/>
      <c r="AH52" s="202"/>
      <c r="AI52" s="202"/>
      <c r="AJ52" s="202"/>
      <c r="AK52" s="202"/>
      <c r="AL52" s="202"/>
      <c r="AM52" s="202"/>
      <c r="AN52" s="202"/>
      <c r="AO52" s="202"/>
      <c r="AP52" s="202"/>
      <c r="AQ52" s="202"/>
      <c r="AR52" s="202"/>
      <c r="AS52" s="202"/>
      <c r="AT52" s="202"/>
      <c r="AU52" s="202"/>
      <c r="AV52" s="202"/>
      <c r="AW52" s="202"/>
      <c r="AX52" s="202"/>
      <c r="AY52" s="202"/>
      <c r="AZ52" s="202"/>
      <c r="BA52" s="202"/>
      <c r="BB52" s="202"/>
      <c r="BC52" s="202"/>
      <c r="BD52" s="202"/>
      <c r="BE52" s="202"/>
      <c r="BF52" s="202"/>
      <c r="BG52" s="202"/>
      <c r="BH52" s="202"/>
      <c r="BI52" s="202"/>
      <c r="BJ52" s="202"/>
      <c r="BK52" s="202"/>
      <c r="BL52" s="202"/>
      <c r="BM52" s="202"/>
      <c r="BN52" s="202"/>
      <c r="BO52" s="202"/>
      <c r="BP52" s="202"/>
      <c r="BQ52" s="202"/>
      <c r="BR52" s="202"/>
      <c r="BS52" s="202"/>
      <c r="BT52" s="202"/>
      <c r="BU52" s="202"/>
      <c r="BV52" s="202"/>
    </row>
    <row r="53" spans="1:74" ht="12.75" customHeight="1" thickBot="1">
      <c r="A53" s="204"/>
      <c r="B53" s="205"/>
      <c r="C53" s="202"/>
      <c r="D53" s="202"/>
      <c r="E53" s="202"/>
      <c r="F53" s="202"/>
      <c r="G53" s="202"/>
      <c r="H53" s="202"/>
      <c r="I53" s="202"/>
      <c r="J53" s="202"/>
      <c r="K53" s="202"/>
      <c r="L53" s="202"/>
      <c r="M53" s="202"/>
      <c r="N53" s="202"/>
      <c r="O53" s="202"/>
      <c r="P53" s="202"/>
      <c r="Q53" s="202"/>
      <c r="R53" s="202"/>
      <c r="S53" s="202"/>
      <c r="T53" s="202"/>
      <c r="U53" s="202"/>
      <c r="V53" s="202"/>
      <c r="W53" s="202"/>
      <c r="X53" s="202"/>
      <c r="Y53" s="202"/>
      <c r="Z53" s="202"/>
      <c r="AA53" s="202"/>
      <c r="AB53" s="202"/>
      <c r="AC53" s="202"/>
      <c r="AD53" s="202"/>
      <c r="AE53" s="202"/>
      <c r="AF53" s="202"/>
      <c r="AG53" s="202"/>
      <c r="AH53" s="202"/>
      <c r="AI53" s="202"/>
      <c r="AJ53" s="202"/>
      <c r="AK53" s="202"/>
      <c r="AL53" s="202"/>
      <c r="AM53" s="202"/>
      <c r="AN53" s="202"/>
      <c r="AO53" s="202"/>
      <c r="AP53" s="202"/>
      <c r="AQ53" s="202"/>
      <c r="AR53" s="202"/>
      <c r="AS53" s="202"/>
      <c r="AT53" s="202"/>
      <c r="AU53" s="202"/>
      <c r="AV53" s="202"/>
      <c r="AW53" s="202"/>
      <c r="AX53" s="202"/>
      <c r="AY53" s="202"/>
      <c r="AZ53" s="202"/>
      <c r="BA53" s="202"/>
      <c r="BB53" s="202"/>
      <c r="BC53" s="202"/>
      <c r="BD53" s="202"/>
      <c r="BE53" s="202"/>
      <c r="BF53" s="202"/>
      <c r="BG53" s="202"/>
      <c r="BH53" s="202"/>
      <c r="BI53" s="202"/>
      <c r="BJ53" s="202"/>
      <c r="BK53" s="202"/>
      <c r="BL53" s="202"/>
      <c r="BM53" s="202"/>
      <c r="BN53" s="202"/>
      <c r="BO53" s="202"/>
      <c r="BP53" s="202"/>
      <c r="BQ53" s="202"/>
      <c r="BR53" s="202"/>
      <c r="BS53" s="202"/>
      <c r="BT53" s="202"/>
      <c r="BU53" s="202"/>
      <c r="BV53" s="202"/>
    </row>
    <row r="54" spans="1:74" s="104" customFormat="1">
      <c r="A54" s="207">
        <v>300559</v>
      </c>
      <c r="B54" s="192">
        <f>自由现金流分析表!E1</f>
        <v>43100</v>
      </c>
      <c r="C54" s="203"/>
      <c r="D54" s="203"/>
      <c r="E54" s="203"/>
      <c r="F54" s="203"/>
      <c r="G54" s="203"/>
      <c r="H54" s="203"/>
      <c r="I54" s="203"/>
      <c r="J54" s="203"/>
      <c r="K54" s="203"/>
      <c r="L54" s="203"/>
      <c r="M54" s="203"/>
      <c r="N54" s="203"/>
      <c r="O54" s="203"/>
      <c r="P54" s="203"/>
      <c r="Q54" s="203"/>
      <c r="R54" s="203"/>
      <c r="S54" s="203"/>
      <c r="T54" s="203"/>
      <c r="U54" s="203"/>
      <c r="V54" s="203"/>
      <c r="W54" s="203"/>
      <c r="X54" s="203"/>
      <c r="Y54" s="203"/>
      <c r="Z54" s="203"/>
      <c r="AA54" s="203"/>
      <c r="AB54" s="203"/>
      <c r="AC54" s="203"/>
      <c r="AD54" s="203"/>
      <c r="AE54" s="203"/>
      <c r="AF54" s="203"/>
      <c r="AG54" s="203"/>
      <c r="AH54" s="203"/>
      <c r="AI54" s="203"/>
      <c r="AJ54" s="203"/>
      <c r="AK54" s="203"/>
      <c r="AL54" s="203"/>
      <c r="AM54" s="203"/>
      <c r="AN54" s="203"/>
      <c r="AO54" s="203"/>
      <c r="AP54" s="203"/>
      <c r="AQ54" s="203"/>
      <c r="AR54" s="203"/>
      <c r="AS54" s="203"/>
      <c r="AT54" s="203"/>
      <c r="AU54" s="203"/>
      <c r="AV54" s="203"/>
      <c r="AW54" s="203"/>
      <c r="AX54" s="203"/>
      <c r="AY54" s="203"/>
      <c r="AZ54" s="203"/>
      <c r="BA54" s="203"/>
      <c r="BB54" s="203"/>
      <c r="BC54" s="203"/>
      <c r="BD54" s="203"/>
      <c r="BE54" s="203"/>
      <c r="BF54" s="203"/>
      <c r="BG54" s="203"/>
      <c r="BH54" s="203"/>
      <c r="BI54" s="203"/>
      <c r="BJ54" s="203"/>
      <c r="BK54" s="203"/>
      <c r="BL54" s="203"/>
      <c r="BM54" s="203"/>
      <c r="BN54" s="203"/>
      <c r="BO54" s="203"/>
      <c r="BP54" s="203"/>
      <c r="BQ54" s="203"/>
      <c r="BR54" s="203"/>
      <c r="BS54" s="203"/>
      <c r="BT54" s="203"/>
      <c r="BU54" s="203"/>
      <c r="BV54" s="203"/>
    </row>
    <row r="55" spans="1:74" s="103" customFormat="1">
      <c r="A55" s="225" t="s">
        <v>556</v>
      </c>
      <c r="B55" s="100">
        <v>139524600</v>
      </c>
      <c r="C55" s="226"/>
      <c r="D55" s="226"/>
      <c r="E55" s="226"/>
      <c r="F55" s="226"/>
      <c r="G55" s="226"/>
      <c r="H55" s="226"/>
      <c r="I55" s="226"/>
      <c r="J55" s="226"/>
      <c r="K55" s="226"/>
      <c r="L55" s="226"/>
      <c r="M55" s="226"/>
      <c r="N55" s="226"/>
      <c r="O55" s="226"/>
      <c r="P55" s="226"/>
      <c r="Q55" s="226"/>
      <c r="R55" s="226"/>
      <c r="S55" s="226"/>
      <c r="T55" s="226"/>
      <c r="U55" s="226"/>
      <c r="V55" s="226"/>
      <c r="W55" s="226"/>
      <c r="X55" s="226"/>
      <c r="Y55" s="226"/>
      <c r="Z55" s="226"/>
      <c r="AA55" s="226"/>
      <c r="AB55" s="226"/>
      <c r="AC55" s="226"/>
      <c r="AD55" s="226"/>
      <c r="AE55" s="226"/>
      <c r="AF55" s="226"/>
      <c r="AG55" s="226"/>
      <c r="AH55" s="226"/>
      <c r="AI55" s="226"/>
      <c r="AJ55" s="226"/>
      <c r="AK55" s="226"/>
      <c r="AL55" s="226"/>
      <c r="AM55" s="226"/>
      <c r="AN55" s="226"/>
      <c r="AO55" s="226"/>
      <c r="AP55" s="226"/>
      <c r="AQ55" s="226"/>
      <c r="AR55" s="226"/>
      <c r="AS55" s="226"/>
      <c r="AT55" s="226"/>
      <c r="AU55" s="226"/>
      <c r="AV55" s="226"/>
      <c r="AW55" s="226"/>
      <c r="AX55" s="226"/>
      <c r="AY55" s="226"/>
      <c r="AZ55" s="226"/>
      <c r="BA55" s="226"/>
      <c r="BB55" s="226"/>
      <c r="BC55" s="226"/>
      <c r="BD55" s="226"/>
      <c r="BE55" s="226"/>
      <c r="BF55" s="226"/>
      <c r="BG55" s="226"/>
      <c r="BH55" s="226"/>
      <c r="BI55" s="226"/>
      <c r="BJ55" s="226"/>
      <c r="BK55" s="226"/>
      <c r="BL55" s="226"/>
      <c r="BM55" s="226"/>
      <c r="BN55" s="226"/>
      <c r="BO55" s="226"/>
      <c r="BP55" s="226"/>
      <c r="BQ55" s="226"/>
      <c r="BR55" s="226"/>
      <c r="BS55" s="226"/>
      <c r="BT55" s="226"/>
      <c r="BU55" s="226"/>
      <c r="BV55" s="226"/>
    </row>
    <row r="56" spans="1:74" s="62" customFormat="1" ht="14.25" thickBot="1">
      <c r="A56" s="74"/>
      <c r="B56" s="93"/>
    </row>
    <row r="57" spans="1:74" ht="96.75" customHeight="1">
      <c r="A57" s="255" t="s">
        <v>659</v>
      </c>
      <c r="B57" s="256"/>
      <c r="C57" s="256"/>
      <c r="D57" s="256"/>
      <c r="E57" s="256"/>
      <c r="F57" s="256"/>
      <c r="G57" s="256"/>
      <c r="H57" s="256"/>
      <c r="I57" s="256"/>
    </row>
    <row r="60" spans="1:74" s="163" customFormat="1" ht="51" customHeight="1">
      <c r="A60" s="253" t="s">
        <v>616</v>
      </c>
      <c r="B60" s="254"/>
      <c r="C60" s="254"/>
      <c r="D60" s="254"/>
      <c r="E60" s="254"/>
      <c r="F60" s="254"/>
      <c r="G60" s="254"/>
      <c r="H60" s="254"/>
      <c r="I60" s="254"/>
    </row>
    <row r="63" spans="1:74" s="4" customFormat="1">
      <c r="A63" s="190" t="s">
        <v>621</v>
      </c>
      <c r="B63" s="189" t="s">
        <v>622</v>
      </c>
      <c r="C63" s="96" t="s">
        <v>623</v>
      </c>
      <c r="D63" s="96" t="s">
        <v>624</v>
      </c>
      <c r="E63" s="96" t="s">
        <v>639</v>
      </c>
      <c r="F63" s="96" t="s">
        <v>625</v>
      </c>
      <c r="G63" s="96" t="s">
        <v>626</v>
      </c>
      <c r="H63" s="96" t="s">
        <v>635</v>
      </c>
      <c r="I63" s="96" t="s">
        <v>628</v>
      </c>
      <c r="J63" s="96" t="s">
        <v>634</v>
      </c>
      <c r="K63" s="96" t="s">
        <v>630</v>
      </c>
      <c r="L63" s="96" t="s">
        <v>636</v>
      </c>
    </row>
    <row r="64" spans="1:74" s="26" customFormat="1">
      <c r="A64" s="191">
        <f>股权价值增加表!M1</f>
        <v>42369</v>
      </c>
      <c r="B64" s="177">
        <v>42356</v>
      </c>
      <c r="C64" s="176">
        <v>143.44</v>
      </c>
      <c r="D64" s="176">
        <v>0.53</v>
      </c>
      <c r="E64" s="178">
        <f>股权价值增加表!M42/100000000</f>
        <v>0.5741885241000001</v>
      </c>
      <c r="F64" s="178">
        <v>0</v>
      </c>
      <c r="G64" s="176">
        <v>112.9</v>
      </c>
      <c r="H64" s="178">
        <f>G64*D64</f>
        <v>59.837000000000003</v>
      </c>
      <c r="I64" s="178">
        <f>C64*D64</f>
        <v>76.023200000000003</v>
      </c>
      <c r="J64" s="178">
        <f>H64/E64</f>
        <v>104.21141748485877</v>
      </c>
      <c r="K64" s="178">
        <f>I64/E64</f>
        <v>132.40111358749462</v>
      </c>
      <c r="L64" s="178">
        <v>0</v>
      </c>
    </row>
    <row r="65" spans="1:12" s="26" customFormat="1">
      <c r="A65" s="191">
        <f>股权价值增加表!I1</f>
        <v>42735</v>
      </c>
      <c r="B65" s="177">
        <v>42473</v>
      </c>
      <c r="C65" s="176">
        <v>57.31</v>
      </c>
      <c r="D65" s="176">
        <v>1.07</v>
      </c>
      <c r="E65" s="178">
        <f>股权价值增加表!I42/100000000</f>
        <v>0.6175687136000001</v>
      </c>
      <c r="F65" s="178">
        <f>(E65-E64)/E64*100</f>
        <v>7.5550429308902292</v>
      </c>
      <c r="G65" s="176">
        <v>43.97</v>
      </c>
      <c r="H65" s="178">
        <f t="shared" ref="H65:H66" si="8">G65*D65</f>
        <v>47.047899999999998</v>
      </c>
      <c r="I65" s="178">
        <f t="shared" ref="I65:I66" si="9">C65*D65</f>
        <v>61.321700000000007</v>
      </c>
      <c r="J65" s="178">
        <f t="shared" ref="J65:J66" si="10">H65/E65</f>
        <v>76.182453812699094</v>
      </c>
      <c r="K65" s="178">
        <f t="shared" ref="K65:K66" si="11">I65/E65</f>
        <v>99.295347464311703</v>
      </c>
      <c r="L65" s="178">
        <f>K65/F65</f>
        <v>13.142922994960598</v>
      </c>
    </row>
    <row r="66" spans="1:12" s="26" customFormat="1">
      <c r="A66" s="191">
        <f>股权价值增加表!E1</f>
        <v>43100</v>
      </c>
      <c r="B66" s="177">
        <v>42740</v>
      </c>
      <c r="C66" s="176">
        <v>44.52</v>
      </c>
      <c r="D66" s="176">
        <v>1.07</v>
      </c>
      <c r="E66" s="178">
        <f>股权价值增加表!E42/100000000</f>
        <v>0.60218383240000006</v>
      </c>
      <c r="F66" s="178">
        <f t="shared" ref="F66" si="12">(E66-E65)/E65*100</f>
        <v>-2.491201523198411</v>
      </c>
      <c r="G66" s="176">
        <v>38.700000000000003</v>
      </c>
      <c r="H66" s="178">
        <f t="shared" si="8"/>
        <v>41.409000000000006</v>
      </c>
      <c r="I66" s="178">
        <f t="shared" si="9"/>
        <v>47.636400000000009</v>
      </c>
      <c r="J66" s="178">
        <f t="shared" si="10"/>
        <v>68.764715643335492</v>
      </c>
      <c r="K66" s="178">
        <f t="shared" si="11"/>
        <v>79.106075980395261</v>
      </c>
      <c r="L66" s="178">
        <f t="shared" ref="L66" si="13">K66/F66</f>
        <v>-31.754185778929809</v>
      </c>
    </row>
    <row r="67" spans="1:12" s="26" customFormat="1">
      <c r="A67" s="170"/>
      <c r="B67" s="171"/>
      <c r="C67" s="83"/>
      <c r="D67" s="83"/>
      <c r="E67" s="83"/>
      <c r="F67" s="174"/>
      <c r="G67" s="83"/>
      <c r="H67" s="174"/>
      <c r="I67" s="174"/>
      <c r="J67" s="174"/>
      <c r="K67" s="174"/>
      <c r="L67" s="175"/>
    </row>
    <row r="68" spans="1:12" s="164" customFormat="1" ht="14.25" thickBot="1">
      <c r="A68" s="172" t="s">
        <v>633</v>
      </c>
      <c r="B68" s="44" t="s">
        <v>622</v>
      </c>
      <c r="C68" s="44" t="s">
        <v>623</v>
      </c>
      <c r="D68" s="44" t="s">
        <v>624</v>
      </c>
      <c r="E68" s="44" t="s">
        <v>632</v>
      </c>
      <c r="F68" s="44" t="s">
        <v>625</v>
      </c>
      <c r="G68" s="44" t="s">
        <v>626</v>
      </c>
      <c r="H68" s="44" t="s">
        <v>627</v>
      </c>
      <c r="I68" s="44" t="s">
        <v>628</v>
      </c>
      <c r="J68" s="44" t="s">
        <v>629</v>
      </c>
      <c r="K68" s="44" t="s">
        <v>630</v>
      </c>
      <c r="L68" s="173" t="s">
        <v>631</v>
      </c>
    </row>
    <row r="69" spans="1:12" s="26" customFormat="1">
      <c r="A69" s="179" t="s">
        <v>638</v>
      </c>
      <c r="B69" s="180">
        <v>43305</v>
      </c>
      <c r="C69" s="181">
        <v>51.65</v>
      </c>
      <c r="D69" s="181">
        <v>1.07</v>
      </c>
      <c r="E69" s="181">
        <v>1.85</v>
      </c>
      <c r="F69" s="182">
        <f>(E69-E66)/E66*100</f>
        <v>207.21515598099606</v>
      </c>
      <c r="G69" s="181">
        <v>46.05</v>
      </c>
      <c r="H69" s="182">
        <f>G69*D69</f>
        <v>49.273499999999999</v>
      </c>
      <c r="I69" s="182">
        <f>C69*D69</f>
        <v>55.265500000000003</v>
      </c>
      <c r="J69" s="182">
        <f>H69/E69</f>
        <v>26.634324324324322</v>
      </c>
      <c r="K69" s="182">
        <f>I69/E69</f>
        <v>29.873243243243245</v>
      </c>
      <c r="L69" s="183">
        <f>K69/F69</f>
        <v>0.1441653391703788</v>
      </c>
    </row>
    <row r="70" spans="1:12" s="26" customFormat="1" ht="14.25" thickBot="1">
      <c r="A70" s="184" t="s">
        <v>637</v>
      </c>
      <c r="B70" s="185">
        <v>43305</v>
      </c>
      <c r="C70" s="186">
        <v>51.65</v>
      </c>
      <c r="D70" s="186">
        <v>1.07</v>
      </c>
      <c r="E70" s="186">
        <v>1.4</v>
      </c>
      <c r="F70" s="187">
        <f>(E70-E66)/E66*100</f>
        <v>132.4871450666997</v>
      </c>
      <c r="G70" s="186">
        <v>46.05</v>
      </c>
      <c r="H70" s="187">
        <f t="shared" ref="H70" si="14">G70*D70</f>
        <v>49.273499999999999</v>
      </c>
      <c r="I70" s="187">
        <f t="shared" ref="I70" si="15">C70*D70</f>
        <v>55.265500000000003</v>
      </c>
      <c r="J70" s="187">
        <f t="shared" ref="J70" si="16">H70/E70</f>
        <v>35.195357142857141</v>
      </c>
      <c r="K70" s="187">
        <f t="shared" ref="K70" si="17">I70/E70</f>
        <v>39.475357142857149</v>
      </c>
      <c r="L70" s="188">
        <f t="shared" ref="L70" si="18">K70/F70</f>
        <v>0.29795613093620188</v>
      </c>
    </row>
    <row r="71" spans="1:12" s="88" customFormat="1" ht="138" customHeight="1">
      <c r="A71" s="251" t="s">
        <v>640</v>
      </c>
      <c r="B71" s="252"/>
      <c r="C71" s="252"/>
      <c r="D71" s="252"/>
      <c r="E71" s="252"/>
      <c r="F71" s="252"/>
      <c r="G71" s="252"/>
      <c r="H71" s="25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2018-12-28T08:26:18Z</dcterms:modified>
</cp:coreProperties>
</file>